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androstormer-my.sharepoint.com/personal/guilherme_varaschin_liberta_com_vc/Documents/"/>
    </mc:Choice>
  </mc:AlternateContent>
  <xr:revisionPtr revIDLastSave="320" documentId="8_{D7C39E94-C733-4E8D-A0AF-7D1F1E23B0AD}" xr6:coauthVersionLast="47" xr6:coauthVersionMax="47" xr10:uidLastSave="{27C2AF7E-0F65-4C8A-A4EC-BF428C5010DE}"/>
  <bookViews>
    <workbookView xWindow="28680" yWindow="-120" windowWidth="29040" windowHeight="15720" xr2:uid="{7AF2EF12-7880-4A63-91BE-E32BAD2A9148}"/>
  </bookViews>
  <sheets>
    <sheet name="Outros Indicadores" sheetId="1" r:id="rId1"/>
    <sheet name="Presidentes" sheetId="2" r:id="rId2"/>
    <sheet name="Dívida Bruta" sheetId="3" r:id="rId3"/>
    <sheet name="Dívida Líquida GF e BC" sheetId="4" r:id="rId4"/>
    <sheet name="Resultado Primário" sheetId="5" r:id="rId5"/>
    <sheet name="Vol Ibov" sheetId="6" r:id="rId6"/>
    <sheet name="Agências de Rating Soberano" sheetId="7" r:id="rId7"/>
    <sheet name="Planilha2" sheetId="8" r:id="rId8"/>
    <sheet name="Base Rating 2" sheetId="9" r:id="rId9"/>
    <sheet name="Gráficos Rating 2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AN4" i="9" l="1"/>
  <c r="AO4" i="9"/>
  <c r="AP4" i="9"/>
  <c r="AQ4" i="9"/>
  <c r="AR4" i="9"/>
  <c r="AS4" i="9"/>
  <c r="AN5" i="9"/>
  <c r="AO5" i="9"/>
  <c r="AP5" i="9"/>
  <c r="AQ5" i="9"/>
  <c r="AR5" i="9"/>
  <c r="AS5" i="9"/>
  <c r="AN6" i="9"/>
  <c r="AO6" i="9"/>
  <c r="AP6" i="9"/>
  <c r="AQ6" i="9"/>
  <c r="AR6" i="9"/>
  <c r="AS6" i="9"/>
  <c r="AS7" i="9" s="1"/>
  <c r="AS8" i="9" s="1"/>
  <c r="AS9" i="9" s="1"/>
  <c r="AS10" i="9" s="1"/>
  <c r="AS11" i="9" s="1"/>
  <c r="AS12" i="9" s="1"/>
  <c r="AS13" i="9" s="1"/>
  <c r="AS14" i="9" s="1"/>
  <c r="AN7" i="9"/>
  <c r="AO7" i="9"/>
  <c r="AP7" i="9"/>
  <c r="AQ7" i="9"/>
  <c r="AQ8" i="9" s="1"/>
  <c r="AQ9" i="9" s="1"/>
  <c r="AQ10" i="9" s="1"/>
  <c r="AQ11" i="9" s="1"/>
  <c r="AQ12" i="9" s="1"/>
  <c r="AQ13" i="9" s="1"/>
  <c r="AQ14" i="9" s="1"/>
  <c r="AR7" i="9"/>
  <c r="AN8" i="9"/>
  <c r="AO8" i="9"/>
  <c r="AP8" i="9"/>
  <c r="AR8" i="9"/>
  <c r="AN9" i="9"/>
  <c r="AR9" i="9"/>
  <c r="AN10" i="9"/>
  <c r="AO10" i="9"/>
  <c r="AP10" i="9"/>
  <c r="AR10" i="9"/>
  <c r="AN11" i="9"/>
  <c r="AO11" i="9"/>
  <c r="AP11" i="9"/>
  <c r="AR11" i="9"/>
  <c r="AN12" i="9"/>
  <c r="AR12" i="9"/>
  <c r="AR13" i="9"/>
  <c r="AR14" i="9"/>
  <c r="AN3" i="9"/>
  <c r="AO3" i="9"/>
  <c r="AP3" i="9"/>
  <c r="AQ3" i="9"/>
  <c r="AR3" i="9"/>
  <c r="AS3" i="9"/>
  <c r="AO2" i="9"/>
  <c r="AP2" i="9"/>
  <c r="AQ2" i="9"/>
  <c r="AR2" i="9"/>
  <c r="AS2" i="9"/>
  <c r="AG3" i="9"/>
  <c r="AH3" i="9"/>
  <c r="AI3" i="9" a="1"/>
  <c r="AG4" i="9"/>
  <c r="AH4" i="9"/>
  <c r="AI4" i="9" a="1"/>
  <c r="AG5" i="9"/>
  <c r="AH5" i="9"/>
  <c r="AI5" i="9" a="1"/>
  <c r="AG6" i="9"/>
  <c r="AH6" i="9"/>
  <c r="AI6" i="9" a="1"/>
  <c r="AG7" i="9"/>
  <c r="AH7" i="9"/>
  <c r="AI7" i="9" a="1"/>
  <c r="AG8" i="9"/>
  <c r="AH8" i="9"/>
  <c r="AI8" i="9" a="1"/>
  <c r="AG9" i="9"/>
  <c r="AH9" i="9"/>
  <c r="AI9" i="9" a="1"/>
  <c r="AG10" i="9"/>
  <c r="AH10" i="9"/>
  <c r="AI10" i="9" a="1"/>
  <c r="AG11" i="9"/>
  <c r="AH11" i="9"/>
  <c r="AI11" i="9" a="1"/>
  <c r="AG12" i="9"/>
  <c r="AH12" i="9"/>
  <c r="AI12" i="9" a="1"/>
  <c r="AG13" i="9"/>
  <c r="AH13" i="9"/>
  <c r="AI13" i="9" a="1"/>
  <c r="AG14" i="9"/>
  <c r="AH14" i="9"/>
  <c r="AI14" i="9" a="1"/>
  <c r="AG15" i="9"/>
  <c r="AH15" i="9"/>
  <c r="AI15" i="9" a="1"/>
  <c r="AG16" i="9"/>
  <c r="AH16" i="9"/>
  <c r="AI16" i="9" a="1"/>
  <c r="AG17" i="9"/>
  <c r="AH17" i="9"/>
  <c r="AI17" i="9" a="1"/>
  <c r="AG18" i="9"/>
  <c r="AH18" i="9"/>
  <c r="AI18" i="9" a="1"/>
  <c r="AG19" i="9"/>
  <c r="AH19" i="9"/>
  <c r="AI19" i="9" a="1"/>
  <c r="AG20" i="9"/>
  <c r="AH20" i="9"/>
  <c r="AI20" i="9" a="1"/>
  <c r="AG21" i="9"/>
  <c r="AH21" i="9"/>
  <c r="AI21" i="9" a="1"/>
  <c r="AG22" i="9"/>
  <c r="AH22" i="9"/>
  <c r="AI22" i="9" a="1"/>
  <c r="AG23" i="9"/>
  <c r="AH23" i="9"/>
  <c r="AI23" i="9" a="1"/>
  <c r="AG24" i="9"/>
  <c r="AH24" i="9"/>
  <c r="AI24" i="9" a="1"/>
  <c r="AG25" i="9"/>
  <c r="AH25" i="9"/>
  <c r="AI25" i="9" a="1"/>
  <c r="AG26" i="9"/>
  <c r="AH26" i="9"/>
  <c r="AI26" i="9" a="1"/>
  <c r="AG27" i="9"/>
  <c r="AH27" i="9"/>
  <c r="AI27" i="9" a="1"/>
  <c r="AG28" i="9"/>
  <c r="AH28" i="9"/>
  <c r="AI28" i="9" a="1"/>
  <c r="AG29" i="9"/>
  <c r="AH29" i="9"/>
  <c r="AI29" i="9" a="1"/>
  <c r="AG30" i="9"/>
  <c r="AH30" i="9"/>
  <c r="AI30" i="9" a="1"/>
  <c r="AG31" i="9"/>
  <c r="AH31" i="9"/>
  <c r="AI31" i="9" a="1"/>
  <c r="AG32" i="9"/>
  <c r="AH32" i="9"/>
  <c r="AI32" i="9" a="1"/>
  <c r="AG33" i="9"/>
  <c r="AH33" i="9"/>
  <c r="AI33" i="9" a="1"/>
  <c r="AG34" i="9"/>
  <c r="AH34" i="9"/>
  <c r="AI34" i="9" a="1"/>
  <c r="AG35" i="9"/>
  <c r="AH35" i="9"/>
  <c r="AI35" i="9" a="1"/>
  <c r="AG36" i="9"/>
  <c r="AH36" i="9"/>
  <c r="AI36" i="9" a="1"/>
  <c r="AG37" i="9"/>
  <c r="AH37" i="9"/>
  <c r="AI37" i="9" a="1"/>
  <c r="AG38" i="9"/>
  <c r="AH38" i="9"/>
  <c r="AI38" i="9" a="1"/>
  <c r="AG2" i="9"/>
  <c r="AH2" i="9"/>
  <c r="AI2" i="9" a="1"/>
  <c r="Z3" i="9"/>
  <c r="AA3" i="9"/>
  <c r="AB3" i="9" a="1"/>
  <c r="Z4" i="9"/>
  <c r="AA4" i="9"/>
  <c r="AB4" i="9" a="1"/>
  <c r="Z5" i="9"/>
  <c r="AA5" i="9"/>
  <c r="AB5" i="9" a="1"/>
  <c r="Z6" i="9"/>
  <c r="AA6" i="9"/>
  <c r="AB6" i="9" a="1"/>
  <c r="Z7" i="9"/>
  <c r="AA7" i="9"/>
  <c r="AB7" i="9" a="1"/>
  <c r="Z8" i="9"/>
  <c r="AA8" i="9"/>
  <c r="AB8" i="9" a="1"/>
  <c r="Z9" i="9"/>
  <c r="AA9" i="9"/>
  <c r="AB9" i="9" a="1"/>
  <c r="Z10" i="9"/>
  <c r="AA10" i="9"/>
  <c r="AB10" i="9" a="1"/>
  <c r="Z11" i="9"/>
  <c r="AA11" i="9"/>
  <c r="AB11" i="9" a="1"/>
  <c r="Z12" i="9"/>
  <c r="AA12" i="9"/>
  <c r="AB12" i="9" a="1"/>
  <c r="Z13" i="9"/>
  <c r="AA13" i="9"/>
  <c r="AB13" i="9" a="1"/>
  <c r="Z14" i="9"/>
  <c r="AA14" i="9"/>
  <c r="AB14" i="9" a="1"/>
  <c r="Z15" i="9"/>
  <c r="AA15" i="9"/>
  <c r="AB15" i="9" a="1"/>
  <c r="Z16" i="9"/>
  <c r="AA16" i="9"/>
  <c r="AB16" i="9" a="1"/>
  <c r="Z17" i="9"/>
  <c r="AA17" i="9"/>
  <c r="AB17" i="9" a="1"/>
  <c r="Z18" i="9"/>
  <c r="AA18" i="9"/>
  <c r="AB18" i="9" a="1"/>
  <c r="Z19" i="9"/>
  <c r="AA19" i="9"/>
  <c r="AB19" i="9" a="1"/>
  <c r="Z20" i="9"/>
  <c r="AA20" i="9"/>
  <c r="AB20" i="9" a="1"/>
  <c r="Z21" i="9"/>
  <c r="AA21" i="9"/>
  <c r="AB21" i="9" a="1"/>
  <c r="Z22" i="9"/>
  <c r="AA22" i="9"/>
  <c r="AB22" i="9" a="1"/>
  <c r="Z23" i="9"/>
  <c r="AA23" i="9"/>
  <c r="AB23" i="9" a="1"/>
  <c r="Z24" i="9"/>
  <c r="AA24" i="9"/>
  <c r="AB24" i="9" a="1"/>
  <c r="Z25" i="9"/>
  <c r="AA25" i="9"/>
  <c r="AB25" i="9" a="1"/>
  <c r="Z26" i="9"/>
  <c r="AA26" i="9"/>
  <c r="AB26" i="9" a="1"/>
  <c r="Z27" i="9"/>
  <c r="AA27" i="9"/>
  <c r="AB27" i="9" a="1"/>
  <c r="Z28" i="9"/>
  <c r="AA28" i="9"/>
  <c r="AB28" i="9" a="1"/>
  <c r="Z29" i="9"/>
  <c r="AA29" i="9"/>
  <c r="AB29" i="9" a="1"/>
  <c r="Z30" i="9"/>
  <c r="AA30" i="9"/>
  <c r="AB30" i="9" a="1"/>
  <c r="Z31" i="9"/>
  <c r="AA31" i="9"/>
  <c r="AB31" i="9" a="1"/>
  <c r="Z32" i="9"/>
  <c r="AA32" i="9"/>
  <c r="AB32" i="9" a="1"/>
  <c r="Z33" i="9"/>
  <c r="AA33" i="9"/>
  <c r="AB33" i="9" a="1"/>
  <c r="Z34" i="9"/>
  <c r="AA34" i="9"/>
  <c r="AB34" i="9" a="1"/>
  <c r="Z35" i="9"/>
  <c r="AA35" i="9"/>
  <c r="AB35" i="9" a="1"/>
  <c r="Z36" i="9"/>
  <c r="AA36" i="9"/>
  <c r="AB36" i="9" a="1"/>
  <c r="Z37" i="9"/>
  <c r="AA37" i="9"/>
  <c r="AB37" i="9" a="1"/>
  <c r="Z38" i="9"/>
  <c r="AA38" i="9"/>
  <c r="AB38" i="9" a="1"/>
  <c r="Z39" i="9"/>
  <c r="AA39" i="9"/>
  <c r="AB39" i="9" a="1"/>
  <c r="Z40" i="9"/>
  <c r="AA40" i="9"/>
  <c r="AB40" i="9" a="1"/>
  <c r="Z41" i="9"/>
  <c r="AA41" i="9"/>
  <c r="AB41" i="9" a="1"/>
  <c r="Z42" i="9"/>
  <c r="AA42" i="9"/>
  <c r="AB42" i="9" a="1"/>
  <c r="Z43" i="9"/>
  <c r="AA43" i="9"/>
  <c r="AB43" i="9" a="1"/>
  <c r="Z44" i="9"/>
  <c r="AA44" i="9"/>
  <c r="AB44" i="9" a="1"/>
  <c r="Z2" i="9"/>
  <c r="AA2" i="9"/>
  <c r="AB2" i="9" a="1"/>
  <c r="S3" i="9"/>
  <c r="T3" i="9"/>
  <c r="U3" i="9" a="1"/>
  <c r="S4" i="9"/>
  <c r="T4" i="9"/>
  <c r="U4" i="9" a="1"/>
  <c r="S5" i="9"/>
  <c r="T5" i="9"/>
  <c r="U5" i="9" a="1"/>
  <c r="S6" i="9"/>
  <c r="T6" i="9"/>
  <c r="U6" i="9" a="1"/>
  <c r="S7" i="9"/>
  <c r="T7" i="9"/>
  <c r="U7" i="9" a="1"/>
  <c r="S8" i="9"/>
  <c r="T8" i="9"/>
  <c r="U8" i="9" a="1"/>
  <c r="S9" i="9"/>
  <c r="T9" i="9"/>
  <c r="U9" i="9" a="1"/>
  <c r="S10" i="9"/>
  <c r="T10" i="9"/>
  <c r="U10" i="9" a="1"/>
  <c r="S11" i="9"/>
  <c r="T11" i="9"/>
  <c r="U11" i="9" a="1"/>
  <c r="S12" i="9"/>
  <c r="T12" i="9"/>
  <c r="U12" i="9" a="1"/>
  <c r="S13" i="9"/>
  <c r="T13" i="9"/>
  <c r="U13" i="9" a="1"/>
  <c r="S14" i="9"/>
  <c r="T14" i="9"/>
  <c r="U14" i="9" a="1"/>
  <c r="S15" i="9"/>
  <c r="T15" i="9"/>
  <c r="U15" i="9" a="1"/>
  <c r="S16" i="9"/>
  <c r="T16" i="9"/>
  <c r="U16" i="9" a="1"/>
  <c r="S17" i="9"/>
  <c r="T17" i="9"/>
  <c r="U17" i="9" a="1"/>
  <c r="S18" i="9"/>
  <c r="T18" i="9"/>
  <c r="U18" i="9" a="1"/>
  <c r="S19" i="9"/>
  <c r="T19" i="9"/>
  <c r="U19" i="9" a="1"/>
  <c r="S20" i="9"/>
  <c r="T20" i="9"/>
  <c r="U20" i="9" a="1"/>
  <c r="S21" i="9"/>
  <c r="T21" i="9"/>
  <c r="U21" i="9" a="1"/>
  <c r="S22" i="9"/>
  <c r="T22" i="9"/>
  <c r="U22" i="9" a="1"/>
  <c r="S23" i="9"/>
  <c r="T23" i="9"/>
  <c r="U23" i="9" a="1"/>
  <c r="S24" i="9"/>
  <c r="T24" i="9"/>
  <c r="U24" i="9" a="1"/>
  <c r="S25" i="9"/>
  <c r="T25" i="9"/>
  <c r="U25" i="9" a="1"/>
  <c r="S26" i="9"/>
  <c r="T26" i="9"/>
  <c r="U26" i="9" a="1"/>
  <c r="S27" i="9"/>
  <c r="T27" i="9"/>
  <c r="U27" i="9" a="1"/>
  <c r="S28" i="9"/>
  <c r="T28" i="9"/>
  <c r="U28" i="9" a="1"/>
  <c r="S29" i="9"/>
  <c r="T29" i="9"/>
  <c r="U29" i="9" a="1"/>
  <c r="S30" i="9"/>
  <c r="T30" i="9"/>
  <c r="U30" i="9" a="1"/>
  <c r="S31" i="9"/>
  <c r="T31" i="9"/>
  <c r="U31" i="9" a="1"/>
  <c r="S32" i="9"/>
  <c r="T32" i="9"/>
  <c r="U32" i="9" a="1"/>
  <c r="S33" i="9"/>
  <c r="T33" i="9"/>
  <c r="U33" i="9" a="1"/>
  <c r="S34" i="9"/>
  <c r="T34" i="9"/>
  <c r="U34" i="9" a="1"/>
  <c r="S2" i="9"/>
  <c r="T2" i="9"/>
  <c r="U2" i="9" a="1"/>
  <c r="B3" i="9"/>
  <c r="C3" i="9"/>
  <c r="D3" i="9" a="1"/>
  <c r="E3" i="9"/>
  <c r="F3" i="9"/>
  <c r="G3" i="9" a="1"/>
  <c r="H3" i="9"/>
  <c r="I3" i="9"/>
  <c r="J3" i="9" a="1"/>
  <c r="B4" i="9"/>
  <c r="C4" i="9"/>
  <c r="D4" i="9" a="1"/>
  <c r="E4" i="9"/>
  <c r="F4" i="9"/>
  <c r="G4" i="9" a="1"/>
  <c r="H4" i="9"/>
  <c r="I4" i="9"/>
  <c r="J4" i="9" a="1"/>
  <c r="B5" i="9"/>
  <c r="C5" i="9"/>
  <c r="D5" i="9" a="1"/>
  <c r="E5" i="9"/>
  <c r="F5" i="9"/>
  <c r="G5" i="9" a="1"/>
  <c r="H5" i="9"/>
  <c r="I5" i="9"/>
  <c r="J5" i="9" a="1"/>
  <c r="B6" i="9"/>
  <c r="C6" i="9"/>
  <c r="D6" i="9" a="1"/>
  <c r="E6" i="9"/>
  <c r="F6" i="9"/>
  <c r="G6" i="9" a="1"/>
  <c r="H6" i="9"/>
  <c r="I6" i="9"/>
  <c r="J6" i="9" a="1"/>
  <c r="B7" i="9"/>
  <c r="C7" i="9"/>
  <c r="D7" i="9" a="1"/>
  <c r="E7" i="9"/>
  <c r="F7" i="9"/>
  <c r="G7" i="9" a="1"/>
  <c r="H7" i="9"/>
  <c r="I7" i="9"/>
  <c r="J7" i="9" a="1"/>
  <c r="B8" i="9"/>
  <c r="C8" i="9"/>
  <c r="D8" i="9" a="1"/>
  <c r="E8" i="9"/>
  <c r="F8" i="9"/>
  <c r="G8" i="9" a="1"/>
  <c r="H8" i="9"/>
  <c r="I8" i="9"/>
  <c r="J8" i="9" a="1"/>
  <c r="B9" i="9"/>
  <c r="C9" i="9"/>
  <c r="D9" i="9" a="1"/>
  <c r="E9" i="9"/>
  <c r="F9" i="9"/>
  <c r="G9" i="9" a="1"/>
  <c r="H9" i="9"/>
  <c r="I9" i="9"/>
  <c r="J9" i="9" a="1"/>
  <c r="B10" i="9"/>
  <c r="C10" i="9"/>
  <c r="D10" i="9" a="1"/>
  <c r="E10" i="9"/>
  <c r="F10" i="9"/>
  <c r="G10" i="9" a="1"/>
  <c r="H10" i="9"/>
  <c r="I10" i="9"/>
  <c r="J10" i="9" a="1"/>
  <c r="B11" i="9"/>
  <c r="C11" i="9"/>
  <c r="D11" i="9" a="1"/>
  <c r="E11" i="9"/>
  <c r="F11" i="9"/>
  <c r="G11" i="9" a="1"/>
  <c r="H11" i="9"/>
  <c r="I11" i="9"/>
  <c r="J11" i="9" a="1"/>
  <c r="B12" i="9"/>
  <c r="C12" i="9"/>
  <c r="D12" i="9" a="1"/>
  <c r="E12" i="9"/>
  <c r="F12" i="9"/>
  <c r="G12" i="9" a="1"/>
  <c r="H12" i="9"/>
  <c r="I12" i="9"/>
  <c r="J12" i="9" a="1"/>
  <c r="B13" i="9"/>
  <c r="C13" i="9"/>
  <c r="D13" i="9" a="1"/>
  <c r="E13" i="9"/>
  <c r="F13" i="9"/>
  <c r="G13" i="9" a="1"/>
  <c r="H13" i="9"/>
  <c r="I13" i="9"/>
  <c r="J13" i="9" a="1"/>
  <c r="B14" i="9"/>
  <c r="C14" i="9"/>
  <c r="D14" i="9" a="1"/>
  <c r="E14" i="9"/>
  <c r="F14" i="9"/>
  <c r="G14" i="9" a="1"/>
  <c r="H14" i="9"/>
  <c r="I14" i="9"/>
  <c r="J14" i="9" a="1"/>
  <c r="B15" i="9"/>
  <c r="C15" i="9"/>
  <c r="D15" i="9" a="1"/>
  <c r="E15" i="9"/>
  <c r="F15" i="9"/>
  <c r="G15" i="9" a="1"/>
  <c r="H15" i="9"/>
  <c r="I15" i="9"/>
  <c r="J15" i="9" a="1"/>
  <c r="B16" i="9"/>
  <c r="C16" i="9"/>
  <c r="D16" i="9" a="1"/>
  <c r="E16" i="9"/>
  <c r="F16" i="9"/>
  <c r="G16" i="9" a="1"/>
  <c r="H16" i="9"/>
  <c r="I16" i="9"/>
  <c r="J16" i="9" a="1"/>
  <c r="B17" i="9"/>
  <c r="C17" i="9"/>
  <c r="D17" i="9" a="1"/>
  <c r="E17" i="9"/>
  <c r="F17" i="9"/>
  <c r="G17" i="9" a="1"/>
  <c r="H17" i="9"/>
  <c r="I17" i="9"/>
  <c r="J17" i="9" a="1"/>
  <c r="B18" i="9"/>
  <c r="C18" i="9"/>
  <c r="D18" i="9" a="1"/>
  <c r="E18" i="9"/>
  <c r="F18" i="9"/>
  <c r="G18" i="9" a="1"/>
  <c r="H18" i="9"/>
  <c r="I18" i="9"/>
  <c r="J18" i="9" a="1"/>
  <c r="B19" i="9"/>
  <c r="C19" i="9"/>
  <c r="D19" i="9" a="1"/>
  <c r="E19" i="9"/>
  <c r="F19" i="9"/>
  <c r="G19" i="9" a="1"/>
  <c r="H19" i="9"/>
  <c r="I19" i="9"/>
  <c r="J19" i="9" a="1"/>
  <c r="B20" i="9"/>
  <c r="C20" i="9"/>
  <c r="D20" i="9" a="1"/>
  <c r="E20" i="9"/>
  <c r="F20" i="9"/>
  <c r="G20" i="9" a="1"/>
  <c r="H20" i="9"/>
  <c r="I20" i="9"/>
  <c r="J20" i="9" a="1"/>
  <c r="B21" i="9"/>
  <c r="C21" i="9"/>
  <c r="D21" i="9" a="1"/>
  <c r="E21" i="9"/>
  <c r="F21" i="9"/>
  <c r="G21" i="9" a="1"/>
  <c r="H21" i="9"/>
  <c r="I21" i="9"/>
  <c r="J21" i="9" a="1"/>
  <c r="B22" i="9"/>
  <c r="C22" i="9"/>
  <c r="D22" i="9" a="1"/>
  <c r="E22" i="9"/>
  <c r="F22" i="9"/>
  <c r="G22" i="9" a="1"/>
  <c r="H22" i="9"/>
  <c r="I22" i="9"/>
  <c r="J22" i="9" a="1"/>
  <c r="B23" i="9"/>
  <c r="C23" i="9"/>
  <c r="D23" i="9" a="1"/>
  <c r="E23" i="9"/>
  <c r="F23" i="9"/>
  <c r="G23" i="9" a="1"/>
  <c r="H23" i="9"/>
  <c r="I23" i="9"/>
  <c r="J23" i="9" a="1"/>
  <c r="B24" i="9"/>
  <c r="C24" i="9"/>
  <c r="D24" i="9" a="1"/>
  <c r="E24" i="9"/>
  <c r="F24" i="9"/>
  <c r="G24" i="9" a="1"/>
  <c r="H24" i="9"/>
  <c r="I24" i="9"/>
  <c r="J24" i="9" a="1"/>
  <c r="B25" i="9"/>
  <c r="C25" i="9"/>
  <c r="D25" i="9" a="1"/>
  <c r="E25" i="9"/>
  <c r="F25" i="9"/>
  <c r="G25" i="9" a="1"/>
  <c r="H25" i="9"/>
  <c r="I25" i="9"/>
  <c r="J25" i="9" a="1"/>
  <c r="B26" i="9"/>
  <c r="C26" i="9"/>
  <c r="D26" i="9" a="1"/>
  <c r="E26" i="9"/>
  <c r="F26" i="9"/>
  <c r="G26" i="9" a="1"/>
  <c r="H26" i="9"/>
  <c r="I26" i="9"/>
  <c r="J26" i="9" a="1"/>
  <c r="B27" i="9"/>
  <c r="C27" i="9"/>
  <c r="D27" i="9" a="1"/>
  <c r="E27" i="9"/>
  <c r="F27" i="9"/>
  <c r="G27" i="9" a="1"/>
  <c r="H27" i="9"/>
  <c r="I27" i="9"/>
  <c r="J27" i="9" a="1"/>
  <c r="B28" i="9"/>
  <c r="C28" i="9"/>
  <c r="D28" i="9" a="1"/>
  <c r="E28" i="9"/>
  <c r="F28" i="9"/>
  <c r="G28" i="9" a="1"/>
  <c r="H28" i="9"/>
  <c r="I28" i="9"/>
  <c r="J28" i="9" a="1"/>
  <c r="B29" i="9"/>
  <c r="C29" i="9"/>
  <c r="D29" i="9" a="1"/>
  <c r="E29" i="9"/>
  <c r="F29" i="9"/>
  <c r="G29" i="9" a="1"/>
  <c r="H29" i="9"/>
  <c r="I29" i="9"/>
  <c r="J29" i="9" a="1"/>
  <c r="B30" i="9"/>
  <c r="C30" i="9"/>
  <c r="D30" i="9" a="1"/>
  <c r="E30" i="9"/>
  <c r="F30" i="9"/>
  <c r="G30" i="9" a="1"/>
  <c r="H30" i="9"/>
  <c r="I30" i="9"/>
  <c r="J30" i="9" a="1"/>
  <c r="B31" i="9"/>
  <c r="C31" i="9"/>
  <c r="D31" i="9" a="1"/>
  <c r="E31" i="9"/>
  <c r="F31" i="9"/>
  <c r="G31" i="9" a="1"/>
  <c r="H31" i="9"/>
  <c r="I31" i="9"/>
  <c r="J31" i="9" a="1"/>
  <c r="B32" i="9"/>
  <c r="C32" i="9"/>
  <c r="D32" i="9" a="1"/>
  <c r="E32" i="9"/>
  <c r="F32" i="9"/>
  <c r="G32" i="9" a="1"/>
  <c r="H32" i="9"/>
  <c r="I32" i="9"/>
  <c r="J32" i="9" a="1"/>
  <c r="B33" i="9"/>
  <c r="C33" i="9"/>
  <c r="D33" i="9" a="1"/>
  <c r="E33" i="9"/>
  <c r="F33" i="9"/>
  <c r="G33" i="9" a="1"/>
  <c r="H33" i="9"/>
  <c r="I33" i="9"/>
  <c r="J33" i="9" a="1"/>
  <c r="B34" i="9"/>
  <c r="C34" i="9"/>
  <c r="D34" i="9" a="1"/>
  <c r="E34" i="9"/>
  <c r="F34" i="9"/>
  <c r="G34" i="9" a="1"/>
  <c r="H34" i="9"/>
  <c r="I34" i="9"/>
  <c r="J34" i="9" a="1"/>
  <c r="B35" i="9"/>
  <c r="C35" i="9"/>
  <c r="D35" i="9" a="1"/>
  <c r="E35" i="9"/>
  <c r="F35" i="9"/>
  <c r="G35" i="9" a="1"/>
  <c r="H35" i="9"/>
  <c r="I35" i="9"/>
  <c r="J35" i="9" a="1"/>
  <c r="B36" i="9"/>
  <c r="C36" i="9"/>
  <c r="D36" i="9" a="1"/>
  <c r="E36" i="9"/>
  <c r="F36" i="9"/>
  <c r="G36" i="9" a="1"/>
  <c r="H36" i="9"/>
  <c r="I36" i="9"/>
  <c r="J36" i="9" a="1"/>
  <c r="B37" i="9"/>
  <c r="C37" i="9"/>
  <c r="D37" i="9" a="1"/>
  <c r="E37" i="9"/>
  <c r="F37" i="9"/>
  <c r="G37" i="9" a="1"/>
  <c r="H37" i="9"/>
  <c r="I37" i="9"/>
  <c r="J37" i="9" a="1"/>
  <c r="B38" i="9"/>
  <c r="C38" i="9"/>
  <c r="D38" i="9" a="1"/>
  <c r="E38" i="9"/>
  <c r="F38" i="9"/>
  <c r="G38" i="9" a="1"/>
  <c r="H38" i="9"/>
  <c r="I38" i="9"/>
  <c r="J38" i="9" a="1"/>
  <c r="B39" i="9"/>
  <c r="C39" i="9"/>
  <c r="D39" i="9" a="1"/>
  <c r="E39" i="9"/>
  <c r="F39" i="9"/>
  <c r="G39" i="9" a="1"/>
  <c r="H39" i="9"/>
  <c r="I39" i="9"/>
  <c r="J39" i="9" a="1"/>
  <c r="B40" i="9"/>
  <c r="C40" i="9"/>
  <c r="D40" i="9" a="1"/>
  <c r="E40" i="9"/>
  <c r="F40" i="9"/>
  <c r="G40" i="9" a="1"/>
  <c r="H40" i="9"/>
  <c r="I40" i="9"/>
  <c r="J40" i="9" a="1"/>
  <c r="B41" i="9"/>
  <c r="C41" i="9"/>
  <c r="D41" i="9" a="1"/>
  <c r="E41" i="9"/>
  <c r="F41" i="9"/>
  <c r="G41" i="9" a="1"/>
  <c r="H41" i="9"/>
  <c r="I41" i="9"/>
  <c r="J41" i="9" a="1"/>
  <c r="B42" i="9"/>
  <c r="C42" i="9"/>
  <c r="D42" i="9" a="1"/>
  <c r="E42" i="9"/>
  <c r="F42" i="9"/>
  <c r="G42" i="9" a="1"/>
  <c r="H42" i="9"/>
  <c r="I42" i="9"/>
  <c r="J42" i="9" a="1"/>
  <c r="B43" i="9"/>
  <c r="C43" i="9"/>
  <c r="D43" i="9" a="1"/>
  <c r="E43" i="9"/>
  <c r="F43" i="9"/>
  <c r="G43" i="9" a="1"/>
  <c r="H43" i="9"/>
  <c r="I43" i="9"/>
  <c r="J43" i="9" a="1"/>
  <c r="B44" i="9"/>
  <c r="C44" i="9"/>
  <c r="D44" i="9" a="1"/>
  <c r="E44" i="9"/>
  <c r="F44" i="9"/>
  <c r="G44" i="9" a="1"/>
  <c r="H44" i="9"/>
  <c r="I44" i="9"/>
  <c r="J44" i="9" a="1"/>
  <c r="B45" i="9"/>
  <c r="C45" i="9"/>
  <c r="D45" i="9" a="1"/>
  <c r="E45" i="9"/>
  <c r="F45" i="9"/>
  <c r="G45" i="9" a="1"/>
  <c r="H45" i="9"/>
  <c r="I45" i="9"/>
  <c r="J45" i="9" a="1"/>
  <c r="B46" i="9"/>
  <c r="C46" i="9"/>
  <c r="D46" i="9" a="1"/>
  <c r="E46" i="9"/>
  <c r="F46" i="9"/>
  <c r="G46" i="9" a="1"/>
  <c r="H46" i="9"/>
  <c r="I46" i="9"/>
  <c r="J46" i="9" a="1"/>
  <c r="B47" i="9"/>
  <c r="C47" i="9"/>
  <c r="D47" i="9" a="1"/>
  <c r="E47" i="9"/>
  <c r="F47" i="9"/>
  <c r="G47" i="9" a="1"/>
  <c r="H47" i="9"/>
  <c r="I47" i="9"/>
  <c r="J47" i="9" a="1"/>
  <c r="B48" i="9"/>
  <c r="C48" i="9"/>
  <c r="D48" i="9" a="1"/>
  <c r="E48" i="9"/>
  <c r="F48" i="9"/>
  <c r="G48" i="9" a="1"/>
  <c r="H48" i="9"/>
  <c r="I48" i="9"/>
  <c r="J48" i="9" a="1"/>
  <c r="B49" i="9"/>
  <c r="C49" i="9"/>
  <c r="D49" i="9" a="1"/>
  <c r="E49" i="9"/>
  <c r="F49" i="9"/>
  <c r="G49" i="9" a="1"/>
  <c r="H49" i="9"/>
  <c r="I49" i="9"/>
  <c r="J49" i="9" a="1"/>
  <c r="B50" i="9"/>
  <c r="C50" i="9"/>
  <c r="D50" i="9" a="1"/>
  <c r="E50" i="9"/>
  <c r="F50" i="9"/>
  <c r="G50" i="9" a="1"/>
  <c r="H50" i="9"/>
  <c r="I50" i="9"/>
  <c r="J50" i="9" a="1"/>
  <c r="B51" i="9"/>
  <c r="C51" i="9"/>
  <c r="D51" i="9" a="1"/>
  <c r="E51" i="9"/>
  <c r="F51" i="9"/>
  <c r="G51" i="9" a="1"/>
  <c r="H51" i="9"/>
  <c r="I51" i="9"/>
  <c r="J51" i="9" a="1"/>
  <c r="B52" i="9"/>
  <c r="C52" i="9"/>
  <c r="D52" i="9" a="1"/>
  <c r="E52" i="9"/>
  <c r="F52" i="9"/>
  <c r="G52" i="9" a="1"/>
  <c r="H52" i="9"/>
  <c r="I52" i="9"/>
  <c r="J52" i="9" a="1"/>
  <c r="B53" i="9"/>
  <c r="C53" i="9"/>
  <c r="D53" i="9" a="1"/>
  <c r="E53" i="9"/>
  <c r="F53" i="9"/>
  <c r="G53" i="9" a="1"/>
  <c r="H53" i="9"/>
  <c r="I53" i="9"/>
  <c r="J53" i="9" a="1"/>
  <c r="B54" i="9"/>
  <c r="C54" i="9"/>
  <c r="D54" i="9" a="1"/>
  <c r="E54" i="9"/>
  <c r="F54" i="9"/>
  <c r="G54" i="9" a="1"/>
  <c r="H54" i="9"/>
  <c r="I54" i="9"/>
  <c r="J54" i="9" a="1"/>
  <c r="B55" i="9"/>
  <c r="C55" i="9"/>
  <c r="D55" i="9" a="1"/>
  <c r="E55" i="9"/>
  <c r="F55" i="9"/>
  <c r="G55" i="9" a="1"/>
  <c r="H55" i="9"/>
  <c r="I55" i="9"/>
  <c r="J55" i="9" a="1"/>
  <c r="B56" i="9"/>
  <c r="C56" i="9"/>
  <c r="D56" i="9" a="1"/>
  <c r="E56" i="9"/>
  <c r="F56" i="9"/>
  <c r="G56" i="9" a="1"/>
  <c r="H56" i="9"/>
  <c r="I56" i="9"/>
  <c r="J56" i="9" a="1"/>
  <c r="B57" i="9"/>
  <c r="C57" i="9"/>
  <c r="D57" i="9" a="1"/>
  <c r="E57" i="9"/>
  <c r="F57" i="9"/>
  <c r="G57" i="9" a="1"/>
  <c r="H57" i="9"/>
  <c r="I57" i="9"/>
  <c r="J57" i="9" a="1"/>
  <c r="B58" i="9"/>
  <c r="C58" i="9"/>
  <c r="D58" i="9" a="1"/>
  <c r="E58" i="9"/>
  <c r="F58" i="9"/>
  <c r="G58" i="9" a="1"/>
  <c r="H58" i="9"/>
  <c r="I58" i="9"/>
  <c r="J58" i="9" a="1"/>
  <c r="B59" i="9"/>
  <c r="C59" i="9"/>
  <c r="D59" i="9" a="1"/>
  <c r="E59" i="9"/>
  <c r="F59" i="9"/>
  <c r="G59" i="9" a="1"/>
  <c r="H59" i="9"/>
  <c r="I59" i="9"/>
  <c r="J59" i="9" a="1"/>
  <c r="B60" i="9"/>
  <c r="C60" i="9"/>
  <c r="D60" i="9" a="1"/>
  <c r="E60" i="9"/>
  <c r="F60" i="9"/>
  <c r="G60" i="9" a="1"/>
  <c r="H60" i="9"/>
  <c r="I60" i="9"/>
  <c r="J60" i="9" a="1"/>
  <c r="B61" i="9"/>
  <c r="C61" i="9"/>
  <c r="D61" i="9" a="1"/>
  <c r="E61" i="9"/>
  <c r="F61" i="9"/>
  <c r="G61" i="9" a="1"/>
  <c r="H61" i="9"/>
  <c r="I61" i="9"/>
  <c r="J61" i="9" a="1"/>
  <c r="B62" i="9"/>
  <c r="C62" i="9"/>
  <c r="D62" i="9" a="1"/>
  <c r="E62" i="9"/>
  <c r="F62" i="9"/>
  <c r="G62" i="9" a="1"/>
  <c r="H62" i="9"/>
  <c r="I62" i="9"/>
  <c r="J62" i="9" a="1"/>
  <c r="B63" i="9"/>
  <c r="C63" i="9"/>
  <c r="D63" i="9" a="1"/>
  <c r="E63" i="9"/>
  <c r="F63" i="9"/>
  <c r="G63" i="9" a="1"/>
  <c r="H63" i="9"/>
  <c r="I63" i="9"/>
  <c r="J63" i="9" a="1"/>
  <c r="B64" i="9"/>
  <c r="C64" i="9"/>
  <c r="D64" i="9" a="1"/>
  <c r="E64" i="9"/>
  <c r="F64" i="9"/>
  <c r="G64" i="9" a="1"/>
  <c r="H64" i="9"/>
  <c r="I64" i="9"/>
  <c r="J64" i="9" a="1"/>
  <c r="B65" i="9"/>
  <c r="C65" i="9"/>
  <c r="D65" i="9" a="1"/>
  <c r="E65" i="9"/>
  <c r="F65" i="9"/>
  <c r="G65" i="9" a="1"/>
  <c r="H65" i="9"/>
  <c r="I65" i="9"/>
  <c r="J65" i="9" a="1"/>
  <c r="B66" i="9"/>
  <c r="C66" i="9"/>
  <c r="D66" i="9" a="1"/>
  <c r="E66" i="9"/>
  <c r="F66" i="9"/>
  <c r="G66" i="9" a="1"/>
  <c r="H66" i="9"/>
  <c r="I66" i="9"/>
  <c r="J66" i="9" a="1"/>
  <c r="B67" i="9"/>
  <c r="C67" i="9"/>
  <c r="D67" i="9" a="1"/>
  <c r="E67" i="9"/>
  <c r="F67" i="9"/>
  <c r="G67" i="9" a="1"/>
  <c r="H67" i="9"/>
  <c r="I67" i="9"/>
  <c r="J67" i="9" a="1"/>
  <c r="B68" i="9"/>
  <c r="C68" i="9"/>
  <c r="D68" i="9" a="1"/>
  <c r="E68" i="9"/>
  <c r="F68" i="9"/>
  <c r="G68" i="9" a="1"/>
  <c r="H68" i="9"/>
  <c r="I68" i="9"/>
  <c r="J68" i="9" a="1"/>
  <c r="B69" i="9"/>
  <c r="C69" i="9"/>
  <c r="D69" i="9" a="1"/>
  <c r="E69" i="9"/>
  <c r="F69" i="9"/>
  <c r="G69" i="9" a="1"/>
  <c r="H69" i="9"/>
  <c r="I69" i="9"/>
  <c r="J69" i="9" a="1"/>
  <c r="B70" i="9"/>
  <c r="C70" i="9"/>
  <c r="D70" i="9" a="1"/>
  <c r="E70" i="9"/>
  <c r="F70" i="9"/>
  <c r="G70" i="9" a="1"/>
  <c r="H70" i="9"/>
  <c r="I70" i="9"/>
  <c r="J70" i="9" a="1"/>
  <c r="B71" i="9"/>
  <c r="C71" i="9"/>
  <c r="D71" i="9" a="1"/>
  <c r="E71" i="9"/>
  <c r="F71" i="9"/>
  <c r="G71" i="9" a="1"/>
  <c r="H71" i="9"/>
  <c r="I71" i="9"/>
  <c r="J71" i="9" a="1"/>
  <c r="B72" i="9"/>
  <c r="C72" i="9"/>
  <c r="D72" i="9" a="1"/>
  <c r="E72" i="9"/>
  <c r="F72" i="9"/>
  <c r="G72" i="9" a="1"/>
  <c r="H72" i="9"/>
  <c r="I72" i="9"/>
  <c r="J72" i="9" a="1"/>
  <c r="B73" i="9"/>
  <c r="C73" i="9"/>
  <c r="D73" i="9" a="1"/>
  <c r="E73" i="9"/>
  <c r="F73" i="9"/>
  <c r="G73" i="9" a="1"/>
  <c r="H73" i="9"/>
  <c r="I73" i="9"/>
  <c r="J73" i="9" a="1"/>
  <c r="B74" i="9"/>
  <c r="C74" i="9"/>
  <c r="D74" i="9" a="1"/>
  <c r="E74" i="9"/>
  <c r="F74" i="9"/>
  <c r="G74" i="9" a="1"/>
  <c r="H74" i="9"/>
  <c r="I74" i="9"/>
  <c r="J74" i="9" a="1"/>
  <c r="B75" i="9"/>
  <c r="C75" i="9"/>
  <c r="D75" i="9" a="1"/>
  <c r="E75" i="9"/>
  <c r="F75" i="9"/>
  <c r="G75" i="9" a="1"/>
  <c r="H75" i="9"/>
  <c r="I75" i="9"/>
  <c r="J75" i="9" a="1"/>
  <c r="B76" i="9"/>
  <c r="C76" i="9"/>
  <c r="D76" i="9" a="1"/>
  <c r="E76" i="9"/>
  <c r="F76" i="9"/>
  <c r="G76" i="9" a="1"/>
  <c r="H76" i="9"/>
  <c r="I76" i="9"/>
  <c r="J76" i="9" a="1"/>
  <c r="B77" i="9"/>
  <c r="C77" i="9"/>
  <c r="D77" i="9" a="1"/>
  <c r="E77" i="9"/>
  <c r="F77" i="9"/>
  <c r="G77" i="9" a="1"/>
  <c r="H77" i="9"/>
  <c r="I77" i="9"/>
  <c r="J77" i="9" a="1"/>
  <c r="B78" i="9"/>
  <c r="C78" i="9"/>
  <c r="D78" i="9" a="1"/>
  <c r="E78" i="9"/>
  <c r="F78" i="9"/>
  <c r="G78" i="9" a="1"/>
  <c r="H78" i="9"/>
  <c r="I78" i="9"/>
  <c r="J78" i="9" a="1"/>
  <c r="B79" i="9"/>
  <c r="C79" i="9"/>
  <c r="D79" i="9" a="1"/>
  <c r="E79" i="9"/>
  <c r="F79" i="9"/>
  <c r="G79" i="9" a="1"/>
  <c r="H79" i="9"/>
  <c r="I79" i="9"/>
  <c r="J79" i="9" a="1"/>
  <c r="B80" i="9"/>
  <c r="C80" i="9"/>
  <c r="D80" i="9" a="1"/>
  <c r="E80" i="9"/>
  <c r="F80" i="9"/>
  <c r="G80" i="9" a="1"/>
  <c r="H80" i="9"/>
  <c r="I80" i="9"/>
  <c r="J80" i="9" a="1"/>
  <c r="B81" i="9"/>
  <c r="C81" i="9"/>
  <c r="D81" i="9" a="1"/>
  <c r="E81" i="9"/>
  <c r="F81" i="9"/>
  <c r="G81" i="9" a="1"/>
  <c r="H81" i="9"/>
  <c r="I81" i="9"/>
  <c r="J81" i="9" a="1"/>
  <c r="B82" i="9"/>
  <c r="C82" i="9"/>
  <c r="D82" i="9" a="1"/>
  <c r="E82" i="9"/>
  <c r="F82" i="9"/>
  <c r="G82" i="9" a="1"/>
  <c r="H82" i="9"/>
  <c r="I82" i="9"/>
  <c r="J82" i="9" a="1"/>
  <c r="B83" i="9"/>
  <c r="C83" i="9"/>
  <c r="D83" i="9" a="1"/>
  <c r="E83" i="9"/>
  <c r="F83" i="9"/>
  <c r="G83" i="9" a="1"/>
  <c r="H83" i="9"/>
  <c r="I83" i="9"/>
  <c r="J83" i="9" a="1"/>
  <c r="B84" i="9"/>
  <c r="C84" i="9"/>
  <c r="D84" i="9" a="1"/>
  <c r="E84" i="9"/>
  <c r="F84" i="9"/>
  <c r="G84" i="9" a="1"/>
  <c r="H84" i="9"/>
  <c r="I84" i="9"/>
  <c r="J84" i="9" a="1"/>
  <c r="B85" i="9"/>
  <c r="C85" i="9"/>
  <c r="D85" i="9" a="1"/>
  <c r="E85" i="9"/>
  <c r="F85" i="9"/>
  <c r="G85" i="9" a="1"/>
  <c r="H85" i="9"/>
  <c r="I85" i="9"/>
  <c r="J85" i="9" a="1"/>
  <c r="B86" i="9"/>
  <c r="C86" i="9"/>
  <c r="D86" i="9" a="1"/>
  <c r="E86" i="9"/>
  <c r="F86" i="9"/>
  <c r="G86" i="9" a="1"/>
  <c r="H86" i="9"/>
  <c r="I86" i="9"/>
  <c r="J86" i="9" a="1"/>
  <c r="B87" i="9"/>
  <c r="C87" i="9"/>
  <c r="D87" i="9" a="1"/>
  <c r="E87" i="9"/>
  <c r="F87" i="9"/>
  <c r="G87" i="9" a="1"/>
  <c r="H87" i="9"/>
  <c r="I87" i="9"/>
  <c r="J87" i="9" a="1"/>
  <c r="B88" i="9"/>
  <c r="C88" i="9"/>
  <c r="D88" i="9" a="1"/>
  <c r="E88" i="9"/>
  <c r="F88" i="9"/>
  <c r="G88" i="9" a="1"/>
  <c r="H88" i="9"/>
  <c r="I88" i="9"/>
  <c r="J88" i="9" a="1"/>
  <c r="B89" i="9"/>
  <c r="C89" i="9"/>
  <c r="D89" i="9" a="1"/>
  <c r="E89" i="9"/>
  <c r="F89" i="9"/>
  <c r="G89" i="9" a="1"/>
  <c r="H89" i="9"/>
  <c r="I89" i="9"/>
  <c r="J89" i="9" a="1"/>
  <c r="B90" i="9"/>
  <c r="C90" i="9"/>
  <c r="D90" i="9" a="1"/>
  <c r="E90" i="9"/>
  <c r="F90" i="9"/>
  <c r="G90" i="9" a="1"/>
  <c r="H90" i="9"/>
  <c r="I90" i="9"/>
  <c r="J90" i="9" a="1"/>
  <c r="B91" i="9"/>
  <c r="C91" i="9"/>
  <c r="D91" i="9" a="1"/>
  <c r="E91" i="9"/>
  <c r="F91" i="9"/>
  <c r="G91" i="9" a="1"/>
  <c r="H91" i="9"/>
  <c r="I91" i="9"/>
  <c r="J91" i="9" a="1"/>
  <c r="B92" i="9"/>
  <c r="C92" i="9"/>
  <c r="D92" i="9" a="1"/>
  <c r="E92" i="9"/>
  <c r="F92" i="9"/>
  <c r="G92" i="9" a="1"/>
  <c r="H92" i="9"/>
  <c r="I92" i="9"/>
  <c r="J92" i="9" a="1"/>
  <c r="B93" i="9"/>
  <c r="C93" i="9"/>
  <c r="D93" i="9" a="1"/>
  <c r="E93" i="9"/>
  <c r="F93" i="9"/>
  <c r="G93" i="9" a="1"/>
  <c r="H93" i="9"/>
  <c r="I93" i="9"/>
  <c r="J93" i="9" a="1"/>
  <c r="B94" i="9"/>
  <c r="C94" i="9"/>
  <c r="D94" i="9" a="1"/>
  <c r="E94" i="9"/>
  <c r="F94" i="9"/>
  <c r="G94" i="9" a="1"/>
  <c r="H94" i="9"/>
  <c r="I94" i="9"/>
  <c r="J94" i="9" a="1"/>
  <c r="B95" i="9"/>
  <c r="C95" i="9"/>
  <c r="D95" i="9" a="1"/>
  <c r="E95" i="9"/>
  <c r="F95" i="9"/>
  <c r="G95" i="9" a="1"/>
  <c r="H95" i="9"/>
  <c r="I95" i="9"/>
  <c r="J95" i="9" a="1"/>
  <c r="B96" i="9"/>
  <c r="C96" i="9"/>
  <c r="D96" i="9" a="1"/>
  <c r="E96" i="9"/>
  <c r="F96" i="9"/>
  <c r="G96" i="9" a="1"/>
  <c r="H96" i="9"/>
  <c r="I96" i="9"/>
  <c r="J96" i="9" a="1"/>
  <c r="B97" i="9"/>
  <c r="C97" i="9"/>
  <c r="D97" i="9" a="1"/>
  <c r="E97" i="9"/>
  <c r="F97" i="9"/>
  <c r="G97" i="9" a="1"/>
  <c r="H97" i="9"/>
  <c r="I97" i="9"/>
  <c r="J97" i="9" a="1"/>
  <c r="B98" i="9"/>
  <c r="C98" i="9"/>
  <c r="D98" i="9" a="1"/>
  <c r="E98" i="9"/>
  <c r="F98" i="9"/>
  <c r="G98" i="9" a="1"/>
  <c r="H98" i="9"/>
  <c r="I98" i="9"/>
  <c r="J98" i="9" a="1"/>
  <c r="B99" i="9"/>
  <c r="C99" i="9"/>
  <c r="D99" i="9" a="1"/>
  <c r="E99" i="9"/>
  <c r="F99" i="9"/>
  <c r="G99" i="9" a="1"/>
  <c r="H99" i="9"/>
  <c r="I99" i="9"/>
  <c r="J99" i="9" a="1"/>
  <c r="B100" i="9"/>
  <c r="C100" i="9"/>
  <c r="D100" i="9" a="1"/>
  <c r="E100" i="9"/>
  <c r="F100" i="9"/>
  <c r="G100" i="9" a="1"/>
  <c r="H100" i="9"/>
  <c r="I100" i="9"/>
  <c r="J100" i="9" a="1"/>
  <c r="B101" i="9"/>
  <c r="C101" i="9"/>
  <c r="D101" i="9" a="1"/>
  <c r="E101" i="9"/>
  <c r="F101" i="9"/>
  <c r="G101" i="9" a="1"/>
  <c r="H101" i="9"/>
  <c r="I101" i="9"/>
  <c r="J101" i="9" a="1"/>
  <c r="B102" i="9"/>
  <c r="C102" i="9"/>
  <c r="D102" i="9" a="1"/>
  <c r="E102" i="9"/>
  <c r="F102" i="9"/>
  <c r="G102" i="9" a="1"/>
  <c r="H102" i="9"/>
  <c r="I102" i="9"/>
  <c r="J102" i="9" a="1"/>
  <c r="B103" i="9"/>
  <c r="C103" i="9"/>
  <c r="D103" i="9" a="1"/>
  <c r="E103" i="9"/>
  <c r="F103" i="9"/>
  <c r="G103" i="9" a="1"/>
  <c r="H103" i="9"/>
  <c r="I103" i="9"/>
  <c r="J103" i="9" a="1"/>
  <c r="B104" i="9"/>
  <c r="C104" i="9"/>
  <c r="D104" i="9" a="1"/>
  <c r="E104" i="9"/>
  <c r="F104" i="9"/>
  <c r="G104" i="9" a="1"/>
  <c r="H104" i="9"/>
  <c r="I104" i="9"/>
  <c r="J104" i="9" a="1"/>
  <c r="B105" i="9"/>
  <c r="C105" i="9"/>
  <c r="D105" i="9" a="1"/>
  <c r="E105" i="9"/>
  <c r="F105" i="9"/>
  <c r="G105" i="9" a="1"/>
  <c r="H105" i="9"/>
  <c r="I105" i="9"/>
  <c r="J105" i="9" a="1"/>
  <c r="B106" i="9"/>
  <c r="C106" i="9"/>
  <c r="D106" i="9" a="1"/>
  <c r="E106" i="9"/>
  <c r="F106" i="9"/>
  <c r="G106" i="9" a="1"/>
  <c r="H106" i="9"/>
  <c r="I106" i="9"/>
  <c r="J106" i="9" a="1"/>
  <c r="B107" i="9"/>
  <c r="C107" i="9"/>
  <c r="D107" i="9" a="1"/>
  <c r="E107" i="9"/>
  <c r="F107" i="9"/>
  <c r="G107" i="9" a="1"/>
  <c r="H107" i="9"/>
  <c r="I107" i="9"/>
  <c r="J107" i="9" a="1"/>
  <c r="B108" i="9"/>
  <c r="C108" i="9"/>
  <c r="D108" i="9" a="1"/>
  <c r="E108" i="9"/>
  <c r="F108" i="9"/>
  <c r="G108" i="9" a="1"/>
  <c r="H108" i="9"/>
  <c r="I108" i="9"/>
  <c r="J108" i="9" a="1"/>
  <c r="B109" i="9"/>
  <c r="C109" i="9"/>
  <c r="D109" i="9" a="1"/>
  <c r="E109" i="9"/>
  <c r="F109" i="9"/>
  <c r="G109" i="9" a="1"/>
  <c r="H109" i="9"/>
  <c r="I109" i="9"/>
  <c r="J109" i="9" a="1"/>
  <c r="B110" i="9"/>
  <c r="C110" i="9"/>
  <c r="D110" i="9" a="1"/>
  <c r="E110" i="9"/>
  <c r="F110" i="9"/>
  <c r="G110" i="9" a="1"/>
  <c r="H110" i="9"/>
  <c r="I110" i="9"/>
  <c r="J110" i="9" a="1"/>
  <c r="B111" i="9"/>
  <c r="C111" i="9"/>
  <c r="D111" i="9" a="1"/>
  <c r="E111" i="9"/>
  <c r="F111" i="9"/>
  <c r="G111" i="9" a="1"/>
  <c r="H111" i="9"/>
  <c r="I111" i="9"/>
  <c r="J111" i="9" a="1"/>
  <c r="B112" i="9"/>
  <c r="C112" i="9"/>
  <c r="D112" i="9" a="1"/>
  <c r="E112" i="9"/>
  <c r="F112" i="9"/>
  <c r="G112" i="9" a="1"/>
  <c r="H112" i="9"/>
  <c r="I112" i="9"/>
  <c r="J112" i="9" a="1"/>
  <c r="B113" i="9"/>
  <c r="C113" i="9"/>
  <c r="D113" i="9" a="1"/>
  <c r="E113" i="9"/>
  <c r="F113" i="9"/>
  <c r="G113" i="9" a="1"/>
  <c r="H113" i="9"/>
  <c r="I113" i="9"/>
  <c r="J113" i="9" a="1"/>
  <c r="B114" i="9"/>
  <c r="C114" i="9"/>
  <c r="D114" i="9" a="1"/>
  <c r="E114" i="9"/>
  <c r="F114" i="9"/>
  <c r="G114" i="9" a="1"/>
  <c r="H114" i="9"/>
  <c r="I114" i="9"/>
  <c r="J114" i="9" a="1"/>
  <c r="B115" i="9"/>
  <c r="C115" i="9"/>
  <c r="D115" i="9" a="1"/>
  <c r="E115" i="9"/>
  <c r="F115" i="9"/>
  <c r="G115" i="9" a="1"/>
  <c r="H115" i="9"/>
  <c r="I115" i="9"/>
  <c r="J115" i="9" a="1"/>
  <c r="B116" i="9"/>
  <c r="C116" i="9"/>
  <c r="D116" i="9" a="1"/>
  <c r="E116" i="9"/>
  <c r="F116" i="9"/>
  <c r="G116" i="9" a="1"/>
  <c r="H116" i="9"/>
  <c r="I116" i="9"/>
  <c r="J116" i="9" a="1"/>
  <c r="B117" i="9"/>
  <c r="C117" i="9"/>
  <c r="D117" i="9" a="1"/>
  <c r="E117" i="9"/>
  <c r="F117" i="9"/>
  <c r="G117" i="9" a="1"/>
  <c r="H117" i="9"/>
  <c r="I117" i="9"/>
  <c r="J117" i="9" a="1"/>
  <c r="B118" i="9"/>
  <c r="C118" i="9"/>
  <c r="D118" i="9" a="1"/>
  <c r="E118" i="9"/>
  <c r="F118" i="9"/>
  <c r="G118" i="9" a="1"/>
  <c r="H118" i="9"/>
  <c r="I118" i="9"/>
  <c r="J118" i="9" a="1"/>
  <c r="B119" i="9"/>
  <c r="C119" i="9"/>
  <c r="D119" i="9" a="1"/>
  <c r="E119" i="9"/>
  <c r="F119" i="9"/>
  <c r="G119" i="9" a="1"/>
  <c r="H119" i="9"/>
  <c r="I119" i="9"/>
  <c r="J119" i="9" a="1"/>
  <c r="B120" i="9"/>
  <c r="C120" i="9"/>
  <c r="D120" i="9" a="1"/>
  <c r="E120" i="9"/>
  <c r="F120" i="9"/>
  <c r="G120" i="9" a="1"/>
  <c r="H120" i="9"/>
  <c r="I120" i="9"/>
  <c r="J120" i="9" a="1"/>
  <c r="B121" i="9"/>
  <c r="C121" i="9"/>
  <c r="D121" i="9" a="1"/>
  <c r="E121" i="9"/>
  <c r="F121" i="9"/>
  <c r="G121" i="9" a="1"/>
  <c r="H121" i="9"/>
  <c r="I121" i="9"/>
  <c r="J121" i="9" a="1"/>
  <c r="B122" i="9"/>
  <c r="C122" i="9"/>
  <c r="D122" i="9" a="1"/>
  <c r="E122" i="9"/>
  <c r="F122" i="9"/>
  <c r="G122" i="9" a="1"/>
  <c r="H122" i="9"/>
  <c r="I122" i="9"/>
  <c r="J122" i="9" a="1"/>
  <c r="B123" i="9"/>
  <c r="C123" i="9"/>
  <c r="D123" i="9" a="1"/>
  <c r="E123" i="9"/>
  <c r="F123" i="9"/>
  <c r="G123" i="9" a="1"/>
  <c r="H123" i="9"/>
  <c r="I123" i="9"/>
  <c r="J123" i="9" a="1"/>
  <c r="B124" i="9"/>
  <c r="C124" i="9"/>
  <c r="D124" i="9" a="1"/>
  <c r="E124" i="9"/>
  <c r="F124" i="9"/>
  <c r="G124" i="9" a="1"/>
  <c r="H124" i="9"/>
  <c r="I124" i="9"/>
  <c r="J124" i="9" a="1"/>
  <c r="B125" i="9"/>
  <c r="C125" i="9"/>
  <c r="D125" i="9" a="1"/>
  <c r="E125" i="9"/>
  <c r="F125" i="9"/>
  <c r="G125" i="9" a="1"/>
  <c r="H125" i="9"/>
  <c r="I125" i="9"/>
  <c r="J125" i="9" a="1"/>
  <c r="B126" i="9"/>
  <c r="C126" i="9"/>
  <c r="D126" i="9" a="1"/>
  <c r="E126" i="9"/>
  <c r="F126" i="9"/>
  <c r="G126" i="9" a="1"/>
  <c r="H126" i="9"/>
  <c r="I126" i="9"/>
  <c r="J126" i="9" a="1"/>
  <c r="B127" i="9"/>
  <c r="C127" i="9"/>
  <c r="D127" i="9" a="1"/>
  <c r="E127" i="9"/>
  <c r="F127" i="9"/>
  <c r="G127" i="9" a="1"/>
  <c r="H127" i="9"/>
  <c r="I127" i="9"/>
  <c r="J127" i="9" a="1"/>
  <c r="B128" i="9"/>
  <c r="C128" i="9"/>
  <c r="D128" i="9" a="1"/>
  <c r="E128" i="9"/>
  <c r="F128" i="9"/>
  <c r="G128" i="9" a="1"/>
  <c r="H128" i="9"/>
  <c r="I128" i="9"/>
  <c r="J128" i="9" a="1"/>
  <c r="B129" i="9"/>
  <c r="C129" i="9"/>
  <c r="D129" i="9" a="1"/>
  <c r="E129" i="9"/>
  <c r="F129" i="9"/>
  <c r="G129" i="9" a="1"/>
  <c r="H129" i="9"/>
  <c r="I129" i="9"/>
  <c r="J129" i="9" a="1"/>
  <c r="B130" i="9"/>
  <c r="C130" i="9"/>
  <c r="D130" i="9" a="1"/>
  <c r="E130" i="9"/>
  <c r="F130" i="9"/>
  <c r="G130" i="9" a="1"/>
  <c r="H130" i="9"/>
  <c r="I130" i="9"/>
  <c r="J130" i="9" a="1"/>
  <c r="B131" i="9"/>
  <c r="C131" i="9"/>
  <c r="D131" i="9" a="1"/>
  <c r="E131" i="9"/>
  <c r="F131" i="9"/>
  <c r="G131" i="9" a="1"/>
  <c r="H131" i="9"/>
  <c r="I131" i="9"/>
  <c r="J131" i="9" a="1"/>
  <c r="B132" i="9"/>
  <c r="C132" i="9"/>
  <c r="D132" i="9" a="1"/>
  <c r="E132" i="9"/>
  <c r="F132" i="9"/>
  <c r="G132" i="9" a="1"/>
  <c r="H132" i="9"/>
  <c r="I132" i="9"/>
  <c r="J132" i="9" a="1"/>
  <c r="B133" i="9"/>
  <c r="C133" i="9"/>
  <c r="D133" i="9" a="1"/>
  <c r="E133" i="9"/>
  <c r="F133" i="9"/>
  <c r="G133" i="9" a="1"/>
  <c r="H133" i="9"/>
  <c r="I133" i="9"/>
  <c r="J133" i="9" a="1"/>
  <c r="B134" i="9"/>
  <c r="C134" i="9"/>
  <c r="D134" i="9" a="1"/>
  <c r="E134" i="9"/>
  <c r="F134" i="9"/>
  <c r="G134" i="9" a="1"/>
  <c r="H134" i="9"/>
  <c r="I134" i="9"/>
  <c r="J134" i="9" a="1"/>
  <c r="B135" i="9"/>
  <c r="C135" i="9"/>
  <c r="D135" i="9" a="1"/>
  <c r="E135" i="9"/>
  <c r="F135" i="9"/>
  <c r="G135" i="9" a="1"/>
  <c r="H135" i="9"/>
  <c r="I135" i="9"/>
  <c r="J135" i="9" a="1"/>
  <c r="B136" i="9"/>
  <c r="C136" i="9"/>
  <c r="D136" i="9" a="1"/>
  <c r="E136" i="9"/>
  <c r="F136" i="9"/>
  <c r="G136" i="9" a="1"/>
  <c r="H136" i="9"/>
  <c r="I136" i="9"/>
  <c r="J136" i="9" a="1"/>
  <c r="B137" i="9"/>
  <c r="C137" i="9"/>
  <c r="D137" i="9" a="1"/>
  <c r="E137" i="9"/>
  <c r="F137" i="9"/>
  <c r="G137" i="9" a="1"/>
  <c r="H137" i="9"/>
  <c r="I137" i="9"/>
  <c r="J137" i="9" a="1"/>
  <c r="B138" i="9"/>
  <c r="C138" i="9"/>
  <c r="D138" i="9" a="1"/>
  <c r="E138" i="9"/>
  <c r="F138" i="9"/>
  <c r="G138" i="9" a="1"/>
  <c r="H138" i="9"/>
  <c r="I138" i="9"/>
  <c r="J138" i="9" a="1"/>
  <c r="B139" i="9"/>
  <c r="C139" i="9"/>
  <c r="D139" i="9" a="1"/>
  <c r="E139" i="9"/>
  <c r="F139" i="9"/>
  <c r="G139" i="9" a="1"/>
  <c r="H139" i="9"/>
  <c r="I139" i="9"/>
  <c r="J139" i="9" a="1"/>
  <c r="B140" i="9"/>
  <c r="C140" i="9"/>
  <c r="D140" i="9" a="1"/>
  <c r="E140" i="9"/>
  <c r="F140" i="9"/>
  <c r="G140" i="9" a="1"/>
  <c r="H140" i="9"/>
  <c r="I140" i="9"/>
  <c r="J140" i="9" a="1"/>
  <c r="B141" i="9"/>
  <c r="C141" i="9"/>
  <c r="D141" i="9" a="1"/>
  <c r="E141" i="9"/>
  <c r="F141" i="9"/>
  <c r="G141" i="9" a="1"/>
  <c r="H141" i="9"/>
  <c r="I141" i="9"/>
  <c r="J141" i="9" a="1"/>
  <c r="B142" i="9"/>
  <c r="C142" i="9"/>
  <c r="D142" i="9" a="1"/>
  <c r="E142" i="9"/>
  <c r="F142" i="9"/>
  <c r="G142" i="9" a="1"/>
  <c r="H142" i="9"/>
  <c r="I142" i="9"/>
  <c r="J142" i="9" a="1"/>
  <c r="B143" i="9"/>
  <c r="C143" i="9"/>
  <c r="D143" i="9" a="1"/>
  <c r="E143" i="9"/>
  <c r="F143" i="9"/>
  <c r="G143" i="9" a="1"/>
  <c r="H143" i="9"/>
  <c r="I143" i="9"/>
  <c r="J143" i="9" a="1"/>
  <c r="B144" i="9"/>
  <c r="C144" i="9"/>
  <c r="D144" i="9" a="1"/>
  <c r="E144" i="9"/>
  <c r="F144" i="9"/>
  <c r="G144" i="9" a="1"/>
  <c r="H144" i="9"/>
  <c r="I144" i="9"/>
  <c r="J144" i="9" a="1"/>
  <c r="B145" i="9"/>
  <c r="C145" i="9"/>
  <c r="D145" i="9" a="1"/>
  <c r="E145" i="9"/>
  <c r="F145" i="9"/>
  <c r="G145" i="9" a="1"/>
  <c r="H145" i="9"/>
  <c r="I145" i="9"/>
  <c r="J145" i="9" a="1"/>
  <c r="B146" i="9"/>
  <c r="C146" i="9"/>
  <c r="D146" i="9" a="1"/>
  <c r="E146" i="9"/>
  <c r="F146" i="9"/>
  <c r="G146" i="9" a="1"/>
  <c r="H146" i="9"/>
  <c r="I146" i="9"/>
  <c r="J146" i="9" a="1"/>
  <c r="B147" i="9"/>
  <c r="C147" i="9"/>
  <c r="D147" i="9" a="1"/>
  <c r="E147" i="9"/>
  <c r="F147" i="9"/>
  <c r="G147" i="9" a="1"/>
  <c r="H147" i="9"/>
  <c r="I147" i="9"/>
  <c r="J147" i="9" a="1"/>
  <c r="B148" i="9"/>
  <c r="C148" i="9"/>
  <c r="D148" i="9" a="1"/>
  <c r="E148" i="9"/>
  <c r="F148" i="9"/>
  <c r="G148" i="9" a="1"/>
  <c r="H148" i="9"/>
  <c r="I148" i="9"/>
  <c r="J148" i="9" a="1"/>
  <c r="B149" i="9"/>
  <c r="C149" i="9"/>
  <c r="D149" i="9" a="1"/>
  <c r="E149" i="9"/>
  <c r="F149" i="9"/>
  <c r="G149" i="9" a="1"/>
  <c r="H149" i="9"/>
  <c r="I149" i="9"/>
  <c r="J149" i="9" a="1"/>
  <c r="B150" i="9"/>
  <c r="C150" i="9"/>
  <c r="D150" i="9" a="1"/>
  <c r="E150" i="9"/>
  <c r="F150" i="9"/>
  <c r="G150" i="9" a="1"/>
  <c r="H150" i="9"/>
  <c r="I150" i="9"/>
  <c r="J150" i="9" a="1"/>
  <c r="B151" i="9"/>
  <c r="C151" i="9"/>
  <c r="D151" i="9" a="1"/>
  <c r="E151" i="9"/>
  <c r="F151" i="9"/>
  <c r="G151" i="9" a="1"/>
  <c r="H151" i="9"/>
  <c r="I151" i="9"/>
  <c r="J151" i="9" a="1"/>
  <c r="B152" i="9"/>
  <c r="C152" i="9"/>
  <c r="D152" i="9" a="1"/>
  <c r="E152" i="9"/>
  <c r="F152" i="9"/>
  <c r="G152" i="9" a="1"/>
  <c r="H152" i="9"/>
  <c r="I152" i="9"/>
  <c r="J152" i="9" a="1"/>
  <c r="B153" i="9"/>
  <c r="C153" i="9"/>
  <c r="D153" i="9" a="1"/>
  <c r="E153" i="9"/>
  <c r="F153" i="9"/>
  <c r="G153" i="9" a="1"/>
  <c r="H153" i="9"/>
  <c r="I153" i="9"/>
  <c r="J153" i="9" a="1"/>
  <c r="B154" i="9"/>
  <c r="C154" i="9"/>
  <c r="D154" i="9" a="1"/>
  <c r="E154" i="9"/>
  <c r="F154" i="9"/>
  <c r="G154" i="9" a="1"/>
  <c r="H154" i="9"/>
  <c r="I154" i="9"/>
  <c r="J154" i="9" a="1"/>
  <c r="B155" i="9"/>
  <c r="C155" i="9"/>
  <c r="D155" i="9" a="1"/>
  <c r="E155" i="9"/>
  <c r="F155" i="9"/>
  <c r="G155" i="9" a="1"/>
  <c r="H155" i="9"/>
  <c r="I155" i="9"/>
  <c r="J155" i="9" a="1"/>
  <c r="B156" i="9"/>
  <c r="C156" i="9"/>
  <c r="D156" i="9" a="1"/>
  <c r="E156" i="9"/>
  <c r="F156" i="9"/>
  <c r="G156" i="9" a="1"/>
  <c r="H156" i="9"/>
  <c r="I156" i="9"/>
  <c r="J156" i="9" a="1"/>
  <c r="B157" i="9"/>
  <c r="C157" i="9"/>
  <c r="D157" i="9" a="1"/>
  <c r="E157" i="9"/>
  <c r="F157" i="9"/>
  <c r="G157" i="9" a="1"/>
  <c r="H157" i="9"/>
  <c r="I157" i="9"/>
  <c r="J157" i="9" a="1"/>
  <c r="B158" i="9"/>
  <c r="C158" i="9"/>
  <c r="D158" i="9" a="1"/>
  <c r="E158" i="9"/>
  <c r="F158" i="9"/>
  <c r="G158" i="9" a="1"/>
  <c r="H158" i="9"/>
  <c r="I158" i="9"/>
  <c r="J158" i="9" a="1"/>
  <c r="B159" i="9"/>
  <c r="C159" i="9"/>
  <c r="D159" i="9" a="1"/>
  <c r="E159" i="9"/>
  <c r="F159" i="9"/>
  <c r="G159" i="9" a="1"/>
  <c r="H159" i="9"/>
  <c r="I159" i="9"/>
  <c r="J159" i="9" a="1"/>
  <c r="B160" i="9"/>
  <c r="C160" i="9"/>
  <c r="D160" i="9" a="1"/>
  <c r="E160" i="9"/>
  <c r="F160" i="9"/>
  <c r="G160" i="9" a="1"/>
  <c r="H160" i="9"/>
  <c r="I160" i="9"/>
  <c r="J160" i="9" a="1"/>
  <c r="B161" i="9"/>
  <c r="C161" i="9"/>
  <c r="D161" i="9" a="1"/>
  <c r="E161" i="9"/>
  <c r="F161" i="9"/>
  <c r="G161" i="9" a="1"/>
  <c r="H161" i="9"/>
  <c r="I161" i="9"/>
  <c r="J161" i="9" a="1"/>
  <c r="B162" i="9"/>
  <c r="C162" i="9"/>
  <c r="D162" i="9" a="1"/>
  <c r="E162" i="9"/>
  <c r="F162" i="9"/>
  <c r="G162" i="9" a="1"/>
  <c r="H162" i="9"/>
  <c r="I162" i="9"/>
  <c r="J162" i="9" a="1"/>
  <c r="B163" i="9"/>
  <c r="C163" i="9"/>
  <c r="D163" i="9" a="1"/>
  <c r="E163" i="9"/>
  <c r="F163" i="9"/>
  <c r="G163" i="9" a="1"/>
  <c r="H163" i="9"/>
  <c r="I163" i="9"/>
  <c r="J163" i="9" a="1"/>
  <c r="B164" i="9"/>
  <c r="C164" i="9"/>
  <c r="D164" i="9" a="1"/>
  <c r="E164" i="9"/>
  <c r="F164" i="9"/>
  <c r="G164" i="9" a="1"/>
  <c r="H164" i="9"/>
  <c r="I164" i="9"/>
  <c r="J164" i="9" a="1"/>
  <c r="B165" i="9"/>
  <c r="C165" i="9"/>
  <c r="D165" i="9" a="1"/>
  <c r="E165" i="9"/>
  <c r="F165" i="9"/>
  <c r="G165" i="9" a="1"/>
  <c r="H165" i="9"/>
  <c r="I165" i="9"/>
  <c r="J165" i="9" a="1"/>
  <c r="B166" i="9"/>
  <c r="C166" i="9"/>
  <c r="D166" i="9" a="1"/>
  <c r="E166" i="9"/>
  <c r="F166" i="9"/>
  <c r="G166" i="9" a="1"/>
  <c r="H166" i="9"/>
  <c r="I166" i="9"/>
  <c r="J166" i="9" a="1"/>
  <c r="B167" i="9"/>
  <c r="C167" i="9"/>
  <c r="D167" i="9" a="1"/>
  <c r="E167" i="9"/>
  <c r="F167" i="9"/>
  <c r="G167" i="9" a="1"/>
  <c r="H167" i="9"/>
  <c r="I167" i="9"/>
  <c r="J167" i="9" a="1"/>
  <c r="B168" i="9"/>
  <c r="C168" i="9"/>
  <c r="D168" i="9" a="1"/>
  <c r="E168" i="9"/>
  <c r="F168" i="9"/>
  <c r="G168" i="9" a="1"/>
  <c r="H168" i="9"/>
  <c r="I168" i="9"/>
  <c r="J168" i="9" a="1"/>
  <c r="B169" i="9"/>
  <c r="C169" i="9"/>
  <c r="D169" i="9" a="1"/>
  <c r="E169" i="9"/>
  <c r="F169" i="9"/>
  <c r="G169" i="9" a="1"/>
  <c r="H169" i="9"/>
  <c r="I169" i="9"/>
  <c r="J169" i="9" a="1"/>
  <c r="B170" i="9"/>
  <c r="C170" i="9"/>
  <c r="D170" i="9" a="1"/>
  <c r="E170" i="9"/>
  <c r="F170" i="9"/>
  <c r="G170" i="9" a="1"/>
  <c r="H170" i="9"/>
  <c r="I170" i="9"/>
  <c r="J170" i="9" a="1"/>
  <c r="B171" i="9"/>
  <c r="C171" i="9"/>
  <c r="D171" i="9" a="1"/>
  <c r="E171" i="9"/>
  <c r="F171" i="9"/>
  <c r="G171" i="9" a="1"/>
  <c r="H171" i="9"/>
  <c r="I171" i="9"/>
  <c r="J171" i="9" a="1"/>
  <c r="B172" i="9"/>
  <c r="C172" i="9"/>
  <c r="D172" i="9" a="1"/>
  <c r="E172" i="9"/>
  <c r="F172" i="9"/>
  <c r="G172" i="9" a="1"/>
  <c r="H172" i="9"/>
  <c r="I172" i="9"/>
  <c r="J172" i="9" a="1"/>
  <c r="B173" i="9"/>
  <c r="C173" i="9"/>
  <c r="D173" i="9" a="1"/>
  <c r="E173" i="9"/>
  <c r="F173" i="9"/>
  <c r="G173" i="9" a="1"/>
  <c r="H173" i="9"/>
  <c r="I173" i="9"/>
  <c r="J173" i="9" a="1"/>
  <c r="B174" i="9"/>
  <c r="C174" i="9"/>
  <c r="D174" i="9" a="1"/>
  <c r="E174" i="9"/>
  <c r="F174" i="9"/>
  <c r="G174" i="9" a="1"/>
  <c r="H174" i="9"/>
  <c r="I174" i="9"/>
  <c r="J174" i="9" a="1"/>
  <c r="B175" i="9"/>
  <c r="C175" i="9"/>
  <c r="D175" i="9" a="1"/>
  <c r="E175" i="9"/>
  <c r="F175" i="9"/>
  <c r="G175" i="9" a="1"/>
  <c r="H175" i="9"/>
  <c r="I175" i="9"/>
  <c r="J175" i="9" a="1"/>
  <c r="B176" i="9"/>
  <c r="C176" i="9"/>
  <c r="D176" i="9" a="1"/>
  <c r="E176" i="9"/>
  <c r="F176" i="9"/>
  <c r="G176" i="9" a="1"/>
  <c r="H176" i="9"/>
  <c r="I176" i="9"/>
  <c r="J176" i="9" a="1"/>
  <c r="B177" i="9"/>
  <c r="C177" i="9"/>
  <c r="D177" i="9" a="1"/>
  <c r="E177" i="9"/>
  <c r="F177" i="9"/>
  <c r="G177" i="9" a="1"/>
  <c r="H177" i="9"/>
  <c r="I177" i="9"/>
  <c r="J177" i="9" a="1"/>
  <c r="B178" i="9"/>
  <c r="C178" i="9"/>
  <c r="D178" i="9" a="1"/>
  <c r="E178" i="9"/>
  <c r="F178" i="9"/>
  <c r="G178" i="9" a="1"/>
  <c r="H178" i="9"/>
  <c r="I178" i="9"/>
  <c r="J178" i="9" a="1"/>
  <c r="B179" i="9"/>
  <c r="C179" i="9"/>
  <c r="D179" i="9" a="1"/>
  <c r="E179" i="9"/>
  <c r="F179" i="9"/>
  <c r="G179" i="9" a="1"/>
  <c r="H179" i="9"/>
  <c r="I179" i="9"/>
  <c r="J179" i="9" a="1"/>
  <c r="B180" i="9"/>
  <c r="C180" i="9"/>
  <c r="D180" i="9" a="1"/>
  <c r="E180" i="9"/>
  <c r="F180" i="9"/>
  <c r="G180" i="9" a="1"/>
  <c r="H180" i="9"/>
  <c r="I180" i="9"/>
  <c r="J180" i="9" a="1"/>
  <c r="B181" i="9"/>
  <c r="C181" i="9"/>
  <c r="D181" i="9" a="1"/>
  <c r="E181" i="9"/>
  <c r="F181" i="9"/>
  <c r="G181" i="9" a="1"/>
  <c r="H181" i="9"/>
  <c r="I181" i="9"/>
  <c r="J181" i="9" a="1"/>
  <c r="B182" i="9"/>
  <c r="C182" i="9"/>
  <c r="D182" i="9" a="1"/>
  <c r="E182" i="9"/>
  <c r="F182" i="9"/>
  <c r="G182" i="9" a="1"/>
  <c r="H182" i="9"/>
  <c r="I182" i="9"/>
  <c r="J182" i="9" a="1"/>
  <c r="B183" i="9"/>
  <c r="C183" i="9"/>
  <c r="D183" i="9" a="1"/>
  <c r="E183" i="9"/>
  <c r="F183" i="9"/>
  <c r="G183" i="9" a="1"/>
  <c r="H183" i="9"/>
  <c r="I183" i="9"/>
  <c r="J183" i="9" a="1"/>
  <c r="B184" i="9"/>
  <c r="C184" i="9"/>
  <c r="D184" i="9" a="1"/>
  <c r="E184" i="9"/>
  <c r="F184" i="9"/>
  <c r="G184" i="9" a="1"/>
  <c r="H184" i="9"/>
  <c r="I184" i="9"/>
  <c r="J184" i="9" a="1"/>
  <c r="B185" i="9"/>
  <c r="C185" i="9"/>
  <c r="D185" i="9" a="1"/>
  <c r="E185" i="9"/>
  <c r="F185" i="9"/>
  <c r="G185" i="9" a="1"/>
  <c r="H185" i="9"/>
  <c r="I185" i="9"/>
  <c r="J185" i="9" a="1"/>
  <c r="B186" i="9"/>
  <c r="C186" i="9"/>
  <c r="D186" i="9" a="1"/>
  <c r="E186" i="9"/>
  <c r="F186" i="9"/>
  <c r="G186" i="9" a="1"/>
  <c r="H186" i="9"/>
  <c r="I186" i="9"/>
  <c r="J186" i="9" a="1"/>
  <c r="B187" i="9"/>
  <c r="C187" i="9"/>
  <c r="D187" i="9" a="1"/>
  <c r="E187" i="9"/>
  <c r="F187" i="9"/>
  <c r="G187" i="9" a="1"/>
  <c r="H187" i="9"/>
  <c r="I187" i="9"/>
  <c r="J187" i="9" a="1"/>
  <c r="B188" i="9"/>
  <c r="C188" i="9"/>
  <c r="D188" i="9" a="1"/>
  <c r="E188" i="9"/>
  <c r="F188" i="9"/>
  <c r="G188" i="9" a="1"/>
  <c r="H188" i="9"/>
  <c r="I188" i="9"/>
  <c r="J188" i="9" a="1"/>
  <c r="B189" i="9"/>
  <c r="C189" i="9"/>
  <c r="D189" i="9" a="1"/>
  <c r="E189" i="9"/>
  <c r="F189" i="9"/>
  <c r="G189" i="9" a="1"/>
  <c r="H189" i="9"/>
  <c r="I189" i="9"/>
  <c r="J189" i="9" a="1"/>
  <c r="B190" i="9"/>
  <c r="C190" i="9"/>
  <c r="D190" i="9" a="1"/>
  <c r="E190" i="9"/>
  <c r="F190" i="9"/>
  <c r="G190" i="9" a="1"/>
  <c r="H190" i="9"/>
  <c r="I190" i="9"/>
  <c r="J190" i="9" a="1"/>
  <c r="B191" i="9"/>
  <c r="C191" i="9"/>
  <c r="D191" i="9" a="1"/>
  <c r="E191" i="9"/>
  <c r="F191" i="9"/>
  <c r="G191" i="9" a="1"/>
  <c r="H191" i="9"/>
  <c r="I191" i="9"/>
  <c r="J191" i="9" a="1"/>
  <c r="B192" i="9"/>
  <c r="C192" i="9"/>
  <c r="D192" i="9" a="1"/>
  <c r="E192" i="9"/>
  <c r="F192" i="9"/>
  <c r="G192" i="9" a="1"/>
  <c r="H192" i="9"/>
  <c r="I192" i="9"/>
  <c r="J192" i="9" a="1"/>
  <c r="B193" i="9"/>
  <c r="C193" i="9"/>
  <c r="D193" i="9" a="1"/>
  <c r="E193" i="9"/>
  <c r="F193" i="9"/>
  <c r="G193" i="9" a="1"/>
  <c r="H193" i="9"/>
  <c r="I193" i="9"/>
  <c r="J193" i="9" a="1"/>
  <c r="B194" i="9"/>
  <c r="C194" i="9"/>
  <c r="D194" i="9" a="1"/>
  <c r="E194" i="9"/>
  <c r="F194" i="9"/>
  <c r="G194" i="9" a="1"/>
  <c r="H194" i="9"/>
  <c r="I194" i="9"/>
  <c r="J194" i="9" a="1"/>
  <c r="B195" i="9"/>
  <c r="C195" i="9"/>
  <c r="D195" i="9" a="1"/>
  <c r="E195" i="9"/>
  <c r="F195" i="9"/>
  <c r="G195" i="9" a="1"/>
  <c r="H195" i="9"/>
  <c r="I195" i="9"/>
  <c r="J195" i="9" a="1"/>
  <c r="B196" i="9"/>
  <c r="C196" i="9"/>
  <c r="D196" i="9" a="1"/>
  <c r="E196" i="9"/>
  <c r="F196" i="9"/>
  <c r="G196" i="9" a="1"/>
  <c r="H196" i="9"/>
  <c r="I196" i="9"/>
  <c r="J196" i="9" a="1"/>
  <c r="B197" i="9"/>
  <c r="C197" i="9"/>
  <c r="D197" i="9" a="1"/>
  <c r="E197" i="9"/>
  <c r="F197" i="9"/>
  <c r="G197" i="9" a="1"/>
  <c r="H197" i="9"/>
  <c r="I197" i="9"/>
  <c r="J197" i="9" a="1"/>
  <c r="B198" i="9"/>
  <c r="C198" i="9"/>
  <c r="D198" i="9" a="1"/>
  <c r="E198" i="9"/>
  <c r="F198" i="9"/>
  <c r="G198" i="9" a="1"/>
  <c r="H198" i="9"/>
  <c r="I198" i="9"/>
  <c r="J198" i="9" a="1"/>
  <c r="B199" i="9"/>
  <c r="C199" i="9"/>
  <c r="D199" i="9" a="1"/>
  <c r="E199" i="9"/>
  <c r="F199" i="9"/>
  <c r="G199" i="9" a="1"/>
  <c r="H199" i="9"/>
  <c r="I199" i="9"/>
  <c r="J199" i="9" a="1"/>
  <c r="B200" i="9"/>
  <c r="C200" i="9"/>
  <c r="D200" i="9" a="1"/>
  <c r="E200" i="9"/>
  <c r="F200" i="9"/>
  <c r="G200" i="9" a="1"/>
  <c r="H200" i="9"/>
  <c r="I200" i="9"/>
  <c r="J200" i="9" a="1"/>
  <c r="B201" i="9"/>
  <c r="C201" i="9"/>
  <c r="D201" i="9" a="1"/>
  <c r="E201" i="9"/>
  <c r="F201" i="9"/>
  <c r="G201" i="9" a="1"/>
  <c r="H201" i="9"/>
  <c r="I201" i="9"/>
  <c r="J201" i="9" a="1"/>
  <c r="B202" i="9"/>
  <c r="C202" i="9"/>
  <c r="D202" i="9" a="1"/>
  <c r="E202" i="9"/>
  <c r="F202" i="9"/>
  <c r="G202" i="9" a="1"/>
  <c r="H202" i="9"/>
  <c r="I202" i="9"/>
  <c r="J202" i="9" a="1"/>
  <c r="B203" i="9"/>
  <c r="C203" i="9"/>
  <c r="D203" i="9" a="1"/>
  <c r="E203" i="9"/>
  <c r="F203" i="9"/>
  <c r="G203" i="9" a="1"/>
  <c r="H203" i="9"/>
  <c r="I203" i="9"/>
  <c r="J203" i="9" a="1"/>
  <c r="B204" i="9"/>
  <c r="C204" i="9"/>
  <c r="D204" i="9" a="1"/>
  <c r="E204" i="9"/>
  <c r="F204" i="9"/>
  <c r="G204" i="9" a="1"/>
  <c r="H204" i="9"/>
  <c r="I204" i="9"/>
  <c r="J204" i="9" a="1"/>
  <c r="B205" i="9"/>
  <c r="C205" i="9"/>
  <c r="D205" i="9" a="1"/>
  <c r="E205" i="9"/>
  <c r="F205" i="9"/>
  <c r="G205" i="9" a="1"/>
  <c r="H205" i="9"/>
  <c r="I205" i="9"/>
  <c r="J205" i="9" a="1"/>
  <c r="B206" i="9"/>
  <c r="C206" i="9"/>
  <c r="D206" i="9" a="1"/>
  <c r="E206" i="9"/>
  <c r="F206" i="9"/>
  <c r="G206" i="9" a="1"/>
  <c r="H206" i="9"/>
  <c r="I206" i="9"/>
  <c r="J206" i="9" a="1"/>
  <c r="B207" i="9"/>
  <c r="C207" i="9"/>
  <c r="D207" i="9" a="1"/>
  <c r="E207" i="9"/>
  <c r="F207" i="9"/>
  <c r="G207" i="9" a="1"/>
  <c r="H207" i="9"/>
  <c r="I207" i="9"/>
  <c r="J207" i="9" a="1"/>
  <c r="B208" i="9"/>
  <c r="C208" i="9"/>
  <c r="D208" i="9" a="1"/>
  <c r="E208" i="9"/>
  <c r="F208" i="9"/>
  <c r="G208" i="9" a="1"/>
  <c r="H208" i="9"/>
  <c r="I208" i="9"/>
  <c r="J208" i="9" a="1"/>
  <c r="B209" i="9"/>
  <c r="C209" i="9"/>
  <c r="D209" i="9" a="1"/>
  <c r="E209" i="9"/>
  <c r="F209" i="9"/>
  <c r="G209" i="9" a="1"/>
  <c r="H209" i="9"/>
  <c r="I209" i="9"/>
  <c r="J209" i="9" a="1"/>
  <c r="B210" i="9"/>
  <c r="C210" i="9"/>
  <c r="D210" i="9" a="1"/>
  <c r="E210" i="9"/>
  <c r="F210" i="9"/>
  <c r="G210" i="9" a="1"/>
  <c r="H210" i="9"/>
  <c r="I210" i="9"/>
  <c r="J210" i="9" a="1"/>
  <c r="B211" i="9"/>
  <c r="C211" i="9"/>
  <c r="D211" i="9" a="1"/>
  <c r="E211" i="9"/>
  <c r="F211" i="9"/>
  <c r="G211" i="9" a="1"/>
  <c r="H211" i="9"/>
  <c r="I211" i="9"/>
  <c r="J211" i="9" a="1"/>
  <c r="B212" i="9"/>
  <c r="C212" i="9"/>
  <c r="D212" i="9" a="1"/>
  <c r="E212" i="9"/>
  <c r="F212" i="9"/>
  <c r="G212" i="9" a="1"/>
  <c r="H212" i="9"/>
  <c r="I212" i="9"/>
  <c r="J212" i="9" a="1"/>
  <c r="B213" i="9"/>
  <c r="C213" i="9"/>
  <c r="D213" i="9" a="1"/>
  <c r="E213" i="9"/>
  <c r="F213" i="9"/>
  <c r="G213" i="9" a="1"/>
  <c r="H213" i="9"/>
  <c r="I213" i="9"/>
  <c r="J213" i="9" a="1"/>
  <c r="B214" i="9"/>
  <c r="C214" i="9"/>
  <c r="D214" i="9" a="1"/>
  <c r="E214" i="9"/>
  <c r="F214" i="9"/>
  <c r="G214" i="9" a="1"/>
  <c r="H214" i="9"/>
  <c r="I214" i="9"/>
  <c r="J214" i="9" a="1"/>
  <c r="B215" i="9"/>
  <c r="C215" i="9"/>
  <c r="D215" i="9" a="1"/>
  <c r="E215" i="9"/>
  <c r="F215" i="9"/>
  <c r="G215" i="9" a="1"/>
  <c r="H215" i="9"/>
  <c r="I215" i="9"/>
  <c r="J215" i="9" a="1"/>
  <c r="B216" i="9"/>
  <c r="C216" i="9"/>
  <c r="D216" i="9" a="1"/>
  <c r="E216" i="9"/>
  <c r="F216" i="9"/>
  <c r="G216" i="9" a="1"/>
  <c r="H216" i="9"/>
  <c r="I216" i="9"/>
  <c r="J216" i="9" a="1"/>
  <c r="B217" i="9"/>
  <c r="C217" i="9"/>
  <c r="D217" i="9" a="1"/>
  <c r="E217" i="9"/>
  <c r="F217" i="9"/>
  <c r="G217" i="9" a="1"/>
  <c r="H217" i="9"/>
  <c r="I217" i="9"/>
  <c r="J217" i="9" a="1"/>
  <c r="B218" i="9"/>
  <c r="C218" i="9"/>
  <c r="D218" i="9" a="1"/>
  <c r="E218" i="9"/>
  <c r="F218" i="9"/>
  <c r="G218" i="9" a="1"/>
  <c r="H218" i="9"/>
  <c r="I218" i="9"/>
  <c r="J218" i="9" a="1"/>
  <c r="B219" i="9"/>
  <c r="C219" i="9"/>
  <c r="D219" i="9" a="1"/>
  <c r="E219" i="9"/>
  <c r="F219" i="9"/>
  <c r="G219" i="9" a="1"/>
  <c r="H219" i="9"/>
  <c r="I219" i="9"/>
  <c r="J219" i="9" a="1"/>
  <c r="B220" i="9"/>
  <c r="C220" i="9"/>
  <c r="D220" i="9" a="1"/>
  <c r="E220" i="9"/>
  <c r="F220" i="9"/>
  <c r="G220" i="9" a="1"/>
  <c r="H220" i="9"/>
  <c r="I220" i="9"/>
  <c r="J220" i="9" a="1"/>
  <c r="B221" i="9"/>
  <c r="C221" i="9"/>
  <c r="D221" i="9" a="1"/>
  <c r="E221" i="9"/>
  <c r="F221" i="9"/>
  <c r="G221" i="9" a="1"/>
  <c r="H221" i="9"/>
  <c r="I221" i="9"/>
  <c r="J221" i="9" a="1"/>
  <c r="B222" i="9"/>
  <c r="C222" i="9"/>
  <c r="D222" i="9" a="1"/>
  <c r="E222" i="9"/>
  <c r="F222" i="9"/>
  <c r="G222" i="9" a="1"/>
  <c r="H222" i="9"/>
  <c r="I222" i="9"/>
  <c r="J222" i="9" a="1"/>
  <c r="B223" i="9"/>
  <c r="C223" i="9"/>
  <c r="D223" i="9" a="1"/>
  <c r="E223" i="9"/>
  <c r="F223" i="9"/>
  <c r="G223" i="9" a="1"/>
  <c r="H223" i="9"/>
  <c r="I223" i="9"/>
  <c r="J223" i="9" a="1"/>
  <c r="B224" i="9"/>
  <c r="C224" i="9"/>
  <c r="D224" i="9" a="1"/>
  <c r="E224" i="9"/>
  <c r="F224" i="9"/>
  <c r="G224" i="9" a="1"/>
  <c r="H224" i="9"/>
  <c r="I224" i="9"/>
  <c r="J224" i="9" a="1"/>
  <c r="B225" i="9"/>
  <c r="C225" i="9"/>
  <c r="D225" i="9" a="1"/>
  <c r="E225" i="9"/>
  <c r="F225" i="9"/>
  <c r="G225" i="9" a="1"/>
  <c r="H225" i="9"/>
  <c r="I225" i="9"/>
  <c r="J225" i="9" a="1"/>
  <c r="B226" i="9"/>
  <c r="C226" i="9"/>
  <c r="D226" i="9" a="1"/>
  <c r="E226" i="9"/>
  <c r="F226" i="9"/>
  <c r="G226" i="9" a="1"/>
  <c r="H226" i="9"/>
  <c r="I226" i="9"/>
  <c r="J226" i="9" a="1"/>
  <c r="B227" i="9"/>
  <c r="C227" i="9"/>
  <c r="D227" i="9" a="1"/>
  <c r="E227" i="9"/>
  <c r="F227" i="9"/>
  <c r="G227" i="9" a="1"/>
  <c r="H227" i="9"/>
  <c r="I227" i="9"/>
  <c r="J227" i="9" a="1"/>
  <c r="B228" i="9"/>
  <c r="C228" i="9"/>
  <c r="D228" i="9" a="1"/>
  <c r="E228" i="9"/>
  <c r="F228" i="9"/>
  <c r="G228" i="9" a="1"/>
  <c r="H228" i="9"/>
  <c r="I228" i="9"/>
  <c r="J228" i="9" a="1"/>
  <c r="B229" i="9"/>
  <c r="C229" i="9"/>
  <c r="D229" i="9" a="1"/>
  <c r="E229" i="9"/>
  <c r="F229" i="9"/>
  <c r="G229" i="9" a="1"/>
  <c r="H229" i="9"/>
  <c r="I229" i="9"/>
  <c r="J229" i="9" a="1"/>
  <c r="B230" i="9"/>
  <c r="C230" i="9"/>
  <c r="D230" i="9" a="1"/>
  <c r="E230" i="9"/>
  <c r="F230" i="9"/>
  <c r="G230" i="9" a="1"/>
  <c r="H230" i="9"/>
  <c r="I230" i="9"/>
  <c r="J230" i="9" a="1"/>
  <c r="B231" i="9"/>
  <c r="C231" i="9"/>
  <c r="D231" i="9" a="1"/>
  <c r="E231" i="9"/>
  <c r="F231" i="9"/>
  <c r="G231" i="9" a="1"/>
  <c r="H231" i="9"/>
  <c r="I231" i="9"/>
  <c r="J231" i="9" a="1"/>
  <c r="B232" i="9"/>
  <c r="C232" i="9"/>
  <c r="D232" i="9" a="1"/>
  <c r="E232" i="9"/>
  <c r="F232" i="9"/>
  <c r="G232" i="9" a="1"/>
  <c r="H232" i="9"/>
  <c r="I232" i="9"/>
  <c r="J232" i="9" a="1"/>
  <c r="B233" i="9"/>
  <c r="C233" i="9"/>
  <c r="D233" i="9" a="1"/>
  <c r="E233" i="9"/>
  <c r="F233" i="9"/>
  <c r="G233" i="9" a="1"/>
  <c r="H233" i="9"/>
  <c r="I233" i="9"/>
  <c r="J233" i="9" a="1"/>
  <c r="B234" i="9"/>
  <c r="C234" i="9"/>
  <c r="D234" i="9" a="1"/>
  <c r="E234" i="9"/>
  <c r="F234" i="9"/>
  <c r="G234" i="9" a="1"/>
  <c r="H234" i="9"/>
  <c r="I234" i="9"/>
  <c r="J234" i="9" a="1"/>
  <c r="B235" i="9"/>
  <c r="C235" i="9"/>
  <c r="D235" i="9" a="1"/>
  <c r="E235" i="9"/>
  <c r="F235" i="9"/>
  <c r="G235" i="9" a="1"/>
  <c r="H235" i="9"/>
  <c r="I235" i="9"/>
  <c r="J235" i="9" a="1"/>
  <c r="B236" i="9"/>
  <c r="C236" i="9"/>
  <c r="D236" i="9" a="1"/>
  <c r="E236" i="9"/>
  <c r="F236" i="9"/>
  <c r="G236" i="9" a="1"/>
  <c r="H236" i="9"/>
  <c r="I236" i="9"/>
  <c r="J236" i="9" a="1"/>
  <c r="B237" i="9"/>
  <c r="C237" i="9"/>
  <c r="D237" i="9" a="1"/>
  <c r="E237" i="9"/>
  <c r="F237" i="9"/>
  <c r="G237" i="9" a="1"/>
  <c r="H237" i="9"/>
  <c r="I237" i="9"/>
  <c r="J237" i="9" a="1"/>
  <c r="B238" i="9"/>
  <c r="C238" i="9"/>
  <c r="D238" i="9" a="1"/>
  <c r="E238" i="9"/>
  <c r="F238" i="9"/>
  <c r="G238" i="9" a="1"/>
  <c r="H238" i="9"/>
  <c r="I238" i="9"/>
  <c r="J238" i="9" a="1"/>
  <c r="B239" i="9"/>
  <c r="C239" i="9"/>
  <c r="D239" i="9" a="1"/>
  <c r="E239" i="9"/>
  <c r="F239" i="9"/>
  <c r="G239" i="9" a="1"/>
  <c r="H239" i="9"/>
  <c r="I239" i="9"/>
  <c r="J239" i="9" a="1"/>
  <c r="B240" i="9"/>
  <c r="C240" i="9"/>
  <c r="D240" i="9" a="1"/>
  <c r="E240" i="9"/>
  <c r="F240" i="9"/>
  <c r="G240" i="9" a="1"/>
  <c r="H240" i="9"/>
  <c r="I240" i="9"/>
  <c r="J240" i="9" a="1"/>
  <c r="B241" i="9"/>
  <c r="C241" i="9"/>
  <c r="D241" i="9" a="1"/>
  <c r="E241" i="9"/>
  <c r="F241" i="9"/>
  <c r="G241" i="9" a="1"/>
  <c r="H241" i="9"/>
  <c r="I241" i="9"/>
  <c r="J241" i="9" a="1"/>
  <c r="B242" i="9"/>
  <c r="C242" i="9"/>
  <c r="D242" i="9" a="1"/>
  <c r="E242" i="9"/>
  <c r="F242" i="9"/>
  <c r="G242" i="9" a="1"/>
  <c r="H242" i="9"/>
  <c r="I242" i="9"/>
  <c r="J242" i="9" a="1"/>
  <c r="B243" i="9"/>
  <c r="C243" i="9"/>
  <c r="D243" i="9" a="1"/>
  <c r="E243" i="9"/>
  <c r="F243" i="9"/>
  <c r="G243" i="9" a="1"/>
  <c r="H243" i="9"/>
  <c r="I243" i="9"/>
  <c r="J243" i="9" a="1"/>
  <c r="B244" i="9"/>
  <c r="C244" i="9"/>
  <c r="D244" i="9" a="1"/>
  <c r="E244" i="9"/>
  <c r="F244" i="9"/>
  <c r="G244" i="9" a="1"/>
  <c r="H244" i="9"/>
  <c r="I244" i="9"/>
  <c r="J244" i="9" a="1"/>
  <c r="B245" i="9"/>
  <c r="C245" i="9"/>
  <c r="D245" i="9" a="1"/>
  <c r="E245" i="9"/>
  <c r="F245" i="9"/>
  <c r="G245" i="9" a="1"/>
  <c r="H245" i="9"/>
  <c r="I245" i="9"/>
  <c r="J245" i="9" a="1"/>
  <c r="B246" i="9"/>
  <c r="C246" i="9"/>
  <c r="D246" i="9" a="1"/>
  <c r="E246" i="9"/>
  <c r="F246" i="9"/>
  <c r="G246" i="9" a="1"/>
  <c r="H246" i="9"/>
  <c r="I246" i="9"/>
  <c r="J246" i="9" a="1"/>
  <c r="B247" i="9"/>
  <c r="C247" i="9"/>
  <c r="D247" i="9" a="1"/>
  <c r="E247" i="9"/>
  <c r="F247" i="9"/>
  <c r="G247" i="9" a="1"/>
  <c r="H247" i="9"/>
  <c r="I247" i="9"/>
  <c r="J247" i="9" a="1"/>
  <c r="B248" i="9"/>
  <c r="C248" i="9"/>
  <c r="D248" i="9" a="1"/>
  <c r="E248" i="9"/>
  <c r="F248" i="9"/>
  <c r="G248" i="9" a="1"/>
  <c r="H248" i="9"/>
  <c r="I248" i="9"/>
  <c r="J248" i="9" a="1"/>
  <c r="B249" i="9"/>
  <c r="C249" i="9"/>
  <c r="D249" i="9" a="1"/>
  <c r="E249" i="9"/>
  <c r="F249" i="9"/>
  <c r="G249" i="9" a="1"/>
  <c r="H249" i="9"/>
  <c r="I249" i="9"/>
  <c r="J249" i="9" a="1"/>
  <c r="B250" i="9"/>
  <c r="C250" i="9"/>
  <c r="D250" i="9" a="1"/>
  <c r="E250" i="9"/>
  <c r="F250" i="9"/>
  <c r="G250" i="9" a="1"/>
  <c r="H250" i="9"/>
  <c r="I250" i="9"/>
  <c r="J250" i="9" a="1"/>
  <c r="B251" i="9"/>
  <c r="C251" i="9"/>
  <c r="D251" i="9" a="1"/>
  <c r="E251" i="9"/>
  <c r="F251" i="9"/>
  <c r="G251" i="9" a="1"/>
  <c r="H251" i="9"/>
  <c r="I251" i="9"/>
  <c r="J251" i="9" a="1"/>
  <c r="B252" i="9"/>
  <c r="C252" i="9"/>
  <c r="D252" i="9" a="1"/>
  <c r="E252" i="9"/>
  <c r="F252" i="9"/>
  <c r="G252" i="9" a="1"/>
  <c r="H252" i="9"/>
  <c r="I252" i="9"/>
  <c r="J252" i="9" a="1"/>
  <c r="B253" i="9"/>
  <c r="C253" i="9"/>
  <c r="D253" i="9" a="1"/>
  <c r="E253" i="9"/>
  <c r="F253" i="9"/>
  <c r="G253" i="9" a="1"/>
  <c r="H253" i="9"/>
  <c r="I253" i="9"/>
  <c r="J253" i="9" a="1"/>
  <c r="B254" i="9"/>
  <c r="C254" i="9"/>
  <c r="D254" i="9" a="1"/>
  <c r="E254" i="9"/>
  <c r="F254" i="9"/>
  <c r="G254" i="9" a="1"/>
  <c r="H254" i="9"/>
  <c r="I254" i="9"/>
  <c r="J254" i="9" a="1"/>
  <c r="B255" i="9"/>
  <c r="C255" i="9"/>
  <c r="D255" i="9" a="1"/>
  <c r="E255" i="9"/>
  <c r="F255" i="9"/>
  <c r="G255" i="9" a="1"/>
  <c r="H255" i="9"/>
  <c r="I255" i="9"/>
  <c r="J255" i="9" a="1"/>
  <c r="B256" i="9"/>
  <c r="C256" i="9"/>
  <c r="D256" i="9" a="1"/>
  <c r="E256" i="9"/>
  <c r="F256" i="9"/>
  <c r="G256" i="9" a="1"/>
  <c r="H256" i="9"/>
  <c r="I256" i="9"/>
  <c r="J256" i="9" a="1"/>
  <c r="B257" i="9"/>
  <c r="C257" i="9"/>
  <c r="D257" i="9" a="1"/>
  <c r="E257" i="9"/>
  <c r="F257" i="9"/>
  <c r="G257" i="9" a="1"/>
  <c r="H257" i="9"/>
  <c r="I257" i="9"/>
  <c r="J257" i="9" a="1"/>
  <c r="B258" i="9"/>
  <c r="C258" i="9"/>
  <c r="D258" i="9" a="1"/>
  <c r="E258" i="9"/>
  <c r="F258" i="9"/>
  <c r="G258" i="9" a="1"/>
  <c r="H258" i="9"/>
  <c r="I258" i="9"/>
  <c r="J258" i="9" a="1"/>
  <c r="B259" i="9"/>
  <c r="C259" i="9"/>
  <c r="D259" i="9" a="1"/>
  <c r="E259" i="9"/>
  <c r="F259" i="9"/>
  <c r="G259" i="9" a="1"/>
  <c r="H259" i="9"/>
  <c r="I259" i="9"/>
  <c r="J259" i="9" a="1"/>
  <c r="B260" i="9"/>
  <c r="C260" i="9"/>
  <c r="D260" i="9" a="1"/>
  <c r="E260" i="9"/>
  <c r="F260" i="9"/>
  <c r="G260" i="9" a="1"/>
  <c r="H260" i="9"/>
  <c r="I260" i="9"/>
  <c r="J260" i="9" a="1"/>
  <c r="B261" i="9"/>
  <c r="C261" i="9"/>
  <c r="D261" i="9" a="1"/>
  <c r="E261" i="9"/>
  <c r="F261" i="9"/>
  <c r="G261" i="9" a="1"/>
  <c r="H261" i="9"/>
  <c r="I261" i="9"/>
  <c r="J261" i="9" a="1"/>
  <c r="B262" i="9"/>
  <c r="C262" i="9"/>
  <c r="D262" i="9" a="1"/>
  <c r="E262" i="9"/>
  <c r="F262" i="9"/>
  <c r="G262" i="9" a="1"/>
  <c r="H262" i="9"/>
  <c r="I262" i="9"/>
  <c r="J262" i="9" a="1"/>
  <c r="B263" i="9"/>
  <c r="C263" i="9"/>
  <c r="D263" i="9" a="1"/>
  <c r="E263" i="9"/>
  <c r="F263" i="9"/>
  <c r="G263" i="9" a="1"/>
  <c r="H263" i="9"/>
  <c r="I263" i="9"/>
  <c r="J263" i="9" a="1"/>
  <c r="B264" i="9"/>
  <c r="C264" i="9"/>
  <c r="D264" i="9" a="1"/>
  <c r="E264" i="9"/>
  <c r="F264" i="9"/>
  <c r="G264" i="9" a="1"/>
  <c r="H264" i="9"/>
  <c r="I264" i="9"/>
  <c r="J264" i="9" a="1"/>
  <c r="B265" i="9"/>
  <c r="C265" i="9"/>
  <c r="D265" i="9" a="1"/>
  <c r="E265" i="9"/>
  <c r="F265" i="9"/>
  <c r="G265" i="9" a="1"/>
  <c r="H265" i="9"/>
  <c r="I265" i="9"/>
  <c r="J265" i="9" a="1"/>
  <c r="B266" i="9"/>
  <c r="C266" i="9"/>
  <c r="D266" i="9" a="1"/>
  <c r="E266" i="9"/>
  <c r="F266" i="9"/>
  <c r="G266" i="9" a="1"/>
  <c r="H266" i="9"/>
  <c r="I266" i="9"/>
  <c r="J266" i="9" a="1"/>
  <c r="B267" i="9"/>
  <c r="C267" i="9"/>
  <c r="D267" i="9" a="1"/>
  <c r="E267" i="9"/>
  <c r="F267" i="9"/>
  <c r="G267" i="9" a="1"/>
  <c r="H267" i="9"/>
  <c r="I267" i="9"/>
  <c r="J267" i="9" a="1"/>
  <c r="B268" i="9"/>
  <c r="C268" i="9"/>
  <c r="D268" i="9" a="1"/>
  <c r="E268" i="9"/>
  <c r="F268" i="9"/>
  <c r="G268" i="9" a="1"/>
  <c r="H268" i="9"/>
  <c r="I268" i="9"/>
  <c r="J268" i="9" a="1"/>
  <c r="B269" i="9"/>
  <c r="C269" i="9"/>
  <c r="D269" i="9" a="1"/>
  <c r="E269" i="9"/>
  <c r="F269" i="9"/>
  <c r="G269" i="9" a="1"/>
  <c r="H269" i="9"/>
  <c r="I269" i="9"/>
  <c r="J269" i="9" a="1"/>
  <c r="B270" i="9"/>
  <c r="C270" i="9"/>
  <c r="D270" i="9" a="1"/>
  <c r="E270" i="9"/>
  <c r="F270" i="9"/>
  <c r="G270" i="9" a="1"/>
  <c r="H270" i="9"/>
  <c r="I270" i="9"/>
  <c r="J270" i="9" a="1"/>
  <c r="B271" i="9"/>
  <c r="C271" i="9"/>
  <c r="D271" i="9" a="1"/>
  <c r="E271" i="9"/>
  <c r="F271" i="9"/>
  <c r="G271" i="9" a="1"/>
  <c r="H271" i="9"/>
  <c r="I271" i="9"/>
  <c r="J271" i="9" a="1"/>
  <c r="B272" i="9"/>
  <c r="C272" i="9"/>
  <c r="D272" i="9" a="1"/>
  <c r="E272" i="9"/>
  <c r="F272" i="9"/>
  <c r="G272" i="9" a="1"/>
  <c r="H272" i="9"/>
  <c r="I272" i="9"/>
  <c r="J272" i="9" a="1"/>
  <c r="B273" i="9"/>
  <c r="C273" i="9"/>
  <c r="D273" i="9" a="1"/>
  <c r="E273" i="9"/>
  <c r="F273" i="9"/>
  <c r="G273" i="9" a="1"/>
  <c r="H273" i="9"/>
  <c r="I273" i="9"/>
  <c r="J273" i="9" a="1"/>
  <c r="B274" i="9"/>
  <c r="C274" i="9"/>
  <c r="D274" i="9" a="1"/>
  <c r="E274" i="9"/>
  <c r="F274" i="9"/>
  <c r="G274" i="9" a="1"/>
  <c r="H274" i="9"/>
  <c r="I274" i="9"/>
  <c r="J274" i="9" a="1"/>
  <c r="B275" i="9"/>
  <c r="C275" i="9"/>
  <c r="D275" i="9" a="1"/>
  <c r="E275" i="9"/>
  <c r="F275" i="9"/>
  <c r="G275" i="9" a="1"/>
  <c r="H275" i="9"/>
  <c r="I275" i="9"/>
  <c r="J275" i="9" a="1"/>
  <c r="B276" i="9"/>
  <c r="C276" i="9"/>
  <c r="D276" i="9" a="1"/>
  <c r="E276" i="9"/>
  <c r="F276" i="9"/>
  <c r="G276" i="9" a="1"/>
  <c r="H276" i="9"/>
  <c r="I276" i="9"/>
  <c r="J276" i="9" a="1"/>
  <c r="B277" i="9"/>
  <c r="C277" i="9"/>
  <c r="D277" i="9" a="1"/>
  <c r="E277" i="9"/>
  <c r="F277" i="9"/>
  <c r="G277" i="9" a="1"/>
  <c r="H277" i="9"/>
  <c r="I277" i="9"/>
  <c r="J277" i="9" a="1"/>
  <c r="B278" i="9"/>
  <c r="C278" i="9"/>
  <c r="D278" i="9" a="1"/>
  <c r="E278" i="9"/>
  <c r="F278" i="9"/>
  <c r="G278" i="9" a="1"/>
  <c r="H278" i="9"/>
  <c r="I278" i="9"/>
  <c r="J278" i="9" a="1"/>
  <c r="B279" i="9"/>
  <c r="C279" i="9"/>
  <c r="D279" i="9" a="1"/>
  <c r="E279" i="9"/>
  <c r="F279" i="9"/>
  <c r="G279" i="9" a="1"/>
  <c r="H279" i="9"/>
  <c r="I279" i="9"/>
  <c r="J279" i="9" a="1"/>
  <c r="B280" i="9"/>
  <c r="C280" i="9"/>
  <c r="D280" i="9" a="1"/>
  <c r="E280" i="9"/>
  <c r="F280" i="9"/>
  <c r="G280" i="9" a="1"/>
  <c r="H280" i="9"/>
  <c r="I280" i="9"/>
  <c r="J280" i="9" a="1"/>
  <c r="B281" i="9"/>
  <c r="C281" i="9"/>
  <c r="D281" i="9" a="1"/>
  <c r="E281" i="9"/>
  <c r="F281" i="9"/>
  <c r="G281" i="9" a="1"/>
  <c r="H281" i="9"/>
  <c r="I281" i="9"/>
  <c r="J281" i="9" a="1"/>
  <c r="B282" i="9"/>
  <c r="C282" i="9"/>
  <c r="D282" i="9" a="1"/>
  <c r="E282" i="9"/>
  <c r="F282" i="9"/>
  <c r="G282" i="9" a="1"/>
  <c r="H282" i="9"/>
  <c r="I282" i="9"/>
  <c r="J282" i="9" a="1"/>
  <c r="B283" i="9"/>
  <c r="C283" i="9"/>
  <c r="D283" i="9" a="1"/>
  <c r="E283" i="9"/>
  <c r="F283" i="9"/>
  <c r="G283" i="9" a="1"/>
  <c r="H283" i="9"/>
  <c r="I283" i="9"/>
  <c r="J283" i="9" a="1"/>
  <c r="B284" i="9"/>
  <c r="C284" i="9"/>
  <c r="D284" i="9" a="1"/>
  <c r="E284" i="9"/>
  <c r="F284" i="9"/>
  <c r="G284" i="9" a="1"/>
  <c r="H284" i="9"/>
  <c r="I284" i="9"/>
  <c r="J284" i="9" a="1"/>
  <c r="B285" i="9"/>
  <c r="C285" i="9"/>
  <c r="D285" i="9" a="1"/>
  <c r="E285" i="9"/>
  <c r="F285" i="9"/>
  <c r="G285" i="9" a="1"/>
  <c r="H285" i="9"/>
  <c r="I285" i="9"/>
  <c r="J285" i="9" a="1"/>
  <c r="B286" i="9"/>
  <c r="C286" i="9"/>
  <c r="D286" i="9" a="1"/>
  <c r="E286" i="9"/>
  <c r="F286" i="9"/>
  <c r="G286" i="9" a="1"/>
  <c r="H286" i="9"/>
  <c r="I286" i="9"/>
  <c r="J286" i="9" a="1"/>
  <c r="B287" i="9"/>
  <c r="C287" i="9"/>
  <c r="D287" i="9" a="1"/>
  <c r="E287" i="9"/>
  <c r="F287" i="9"/>
  <c r="G287" i="9" a="1"/>
  <c r="H287" i="9"/>
  <c r="I287" i="9"/>
  <c r="J287" i="9" a="1"/>
  <c r="B288" i="9"/>
  <c r="C288" i="9"/>
  <c r="D288" i="9" a="1"/>
  <c r="E288" i="9"/>
  <c r="F288" i="9"/>
  <c r="G288" i="9" a="1"/>
  <c r="H288" i="9"/>
  <c r="I288" i="9"/>
  <c r="J288" i="9" a="1"/>
  <c r="B289" i="9"/>
  <c r="C289" i="9"/>
  <c r="D289" i="9" a="1"/>
  <c r="E289" i="9"/>
  <c r="F289" i="9"/>
  <c r="G289" i="9" a="1"/>
  <c r="H289" i="9"/>
  <c r="I289" i="9"/>
  <c r="J289" i="9" a="1"/>
  <c r="B290" i="9"/>
  <c r="C290" i="9"/>
  <c r="D290" i="9" a="1"/>
  <c r="E290" i="9"/>
  <c r="F290" i="9"/>
  <c r="G290" i="9" a="1"/>
  <c r="H290" i="9"/>
  <c r="I290" i="9"/>
  <c r="J290" i="9" a="1"/>
  <c r="B291" i="9"/>
  <c r="C291" i="9"/>
  <c r="D291" i="9" a="1"/>
  <c r="E291" i="9"/>
  <c r="F291" i="9"/>
  <c r="G291" i="9" a="1"/>
  <c r="H291" i="9"/>
  <c r="I291" i="9"/>
  <c r="J291" i="9" a="1"/>
  <c r="B292" i="9"/>
  <c r="C292" i="9"/>
  <c r="D292" i="9" a="1"/>
  <c r="E292" i="9"/>
  <c r="F292" i="9"/>
  <c r="G292" i="9" a="1"/>
  <c r="H292" i="9"/>
  <c r="I292" i="9"/>
  <c r="J292" i="9" a="1"/>
  <c r="B293" i="9"/>
  <c r="C293" i="9"/>
  <c r="D293" i="9" a="1"/>
  <c r="E293" i="9"/>
  <c r="F293" i="9"/>
  <c r="G293" i="9" a="1"/>
  <c r="H293" i="9"/>
  <c r="I293" i="9"/>
  <c r="J293" i="9" a="1"/>
  <c r="B294" i="9"/>
  <c r="C294" i="9"/>
  <c r="D294" i="9" a="1"/>
  <c r="E294" i="9"/>
  <c r="F294" i="9"/>
  <c r="G294" i="9" a="1"/>
  <c r="H294" i="9"/>
  <c r="I294" i="9"/>
  <c r="J294" i="9" a="1"/>
  <c r="B295" i="9"/>
  <c r="C295" i="9"/>
  <c r="D295" i="9" a="1"/>
  <c r="E295" i="9"/>
  <c r="F295" i="9"/>
  <c r="G295" i="9" a="1"/>
  <c r="H295" i="9"/>
  <c r="I295" i="9"/>
  <c r="J295" i="9" a="1"/>
  <c r="B296" i="9"/>
  <c r="C296" i="9"/>
  <c r="D296" i="9" a="1"/>
  <c r="E296" i="9"/>
  <c r="F296" i="9"/>
  <c r="G296" i="9" a="1"/>
  <c r="H296" i="9"/>
  <c r="I296" i="9"/>
  <c r="J296" i="9" a="1"/>
  <c r="B297" i="9"/>
  <c r="C297" i="9"/>
  <c r="D297" i="9" a="1"/>
  <c r="E297" i="9"/>
  <c r="F297" i="9"/>
  <c r="G297" i="9" a="1"/>
  <c r="H297" i="9"/>
  <c r="I297" i="9"/>
  <c r="J297" i="9" a="1"/>
  <c r="B298" i="9"/>
  <c r="C298" i="9"/>
  <c r="D298" i="9" a="1"/>
  <c r="E298" i="9"/>
  <c r="F298" i="9"/>
  <c r="G298" i="9" a="1"/>
  <c r="H298" i="9"/>
  <c r="I298" i="9"/>
  <c r="J298" i="9" a="1"/>
  <c r="B299" i="9"/>
  <c r="C299" i="9"/>
  <c r="D299" i="9" a="1"/>
  <c r="E299" i="9"/>
  <c r="F299" i="9"/>
  <c r="G299" i="9" a="1"/>
  <c r="H299" i="9"/>
  <c r="I299" i="9"/>
  <c r="J299" i="9" a="1"/>
  <c r="B300" i="9"/>
  <c r="C300" i="9"/>
  <c r="D300" i="9" a="1"/>
  <c r="E300" i="9"/>
  <c r="F300" i="9"/>
  <c r="G300" i="9" a="1"/>
  <c r="H300" i="9"/>
  <c r="I300" i="9"/>
  <c r="J300" i="9" a="1"/>
  <c r="B301" i="9"/>
  <c r="C301" i="9"/>
  <c r="D301" i="9" a="1"/>
  <c r="E301" i="9"/>
  <c r="F301" i="9"/>
  <c r="G301" i="9" a="1"/>
  <c r="H301" i="9"/>
  <c r="I301" i="9"/>
  <c r="J301" i="9" a="1"/>
  <c r="B302" i="9"/>
  <c r="C302" i="9"/>
  <c r="D302" i="9" a="1"/>
  <c r="E302" i="9"/>
  <c r="F302" i="9"/>
  <c r="G302" i="9" a="1"/>
  <c r="H302" i="9"/>
  <c r="I302" i="9"/>
  <c r="J302" i="9" a="1"/>
  <c r="B303" i="9"/>
  <c r="C303" i="9"/>
  <c r="D303" i="9" a="1"/>
  <c r="E303" i="9"/>
  <c r="F303" i="9"/>
  <c r="G303" i="9" a="1"/>
  <c r="H303" i="9"/>
  <c r="I303" i="9"/>
  <c r="J303" i="9" a="1"/>
  <c r="B304" i="9"/>
  <c r="C304" i="9"/>
  <c r="D304" i="9" a="1"/>
  <c r="E304" i="9"/>
  <c r="F304" i="9"/>
  <c r="G304" i="9" a="1"/>
  <c r="H304" i="9"/>
  <c r="I304" i="9"/>
  <c r="J304" i="9" a="1"/>
  <c r="B305" i="9"/>
  <c r="C305" i="9"/>
  <c r="D305" i="9" a="1"/>
  <c r="E305" i="9"/>
  <c r="F305" i="9"/>
  <c r="G305" i="9" a="1"/>
  <c r="H305" i="9"/>
  <c r="I305" i="9"/>
  <c r="J305" i="9" a="1"/>
  <c r="B306" i="9"/>
  <c r="C306" i="9"/>
  <c r="D306" i="9" a="1"/>
  <c r="E306" i="9"/>
  <c r="F306" i="9"/>
  <c r="G306" i="9" a="1"/>
  <c r="H306" i="9"/>
  <c r="I306" i="9"/>
  <c r="J306" i="9" a="1"/>
  <c r="B307" i="9"/>
  <c r="C307" i="9"/>
  <c r="D307" i="9" a="1"/>
  <c r="E307" i="9"/>
  <c r="F307" i="9"/>
  <c r="G307" i="9" a="1"/>
  <c r="H307" i="9"/>
  <c r="I307" i="9"/>
  <c r="J307" i="9" a="1"/>
  <c r="B308" i="9"/>
  <c r="C308" i="9"/>
  <c r="D308" i="9" a="1"/>
  <c r="E308" i="9"/>
  <c r="F308" i="9"/>
  <c r="G308" i="9" a="1"/>
  <c r="H308" i="9"/>
  <c r="I308" i="9"/>
  <c r="J308" i="9" a="1"/>
  <c r="B309" i="9"/>
  <c r="C309" i="9"/>
  <c r="D309" i="9" a="1"/>
  <c r="E309" i="9"/>
  <c r="F309" i="9"/>
  <c r="G309" i="9" a="1"/>
  <c r="H309" i="9"/>
  <c r="I309" i="9"/>
  <c r="J309" i="9" a="1"/>
  <c r="B310" i="9"/>
  <c r="C310" i="9"/>
  <c r="D310" i="9" a="1"/>
  <c r="E310" i="9"/>
  <c r="F310" i="9"/>
  <c r="G310" i="9" a="1"/>
  <c r="H310" i="9"/>
  <c r="I310" i="9"/>
  <c r="J310" i="9" a="1"/>
  <c r="B311" i="9"/>
  <c r="C311" i="9"/>
  <c r="D311" i="9" a="1"/>
  <c r="E311" i="9"/>
  <c r="F311" i="9"/>
  <c r="G311" i="9" a="1"/>
  <c r="H311" i="9"/>
  <c r="I311" i="9"/>
  <c r="J311" i="9" a="1"/>
  <c r="B312" i="9"/>
  <c r="C312" i="9"/>
  <c r="D312" i="9" a="1"/>
  <c r="E312" i="9"/>
  <c r="F312" i="9"/>
  <c r="G312" i="9" a="1"/>
  <c r="H312" i="9"/>
  <c r="I312" i="9"/>
  <c r="J312" i="9" a="1"/>
  <c r="B313" i="9"/>
  <c r="C313" i="9"/>
  <c r="D313" i="9" a="1"/>
  <c r="E313" i="9"/>
  <c r="F313" i="9"/>
  <c r="G313" i="9" a="1"/>
  <c r="H313" i="9"/>
  <c r="I313" i="9"/>
  <c r="J313" i="9" a="1"/>
  <c r="B314" i="9"/>
  <c r="C314" i="9"/>
  <c r="D314" i="9" a="1"/>
  <c r="E314" i="9"/>
  <c r="F314" i="9"/>
  <c r="G314" i="9" a="1"/>
  <c r="H314" i="9"/>
  <c r="I314" i="9"/>
  <c r="J314" i="9" a="1"/>
  <c r="B315" i="9"/>
  <c r="C315" i="9"/>
  <c r="D315" i="9" a="1"/>
  <c r="E315" i="9"/>
  <c r="F315" i="9"/>
  <c r="G315" i="9" a="1"/>
  <c r="H315" i="9"/>
  <c r="I315" i="9"/>
  <c r="J315" i="9" a="1"/>
  <c r="B316" i="9"/>
  <c r="C316" i="9"/>
  <c r="D316" i="9" a="1"/>
  <c r="E316" i="9"/>
  <c r="F316" i="9"/>
  <c r="G316" i="9" a="1"/>
  <c r="H316" i="9"/>
  <c r="I316" i="9"/>
  <c r="J316" i="9" a="1"/>
  <c r="B317" i="9"/>
  <c r="C317" i="9"/>
  <c r="D317" i="9" a="1"/>
  <c r="E317" i="9"/>
  <c r="F317" i="9"/>
  <c r="G317" i="9" a="1"/>
  <c r="H317" i="9"/>
  <c r="I317" i="9"/>
  <c r="J317" i="9" a="1"/>
  <c r="B318" i="9"/>
  <c r="C318" i="9"/>
  <c r="D318" i="9" a="1"/>
  <c r="E318" i="9"/>
  <c r="F318" i="9"/>
  <c r="G318" i="9" a="1"/>
  <c r="H318" i="9"/>
  <c r="I318" i="9"/>
  <c r="J318" i="9" a="1"/>
  <c r="B319" i="9"/>
  <c r="C319" i="9"/>
  <c r="D319" i="9" a="1"/>
  <c r="E319" i="9"/>
  <c r="F319" i="9"/>
  <c r="G319" i="9" a="1"/>
  <c r="H319" i="9"/>
  <c r="I319" i="9"/>
  <c r="J319" i="9" a="1"/>
  <c r="B320" i="9"/>
  <c r="C320" i="9"/>
  <c r="D320" i="9" a="1"/>
  <c r="E320" i="9"/>
  <c r="F320" i="9"/>
  <c r="G320" i="9" a="1"/>
  <c r="H320" i="9"/>
  <c r="I320" i="9"/>
  <c r="J320" i="9" a="1"/>
  <c r="B321" i="9"/>
  <c r="C321" i="9"/>
  <c r="D321" i="9" a="1"/>
  <c r="E321" i="9"/>
  <c r="F321" i="9"/>
  <c r="G321" i="9" a="1"/>
  <c r="H321" i="9"/>
  <c r="I321" i="9"/>
  <c r="J321" i="9" a="1"/>
  <c r="B322" i="9"/>
  <c r="C322" i="9"/>
  <c r="D322" i="9" a="1"/>
  <c r="E322" i="9"/>
  <c r="F322" i="9"/>
  <c r="G322" i="9" a="1"/>
  <c r="H322" i="9"/>
  <c r="I322" i="9"/>
  <c r="J322" i="9" a="1"/>
  <c r="B323" i="9"/>
  <c r="C323" i="9"/>
  <c r="D323" i="9" a="1"/>
  <c r="E323" i="9"/>
  <c r="F323" i="9"/>
  <c r="G323" i="9" a="1"/>
  <c r="H323" i="9"/>
  <c r="I323" i="9"/>
  <c r="J323" i="9" a="1"/>
  <c r="B324" i="9"/>
  <c r="C324" i="9"/>
  <c r="D324" i="9" a="1"/>
  <c r="E324" i="9"/>
  <c r="F324" i="9"/>
  <c r="G324" i="9" a="1"/>
  <c r="H324" i="9"/>
  <c r="I324" i="9"/>
  <c r="J324" i="9" a="1"/>
  <c r="B325" i="9"/>
  <c r="C325" i="9"/>
  <c r="D325" i="9" a="1"/>
  <c r="E325" i="9"/>
  <c r="F325" i="9"/>
  <c r="G325" i="9" a="1"/>
  <c r="H325" i="9"/>
  <c r="I325" i="9"/>
  <c r="J325" i="9" a="1"/>
  <c r="B326" i="9"/>
  <c r="C326" i="9"/>
  <c r="D326" i="9" a="1"/>
  <c r="E326" i="9"/>
  <c r="F326" i="9"/>
  <c r="G326" i="9" a="1"/>
  <c r="H326" i="9"/>
  <c r="I326" i="9"/>
  <c r="J326" i="9" a="1"/>
  <c r="B327" i="9"/>
  <c r="C327" i="9"/>
  <c r="D327" i="9" a="1"/>
  <c r="E327" i="9"/>
  <c r="F327" i="9"/>
  <c r="G327" i="9" a="1"/>
  <c r="H327" i="9"/>
  <c r="I327" i="9"/>
  <c r="J327" i="9" a="1"/>
  <c r="B328" i="9"/>
  <c r="C328" i="9"/>
  <c r="D328" i="9" a="1"/>
  <c r="E328" i="9"/>
  <c r="F328" i="9"/>
  <c r="G328" i="9" a="1"/>
  <c r="H328" i="9"/>
  <c r="I328" i="9"/>
  <c r="J328" i="9" a="1"/>
  <c r="B329" i="9"/>
  <c r="C329" i="9"/>
  <c r="D329" i="9" a="1"/>
  <c r="E329" i="9"/>
  <c r="F329" i="9"/>
  <c r="G329" i="9" a="1"/>
  <c r="H329" i="9"/>
  <c r="I329" i="9"/>
  <c r="J329" i="9" a="1"/>
  <c r="B330" i="9"/>
  <c r="C330" i="9"/>
  <c r="D330" i="9" a="1"/>
  <c r="E330" i="9"/>
  <c r="F330" i="9"/>
  <c r="G330" i="9" a="1"/>
  <c r="H330" i="9"/>
  <c r="I330" i="9"/>
  <c r="J330" i="9" a="1"/>
  <c r="B331" i="9"/>
  <c r="C331" i="9"/>
  <c r="D331" i="9" a="1"/>
  <c r="E331" i="9"/>
  <c r="F331" i="9"/>
  <c r="G331" i="9" a="1"/>
  <c r="H331" i="9"/>
  <c r="I331" i="9"/>
  <c r="J331" i="9" a="1"/>
  <c r="B332" i="9"/>
  <c r="C332" i="9"/>
  <c r="D332" i="9" a="1"/>
  <c r="E332" i="9"/>
  <c r="F332" i="9"/>
  <c r="G332" i="9" a="1"/>
  <c r="H332" i="9"/>
  <c r="I332" i="9"/>
  <c r="J332" i="9" a="1"/>
  <c r="B333" i="9"/>
  <c r="C333" i="9"/>
  <c r="D333" i="9" a="1"/>
  <c r="E333" i="9"/>
  <c r="F333" i="9"/>
  <c r="G333" i="9" a="1"/>
  <c r="H333" i="9"/>
  <c r="I333" i="9"/>
  <c r="J333" i="9" a="1"/>
  <c r="B334" i="9"/>
  <c r="C334" i="9"/>
  <c r="D334" i="9" a="1"/>
  <c r="E334" i="9"/>
  <c r="F334" i="9"/>
  <c r="G334" i="9" a="1"/>
  <c r="H334" i="9"/>
  <c r="I334" i="9"/>
  <c r="J334" i="9" a="1"/>
  <c r="B335" i="9"/>
  <c r="C335" i="9"/>
  <c r="D335" i="9" a="1"/>
  <c r="E335" i="9"/>
  <c r="F335" i="9"/>
  <c r="G335" i="9" a="1"/>
  <c r="H335" i="9"/>
  <c r="I335" i="9"/>
  <c r="J335" i="9" a="1"/>
  <c r="B336" i="9"/>
  <c r="C336" i="9"/>
  <c r="D336" i="9" a="1"/>
  <c r="E336" i="9"/>
  <c r="F336" i="9"/>
  <c r="G336" i="9" a="1"/>
  <c r="H336" i="9"/>
  <c r="I336" i="9"/>
  <c r="J336" i="9" a="1"/>
  <c r="B337" i="9"/>
  <c r="C337" i="9"/>
  <c r="D337" i="9" a="1"/>
  <c r="E337" i="9"/>
  <c r="F337" i="9"/>
  <c r="G337" i="9" a="1"/>
  <c r="H337" i="9"/>
  <c r="I337" i="9"/>
  <c r="J337" i="9" a="1"/>
  <c r="B338" i="9"/>
  <c r="C338" i="9"/>
  <c r="D338" i="9" a="1"/>
  <c r="E338" i="9"/>
  <c r="F338" i="9"/>
  <c r="G338" i="9" a="1"/>
  <c r="H338" i="9"/>
  <c r="I338" i="9"/>
  <c r="J338" i="9" a="1"/>
  <c r="B339" i="9"/>
  <c r="C339" i="9"/>
  <c r="D339" i="9" a="1"/>
  <c r="E339" i="9"/>
  <c r="F339" i="9"/>
  <c r="G339" i="9" a="1"/>
  <c r="H339" i="9"/>
  <c r="I339" i="9"/>
  <c r="J339" i="9" a="1"/>
  <c r="B340" i="9"/>
  <c r="C340" i="9"/>
  <c r="D340" i="9" a="1"/>
  <c r="E340" i="9"/>
  <c r="F340" i="9"/>
  <c r="G340" i="9" a="1"/>
  <c r="H340" i="9"/>
  <c r="I340" i="9"/>
  <c r="J340" i="9" a="1"/>
  <c r="B341" i="9"/>
  <c r="C341" i="9"/>
  <c r="D341" i="9" a="1"/>
  <c r="E341" i="9"/>
  <c r="F341" i="9"/>
  <c r="G341" i="9" a="1"/>
  <c r="H341" i="9"/>
  <c r="I341" i="9"/>
  <c r="J341" i="9" a="1"/>
  <c r="B342" i="9"/>
  <c r="C342" i="9"/>
  <c r="D342" i="9" a="1"/>
  <c r="E342" i="9"/>
  <c r="F342" i="9"/>
  <c r="G342" i="9" a="1"/>
  <c r="H342" i="9"/>
  <c r="I342" i="9"/>
  <c r="J342" i="9" a="1"/>
  <c r="B343" i="9"/>
  <c r="C343" i="9"/>
  <c r="D343" i="9" a="1"/>
  <c r="E343" i="9"/>
  <c r="F343" i="9"/>
  <c r="G343" i="9" a="1"/>
  <c r="H343" i="9"/>
  <c r="I343" i="9"/>
  <c r="J343" i="9" a="1"/>
  <c r="B344" i="9"/>
  <c r="C344" i="9"/>
  <c r="D344" i="9" a="1"/>
  <c r="E344" i="9"/>
  <c r="F344" i="9"/>
  <c r="G344" i="9" a="1"/>
  <c r="H344" i="9"/>
  <c r="I344" i="9"/>
  <c r="J344" i="9" a="1"/>
  <c r="B345" i="9"/>
  <c r="C345" i="9"/>
  <c r="D345" i="9" a="1"/>
  <c r="E345" i="9"/>
  <c r="F345" i="9"/>
  <c r="G345" i="9" a="1"/>
  <c r="H345" i="9"/>
  <c r="I345" i="9"/>
  <c r="J345" i="9" a="1"/>
  <c r="B346" i="9"/>
  <c r="C346" i="9"/>
  <c r="D346" i="9" a="1"/>
  <c r="E346" i="9"/>
  <c r="F346" i="9"/>
  <c r="G346" i="9" a="1"/>
  <c r="H346" i="9"/>
  <c r="I346" i="9"/>
  <c r="J346" i="9" a="1"/>
  <c r="B347" i="9"/>
  <c r="C347" i="9"/>
  <c r="D347" i="9" a="1"/>
  <c r="E347" i="9"/>
  <c r="F347" i="9"/>
  <c r="G347" i="9" a="1"/>
  <c r="H347" i="9"/>
  <c r="I347" i="9"/>
  <c r="J347" i="9" a="1"/>
  <c r="B348" i="9"/>
  <c r="C348" i="9"/>
  <c r="D348" i="9" a="1"/>
  <c r="E348" i="9"/>
  <c r="F348" i="9"/>
  <c r="G348" i="9" a="1"/>
  <c r="H348" i="9"/>
  <c r="I348" i="9"/>
  <c r="J348" i="9" a="1"/>
  <c r="B349" i="9"/>
  <c r="C349" i="9"/>
  <c r="D349" i="9" a="1"/>
  <c r="E349" i="9"/>
  <c r="F349" i="9"/>
  <c r="G349" i="9" a="1"/>
  <c r="H349" i="9"/>
  <c r="I349" i="9"/>
  <c r="J349" i="9" a="1"/>
  <c r="B350" i="9"/>
  <c r="C350" i="9"/>
  <c r="D350" i="9" a="1"/>
  <c r="E350" i="9"/>
  <c r="F350" i="9"/>
  <c r="G350" i="9" a="1"/>
  <c r="H350" i="9"/>
  <c r="I350" i="9"/>
  <c r="J350" i="9" a="1"/>
  <c r="B351" i="9"/>
  <c r="C351" i="9"/>
  <c r="D351" i="9" a="1"/>
  <c r="E351" i="9"/>
  <c r="F351" i="9"/>
  <c r="G351" i="9" a="1"/>
  <c r="H351" i="9"/>
  <c r="I351" i="9"/>
  <c r="J351" i="9" a="1"/>
  <c r="B352" i="9"/>
  <c r="C352" i="9"/>
  <c r="D352" i="9" a="1"/>
  <c r="E352" i="9"/>
  <c r="F352" i="9"/>
  <c r="G352" i="9" a="1"/>
  <c r="H352" i="9"/>
  <c r="I352" i="9"/>
  <c r="J352" i="9" a="1"/>
  <c r="B353" i="9"/>
  <c r="C353" i="9"/>
  <c r="D353" i="9" a="1"/>
  <c r="E353" i="9"/>
  <c r="F353" i="9"/>
  <c r="G353" i="9" a="1"/>
  <c r="H353" i="9"/>
  <c r="I353" i="9"/>
  <c r="J353" i="9" a="1"/>
  <c r="B354" i="9"/>
  <c r="C354" i="9"/>
  <c r="D354" i="9" a="1"/>
  <c r="E354" i="9"/>
  <c r="F354" i="9"/>
  <c r="G354" i="9" a="1"/>
  <c r="H354" i="9"/>
  <c r="I354" i="9"/>
  <c r="J354" i="9" a="1"/>
  <c r="B355" i="9"/>
  <c r="C355" i="9"/>
  <c r="D355" i="9" a="1"/>
  <c r="E355" i="9"/>
  <c r="F355" i="9"/>
  <c r="G355" i="9" a="1"/>
  <c r="H355" i="9"/>
  <c r="I355" i="9"/>
  <c r="J355" i="9" a="1"/>
  <c r="B356" i="9"/>
  <c r="C356" i="9"/>
  <c r="D356" i="9" a="1"/>
  <c r="E356" i="9"/>
  <c r="F356" i="9"/>
  <c r="G356" i="9" a="1"/>
  <c r="H356" i="9"/>
  <c r="I356" i="9"/>
  <c r="J356" i="9" a="1"/>
  <c r="B357" i="9"/>
  <c r="C357" i="9"/>
  <c r="D357" i="9" a="1"/>
  <c r="E357" i="9"/>
  <c r="F357" i="9"/>
  <c r="G357" i="9" a="1"/>
  <c r="H357" i="9"/>
  <c r="I357" i="9"/>
  <c r="J357" i="9" a="1"/>
  <c r="B358" i="9"/>
  <c r="C358" i="9"/>
  <c r="D358" i="9" a="1"/>
  <c r="E358" i="9"/>
  <c r="F358" i="9"/>
  <c r="G358" i="9" a="1"/>
  <c r="H358" i="9"/>
  <c r="I358" i="9"/>
  <c r="J358" i="9" a="1"/>
  <c r="B359" i="9"/>
  <c r="C359" i="9"/>
  <c r="D359" i="9" a="1"/>
  <c r="E359" i="9"/>
  <c r="F359" i="9"/>
  <c r="G359" i="9" a="1"/>
  <c r="H359" i="9"/>
  <c r="I359" i="9"/>
  <c r="J359" i="9" a="1"/>
  <c r="B360" i="9"/>
  <c r="C360" i="9"/>
  <c r="D360" i="9" a="1"/>
  <c r="E360" i="9"/>
  <c r="F360" i="9"/>
  <c r="G360" i="9" a="1"/>
  <c r="H360" i="9"/>
  <c r="I360" i="9"/>
  <c r="J360" i="9" a="1"/>
  <c r="B361" i="9"/>
  <c r="C361" i="9"/>
  <c r="D361" i="9" a="1"/>
  <c r="E361" i="9"/>
  <c r="F361" i="9"/>
  <c r="G361" i="9" a="1"/>
  <c r="H361" i="9"/>
  <c r="I361" i="9"/>
  <c r="J361" i="9" a="1"/>
  <c r="B362" i="9"/>
  <c r="C362" i="9"/>
  <c r="D362" i="9" a="1"/>
  <c r="E362" i="9"/>
  <c r="F362" i="9"/>
  <c r="G362" i="9" a="1"/>
  <c r="H362" i="9"/>
  <c r="I362" i="9"/>
  <c r="J362" i="9" a="1"/>
  <c r="B363" i="9"/>
  <c r="C363" i="9"/>
  <c r="D363" i="9" a="1"/>
  <c r="E363" i="9"/>
  <c r="F363" i="9"/>
  <c r="G363" i="9" a="1"/>
  <c r="H363" i="9"/>
  <c r="I363" i="9"/>
  <c r="J363" i="9" a="1"/>
  <c r="B364" i="9"/>
  <c r="C364" i="9"/>
  <c r="D364" i="9" a="1"/>
  <c r="E364" i="9"/>
  <c r="F364" i="9"/>
  <c r="G364" i="9" a="1"/>
  <c r="H364" i="9"/>
  <c r="I364" i="9"/>
  <c r="J364" i="9" a="1"/>
  <c r="B365" i="9"/>
  <c r="C365" i="9"/>
  <c r="D365" i="9" a="1"/>
  <c r="E365" i="9"/>
  <c r="F365" i="9"/>
  <c r="G365" i="9" a="1"/>
  <c r="H365" i="9"/>
  <c r="I365" i="9"/>
  <c r="J365" i="9" a="1"/>
  <c r="B366" i="9"/>
  <c r="C366" i="9"/>
  <c r="D366" i="9" a="1"/>
  <c r="E366" i="9"/>
  <c r="F366" i="9"/>
  <c r="G366" i="9" a="1"/>
  <c r="H366" i="9"/>
  <c r="I366" i="9"/>
  <c r="J366" i="9" a="1"/>
  <c r="B367" i="9"/>
  <c r="C367" i="9"/>
  <c r="D367" i="9" a="1"/>
  <c r="E367" i="9"/>
  <c r="F367" i="9"/>
  <c r="G367" i="9" a="1"/>
  <c r="H367" i="9"/>
  <c r="I367" i="9"/>
  <c r="J367" i="9" a="1"/>
  <c r="B368" i="9"/>
  <c r="C368" i="9"/>
  <c r="D368" i="9" a="1"/>
  <c r="E368" i="9"/>
  <c r="F368" i="9"/>
  <c r="G368" i="9" a="1"/>
  <c r="H368" i="9"/>
  <c r="I368" i="9"/>
  <c r="J368" i="9" a="1"/>
  <c r="B369" i="9"/>
  <c r="C369" i="9"/>
  <c r="D369" i="9" a="1"/>
  <c r="E369" i="9"/>
  <c r="F369" i="9"/>
  <c r="G369" i="9" a="1"/>
  <c r="H369" i="9"/>
  <c r="I369" i="9"/>
  <c r="J369" i="9" a="1"/>
  <c r="B370" i="9"/>
  <c r="C370" i="9"/>
  <c r="D370" i="9" a="1"/>
  <c r="E370" i="9"/>
  <c r="F370" i="9"/>
  <c r="G370" i="9" a="1"/>
  <c r="H370" i="9"/>
  <c r="I370" i="9"/>
  <c r="J370" i="9" a="1"/>
  <c r="B371" i="9"/>
  <c r="C371" i="9"/>
  <c r="D371" i="9" a="1"/>
  <c r="E371" i="9"/>
  <c r="F371" i="9"/>
  <c r="G371" i="9" a="1"/>
  <c r="H371" i="9"/>
  <c r="I371" i="9"/>
  <c r="J371" i="9" a="1"/>
  <c r="B372" i="9"/>
  <c r="C372" i="9"/>
  <c r="D372" i="9" a="1"/>
  <c r="E372" i="9"/>
  <c r="F372" i="9"/>
  <c r="G372" i="9" a="1"/>
  <c r="H372" i="9"/>
  <c r="I372" i="9"/>
  <c r="J372" i="9" a="1"/>
  <c r="B373" i="9"/>
  <c r="C373" i="9"/>
  <c r="D373" i="9" a="1"/>
  <c r="E373" i="9"/>
  <c r="F373" i="9"/>
  <c r="G373" i="9" a="1"/>
  <c r="H373" i="9"/>
  <c r="I373" i="9"/>
  <c r="J373" i="9" a="1"/>
  <c r="B374" i="9"/>
  <c r="C374" i="9"/>
  <c r="D374" i="9" a="1"/>
  <c r="E374" i="9"/>
  <c r="F374" i="9"/>
  <c r="G374" i="9" a="1"/>
  <c r="H374" i="9"/>
  <c r="I374" i="9"/>
  <c r="J374" i="9" a="1"/>
  <c r="B375" i="9"/>
  <c r="C375" i="9"/>
  <c r="D375" i="9" a="1"/>
  <c r="E375" i="9"/>
  <c r="F375" i="9"/>
  <c r="G375" i="9" a="1"/>
  <c r="H375" i="9"/>
  <c r="I375" i="9"/>
  <c r="J375" i="9" a="1"/>
  <c r="B376" i="9"/>
  <c r="C376" i="9"/>
  <c r="D376" i="9" a="1"/>
  <c r="E376" i="9"/>
  <c r="F376" i="9"/>
  <c r="G376" i="9" a="1"/>
  <c r="H376" i="9"/>
  <c r="I376" i="9"/>
  <c r="J376" i="9" a="1"/>
  <c r="B377" i="9"/>
  <c r="C377" i="9"/>
  <c r="D377" i="9" a="1"/>
  <c r="E377" i="9"/>
  <c r="F377" i="9"/>
  <c r="G377" i="9" a="1"/>
  <c r="H377" i="9"/>
  <c r="I377" i="9"/>
  <c r="J377" i="9" a="1"/>
  <c r="B378" i="9"/>
  <c r="C378" i="9"/>
  <c r="D378" i="9" a="1"/>
  <c r="E378" i="9"/>
  <c r="F378" i="9"/>
  <c r="G378" i="9" a="1"/>
  <c r="H378" i="9"/>
  <c r="I378" i="9"/>
  <c r="J378" i="9" a="1"/>
  <c r="B379" i="9"/>
  <c r="C379" i="9"/>
  <c r="D379" i="9" a="1"/>
  <c r="E379" i="9"/>
  <c r="F379" i="9"/>
  <c r="G379" i="9" a="1"/>
  <c r="H379" i="9"/>
  <c r="I379" i="9"/>
  <c r="J379" i="9" a="1"/>
  <c r="B380" i="9"/>
  <c r="C380" i="9"/>
  <c r="D380" i="9" a="1"/>
  <c r="E380" i="9"/>
  <c r="F380" i="9"/>
  <c r="G380" i="9" a="1"/>
  <c r="H380" i="9"/>
  <c r="I380" i="9"/>
  <c r="J380" i="9" a="1"/>
  <c r="B381" i="9"/>
  <c r="C381" i="9"/>
  <c r="D381" i="9" a="1"/>
  <c r="E381" i="9"/>
  <c r="F381" i="9"/>
  <c r="G381" i="9" a="1"/>
  <c r="H381" i="9"/>
  <c r="I381" i="9"/>
  <c r="J381" i="9" a="1"/>
  <c r="B382" i="9"/>
  <c r="C382" i="9"/>
  <c r="D382" i="9" a="1"/>
  <c r="E382" i="9"/>
  <c r="F382" i="9"/>
  <c r="G382" i="9" a="1"/>
  <c r="H382" i="9"/>
  <c r="I382" i="9"/>
  <c r="J382" i="9" a="1"/>
  <c r="B383" i="9"/>
  <c r="C383" i="9"/>
  <c r="D383" i="9" a="1"/>
  <c r="E383" i="9"/>
  <c r="F383" i="9"/>
  <c r="G383" i="9" a="1"/>
  <c r="H383" i="9"/>
  <c r="I383" i="9"/>
  <c r="J383" i="9" a="1"/>
  <c r="B384" i="9"/>
  <c r="C384" i="9"/>
  <c r="D384" i="9" a="1"/>
  <c r="E384" i="9"/>
  <c r="F384" i="9"/>
  <c r="G384" i="9" a="1"/>
  <c r="H384" i="9"/>
  <c r="I384" i="9"/>
  <c r="J384" i="9" a="1"/>
  <c r="B385" i="9"/>
  <c r="C385" i="9"/>
  <c r="D385" i="9" a="1"/>
  <c r="E385" i="9"/>
  <c r="F385" i="9"/>
  <c r="G385" i="9" a="1"/>
  <c r="H385" i="9"/>
  <c r="I385" i="9"/>
  <c r="J385" i="9" a="1"/>
  <c r="B386" i="9"/>
  <c r="C386" i="9"/>
  <c r="D386" i="9" a="1"/>
  <c r="E386" i="9"/>
  <c r="F386" i="9"/>
  <c r="G386" i="9" a="1"/>
  <c r="H386" i="9"/>
  <c r="I386" i="9"/>
  <c r="J386" i="9" a="1"/>
  <c r="B387" i="9"/>
  <c r="C387" i="9"/>
  <c r="D387" i="9" a="1"/>
  <c r="E387" i="9"/>
  <c r="F387" i="9"/>
  <c r="G387" i="9" a="1"/>
  <c r="H387" i="9"/>
  <c r="I387" i="9"/>
  <c r="J387" i="9" a="1"/>
  <c r="B388" i="9"/>
  <c r="C388" i="9"/>
  <c r="D388" i="9" a="1"/>
  <c r="E388" i="9"/>
  <c r="F388" i="9"/>
  <c r="G388" i="9" a="1"/>
  <c r="H388" i="9"/>
  <c r="I388" i="9"/>
  <c r="J388" i="9" a="1"/>
  <c r="B389" i="9"/>
  <c r="C389" i="9"/>
  <c r="D389" i="9" a="1"/>
  <c r="E389" i="9"/>
  <c r="F389" i="9"/>
  <c r="G389" i="9" a="1"/>
  <c r="H389" i="9"/>
  <c r="I389" i="9"/>
  <c r="J389" i="9" a="1"/>
  <c r="B390" i="9"/>
  <c r="C390" i="9"/>
  <c r="D390" i="9" a="1"/>
  <c r="E390" i="9"/>
  <c r="F390" i="9"/>
  <c r="G390" i="9" a="1"/>
  <c r="H390" i="9"/>
  <c r="I390" i="9"/>
  <c r="J390" i="9" a="1"/>
  <c r="B391" i="9"/>
  <c r="C391" i="9"/>
  <c r="D391" i="9" a="1"/>
  <c r="E391" i="9"/>
  <c r="F391" i="9"/>
  <c r="G391" i="9" a="1"/>
  <c r="H391" i="9"/>
  <c r="I391" i="9"/>
  <c r="J391" i="9" a="1"/>
  <c r="B392" i="9"/>
  <c r="C392" i="9"/>
  <c r="D392" i="9" a="1"/>
  <c r="E392" i="9"/>
  <c r="F392" i="9"/>
  <c r="G392" i="9" a="1"/>
  <c r="H392" i="9"/>
  <c r="I392" i="9"/>
  <c r="J392" i="9" a="1"/>
  <c r="B393" i="9"/>
  <c r="C393" i="9"/>
  <c r="D393" i="9" a="1"/>
  <c r="E393" i="9"/>
  <c r="F393" i="9"/>
  <c r="G393" i="9" a="1"/>
  <c r="H393" i="9"/>
  <c r="I393" i="9"/>
  <c r="J393" i="9" a="1"/>
  <c r="B394" i="9"/>
  <c r="C394" i="9"/>
  <c r="D394" i="9" a="1"/>
  <c r="E394" i="9"/>
  <c r="F394" i="9"/>
  <c r="G394" i="9" a="1"/>
  <c r="H394" i="9"/>
  <c r="I394" i="9"/>
  <c r="J394" i="9" a="1"/>
  <c r="B395" i="9"/>
  <c r="C395" i="9"/>
  <c r="D395" i="9" a="1"/>
  <c r="E395" i="9"/>
  <c r="F395" i="9"/>
  <c r="G395" i="9" a="1"/>
  <c r="H395" i="9"/>
  <c r="I395" i="9"/>
  <c r="J395" i="9" a="1"/>
  <c r="B396" i="9"/>
  <c r="C396" i="9"/>
  <c r="D396" i="9" a="1"/>
  <c r="E396" i="9"/>
  <c r="F396" i="9"/>
  <c r="G396" i="9" a="1"/>
  <c r="H396" i="9"/>
  <c r="I396" i="9"/>
  <c r="J396" i="9" a="1"/>
  <c r="B397" i="9"/>
  <c r="C397" i="9"/>
  <c r="D397" i="9" a="1"/>
  <c r="E397" i="9"/>
  <c r="F397" i="9"/>
  <c r="G397" i="9" a="1"/>
  <c r="H397" i="9"/>
  <c r="I397" i="9"/>
  <c r="J397" i="9" a="1"/>
  <c r="B398" i="9"/>
  <c r="C398" i="9"/>
  <c r="D398" i="9" a="1"/>
  <c r="E398" i="9"/>
  <c r="F398" i="9"/>
  <c r="G398" i="9" a="1"/>
  <c r="H398" i="9"/>
  <c r="I398" i="9"/>
  <c r="J398" i="9" a="1"/>
  <c r="B399" i="9"/>
  <c r="C399" i="9"/>
  <c r="D399" i="9" a="1"/>
  <c r="E399" i="9"/>
  <c r="F399" i="9"/>
  <c r="G399" i="9" a="1"/>
  <c r="H399" i="9"/>
  <c r="I399" i="9"/>
  <c r="J399" i="9" a="1"/>
  <c r="B400" i="9"/>
  <c r="C400" i="9"/>
  <c r="D400" i="9" a="1"/>
  <c r="E400" i="9"/>
  <c r="F400" i="9"/>
  <c r="G400" i="9" a="1"/>
  <c r="H400" i="9"/>
  <c r="I400" i="9"/>
  <c r="J400" i="9" a="1"/>
  <c r="B401" i="9"/>
  <c r="C401" i="9"/>
  <c r="D401" i="9" a="1"/>
  <c r="E401" i="9"/>
  <c r="F401" i="9"/>
  <c r="G401" i="9" a="1"/>
  <c r="H401" i="9"/>
  <c r="I401" i="9"/>
  <c r="J401" i="9" a="1"/>
  <c r="B402" i="9"/>
  <c r="C402" i="9"/>
  <c r="D402" i="9" a="1"/>
  <c r="E402" i="9"/>
  <c r="F402" i="9"/>
  <c r="G402" i="9" a="1"/>
  <c r="H402" i="9"/>
  <c r="I402" i="9"/>
  <c r="J402" i="9" a="1"/>
  <c r="B403" i="9"/>
  <c r="C403" i="9"/>
  <c r="D403" i="9" a="1"/>
  <c r="E403" i="9"/>
  <c r="F403" i="9"/>
  <c r="G403" i="9" a="1"/>
  <c r="H403" i="9"/>
  <c r="I403" i="9"/>
  <c r="J403" i="9" a="1"/>
  <c r="B404" i="9"/>
  <c r="C404" i="9"/>
  <c r="D404" i="9" a="1"/>
  <c r="E404" i="9"/>
  <c r="F404" i="9"/>
  <c r="G404" i="9" a="1"/>
  <c r="H404" i="9"/>
  <c r="I404" i="9"/>
  <c r="J404" i="9" a="1"/>
  <c r="B405" i="9"/>
  <c r="C405" i="9"/>
  <c r="D405" i="9" a="1"/>
  <c r="E405" i="9"/>
  <c r="F405" i="9"/>
  <c r="G405" i="9" a="1"/>
  <c r="H405" i="9"/>
  <c r="I405" i="9"/>
  <c r="J405" i="9" a="1"/>
  <c r="B406" i="9"/>
  <c r="C406" i="9"/>
  <c r="D406" i="9" a="1"/>
  <c r="E406" i="9"/>
  <c r="F406" i="9"/>
  <c r="G406" i="9" a="1"/>
  <c r="H406" i="9"/>
  <c r="I406" i="9"/>
  <c r="J406" i="9" a="1"/>
  <c r="B407" i="9"/>
  <c r="C407" i="9"/>
  <c r="D407" i="9" a="1"/>
  <c r="E407" i="9"/>
  <c r="F407" i="9"/>
  <c r="G407" i="9" a="1"/>
  <c r="H407" i="9"/>
  <c r="I407" i="9"/>
  <c r="J407" i="9" a="1"/>
  <c r="B408" i="9"/>
  <c r="C408" i="9"/>
  <c r="D408" i="9" a="1"/>
  <c r="E408" i="9"/>
  <c r="F408" i="9"/>
  <c r="G408" i="9" a="1"/>
  <c r="H408" i="9"/>
  <c r="I408" i="9"/>
  <c r="J408" i="9" a="1"/>
  <c r="B409" i="9"/>
  <c r="C409" i="9"/>
  <c r="D409" i="9" a="1"/>
  <c r="E409" i="9"/>
  <c r="F409" i="9"/>
  <c r="G409" i="9" a="1"/>
  <c r="H409" i="9"/>
  <c r="I409" i="9"/>
  <c r="J409" i="9" a="1"/>
  <c r="B410" i="9"/>
  <c r="C410" i="9"/>
  <c r="D410" i="9" a="1"/>
  <c r="E410" i="9"/>
  <c r="F410" i="9"/>
  <c r="G410" i="9" a="1"/>
  <c r="H410" i="9"/>
  <c r="I410" i="9"/>
  <c r="J410" i="9" a="1"/>
  <c r="B411" i="9"/>
  <c r="C411" i="9"/>
  <c r="D411" i="9" a="1"/>
  <c r="E411" i="9"/>
  <c r="F411" i="9"/>
  <c r="G411" i="9" a="1"/>
  <c r="H411" i="9"/>
  <c r="I411" i="9"/>
  <c r="J411" i="9" a="1"/>
  <c r="B412" i="9"/>
  <c r="C412" i="9"/>
  <c r="D412" i="9" a="1"/>
  <c r="E412" i="9"/>
  <c r="F412" i="9"/>
  <c r="G412" i="9" a="1"/>
  <c r="H412" i="9"/>
  <c r="I412" i="9"/>
  <c r="J412" i="9" a="1"/>
  <c r="B413" i="9"/>
  <c r="C413" i="9"/>
  <c r="D413" i="9" a="1"/>
  <c r="E413" i="9"/>
  <c r="F413" i="9"/>
  <c r="G413" i="9" a="1"/>
  <c r="H413" i="9"/>
  <c r="I413" i="9"/>
  <c r="J413" i="9" a="1"/>
  <c r="B414" i="9"/>
  <c r="C414" i="9"/>
  <c r="D414" i="9" a="1"/>
  <c r="E414" i="9"/>
  <c r="F414" i="9"/>
  <c r="G414" i="9" a="1"/>
  <c r="H414" i="9"/>
  <c r="I414" i="9"/>
  <c r="J414" i="9" a="1"/>
  <c r="B415" i="9"/>
  <c r="C415" i="9"/>
  <c r="D415" i="9" a="1"/>
  <c r="E415" i="9"/>
  <c r="F415" i="9"/>
  <c r="G415" i="9" a="1"/>
  <c r="H415" i="9"/>
  <c r="I415" i="9"/>
  <c r="J415" i="9" a="1"/>
  <c r="B416" i="9"/>
  <c r="C416" i="9"/>
  <c r="D416" i="9" a="1"/>
  <c r="E416" i="9"/>
  <c r="F416" i="9"/>
  <c r="G416" i="9" a="1"/>
  <c r="H416" i="9"/>
  <c r="I416" i="9"/>
  <c r="J416" i="9" a="1"/>
  <c r="B417" i="9"/>
  <c r="C417" i="9"/>
  <c r="D417" i="9" a="1"/>
  <c r="E417" i="9"/>
  <c r="F417" i="9"/>
  <c r="G417" i="9" a="1"/>
  <c r="H417" i="9"/>
  <c r="I417" i="9"/>
  <c r="J417" i="9" a="1"/>
  <c r="B418" i="9"/>
  <c r="C418" i="9"/>
  <c r="D418" i="9" a="1"/>
  <c r="E418" i="9"/>
  <c r="F418" i="9"/>
  <c r="G418" i="9" a="1"/>
  <c r="H418" i="9"/>
  <c r="I418" i="9"/>
  <c r="J418" i="9" a="1"/>
  <c r="B419" i="9"/>
  <c r="C419" i="9"/>
  <c r="D419" i="9" a="1"/>
  <c r="E419" i="9"/>
  <c r="F419" i="9"/>
  <c r="G419" i="9" a="1"/>
  <c r="H419" i="9"/>
  <c r="I419" i="9"/>
  <c r="J419" i="9" a="1"/>
  <c r="B420" i="9"/>
  <c r="C420" i="9"/>
  <c r="D420" i="9" a="1"/>
  <c r="E420" i="9"/>
  <c r="F420" i="9"/>
  <c r="G420" i="9" a="1"/>
  <c r="H420" i="9"/>
  <c r="I420" i="9"/>
  <c r="J420" i="9" a="1"/>
  <c r="B421" i="9"/>
  <c r="C421" i="9"/>
  <c r="D421" i="9" a="1"/>
  <c r="E421" i="9"/>
  <c r="F421" i="9"/>
  <c r="G421" i="9" a="1"/>
  <c r="H421" i="9"/>
  <c r="I421" i="9"/>
  <c r="J421" i="9" a="1"/>
  <c r="B422" i="9"/>
  <c r="C422" i="9"/>
  <c r="D422" i="9" a="1"/>
  <c r="E422" i="9"/>
  <c r="F422" i="9"/>
  <c r="G422" i="9" a="1"/>
  <c r="H422" i="9"/>
  <c r="I422" i="9"/>
  <c r="J422" i="9" a="1"/>
  <c r="B423" i="9"/>
  <c r="C423" i="9"/>
  <c r="D423" i="9" a="1"/>
  <c r="E423" i="9"/>
  <c r="F423" i="9"/>
  <c r="G423" i="9" a="1"/>
  <c r="H423" i="9"/>
  <c r="I423" i="9"/>
  <c r="J423" i="9" a="1"/>
  <c r="B424" i="9"/>
  <c r="C424" i="9"/>
  <c r="D424" i="9" a="1"/>
  <c r="E424" i="9"/>
  <c r="F424" i="9"/>
  <c r="G424" i="9" a="1"/>
  <c r="H424" i="9"/>
  <c r="I424" i="9"/>
  <c r="J424" i="9" a="1"/>
  <c r="B425" i="9"/>
  <c r="C425" i="9"/>
  <c r="D425" i="9" a="1"/>
  <c r="E425" i="9"/>
  <c r="F425" i="9"/>
  <c r="G425" i="9" a="1"/>
  <c r="H425" i="9"/>
  <c r="I425" i="9"/>
  <c r="J425" i="9" a="1"/>
  <c r="B426" i="9"/>
  <c r="C426" i="9"/>
  <c r="D426" i="9" a="1"/>
  <c r="E426" i="9"/>
  <c r="F426" i="9"/>
  <c r="G426" i="9" a="1"/>
  <c r="H426" i="9"/>
  <c r="I426" i="9"/>
  <c r="J426" i="9" a="1"/>
  <c r="B427" i="9"/>
  <c r="C427" i="9"/>
  <c r="D427" i="9" a="1"/>
  <c r="E427" i="9"/>
  <c r="F427" i="9"/>
  <c r="G427" i="9" a="1"/>
  <c r="H427" i="9"/>
  <c r="I427" i="9"/>
  <c r="J427" i="9" a="1"/>
  <c r="B428" i="9"/>
  <c r="C428" i="9"/>
  <c r="D428" i="9" a="1"/>
  <c r="E428" i="9"/>
  <c r="F428" i="9"/>
  <c r="G428" i="9" a="1"/>
  <c r="H428" i="9"/>
  <c r="I428" i="9"/>
  <c r="J428" i="9" a="1"/>
  <c r="B429" i="9"/>
  <c r="C429" i="9"/>
  <c r="D429" i="9" a="1"/>
  <c r="E429" i="9"/>
  <c r="F429" i="9"/>
  <c r="G429" i="9" a="1"/>
  <c r="H429" i="9"/>
  <c r="I429" i="9"/>
  <c r="J429" i="9" a="1"/>
  <c r="B430" i="9"/>
  <c r="C430" i="9"/>
  <c r="D430" i="9" a="1"/>
  <c r="E430" i="9"/>
  <c r="F430" i="9"/>
  <c r="G430" i="9" a="1"/>
  <c r="H430" i="9"/>
  <c r="I430" i="9"/>
  <c r="J430" i="9" a="1"/>
  <c r="B431" i="9"/>
  <c r="C431" i="9"/>
  <c r="D431" i="9" a="1"/>
  <c r="E431" i="9"/>
  <c r="F431" i="9"/>
  <c r="G431" i="9" a="1"/>
  <c r="H431" i="9"/>
  <c r="I431" i="9"/>
  <c r="J431" i="9" a="1"/>
  <c r="B432" i="9"/>
  <c r="C432" i="9"/>
  <c r="D432" i="9" a="1"/>
  <c r="E432" i="9"/>
  <c r="F432" i="9"/>
  <c r="G432" i="9" a="1"/>
  <c r="H432" i="9"/>
  <c r="I432" i="9"/>
  <c r="J432" i="9" a="1"/>
  <c r="B433" i="9"/>
  <c r="C433" i="9"/>
  <c r="D433" i="9" a="1"/>
  <c r="E433" i="9"/>
  <c r="F433" i="9"/>
  <c r="G433" i="9" a="1"/>
  <c r="H433" i="9"/>
  <c r="I433" i="9"/>
  <c r="J433" i="9" a="1"/>
  <c r="B434" i="9"/>
  <c r="C434" i="9"/>
  <c r="D434" i="9" a="1"/>
  <c r="E434" i="9"/>
  <c r="F434" i="9"/>
  <c r="G434" i="9" a="1"/>
  <c r="H434" i="9"/>
  <c r="I434" i="9"/>
  <c r="J434" i="9" a="1"/>
  <c r="B435" i="9"/>
  <c r="C435" i="9"/>
  <c r="D435" i="9" a="1"/>
  <c r="E435" i="9"/>
  <c r="F435" i="9"/>
  <c r="G435" i="9" a="1"/>
  <c r="H435" i="9"/>
  <c r="I435" i="9"/>
  <c r="J435" i="9" a="1"/>
  <c r="B436" i="9"/>
  <c r="C436" i="9"/>
  <c r="D436" i="9" a="1"/>
  <c r="E436" i="9"/>
  <c r="F436" i="9"/>
  <c r="G436" i="9" a="1"/>
  <c r="H436" i="9"/>
  <c r="I436" i="9"/>
  <c r="J436" i="9" a="1"/>
  <c r="B437" i="9"/>
  <c r="C437" i="9"/>
  <c r="D437" i="9" a="1"/>
  <c r="E437" i="9"/>
  <c r="F437" i="9"/>
  <c r="G437" i="9" a="1"/>
  <c r="H437" i="9"/>
  <c r="I437" i="9"/>
  <c r="J437" i="9" a="1"/>
  <c r="B438" i="9"/>
  <c r="C438" i="9"/>
  <c r="D438" i="9" a="1"/>
  <c r="E438" i="9"/>
  <c r="F438" i="9"/>
  <c r="G438" i="9" a="1"/>
  <c r="H438" i="9"/>
  <c r="I438" i="9"/>
  <c r="J438" i="9" a="1"/>
  <c r="B439" i="9"/>
  <c r="C439" i="9"/>
  <c r="D439" i="9" a="1"/>
  <c r="E439" i="9"/>
  <c r="F439" i="9"/>
  <c r="G439" i="9" a="1"/>
  <c r="H439" i="9"/>
  <c r="I439" i="9"/>
  <c r="J439" i="9" a="1"/>
  <c r="B440" i="9"/>
  <c r="C440" i="9"/>
  <c r="D440" i="9" a="1"/>
  <c r="E440" i="9"/>
  <c r="F440" i="9"/>
  <c r="G440" i="9" a="1"/>
  <c r="H440" i="9"/>
  <c r="I440" i="9"/>
  <c r="J440" i="9" a="1"/>
  <c r="B441" i="9"/>
  <c r="C441" i="9"/>
  <c r="D441" i="9" a="1"/>
  <c r="E441" i="9"/>
  <c r="F441" i="9"/>
  <c r="G441" i="9" a="1"/>
  <c r="H441" i="9"/>
  <c r="I441" i="9"/>
  <c r="J441" i="9" a="1"/>
  <c r="B442" i="9"/>
  <c r="C442" i="9"/>
  <c r="D442" i="9" a="1"/>
  <c r="E442" i="9"/>
  <c r="F442" i="9"/>
  <c r="G442" i="9" a="1"/>
  <c r="H442" i="9"/>
  <c r="I442" i="9"/>
  <c r="J442" i="9" a="1"/>
  <c r="B443" i="9"/>
  <c r="C443" i="9"/>
  <c r="D443" i="9" a="1"/>
  <c r="E443" i="9"/>
  <c r="F443" i="9"/>
  <c r="G443" i="9" a="1"/>
  <c r="H443" i="9"/>
  <c r="I443" i="9"/>
  <c r="J443" i="9" a="1"/>
  <c r="B444" i="9"/>
  <c r="C444" i="9"/>
  <c r="D444" i="9" a="1"/>
  <c r="E444" i="9"/>
  <c r="F444" i="9"/>
  <c r="G444" i="9" a="1"/>
  <c r="H444" i="9"/>
  <c r="I444" i="9"/>
  <c r="J444" i="9" a="1"/>
  <c r="B445" i="9"/>
  <c r="C445" i="9"/>
  <c r="D445" i="9" a="1"/>
  <c r="E445" i="9"/>
  <c r="F445" i="9"/>
  <c r="G445" i="9" a="1"/>
  <c r="H445" i="9"/>
  <c r="I445" i="9"/>
  <c r="J445" i="9" a="1"/>
  <c r="B446" i="9"/>
  <c r="C446" i="9"/>
  <c r="D446" i="9" a="1"/>
  <c r="E446" i="9"/>
  <c r="F446" i="9"/>
  <c r="G446" i="9" a="1"/>
  <c r="H446" i="9"/>
  <c r="I446" i="9"/>
  <c r="J446" i="9" a="1"/>
  <c r="B447" i="9"/>
  <c r="C447" i="9"/>
  <c r="D447" i="9" a="1"/>
  <c r="E447" i="9"/>
  <c r="F447" i="9"/>
  <c r="G447" i="9" a="1"/>
  <c r="H447" i="9"/>
  <c r="I447" i="9"/>
  <c r="J447" i="9" a="1"/>
  <c r="B448" i="9"/>
  <c r="C448" i="9"/>
  <c r="D448" i="9" a="1"/>
  <c r="E448" i="9"/>
  <c r="F448" i="9"/>
  <c r="G448" i="9" a="1"/>
  <c r="H448" i="9"/>
  <c r="I448" i="9"/>
  <c r="J448" i="9" a="1"/>
  <c r="B449" i="9"/>
  <c r="C449" i="9"/>
  <c r="D449" i="9" a="1"/>
  <c r="E449" i="9"/>
  <c r="F449" i="9"/>
  <c r="G449" i="9" a="1"/>
  <c r="H449" i="9"/>
  <c r="I449" i="9"/>
  <c r="J449" i="9" a="1"/>
  <c r="B450" i="9"/>
  <c r="C450" i="9"/>
  <c r="D450" i="9" a="1"/>
  <c r="E450" i="9"/>
  <c r="F450" i="9"/>
  <c r="G450" i="9" a="1"/>
  <c r="H450" i="9"/>
  <c r="I450" i="9"/>
  <c r="J450" i="9" a="1"/>
  <c r="B451" i="9"/>
  <c r="C451" i="9"/>
  <c r="D451" i="9" a="1"/>
  <c r="E451" i="9"/>
  <c r="F451" i="9"/>
  <c r="G451" i="9" a="1"/>
  <c r="H451" i="9"/>
  <c r="I451" i="9"/>
  <c r="J451" i="9" a="1"/>
  <c r="B452" i="9"/>
  <c r="C452" i="9"/>
  <c r="D452" i="9" a="1"/>
  <c r="E452" i="9"/>
  <c r="F452" i="9"/>
  <c r="G452" i="9" a="1"/>
  <c r="H452" i="9"/>
  <c r="I452" i="9"/>
  <c r="J452" i="9" a="1"/>
  <c r="B453" i="9"/>
  <c r="C453" i="9"/>
  <c r="D453" i="9" a="1"/>
  <c r="E453" i="9"/>
  <c r="F453" i="9"/>
  <c r="G453" i="9" a="1"/>
  <c r="H453" i="9"/>
  <c r="I453" i="9"/>
  <c r="J453" i="9" a="1"/>
  <c r="B454" i="9"/>
  <c r="C454" i="9"/>
  <c r="D454" i="9" a="1"/>
  <c r="E454" i="9"/>
  <c r="F454" i="9"/>
  <c r="G454" i="9" a="1"/>
  <c r="H454" i="9"/>
  <c r="I454" i="9"/>
  <c r="J454" i="9" a="1"/>
  <c r="B455" i="9"/>
  <c r="C455" i="9"/>
  <c r="D455" i="9" a="1"/>
  <c r="E455" i="9"/>
  <c r="F455" i="9"/>
  <c r="G455" i="9" a="1"/>
  <c r="H455" i="9"/>
  <c r="I455" i="9"/>
  <c r="J455" i="9" a="1"/>
  <c r="B456" i="9"/>
  <c r="C456" i="9"/>
  <c r="D456" i="9" a="1"/>
  <c r="E456" i="9"/>
  <c r="F456" i="9"/>
  <c r="G456" i="9" a="1"/>
  <c r="H456" i="9"/>
  <c r="I456" i="9"/>
  <c r="J456" i="9" a="1"/>
  <c r="B457" i="9"/>
  <c r="C457" i="9"/>
  <c r="D457" i="9" a="1"/>
  <c r="E457" i="9"/>
  <c r="F457" i="9"/>
  <c r="G457" i="9" a="1"/>
  <c r="H457" i="9"/>
  <c r="I457" i="9"/>
  <c r="J457" i="9" a="1"/>
  <c r="B458" i="9"/>
  <c r="C458" i="9"/>
  <c r="D458" i="9" a="1"/>
  <c r="E458" i="9"/>
  <c r="F458" i="9"/>
  <c r="G458" i="9" a="1"/>
  <c r="H458" i="9"/>
  <c r="I458" i="9"/>
  <c r="J458" i="9" a="1"/>
  <c r="B459" i="9"/>
  <c r="C459" i="9"/>
  <c r="D459" i="9" a="1"/>
  <c r="E459" i="9"/>
  <c r="F459" i="9"/>
  <c r="G459" i="9" a="1"/>
  <c r="H459" i="9"/>
  <c r="I459" i="9"/>
  <c r="J459" i="9" a="1"/>
  <c r="B460" i="9"/>
  <c r="C460" i="9"/>
  <c r="D460" i="9" a="1"/>
  <c r="E460" i="9"/>
  <c r="F460" i="9"/>
  <c r="G460" i="9" a="1"/>
  <c r="H460" i="9"/>
  <c r="I460" i="9"/>
  <c r="J460" i="9" a="1"/>
  <c r="B461" i="9"/>
  <c r="C461" i="9"/>
  <c r="D461" i="9" a="1"/>
  <c r="E461" i="9"/>
  <c r="F461" i="9"/>
  <c r="G461" i="9" a="1"/>
  <c r="H461" i="9"/>
  <c r="I461" i="9"/>
  <c r="J461" i="9" a="1"/>
  <c r="B462" i="9"/>
  <c r="C462" i="9"/>
  <c r="D462" i="9" a="1"/>
  <c r="E462" i="9"/>
  <c r="F462" i="9"/>
  <c r="G462" i="9" a="1"/>
  <c r="H462" i="9"/>
  <c r="I462" i="9"/>
  <c r="J462" i="9" a="1"/>
  <c r="B463" i="9"/>
  <c r="C463" i="9"/>
  <c r="D463" i="9" a="1"/>
  <c r="E463" i="9"/>
  <c r="F463" i="9"/>
  <c r="G463" i="9" a="1"/>
  <c r="H463" i="9"/>
  <c r="I463" i="9"/>
  <c r="J463" i="9" a="1"/>
  <c r="B464" i="9"/>
  <c r="C464" i="9"/>
  <c r="D464" i="9" a="1"/>
  <c r="E464" i="9"/>
  <c r="F464" i="9"/>
  <c r="G464" i="9" a="1"/>
  <c r="H464" i="9"/>
  <c r="I464" i="9"/>
  <c r="J464" i="9" a="1"/>
  <c r="B465" i="9"/>
  <c r="C465" i="9"/>
  <c r="D465" i="9" a="1"/>
  <c r="E465" i="9"/>
  <c r="F465" i="9"/>
  <c r="G465" i="9" a="1"/>
  <c r="H465" i="9"/>
  <c r="I465" i="9"/>
  <c r="J465" i="9" a="1"/>
  <c r="B466" i="9"/>
  <c r="C466" i="9"/>
  <c r="D466" i="9" a="1"/>
  <c r="E466" i="9"/>
  <c r="F466" i="9"/>
  <c r="G466" i="9" a="1"/>
  <c r="H466" i="9"/>
  <c r="I466" i="9"/>
  <c r="J466" i="9" a="1"/>
  <c r="B467" i="9"/>
  <c r="C467" i="9"/>
  <c r="D467" i="9" a="1"/>
  <c r="E467" i="9"/>
  <c r="F467" i="9"/>
  <c r="G467" i="9" a="1"/>
  <c r="H467" i="9"/>
  <c r="I467" i="9"/>
  <c r="J467" i="9" a="1"/>
  <c r="B468" i="9"/>
  <c r="C468" i="9"/>
  <c r="D468" i="9" a="1"/>
  <c r="E468" i="9"/>
  <c r="F468" i="9"/>
  <c r="G468" i="9" a="1"/>
  <c r="H468" i="9"/>
  <c r="I468" i="9"/>
  <c r="J468" i="9" a="1"/>
  <c r="B469" i="9"/>
  <c r="C469" i="9"/>
  <c r="D469" i="9" a="1"/>
  <c r="E469" i="9"/>
  <c r="F469" i="9"/>
  <c r="G469" i="9" a="1"/>
  <c r="H469" i="9"/>
  <c r="I469" i="9"/>
  <c r="J469" i="9" a="1"/>
  <c r="B470" i="9"/>
  <c r="C470" i="9"/>
  <c r="D470" i="9" a="1"/>
  <c r="E470" i="9"/>
  <c r="F470" i="9"/>
  <c r="G470" i="9" a="1"/>
  <c r="H470" i="9"/>
  <c r="I470" i="9"/>
  <c r="J470" i="9" a="1"/>
  <c r="B471" i="9"/>
  <c r="C471" i="9"/>
  <c r="D471" i="9" a="1"/>
  <c r="E471" i="9"/>
  <c r="F471" i="9"/>
  <c r="G471" i="9" a="1"/>
  <c r="H471" i="9"/>
  <c r="I471" i="9"/>
  <c r="J471" i="9" a="1"/>
  <c r="B472" i="9"/>
  <c r="C472" i="9"/>
  <c r="D472" i="9" a="1"/>
  <c r="E472" i="9"/>
  <c r="F472" i="9"/>
  <c r="G472" i="9" a="1"/>
  <c r="H472" i="9"/>
  <c r="I472" i="9"/>
  <c r="J472" i="9" a="1"/>
  <c r="B473" i="9"/>
  <c r="C473" i="9"/>
  <c r="D473" i="9" a="1"/>
  <c r="E473" i="9"/>
  <c r="F473" i="9"/>
  <c r="G473" i="9" a="1"/>
  <c r="H473" i="9"/>
  <c r="I473" i="9"/>
  <c r="J473" i="9" a="1"/>
  <c r="B474" i="9"/>
  <c r="C474" i="9"/>
  <c r="D474" i="9" a="1"/>
  <c r="E474" i="9"/>
  <c r="F474" i="9"/>
  <c r="G474" i="9" a="1"/>
  <c r="H474" i="9"/>
  <c r="I474" i="9"/>
  <c r="J474" i="9" a="1"/>
  <c r="B475" i="9"/>
  <c r="C475" i="9"/>
  <c r="D475" i="9" a="1"/>
  <c r="E475" i="9"/>
  <c r="F475" i="9"/>
  <c r="G475" i="9" a="1"/>
  <c r="H475" i="9"/>
  <c r="I475" i="9"/>
  <c r="J475" i="9" a="1"/>
  <c r="B476" i="9"/>
  <c r="C476" i="9"/>
  <c r="D476" i="9" a="1"/>
  <c r="E476" i="9"/>
  <c r="F476" i="9"/>
  <c r="G476" i="9" a="1"/>
  <c r="H476" i="9"/>
  <c r="I476" i="9"/>
  <c r="J476" i="9" a="1"/>
  <c r="B477" i="9"/>
  <c r="C477" i="9"/>
  <c r="D477" i="9" a="1"/>
  <c r="E477" i="9"/>
  <c r="F477" i="9"/>
  <c r="G477" i="9" a="1"/>
  <c r="H477" i="9"/>
  <c r="I477" i="9"/>
  <c r="J477" i="9" a="1"/>
  <c r="B478" i="9"/>
  <c r="C478" i="9"/>
  <c r="D478" i="9" a="1"/>
  <c r="E478" i="9"/>
  <c r="F478" i="9"/>
  <c r="G478" i="9" a="1"/>
  <c r="H478" i="9"/>
  <c r="I478" i="9"/>
  <c r="J478" i="9" a="1"/>
  <c r="B479" i="9"/>
  <c r="C479" i="9"/>
  <c r="D479" i="9" a="1"/>
  <c r="E479" i="9"/>
  <c r="F479" i="9"/>
  <c r="G479" i="9" a="1"/>
  <c r="H479" i="9"/>
  <c r="I479" i="9"/>
  <c r="J479" i="9" a="1"/>
  <c r="B480" i="9"/>
  <c r="C480" i="9"/>
  <c r="D480" i="9" a="1"/>
  <c r="E480" i="9"/>
  <c r="F480" i="9"/>
  <c r="G480" i="9" a="1"/>
  <c r="H480" i="9"/>
  <c r="I480" i="9"/>
  <c r="J480" i="9" a="1"/>
  <c r="A2" i="9"/>
  <c r="Q8" i="7"/>
  <c r="R2" i="7"/>
  <c r="S2" i="7"/>
  <c r="Q3" i="7"/>
  <c r="S3" i="7" s="1"/>
  <c r="R3" i="7"/>
  <c r="Q4" i="7"/>
  <c r="R4" i="7"/>
  <c r="S4" i="7"/>
  <c r="Q5" i="7"/>
  <c r="R5" i="7"/>
  <c r="S5" i="7"/>
  <c r="Q6" i="7"/>
  <c r="R6" i="7"/>
  <c r="S6" i="7"/>
  <c r="Q7" i="7"/>
  <c r="R7" i="7"/>
  <c r="S7" i="7"/>
  <c r="R8" i="7"/>
  <c r="S8" i="7"/>
  <c r="Q9" i="7"/>
  <c r="R9" i="7"/>
  <c r="S9" i="7"/>
  <c r="Q10" i="7"/>
  <c r="R10" i="7"/>
  <c r="S10" i="7"/>
  <c r="AL14" i="3"/>
  <c r="A384" i="1"/>
  <c r="A385" i="1"/>
  <c r="A383" i="1"/>
  <c r="A386" i="1"/>
  <c r="A387" i="1"/>
  <c r="A388" i="1"/>
  <c r="A389" i="1"/>
  <c r="A390" i="1"/>
  <c r="A391" i="1"/>
  <c r="D403" i="6" a="1"/>
  <c r="D402" i="6" a="1"/>
  <c r="D401" i="6" a="1"/>
  <c r="D400" i="6" a="1"/>
  <c r="D399" i="6" a="1"/>
  <c r="D398" i="6" a="1"/>
  <c r="D397" i="6" a="1"/>
  <c r="D396" i="6" a="1"/>
  <c r="D395" i="6" a="1"/>
  <c r="D394" i="6" a="1"/>
  <c r="D393" i="6" a="1"/>
  <c r="D392" i="6" a="1"/>
  <c r="D391" i="6" a="1"/>
  <c r="D390" i="6" a="1"/>
  <c r="D389" i="6" a="1"/>
  <c r="D388" i="6" a="1"/>
  <c r="D387" i="6" a="1"/>
  <c r="D386" i="6" a="1"/>
  <c r="D385" i="6" a="1"/>
  <c r="D384" i="6" a="1"/>
  <c r="D383" i="6" a="1"/>
  <c r="D382" i="6" a="1"/>
  <c r="D381" i="6" a="1"/>
  <c r="D380" i="6" a="1"/>
  <c r="D379" i="6" a="1"/>
  <c r="D378" i="6" a="1"/>
  <c r="D377" i="6" a="1"/>
  <c r="D376" i="6" a="1"/>
  <c r="D375" i="6" a="1"/>
  <c r="D374" i="6" a="1"/>
  <c r="D373" i="6" a="1"/>
  <c r="D372" i="6" a="1"/>
  <c r="D371" i="6" a="1"/>
  <c r="D370" i="6" a="1"/>
  <c r="D369" i="6" a="1"/>
  <c r="D368" i="6" a="1"/>
  <c r="D367" i="6" a="1"/>
  <c r="D366" i="6" a="1"/>
  <c r="D365" i="6" a="1"/>
  <c r="D364" i="6" a="1"/>
  <c r="D363" i="6" a="1"/>
  <c r="D362" i="6" a="1"/>
  <c r="D361" i="6" a="1"/>
  <c r="D360" i="6" a="1"/>
  <c r="D359" i="6" a="1"/>
  <c r="D358" i="6" a="1"/>
  <c r="D357" i="6" a="1"/>
  <c r="D356" i="6" a="1"/>
  <c r="D355" i="6" a="1"/>
  <c r="D354" i="6" a="1"/>
  <c r="D353" i="6" a="1"/>
  <c r="D352" i="6" a="1"/>
  <c r="D351" i="6" a="1"/>
  <c r="D350" i="6" a="1"/>
  <c r="D349" i="6" a="1"/>
  <c r="D348" i="6" a="1"/>
  <c r="D347" i="6" a="1"/>
  <c r="D346" i="6" a="1"/>
  <c r="D345" i="6" a="1"/>
  <c r="D344" i="6" a="1"/>
  <c r="D343" i="6" a="1"/>
  <c r="D342" i="6" a="1"/>
  <c r="D341" i="6" a="1"/>
  <c r="D340" i="6" a="1"/>
  <c r="D339" i="6" a="1"/>
  <c r="D338" i="6" a="1"/>
  <c r="D337" i="6" a="1"/>
  <c r="D336" i="6" a="1"/>
  <c r="D335" i="6" a="1"/>
  <c r="D334" i="6" a="1"/>
  <c r="D333" i="6" a="1"/>
  <c r="D332" i="6" a="1"/>
  <c r="D331" i="6" a="1"/>
  <c r="D330" i="6" a="1"/>
  <c r="D329" i="6" a="1"/>
  <c r="D328" i="6" a="1"/>
  <c r="D327" i="6" a="1"/>
  <c r="D326" i="6" a="1"/>
  <c r="D325" i="6" a="1"/>
  <c r="D324" i="6" a="1"/>
  <c r="D323" i="6" a="1"/>
  <c r="D322" i="6" a="1"/>
  <c r="D321" i="6" a="1"/>
  <c r="D320" i="6" a="1"/>
  <c r="D319" i="6" a="1"/>
  <c r="D318" i="6" a="1"/>
  <c r="D317" i="6" a="1"/>
  <c r="D316" i="6" a="1"/>
  <c r="D315" i="6" a="1"/>
  <c r="D314" i="6" a="1"/>
  <c r="D313" i="6" a="1"/>
  <c r="D312" i="6" a="1"/>
  <c r="D311" i="6" a="1"/>
  <c r="D310" i="6" a="1"/>
  <c r="D309" i="6" a="1"/>
  <c r="D308" i="6" a="1"/>
  <c r="D307" i="6" a="1"/>
  <c r="D306" i="6" a="1"/>
  <c r="D305" i="6" a="1"/>
  <c r="D304" i="6" a="1"/>
  <c r="D303" i="6" a="1"/>
  <c r="D302" i="6" a="1"/>
  <c r="D301" i="6" a="1"/>
  <c r="D300" i="6" a="1"/>
  <c r="D299" i="6" a="1"/>
  <c r="D298" i="6" a="1"/>
  <c r="D297" i="6" a="1"/>
  <c r="D296" i="6" a="1"/>
  <c r="D295" i="6" a="1"/>
  <c r="D294" i="6" a="1"/>
  <c r="D293" i="6" a="1"/>
  <c r="D292" i="6" a="1"/>
  <c r="D291" i="6" a="1"/>
  <c r="D290" i="6" a="1"/>
  <c r="D289" i="6" a="1"/>
  <c r="D288" i="6" a="1"/>
  <c r="D287" i="6" a="1"/>
  <c r="D286" i="6" a="1"/>
  <c r="D285" i="6" a="1"/>
  <c r="D284" i="6" a="1"/>
  <c r="D283" i="6" a="1"/>
  <c r="D282" i="6" a="1"/>
  <c r="D281" i="6" a="1"/>
  <c r="D280" i="6" a="1"/>
  <c r="D279" i="6" a="1"/>
  <c r="D278" i="6" a="1"/>
  <c r="D277" i="6" a="1"/>
  <c r="D276" i="6" a="1"/>
  <c r="D275" i="6" a="1"/>
  <c r="D274" i="6" a="1"/>
  <c r="D273" i="6" a="1"/>
  <c r="D272" i="6" a="1"/>
  <c r="D271" i="6" a="1"/>
  <c r="D270" i="6" a="1"/>
  <c r="D269" i="6" a="1"/>
  <c r="D268" i="6" a="1"/>
  <c r="D267" i="6" a="1"/>
  <c r="D266" i="6" a="1"/>
  <c r="D265" i="6" a="1"/>
  <c r="D264" i="6" a="1"/>
  <c r="D263" i="6" a="1"/>
  <c r="D262" i="6" a="1"/>
  <c r="D261" i="6" a="1"/>
  <c r="D260" i="6" a="1"/>
  <c r="D259" i="6" a="1"/>
  <c r="D258" i="6" a="1"/>
  <c r="D257" i="6" a="1"/>
  <c r="D256" i="6" a="1"/>
  <c r="D255" i="6" a="1"/>
  <c r="D254" i="6" a="1"/>
  <c r="D253" i="6" a="1"/>
  <c r="D252" i="6" a="1"/>
  <c r="D251" i="6" a="1"/>
  <c r="D250" i="6" a="1"/>
  <c r="D249" i="6" a="1"/>
  <c r="D248" i="6" a="1"/>
  <c r="D247" i="6" a="1"/>
  <c r="D246" i="6" a="1"/>
  <c r="D245" i="6" a="1"/>
  <c r="D244" i="6" a="1"/>
  <c r="D243" i="6" a="1"/>
  <c r="D242" i="6" a="1"/>
  <c r="D241" i="6" a="1"/>
  <c r="D240" i="6" a="1"/>
  <c r="D239" i="6" a="1"/>
  <c r="D238" i="6" a="1"/>
  <c r="D237" i="6" a="1"/>
  <c r="D236" i="6" a="1"/>
  <c r="D235" i="6" a="1"/>
  <c r="D234" i="6" a="1"/>
  <c r="D233" i="6" a="1"/>
  <c r="D232" i="6" a="1"/>
  <c r="D231" i="6" a="1"/>
  <c r="D230" i="6" a="1"/>
  <c r="D229" i="6" a="1"/>
  <c r="D228" i="6" a="1"/>
  <c r="D227" i="6" a="1"/>
  <c r="D226" i="6" a="1"/>
  <c r="D225" i="6" a="1"/>
  <c r="D224" i="6" a="1"/>
  <c r="D223" i="6" a="1"/>
  <c r="D222" i="6" a="1"/>
  <c r="D221" i="6" a="1"/>
  <c r="D220" i="6" a="1"/>
  <c r="D219" i="6" a="1"/>
  <c r="D218" i="6" a="1"/>
  <c r="D217" i="6" a="1"/>
  <c r="D216" i="6" a="1"/>
  <c r="D215" i="6" a="1"/>
  <c r="D214" i="6" a="1"/>
  <c r="D213" i="6" a="1"/>
  <c r="D212" i="6" a="1"/>
  <c r="D211" i="6" a="1"/>
  <c r="D210" i="6" a="1"/>
  <c r="D209" i="6" a="1"/>
  <c r="D208" i="6" a="1"/>
  <c r="D207" i="6" a="1"/>
  <c r="D206" i="6" a="1"/>
  <c r="D205" i="6" a="1"/>
  <c r="D204" i="6" a="1"/>
  <c r="D203" i="6" a="1"/>
  <c r="D202" i="6" a="1"/>
  <c r="D201" i="6" a="1"/>
  <c r="D200" i="6" a="1"/>
  <c r="D199" i="6" a="1"/>
  <c r="D198" i="6" a="1"/>
  <c r="D197" i="6" a="1"/>
  <c r="D196" i="6" a="1"/>
  <c r="D195" i="6" a="1"/>
  <c r="D194" i="6" a="1"/>
  <c r="D193" i="6" a="1"/>
  <c r="D192" i="6" a="1"/>
  <c r="D191" i="6" a="1"/>
  <c r="D190" i="6" a="1"/>
  <c r="D189" i="6" a="1"/>
  <c r="D188" i="6" a="1"/>
  <c r="D187" i="6" a="1"/>
  <c r="D186" i="6" a="1"/>
  <c r="D185" i="6" a="1"/>
  <c r="D184" i="6" a="1"/>
  <c r="D183" i="6" a="1"/>
  <c r="D182" i="6" a="1"/>
  <c r="D181" i="6" a="1"/>
  <c r="D180" i="6" a="1"/>
  <c r="D179" i="6" a="1"/>
  <c r="D178" i="6" a="1"/>
  <c r="D177" i="6" a="1"/>
  <c r="D176" i="6" a="1"/>
  <c r="D175" i="6" a="1"/>
  <c r="D174" i="6" a="1"/>
  <c r="D173" i="6" a="1"/>
  <c r="D172" i="6" a="1"/>
  <c r="D171" i="6" a="1"/>
  <c r="D170" i="6" a="1"/>
  <c r="D169" i="6" a="1"/>
  <c r="D168" i="6" a="1"/>
  <c r="D167" i="6" a="1"/>
  <c r="D166" i="6" a="1"/>
  <c r="D165" i="6" a="1"/>
  <c r="D164" i="6" a="1"/>
  <c r="D163" i="6" a="1"/>
  <c r="D162" i="6" a="1"/>
  <c r="D161" i="6" a="1"/>
  <c r="D160" i="6" a="1"/>
  <c r="D159" i="6" a="1"/>
  <c r="D158" i="6" a="1"/>
  <c r="D157" i="6" a="1"/>
  <c r="D156" i="6" a="1"/>
  <c r="D155" i="6" a="1"/>
  <c r="D154" i="6" a="1"/>
  <c r="D153" i="6" a="1"/>
  <c r="D152" i="6" a="1"/>
  <c r="D151" i="6" a="1"/>
  <c r="D150" i="6" a="1"/>
  <c r="D149" i="6" a="1"/>
  <c r="D148" i="6" a="1"/>
  <c r="D147" i="6" a="1"/>
  <c r="D146" i="6" a="1"/>
  <c r="D145" i="6" a="1"/>
  <c r="D144" i="6" a="1"/>
  <c r="D143" i="6" a="1"/>
  <c r="D142" i="6" a="1"/>
  <c r="D141" i="6" a="1"/>
  <c r="D140" i="6" a="1"/>
  <c r="D139" i="6" a="1"/>
  <c r="D138" i="6" a="1"/>
  <c r="D137" i="6" a="1"/>
  <c r="D136" i="6" a="1"/>
  <c r="D135" i="6" a="1"/>
  <c r="D134" i="6" a="1"/>
  <c r="D133" i="6" a="1"/>
  <c r="D132" i="6" a="1"/>
  <c r="D131" i="6" a="1"/>
  <c r="D130" i="6" a="1"/>
  <c r="D129" i="6" a="1"/>
  <c r="D128" i="6" a="1"/>
  <c r="D127" i="6" a="1"/>
  <c r="D126" i="6" a="1"/>
  <c r="D125" i="6" a="1"/>
  <c r="D124" i="6" a="1"/>
  <c r="D123" i="6" a="1"/>
  <c r="D122" i="6" a="1"/>
  <c r="D121" i="6" a="1"/>
  <c r="D120" i="6" a="1"/>
  <c r="D119" i="6" a="1"/>
  <c r="D118" i="6" a="1"/>
  <c r="D117" i="6" a="1"/>
  <c r="D116" i="6" a="1"/>
  <c r="D115" i="6" a="1"/>
  <c r="D114" i="6" a="1"/>
  <c r="D113" i="6" a="1"/>
  <c r="D112" i="6" a="1"/>
  <c r="D111" i="6" a="1"/>
  <c r="D110" i="6" a="1"/>
  <c r="D109" i="6" a="1"/>
  <c r="D108" i="6" a="1"/>
  <c r="D107" i="6" a="1"/>
  <c r="D106" i="6" a="1"/>
  <c r="D105" i="6" a="1"/>
  <c r="D104" i="6" a="1"/>
  <c r="D103" i="6" a="1"/>
  <c r="D102" i="6" a="1"/>
  <c r="D101" i="6" a="1"/>
  <c r="D100" i="6" a="1"/>
  <c r="D99" i="6" a="1"/>
  <c r="D98" i="6" a="1"/>
  <c r="D97" i="6" a="1"/>
  <c r="D96" i="6" a="1"/>
  <c r="D95" i="6" a="1"/>
  <c r="D94" i="6" a="1"/>
  <c r="D93" i="6" a="1"/>
  <c r="D92" i="6" a="1"/>
  <c r="D91" i="6" a="1"/>
  <c r="D90" i="6" a="1"/>
  <c r="D89" i="6" a="1"/>
  <c r="D88" i="6" a="1"/>
  <c r="D87" i="6" a="1"/>
  <c r="D86" i="6" a="1"/>
  <c r="D85" i="6" a="1"/>
  <c r="D84" i="6" a="1"/>
  <c r="D83" i="6" a="1"/>
  <c r="D82" i="6" a="1"/>
  <c r="D81" i="6" a="1"/>
  <c r="D80" i="6" a="1"/>
  <c r="D79" i="6" a="1"/>
  <c r="D78" i="6" a="1"/>
  <c r="D77" i="6" a="1"/>
  <c r="D76" i="6" a="1"/>
  <c r="D75" i="6" a="1"/>
  <c r="D74" i="6" a="1"/>
  <c r="D73" i="6" a="1"/>
  <c r="D72" i="6" a="1"/>
  <c r="D71" i="6" a="1"/>
  <c r="D70" i="6" a="1"/>
  <c r="D69" i="6" a="1"/>
  <c r="D68" i="6" a="1"/>
  <c r="D67" i="6" a="1"/>
  <c r="D66" i="6" a="1"/>
  <c r="D65" i="6" a="1"/>
  <c r="D64" i="6" a="1"/>
  <c r="D63" i="6" a="1"/>
  <c r="D62" i="6" a="1"/>
  <c r="D61" i="6" a="1"/>
  <c r="D60" i="6" a="1"/>
  <c r="D59" i="6" a="1"/>
  <c r="D58" i="6" a="1"/>
  <c r="D57" i="6" a="1"/>
  <c r="D56" i="6" a="1"/>
  <c r="D55" i="6" a="1"/>
  <c r="D54" i="6" a="1"/>
  <c r="D53" i="6" a="1"/>
  <c r="D52" i="6" a="1"/>
  <c r="D51" i="6" a="1"/>
  <c r="D50" i="6" a="1"/>
  <c r="D49" i="6" a="1"/>
  <c r="D48" i="6" a="1"/>
  <c r="D47" i="6" a="1"/>
  <c r="D46" i="6" a="1"/>
  <c r="D45" i="6" a="1"/>
  <c r="D44" i="6" a="1"/>
  <c r="D43" i="6" a="1"/>
  <c r="D42" i="6" a="1"/>
  <c r="D41" i="6" a="1"/>
  <c r="D40" i="6" a="1"/>
  <c r="D39" i="6" a="1"/>
  <c r="D38" i="6" a="1"/>
  <c r="D37" i="6" a="1"/>
  <c r="D36" i="6" a="1"/>
  <c r="D35" i="6" a="1"/>
  <c r="D34" i="6" a="1"/>
  <c r="D33" i="6" a="1"/>
  <c r="D32" i="6" a="1"/>
  <c r="D31" i="6" a="1"/>
  <c r="D30" i="6" a="1"/>
  <c r="D29" i="6" a="1"/>
  <c r="D28" i="6" a="1"/>
  <c r="D27" i="6" a="1"/>
  <c r="D26" i="6" a="1"/>
  <c r="D25" i="6" a="1"/>
  <c r="D24" i="6" a="1"/>
  <c r="D23" i="6" a="1"/>
  <c r="D22" i="6" a="1"/>
  <c r="D21" i="6" a="1"/>
  <c r="D20" i="6" a="1"/>
  <c r="D19" i="6" a="1"/>
  <c r="D18" i="6" a="1"/>
  <c r="D17" i="6" a="1"/>
  <c r="D16" i="6" a="1"/>
  <c r="D15" i="6" a="1"/>
  <c r="D14" i="6" a="1"/>
  <c r="D13" i="6" a="1"/>
  <c r="D12" i="6" a="1"/>
  <c r="D11" i="6" a="1"/>
  <c r="D10" i="6" a="1"/>
  <c r="D9" i="6" a="1"/>
  <c r="D8" i="6" a="1"/>
  <c r="D7" i="6" a="1"/>
  <c r="D6" i="6" a="1"/>
  <c r="D5" i="6" a="1"/>
  <c r="D4" i="6" a="1"/>
  <c r="D3" i="6" a="1"/>
  <c r="C3" i="6"/>
  <c r="C4" i="6" s="1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I191" i="5"/>
  <c r="J191" i="5"/>
  <c r="I192" i="5"/>
  <c r="J192" i="5"/>
  <c r="I193" i="5"/>
  <c r="J193" i="5"/>
  <c r="I194" i="5"/>
  <c r="J194" i="5"/>
  <c r="I195" i="5"/>
  <c r="J195" i="5"/>
  <c r="I196" i="5"/>
  <c r="J196" i="5"/>
  <c r="I197" i="5"/>
  <c r="J197" i="5"/>
  <c r="I198" i="5"/>
  <c r="J198" i="5"/>
  <c r="I199" i="5"/>
  <c r="J199" i="5"/>
  <c r="I200" i="5"/>
  <c r="J200" i="5"/>
  <c r="I201" i="5"/>
  <c r="J201" i="5"/>
  <c r="I202" i="5"/>
  <c r="J202" i="5"/>
  <c r="I203" i="5"/>
  <c r="J203" i="5"/>
  <c r="I204" i="5"/>
  <c r="J204" i="5"/>
  <c r="I205" i="5"/>
  <c r="J205" i="5"/>
  <c r="I206" i="5"/>
  <c r="J206" i="5"/>
  <c r="I207" i="5"/>
  <c r="J207" i="5"/>
  <c r="I208" i="5"/>
  <c r="J208" i="5"/>
  <c r="I209" i="5"/>
  <c r="J209" i="5"/>
  <c r="I210" i="5"/>
  <c r="J210" i="5"/>
  <c r="I211" i="5"/>
  <c r="J211" i="5"/>
  <c r="I212" i="5"/>
  <c r="J212" i="5"/>
  <c r="I213" i="5"/>
  <c r="J213" i="5"/>
  <c r="I214" i="5"/>
  <c r="J214" i="5"/>
  <c r="I215" i="5"/>
  <c r="J215" i="5"/>
  <c r="I216" i="5"/>
  <c r="J216" i="5"/>
  <c r="I217" i="5"/>
  <c r="J217" i="5"/>
  <c r="I218" i="5"/>
  <c r="J218" i="5"/>
  <c r="I219" i="5"/>
  <c r="J219" i="5"/>
  <c r="I220" i="5"/>
  <c r="J220" i="5"/>
  <c r="I221" i="5"/>
  <c r="J221" i="5"/>
  <c r="I222" i="5"/>
  <c r="J222" i="5"/>
  <c r="I223" i="5"/>
  <c r="J223" i="5"/>
  <c r="I224" i="5"/>
  <c r="J224" i="5"/>
  <c r="I225" i="5"/>
  <c r="J225" i="5"/>
  <c r="I226" i="5"/>
  <c r="J226" i="5"/>
  <c r="I227" i="5"/>
  <c r="J227" i="5"/>
  <c r="I228" i="5"/>
  <c r="J228" i="5"/>
  <c r="I229" i="5"/>
  <c r="J229" i="5"/>
  <c r="I230" i="5"/>
  <c r="J230" i="5"/>
  <c r="I231" i="5"/>
  <c r="J231" i="5"/>
  <c r="I232" i="5"/>
  <c r="J232" i="5"/>
  <c r="I233" i="5"/>
  <c r="J233" i="5"/>
  <c r="I234" i="5"/>
  <c r="J234" i="5"/>
  <c r="I235" i="5"/>
  <c r="J235" i="5"/>
  <c r="I236" i="5"/>
  <c r="J236" i="5"/>
  <c r="I237" i="5"/>
  <c r="J237" i="5"/>
  <c r="I238" i="5"/>
  <c r="J238" i="5"/>
  <c r="I239" i="5"/>
  <c r="J239" i="5"/>
  <c r="I240" i="5"/>
  <c r="J240" i="5"/>
  <c r="I241" i="5"/>
  <c r="J241" i="5"/>
  <c r="I242" i="5"/>
  <c r="J242" i="5"/>
  <c r="I243" i="5"/>
  <c r="J243" i="5"/>
  <c r="I244" i="5"/>
  <c r="J244" i="5"/>
  <c r="I245" i="5"/>
  <c r="J245" i="5"/>
  <c r="I246" i="5"/>
  <c r="J246" i="5"/>
  <c r="I247" i="5"/>
  <c r="J247" i="5"/>
  <c r="I248" i="5"/>
  <c r="J248" i="5"/>
  <c r="I249" i="5"/>
  <c r="J249" i="5"/>
  <c r="I250" i="5"/>
  <c r="J250" i="5"/>
  <c r="I251" i="5"/>
  <c r="J251" i="5"/>
  <c r="I252" i="5"/>
  <c r="J252" i="5"/>
  <c r="I253" i="5"/>
  <c r="J253" i="5"/>
  <c r="I254" i="5"/>
  <c r="J254" i="5"/>
  <c r="I255" i="5"/>
  <c r="J255" i="5"/>
  <c r="I256" i="5"/>
  <c r="J256" i="5"/>
  <c r="I257" i="5"/>
  <c r="J257" i="5"/>
  <c r="I258" i="5"/>
  <c r="J258" i="5"/>
  <c r="I259" i="5"/>
  <c r="J259" i="5"/>
  <c r="I260" i="5"/>
  <c r="J260" i="5"/>
  <c r="I261" i="5"/>
  <c r="J261" i="5"/>
  <c r="I262" i="5"/>
  <c r="J262" i="5"/>
  <c r="I263" i="5"/>
  <c r="J263" i="5"/>
  <c r="I264" i="5"/>
  <c r="J264" i="5"/>
  <c r="I265" i="5"/>
  <c r="J265" i="5"/>
  <c r="I266" i="5"/>
  <c r="J266" i="5"/>
  <c r="I267" i="5"/>
  <c r="J267" i="5"/>
  <c r="I268" i="5"/>
  <c r="J268" i="5"/>
  <c r="I269" i="5"/>
  <c r="J269" i="5"/>
  <c r="I270" i="5"/>
  <c r="J270" i="5"/>
  <c r="I271" i="5"/>
  <c r="J271" i="5"/>
  <c r="I272" i="5"/>
  <c r="J272" i="5"/>
  <c r="I273" i="5"/>
  <c r="J273" i="5"/>
  <c r="I274" i="5"/>
  <c r="J274" i="5"/>
  <c r="I275" i="5"/>
  <c r="J275" i="5"/>
  <c r="I276" i="5"/>
  <c r="J276" i="5"/>
  <c r="I277" i="5"/>
  <c r="J277" i="5"/>
  <c r="I278" i="5"/>
  <c r="J278" i="5"/>
  <c r="I279" i="5"/>
  <c r="J279" i="5"/>
  <c r="I280" i="5"/>
  <c r="J280" i="5"/>
  <c r="I281" i="5"/>
  <c r="J281" i="5"/>
  <c r="I282" i="5"/>
  <c r="J282" i="5"/>
  <c r="I283" i="5"/>
  <c r="J283" i="5"/>
  <c r="I284" i="5"/>
  <c r="J284" i="5"/>
  <c r="I285" i="5"/>
  <c r="J285" i="5"/>
  <c r="I286" i="5"/>
  <c r="J286" i="5"/>
  <c r="I287" i="5"/>
  <c r="J287" i="5"/>
  <c r="I288" i="5"/>
  <c r="J288" i="5"/>
  <c r="I289" i="5"/>
  <c r="J289" i="5"/>
  <c r="I290" i="5"/>
  <c r="J290" i="5"/>
  <c r="I291" i="5"/>
  <c r="J291" i="5"/>
  <c r="I292" i="5"/>
  <c r="J292" i="5"/>
  <c r="I293" i="5"/>
  <c r="J293" i="5"/>
  <c r="I294" i="5"/>
  <c r="J294" i="5"/>
  <c r="I295" i="5"/>
  <c r="J295" i="5"/>
  <c r="I296" i="5"/>
  <c r="J296" i="5"/>
  <c r="J305" i="5"/>
  <c r="I306" i="5"/>
  <c r="J306" i="5"/>
  <c r="I307" i="5"/>
  <c r="J307" i="5"/>
  <c r="I308" i="5"/>
  <c r="J308" i="5"/>
  <c r="I309" i="5"/>
  <c r="J309" i="5"/>
  <c r="I310" i="5"/>
  <c r="J310" i="5"/>
  <c r="I311" i="5"/>
  <c r="J311" i="5"/>
  <c r="I312" i="5"/>
  <c r="J312" i="5"/>
  <c r="I313" i="5"/>
  <c r="J313" i="5"/>
  <c r="I314" i="5"/>
  <c r="J314" i="5"/>
  <c r="I315" i="5"/>
  <c r="J315" i="5"/>
  <c r="I316" i="5"/>
  <c r="J316" i="5"/>
  <c r="I317" i="5"/>
  <c r="J317" i="5"/>
  <c r="I318" i="5"/>
  <c r="J318" i="5"/>
  <c r="I319" i="5"/>
  <c r="J319" i="5"/>
  <c r="I320" i="5"/>
  <c r="J320" i="5"/>
  <c r="I321" i="5"/>
  <c r="J321" i="5"/>
  <c r="I322" i="5"/>
  <c r="J322" i="5"/>
  <c r="I323" i="5"/>
  <c r="J323" i="5"/>
  <c r="I324" i="5"/>
  <c r="J324" i="5"/>
  <c r="I325" i="5"/>
  <c r="J325" i="5"/>
  <c r="I326" i="5"/>
  <c r="J326" i="5"/>
  <c r="I327" i="5"/>
  <c r="J327" i="5"/>
  <c r="I328" i="5"/>
  <c r="J328" i="5"/>
  <c r="I329" i="5"/>
  <c r="J329" i="5"/>
  <c r="I330" i="5"/>
  <c r="J330" i="5"/>
  <c r="I331" i="5"/>
  <c r="J331" i="5"/>
  <c r="I332" i="5"/>
  <c r="J332" i="5"/>
  <c r="I333" i="5"/>
  <c r="J333" i="5"/>
  <c r="I334" i="5"/>
  <c r="J334" i="5"/>
  <c r="I335" i="5"/>
  <c r="J335" i="5"/>
  <c r="I336" i="5"/>
  <c r="J336" i="5"/>
  <c r="I337" i="5"/>
  <c r="J337" i="5"/>
  <c r="I338" i="5"/>
  <c r="J338" i="5"/>
  <c r="I339" i="5"/>
  <c r="J339" i="5"/>
  <c r="I340" i="5"/>
  <c r="J340" i="5"/>
  <c r="I341" i="5"/>
  <c r="J341" i="5"/>
  <c r="I342" i="5"/>
  <c r="J342" i="5"/>
  <c r="I343" i="5"/>
  <c r="J343" i="5"/>
  <c r="I344" i="5"/>
  <c r="J344" i="5"/>
  <c r="I345" i="5"/>
  <c r="J345" i="5"/>
  <c r="I346" i="5"/>
  <c r="J346" i="5"/>
  <c r="I347" i="5"/>
  <c r="J347" i="5"/>
  <c r="I348" i="5"/>
  <c r="J348" i="5"/>
  <c r="I349" i="5"/>
  <c r="J349" i="5"/>
  <c r="I350" i="5"/>
  <c r="J350" i="5"/>
  <c r="I351" i="5"/>
  <c r="J351" i="5"/>
  <c r="I352" i="5"/>
  <c r="J352" i="5"/>
  <c r="I353" i="5"/>
  <c r="J353" i="5"/>
  <c r="I354" i="5"/>
  <c r="J354" i="5"/>
  <c r="I355" i="5"/>
  <c r="J355" i="5"/>
  <c r="I356" i="5"/>
  <c r="J356" i="5"/>
  <c r="I357" i="5"/>
  <c r="J357" i="5"/>
  <c r="I358" i="5"/>
  <c r="J358" i="5"/>
  <c r="I359" i="5"/>
  <c r="J359" i="5"/>
  <c r="I360" i="5"/>
  <c r="J360" i="5"/>
  <c r="I361" i="5"/>
  <c r="J361" i="5"/>
  <c r="I362" i="5"/>
  <c r="J362" i="5"/>
  <c r="I363" i="5"/>
  <c r="J363" i="5"/>
  <c r="I364" i="5"/>
  <c r="J364" i="5"/>
  <c r="I365" i="5"/>
  <c r="J365" i="5"/>
  <c r="I366" i="5"/>
  <c r="J366" i="5"/>
  <c r="I367" i="5"/>
  <c r="J367" i="5"/>
  <c r="I368" i="5"/>
  <c r="J368" i="5"/>
  <c r="I369" i="5"/>
  <c r="J369" i="5"/>
  <c r="I370" i="5"/>
  <c r="J370" i="5"/>
  <c r="I371" i="5"/>
  <c r="J371" i="5"/>
  <c r="I372" i="5"/>
  <c r="J372" i="5"/>
  <c r="I373" i="5"/>
  <c r="J373" i="5"/>
  <c r="I374" i="5"/>
  <c r="J374" i="5"/>
  <c r="I375" i="5"/>
  <c r="J375" i="5"/>
  <c r="I376" i="5"/>
  <c r="J376" i="5"/>
  <c r="I377" i="5"/>
  <c r="J377" i="5"/>
  <c r="I378" i="5"/>
  <c r="J378" i="5"/>
  <c r="I379" i="5"/>
  <c r="J379" i="5"/>
  <c r="I380" i="5"/>
  <c r="J380" i="5"/>
  <c r="I381" i="5"/>
  <c r="J381" i="5"/>
  <c r="I382" i="5"/>
  <c r="J382" i="5"/>
  <c r="I383" i="5"/>
  <c r="J383" i="5"/>
  <c r="I384" i="5"/>
  <c r="J384" i="5"/>
  <c r="I385" i="5"/>
  <c r="J385" i="5"/>
  <c r="I386" i="5"/>
  <c r="J386" i="5"/>
  <c r="I387" i="5"/>
  <c r="J387" i="5"/>
  <c r="J14" i="5"/>
  <c r="F3" i="5"/>
  <c r="I14" i="5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J297" i="5" s="1"/>
  <c r="G287" i="5"/>
  <c r="J298" i="5" s="1"/>
  <c r="G288" i="5"/>
  <c r="J299" i="5" s="1"/>
  <c r="G289" i="5"/>
  <c r="J300" i="5" s="1"/>
  <c r="G290" i="5"/>
  <c r="J301" i="5" s="1"/>
  <c r="G291" i="5"/>
  <c r="J302" i="5" s="1"/>
  <c r="G292" i="5"/>
  <c r="J303" i="5" s="1"/>
  <c r="G293" i="5"/>
  <c r="J304" i="5" s="1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92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I104" i="5" s="1"/>
  <c r="F94" i="5"/>
  <c r="I105" i="5" s="1"/>
  <c r="F95" i="5"/>
  <c r="I106" i="5" s="1"/>
  <c r="F96" i="5"/>
  <c r="I107" i="5" s="1"/>
  <c r="F97" i="5"/>
  <c r="I108" i="5" s="1"/>
  <c r="F98" i="5"/>
  <c r="I109" i="5" s="1"/>
  <c r="F99" i="5"/>
  <c r="I110" i="5" s="1"/>
  <c r="F100" i="5"/>
  <c r="I111" i="5" s="1"/>
  <c r="F101" i="5"/>
  <c r="F102" i="5"/>
  <c r="I112" i="5" s="1"/>
  <c r="F103" i="5"/>
  <c r="F104" i="5"/>
  <c r="F105" i="5"/>
  <c r="F106" i="5"/>
  <c r="F107" i="5"/>
  <c r="I113" i="5" s="1"/>
  <c r="F108" i="5"/>
  <c r="F109" i="5"/>
  <c r="F110" i="5"/>
  <c r="F111" i="5"/>
  <c r="F112" i="5"/>
  <c r="F113" i="5"/>
  <c r="F114" i="5"/>
  <c r="I114" i="5" s="1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I297" i="5" s="1"/>
  <c r="F287" i="5"/>
  <c r="I298" i="5" s="1"/>
  <c r="F288" i="5"/>
  <c r="I299" i="5" s="1"/>
  <c r="F289" i="5"/>
  <c r="I300" i="5" s="1"/>
  <c r="F290" i="5"/>
  <c r="I301" i="5" s="1"/>
  <c r="F291" i="5"/>
  <c r="I302" i="5" s="1"/>
  <c r="F292" i="5"/>
  <c r="I303" i="5" s="1"/>
  <c r="F293" i="5"/>
  <c r="I304" i="5" s="1"/>
  <c r="F294" i="5"/>
  <c r="I305" i="5" s="1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H204" i="5" s="1"/>
  <c r="D205" i="5"/>
  <c r="H205" i="5" s="1"/>
  <c r="D206" i="5"/>
  <c r="H206" i="5" s="1"/>
  <c r="D207" i="5"/>
  <c r="H207" i="5" s="1"/>
  <c r="D208" i="5"/>
  <c r="H208" i="5" s="1"/>
  <c r="D209" i="5"/>
  <c r="H209" i="5" s="1"/>
  <c r="D210" i="5"/>
  <c r="H210" i="5" s="1"/>
  <c r="D211" i="5"/>
  <c r="H211" i="5" s="1"/>
  <c r="D212" i="5"/>
  <c r="H212" i="5" s="1"/>
  <c r="D213" i="5"/>
  <c r="H213" i="5" s="1"/>
  <c r="D214" i="5"/>
  <c r="H214" i="5" s="1"/>
  <c r="D215" i="5"/>
  <c r="H215" i="5" s="1"/>
  <c r="D216" i="5"/>
  <c r="H216" i="5" s="1"/>
  <c r="D217" i="5"/>
  <c r="H217" i="5" s="1"/>
  <c r="D218" i="5"/>
  <c r="H218" i="5" s="1"/>
  <c r="D219" i="5"/>
  <c r="H219" i="5" s="1"/>
  <c r="D220" i="5"/>
  <c r="H220" i="5" s="1"/>
  <c r="D221" i="5"/>
  <c r="H221" i="5" s="1"/>
  <c r="D222" i="5"/>
  <c r="H222" i="5" s="1"/>
  <c r="D223" i="5"/>
  <c r="H223" i="5" s="1"/>
  <c r="D224" i="5"/>
  <c r="H224" i="5" s="1"/>
  <c r="D225" i="5"/>
  <c r="H225" i="5" s="1"/>
  <c r="D226" i="5"/>
  <c r="H226" i="5" s="1"/>
  <c r="D227" i="5"/>
  <c r="H227" i="5" s="1"/>
  <c r="D228" i="5"/>
  <c r="H228" i="5" s="1"/>
  <c r="D229" i="5"/>
  <c r="H229" i="5" s="1"/>
  <c r="D230" i="5"/>
  <c r="H230" i="5" s="1"/>
  <c r="D231" i="5"/>
  <c r="H231" i="5" s="1"/>
  <c r="D232" i="5"/>
  <c r="H232" i="5" s="1"/>
  <c r="D233" i="5"/>
  <c r="H233" i="5" s="1"/>
  <c r="D234" i="5"/>
  <c r="H234" i="5" s="1"/>
  <c r="D235" i="5"/>
  <c r="H235" i="5" s="1"/>
  <c r="D236" i="5"/>
  <c r="H236" i="5" s="1"/>
  <c r="D237" i="5"/>
  <c r="H237" i="5" s="1"/>
  <c r="D238" i="5"/>
  <c r="H238" i="5" s="1"/>
  <c r="D239" i="5"/>
  <c r="H239" i="5" s="1"/>
  <c r="D240" i="5"/>
  <c r="H240" i="5" s="1"/>
  <c r="D241" i="5"/>
  <c r="H241" i="5" s="1"/>
  <c r="D242" i="5"/>
  <c r="H242" i="5" s="1"/>
  <c r="D243" i="5"/>
  <c r="H243" i="5" s="1"/>
  <c r="D244" i="5"/>
  <c r="H244" i="5" s="1"/>
  <c r="D245" i="5"/>
  <c r="H245" i="5" s="1"/>
  <c r="D246" i="5"/>
  <c r="H246" i="5" s="1"/>
  <c r="D247" i="5"/>
  <c r="H247" i="5" s="1"/>
  <c r="D248" i="5"/>
  <c r="H248" i="5" s="1"/>
  <c r="D249" i="5"/>
  <c r="H249" i="5" s="1"/>
  <c r="D250" i="5"/>
  <c r="H250" i="5" s="1"/>
  <c r="D251" i="5"/>
  <c r="H251" i="5" s="1"/>
  <c r="D252" i="5"/>
  <c r="H252" i="5" s="1"/>
  <c r="D253" i="5"/>
  <c r="H253" i="5" s="1"/>
  <c r="D254" i="5"/>
  <c r="H254" i="5" s="1"/>
  <c r="D255" i="5"/>
  <c r="H255" i="5" s="1"/>
  <c r="D256" i="5"/>
  <c r="H256" i="5" s="1"/>
  <c r="D257" i="5"/>
  <c r="H257" i="5" s="1"/>
  <c r="D258" i="5"/>
  <c r="H258" i="5" s="1"/>
  <c r="D259" i="5"/>
  <c r="H259" i="5" s="1"/>
  <c r="D260" i="5"/>
  <c r="H260" i="5" s="1"/>
  <c r="D261" i="5"/>
  <c r="H261" i="5" s="1"/>
  <c r="D262" i="5"/>
  <c r="H262" i="5" s="1"/>
  <c r="D263" i="5"/>
  <c r="H263" i="5" s="1"/>
  <c r="D264" i="5"/>
  <c r="H264" i="5" s="1"/>
  <c r="D265" i="5"/>
  <c r="H265" i="5" s="1"/>
  <c r="D266" i="5"/>
  <c r="H266" i="5" s="1"/>
  <c r="D267" i="5"/>
  <c r="H267" i="5" s="1"/>
  <c r="D268" i="5"/>
  <c r="H268" i="5" s="1"/>
  <c r="D269" i="5"/>
  <c r="H269" i="5" s="1"/>
  <c r="D270" i="5"/>
  <c r="H270" i="5" s="1"/>
  <c r="D271" i="5"/>
  <c r="H271" i="5" s="1"/>
  <c r="D272" i="5"/>
  <c r="H272" i="5" s="1"/>
  <c r="D273" i="5"/>
  <c r="H273" i="5" s="1"/>
  <c r="D274" i="5"/>
  <c r="H274" i="5" s="1"/>
  <c r="D275" i="5"/>
  <c r="H275" i="5" s="1"/>
  <c r="D276" i="5"/>
  <c r="H276" i="5" s="1"/>
  <c r="D277" i="5"/>
  <c r="H277" i="5" s="1"/>
  <c r="D278" i="5"/>
  <c r="H278" i="5" s="1"/>
  <c r="D279" i="5"/>
  <c r="H279" i="5" s="1"/>
  <c r="D280" i="5"/>
  <c r="H280" i="5" s="1"/>
  <c r="D281" i="5"/>
  <c r="H281" i="5" s="1"/>
  <c r="D282" i="5"/>
  <c r="H282" i="5" s="1"/>
  <c r="D283" i="5"/>
  <c r="H283" i="5" s="1"/>
  <c r="D284" i="5"/>
  <c r="H284" i="5" s="1"/>
  <c r="D285" i="5"/>
  <c r="H285" i="5" s="1"/>
  <c r="D286" i="5"/>
  <c r="H286" i="5" s="1"/>
  <c r="D287" i="5"/>
  <c r="H287" i="5" s="1"/>
  <c r="D288" i="5"/>
  <c r="H288" i="5" s="1"/>
  <c r="D289" i="5"/>
  <c r="H289" i="5" s="1"/>
  <c r="D290" i="5"/>
  <c r="H290" i="5" s="1"/>
  <c r="D291" i="5"/>
  <c r="H291" i="5" s="1"/>
  <c r="D292" i="5"/>
  <c r="H292" i="5" s="1"/>
  <c r="D293" i="5"/>
  <c r="H293" i="5" s="1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M157" i="3" s="1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X388" i="3"/>
  <c r="AH388" i="3" s="1"/>
  <c r="AU388" i="3" s="1"/>
  <c r="W388" i="3"/>
  <c r="AG388" i="3" s="1"/>
  <c r="AT388" i="3" s="1"/>
  <c r="V388" i="3"/>
  <c r="AF388" i="3" s="1"/>
  <c r="AS388" i="3" s="1"/>
  <c r="U388" i="3"/>
  <c r="AE388" i="3" s="1"/>
  <c r="AR388" i="3" s="1"/>
  <c r="T388" i="3"/>
  <c r="AD388" i="3" s="1"/>
  <c r="AQ388" i="3" s="1"/>
  <c r="S388" i="3"/>
  <c r="AC388" i="3" s="1"/>
  <c r="AP388" i="3" s="1"/>
  <c r="R388" i="3"/>
  <c r="AB388" i="3" s="1"/>
  <c r="AO388" i="3" s="1"/>
  <c r="Q388" i="3"/>
  <c r="AA388" i="3" s="1"/>
  <c r="AN388" i="3" s="1"/>
  <c r="P388" i="3"/>
  <c r="X387" i="3"/>
  <c r="W387" i="3"/>
  <c r="V387" i="3"/>
  <c r="U387" i="3"/>
  <c r="T387" i="3"/>
  <c r="S387" i="3"/>
  <c r="R387" i="3"/>
  <c r="Q387" i="3"/>
  <c r="P387" i="3"/>
  <c r="E2" i="3"/>
  <c r="I2" i="3"/>
  <c r="E3" i="3"/>
  <c r="I3" i="3"/>
  <c r="E4" i="3"/>
  <c r="I4" i="3"/>
  <c r="E5" i="3"/>
  <c r="I5" i="3"/>
  <c r="E6" i="3"/>
  <c r="I6" i="3"/>
  <c r="E7" i="3"/>
  <c r="I7" i="3"/>
  <c r="E8" i="3"/>
  <c r="I8" i="3"/>
  <c r="E9" i="3"/>
  <c r="I9" i="3"/>
  <c r="E10" i="3"/>
  <c r="I10" i="3"/>
  <c r="E11" i="3"/>
  <c r="I11" i="3"/>
  <c r="E12" i="3"/>
  <c r="I12" i="3"/>
  <c r="E13" i="3"/>
  <c r="I13" i="3"/>
  <c r="E14" i="3"/>
  <c r="F14" i="3"/>
  <c r="G14" i="3"/>
  <c r="H14" i="3"/>
  <c r="I14" i="3"/>
  <c r="E15" i="3"/>
  <c r="F15" i="3"/>
  <c r="G15" i="3"/>
  <c r="H15" i="3"/>
  <c r="I15" i="3"/>
  <c r="E16" i="3"/>
  <c r="F16" i="3"/>
  <c r="G16" i="3"/>
  <c r="H16" i="3"/>
  <c r="I16" i="3"/>
  <c r="E17" i="3"/>
  <c r="F17" i="3"/>
  <c r="G17" i="3"/>
  <c r="H17" i="3"/>
  <c r="I17" i="3"/>
  <c r="E18" i="3"/>
  <c r="F18" i="3"/>
  <c r="G18" i="3"/>
  <c r="H18" i="3"/>
  <c r="I18" i="3"/>
  <c r="E19" i="3"/>
  <c r="F19" i="3"/>
  <c r="G19" i="3"/>
  <c r="H19" i="3"/>
  <c r="I19" i="3"/>
  <c r="E20" i="3"/>
  <c r="F20" i="3"/>
  <c r="G20" i="3"/>
  <c r="H20" i="3"/>
  <c r="I20" i="3"/>
  <c r="E21" i="3"/>
  <c r="F21" i="3"/>
  <c r="G21" i="3"/>
  <c r="H21" i="3"/>
  <c r="I21" i="3"/>
  <c r="E22" i="3"/>
  <c r="F22" i="3"/>
  <c r="G22" i="3"/>
  <c r="H22" i="3"/>
  <c r="I22" i="3"/>
  <c r="E23" i="3"/>
  <c r="F23" i="3"/>
  <c r="G23" i="3"/>
  <c r="H23" i="3"/>
  <c r="I23" i="3"/>
  <c r="E24" i="3"/>
  <c r="F24" i="3"/>
  <c r="G24" i="3"/>
  <c r="H24" i="3"/>
  <c r="I24" i="3"/>
  <c r="E25" i="3"/>
  <c r="F25" i="3"/>
  <c r="G25" i="3"/>
  <c r="H25" i="3"/>
  <c r="I25" i="3"/>
  <c r="E26" i="3"/>
  <c r="F26" i="3"/>
  <c r="G26" i="3"/>
  <c r="H26" i="3"/>
  <c r="I26" i="3"/>
  <c r="E27" i="3"/>
  <c r="F27" i="3"/>
  <c r="G27" i="3"/>
  <c r="H27" i="3"/>
  <c r="I27" i="3"/>
  <c r="E28" i="3"/>
  <c r="F28" i="3"/>
  <c r="G28" i="3"/>
  <c r="H28" i="3"/>
  <c r="I28" i="3"/>
  <c r="E29" i="3"/>
  <c r="F29" i="3"/>
  <c r="G29" i="3"/>
  <c r="H29" i="3"/>
  <c r="I29" i="3"/>
  <c r="E30" i="3"/>
  <c r="F30" i="3"/>
  <c r="G30" i="3"/>
  <c r="H30" i="3"/>
  <c r="I30" i="3"/>
  <c r="E31" i="3"/>
  <c r="F31" i="3"/>
  <c r="G31" i="3"/>
  <c r="H31" i="3"/>
  <c r="I31" i="3"/>
  <c r="E32" i="3"/>
  <c r="F32" i="3"/>
  <c r="G32" i="3"/>
  <c r="H32" i="3"/>
  <c r="I32" i="3"/>
  <c r="E33" i="3"/>
  <c r="F33" i="3"/>
  <c r="G33" i="3"/>
  <c r="H33" i="3"/>
  <c r="I33" i="3"/>
  <c r="E34" i="3"/>
  <c r="F34" i="3"/>
  <c r="G34" i="3"/>
  <c r="H34" i="3"/>
  <c r="I34" i="3"/>
  <c r="E35" i="3"/>
  <c r="F35" i="3"/>
  <c r="G35" i="3"/>
  <c r="H35" i="3"/>
  <c r="I35" i="3"/>
  <c r="E36" i="3"/>
  <c r="F36" i="3"/>
  <c r="G36" i="3"/>
  <c r="H36" i="3"/>
  <c r="I36" i="3"/>
  <c r="E37" i="3"/>
  <c r="F37" i="3"/>
  <c r="G37" i="3"/>
  <c r="H37" i="3"/>
  <c r="I37" i="3"/>
  <c r="E38" i="3"/>
  <c r="F38" i="3"/>
  <c r="G38" i="3"/>
  <c r="H38" i="3"/>
  <c r="I38" i="3"/>
  <c r="E39" i="3"/>
  <c r="F39" i="3"/>
  <c r="G39" i="3"/>
  <c r="H39" i="3"/>
  <c r="I39" i="3"/>
  <c r="E40" i="3"/>
  <c r="F40" i="3"/>
  <c r="G40" i="3"/>
  <c r="H40" i="3"/>
  <c r="I40" i="3"/>
  <c r="E41" i="3"/>
  <c r="F41" i="3"/>
  <c r="G41" i="3"/>
  <c r="H41" i="3"/>
  <c r="I41" i="3"/>
  <c r="E42" i="3"/>
  <c r="F42" i="3"/>
  <c r="G42" i="3"/>
  <c r="H42" i="3"/>
  <c r="I42" i="3"/>
  <c r="E43" i="3"/>
  <c r="F43" i="3"/>
  <c r="G43" i="3"/>
  <c r="H43" i="3"/>
  <c r="I43" i="3"/>
  <c r="E44" i="3"/>
  <c r="F44" i="3"/>
  <c r="G44" i="3"/>
  <c r="H44" i="3"/>
  <c r="I44" i="3"/>
  <c r="E45" i="3"/>
  <c r="F45" i="3"/>
  <c r="G45" i="3"/>
  <c r="H45" i="3"/>
  <c r="I45" i="3"/>
  <c r="E46" i="3"/>
  <c r="F46" i="3"/>
  <c r="G46" i="3"/>
  <c r="H46" i="3"/>
  <c r="I46" i="3"/>
  <c r="E47" i="3"/>
  <c r="F47" i="3"/>
  <c r="G47" i="3"/>
  <c r="H47" i="3"/>
  <c r="I47" i="3"/>
  <c r="E48" i="3"/>
  <c r="F48" i="3"/>
  <c r="G48" i="3"/>
  <c r="H48" i="3"/>
  <c r="I48" i="3"/>
  <c r="E49" i="3"/>
  <c r="F49" i="3"/>
  <c r="G49" i="3"/>
  <c r="H49" i="3"/>
  <c r="I49" i="3"/>
  <c r="E50" i="3"/>
  <c r="F50" i="3"/>
  <c r="G50" i="3"/>
  <c r="H50" i="3"/>
  <c r="I50" i="3"/>
  <c r="J50" i="3"/>
  <c r="E51" i="3"/>
  <c r="F51" i="3"/>
  <c r="G51" i="3"/>
  <c r="H51" i="3"/>
  <c r="I51" i="3"/>
  <c r="J51" i="3"/>
  <c r="J52" i="3" s="1"/>
  <c r="J53" i="3" s="1"/>
  <c r="J54" i="3" s="1"/>
  <c r="J55" i="3" s="1"/>
  <c r="J56" i="3" s="1"/>
  <c r="J57" i="3" s="1"/>
  <c r="J58" i="3" s="1"/>
  <c r="J59" i="3" s="1"/>
  <c r="J60" i="3" s="1"/>
  <c r="J61" i="3" s="1"/>
  <c r="J62" i="3" s="1"/>
  <c r="J63" i="3" s="1"/>
  <c r="J64" i="3" s="1"/>
  <c r="J65" i="3" s="1"/>
  <c r="J66" i="3" s="1"/>
  <c r="J67" i="3" s="1"/>
  <c r="J68" i="3" s="1"/>
  <c r="J69" i="3" s="1"/>
  <c r="J70" i="3" s="1"/>
  <c r="J71" i="3" s="1"/>
  <c r="J72" i="3" s="1"/>
  <c r="J73" i="3" s="1"/>
  <c r="J74" i="3" s="1"/>
  <c r="J75" i="3" s="1"/>
  <c r="J76" i="3" s="1"/>
  <c r="J77" i="3" s="1"/>
  <c r="J78" i="3" s="1"/>
  <c r="J79" i="3" s="1"/>
  <c r="J80" i="3" s="1"/>
  <c r="J81" i="3" s="1"/>
  <c r="J82" i="3" s="1"/>
  <c r="J83" i="3" s="1"/>
  <c r="J84" i="3" s="1"/>
  <c r="J85" i="3" s="1"/>
  <c r="J86" i="3" s="1"/>
  <c r="J87" i="3" s="1"/>
  <c r="J88" i="3" s="1"/>
  <c r="J89" i="3" s="1"/>
  <c r="J90" i="3" s="1"/>
  <c r="J91" i="3" s="1"/>
  <c r="J92" i="3" s="1"/>
  <c r="J93" i="3" s="1"/>
  <c r="J94" i="3" s="1"/>
  <c r="J95" i="3" s="1"/>
  <c r="J96" i="3" s="1"/>
  <c r="J97" i="3" s="1"/>
  <c r="J98" i="3" s="1"/>
  <c r="J99" i="3" s="1"/>
  <c r="J100" i="3" s="1"/>
  <c r="J101" i="3" s="1"/>
  <c r="J102" i="3" s="1"/>
  <c r="J103" i="3" s="1"/>
  <c r="J104" i="3" s="1"/>
  <c r="J105" i="3" s="1"/>
  <c r="J106" i="3" s="1"/>
  <c r="J107" i="3" s="1"/>
  <c r="J108" i="3" s="1"/>
  <c r="J109" i="3" s="1"/>
  <c r="J110" i="3" s="1"/>
  <c r="J111" i="3" s="1"/>
  <c r="J112" i="3" s="1"/>
  <c r="J113" i="3" s="1"/>
  <c r="J114" i="3" s="1"/>
  <c r="J115" i="3" s="1"/>
  <c r="J116" i="3" s="1"/>
  <c r="J117" i="3" s="1"/>
  <c r="J118" i="3" s="1"/>
  <c r="J119" i="3" s="1"/>
  <c r="J120" i="3" s="1"/>
  <c r="J121" i="3" s="1"/>
  <c r="J122" i="3" s="1"/>
  <c r="J123" i="3" s="1"/>
  <c r="J124" i="3" s="1"/>
  <c r="J125" i="3" s="1"/>
  <c r="J126" i="3" s="1"/>
  <c r="J127" i="3" s="1"/>
  <c r="J128" i="3" s="1"/>
  <c r="J129" i="3" s="1"/>
  <c r="J130" i="3" s="1"/>
  <c r="J131" i="3" s="1"/>
  <c r="J132" i="3" s="1"/>
  <c r="J133" i="3" s="1"/>
  <c r="J134" i="3" s="1"/>
  <c r="J135" i="3" s="1"/>
  <c r="J136" i="3" s="1"/>
  <c r="J137" i="3" s="1"/>
  <c r="J138" i="3" s="1"/>
  <c r="J139" i="3" s="1"/>
  <c r="J140" i="3" s="1"/>
  <c r="J141" i="3" s="1"/>
  <c r="J142" i="3" s="1"/>
  <c r="J143" i="3" s="1"/>
  <c r="J144" i="3" s="1"/>
  <c r="J145" i="3" s="1"/>
  <c r="E52" i="3"/>
  <c r="F52" i="3"/>
  <c r="G52" i="3"/>
  <c r="H52" i="3"/>
  <c r="I52" i="3"/>
  <c r="E53" i="3"/>
  <c r="F53" i="3"/>
  <c r="G53" i="3"/>
  <c r="H53" i="3"/>
  <c r="I53" i="3"/>
  <c r="E54" i="3"/>
  <c r="F54" i="3"/>
  <c r="G54" i="3"/>
  <c r="H54" i="3"/>
  <c r="I54" i="3"/>
  <c r="E55" i="3"/>
  <c r="F55" i="3"/>
  <c r="G55" i="3"/>
  <c r="H55" i="3"/>
  <c r="I55" i="3"/>
  <c r="E56" i="3"/>
  <c r="F56" i="3"/>
  <c r="G56" i="3"/>
  <c r="H56" i="3"/>
  <c r="I56" i="3"/>
  <c r="E57" i="3"/>
  <c r="F57" i="3"/>
  <c r="G57" i="3"/>
  <c r="H57" i="3"/>
  <c r="I57" i="3"/>
  <c r="E58" i="3"/>
  <c r="F58" i="3"/>
  <c r="G58" i="3"/>
  <c r="H58" i="3"/>
  <c r="I58" i="3"/>
  <c r="E59" i="3"/>
  <c r="F59" i="3"/>
  <c r="G59" i="3"/>
  <c r="H59" i="3"/>
  <c r="I59" i="3"/>
  <c r="E60" i="3"/>
  <c r="F60" i="3"/>
  <c r="G60" i="3"/>
  <c r="H60" i="3"/>
  <c r="I60" i="3"/>
  <c r="E61" i="3"/>
  <c r="F61" i="3"/>
  <c r="G61" i="3"/>
  <c r="H61" i="3"/>
  <c r="I61" i="3"/>
  <c r="E62" i="3"/>
  <c r="F62" i="3"/>
  <c r="G62" i="3"/>
  <c r="H62" i="3"/>
  <c r="I62" i="3"/>
  <c r="E63" i="3"/>
  <c r="F63" i="3"/>
  <c r="G63" i="3"/>
  <c r="H63" i="3"/>
  <c r="I63" i="3"/>
  <c r="E64" i="3"/>
  <c r="F64" i="3"/>
  <c r="G64" i="3"/>
  <c r="H64" i="3"/>
  <c r="I64" i="3"/>
  <c r="E65" i="3"/>
  <c r="F65" i="3"/>
  <c r="G65" i="3"/>
  <c r="H65" i="3"/>
  <c r="I65" i="3"/>
  <c r="E66" i="3"/>
  <c r="F66" i="3"/>
  <c r="G66" i="3"/>
  <c r="H66" i="3"/>
  <c r="I66" i="3"/>
  <c r="E67" i="3"/>
  <c r="F67" i="3"/>
  <c r="G67" i="3"/>
  <c r="H67" i="3"/>
  <c r="I67" i="3"/>
  <c r="E68" i="3"/>
  <c r="F68" i="3"/>
  <c r="G68" i="3"/>
  <c r="H68" i="3"/>
  <c r="I68" i="3"/>
  <c r="E69" i="3"/>
  <c r="F69" i="3"/>
  <c r="G69" i="3"/>
  <c r="H69" i="3"/>
  <c r="I69" i="3"/>
  <c r="E70" i="3"/>
  <c r="F70" i="3"/>
  <c r="G70" i="3"/>
  <c r="H70" i="3"/>
  <c r="I70" i="3"/>
  <c r="E71" i="3"/>
  <c r="F71" i="3"/>
  <c r="G71" i="3"/>
  <c r="H71" i="3"/>
  <c r="I71" i="3"/>
  <c r="E72" i="3"/>
  <c r="F72" i="3"/>
  <c r="G72" i="3"/>
  <c r="H72" i="3"/>
  <c r="I72" i="3"/>
  <c r="E73" i="3"/>
  <c r="F73" i="3"/>
  <c r="G73" i="3"/>
  <c r="H73" i="3"/>
  <c r="I73" i="3"/>
  <c r="E74" i="3"/>
  <c r="F74" i="3"/>
  <c r="G74" i="3"/>
  <c r="H74" i="3"/>
  <c r="I74" i="3"/>
  <c r="E75" i="3"/>
  <c r="F75" i="3"/>
  <c r="G75" i="3"/>
  <c r="H75" i="3"/>
  <c r="I75" i="3"/>
  <c r="E76" i="3"/>
  <c r="F76" i="3"/>
  <c r="G76" i="3"/>
  <c r="H76" i="3"/>
  <c r="I76" i="3"/>
  <c r="E77" i="3"/>
  <c r="F77" i="3"/>
  <c r="G77" i="3"/>
  <c r="H77" i="3"/>
  <c r="I77" i="3"/>
  <c r="E78" i="3"/>
  <c r="F78" i="3"/>
  <c r="G78" i="3"/>
  <c r="H78" i="3"/>
  <c r="I78" i="3"/>
  <c r="E79" i="3"/>
  <c r="F79" i="3"/>
  <c r="G79" i="3"/>
  <c r="H79" i="3"/>
  <c r="I79" i="3"/>
  <c r="E80" i="3"/>
  <c r="F80" i="3"/>
  <c r="G80" i="3"/>
  <c r="H80" i="3"/>
  <c r="I80" i="3"/>
  <c r="E81" i="3"/>
  <c r="F81" i="3"/>
  <c r="G81" i="3"/>
  <c r="H81" i="3"/>
  <c r="I81" i="3"/>
  <c r="E82" i="3"/>
  <c r="F82" i="3"/>
  <c r="G82" i="3"/>
  <c r="H82" i="3"/>
  <c r="I82" i="3"/>
  <c r="E83" i="3"/>
  <c r="F83" i="3"/>
  <c r="G83" i="3"/>
  <c r="H83" i="3"/>
  <c r="I83" i="3"/>
  <c r="E84" i="3"/>
  <c r="F84" i="3"/>
  <c r="G84" i="3"/>
  <c r="H84" i="3"/>
  <c r="I84" i="3"/>
  <c r="E85" i="3"/>
  <c r="F85" i="3"/>
  <c r="G85" i="3"/>
  <c r="H85" i="3"/>
  <c r="I85" i="3"/>
  <c r="E86" i="3"/>
  <c r="F86" i="3"/>
  <c r="G86" i="3"/>
  <c r="H86" i="3"/>
  <c r="I86" i="3"/>
  <c r="E87" i="3"/>
  <c r="F87" i="3"/>
  <c r="G87" i="3"/>
  <c r="H87" i="3"/>
  <c r="I87" i="3"/>
  <c r="E88" i="3"/>
  <c r="F88" i="3"/>
  <c r="G88" i="3"/>
  <c r="H88" i="3"/>
  <c r="I88" i="3"/>
  <c r="E89" i="3"/>
  <c r="F89" i="3"/>
  <c r="G89" i="3"/>
  <c r="H89" i="3"/>
  <c r="I89" i="3"/>
  <c r="E90" i="3"/>
  <c r="F90" i="3"/>
  <c r="G90" i="3"/>
  <c r="H90" i="3"/>
  <c r="I90" i="3"/>
  <c r="E91" i="3"/>
  <c r="F91" i="3"/>
  <c r="G91" i="3"/>
  <c r="H91" i="3"/>
  <c r="I91" i="3"/>
  <c r="E92" i="3"/>
  <c r="F92" i="3"/>
  <c r="G92" i="3"/>
  <c r="H92" i="3"/>
  <c r="I92" i="3"/>
  <c r="E93" i="3"/>
  <c r="F93" i="3"/>
  <c r="G93" i="3"/>
  <c r="H93" i="3"/>
  <c r="I93" i="3"/>
  <c r="E94" i="3"/>
  <c r="F94" i="3"/>
  <c r="G94" i="3"/>
  <c r="H94" i="3"/>
  <c r="I94" i="3"/>
  <c r="E95" i="3"/>
  <c r="F95" i="3"/>
  <c r="G95" i="3"/>
  <c r="H95" i="3"/>
  <c r="I95" i="3"/>
  <c r="E96" i="3"/>
  <c r="F96" i="3"/>
  <c r="G96" i="3"/>
  <c r="H96" i="3"/>
  <c r="I96" i="3"/>
  <c r="E97" i="3"/>
  <c r="F97" i="3"/>
  <c r="G97" i="3"/>
  <c r="H97" i="3"/>
  <c r="I97" i="3"/>
  <c r="E98" i="3"/>
  <c r="F98" i="3"/>
  <c r="G98" i="3"/>
  <c r="H98" i="3"/>
  <c r="I98" i="3"/>
  <c r="E99" i="3"/>
  <c r="F99" i="3"/>
  <c r="G99" i="3"/>
  <c r="H99" i="3"/>
  <c r="I99" i="3"/>
  <c r="E100" i="3"/>
  <c r="F100" i="3"/>
  <c r="G100" i="3"/>
  <c r="H100" i="3"/>
  <c r="I100" i="3"/>
  <c r="E101" i="3"/>
  <c r="F101" i="3"/>
  <c r="G101" i="3"/>
  <c r="H101" i="3"/>
  <c r="I101" i="3"/>
  <c r="E102" i="3"/>
  <c r="F102" i="3"/>
  <c r="G102" i="3"/>
  <c r="H102" i="3"/>
  <c r="I102" i="3"/>
  <c r="E103" i="3"/>
  <c r="F103" i="3"/>
  <c r="G103" i="3"/>
  <c r="H103" i="3"/>
  <c r="I103" i="3"/>
  <c r="E104" i="3"/>
  <c r="F104" i="3"/>
  <c r="G104" i="3"/>
  <c r="H104" i="3"/>
  <c r="I104" i="3"/>
  <c r="E105" i="3"/>
  <c r="F105" i="3"/>
  <c r="G105" i="3"/>
  <c r="H105" i="3"/>
  <c r="I105" i="3"/>
  <c r="E106" i="3"/>
  <c r="F106" i="3"/>
  <c r="G106" i="3"/>
  <c r="H106" i="3"/>
  <c r="I106" i="3"/>
  <c r="E107" i="3"/>
  <c r="F107" i="3"/>
  <c r="G107" i="3"/>
  <c r="H107" i="3"/>
  <c r="I107" i="3"/>
  <c r="E108" i="3"/>
  <c r="F108" i="3"/>
  <c r="G108" i="3"/>
  <c r="H108" i="3"/>
  <c r="I108" i="3"/>
  <c r="E109" i="3"/>
  <c r="F109" i="3"/>
  <c r="G109" i="3"/>
  <c r="H109" i="3"/>
  <c r="I109" i="3"/>
  <c r="E110" i="3"/>
  <c r="F110" i="3"/>
  <c r="G110" i="3"/>
  <c r="H110" i="3"/>
  <c r="I110" i="3"/>
  <c r="E111" i="3"/>
  <c r="F111" i="3"/>
  <c r="G111" i="3"/>
  <c r="H111" i="3"/>
  <c r="I111" i="3"/>
  <c r="E112" i="3"/>
  <c r="F112" i="3"/>
  <c r="G112" i="3"/>
  <c r="H112" i="3"/>
  <c r="I112" i="3"/>
  <c r="E113" i="3"/>
  <c r="F113" i="3"/>
  <c r="G113" i="3"/>
  <c r="H113" i="3"/>
  <c r="I113" i="3"/>
  <c r="E114" i="3"/>
  <c r="F114" i="3"/>
  <c r="G114" i="3"/>
  <c r="H114" i="3"/>
  <c r="I114" i="3"/>
  <c r="E115" i="3"/>
  <c r="F115" i="3"/>
  <c r="G115" i="3"/>
  <c r="H115" i="3"/>
  <c r="I115" i="3"/>
  <c r="E116" i="3"/>
  <c r="F116" i="3"/>
  <c r="G116" i="3"/>
  <c r="H116" i="3"/>
  <c r="I116" i="3"/>
  <c r="E117" i="3"/>
  <c r="F117" i="3"/>
  <c r="G117" i="3"/>
  <c r="H117" i="3"/>
  <c r="I117" i="3"/>
  <c r="E118" i="3"/>
  <c r="F118" i="3"/>
  <c r="G118" i="3"/>
  <c r="H118" i="3"/>
  <c r="I118" i="3"/>
  <c r="E119" i="3"/>
  <c r="F119" i="3"/>
  <c r="G119" i="3"/>
  <c r="H119" i="3"/>
  <c r="I119" i="3"/>
  <c r="E120" i="3"/>
  <c r="F120" i="3"/>
  <c r="G120" i="3"/>
  <c r="H120" i="3"/>
  <c r="I120" i="3"/>
  <c r="E121" i="3"/>
  <c r="F121" i="3"/>
  <c r="G121" i="3"/>
  <c r="H121" i="3"/>
  <c r="I121" i="3"/>
  <c r="E122" i="3"/>
  <c r="F122" i="3"/>
  <c r="G122" i="3"/>
  <c r="H122" i="3"/>
  <c r="I122" i="3"/>
  <c r="E123" i="3"/>
  <c r="F123" i="3"/>
  <c r="G123" i="3"/>
  <c r="H123" i="3"/>
  <c r="I123" i="3"/>
  <c r="E124" i="3"/>
  <c r="F124" i="3"/>
  <c r="G124" i="3"/>
  <c r="H124" i="3"/>
  <c r="I124" i="3"/>
  <c r="E125" i="3"/>
  <c r="F125" i="3"/>
  <c r="G125" i="3"/>
  <c r="H125" i="3"/>
  <c r="I125" i="3"/>
  <c r="E126" i="3"/>
  <c r="F126" i="3"/>
  <c r="G126" i="3"/>
  <c r="H126" i="3"/>
  <c r="I126" i="3"/>
  <c r="E127" i="3"/>
  <c r="F127" i="3"/>
  <c r="G127" i="3"/>
  <c r="H127" i="3"/>
  <c r="I127" i="3"/>
  <c r="E128" i="3"/>
  <c r="F128" i="3"/>
  <c r="G128" i="3"/>
  <c r="H128" i="3"/>
  <c r="I128" i="3"/>
  <c r="E129" i="3"/>
  <c r="F129" i="3"/>
  <c r="G129" i="3"/>
  <c r="H129" i="3"/>
  <c r="I129" i="3"/>
  <c r="E130" i="3"/>
  <c r="F130" i="3"/>
  <c r="G130" i="3"/>
  <c r="H130" i="3"/>
  <c r="I130" i="3"/>
  <c r="E131" i="3"/>
  <c r="F131" i="3"/>
  <c r="G131" i="3"/>
  <c r="H131" i="3"/>
  <c r="I131" i="3"/>
  <c r="E132" i="3"/>
  <c r="F132" i="3"/>
  <c r="G132" i="3"/>
  <c r="H132" i="3"/>
  <c r="I132" i="3"/>
  <c r="E133" i="3"/>
  <c r="F133" i="3"/>
  <c r="G133" i="3"/>
  <c r="H133" i="3"/>
  <c r="I133" i="3"/>
  <c r="E134" i="3"/>
  <c r="F134" i="3"/>
  <c r="G134" i="3"/>
  <c r="H134" i="3"/>
  <c r="I134" i="3"/>
  <c r="E135" i="3"/>
  <c r="F135" i="3"/>
  <c r="G135" i="3"/>
  <c r="H135" i="3"/>
  <c r="I135" i="3"/>
  <c r="E136" i="3"/>
  <c r="F136" i="3"/>
  <c r="G136" i="3"/>
  <c r="H136" i="3"/>
  <c r="I136" i="3"/>
  <c r="E137" i="3"/>
  <c r="F137" i="3"/>
  <c r="G137" i="3"/>
  <c r="H137" i="3"/>
  <c r="I137" i="3"/>
  <c r="E138" i="3"/>
  <c r="F138" i="3"/>
  <c r="G138" i="3"/>
  <c r="H138" i="3"/>
  <c r="I138" i="3"/>
  <c r="E139" i="3"/>
  <c r="F139" i="3"/>
  <c r="G139" i="3"/>
  <c r="H139" i="3"/>
  <c r="I139" i="3"/>
  <c r="E140" i="3"/>
  <c r="F140" i="3"/>
  <c r="G140" i="3"/>
  <c r="H140" i="3"/>
  <c r="I140" i="3"/>
  <c r="E141" i="3"/>
  <c r="F141" i="3"/>
  <c r="G141" i="3"/>
  <c r="H141" i="3"/>
  <c r="I141" i="3"/>
  <c r="E142" i="3"/>
  <c r="F142" i="3"/>
  <c r="G142" i="3"/>
  <c r="H142" i="3"/>
  <c r="I142" i="3"/>
  <c r="E143" i="3"/>
  <c r="F143" i="3"/>
  <c r="G143" i="3"/>
  <c r="H143" i="3"/>
  <c r="I143" i="3"/>
  <c r="E144" i="3"/>
  <c r="F144" i="3"/>
  <c r="G144" i="3"/>
  <c r="H144" i="3"/>
  <c r="I144" i="3"/>
  <c r="E145" i="3"/>
  <c r="F145" i="3"/>
  <c r="G145" i="3"/>
  <c r="H145" i="3"/>
  <c r="I145" i="3"/>
  <c r="E146" i="3"/>
  <c r="F146" i="3"/>
  <c r="G146" i="3"/>
  <c r="H146" i="3"/>
  <c r="I146" i="3"/>
  <c r="E147" i="3"/>
  <c r="F147" i="3"/>
  <c r="G147" i="3"/>
  <c r="H147" i="3"/>
  <c r="I147" i="3"/>
  <c r="E148" i="3"/>
  <c r="F148" i="3"/>
  <c r="G148" i="3"/>
  <c r="H148" i="3"/>
  <c r="I148" i="3"/>
  <c r="E149" i="3"/>
  <c r="F149" i="3"/>
  <c r="G149" i="3"/>
  <c r="H149" i="3"/>
  <c r="I149" i="3"/>
  <c r="E150" i="3"/>
  <c r="F150" i="3"/>
  <c r="G150" i="3"/>
  <c r="H150" i="3"/>
  <c r="I150" i="3"/>
  <c r="E151" i="3"/>
  <c r="F151" i="3"/>
  <c r="G151" i="3"/>
  <c r="H151" i="3"/>
  <c r="I151" i="3"/>
  <c r="E152" i="3"/>
  <c r="F152" i="3"/>
  <c r="G152" i="3"/>
  <c r="H152" i="3"/>
  <c r="I152" i="3"/>
  <c r="E153" i="3"/>
  <c r="F153" i="3"/>
  <c r="G153" i="3"/>
  <c r="H153" i="3"/>
  <c r="I153" i="3"/>
  <c r="E154" i="3"/>
  <c r="F154" i="3"/>
  <c r="G154" i="3"/>
  <c r="H154" i="3"/>
  <c r="I154" i="3"/>
  <c r="E155" i="3"/>
  <c r="F155" i="3"/>
  <c r="G155" i="3"/>
  <c r="H155" i="3"/>
  <c r="I155" i="3"/>
  <c r="E156" i="3"/>
  <c r="F156" i="3"/>
  <c r="G156" i="3"/>
  <c r="H156" i="3"/>
  <c r="I156" i="3"/>
  <c r="E157" i="3"/>
  <c r="F157" i="3"/>
  <c r="G157" i="3"/>
  <c r="H157" i="3"/>
  <c r="I157" i="3"/>
  <c r="E158" i="3"/>
  <c r="F158" i="3"/>
  <c r="G158" i="3"/>
  <c r="H158" i="3"/>
  <c r="I158" i="3"/>
  <c r="E159" i="3"/>
  <c r="F159" i="3"/>
  <c r="G159" i="3"/>
  <c r="H159" i="3"/>
  <c r="I159" i="3"/>
  <c r="E160" i="3"/>
  <c r="F160" i="3"/>
  <c r="G160" i="3"/>
  <c r="H160" i="3"/>
  <c r="I160" i="3"/>
  <c r="E161" i="3"/>
  <c r="F161" i="3"/>
  <c r="G161" i="3"/>
  <c r="H161" i="3"/>
  <c r="I161" i="3"/>
  <c r="E162" i="3"/>
  <c r="F162" i="3"/>
  <c r="G162" i="3"/>
  <c r="H162" i="3"/>
  <c r="I162" i="3"/>
  <c r="E163" i="3"/>
  <c r="F163" i="3"/>
  <c r="G163" i="3"/>
  <c r="H163" i="3"/>
  <c r="I163" i="3"/>
  <c r="E164" i="3"/>
  <c r="F164" i="3"/>
  <c r="G164" i="3"/>
  <c r="H164" i="3"/>
  <c r="I164" i="3"/>
  <c r="E165" i="3"/>
  <c r="F165" i="3"/>
  <c r="G165" i="3"/>
  <c r="H165" i="3"/>
  <c r="I165" i="3"/>
  <c r="E166" i="3"/>
  <c r="F166" i="3"/>
  <c r="G166" i="3"/>
  <c r="H166" i="3"/>
  <c r="I166" i="3"/>
  <c r="E167" i="3"/>
  <c r="F167" i="3"/>
  <c r="G167" i="3"/>
  <c r="H167" i="3"/>
  <c r="I167" i="3"/>
  <c r="E168" i="3"/>
  <c r="F168" i="3"/>
  <c r="G168" i="3"/>
  <c r="H168" i="3"/>
  <c r="I168" i="3"/>
  <c r="E169" i="3"/>
  <c r="F169" i="3"/>
  <c r="G169" i="3"/>
  <c r="H169" i="3"/>
  <c r="I169" i="3"/>
  <c r="E170" i="3"/>
  <c r="F170" i="3"/>
  <c r="G170" i="3"/>
  <c r="H170" i="3"/>
  <c r="I170" i="3"/>
  <c r="E171" i="3"/>
  <c r="F171" i="3"/>
  <c r="G171" i="3"/>
  <c r="H171" i="3"/>
  <c r="I171" i="3"/>
  <c r="E172" i="3"/>
  <c r="F172" i="3"/>
  <c r="G172" i="3"/>
  <c r="H172" i="3"/>
  <c r="I172" i="3"/>
  <c r="E173" i="3"/>
  <c r="F173" i="3"/>
  <c r="G173" i="3"/>
  <c r="H173" i="3"/>
  <c r="I173" i="3"/>
  <c r="E174" i="3"/>
  <c r="F174" i="3"/>
  <c r="G174" i="3"/>
  <c r="H174" i="3"/>
  <c r="I174" i="3"/>
  <c r="E175" i="3"/>
  <c r="F175" i="3"/>
  <c r="G175" i="3"/>
  <c r="H175" i="3"/>
  <c r="I175" i="3"/>
  <c r="E176" i="3"/>
  <c r="F176" i="3"/>
  <c r="G176" i="3"/>
  <c r="H176" i="3"/>
  <c r="I176" i="3"/>
  <c r="E177" i="3"/>
  <c r="F177" i="3"/>
  <c r="G177" i="3"/>
  <c r="H177" i="3"/>
  <c r="I177" i="3"/>
  <c r="E178" i="3"/>
  <c r="F178" i="3"/>
  <c r="G178" i="3"/>
  <c r="H178" i="3"/>
  <c r="I178" i="3"/>
  <c r="E179" i="3"/>
  <c r="F179" i="3"/>
  <c r="G179" i="3"/>
  <c r="H179" i="3"/>
  <c r="I179" i="3"/>
  <c r="E180" i="3"/>
  <c r="F180" i="3"/>
  <c r="G180" i="3"/>
  <c r="H180" i="3"/>
  <c r="I180" i="3"/>
  <c r="E181" i="3"/>
  <c r="F181" i="3"/>
  <c r="G181" i="3"/>
  <c r="H181" i="3"/>
  <c r="I181" i="3"/>
  <c r="E182" i="3"/>
  <c r="F182" i="3"/>
  <c r="G182" i="3"/>
  <c r="H182" i="3"/>
  <c r="I182" i="3"/>
  <c r="E183" i="3"/>
  <c r="F183" i="3"/>
  <c r="G183" i="3"/>
  <c r="H183" i="3"/>
  <c r="I183" i="3"/>
  <c r="E184" i="3"/>
  <c r="F184" i="3"/>
  <c r="G184" i="3"/>
  <c r="H184" i="3"/>
  <c r="I184" i="3"/>
  <c r="E185" i="3"/>
  <c r="F185" i="3"/>
  <c r="G185" i="3"/>
  <c r="H185" i="3"/>
  <c r="I185" i="3"/>
  <c r="E186" i="3"/>
  <c r="F186" i="3"/>
  <c r="G186" i="3"/>
  <c r="H186" i="3"/>
  <c r="I186" i="3"/>
  <c r="E187" i="3"/>
  <c r="F187" i="3"/>
  <c r="G187" i="3"/>
  <c r="H187" i="3"/>
  <c r="I187" i="3"/>
  <c r="E188" i="3"/>
  <c r="F188" i="3"/>
  <c r="G188" i="3"/>
  <c r="H188" i="3"/>
  <c r="I188" i="3"/>
  <c r="E189" i="3"/>
  <c r="F189" i="3"/>
  <c r="G189" i="3"/>
  <c r="H189" i="3"/>
  <c r="I189" i="3"/>
  <c r="E190" i="3"/>
  <c r="F190" i="3"/>
  <c r="G190" i="3"/>
  <c r="H190" i="3"/>
  <c r="I190" i="3"/>
  <c r="E191" i="3"/>
  <c r="F191" i="3"/>
  <c r="G191" i="3"/>
  <c r="H191" i="3"/>
  <c r="I191" i="3"/>
  <c r="E192" i="3"/>
  <c r="F192" i="3"/>
  <c r="G192" i="3"/>
  <c r="H192" i="3"/>
  <c r="I192" i="3"/>
  <c r="E193" i="3"/>
  <c r="F193" i="3"/>
  <c r="G193" i="3"/>
  <c r="H193" i="3"/>
  <c r="I193" i="3"/>
  <c r="E194" i="3"/>
  <c r="F194" i="3"/>
  <c r="G194" i="3"/>
  <c r="H194" i="3"/>
  <c r="I194" i="3"/>
  <c r="E195" i="3"/>
  <c r="F195" i="3"/>
  <c r="G195" i="3"/>
  <c r="H195" i="3"/>
  <c r="I195" i="3"/>
  <c r="E196" i="3"/>
  <c r="F196" i="3"/>
  <c r="G196" i="3"/>
  <c r="H196" i="3"/>
  <c r="I196" i="3"/>
  <c r="E197" i="3"/>
  <c r="F197" i="3"/>
  <c r="G197" i="3"/>
  <c r="H197" i="3"/>
  <c r="I197" i="3"/>
  <c r="E198" i="3"/>
  <c r="F198" i="3"/>
  <c r="G198" i="3"/>
  <c r="H198" i="3"/>
  <c r="I198" i="3"/>
  <c r="E199" i="3"/>
  <c r="F199" i="3"/>
  <c r="G199" i="3"/>
  <c r="H199" i="3"/>
  <c r="I199" i="3"/>
  <c r="E200" i="3"/>
  <c r="F200" i="3"/>
  <c r="G200" i="3"/>
  <c r="H200" i="3"/>
  <c r="I200" i="3"/>
  <c r="E201" i="3"/>
  <c r="F201" i="3"/>
  <c r="G201" i="3"/>
  <c r="H201" i="3"/>
  <c r="I201" i="3"/>
  <c r="E202" i="3"/>
  <c r="F202" i="3"/>
  <c r="G202" i="3"/>
  <c r="H202" i="3"/>
  <c r="I202" i="3"/>
  <c r="E203" i="3"/>
  <c r="F203" i="3"/>
  <c r="G203" i="3"/>
  <c r="H203" i="3"/>
  <c r="I203" i="3"/>
  <c r="E204" i="3"/>
  <c r="F204" i="3"/>
  <c r="G204" i="3"/>
  <c r="H204" i="3"/>
  <c r="I204" i="3"/>
  <c r="E205" i="3"/>
  <c r="F205" i="3"/>
  <c r="G205" i="3"/>
  <c r="H205" i="3"/>
  <c r="I205" i="3"/>
  <c r="E206" i="3"/>
  <c r="F206" i="3"/>
  <c r="G206" i="3"/>
  <c r="H206" i="3"/>
  <c r="I206" i="3"/>
  <c r="E207" i="3"/>
  <c r="F207" i="3"/>
  <c r="G207" i="3"/>
  <c r="H207" i="3"/>
  <c r="I207" i="3"/>
  <c r="E208" i="3"/>
  <c r="F208" i="3"/>
  <c r="G208" i="3"/>
  <c r="H208" i="3"/>
  <c r="I208" i="3"/>
  <c r="E209" i="3"/>
  <c r="F209" i="3"/>
  <c r="G209" i="3"/>
  <c r="H209" i="3"/>
  <c r="I209" i="3"/>
  <c r="E210" i="3"/>
  <c r="F210" i="3"/>
  <c r="G210" i="3"/>
  <c r="H210" i="3"/>
  <c r="I210" i="3"/>
  <c r="E211" i="3"/>
  <c r="F211" i="3"/>
  <c r="G211" i="3"/>
  <c r="H211" i="3"/>
  <c r="I211" i="3"/>
  <c r="E212" i="3"/>
  <c r="F212" i="3"/>
  <c r="G212" i="3"/>
  <c r="H212" i="3"/>
  <c r="I212" i="3"/>
  <c r="E213" i="3"/>
  <c r="F213" i="3"/>
  <c r="G213" i="3"/>
  <c r="H213" i="3"/>
  <c r="I213" i="3"/>
  <c r="E214" i="3"/>
  <c r="F214" i="3"/>
  <c r="G214" i="3"/>
  <c r="H214" i="3"/>
  <c r="I214" i="3"/>
  <c r="E215" i="3"/>
  <c r="F215" i="3"/>
  <c r="G215" i="3"/>
  <c r="H215" i="3"/>
  <c r="I215" i="3"/>
  <c r="E216" i="3"/>
  <c r="F216" i="3"/>
  <c r="G216" i="3"/>
  <c r="H216" i="3"/>
  <c r="I216" i="3"/>
  <c r="E217" i="3"/>
  <c r="F217" i="3"/>
  <c r="G217" i="3"/>
  <c r="H217" i="3"/>
  <c r="I217" i="3"/>
  <c r="E218" i="3"/>
  <c r="F218" i="3"/>
  <c r="G218" i="3"/>
  <c r="H218" i="3"/>
  <c r="I218" i="3"/>
  <c r="E219" i="3"/>
  <c r="F219" i="3"/>
  <c r="G219" i="3"/>
  <c r="H219" i="3"/>
  <c r="I219" i="3"/>
  <c r="E220" i="3"/>
  <c r="F220" i="3"/>
  <c r="G220" i="3"/>
  <c r="H220" i="3"/>
  <c r="I220" i="3"/>
  <c r="E221" i="3"/>
  <c r="F221" i="3"/>
  <c r="G221" i="3"/>
  <c r="H221" i="3"/>
  <c r="I221" i="3"/>
  <c r="E222" i="3"/>
  <c r="F222" i="3"/>
  <c r="G222" i="3"/>
  <c r="H222" i="3"/>
  <c r="I222" i="3"/>
  <c r="E223" i="3"/>
  <c r="F223" i="3"/>
  <c r="G223" i="3"/>
  <c r="H223" i="3"/>
  <c r="I223" i="3"/>
  <c r="E224" i="3"/>
  <c r="F224" i="3"/>
  <c r="G224" i="3"/>
  <c r="H224" i="3"/>
  <c r="I224" i="3"/>
  <c r="E225" i="3"/>
  <c r="F225" i="3"/>
  <c r="G225" i="3"/>
  <c r="H225" i="3"/>
  <c r="I225" i="3"/>
  <c r="E226" i="3"/>
  <c r="F226" i="3"/>
  <c r="G226" i="3"/>
  <c r="H226" i="3"/>
  <c r="I226" i="3"/>
  <c r="E227" i="3"/>
  <c r="F227" i="3"/>
  <c r="G227" i="3"/>
  <c r="H227" i="3"/>
  <c r="I227" i="3"/>
  <c r="E228" i="3"/>
  <c r="F228" i="3"/>
  <c r="G228" i="3"/>
  <c r="H228" i="3"/>
  <c r="I228" i="3"/>
  <c r="E229" i="3"/>
  <c r="F229" i="3"/>
  <c r="G229" i="3"/>
  <c r="H229" i="3"/>
  <c r="I229" i="3"/>
  <c r="E230" i="3"/>
  <c r="F230" i="3"/>
  <c r="G230" i="3"/>
  <c r="H230" i="3"/>
  <c r="I230" i="3"/>
  <c r="E231" i="3"/>
  <c r="F231" i="3"/>
  <c r="G231" i="3"/>
  <c r="H231" i="3"/>
  <c r="I231" i="3"/>
  <c r="E232" i="3"/>
  <c r="F232" i="3"/>
  <c r="G232" i="3"/>
  <c r="H232" i="3"/>
  <c r="I232" i="3"/>
  <c r="E233" i="3"/>
  <c r="F233" i="3"/>
  <c r="G233" i="3"/>
  <c r="H233" i="3"/>
  <c r="I233" i="3"/>
  <c r="E234" i="3"/>
  <c r="F234" i="3"/>
  <c r="G234" i="3"/>
  <c r="H234" i="3"/>
  <c r="I234" i="3"/>
  <c r="E235" i="3"/>
  <c r="F235" i="3"/>
  <c r="G235" i="3"/>
  <c r="H235" i="3"/>
  <c r="I235" i="3"/>
  <c r="E236" i="3"/>
  <c r="F236" i="3"/>
  <c r="G236" i="3"/>
  <c r="H236" i="3"/>
  <c r="I236" i="3"/>
  <c r="E237" i="3"/>
  <c r="F237" i="3"/>
  <c r="G237" i="3"/>
  <c r="H237" i="3"/>
  <c r="I237" i="3"/>
  <c r="E238" i="3"/>
  <c r="F238" i="3"/>
  <c r="G238" i="3"/>
  <c r="H238" i="3"/>
  <c r="I238" i="3"/>
  <c r="E239" i="3"/>
  <c r="F239" i="3"/>
  <c r="G239" i="3"/>
  <c r="H239" i="3"/>
  <c r="I239" i="3"/>
  <c r="E240" i="3"/>
  <c r="F240" i="3"/>
  <c r="G240" i="3"/>
  <c r="H240" i="3"/>
  <c r="I240" i="3"/>
  <c r="E241" i="3"/>
  <c r="F241" i="3"/>
  <c r="G241" i="3"/>
  <c r="H241" i="3"/>
  <c r="I241" i="3"/>
  <c r="E242" i="3"/>
  <c r="F242" i="3"/>
  <c r="G242" i="3"/>
  <c r="H242" i="3"/>
  <c r="I242" i="3"/>
  <c r="E243" i="3"/>
  <c r="F243" i="3"/>
  <c r="G243" i="3"/>
  <c r="H243" i="3"/>
  <c r="I243" i="3"/>
  <c r="E244" i="3"/>
  <c r="F244" i="3"/>
  <c r="G244" i="3"/>
  <c r="H244" i="3"/>
  <c r="I244" i="3"/>
  <c r="E245" i="3"/>
  <c r="F245" i="3"/>
  <c r="G245" i="3"/>
  <c r="H245" i="3"/>
  <c r="I245" i="3"/>
  <c r="E246" i="3"/>
  <c r="F246" i="3"/>
  <c r="G246" i="3"/>
  <c r="H246" i="3"/>
  <c r="I246" i="3"/>
  <c r="E247" i="3"/>
  <c r="F247" i="3"/>
  <c r="G247" i="3"/>
  <c r="H247" i="3"/>
  <c r="I247" i="3"/>
  <c r="E248" i="3"/>
  <c r="F248" i="3"/>
  <c r="G248" i="3"/>
  <c r="H248" i="3"/>
  <c r="I248" i="3"/>
  <c r="E249" i="3"/>
  <c r="F249" i="3"/>
  <c r="G249" i="3"/>
  <c r="H249" i="3"/>
  <c r="I249" i="3"/>
  <c r="E250" i="3"/>
  <c r="F250" i="3"/>
  <c r="G250" i="3"/>
  <c r="H250" i="3"/>
  <c r="I250" i="3"/>
  <c r="E251" i="3"/>
  <c r="F251" i="3"/>
  <c r="G251" i="3"/>
  <c r="H251" i="3"/>
  <c r="I251" i="3"/>
  <c r="E252" i="3"/>
  <c r="F252" i="3"/>
  <c r="G252" i="3"/>
  <c r="H252" i="3"/>
  <c r="I252" i="3"/>
  <c r="E253" i="3"/>
  <c r="F253" i="3"/>
  <c r="G253" i="3"/>
  <c r="H253" i="3"/>
  <c r="I253" i="3"/>
  <c r="E254" i="3"/>
  <c r="F254" i="3"/>
  <c r="G254" i="3"/>
  <c r="H254" i="3"/>
  <c r="I254" i="3"/>
  <c r="E255" i="3"/>
  <c r="F255" i="3"/>
  <c r="G255" i="3"/>
  <c r="H255" i="3"/>
  <c r="I255" i="3"/>
  <c r="E256" i="3"/>
  <c r="F256" i="3"/>
  <c r="G256" i="3"/>
  <c r="H256" i="3"/>
  <c r="I256" i="3"/>
  <c r="E257" i="3"/>
  <c r="F257" i="3"/>
  <c r="G257" i="3"/>
  <c r="H257" i="3"/>
  <c r="I257" i="3"/>
  <c r="E258" i="3"/>
  <c r="F258" i="3"/>
  <c r="G258" i="3"/>
  <c r="H258" i="3"/>
  <c r="I258" i="3"/>
  <c r="E259" i="3"/>
  <c r="F259" i="3"/>
  <c r="G259" i="3"/>
  <c r="H259" i="3"/>
  <c r="I259" i="3"/>
  <c r="E260" i="3"/>
  <c r="F260" i="3"/>
  <c r="G260" i="3"/>
  <c r="H260" i="3"/>
  <c r="I260" i="3"/>
  <c r="E261" i="3"/>
  <c r="F261" i="3"/>
  <c r="G261" i="3"/>
  <c r="H261" i="3"/>
  <c r="I261" i="3"/>
  <c r="E262" i="3"/>
  <c r="F262" i="3"/>
  <c r="G262" i="3"/>
  <c r="H262" i="3"/>
  <c r="I262" i="3"/>
  <c r="E263" i="3"/>
  <c r="F263" i="3"/>
  <c r="G263" i="3"/>
  <c r="H263" i="3"/>
  <c r="I263" i="3"/>
  <c r="E264" i="3"/>
  <c r="F264" i="3"/>
  <c r="G264" i="3"/>
  <c r="H264" i="3"/>
  <c r="I264" i="3"/>
  <c r="E265" i="3"/>
  <c r="F265" i="3"/>
  <c r="G265" i="3"/>
  <c r="H265" i="3"/>
  <c r="I265" i="3"/>
  <c r="E266" i="3"/>
  <c r="F266" i="3"/>
  <c r="G266" i="3"/>
  <c r="H266" i="3"/>
  <c r="I266" i="3"/>
  <c r="E267" i="3"/>
  <c r="F267" i="3"/>
  <c r="G267" i="3"/>
  <c r="H267" i="3"/>
  <c r="I267" i="3"/>
  <c r="E268" i="3"/>
  <c r="F268" i="3"/>
  <c r="G268" i="3"/>
  <c r="H268" i="3"/>
  <c r="I268" i="3"/>
  <c r="E269" i="3"/>
  <c r="F269" i="3"/>
  <c r="G269" i="3"/>
  <c r="H269" i="3"/>
  <c r="I269" i="3"/>
  <c r="E270" i="3"/>
  <c r="F270" i="3"/>
  <c r="G270" i="3"/>
  <c r="H270" i="3"/>
  <c r="I270" i="3"/>
  <c r="E271" i="3"/>
  <c r="F271" i="3"/>
  <c r="G271" i="3"/>
  <c r="H271" i="3"/>
  <c r="I271" i="3"/>
  <c r="E272" i="3"/>
  <c r="F272" i="3"/>
  <c r="G272" i="3"/>
  <c r="H272" i="3"/>
  <c r="I272" i="3"/>
  <c r="E273" i="3"/>
  <c r="F273" i="3"/>
  <c r="G273" i="3"/>
  <c r="H273" i="3"/>
  <c r="I273" i="3"/>
  <c r="E274" i="3"/>
  <c r="F274" i="3"/>
  <c r="G274" i="3"/>
  <c r="H274" i="3"/>
  <c r="I274" i="3"/>
  <c r="E275" i="3"/>
  <c r="F275" i="3"/>
  <c r="G275" i="3"/>
  <c r="H275" i="3"/>
  <c r="I275" i="3"/>
  <c r="E276" i="3"/>
  <c r="F276" i="3"/>
  <c r="G276" i="3"/>
  <c r="H276" i="3"/>
  <c r="I276" i="3"/>
  <c r="E277" i="3"/>
  <c r="F277" i="3"/>
  <c r="G277" i="3"/>
  <c r="H277" i="3"/>
  <c r="I277" i="3"/>
  <c r="E278" i="3"/>
  <c r="F278" i="3"/>
  <c r="G278" i="3"/>
  <c r="H278" i="3"/>
  <c r="I278" i="3"/>
  <c r="E279" i="3"/>
  <c r="F279" i="3"/>
  <c r="G279" i="3"/>
  <c r="H279" i="3"/>
  <c r="I279" i="3"/>
  <c r="E280" i="3"/>
  <c r="F280" i="3"/>
  <c r="G280" i="3"/>
  <c r="H280" i="3"/>
  <c r="I280" i="3"/>
  <c r="E281" i="3"/>
  <c r="F281" i="3"/>
  <c r="G281" i="3"/>
  <c r="H281" i="3"/>
  <c r="I281" i="3"/>
  <c r="E282" i="3"/>
  <c r="F282" i="3"/>
  <c r="G282" i="3"/>
  <c r="H282" i="3"/>
  <c r="I282" i="3"/>
  <c r="E283" i="3"/>
  <c r="F283" i="3"/>
  <c r="G283" i="3"/>
  <c r="H283" i="3"/>
  <c r="I283" i="3"/>
  <c r="E284" i="3"/>
  <c r="F284" i="3"/>
  <c r="G284" i="3"/>
  <c r="H284" i="3"/>
  <c r="I284" i="3"/>
  <c r="E285" i="3"/>
  <c r="F285" i="3"/>
  <c r="G285" i="3"/>
  <c r="H285" i="3"/>
  <c r="I285" i="3"/>
  <c r="E286" i="3"/>
  <c r="F286" i="3"/>
  <c r="G286" i="3"/>
  <c r="H286" i="3"/>
  <c r="I286" i="3"/>
  <c r="E287" i="3"/>
  <c r="F287" i="3"/>
  <c r="G287" i="3"/>
  <c r="H287" i="3"/>
  <c r="I287" i="3"/>
  <c r="E288" i="3"/>
  <c r="F288" i="3"/>
  <c r="G288" i="3"/>
  <c r="H288" i="3"/>
  <c r="I288" i="3"/>
  <c r="E289" i="3"/>
  <c r="F289" i="3"/>
  <c r="G289" i="3"/>
  <c r="H289" i="3"/>
  <c r="I289" i="3"/>
  <c r="E290" i="3"/>
  <c r="F290" i="3"/>
  <c r="G290" i="3"/>
  <c r="H290" i="3"/>
  <c r="I290" i="3"/>
  <c r="E291" i="3"/>
  <c r="F291" i="3"/>
  <c r="G291" i="3"/>
  <c r="H291" i="3"/>
  <c r="I291" i="3"/>
  <c r="E292" i="3"/>
  <c r="F292" i="3"/>
  <c r="G292" i="3"/>
  <c r="H292" i="3"/>
  <c r="I292" i="3"/>
  <c r="E293" i="3"/>
  <c r="F293" i="3"/>
  <c r="G293" i="3"/>
  <c r="H293" i="3"/>
  <c r="I293" i="3"/>
  <c r="E294" i="3"/>
  <c r="F294" i="3"/>
  <c r="G294" i="3"/>
  <c r="H294" i="3"/>
  <c r="I294" i="3"/>
  <c r="E295" i="3"/>
  <c r="F295" i="3"/>
  <c r="G295" i="3"/>
  <c r="H295" i="3"/>
  <c r="I295" i="3"/>
  <c r="E296" i="3"/>
  <c r="F296" i="3"/>
  <c r="G296" i="3"/>
  <c r="H296" i="3"/>
  <c r="I296" i="3"/>
  <c r="E297" i="3"/>
  <c r="F297" i="3"/>
  <c r="G297" i="3"/>
  <c r="H297" i="3"/>
  <c r="I297" i="3"/>
  <c r="E298" i="3"/>
  <c r="F298" i="3"/>
  <c r="G298" i="3"/>
  <c r="H298" i="3"/>
  <c r="I298" i="3"/>
  <c r="E299" i="3"/>
  <c r="F299" i="3"/>
  <c r="G299" i="3"/>
  <c r="H299" i="3"/>
  <c r="I299" i="3"/>
  <c r="E300" i="3"/>
  <c r="F300" i="3"/>
  <c r="G300" i="3"/>
  <c r="H300" i="3"/>
  <c r="I300" i="3"/>
  <c r="E301" i="3"/>
  <c r="F301" i="3"/>
  <c r="G301" i="3"/>
  <c r="H301" i="3"/>
  <c r="I301" i="3"/>
  <c r="E302" i="3"/>
  <c r="F302" i="3"/>
  <c r="G302" i="3"/>
  <c r="H302" i="3"/>
  <c r="I302" i="3"/>
  <c r="E303" i="3"/>
  <c r="F303" i="3"/>
  <c r="G303" i="3"/>
  <c r="H303" i="3"/>
  <c r="I303" i="3"/>
  <c r="E304" i="3"/>
  <c r="F304" i="3"/>
  <c r="G304" i="3"/>
  <c r="H304" i="3"/>
  <c r="I304" i="3"/>
  <c r="E305" i="3"/>
  <c r="F305" i="3"/>
  <c r="G305" i="3"/>
  <c r="H305" i="3"/>
  <c r="I305" i="3"/>
  <c r="E306" i="3"/>
  <c r="F306" i="3"/>
  <c r="G306" i="3"/>
  <c r="H306" i="3"/>
  <c r="I306" i="3"/>
  <c r="E307" i="3"/>
  <c r="F307" i="3"/>
  <c r="G307" i="3"/>
  <c r="H307" i="3"/>
  <c r="I307" i="3"/>
  <c r="E308" i="3"/>
  <c r="F308" i="3"/>
  <c r="G308" i="3"/>
  <c r="H308" i="3"/>
  <c r="I308" i="3"/>
  <c r="E309" i="3"/>
  <c r="F309" i="3"/>
  <c r="G309" i="3"/>
  <c r="H309" i="3"/>
  <c r="I309" i="3"/>
  <c r="E310" i="3"/>
  <c r="F310" i="3"/>
  <c r="G310" i="3"/>
  <c r="H310" i="3"/>
  <c r="I310" i="3"/>
  <c r="E311" i="3"/>
  <c r="F311" i="3"/>
  <c r="G311" i="3"/>
  <c r="H311" i="3"/>
  <c r="I311" i="3"/>
  <c r="E312" i="3"/>
  <c r="F312" i="3"/>
  <c r="G312" i="3"/>
  <c r="H312" i="3"/>
  <c r="I312" i="3"/>
  <c r="E313" i="3"/>
  <c r="F313" i="3"/>
  <c r="G313" i="3"/>
  <c r="H313" i="3"/>
  <c r="I313" i="3"/>
  <c r="E314" i="3"/>
  <c r="F314" i="3"/>
  <c r="G314" i="3"/>
  <c r="H314" i="3"/>
  <c r="I314" i="3"/>
  <c r="E315" i="3"/>
  <c r="F315" i="3"/>
  <c r="G315" i="3"/>
  <c r="H315" i="3"/>
  <c r="I315" i="3"/>
  <c r="E316" i="3"/>
  <c r="F316" i="3"/>
  <c r="G316" i="3"/>
  <c r="H316" i="3"/>
  <c r="I316" i="3"/>
  <c r="E317" i="3"/>
  <c r="F317" i="3"/>
  <c r="G317" i="3"/>
  <c r="H317" i="3"/>
  <c r="I317" i="3"/>
  <c r="E318" i="3"/>
  <c r="F318" i="3"/>
  <c r="G318" i="3"/>
  <c r="H318" i="3"/>
  <c r="I318" i="3"/>
  <c r="E319" i="3"/>
  <c r="F319" i="3"/>
  <c r="G319" i="3"/>
  <c r="H319" i="3"/>
  <c r="I319" i="3"/>
  <c r="E320" i="3"/>
  <c r="F320" i="3"/>
  <c r="G320" i="3"/>
  <c r="H320" i="3"/>
  <c r="I320" i="3"/>
  <c r="E321" i="3"/>
  <c r="F321" i="3"/>
  <c r="G321" i="3"/>
  <c r="H321" i="3"/>
  <c r="I321" i="3"/>
  <c r="E322" i="3"/>
  <c r="F322" i="3"/>
  <c r="G322" i="3"/>
  <c r="H322" i="3"/>
  <c r="I322" i="3"/>
  <c r="E323" i="3"/>
  <c r="F323" i="3"/>
  <c r="G323" i="3"/>
  <c r="H323" i="3"/>
  <c r="I323" i="3"/>
  <c r="E324" i="3"/>
  <c r="F324" i="3"/>
  <c r="G324" i="3"/>
  <c r="H324" i="3"/>
  <c r="I324" i="3"/>
  <c r="E325" i="3"/>
  <c r="F325" i="3"/>
  <c r="G325" i="3"/>
  <c r="H325" i="3"/>
  <c r="I325" i="3"/>
  <c r="E326" i="3"/>
  <c r="F326" i="3"/>
  <c r="G326" i="3"/>
  <c r="H326" i="3"/>
  <c r="I326" i="3"/>
  <c r="E327" i="3"/>
  <c r="F327" i="3"/>
  <c r="G327" i="3"/>
  <c r="H327" i="3"/>
  <c r="I327" i="3"/>
  <c r="E328" i="3"/>
  <c r="F328" i="3"/>
  <c r="G328" i="3"/>
  <c r="H328" i="3"/>
  <c r="I328" i="3"/>
  <c r="E329" i="3"/>
  <c r="F329" i="3"/>
  <c r="G329" i="3"/>
  <c r="H329" i="3"/>
  <c r="I329" i="3"/>
  <c r="E330" i="3"/>
  <c r="F330" i="3"/>
  <c r="G330" i="3"/>
  <c r="H330" i="3"/>
  <c r="I330" i="3"/>
  <c r="E331" i="3"/>
  <c r="F331" i="3"/>
  <c r="G331" i="3"/>
  <c r="H331" i="3"/>
  <c r="I331" i="3"/>
  <c r="E332" i="3"/>
  <c r="F332" i="3"/>
  <c r="G332" i="3"/>
  <c r="H332" i="3"/>
  <c r="I332" i="3"/>
  <c r="E333" i="3"/>
  <c r="F333" i="3"/>
  <c r="G333" i="3"/>
  <c r="H333" i="3"/>
  <c r="I333" i="3"/>
  <c r="E334" i="3"/>
  <c r="F334" i="3"/>
  <c r="G334" i="3"/>
  <c r="H334" i="3"/>
  <c r="I334" i="3"/>
  <c r="E335" i="3"/>
  <c r="F335" i="3"/>
  <c r="G335" i="3"/>
  <c r="H335" i="3"/>
  <c r="I335" i="3"/>
  <c r="E336" i="3"/>
  <c r="F336" i="3"/>
  <c r="G336" i="3"/>
  <c r="H336" i="3"/>
  <c r="I336" i="3"/>
  <c r="E337" i="3"/>
  <c r="F337" i="3"/>
  <c r="G337" i="3"/>
  <c r="H337" i="3"/>
  <c r="I337" i="3"/>
  <c r="E338" i="3"/>
  <c r="F338" i="3"/>
  <c r="G338" i="3"/>
  <c r="H338" i="3"/>
  <c r="I338" i="3"/>
  <c r="E339" i="3"/>
  <c r="F339" i="3"/>
  <c r="G339" i="3"/>
  <c r="H339" i="3"/>
  <c r="I339" i="3"/>
  <c r="E340" i="3"/>
  <c r="F340" i="3"/>
  <c r="G340" i="3"/>
  <c r="H340" i="3"/>
  <c r="I340" i="3"/>
  <c r="E341" i="3"/>
  <c r="F341" i="3"/>
  <c r="G341" i="3"/>
  <c r="H341" i="3"/>
  <c r="I341" i="3"/>
  <c r="E342" i="3"/>
  <c r="F342" i="3"/>
  <c r="G342" i="3"/>
  <c r="H342" i="3"/>
  <c r="I342" i="3"/>
  <c r="E343" i="3"/>
  <c r="F343" i="3"/>
  <c r="G343" i="3"/>
  <c r="H343" i="3"/>
  <c r="I343" i="3"/>
  <c r="E344" i="3"/>
  <c r="F344" i="3"/>
  <c r="G344" i="3"/>
  <c r="H344" i="3"/>
  <c r="I344" i="3"/>
  <c r="E345" i="3"/>
  <c r="F345" i="3"/>
  <c r="G345" i="3"/>
  <c r="H345" i="3"/>
  <c r="I345" i="3"/>
  <c r="E346" i="3"/>
  <c r="F346" i="3"/>
  <c r="G346" i="3"/>
  <c r="H346" i="3"/>
  <c r="I346" i="3"/>
  <c r="E347" i="3"/>
  <c r="F347" i="3"/>
  <c r="G347" i="3"/>
  <c r="H347" i="3"/>
  <c r="I347" i="3"/>
  <c r="E348" i="3"/>
  <c r="F348" i="3"/>
  <c r="G348" i="3"/>
  <c r="H348" i="3"/>
  <c r="I348" i="3"/>
  <c r="E349" i="3"/>
  <c r="F349" i="3"/>
  <c r="G349" i="3"/>
  <c r="H349" i="3"/>
  <c r="I349" i="3"/>
  <c r="E350" i="3"/>
  <c r="F350" i="3"/>
  <c r="G350" i="3"/>
  <c r="H350" i="3"/>
  <c r="I350" i="3"/>
  <c r="E351" i="3"/>
  <c r="F351" i="3"/>
  <c r="G351" i="3"/>
  <c r="H351" i="3"/>
  <c r="I351" i="3"/>
  <c r="E352" i="3"/>
  <c r="F352" i="3"/>
  <c r="G352" i="3"/>
  <c r="H352" i="3"/>
  <c r="I352" i="3"/>
  <c r="E353" i="3"/>
  <c r="F353" i="3"/>
  <c r="G353" i="3"/>
  <c r="H353" i="3"/>
  <c r="I353" i="3"/>
  <c r="E354" i="3"/>
  <c r="F354" i="3"/>
  <c r="G354" i="3"/>
  <c r="H354" i="3"/>
  <c r="I354" i="3"/>
  <c r="E355" i="3"/>
  <c r="F355" i="3"/>
  <c r="G355" i="3"/>
  <c r="H355" i="3"/>
  <c r="I355" i="3"/>
  <c r="E356" i="3"/>
  <c r="F356" i="3"/>
  <c r="G356" i="3"/>
  <c r="H356" i="3"/>
  <c r="I356" i="3"/>
  <c r="E357" i="3"/>
  <c r="F357" i="3"/>
  <c r="G357" i="3"/>
  <c r="H357" i="3"/>
  <c r="I357" i="3"/>
  <c r="E358" i="3"/>
  <c r="F358" i="3"/>
  <c r="G358" i="3"/>
  <c r="H358" i="3"/>
  <c r="I358" i="3"/>
  <c r="E359" i="3"/>
  <c r="F359" i="3"/>
  <c r="G359" i="3"/>
  <c r="H359" i="3"/>
  <c r="I359" i="3"/>
  <c r="E360" i="3"/>
  <c r="F360" i="3"/>
  <c r="G360" i="3"/>
  <c r="H360" i="3"/>
  <c r="I360" i="3"/>
  <c r="E361" i="3"/>
  <c r="F361" i="3"/>
  <c r="G361" i="3"/>
  <c r="H361" i="3"/>
  <c r="I361" i="3"/>
  <c r="E362" i="3"/>
  <c r="F362" i="3"/>
  <c r="G362" i="3"/>
  <c r="H362" i="3"/>
  <c r="I362" i="3"/>
  <c r="E363" i="3"/>
  <c r="F363" i="3"/>
  <c r="G363" i="3"/>
  <c r="H363" i="3"/>
  <c r="I363" i="3"/>
  <c r="E364" i="3"/>
  <c r="F364" i="3"/>
  <c r="G364" i="3"/>
  <c r="H364" i="3"/>
  <c r="I364" i="3"/>
  <c r="E365" i="3"/>
  <c r="F365" i="3"/>
  <c r="G365" i="3"/>
  <c r="H365" i="3"/>
  <c r="I365" i="3"/>
  <c r="E366" i="3"/>
  <c r="F366" i="3"/>
  <c r="G366" i="3"/>
  <c r="H366" i="3"/>
  <c r="I366" i="3"/>
  <c r="E367" i="3"/>
  <c r="F367" i="3"/>
  <c r="G367" i="3"/>
  <c r="H367" i="3"/>
  <c r="I367" i="3"/>
  <c r="E368" i="3"/>
  <c r="F368" i="3"/>
  <c r="G368" i="3"/>
  <c r="H368" i="3"/>
  <c r="I368" i="3"/>
  <c r="E369" i="3"/>
  <c r="F369" i="3"/>
  <c r="G369" i="3"/>
  <c r="H369" i="3"/>
  <c r="I369" i="3"/>
  <c r="E370" i="3"/>
  <c r="F370" i="3"/>
  <c r="G370" i="3"/>
  <c r="H370" i="3"/>
  <c r="I370" i="3"/>
  <c r="E371" i="3"/>
  <c r="F371" i="3"/>
  <c r="G371" i="3"/>
  <c r="H371" i="3"/>
  <c r="I371" i="3"/>
  <c r="E372" i="3"/>
  <c r="F372" i="3"/>
  <c r="G372" i="3"/>
  <c r="H372" i="3"/>
  <c r="I372" i="3"/>
  <c r="E373" i="3"/>
  <c r="F373" i="3"/>
  <c r="G373" i="3"/>
  <c r="H373" i="3"/>
  <c r="I373" i="3"/>
  <c r="E374" i="3"/>
  <c r="F374" i="3"/>
  <c r="G374" i="3"/>
  <c r="H374" i="3"/>
  <c r="I374" i="3"/>
  <c r="E375" i="3"/>
  <c r="F375" i="3"/>
  <c r="G375" i="3"/>
  <c r="H375" i="3"/>
  <c r="I375" i="3"/>
  <c r="E376" i="3"/>
  <c r="F376" i="3"/>
  <c r="G376" i="3"/>
  <c r="H376" i="3"/>
  <c r="I376" i="3"/>
  <c r="E377" i="3"/>
  <c r="F377" i="3"/>
  <c r="G377" i="3"/>
  <c r="H377" i="3"/>
  <c r="I377" i="3"/>
  <c r="E378" i="3"/>
  <c r="F378" i="3"/>
  <c r="G378" i="3"/>
  <c r="H378" i="3"/>
  <c r="I378" i="3"/>
  <c r="E379" i="3"/>
  <c r="F379" i="3"/>
  <c r="G379" i="3"/>
  <c r="H379" i="3"/>
  <c r="I379" i="3"/>
  <c r="E380" i="3"/>
  <c r="F380" i="3"/>
  <c r="G380" i="3"/>
  <c r="H380" i="3"/>
  <c r="I380" i="3"/>
  <c r="E381" i="3"/>
  <c r="F381" i="3"/>
  <c r="G381" i="3"/>
  <c r="H381" i="3"/>
  <c r="I381" i="3"/>
  <c r="E382" i="3"/>
  <c r="F382" i="3"/>
  <c r="G382" i="3"/>
  <c r="H382" i="3"/>
  <c r="I382" i="3"/>
  <c r="E383" i="3"/>
  <c r="F383" i="3"/>
  <c r="G383" i="3"/>
  <c r="H383" i="3"/>
  <c r="I383" i="3"/>
  <c r="E384" i="3"/>
  <c r="F384" i="3"/>
  <c r="G384" i="3"/>
  <c r="H384" i="3"/>
  <c r="I384" i="3"/>
  <c r="E385" i="3"/>
  <c r="F385" i="3"/>
  <c r="G385" i="3"/>
  <c r="H385" i="3"/>
  <c r="I385" i="3"/>
  <c r="E386" i="3"/>
  <c r="F386" i="3"/>
  <c r="G386" i="3"/>
  <c r="H386" i="3"/>
  <c r="I386" i="3"/>
  <c r="E387" i="3"/>
  <c r="F387" i="3"/>
  <c r="G387" i="3"/>
  <c r="H387" i="3"/>
  <c r="I387" i="3"/>
  <c r="E388" i="3"/>
  <c r="F388" i="3"/>
  <c r="G388" i="3"/>
  <c r="H388" i="3"/>
  <c r="I388" i="3"/>
  <c r="E389" i="3"/>
  <c r="F389" i="3"/>
  <c r="G389" i="3"/>
  <c r="H389" i="3"/>
  <c r="I389" i="3"/>
  <c r="E390" i="3"/>
  <c r="F390" i="3"/>
  <c r="G390" i="3"/>
  <c r="H390" i="3"/>
  <c r="I390" i="3"/>
  <c r="E391" i="3"/>
  <c r="F391" i="3"/>
  <c r="G391" i="3"/>
  <c r="H391" i="3"/>
  <c r="I391" i="3"/>
  <c r="E392" i="3"/>
  <c r="F392" i="3"/>
  <c r="G392" i="3"/>
  <c r="H392" i="3"/>
  <c r="I392" i="3"/>
  <c r="E393" i="3"/>
  <c r="F393" i="3"/>
  <c r="G393" i="3"/>
  <c r="H393" i="3"/>
  <c r="I393" i="3"/>
  <c r="E394" i="3"/>
  <c r="F394" i="3"/>
  <c r="G394" i="3"/>
  <c r="H394" i="3"/>
  <c r="I394" i="3"/>
  <c r="E395" i="3"/>
  <c r="F395" i="3"/>
  <c r="G395" i="3"/>
  <c r="H395" i="3"/>
  <c r="I395" i="3"/>
  <c r="E396" i="3"/>
  <c r="F396" i="3"/>
  <c r="G396" i="3"/>
  <c r="H396" i="3"/>
  <c r="I396" i="3"/>
  <c r="E397" i="3"/>
  <c r="F397" i="3"/>
  <c r="G397" i="3"/>
  <c r="H397" i="3"/>
  <c r="I397" i="3"/>
  <c r="E398" i="3"/>
  <c r="F398" i="3"/>
  <c r="G398" i="3"/>
  <c r="H398" i="3"/>
  <c r="I398" i="3"/>
  <c r="E399" i="3"/>
  <c r="F399" i="3"/>
  <c r="G399" i="3"/>
  <c r="H399" i="3"/>
  <c r="I399" i="3"/>
  <c r="E400" i="3"/>
  <c r="F400" i="3"/>
  <c r="G400" i="3"/>
  <c r="H400" i="3"/>
  <c r="I400" i="3"/>
  <c r="E401" i="3"/>
  <c r="F401" i="3"/>
  <c r="G401" i="3"/>
  <c r="H401" i="3"/>
  <c r="I401" i="3"/>
  <c r="E402" i="3"/>
  <c r="F402" i="3"/>
  <c r="G402" i="3"/>
  <c r="H402" i="3"/>
  <c r="I402" i="3"/>
  <c r="E403" i="3"/>
  <c r="F403" i="3"/>
  <c r="G403" i="3"/>
  <c r="H403" i="3"/>
  <c r="I403" i="3"/>
  <c r="E404" i="3"/>
  <c r="F404" i="3"/>
  <c r="G404" i="3"/>
  <c r="H404" i="3"/>
  <c r="I404" i="3"/>
  <c r="E405" i="3"/>
  <c r="F405" i="3"/>
  <c r="G405" i="3"/>
  <c r="H405" i="3"/>
  <c r="I405" i="3"/>
  <c r="E406" i="3"/>
  <c r="F406" i="3"/>
  <c r="G406" i="3"/>
  <c r="H406" i="3"/>
  <c r="I406" i="3"/>
  <c r="E407" i="3"/>
  <c r="F407" i="3"/>
  <c r="G407" i="3"/>
  <c r="H407" i="3"/>
  <c r="I407" i="3"/>
  <c r="E408" i="3"/>
  <c r="F408" i="3"/>
  <c r="G408" i="3"/>
  <c r="H408" i="3"/>
  <c r="I408" i="3"/>
  <c r="E409" i="3"/>
  <c r="F409" i="3"/>
  <c r="G409" i="3"/>
  <c r="H409" i="3"/>
  <c r="I409" i="3"/>
  <c r="E410" i="3"/>
  <c r="F410" i="3"/>
  <c r="G410" i="3"/>
  <c r="H410" i="3"/>
  <c r="I410" i="3"/>
  <c r="E411" i="3"/>
  <c r="F411" i="3"/>
  <c r="G411" i="3"/>
  <c r="H411" i="3"/>
  <c r="I411" i="3"/>
  <c r="E412" i="3"/>
  <c r="F412" i="3"/>
  <c r="G412" i="3"/>
  <c r="H412" i="3"/>
  <c r="I412" i="3"/>
  <c r="E413" i="3"/>
  <c r="F413" i="3"/>
  <c r="G413" i="3"/>
  <c r="H413" i="3"/>
  <c r="I413" i="3"/>
  <c r="E414" i="3"/>
  <c r="F414" i="3"/>
  <c r="G414" i="3"/>
  <c r="H414" i="3"/>
  <c r="I414" i="3"/>
  <c r="E415" i="3"/>
  <c r="F415" i="3"/>
  <c r="G415" i="3"/>
  <c r="H415" i="3"/>
  <c r="I415" i="3"/>
  <c r="E416" i="3"/>
  <c r="F416" i="3"/>
  <c r="G416" i="3"/>
  <c r="H416" i="3"/>
  <c r="I416" i="3"/>
  <c r="E417" i="3"/>
  <c r="F417" i="3"/>
  <c r="G417" i="3"/>
  <c r="H417" i="3"/>
  <c r="I417" i="3"/>
  <c r="E418" i="3"/>
  <c r="F418" i="3"/>
  <c r="G418" i="3"/>
  <c r="H418" i="3"/>
  <c r="I418" i="3"/>
  <c r="E419" i="3"/>
  <c r="F419" i="3"/>
  <c r="G419" i="3"/>
  <c r="H419" i="3"/>
  <c r="I419" i="3"/>
  <c r="E420" i="3"/>
  <c r="F420" i="3"/>
  <c r="G420" i="3"/>
  <c r="H420" i="3"/>
  <c r="I420" i="3"/>
  <c r="E421" i="3"/>
  <c r="F421" i="3"/>
  <c r="G421" i="3"/>
  <c r="H421" i="3"/>
  <c r="I421" i="3"/>
  <c r="E422" i="3"/>
  <c r="F422" i="3"/>
  <c r="G422" i="3"/>
  <c r="H422" i="3"/>
  <c r="I422" i="3"/>
  <c r="E423" i="3"/>
  <c r="F423" i="3"/>
  <c r="G423" i="3"/>
  <c r="H423" i="3"/>
  <c r="I423" i="3"/>
  <c r="E424" i="3"/>
  <c r="F424" i="3"/>
  <c r="G424" i="3"/>
  <c r="H424" i="3"/>
  <c r="I424" i="3"/>
  <c r="E425" i="3"/>
  <c r="F425" i="3"/>
  <c r="G425" i="3"/>
  <c r="H425" i="3"/>
  <c r="I425" i="3"/>
  <c r="E426" i="3"/>
  <c r="F426" i="3"/>
  <c r="G426" i="3"/>
  <c r="H426" i="3"/>
  <c r="I426" i="3"/>
  <c r="E427" i="3"/>
  <c r="F427" i="3"/>
  <c r="G427" i="3"/>
  <c r="H427" i="3"/>
  <c r="I427" i="3"/>
  <c r="E428" i="3"/>
  <c r="F428" i="3"/>
  <c r="G428" i="3"/>
  <c r="H428" i="3"/>
  <c r="I428" i="3"/>
  <c r="G429" i="3"/>
  <c r="H429" i="3"/>
  <c r="I429" i="3"/>
  <c r="AO9" i="9" l="1"/>
  <c r="AP9" i="9"/>
  <c r="AO12" i="9"/>
  <c r="AN13" i="9"/>
  <c r="AP12" i="9"/>
  <c r="AK3" i="9"/>
  <c r="AJ3" i="9"/>
  <c r="AL3" i="9"/>
  <c r="AJ4" i="9"/>
  <c r="AL4" i="9"/>
  <c r="AK4" i="9"/>
  <c r="AJ5" i="9"/>
  <c r="AK5" i="9"/>
  <c r="AL5" i="9"/>
  <c r="AJ6" i="9"/>
  <c r="AL6" i="9"/>
  <c r="AK6" i="9"/>
  <c r="AL7" i="9"/>
  <c r="AK7" i="9"/>
  <c r="AJ7" i="9"/>
  <c r="AJ8" i="9"/>
  <c r="AK8" i="9"/>
  <c r="AL8" i="9"/>
  <c r="AJ9" i="9"/>
  <c r="AK9" i="9"/>
  <c r="AL9" i="9"/>
  <c r="AK10" i="9"/>
  <c r="AJ10" i="9"/>
  <c r="AL10" i="9"/>
  <c r="AL11" i="9"/>
  <c r="AK11" i="9"/>
  <c r="AJ11" i="9"/>
  <c r="AK12" i="9"/>
  <c r="AJ12" i="9"/>
  <c r="AL12" i="9"/>
  <c r="AJ13" i="9"/>
  <c r="AK13" i="9"/>
  <c r="AL13" i="9"/>
  <c r="AL14" i="9"/>
  <c r="AJ14" i="9"/>
  <c r="AK14" i="9"/>
  <c r="AK15" i="9"/>
  <c r="AJ15" i="9"/>
  <c r="AL15" i="9"/>
  <c r="AK16" i="9"/>
  <c r="AL16" i="9"/>
  <c r="AJ16" i="9"/>
  <c r="AL17" i="9"/>
  <c r="AJ17" i="9"/>
  <c r="AK17" i="9"/>
  <c r="AJ18" i="9"/>
  <c r="AL18" i="9"/>
  <c r="AK18" i="9"/>
  <c r="AL19" i="9"/>
  <c r="AK19" i="9"/>
  <c r="AJ19" i="9"/>
  <c r="AL20" i="9"/>
  <c r="AK20" i="9"/>
  <c r="AJ20" i="9"/>
  <c r="AL21" i="9"/>
  <c r="AJ21" i="9"/>
  <c r="AK21" i="9"/>
  <c r="AK22" i="9"/>
  <c r="AJ22" i="9"/>
  <c r="AL22" i="9"/>
  <c r="AL23" i="9"/>
  <c r="AJ23" i="9"/>
  <c r="AK23" i="9"/>
  <c r="AJ24" i="9"/>
  <c r="AL24" i="9"/>
  <c r="AK24" i="9"/>
  <c r="AJ25" i="9"/>
  <c r="AL25" i="9"/>
  <c r="AK25" i="9"/>
  <c r="AJ26" i="9"/>
  <c r="AL26" i="9"/>
  <c r="AK26" i="9"/>
  <c r="AJ27" i="9"/>
  <c r="AK27" i="9"/>
  <c r="AL27" i="9"/>
  <c r="AL28" i="9"/>
  <c r="AJ28" i="9"/>
  <c r="AK28" i="9"/>
  <c r="AJ29" i="9"/>
  <c r="AK29" i="9"/>
  <c r="AL29" i="9"/>
  <c r="AL30" i="9"/>
  <c r="AK30" i="9"/>
  <c r="AJ30" i="9"/>
  <c r="AK31" i="9"/>
  <c r="AL31" i="9"/>
  <c r="AJ31" i="9"/>
  <c r="AL32" i="9"/>
  <c r="AK32" i="9"/>
  <c r="AJ32" i="9"/>
  <c r="AJ33" i="9"/>
  <c r="AK33" i="9"/>
  <c r="AL33" i="9"/>
  <c r="AK34" i="9"/>
  <c r="AL34" i="9"/>
  <c r="AJ34" i="9"/>
  <c r="AK35" i="9"/>
  <c r="AJ35" i="9"/>
  <c r="AL35" i="9"/>
  <c r="AL36" i="9"/>
  <c r="AJ36" i="9"/>
  <c r="AK36" i="9"/>
  <c r="AJ37" i="9"/>
  <c r="AL37" i="9"/>
  <c r="AK37" i="9"/>
  <c r="AJ38" i="9"/>
  <c r="AK38" i="9"/>
  <c r="AL38" i="9"/>
  <c r="AK2" i="9"/>
  <c r="AJ2" i="9"/>
  <c r="AL2" i="9"/>
  <c r="AE3" i="9"/>
  <c r="AD3" i="9"/>
  <c r="AC3" i="9"/>
  <c r="AE4" i="9"/>
  <c r="AD4" i="9"/>
  <c r="AC4" i="9"/>
  <c r="AC5" i="9"/>
  <c r="AD5" i="9"/>
  <c r="AE5" i="9"/>
  <c r="AD6" i="9"/>
  <c r="AE6" i="9"/>
  <c r="AC6" i="9"/>
  <c r="AE7" i="9"/>
  <c r="AD7" i="9"/>
  <c r="AC7" i="9"/>
  <c r="AC8" i="9"/>
  <c r="AE8" i="9"/>
  <c r="AD8" i="9"/>
  <c r="AE9" i="9"/>
  <c r="AC9" i="9"/>
  <c r="AD9" i="9"/>
  <c r="AC10" i="9"/>
  <c r="AD10" i="9"/>
  <c r="AE10" i="9"/>
  <c r="AD11" i="9"/>
  <c r="AC11" i="9"/>
  <c r="AE11" i="9"/>
  <c r="AE12" i="9"/>
  <c r="AD12" i="9"/>
  <c r="AC12" i="9"/>
  <c r="AE13" i="9"/>
  <c r="AC13" i="9"/>
  <c r="AD13" i="9"/>
  <c r="AC14" i="9"/>
  <c r="AE14" i="9"/>
  <c r="AD14" i="9"/>
  <c r="AE15" i="9"/>
  <c r="AD15" i="9"/>
  <c r="AC15" i="9"/>
  <c r="AC16" i="9"/>
  <c r="AD16" i="9"/>
  <c r="AE16" i="9"/>
  <c r="AC17" i="9"/>
  <c r="AD17" i="9"/>
  <c r="AE17" i="9"/>
  <c r="AC18" i="9"/>
  <c r="AE18" i="9"/>
  <c r="AD18" i="9"/>
  <c r="AC19" i="9"/>
  <c r="AE19" i="9"/>
  <c r="AD19" i="9"/>
  <c r="AD20" i="9"/>
  <c r="AC20" i="9"/>
  <c r="AE20" i="9"/>
  <c r="AD21" i="9"/>
  <c r="AE21" i="9"/>
  <c r="AC21" i="9"/>
  <c r="AE22" i="9"/>
  <c r="AD22" i="9"/>
  <c r="AC22" i="9"/>
  <c r="AE23" i="9"/>
  <c r="AD23" i="9"/>
  <c r="AC23" i="9"/>
  <c r="AC24" i="9"/>
  <c r="AD24" i="9"/>
  <c r="AE24" i="9"/>
  <c r="AD25" i="9"/>
  <c r="AE25" i="9"/>
  <c r="AC25" i="9"/>
  <c r="AC26" i="9"/>
  <c r="AD26" i="9"/>
  <c r="AE26" i="9"/>
  <c r="AD27" i="9"/>
  <c r="AE27" i="9"/>
  <c r="AC27" i="9"/>
  <c r="AD28" i="9"/>
  <c r="AC28" i="9"/>
  <c r="AE28" i="9"/>
  <c r="AD29" i="9"/>
  <c r="AC29" i="9"/>
  <c r="AE29" i="9"/>
  <c r="AD30" i="9"/>
  <c r="AE30" i="9"/>
  <c r="AC30" i="9"/>
  <c r="AE31" i="9"/>
  <c r="AC31" i="9"/>
  <c r="AD31" i="9"/>
  <c r="AC32" i="9"/>
  <c r="AD32" i="9"/>
  <c r="AE32" i="9"/>
  <c r="AE33" i="9"/>
  <c r="AD33" i="9"/>
  <c r="AC33" i="9"/>
  <c r="AE34" i="9"/>
  <c r="AD34" i="9"/>
  <c r="AC34" i="9"/>
  <c r="AC35" i="9"/>
  <c r="AE35" i="9"/>
  <c r="AD35" i="9"/>
  <c r="AE36" i="9"/>
  <c r="AD36" i="9"/>
  <c r="AC36" i="9"/>
  <c r="AD37" i="9"/>
  <c r="AC37" i="9"/>
  <c r="AE37" i="9"/>
  <c r="AE38" i="9"/>
  <c r="AC38" i="9"/>
  <c r="AD38" i="9"/>
  <c r="AC39" i="9"/>
  <c r="AD39" i="9"/>
  <c r="AE39" i="9"/>
  <c r="AD40" i="9"/>
  <c r="AE40" i="9"/>
  <c r="AC40" i="9"/>
  <c r="AC41" i="9"/>
  <c r="AE41" i="9"/>
  <c r="AD41" i="9"/>
  <c r="AE42" i="9"/>
  <c r="AD42" i="9"/>
  <c r="AC42" i="9"/>
  <c r="AC43" i="9"/>
  <c r="AD43" i="9"/>
  <c r="AE43" i="9"/>
  <c r="AC44" i="9"/>
  <c r="AE44" i="9"/>
  <c r="AD44" i="9"/>
  <c r="AD2" i="9"/>
  <c r="AC2" i="9"/>
  <c r="AE2" i="9"/>
  <c r="V3" i="9"/>
  <c r="W3" i="9"/>
  <c r="X3" i="9"/>
  <c r="X4" i="9"/>
  <c r="V4" i="9"/>
  <c r="W4" i="9"/>
  <c r="X5" i="9"/>
  <c r="V5" i="9"/>
  <c r="W5" i="9"/>
  <c r="W6" i="9"/>
  <c r="X6" i="9"/>
  <c r="V6" i="9"/>
  <c r="W7" i="9"/>
  <c r="X7" i="9"/>
  <c r="V7" i="9"/>
  <c r="X8" i="9"/>
  <c r="V8" i="9"/>
  <c r="W8" i="9"/>
  <c r="X9" i="9"/>
  <c r="W9" i="9"/>
  <c r="V9" i="9"/>
  <c r="V10" i="9"/>
  <c r="W10" i="9"/>
  <c r="X10" i="9"/>
  <c r="V11" i="9"/>
  <c r="X11" i="9"/>
  <c r="W11" i="9"/>
  <c r="X12" i="9"/>
  <c r="V12" i="9"/>
  <c r="W12" i="9"/>
  <c r="X13" i="9"/>
  <c r="W13" i="9"/>
  <c r="V13" i="9"/>
  <c r="X14" i="9"/>
  <c r="W14" i="9"/>
  <c r="V14" i="9"/>
  <c r="V15" i="9"/>
  <c r="W15" i="9"/>
  <c r="X15" i="9"/>
  <c r="V16" i="9"/>
  <c r="W16" i="9"/>
  <c r="X16" i="9"/>
  <c r="V17" i="9"/>
  <c r="W17" i="9"/>
  <c r="X17" i="9"/>
  <c r="W18" i="9"/>
  <c r="V18" i="9"/>
  <c r="X18" i="9"/>
  <c r="W19" i="9"/>
  <c r="X19" i="9"/>
  <c r="V19" i="9"/>
  <c r="X20" i="9"/>
  <c r="V20" i="9"/>
  <c r="W20" i="9"/>
  <c r="V21" i="9"/>
  <c r="W21" i="9"/>
  <c r="X21" i="9"/>
  <c r="X22" i="9"/>
  <c r="V22" i="9"/>
  <c r="W22" i="9"/>
  <c r="X23" i="9"/>
  <c r="W23" i="9"/>
  <c r="V23" i="9"/>
  <c r="X24" i="9"/>
  <c r="V24" i="9"/>
  <c r="W24" i="9"/>
  <c r="V25" i="9"/>
  <c r="W25" i="9"/>
  <c r="X25" i="9"/>
  <c r="V26" i="9"/>
  <c r="W26" i="9"/>
  <c r="X26" i="9"/>
  <c r="X27" i="9"/>
  <c r="W27" i="9"/>
  <c r="V27" i="9"/>
  <c r="X28" i="9"/>
  <c r="W28" i="9"/>
  <c r="V28" i="9"/>
  <c r="X29" i="9"/>
  <c r="V29" i="9"/>
  <c r="W29" i="9"/>
  <c r="V30" i="9"/>
  <c r="X30" i="9"/>
  <c r="W30" i="9"/>
  <c r="W31" i="9"/>
  <c r="V31" i="9"/>
  <c r="X31" i="9"/>
  <c r="X32" i="9"/>
  <c r="W32" i="9"/>
  <c r="V32" i="9"/>
  <c r="W33" i="9"/>
  <c r="X33" i="9"/>
  <c r="V33" i="9"/>
  <c r="V34" i="9"/>
  <c r="W34" i="9"/>
  <c r="X34" i="9"/>
  <c r="V2" i="9"/>
  <c r="X2" i="9"/>
  <c r="W2" i="9"/>
  <c r="B2" i="9"/>
  <c r="L2" i="9" s="1"/>
  <c r="C2" i="9"/>
  <c r="M2" i="9" s="1"/>
  <c r="D2" i="9" a="1"/>
  <c r="E2" i="9"/>
  <c r="N2" i="9" s="1"/>
  <c r="F2" i="9"/>
  <c r="O2" i="9" s="1"/>
  <c r="G2" i="9" a="1"/>
  <c r="H2" i="9"/>
  <c r="P2" i="9" s="1"/>
  <c r="I2" i="9"/>
  <c r="Q2" i="9" s="1"/>
  <c r="J2" i="9" a="1"/>
  <c r="A3" i="9"/>
  <c r="C5" i="6"/>
  <c r="X65" i="3" a="1"/>
  <c r="X33" i="3" a="1"/>
  <c r="X34" i="3" a="1"/>
  <c r="X116" i="3" a="1"/>
  <c r="X168" i="3" a="1"/>
  <c r="X256" i="3" a="1"/>
  <c r="X270" i="3" a="1"/>
  <c r="X169" i="3" a="1"/>
  <c r="X81" i="3" a="1"/>
  <c r="X218" i="3" a="1"/>
  <c r="X132" i="3" a="1"/>
  <c r="X80" i="3" a="1"/>
  <c r="X114" i="3" a="1"/>
  <c r="X115" i="3" a="1"/>
  <c r="X193" i="3" a="1"/>
  <c r="X269" i="3" a="1"/>
  <c r="X228" i="3" a="1"/>
  <c r="X176" i="3" a="1"/>
  <c r="X241" i="3" a="1"/>
  <c r="X45" i="3" a="1"/>
  <c r="X229" i="3" a="1"/>
  <c r="X117" i="3" a="1"/>
  <c r="X64" i="3" a="1"/>
  <c r="X201" i="3" a="1"/>
  <c r="X56" i="3" a="1"/>
  <c r="X16" i="3" a="1"/>
  <c r="X204" i="3" a="1"/>
  <c r="X210" i="3" a="1"/>
  <c r="X67" i="3" a="1"/>
  <c r="X3" i="3" a="1"/>
  <c r="X17" i="3" a="1"/>
  <c r="X268" i="3" a="1"/>
  <c r="X148" i="3" a="1"/>
  <c r="X9" i="3" a="1"/>
  <c r="X23" i="3" a="1"/>
  <c r="X180" i="3" a="1"/>
  <c r="X203" i="3" a="1"/>
  <c r="X118" i="3" a="1"/>
  <c r="X227" i="3" a="1"/>
  <c r="X205" i="3" a="1"/>
  <c r="X161" i="3" a="1"/>
  <c r="X192" i="3" a="1"/>
  <c r="X171" i="3" a="1"/>
  <c r="X322" i="3" a="1"/>
  <c r="X181" i="3" a="1"/>
  <c r="X303" i="3" a="1"/>
  <c r="X133" i="3" a="1"/>
  <c r="X306" i="3" a="1"/>
  <c r="X60" i="3" a="1"/>
  <c r="X309" i="3" a="1"/>
  <c r="X44" i="3" a="1"/>
  <c r="X332" i="3" a="1"/>
  <c r="X267" i="3" a="1"/>
  <c r="X72" i="3" a="1"/>
  <c r="X185" i="3" a="1"/>
  <c r="X310" i="3" a="1"/>
  <c r="X88" i="3" a="1"/>
  <c r="X197" i="3" a="1"/>
  <c r="X217" i="3" a="1"/>
  <c r="X18" i="3" a="1"/>
  <c r="X189" i="3" a="1"/>
  <c r="X226" i="3" a="1"/>
  <c r="X335" i="3" a="1"/>
  <c r="X38" i="3" a="1"/>
  <c r="X160" i="3" a="1"/>
  <c r="X58" i="3" a="1"/>
  <c r="X206" i="3" a="1"/>
  <c r="X173" i="3" a="1"/>
  <c r="X315" i="3" a="1"/>
  <c r="X317" i="3" a="1"/>
  <c r="X162" i="3" a="1"/>
  <c r="X170" i="3" a="1"/>
  <c r="X165" i="3" a="1"/>
  <c r="X196" i="3" a="1"/>
  <c r="X319" i="3" a="1"/>
  <c r="X200" i="3" a="1"/>
  <c r="X255" i="3" a="1"/>
  <c r="X320" i="3" a="1"/>
  <c r="X324" i="3" a="1"/>
  <c r="X326" i="3" a="1"/>
  <c r="X331" i="3" a="1"/>
  <c r="X333" i="3" a="1"/>
  <c r="X230" i="3" a="1"/>
  <c r="X144" i="3" a="1"/>
  <c r="X338" i="3" a="1"/>
  <c r="X339" i="3" s="1" a="1"/>
  <c r="X340" i="3" s="1" a="1"/>
  <c r="X341" i="3" s="1" a="1"/>
  <c r="X342" i="3" s="1" a="1"/>
  <c r="X343" i="3" s="1" a="1"/>
  <c r="X344" i="3" s="1" a="1"/>
  <c r="X345" i="3" s="1" a="1"/>
  <c r="X346" i="3" s="1" a="1"/>
  <c r="X347" i="3" s="1" a="1"/>
  <c r="X348" i="3" s="1" a="1"/>
  <c r="X349" i="3" s="1" a="1"/>
  <c r="X350" i="3" s="1" a="1"/>
  <c r="X351" i="3" s="1" a="1"/>
  <c r="X352" i="3" s="1" a="1"/>
  <c r="X353" i="3" s="1" a="1"/>
  <c r="X354" i="3" s="1" a="1"/>
  <c r="X355" i="3" s="1" a="1"/>
  <c r="X356" i="3" s="1" a="1"/>
  <c r="X357" i="3" s="1" a="1"/>
  <c r="X358" i="3" s="1" a="1"/>
  <c r="X359" i="3" s="1" a="1"/>
  <c r="X360" i="3" s="1" a="1"/>
  <c r="X361" i="3" s="1" a="1"/>
  <c r="X362" i="3" s="1" a="1"/>
  <c r="X363" i="3" s="1" a="1"/>
  <c r="X364" i="3" s="1" a="1"/>
  <c r="X365" i="3" s="1" a="1"/>
  <c r="X366" i="3" s="1" a="1"/>
  <c r="X367" i="3" s="1" a="1"/>
  <c r="X368" i="3" s="1" a="1"/>
  <c r="X369" i="3" s="1" a="1"/>
  <c r="X370" i="3" s="1" a="1"/>
  <c r="X371" i="3" s="1" a="1"/>
  <c r="X372" i="3" s="1" a="1"/>
  <c r="X373" i="3" s="1" a="1"/>
  <c r="X374" i="3" s="1" a="1"/>
  <c r="X375" i="3" s="1" a="1"/>
  <c r="X376" i="3" s="1" a="1"/>
  <c r="X377" i="3" s="1" a="1"/>
  <c r="X378" i="3" s="1" a="1"/>
  <c r="X379" i="3" s="1" a="1"/>
  <c r="X380" i="3" s="1" a="1"/>
  <c r="X381" i="3" s="1" a="1"/>
  <c r="X382" i="3" s="1" a="1"/>
  <c r="X383" i="3" s="1" a="1"/>
  <c r="X384" i="3" s="1" a="1"/>
  <c r="X385" i="3" s="1" a="1"/>
  <c r="X61" i="3" a="1"/>
  <c r="X119" i="3" a="1"/>
  <c r="X302" i="3" a="1"/>
  <c r="X177" i="3" a="1"/>
  <c r="X225" i="3" a="1"/>
  <c r="X183" i="3" a="1"/>
  <c r="X186" i="3" a="1"/>
  <c r="X307" i="3" a="1"/>
  <c r="X301" i="3" a="1"/>
  <c r="X318" i="3" a="1"/>
  <c r="X251" i="3" a="1"/>
  <c r="X330" i="3" a="1"/>
  <c r="X266" i="3" a="1"/>
  <c r="X120" i="3" a="1"/>
  <c r="X151" i="3" a="1"/>
  <c r="X213" i="3" a="1"/>
  <c r="X300" i="3" a="1"/>
  <c r="X156" i="3" a="1"/>
  <c r="X187" i="3" a="1"/>
  <c r="X43" i="3" a="1"/>
  <c r="X190" i="3" a="1"/>
  <c r="X248" i="3" a="1"/>
  <c r="X195" i="3" a="1"/>
  <c r="X316" i="3" a="1"/>
  <c r="X299" i="3" a="1"/>
  <c r="X328" i="3" a="1"/>
  <c r="X231" i="3" a="1"/>
  <c r="X242" i="3" a="1"/>
  <c r="X78" i="3" a="1"/>
  <c r="X15" i="3" a="1"/>
  <c r="X152" i="3" a="1"/>
  <c r="X232" i="3" a="1"/>
  <c r="X298" i="3" a="1"/>
  <c r="X178" i="3" a="1"/>
  <c r="X19" i="3" a="1"/>
  <c r="X121" i="3" a="1"/>
  <c r="X249" i="3" a="1"/>
  <c r="X305" i="3" a="1"/>
  <c r="X134" i="3" a="1"/>
  <c r="X167" i="3" a="1"/>
  <c r="X297" i="3" a="1"/>
  <c r="X313" i="3" a="1"/>
  <c r="X224" i="3" a="1"/>
  <c r="X265" i="3" a="1"/>
  <c r="X87" i="3" a="1"/>
  <c r="X329" i="3" a="1"/>
  <c r="X188" i="3" a="1"/>
  <c r="X336" i="3" a="1"/>
  <c r="X296" i="3" a="1"/>
  <c r="X194" i="3" a="1"/>
  <c r="X304" i="3" a="1"/>
  <c r="X6" i="3" a="1"/>
  <c r="X75" i="3" a="1"/>
  <c r="X311" i="3" a="1"/>
  <c r="X28" i="3" a="1"/>
  <c r="X312" i="3" a="1"/>
  <c r="X295" i="3" a="1"/>
  <c r="X323" i="3" a="1"/>
  <c r="X83" i="3" a="1"/>
  <c r="X325" i="3" a="1"/>
  <c r="X146" i="3" a="1"/>
  <c r="X159" i="3" a="1"/>
  <c r="X122" i="3" a="1"/>
  <c r="X31" i="3" a="1"/>
  <c r="X294" i="3" a="1"/>
  <c r="X179" i="3" a="1"/>
  <c r="X191" i="3" a="1"/>
  <c r="X321" i="3" a="1"/>
  <c r="X77" i="3" a="1"/>
  <c r="X223" i="3" a="1"/>
  <c r="X14" i="3" a="1"/>
  <c r="X334" i="3" a="1"/>
  <c r="X293" i="3" a="1"/>
  <c r="X141" i="3" a="1"/>
  <c r="X142" i="3" a="1"/>
  <c r="X264" i="3" a="1"/>
  <c r="X123" i="3" a="1"/>
  <c r="X42" i="3" a="1"/>
  <c r="X143" i="3" a="1"/>
  <c r="X139" i="3" a="1"/>
  <c r="X292" i="3" a="1"/>
  <c r="X147" i="3" a="1"/>
  <c r="X209" i="3" a="1"/>
  <c r="X79" i="3" a="1"/>
  <c r="X68" i="3" a="1"/>
  <c r="X153" i="3" a="1"/>
  <c r="X158" i="3" a="1"/>
  <c r="X20" i="3" a="1"/>
  <c r="X291" i="3" a="1"/>
  <c r="X163" i="3" a="1"/>
  <c r="X202" i="3" a="1"/>
  <c r="X89" i="3" a="1"/>
  <c r="X74" i="3" a="1"/>
  <c r="X254" i="3" a="1"/>
  <c r="X211" i="3" a="1"/>
  <c r="AH387" i="3"/>
  <c r="X290" i="3" a="1"/>
  <c r="X247" i="3" a="1"/>
  <c r="X90" i="3" a="1"/>
  <c r="X233" i="3" a="1"/>
  <c r="X124" i="3" a="1"/>
  <c r="X57" i="3" a="1"/>
  <c r="X46" i="3" a="1"/>
  <c r="X30" i="3" a="1"/>
  <c r="X91" i="3" a="1"/>
  <c r="X289" i="3" a="1"/>
  <c r="X263" i="3" a="1"/>
  <c r="X222" i="3" a="1"/>
  <c r="X55" i="3" a="1"/>
  <c r="X86" i="3" a="1"/>
  <c r="X8" i="3" a="1"/>
  <c r="X92" i="3" a="1"/>
  <c r="X154" i="3" a="1"/>
  <c r="X288" i="3" a="1"/>
  <c r="X243" i="3" a="1"/>
  <c r="X135" i="3" a="1"/>
  <c r="X27" i="3" a="1"/>
  <c r="X37" i="3" a="1"/>
  <c r="X125" i="3" a="1"/>
  <c r="X175" i="3" a="1"/>
  <c r="X24" i="3" a="1"/>
  <c r="X287" i="3" a="1"/>
  <c r="X262" i="3" a="1"/>
  <c r="X93" i="3" a="1"/>
  <c r="X41" i="3" a="1"/>
  <c r="X54" i="3" a="1"/>
  <c r="X94" i="3" a="1"/>
  <c r="X4" i="3" a="1"/>
  <c r="X69" i="3" a="1"/>
  <c r="X286" i="3" a="1"/>
  <c r="X216" i="3" a="1"/>
  <c r="X234" i="3" a="1"/>
  <c r="X244" i="3" a="1"/>
  <c r="X95" i="3" a="1"/>
  <c r="X182" i="3" a="1"/>
  <c r="X126" i="3" a="1"/>
  <c r="X184" i="3" a="1"/>
  <c r="X285" i="3" a="1"/>
  <c r="X59" i="3" a="1"/>
  <c r="X198" i="3" a="1"/>
  <c r="X13" i="3" a="1"/>
  <c r="X96" i="3" a="1"/>
  <c r="X53" i="3" a="1"/>
  <c r="X261" i="3" a="1"/>
  <c r="X97" i="3" a="1"/>
  <c r="X284" i="3" a="1"/>
  <c r="X253" i="3" a="1"/>
  <c r="X21" i="3" a="1"/>
  <c r="X73" i="3" a="1"/>
  <c r="X235" i="3" a="1"/>
  <c r="X199" i="3" a="1"/>
  <c r="X214" i="3" a="1"/>
  <c r="X98" i="3" a="1"/>
  <c r="X283" i="3" a="1"/>
  <c r="X136" i="3" a="1"/>
  <c r="X221" i="3" a="1"/>
  <c r="X52" i="3" a="1"/>
  <c r="X145" i="3" a="1"/>
  <c r="X99" i="3" a="1"/>
  <c r="X308" i="3" a="1"/>
  <c r="X127" i="3" a="1"/>
  <c r="X282" i="3" a="1"/>
  <c r="X236" i="3" a="1"/>
  <c r="X7" i="3" a="1"/>
  <c r="X100" i="3" a="1"/>
  <c r="X51" i="3" a="1"/>
  <c r="X76" i="3" a="1"/>
  <c r="X314" i="3" a="1"/>
  <c r="X32" i="3" a="1"/>
  <c r="X281" i="3" a="1"/>
  <c r="X260" i="3" a="1"/>
  <c r="X101" i="3" a="1"/>
  <c r="X172" i="3" a="1"/>
  <c r="X85" i="3" a="1"/>
  <c r="X102" i="3" a="1"/>
  <c r="X70" i="3" a="1"/>
  <c r="X327" i="3" a="1"/>
  <c r="X280" i="3" a="1"/>
  <c r="X29" i="3" a="1"/>
  <c r="X103" i="3" a="1"/>
  <c r="X128" i="3" a="1"/>
  <c r="X12" i="3" a="1"/>
  <c r="X50" i="3" a="1"/>
  <c r="X337" i="3" a="1"/>
  <c r="X220" i="3" a="1"/>
  <c r="X279" i="3" a="1"/>
  <c r="X237" i="3" a="1"/>
  <c r="X5" i="3" a="1"/>
  <c r="X40" i="3" a="1"/>
  <c r="X104" i="3" a="1"/>
  <c r="X105" i="3" a="1"/>
  <c r="X49" i="3" a="1"/>
  <c r="X11" i="3" a="1"/>
  <c r="X278" i="3" a="1"/>
  <c r="X212" i="3" a="1"/>
  <c r="X66" i="3" a="1"/>
  <c r="X62" i="3" a="1"/>
  <c r="X106" i="3" a="1"/>
  <c r="X259" i="3" a="1"/>
  <c r="X2" i="3" a="1"/>
  <c r="X140" i="3" a="1"/>
  <c r="X277" i="3" a="1"/>
  <c r="X25" i="3" a="1"/>
  <c r="X22" i="3" a="1"/>
  <c r="X107" i="3" a="1"/>
  <c r="X252" i="3" a="1"/>
  <c r="X238" i="3" a="1"/>
  <c r="X129" i="3" a="1"/>
  <c r="X108" i="3" a="1"/>
  <c r="X276" i="3" a="1"/>
  <c r="X155" i="3" a="1"/>
  <c r="X219" i="3" a="1"/>
  <c r="X48" i="3" a="1"/>
  <c r="X109" i="3" a="1"/>
  <c r="X137" i="3" a="1"/>
  <c r="X130" i="3" a="1"/>
  <c r="X149" i="3" a="1"/>
  <c r="X275" i="3" a="1"/>
  <c r="X258" i="3" a="1"/>
  <c r="X250" i="3" a="1"/>
  <c r="X39" i="3" a="1"/>
  <c r="X110" i="3" a="1"/>
  <c r="X150" i="3" a="1"/>
  <c r="X26" i="3" a="1"/>
  <c r="X47" i="3" a="1"/>
  <c r="X274" i="3" a="1"/>
  <c r="X215" i="3" a="1"/>
  <c r="X71" i="3" a="1"/>
  <c r="X111" i="3" a="1"/>
  <c r="X239" i="3" a="1"/>
  <c r="X10" i="3" a="1"/>
  <c r="X157" i="3" a="1"/>
  <c r="X245" i="3" a="1"/>
  <c r="X273" i="3" a="1"/>
  <c r="X35" i="3" a="1"/>
  <c r="X208" i="3" a="1"/>
  <c r="X138" i="3" a="1"/>
  <c r="X84" i="3" a="1"/>
  <c r="X131" i="3" a="1"/>
  <c r="X164" i="3" a="1"/>
  <c r="X166" i="3" a="1"/>
  <c r="X272" i="3" a="1"/>
  <c r="X257" i="3" a="1"/>
  <c r="X207" i="3" a="1"/>
  <c r="X240" i="3" a="1"/>
  <c r="X36" i="3" a="1"/>
  <c r="X82" i="3" a="1"/>
  <c r="X63" i="3" a="1"/>
  <c r="X174" i="3" a="1"/>
  <c r="X271" i="3" a="1"/>
  <c r="X246" i="3" a="1"/>
  <c r="X112" i="3" a="1"/>
  <c r="X113" i="3" a="1"/>
  <c r="W351" i="3" a="1"/>
  <c r="W341" i="3" a="1"/>
  <c r="W384" i="3" a="1"/>
  <c r="W199" i="3" a="1"/>
  <c r="W190" i="3" a="1"/>
  <c r="W45" i="3" a="1"/>
  <c r="W373" i="3" a="1"/>
  <c r="W172" i="3" a="1"/>
  <c r="W164" i="3" a="1"/>
  <c r="W161" i="3" a="1"/>
  <c r="W173" i="3" a="1"/>
  <c r="W378" i="3" a="1"/>
  <c r="W17" i="3" a="1"/>
  <c r="W360" i="3" a="1"/>
  <c r="W185" i="3" a="1"/>
  <c r="W117" i="3" a="1"/>
  <c r="W356" i="3" a="1"/>
  <c r="W228" i="3" a="1"/>
  <c r="W149" i="3" a="1"/>
  <c r="W72" i="3" a="1"/>
  <c r="W144" i="3" a="1"/>
  <c r="W187" i="3" a="1"/>
  <c r="W33" i="3" a="1"/>
  <c r="W210" i="3" a="1"/>
  <c r="W118" i="3" a="1"/>
  <c r="W227" i="3" a="1"/>
  <c r="W195" i="3" a="1"/>
  <c r="W197" i="3" a="1"/>
  <c r="W44" i="3" a="1"/>
  <c r="W18" i="3" a="1"/>
  <c r="W88" i="3" a="1"/>
  <c r="W226" i="3" a="1"/>
  <c r="W160" i="3" a="1"/>
  <c r="W119" i="3" a="1"/>
  <c r="W145" i="3" a="1"/>
  <c r="W225" i="3" a="1"/>
  <c r="W120" i="3" a="1"/>
  <c r="W344" i="3" a="1"/>
  <c r="W346" i="3" a="1"/>
  <c r="W28" i="3" a="1"/>
  <c r="W121" i="3" a="1"/>
  <c r="W19" i="3" a="1"/>
  <c r="W352" i="3" a="1"/>
  <c r="W202" i="3" a="1"/>
  <c r="W43" i="3" a="1"/>
  <c r="W224" i="3" a="1"/>
  <c r="W65" i="3" a="1"/>
  <c r="W87" i="3" a="1"/>
  <c r="W78" i="3" a="1"/>
  <c r="W122" i="3" a="1"/>
  <c r="W20" i="3" a="1"/>
  <c r="W223" i="3" a="1"/>
  <c r="W123" i="3" a="1"/>
  <c r="W382" i="3" a="1"/>
  <c r="W42" i="3" a="1"/>
  <c r="W57" i="3" a="1"/>
  <c r="W124" i="3" a="1"/>
  <c r="AG387" i="3"/>
  <c r="W290" i="3" a="1"/>
  <c r="W291" i="3" s="1" a="1"/>
  <c r="W292" i="3" s="1" a="1"/>
  <c r="W293" i="3" s="1" a="1"/>
  <c r="W294" i="3" s="1" a="1"/>
  <c r="W295" i="3" s="1" a="1"/>
  <c r="W296" i="3" s="1" a="1"/>
  <c r="W297" i="3" s="1" a="1"/>
  <c r="W298" i="3" s="1" a="1"/>
  <c r="W299" i="3" s="1" a="1"/>
  <c r="W300" i="3" s="1" a="1"/>
  <c r="W301" i="3" s="1" a="1"/>
  <c r="W302" i="3" s="1" a="1"/>
  <c r="W303" i="3" s="1" a="1"/>
  <c r="W304" i="3" s="1" a="1"/>
  <c r="W305" i="3" s="1" a="1"/>
  <c r="W306" i="3" s="1" a="1"/>
  <c r="W307" i="3" s="1" a="1"/>
  <c r="W308" i="3" s="1" a="1"/>
  <c r="W309" i="3" s="1" a="1"/>
  <c r="W310" i="3" s="1" a="1"/>
  <c r="W311" i="3" s="1" a="1"/>
  <c r="W312" i="3" s="1" a="1"/>
  <c r="W313" i="3" s="1" a="1"/>
  <c r="W314" i="3" s="1" a="1"/>
  <c r="W315" i="3" s="1" a="1"/>
  <c r="W316" i="3" s="1" a="1"/>
  <c r="W317" i="3" s="1" a="1"/>
  <c r="W318" i="3" s="1" a="1"/>
  <c r="W319" i="3" s="1" a="1"/>
  <c r="W320" i="3" s="1" a="1"/>
  <c r="W321" i="3" s="1" a="1"/>
  <c r="W322" i="3" s="1" a="1"/>
  <c r="W323" i="3" s="1" a="1"/>
  <c r="W324" i="3" s="1" a="1"/>
  <c r="W325" i="3" s="1" a="1"/>
  <c r="W326" i="3" s="1" a="1"/>
  <c r="W327" i="3" s="1" a="1"/>
  <c r="W328" i="3" s="1" a="1"/>
  <c r="W329" i="3" s="1" a="1"/>
  <c r="W330" i="3" s="1" a="1"/>
  <c r="W331" i="3" s="1" a="1"/>
  <c r="W332" i="3" s="1" a="1"/>
  <c r="W333" i="3" s="1" a="1"/>
  <c r="W334" i="3" s="1" a="1"/>
  <c r="W335" i="3" s="1" a="1"/>
  <c r="W336" i="3" s="1" a="1"/>
  <c r="W337" i="3" s="1" a="1"/>
  <c r="W209" i="3" a="1"/>
  <c r="W289" i="3" a="1"/>
  <c r="W146" i="3" a="1"/>
  <c r="W288" i="3" a="1"/>
  <c r="W222" i="3" a="1"/>
  <c r="W125" i="3" a="1"/>
  <c r="W86" i="3" a="1"/>
  <c r="W159" i="3" a="1"/>
  <c r="W171" i="3" a="1"/>
  <c r="W287" i="3" a="1"/>
  <c r="W73" i="3" a="1"/>
  <c r="W286" i="3" a="1"/>
  <c r="W206" i="3" a="1"/>
  <c r="W126" i="3" a="1"/>
  <c r="W285" i="3" a="1"/>
  <c r="W21" i="3" a="1"/>
  <c r="W41" i="3" a="1"/>
  <c r="W192" i="3" a="1"/>
  <c r="W284" i="3" a="1"/>
  <c r="W68" i="3" a="1"/>
  <c r="W200" i="3" a="1"/>
  <c r="W283" i="3" a="1"/>
  <c r="W127" i="3" a="1"/>
  <c r="W282" i="3" a="1"/>
  <c r="W221" i="3" a="1"/>
  <c r="W281" i="3" a="1"/>
  <c r="W128" i="3" a="1"/>
  <c r="W280" i="3" a="1"/>
  <c r="W85" i="3" a="1"/>
  <c r="W279" i="3" a="1"/>
  <c r="W220" i="3" a="1"/>
  <c r="W40" i="3" a="1"/>
  <c r="W278" i="3" a="1"/>
  <c r="W366" i="3" a="1"/>
  <c r="W67" i="3" a="1"/>
  <c r="W22" i="3" a="1"/>
  <c r="W277" i="3" a="1"/>
  <c r="W129" i="3" a="1"/>
  <c r="W203" i="3" a="1"/>
  <c r="W276" i="3" a="1"/>
  <c r="W130" i="3" a="1"/>
  <c r="W275" i="3" a="1"/>
  <c r="W219" i="3" a="1"/>
  <c r="W153" i="3" a="1"/>
  <c r="W274" i="3" a="1"/>
  <c r="W58" i="3" a="1"/>
  <c r="W156" i="3" a="1"/>
  <c r="W29" i="3" a="1"/>
  <c r="W273" i="3" a="1"/>
  <c r="W131" i="3" a="1"/>
  <c r="W272" i="3" a="1"/>
  <c r="W208" i="3" a="1"/>
  <c r="W39" i="3" a="1"/>
  <c r="W84" i="3" a="1"/>
  <c r="W170" i="3" a="1"/>
  <c r="W178" i="3" a="1"/>
  <c r="W271" i="3" a="1"/>
  <c r="W23" i="3" a="1"/>
  <c r="W132" i="3" a="1"/>
  <c r="W270" i="3" a="1"/>
  <c r="W218" i="3" a="1"/>
  <c r="W269" i="3" a="1"/>
  <c r="W198" i="3" a="1"/>
  <c r="W268" i="3" a="1"/>
  <c r="W133" i="3" a="1"/>
  <c r="W267" i="3" a="1"/>
  <c r="W38" i="3" a="1"/>
  <c r="W74" i="3" a="1"/>
  <c r="W266" i="3" a="1"/>
  <c r="W217" i="3" a="1"/>
  <c r="W134" i="3" a="1"/>
  <c r="W265" i="3" a="1"/>
  <c r="W76" i="3" a="1"/>
  <c r="W264" i="3" a="1"/>
  <c r="W83" i="3" a="1"/>
  <c r="W135" i="3" a="1"/>
  <c r="W263" i="3" a="1"/>
  <c r="W24" i="3" a="1"/>
  <c r="W62" i="3" a="1"/>
  <c r="W262" i="3" a="1"/>
  <c r="W216" i="3" a="1"/>
  <c r="W364" i="3" a="1"/>
  <c r="W261" i="3" a="1"/>
  <c r="W136" i="3" a="1"/>
  <c r="W37" i="3" a="1"/>
  <c r="W260" i="3" a="1"/>
  <c r="W77" i="3" a="1"/>
  <c r="W259" i="3" a="1"/>
  <c r="W32" i="3" a="1"/>
  <c r="W137" i="3" a="1"/>
  <c r="W31" i="3" a="1"/>
  <c r="W258" i="3" a="1"/>
  <c r="W215" i="3" a="1"/>
  <c r="W138" i="3" a="1"/>
  <c r="W257" i="3" a="1"/>
  <c r="W36" i="3" a="1"/>
  <c r="W256" i="3" a="1"/>
  <c r="W82" i="3" a="1"/>
  <c r="W255" i="3" a="1"/>
  <c r="W139" i="3" a="1"/>
  <c r="W189" i="3" a="1"/>
  <c r="W254" i="3" a="1"/>
  <c r="W25" i="3" a="1"/>
  <c r="W2" i="3" a="1"/>
  <c r="W253" i="3" a="1"/>
  <c r="W140" i="3" a="1"/>
  <c r="W252" i="3" a="1"/>
  <c r="W3" i="3" a="1"/>
  <c r="W251" i="3" a="1"/>
  <c r="W59" i="3" a="1"/>
  <c r="W35" i="3" a="1"/>
  <c r="W250" i="3" a="1"/>
  <c r="W147" i="3" a="1"/>
  <c r="W4" i="3" a="1"/>
  <c r="W363" i="3" a="1"/>
  <c r="W249" i="3" a="1"/>
  <c r="W158" i="3" a="1"/>
  <c r="W214" i="3" a="1"/>
  <c r="W5" i="3" a="1"/>
  <c r="W248" i="3" a="1"/>
  <c r="W81" i="3" a="1"/>
  <c r="W247" i="3" a="1"/>
  <c r="W165" i="3" a="1"/>
  <c r="W6" i="3" a="1"/>
  <c r="W246" i="3" a="1"/>
  <c r="W169" i="3" a="1"/>
  <c r="W207" i="3" a="1"/>
  <c r="W245" i="3" a="1"/>
  <c r="W7" i="3" a="1"/>
  <c r="W174" i="3" a="1"/>
  <c r="W244" i="3" a="1"/>
  <c r="W8" i="3" a="1"/>
  <c r="W243" i="3" a="1"/>
  <c r="W26" i="3" a="1"/>
  <c r="W242" i="3" a="1"/>
  <c r="W213" i="3" a="1"/>
  <c r="W9" i="3" a="1"/>
  <c r="W241" i="3" a="1"/>
  <c r="W240" i="3" a="1"/>
  <c r="W80" i="3" a="1"/>
  <c r="W10" i="3" a="1"/>
  <c r="W34" i="3" a="1"/>
  <c r="W239" i="3" a="1"/>
  <c r="W204" i="3" a="1"/>
  <c r="W11" i="3" a="1"/>
  <c r="W238" i="3" a="1"/>
  <c r="W212" i="3" a="1"/>
  <c r="W237" i="3" a="1"/>
  <c r="W12" i="3" a="1"/>
  <c r="W236" i="3" a="1"/>
  <c r="W75" i="3" a="1"/>
  <c r="W235" i="3" a="1"/>
  <c r="W13" i="3" a="1"/>
  <c r="W234" i="3" a="1"/>
  <c r="W27" i="3" a="1"/>
  <c r="W60" i="3" a="1"/>
  <c r="W14" i="3" a="1"/>
  <c r="W233" i="3" a="1"/>
  <c r="W205" i="3" a="1"/>
  <c r="W232" i="3" a="1"/>
  <c r="W211" i="3" a="1"/>
  <c r="W79" i="3" a="1"/>
  <c r="W15" i="3" a="1"/>
  <c r="W231" i="3" a="1"/>
  <c r="W201" i="3" a="1"/>
  <c r="W30" i="3" a="1"/>
  <c r="W230" i="3" a="1"/>
  <c r="W61" i="3" a="1"/>
  <c r="W16" i="3" a="1"/>
  <c r="W229" i="3" a="1"/>
  <c r="W116" i="3" a="1"/>
  <c r="W115" i="3" a="1"/>
  <c r="W114" i="3" a="1"/>
  <c r="W46" i="3" a="1"/>
  <c r="W113" i="3" a="1"/>
  <c r="W63" i="3" a="1"/>
  <c r="W112" i="3" a="1"/>
  <c r="W47" i="3" a="1"/>
  <c r="W111" i="3" a="1"/>
  <c r="W110" i="3" a="1"/>
  <c r="W71" i="3" a="1"/>
  <c r="W109" i="3" a="1"/>
  <c r="W48" i="3" a="1"/>
  <c r="W108" i="3" a="1"/>
  <c r="W107" i="3" a="1"/>
  <c r="W49" i="3" a="1"/>
  <c r="W106" i="3" a="1"/>
  <c r="W105" i="3" a="1"/>
  <c r="W104" i="3" a="1"/>
  <c r="W50" i="3" a="1"/>
  <c r="W103" i="3" a="1"/>
  <c r="W102" i="3" a="1"/>
  <c r="W70" i="3" a="1"/>
  <c r="W51" i="3" a="1"/>
  <c r="W101" i="3" a="1"/>
  <c r="W100" i="3" a="1"/>
  <c r="W99" i="3" a="1"/>
  <c r="W52" i="3" a="1"/>
  <c r="W98" i="3" a="1"/>
  <c r="W66" i="3" a="1"/>
  <c r="W97" i="3" a="1"/>
  <c r="W53" i="3" a="1"/>
  <c r="W96" i="3" a="1"/>
  <c r="W64" i="3" a="1"/>
  <c r="W95" i="3" a="1"/>
  <c r="W54" i="3" a="1"/>
  <c r="W94" i="3" a="1"/>
  <c r="W69" i="3" a="1"/>
  <c r="W93" i="3" a="1"/>
  <c r="W92" i="3" a="1"/>
  <c r="W55" i="3" a="1"/>
  <c r="W91" i="3" a="1"/>
  <c r="W90" i="3" a="1"/>
  <c r="W56" i="3" a="1"/>
  <c r="W89" i="3" a="1"/>
  <c r="W162" i="3" a="1"/>
  <c r="W155" i="3" a="1"/>
  <c r="W151" i="3" a="1"/>
  <c r="W375" i="3" a="1"/>
  <c r="W365" i="3" a="1"/>
  <c r="W350" i="3" a="1"/>
  <c r="W349" i="3" a="1"/>
  <c r="W347" i="3" a="1"/>
  <c r="W342" i="3" a="1"/>
  <c r="W338" i="3" a="1"/>
  <c r="W168" i="3" a="1"/>
  <c r="W167" i="3" a="1"/>
  <c r="W154" i="3" a="1"/>
  <c r="W143" i="3" a="1"/>
  <c r="W142" i="3" a="1"/>
  <c r="W381" i="3" a="1"/>
  <c r="W372" i="3" a="1"/>
  <c r="W369" i="3" a="1"/>
  <c r="W359" i="3" a="1"/>
  <c r="W357" i="3" a="1"/>
  <c r="W188" i="3" a="1"/>
  <c r="W186" i="3" a="1"/>
  <c r="W184" i="3" a="1"/>
  <c r="W148" i="3" a="1"/>
  <c r="W380" i="3" a="1"/>
  <c r="W379" i="3" a="1"/>
  <c r="W354" i="3" a="1"/>
  <c r="W348" i="3" a="1"/>
  <c r="W183" i="3" a="1"/>
  <c r="W377" i="3" a="1"/>
  <c r="W376" i="3" a="1"/>
  <c r="W370" i="3" a="1"/>
  <c r="W182" i="3" a="1"/>
  <c r="W141" i="3" a="1"/>
  <c r="W371" i="3" a="1"/>
  <c r="W345" i="3" a="1"/>
  <c r="W340" i="3" a="1"/>
  <c r="W191" i="3" a="1"/>
  <c r="W181" i="3" a="1"/>
  <c r="W180" i="3" a="1"/>
  <c r="W179" i="3" a="1"/>
  <c r="W177" i="3" a="1"/>
  <c r="W176" i="3" a="1"/>
  <c r="W175" i="3" a="1"/>
  <c r="W163" i="3" a="1"/>
  <c r="W152" i="3" a="1"/>
  <c r="W150" i="3" a="1"/>
  <c r="W374" i="3" a="1"/>
  <c r="W367" i="3" a="1"/>
  <c r="W362" i="3" a="1"/>
  <c r="W361" i="3" a="1"/>
  <c r="W358" i="3" a="1"/>
  <c r="W355" i="3" a="1"/>
  <c r="W343" i="3" a="1"/>
  <c r="W339" i="3" a="1"/>
  <c r="W196" i="3" a="1"/>
  <c r="W194" i="3" a="1"/>
  <c r="W193" i="3" a="1"/>
  <c r="W166" i="3" a="1"/>
  <c r="W157" i="3" a="1"/>
  <c r="W385" i="3" a="1"/>
  <c r="W383" i="3" a="1"/>
  <c r="W368" i="3" a="1"/>
  <c r="W353" i="3" a="1"/>
  <c r="V229" i="3" a="1"/>
  <c r="V385" i="3" a="1"/>
  <c r="V383" i="3" a="1"/>
  <c r="V28" i="3" a="1"/>
  <c r="V45" i="3" a="1"/>
  <c r="V17" i="3" a="1"/>
  <c r="V72" i="3" a="1"/>
  <c r="V362" i="3" a="1"/>
  <c r="V117" i="3" a="1"/>
  <c r="V228" i="3" a="1"/>
  <c r="V186" i="3" a="1"/>
  <c r="V132" i="3" a="1"/>
  <c r="V187" i="3" a="1"/>
  <c r="V113" i="3" a="1"/>
  <c r="V6" i="3" a="1"/>
  <c r="V23" i="3" a="1"/>
  <c r="V9" i="3" a="1"/>
  <c r="V112" i="3" a="1"/>
  <c r="V39" i="3" a="1"/>
  <c r="V47" i="3" a="1"/>
  <c r="V249" i="3" a="1"/>
  <c r="V131" i="3" a="1"/>
  <c r="V31" i="3" a="1"/>
  <c r="V111" i="3" a="1"/>
  <c r="V219" i="3" a="1"/>
  <c r="V154" i="3" a="1"/>
  <c r="V58" i="3" a="1"/>
  <c r="V139" i="3" a="1"/>
  <c r="V110" i="3" a="1"/>
  <c r="V251" i="3" a="1"/>
  <c r="V48" i="3" a="1"/>
  <c r="V68" i="3" a="1"/>
  <c r="V241" i="3" a="1"/>
  <c r="V109" i="3" a="1"/>
  <c r="V71" i="3" a="1"/>
  <c r="V213" i="3" a="1"/>
  <c r="V130" i="3" a="1"/>
  <c r="V40" i="3" a="1"/>
  <c r="V256" i="3" a="1"/>
  <c r="V108" i="3" a="1"/>
  <c r="V129" i="3" a="1"/>
  <c r="V215" i="3" a="1"/>
  <c r="V107" i="3" a="1"/>
  <c r="V49" i="3" a="1"/>
  <c r="V205" i="3" a="1"/>
  <c r="V29" i="3" a="1"/>
  <c r="V10" i="3" a="1"/>
  <c r="V106" i="3" a="1"/>
  <c r="V220" i="3" a="1"/>
  <c r="V350" i="3" a="1"/>
  <c r="V344" i="3" a="1"/>
  <c r="V257" i="3" a="1"/>
  <c r="V105" i="3" a="1"/>
  <c r="V50" i="3" a="1"/>
  <c r="V85" i="3" a="1"/>
  <c r="V3" i="3" a="1"/>
  <c r="V104" i="3" a="1"/>
  <c r="V240" i="3" a="1"/>
  <c r="V22" i="3" a="1"/>
  <c r="V206" i="3" a="1"/>
  <c r="V204" i="3" a="1"/>
  <c r="V103" i="3" a="1"/>
  <c r="V325" i="3" a="1"/>
  <c r="V320" i="3" a="1"/>
  <c r="V248" i="3" a="1"/>
  <c r="V102" i="3" a="1"/>
  <c r="V246" i="3" a="1"/>
  <c r="V51" i="3" a="1"/>
  <c r="V59" i="3" a="1"/>
  <c r="V203" i="3" a="1"/>
  <c r="V166" i="3" a="1"/>
  <c r="V101" i="3" a="1"/>
  <c r="V70" i="3" a="1"/>
  <c r="V221" i="3" a="1"/>
  <c r="V128" i="3" a="1"/>
  <c r="V138" i="3" a="1"/>
  <c r="V100" i="3" a="1"/>
  <c r="V52" i="3" a="1"/>
  <c r="V307" i="3" a="1"/>
  <c r="V32" i="3" a="1"/>
  <c r="V99" i="3" a="1"/>
  <c r="V239" i="3" a="1"/>
  <c r="V127" i="3" a="1"/>
  <c r="V304" i="3" a="1"/>
  <c r="V258" i="3" a="1"/>
  <c r="V259" i="3" s="1" a="1"/>
  <c r="V260" i="3" s="1" a="1"/>
  <c r="V261" i="3" s="1" a="1"/>
  <c r="V262" i="3" s="1" a="1"/>
  <c r="V263" i="3" s="1" a="1"/>
  <c r="V264" i="3" s="1" a="1"/>
  <c r="V265" i="3" s="1" a="1"/>
  <c r="V266" i="3" s="1" a="1"/>
  <c r="V267" i="3" s="1" a="1"/>
  <c r="V268" i="3" s="1" a="1"/>
  <c r="V269" i="3" s="1" a="1"/>
  <c r="V270" i="3" s="1" a="1"/>
  <c r="V271" i="3" s="1" a="1"/>
  <c r="V272" i="3" s="1" a="1"/>
  <c r="V273" i="3" s="1" a="1"/>
  <c r="V274" i="3" s="1" a="1"/>
  <c r="V275" i="3" s="1" a="1"/>
  <c r="V276" i="3" s="1" a="1"/>
  <c r="V277" i="3" s="1" a="1"/>
  <c r="V278" i="3" s="1" a="1"/>
  <c r="V279" i="3" s="1" a="1"/>
  <c r="V280" i="3" s="1" a="1"/>
  <c r="V281" i="3" s="1" a="1"/>
  <c r="V282" i="3" s="1" a="1"/>
  <c r="V283" i="3" s="1" a="1"/>
  <c r="V284" i="3" s="1" a="1"/>
  <c r="V285" i="3" s="1" a="1"/>
  <c r="V286" i="3" s="1" a="1"/>
  <c r="V287" i="3" s="1" a="1"/>
  <c r="V288" i="3" s="1" a="1"/>
  <c r="V289" i="3" s="1" a="1"/>
  <c r="V98" i="3" a="1"/>
  <c r="V80" i="3" a="1"/>
  <c r="V53" i="3" a="1"/>
  <c r="V194" i="3" a="1"/>
  <c r="V35" i="3" a="1"/>
  <c r="V97" i="3" a="1"/>
  <c r="V64" i="3" a="1"/>
  <c r="V11" i="3" a="1"/>
  <c r="V190" i="3" a="1"/>
  <c r="V41" i="3" a="1"/>
  <c r="V5" i="3" a="1"/>
  <c r="V96" i="3" a="1"/>
  <c r="V25" i="3" a="1"/>
  <c r="V21" i="3" a="1"/>
  <c r="V7" i="3" a="1"/>
  <c r="V95" i="3" a="1"/>
  <c r="V126" i="3" a="1"/>
  <c r="V54" i="3" a="1"/>
  <c r="V238" i="3" a="1"/>
  <c r="V209" i="3" a="1"/>
  <c r="V76" i="3" a="1"/>
  <c r="V94" i="3" a="1"/>
  <c r="V153" i="3" a="1"/>
  <c r="V86" i="3" a="1"/>
  <c r="V222" i="3" a="1"/>
  <c r="V137" i="3" a="1"/>
  <c r="V93" i="3" a="1"/>
  <c r="V69" i="3" a="1"/>
  <c r="V55" i="3" a="1"/>
  <c r="V125" i="3" a="1"/>
  <c r="V34" i="3" a="1"/>
  <c r="V92" i="3" a="1"/>
  <c r="V252" i="3" a="1"/>
  <c r="V73" i="3" a="1"/>
  <c r="V42" i="3" a="1"/>
  <c r="V62" i="3" a="1"/>
  <c r="V91" i="3" a="1"/>
  <c r="V290" i="3" a="1"/>
  <c r="V4" i="3" a="1"/>
  <c r="V90" i="3" a="1"/>
  <c r="V66" i="3" a="1"/>
  <c r="V56" i="3" a="1"/>
  <c r="V237" i="3" a="1"/>
  <c r="V124" i="3" a="1"/>
  <c r="V212" i="3" a="1"/>
  <c r="V89" i="3" a="1"/>
  <c r="V291" i="3" a="1"/>
  <c r="V195" i="3" a="1"/>
  <c r="V384" i="3" a="1"/>
  <c r="V12" i="3" a="1"/>
  <c r="V78" i="3" a="1"/>
  <c r="V245" i="3" a="1"/>
  <c r="V292" i="3" a="1"/>
  <c r="V380" i="3" a="1"/>
  <c r="V223" i="3" a="1"/>
  <c r="V293" i="3" a="1"/>
  <c r="V37" i="3" a="1"/>
  <c r="V146" i="3" a="1"/>
  <c r="V354" i="3" a="1"/>
  <c r="V170" i="3" a="1"/>
  <c r="V236" i="3" a="1"/>
  <c r="V30" i="3" a="1"/>
  <c r="V346" i="3" a="1"/>
  <c r="V65" i="3" a="1"/>
  <c r="V140" i="3" a="1"/>
  <c r="V376" i="3" a="1"/>
  <c r="V123" i="3" a="1"/>
  <c r="V315" i="3" a="1"/>
  <c r="V20" i="3" a="1"/>
  <c r="V181" i="3" a="1"/>
  <c r="V294" i="3" a="1"/>
  <c r="V174" i="3" a="1"/>
  <c r="V67" i="3" a="1"/>
  <c r="V13" i="3" a="1"/>
  <c r="V163" i="3" a="1"/>
  <c r="V369" i="3" a="1"/>
  <c r="V158" i="3" a="1"/>
  <c r="V216" i="3" a="1"/>
  <c r="V87" i="3" a="1"/>
  <c r="V161" i="3" a="1"/>
  <c r="V235" i="3" a="1"/>
  <c r="V141" i="3" a="1"/>
  <c r="V382" i="3" a="1"/>
  <c r="V27" i="3" a="1"/>
  <c r="V60" i="3" a="1"/>
  <c r="V371" i="3" a="1"/>
  <c r="V370" i="3" a="1"/>
  <c r="V253" i="3" a="1"/>
  <c r="V367" i="3" a="1"/>
  <c r="V360" i="3" a="1"/>
  <c r="V142" i="3" a="1"/>
  <c r="V358" i="3" a="1"/>
  <c r="V373" i="3" a="1"/>
  <c r="V342" i="3" a="1"/>
  <c r="V334" i="3" a="1"/>
  <c r="V333" i="3" a="1"/>
  <c r="V330" i="3" a="1"/>
  <c r="V295" i="3" a="1"/>
  <c r="V321" i="3" a="1"/>
  <c r="V368" i="3" a="1"/>
  <c r="V122" i="3" a="1"/>
  <c r="V224" i="3" a="1"/>
  <c r="V303" i="3" a="1"/>
  <c r="V201" i="3" a="1"/>
  <c r="V296" i="3" a="1"/>
  <c r="V136" i="3" a="1"/>
  <c r="V214" i="3" a="1"/>
  <c r="V234" i="3" a="1"/>
  <c r="V177" i="3" a="1"/>
  <c r="V173" i="3" a="1"/>
  <c r="V2" i="3" a="1"/>
  <c r="V75" i="3" a="1"/>
  <c r="V83" i="3" a="1"/>
  <c r="V377" i="3" a="1"/>
  <c r="V374" i="3" a="1"/>
  <c r="V365" i="3" a="1"/>
  <c r="V364" i="3" a="1"/>
  <c r="V14" i="3" a="1"/>
  <c r="V244" i="3" a="1"/>
  <c r="V347" i="3" a="1"/>
  <c r="V338" i="3" a="1"/>
  <c r="V43" i="3" a="1"/>
  <c r="V357" i="3" a="1"/>
  <c r="V322" i="3" a="1"/>
  <c r="V319" i="3" a="1"/>
  <c r="V318" i="3" a="1"/>
  <c r="V317" i="3" a="1"/>
  <c r="V316" i="3" a="1"/>
  <c r="V297" i="3" a="1"/>
  <c r="V345" i="3" a="1"/>
  <c r="V171" i="3" a="1"/>
  <c r="V355" i="3" a="1"/>
  <c r="V164" i="3" a="1"/>
  <c r="V162" i="3" a="1"/>
  <c r="V379" i="3" a="1"/>
  <c r="V77" i="3" a="1"/>
  <c r="V233" i="3" a="1"/>
  <c r="V135" i="3" a="1"/>
  <c r="V366" i="3" a="1"/>
  <c r="V57" i="3" a="1"/>
  <c r="V356" i="3" a="1"/>
  <c r="V335" i="3" a="1"/>
  <c r="V323" i="3" a="1"/>
  <c r="V313" i="3" a="1"/>
  <c r="V309" i="3" a="1"/>
  <c r="V306" i="3" a="1"/>
  <c r="V353" i="3" a="1"/>
  <c r="V200" i="3" a="1"/>
  <c r="V198" i="3" a="1"/>
  <c r="V192" i="3" a="1"/>
  <c r="V185" i="3" a="1"/>
  <c r="V24" i="3" a="1"/>
  <c r="V298" i="3" a="1"/>
  <c r="V175" i="3" a="1"/>
  <c r="V159" i="3" a="1"/>
  <c r="V155" i="3" a="1"/>
  <c r="V351" i="3" a="1"/>
  <c r="V332" i="3" a="1"/>
  <c r="V375" i="3" a="1"/>
  <c r="V38" i="3" a="1"/>
  <c r="V361" i="3" a="1"/>
  <c r="V207" i="3" a="1"/>
  <c r="V217" i="3" a="1"/>
  <c r="V337" i="3" a="1"/>
  <c r="V299" i="3" a="1"/>
  <c r="V326" i="3" a="1"/>
  <c r="V349" i="3" a="1"/>
  <c r="V312" i="3" a="1"/>
  <c r="V197" i="3" a="1"/>
  <c r="V348" i="3" a="1"/>
  <c r="V26" i="3" a="1"/>
  <c r="V121" i="3" a="1"/>
  <c r="V225" i="3" a="1"/>
  <c r="V232" i="3" a="1"/>
  <c r="V8" i="3" a="1"/>
  <c r="V150" i="3" a="1"/>
  <c r="V178" i="3" a="1"/>
  <c r="V15" i="3" a="1"/>
  <c r="V36" i="3" a="1"/>
  <c r="V143" i="3" a="1"/>
  <c r="V172" i="3" a="1"/>
  <c r="V167" i="3" a="1"/>
  <c r="V134" i="3" a="1"/>
  <c r="V157" i="3" a="1"/>
  <c r="V300" i="3" a="1"/>
  <c r="V247" i="3" a="1"/>
  <c r="V343" i="3" a="1"/>
  <c r="V231" i="3" a="1"/>
  <c r="V149" i="3" a="1"/>
  <c r="V145" i="3" a="1"/>
  <c r="V381" i="3" a="1"/>
  <c r="V211" i="3" a="1"/>
  <c r="V372" i="3" a="1"/>
  <c r="V79" i="3" a="1"/>
  <c r="V363" i="3" a="1"/>
  <c r="V243" i="3" a="1"/>
  <c r="V176" i="3" a="1"/>
  <c r="V359" i="3" a="1"/>
  <c r="V16" i="3" a="1"/>
  <c r="V311" i="3" a="1"/>
  <c r="V180" i="3" a="1"/>
  <c r="V230" i="3" a="1"/>
  <c r="V331" i="3" a="1"/>
  <c r="V120" i="3" a="1"/>
  <c r="V329" i="3" a="1"/>
  <c r="V301" i="3" a="1"/>
  <c r="V308" i="3" a="1"/>
  <c r="V341" i="3" a="1"/>
  <c r="V254" i="3" a="1"/>
  <c r="V196" i="3" a="1"/>
  <c r="V183" i="3" a="1"/>
  <c r="V191" i="3" a="1"/>
  <c r="V63" i="3" a="1"/>
  <c r="V336" i="3" a="1"/>
  <c r="V182" i="3" a="1"/>
  <c r="V44" i="3" a="1"/>
  <c r="V61" i="3" a="1"/>
  <c r="V133" i="3" a="1"/>
  <c r="V147" i="3" a="1"/>
  <c r="V19" i="3" a="1"/>
  <c r="V302" i="3" a="1"/>
  <c r="AF387" i="3"/>
  <c r="V74" i="3" a="1"/>
  <c r="V250" i="3" a="1"/>
  <c r="V378" i="3" a="1"/>
  <c r="V82" i="3" a="1"/>
  <c r="V116" i="3" a="1"/>
  <c r="V352" i="3" a="1"/>
  <c r="V208" i="3" a="1"/>
  <c r="V189" i="3" a="1"/>
  <c r="V340" i="3" a="1"/>
  <c r="V339" i="3" a="1"/>
  <c r="V88" i="3" a="1"/>
  <c r="V328" i="3" a="1"/>
  <c r="V202" i="3" a="1"/>
  <c r="V327" i="3" a="1"/>
  <c r="V148" i="3" a="1"/>
  <c r="V324" i="3" a="1"/>
  <c r="V314" i="3" a="1"/>
  <c r="V33" i="3" a="1"/>
  <c r="V81" i="3" a="1"/>
  <c r="V160" i="3" a="1"/>
  <c r="V115" i="3" a="1"/>
  <c r="V188" i="3" a="1"/>
  <c r="V119" i="3" a="1"/>
  <c r="V169" i="3" a="1"/>
  <c r="V46" i="3" a="1"/>
  <c r="V168" i="3" a="1"/>
  <c r="V218" i="3" a="1"/>
  <c r="V226" i="3" a="1"/>
  <c r="V144" i="3" a="1"/>
  <c r="V242" i="3" a="1"/>
  <c r="V114" i="3" a="1"/>
  <c r="V184" i="3" a="1"/>
  <c r="V18" i="3" a="1"/>
  <c r="V310" i="3" a="1"/>
  <c r="V305" i="3" a="1"/>
  <c r="V199" i="3" a="1"/>
  <c r="V179" i="3" a="1"/>
  <c r="V193" i="3" a="1"/>
  <c r="V210" i="3" a="1"/>
  <c r="V165" i="3" a="1"/>
  <c r="V227" i="3" a="1"/>
  <c r="V156" i="3" a="1"/>
  <c r="V152" i="3" a="1"/>
  <c r="V151" i="3" a="1"/>
  <c r="V255" i="3" a="1"/>
  <c r="V118" i="3" a="1"/>
  <c r="V84" i="3" a="1"/>
  <c r="U99" i="3" a="1"/>
  <c r="U272" i="3" a="1"/>
  <c r="U271" i="3" a="1"/>
  <c r="U182" i="3" a="1"/>
  <c r="U270" i="3" a="1"/>
  <c r="U84" i="3" a="1"/>
  <c r="U98" i="3" a="1"/>
  <c r="U186" i="3" a="1"/>
  <c r="U53" i="3" a="1"/>
  <c r="U269" i="3" a="1"/>
  <c r="U194" i="3" a="1"/>
  <c r="U268" i="3" a="1"/>
  <c r="U68" i="3" a="1"/>
  <c r="U97" i="3" a="1"/>
  <c r="U199" i="3" a="1"/>
  <c r="U267" i="3" a="1"/>
  <c r="U266" i="3" a="1"/>
  <c r="U320" i="3" a="1"/>
  <c r="U265" i="3" a="1"/>
  <c r="U328" i="3" a="1"/>
  <c r="U96" i="3" a="1"/>
  <c r="U264" i="3" a="1"/>
  <c r="U312" i="3" a="1"/>
  <c r="U54" i="3" a="1"/>
  <c r="U263" i="3" a="1"/>
  <c r="U357" i="3" a="1"/>
  <c r="U262" i="3" a="1"/>
  <c r="U95" i="3" a="1"/>
  <c r="U83" i="3" a="1"/>
  <c r="U261" i="3" a="1"/>
  <c r="U260" i="3" a="1"/>
  <c r="U148" i="3" a="1"/>
  <c r="U259" i="3" a="1"/>
  <c r="U59" i="3" a="1"/>
  <c r="U94" i="3" a="1"/>
  <c r="U155" i="3" a="1"/>
  <c r="U258" i="3" a="1"/>
  <c r="U166" i="3" a="1"/>
  <c r="U176" i="3" a="1"/>
  <c r="U180" i="3" a="1"/>
  <c r="U93" i="3" a="1"/>
  <c r="U82" i="3" a="1"/>
  <c r="U55" i="3" a="1"/>
  <c r="U2" i="3" a="1"/>
  <c r="U3" i="3" a="1"/>
  <c r="U66" i="3" a="1"/>
  <c r="U4" i="3" a="1"/>
  <c r="U92" i="3" a="1"/>
  <c r="U69" i="3" a="1"/>
  <c r="U5" i="3" a="1"/>
  <c r="U6" i="3" a="1"/>
  <c r="U81" i="3" a="1"/>
  <c r="U7" i="3" a="1"/>
  <c r="U65" i="3" a="1"/>
  <c r="U91" i="3" a="1"/>
  <c r="U56" i="3" a="1"/>
  <c r="U8" i="3" a="1"/>
  <c r="U9" i="3" a="1"/>
  <c r="U242" i="3" a="1"/>
  <c r="U243" i="3" s="1" a="1"/>
  <c r="U244" i="3" s="1" a="1"/>
  <c r="U245" i="3" s="1" a="1"/>
  <c r="U246" i="3" s="1" a="1"/>
  <c r="U247" i="3" s="1" a="1"/>
  <c r="U248" i="3" s="1" a="1"/>
  <c r="U249" i="3" s="1" a="1"/>
  <c r="U250" i="3" s="1" a="1"/>
  <c r="U251" i="3" s="1" a="1"/>
  <c r="U252" i="3" s="1" a="1"/>
  <c r="U253" i="3" s="1" a="1"/>
  <c r="U254" i="3" s="1" a="1"/>
  <c r="U255" i="3" s="1" a="1"/>
  <c r="U256" i="3" s="1" a="1"/>
  <c r="U257" i="3" s="1" a="1"/>
  <c r="U90" i="3" a="1"/>
  <c r="U60" i="3" a="1"/>
  <c r="U241" i="3" a="1"/>
  <c r="U10" i="3" a="1"/>
  <c r="U240" i="3" a="1"/>
  <c r="U239" i="3" a="1"/>
  <c r="U11" i="3" a="1"/>
  <c r="U238" i="3" a="1"/>
  <c r="U80" i="3" a="1"/>
  <c r="U12" i="3" a="1"/>
  <c r="U237" i="3" a="1"/>
  <c r="U236" i="3" a="1"/>
  <c r="U153" i="3" a="1"/>
  <c r="U13" i="3" a="1"/>
  <c r="U150" i="3" a="1"/>
  <c r="U235" i="3" a="1"/>
  <c r="U147" i="3" a="1"/>
  <c r="U234" i="3" a="1"/>
  <c r="U14" i="3" a="1"/>
  <c r="U233" i="3" a="1"/>
  <c r="U232" i="3" a="1"/>
  <c r="U231" i="3" a="1"/>
  <c r="U362" i="3" a="1"/>
  <c r="U355" i="3" a="1"/>
  <c r="U16" i="3" a="1"/>
  <c r="U230" i="3" a="1"/>
  <c r="U79" i="3" a="1"/>
  <c r="U229" i="3" a="1"/>
  <c r="U17" i="3" a="1"/>
  <c r="U228" i="3" a="1"/>
  <c r="U18" i="3" a="1"/>
  <c r="U338" i="3" a="1"/>
  <c r="U337" i="3" a="1"/>
  <c r="U227" i="3" a="1"/>
  <c r="U329" i="3" a="1"/>
  <c r="U324" i="3" a="1"/>
  <c r="U226" i="3" a="1"/>
  <c r="U19" i="3" a="1"/>
  <c r="U201" i="3" a="1"/>
  <c r="U193" i="3" a="1"/>
  <c r="U225" i="3" a="1"/>
  <c r="U224" i="3" a="1"/>
  <c r="U20" i="3" a="1"/>
  <c r="U178" i="3" a="1"/>
  <c r="U223" i="3" a="1"/>
  <c r="U21" i="3" a="1"/>
  <c r="U222" i="3" a="1"/>
  <c r="U78" i="3" a="1"/>
  <c r="U221" i="3" a="1"/>
  <c r="U22" i="3" a="1"/>
  <c r="U220" i="3" a="1"/>
  <c r="U219" i="3" a="1"/>
  <c r="U61" i="3" a="1"/>
  <c r="U23" i="3" a="1"/>
  <c r="U218" i="3" a="1"/>
  <c r="U24" i="3" a="1"/>
  <c r="U217" i="3" a="1"/>
  <c r="U374" i="3" a="1"/>
  <c r="U216" i="3" a="1"/>
  <c r="U25" i="3" a="1"/>
  <c r="U215" i="3" a="1"/>
  <c r="U214" i="3" a="1"/>
  <c r="U77" i="3" a="1"/>
  <c r="U26" i="3" a="1"/>
  <c r="U213" i="3" a="1"/>
  <c r="U27" i="3" a="1"/>
  <c r="U212" i="3" a="1"/>
  <c r="U211" i="3" a="1"/>
  <c r="U28" i="3" a="1"/>
  <c r="U210" i="3" a="1"/>
  <c r="U209" i="3" a="1"/>
  <c r="U326" i="3" a="1"/>
  <c r="U29" i="3" a="1"/>
  <c r="U322" i="3" a="1"/>
  <c r="U208" i="3" a="1"/>
  <c r="U30" i="3" a="1"/>
  <c r="U207" i="3" a="1"/>
  <c r="U206" i="3" a="1"/>
  <c r="U76" i="3" a="1"/>
  <c r="U31" i="3" a="1"/>
  <c r="U197" i="3" a="1"/>
  <c r="U15" i="3" a="1"/>
  <c r="U205" i="3" a="1"/>
  <c r="U204" i="3" a="1"/>
  <c r="U67" i="3" a="1"/>
  <c r="U183" i="3" a="1"/>
  <c r="U32" i="3" a="1"/>
  <c r="U203" i="3" a="1"/>
  <c r="U33" i="3" a="1"/>
  <c r="U144" i="3" a="1"/>
  <c r="U382" i="3" a="1"/>
  <c r="U381" i="3" a="1"/>
  <c r="U202" i="3" a="1"/>
  <c r="U62" i="3" a="1"/>
  <c r="U34" i="3" a="1"/>
  <c r="U35" i="3" a="1"/>
  <c r="U371" i="3" a="1"/>
  <c r="U171" i="3" a="1"/>
  <c r="U162" i="3" a="1"/>
  <c r="U361" i="3" a="1"/>
  <c r="U152" i="3" a="1"/>
  <c r="U142" i="3" a="1"/>
  <c r="U141" i="3" a="1"/>
  <c r="U345" i="3" a="1"/>
  <c r="U339" i="3" a="1"/>
  <c r="U140" i="3" a="1"/>
  <c r="U75" i="3" a="1"/>
  <c r="U36" i="3" a="1"/>
  <c r="U325" i="3" a="1"/>
  <c r="U139" i="3" a="1"/>
  <c r="U138" i="3" a="1"/>
  <c r="U37" i="3" a="1"/>
  <c r="U137" i="3" a="1"/>
  <c r="U136" i="3" a="1"/>
  <c r="U135" i="3" a="1"/>
  <c r="U196" i="3" a="1"/>
  <c r="U38" i="3" a="1"/>
  <c r="U134" i="3" a="1"/>
  <c r="U168" i="3" a="1"/>
  <c r="U133" i="3" a="1"/>
  <c r="U39" i="3" a="1"/>
  <c r="U132" i="3" a="1"/>
  <c r="U74" i="3" a="1"/>
  <c r="U131" i="3" a="1"/>
  <c r="U130" i="3" a="1"/>
  <c r="U40" i="3" a="1"/>
  <c r="U368" i="3" a="1"/>
  <c r="U129" i="3" a="1"/>
  <c r="U128" i="3" a="1"/>
  <c r="U360" i="3" a="1"/>
  <c r="U41" i="3" a="1"/>
  <c r="U340" i="3" a="1"/>
  <c r="U127" i="3" a="1"/>
  <c r="U334" i="3" a="1"/>
  <c r="U327" i="3" a="1"/>
  <c r="U126" i="3" a="1"/>
  <c r="U318" i="3" a="1"/>
  <c r="U317" i="3" a="1"/>
  <c r="U125" i="3" a="1"/>
  <c r="U42" i="3" a="1"/>
  <c r="U124" i="3" a="1"/>
  <c r="U73" i="3" a="1"/>
  <c r="U123" i="3" a="1"/>
  <c r="U43" i="3" a="1"/>
  <c r="U122" i="3" a="1"/>
  <c r="U121" i="3" a="1"/>
  <c r="U63" i="3" a="1"/>
  <c r="U120" i="3" a="1"/>
  <c r="U44" i="3" a="1"/>
  <c r="U170" i="3" a="1"/>
  <c r="U165" i="3" a="1"/>
  <c r="U163" i="3" a="1"/>
  <c r="U161" i="3" a="1"/>
  <c r="U119" i="3" a="1"/>
  <c r="U118" i="3" a="1"/>
  <c r="U45" i="3" a="1"/>
  <c r="U117" i="3" a="1"/>
  <c r="AE387" i="3"/>
  <c r="U164" i="3" a="1"/>
  <c r="U365" i="3" a="1"/>
  <c r="U116" i="3" a="1"/>
  <c r="U359" i="3" a="1"/>
  <c r="U72" i="3" a="1"/>
  <c r="U89" i="3" a="1"/>
  <c r="U379" i="3" a="1"/>
  <c r="U333" i="3" a="1"/>
  <c r="U370" i="3" a="1"/>
  <c r="U364" i="3" a="1"/>
  <c r="U319" i="3" a="1"/>
  <c r="U115" i="3" a="1"/>
  <c r="U46" i="3" a="1"/>
  <c r="U310" i="3" a="1"/>
  <c r="U308" i="3" a="1"/>
  <c r="U363" i="3" a="1"/>
  <c r="U353" i="3" a="1"/>
  <c r="U351" i="3" a="1"/>
  <c r="U349" i="3" a="1"/>
  <c r="U188" i="3" a="1"/>
  <c r="U114" i="3" a="1"/>
  <c r="U347" i="3" a="1"/>
  <c r="U346" i="3" a="1"/>
  <c r="U344" i="3" a="1"/>
  <c r="U343" i="3" a="1"/>
  <c r="U336" i="3" a="1"/>
  <c r="U189" i="3" a="1"/>
  <c r="U113" i="3" a="1"/>
  <c r="U190" i="3" a="1"/>
  <c r="U47" i="3" a="1"/>
  <c r="U323" i="3" a="1"/>
  <c r="U303" i="3" a="1"/>
  <c r="U309" i="3" a="1"/>
  <c r="U112" i="3" a="1"/>
  <c r="U305" i="3" a="1"/>
  <c r="U192" i="3" a="1"/>
  <c r="U187" i="3" a="1"/>
  <c r="U181" i="3" a="1"/>
  <c r="U179" i="3" a="1"/>
  <c r="U377" i="3" a="1"/>
  <c r="U314" i="3" a="1"/>
  <c r="U111" i="3" a="1"/>
  <c r="U156" i="3" a="1"/>
  <c r="U146" i="3" a="1"/>
  <c r="U330" i="3" a="1"/>
  <c r="U302" i="3" a="1"/>
  <c r="U88" i="3" a="1"/>
  <c r="U110" i="3" a="1"/>
  <c r="U301" i="3" a="1"/>
  <c r="U48" i="3" a="1"/>
  <c r="U300" i="3" a="1"/>
  <c r="U299" i="3" a="1"/>
  <c r="U57" i="3" a="1"/>
  <c r="U350" i="3" a="1"/>
  <c r="U321" i="3" a="1"/>
  <c r="U109" i="3" a="1"/>
  <c r="U311" i="3" a="1"/>
  <c r="U298" i="3" a="1"/>
  <c r="U354" i="3" a="1"/>
  <c r="U304" i="3" a="1"/>
  <c r="U297" i="3" a="1"/>
  <c r="U195" i="3" a="1"/>
  <c r="U358" i="3" a="1"/>
  <c r="U296" i="3" a="1"/>
  <c r="U366" i="3" a="1"/>
  <c r="U108" i="3" a="1"/>
  <c r="U184" i="3" a="1"/>
  <c r="U71" i="3" a="1"/>
  <c r="U49" i="3" a="1"/>
  <c r="U295" i="3" a="1"/>
  <c r="U175" i="3" a="1"/>
  <c r="U169" i="3" a="1"/>
  <c r="U167" i="3" a="1"/>
  <c r="U372" i="3" a="1"/>
  <c r="U294" i="3" a="1"/>
  <c r="U151" i="3" a="1"/>
  <c r="U149" i="3" a="1"/>
  <c r="U107" i="3" a="1"/>
  <c r="U87" i="3" a="1"/>
  <c r="U373" i="3" a="1"/>
  <c r="U375" i="3" a="1"/>
  <c r="U293" i="3" a="1"/>
  <c r="U384" i="3" a="1"/>
  <c r="U292" i="3" a="1"/>
  <c r="U106" i="3" a="1"/>
  <c r="U383" i="3" a="1"/>
  <c r="U385" i="3" a="1"/>
  <c r="U291" i="3" a="1"/>
  <c r="U290" i="3" a="1"/>
  <c r="U348" i="3" a="1"/>
  <c r="U289" i="3" a="1"/>
  <c r="U105" i="3" a="1"/>
  <c r="U50" i="3" a="1"/>
  <c r="U288" i="3" a="1"/>
  <c r="U335" i="3" a="1"/>
  <c r="U287" i="3" a="1"/>
  <c r="U332" i="3" a="1"/>
  <c r="U172" i="3" a="1"/>
  <c r="U286" i="3" a="1"/>
  <c r="U104" i="3" a="1"/>
  <c r="U64" i="3" a="1"/>
  <c r="U86" i="3" a="1"/>
  <c r="U306" i="3" a="1"/>
  <c r="U285" i="3" a="1"/>
  <c r="U284" i="3" a="1"/>
  <c r="U198" i="3" a="1"/>
  <c r="U283" i="3" a="1"/>
  <c r="U191" i="3" a="1"/>
  <c r="U282" i="3" a="1"/>
  <c r="U103" i="3" a="1"/>
  <c r="U185" i="3" a="1"/>
  <c r="U177" i="3" a="1"/>
  <c r="U58" i="3" a="1"/>
  <c r="U51" i="3" a="1"/>
  <c r="U313" i="3" a="1"/>
  <c r="U316" i="3" a="1"/>
  <c r="U281" i="3" a="1"/>
  <c r="U102" i="3" a="1"/>
  <c r="U159" i="3" a="1"/>
  <c r="U157" i="3" a="1"/>
  <c r="U145" i="3" a="1"/>
  <c r="U280" i="3" a="1"/>
  <c r="U143" i="3" a="1"/>
  <c r="U380" i="3" a="1"/>
  <c r="U331" i="3" a="1"/>
  <c r="U367" i="3" a="1"/>
  <c r="U342" i="3" a="1"/>
  <c r="U356" i="3" a="1"/>
  <c r="U352" i="3" a="1"/>
  <c r="U341" i="3" a="1"/>
  <c r="U279" i="3" a="1"/>
  <c r="U278" i="3" a="1"/>
  <c r="U315" i="3" a="1"/>
  <c r="U85" i="3" a="1"/>
  <c r="U101" i="3" a="1"/>
  <c r="U307" i="3" a="1"/>
  <c r="U369" i="3" a="1"/>
  <c r="U200" i="3" a="1"/>
  <c r="U376" i="3" a="1"/>
  <c r="U277" i="3" a="1"/>
  <c r="U174" i="3" a="1"/>
  <c r="U173" i="3" a="1"/>
  <c r="U378" i="3" a="1"/>
  <c r="U276" i="3" a="1"/>
  <c r="U100" i="3" a="1"/>
  <c r="U160" i="3" a="1"/>
  <c r="U70" i="3" a="1"/>
  <c r="U154" i="3" a="1"/>
  <c r="U52" i="3" a="1"/>
  <c r="U275" i="3" a="1"/>
  <c r="U274" i="3" a="1"/>
  <c r="U158" i="3" a="1"/>
  <c r="U273" i="3" a="1"/>
  <c r="T7" i="3" a="1"/>
  <c r="T246" i="3" a="1"/>
  <c r="T116" i="3" a="1"/>
  <c r="T247" i="3" a="1"/>
  <c r="T152" i="3" a="1"/>
  <c r="T164" i="3" a="1"/>
  <c r="T46" i="3" a="1"/>
  <c r="T30" i="3" a="1"/>
  <c r="T6" i="3" a="1"/>
  <c r="T248" i="3" a="1"/>
  <c r="T249" i="3" a="1"/>
  <c r="T380" i="3" a="1"/>
  <c r="T378" i="3" a="1"/>
  <c r="T115" i="3" a="1"/>
  <c r="T72" i="3" a="1"/>
  <c r="T154" i="3" a="1"/>
  <c r="T26" i="3" a="1"/>
  <c r="T151" i="3" a="1"/>
  <c r="T369" i="3" a="1"/>
  <c r="T5" i="3" a="1"/>
  <c r="T362" i="3" a="1"/>
  <c r="T148" i="3" a="1"/>
  <c r="T250" i="3" a="1"/>
  <c r="T114" i="3" a="1"/>
  <c r="T145" i="3" a="1"/>
  <c r="T357" i="3" a="1"/>
  <c r="T4" i="3" a="1"/>
  <c r="T25" i="3" a="1"/>
  <c r="T24" i="3" a="1"/>
  <c r="T141" i="3" a="1"/>
  <c r="T251" i="3" a="1"/>
  <c r="T252" i="3" a="1"/>
  <c r="T113" i="3" a="1"/>
  <c r="T36" i="3" a="1"/>
  <c r="T319" i="3" a="1"/>
  <c r="T47" i="3" a="1"/>
  <c r="T3" i="3" a="1"/>
  <c r="T310" i="3" a="1"/>
  <c r="T82" i="3" a="1"/>
  <c r="T253" i="3" a="1"/>
  <c r="T23" i="3" a="1"/>
  <c r="T140" i="3" a="1"/>
  <c r="T112" i="3" a="1"/>
  <c r="T22" i="3" a="1"/>
  <c r="T29" i="3" a="1"/>
  <c r="T254" i="3" a="1"/>
  <c r="T2" i="3" a="1"/>
  <c r="T255" i="3" a="1"/>
  <c r="T256" i="3" a="1"/>
  <c r="T170" i="3" a="1"/>
  <c r="T62" i="3" a="1"/>
  <c r="T111" i="3" a="1"/>
  <c r="T139" i="3" a="1"/>
  <c r="T75" i="3" a="1"/>
  <c r="T48" i="3" a="1"/>
  <c r="T175" i="3" a="1"/>
  <c r="T257" i="3" a="1"/>
  <c r="T169" i="3" a="1"/>
  <c r="T167" i="3" a="1"/>
  <c r="T110" i="3" a="1"/>
  <c r="T258" i="3" a="1"/>
  <c r="T78" i="3" a="1"/>
  <c r="T138" i="3" a="1"/>
  <c r="T353" i="3" a="1"/>
  <c r="T349" i="3" a="1"/>
  <c r="T67" i="3" a="1"/>
  <c r="T37" i="3" a="1"/>
  <c r="T33" i="3" a="1"/>
  <c r="T340" i="3" a="1"/>
  <c r="T156" i="3" a="1"/>
  <c r="T109" i="3" a="1"/>
  <c r="T259" i="3" a="1"/>
  <c r="T332" i="3" a="1"/>
  <c r="T149" i="3" a="1"/>
  <c r="T326" i="3" a="1"/>
  <c r="T32" i="3" a="1"/>
  <c r="T137" i="3" a="1"/>
  <c r="T68" i="3" a="1"/>
  <c r="T260" i="3" a="1"/>
  <c r="T147" i="3" a="1"/>
  <c r="T108" i="3" a="1"/>
  <c r="T83" i="3" a="1"/>
  <c r="T49" i="3" a="1"/>
  <c r="T261" i="3" a="1"/>
  <c r="T180" i="3" a="1"/>
  <c r="T173" i="3" a="1"/>
  <c r="T262" i="3" a="1"/>
  <c r="T21" i="3" a="1"/>
  <c r="T136" i="3" a="1"/>
  <c r="T356" i="3" a="1"/>
  <c r="T107" i="3" a="1"/>
  <c r="T71" i="3" a="1"/>
  <c r="T350" i="3" a="1"/>
  <c r="T38" i="3" a="1"/>
  <c r="T375" i="3" a="1"/>
  <c r="T263" i="3" a="1"/>
  <c r="T344" i="3" a="1"/>
  <c r="T333" i="3" a="1"/>
  <c r="T20" i="3" a="1"/>
  <c r="T363" i="3" a="1"/>
  <c r="T106" i="3" a="1"/>
  <c r="T135" i="3" a="1"/>
  <c r="T348" i="3" a="1"/>
  <c r="T264" i="3" a="1"/>
  <c r="T50" i="3" a="1"/>
  <c r="T19" i="3" a="1"/>
  <c r="T265" i="3" a="1"/>
  <c r="T325" i="3" a="1"/>
  <c r="T324" i="3" a="1"/>
  <c r="T321" i="3" a="1"/>
  <c r="T59" i="3" a="1"/>
  <c r="T105" i="3" a="1"/>
  <c r="T64" i="3" a="1"/>
  <c r="T266" i="3" a="1"/>
  <c r="T28" i="3" a="1"/>
  <c r="T134" i="3" a="1"/>
  <c r="T315" i="3" a="1"/>
  <c r="T307" i="3" a="1"/>
  <c r="T267" i="3" a="1"/>
  <c r="T54" i="3" a="1"/>
  <c r="T104" i="3" a="1"/>
  <c r="T304" i="3" a="1"/>
  <c r="T268" i="3" a="1"/>
  <c r="T84" i="3" a="1"/>
  <c r="T27" i="3" a="1"/>
  <c r="T133" i="3" a="1"/>
  <c r="T269" i="3" a="1"/>
  <c r="T162" i="3" a="1"/>
  <c r="T39" i="3" a="1"/>
  <c r="T103" i="3" a="1"/>
  <c r="T61" i="3" a="1"/>
  <c r="T51" i="3" a="1"/>
  <c r="T270" i="3" a="1"/>
  <c r="T184" i="3" a="1"/>
  <c r="T373" i="3" a="1"/>
  <c r="T271" i="3" a="1"/>
  <c r="T18" i="3" a="1"/>
  <c r="T132" i="3" a="1"/>
  <c r="T102" i="3" a="1"/>
  <c r="T351" i="3" a="1"/>
  <c r="T79" i="3" a="1"/>
  <c r="T172" i="3" a="1"/>
  <c r="T272" i="3" a="1"/>
  <c r="T336" i="3" a="1"/>
  <c r="T163" i="3" a="1"/>
  <c r="T273" i="3" a="1"/>
  <c r="T274" i="3" a="1"/>
  <c r="T320" i="3" a="1"/>
  <c r="T17" i="3" a="1"/>
  <c r="T101" i="3" a="1"/>
  <c r="T131" i="3" a="1"/>
  <c r="T74" i="3" a="1"/>
  <c r="T52" i="3" a="1"/>
  <c r="T303" i="3" a="1"/>
  <c r="T275" i="3" a="1"/>
  <c r="T40" i="3" a="1"/>
  <c r="T193" i="3" a="1"/>
  <c r="T146" i="3" a="1"/>
  <c r="T142" i="3" a="1"/>
  <c r="T100" i="3" a="1"/>
  <c r="T276" i="3" a="1"/>
  <c r="T185" i="3" a="1"/>
  <c r="T16" i="3" a="1"/>
  <c r="T130" i="3" a="1"/>
  <c r="T66" i="3" a="1"/>
  <c r="T34" i="3" a="1"/>
  <c r="T382" i="3" a="1"/>
  <c r="T379" i="3" a="1"/>
  <c r="T99" i="3" a="1"/>
  <c r="T70" i="3" a="1"/>
  <c r="T171" i="3" a="1"/>
  <c r="T85" i="3" a="1"/>
  <c r="T166" i="3" a="1"/>
  <c r="T277" i="3" a="1"/>
  <c r="T161" i="3" a="1"/>
  <c r="T15" i="3" a="1"/>
  <c r="T129" i="3" a="1"/>
  <c r="T155" i="3" a="1"/>
  <c r="T278" i="3" a="1"/>
  <c r="T359" i="3" a="1"/>
  <c r="T98" i="3" a="1"/>
  <c r="T279" i="3" a="1"/>
  <c r="T53" i="3" a="1"/>
  <c r="T280" i="3" a="1"/>
  <c r="T281" i="3" a="1"/>
  <c r="T376" i="3" a="1"/>
  <c r="T282" i="3" a="1"/>
  <c r="T14" i="3" a="1"/>
  <c r="T128" i="3" a="1"/>
  <c r="T63" i="3" a="1"/>
  <c r="T97" i="3" a="1"/>
  <c r="T41" i="3" a="1"/>
  <c r="T77" i="3" a="1"/>
  <c r="T311" i="3" a="1"/>
  <c r="T58" i="3" a="1"/>
  <c r="T352" i="3" a="1"/>
  <c r="T347" i="3" a="1"/>
  <c r="T346" i="3" a="1"/>
  <c r="T345" i="3" a="1"/>
  <c r="T283" i="3" a="1"/>
  <c r="T341" i="3" a="1"/>
  <c r="T13" i="3" a="1"/>
  <c r="T127" i="3" a="1"/>
  <c r="T96" i="3" a="1"/>
  <c r="T284" i="3" a="1"/>
  <c r="T328" i="3" a="1"/>
  <c r="T327" i="3" a="1"/>
  <c r="T86" i="3" a="1"/>
  <c r="T285" i="3" a="1"/>
  <c r="T314" i="3" a="1"/>
  <c r="T312" i="3" a="1"/>
  <c r="T183" i="3" a="1"/>
  <c r="T286" i="3" a="1"/>
  <c r="T182" i="3" a="1"/>
  <c r="T305" i="3" a="1"/>
  <c r="T80" i="3" a="1"/>
  <c r="T95" i="3" a="1"/>
  <c r="T126" i="3" a="1"/>
  <c r="T179" i="3" a="1"/>
  <c r="T287" i="3" a="1"/>
  <c r="T192" i="3" a="1"/>
  <c r="T42" i="3" a="1"/>
  <c r="T157" i="3" a="1"/>
  <c r="T186" i="3" a="1"/>
  <c r="T288" i="3" a="1"/>
  <c r="T153" i="3" a="1"/>
  <c r="T94" i="3" a="1"/>
  <c r="T12" i="3" a="1"/>
  <c r="T176" i="3" a="1"/>
  <c r="T125" i="3" a="1"/>
  <c r="T55" i="3" a="1"/>
  <c r="T289" i="3" a="1"/>
  <c r="T11" i="3" a="1"/>
  <c r="T159" i="3" a="1"/>
  <c r="T158" i="3" a="1"/>
  <c r="T143" i="3" a="1"/>
  <c r="T290" i="3" a="1"/>
  <c r="T93" i="3" a="1"/>
  <c r="AD387" i="3"/>
  <c r="T144" i="3" a="1"/>
  <c r="T291" i="3" a="1"/>
  <c r="T190" i="3" a="1"/>
  <c r="T124" i="3" a="1"/>
  <c r="T10" i="3" a="1"/>
  <c r="T385" i="3" a="1"/>
  <c r="T292" i="3" a="1"/>
  <c r="T377" i="3" a="1"/>
  <c r="T383" i="3" a="1"/>
  <c r="T92" i="3" a="1"/>
  <c r="T372" i="3" a="1"/>
  <c r="T87" i="3" a="1"/>
  <c r="T368" i="3" a="1"/>
  <c r="T354" i="3" a="1"/>
  <c r="T293" i="3" a="1"/>
  <c r="T294" i="3" a="1"/>
  <c r="T242" i="3" a="1"/>
  <c r="T123" i="3" a="1"/>
  <c r="T343" i="3" a="1"/>
  <c r="T73" i="3" a="1"/>
  <c r="T43" i="3" a="1"/>
  <c r="T91" i="3" a="1"/>
  <c r="T69" i="3" a="1"/>
  <c r="T56" i="3" a="1"/>
  <c r="T9" i="3" a="1"/>
  <c r="T370" i="3" a="1"/>
  <c r="T295" i="3" a="1"/>
  <c r="T330" i="3" a="1"/>
  <c r="T365" i="3" a="1"/>
  <c r="T35" i="3" a="1"/>
  <c r="T323" i="3" a="1"/>
  <c r="T90" i="3" a="1"/>
  <c r="T317" i="3" a="1"/>
  <c r="T122" i="3" a="1"/>
  <c r="T296" i="3" a="1"/>
  <c r="T364" i="3" a="1"/>
  <c r="T297" i="3" a="1"/>
  <c r="T298" i="3" a="1"/>
  <c r="T299" i="3" a="1"/>
  <c r="T65" i="3" a="1"/>
  <c r="T60" i="3" a="1"/>
  <c r="T121" i="3" a="1"/>
  <c r="T243" i="3" a="1"/>
  <c r="T181" i="3" a="1"/>
  <c r="T300" i="3" a="1"/>
  <c r="T44" i="3" a="1"/>
  <c r="T342" i="3" a="1"/>
  <c r="T165" i="3" a="1"/>
  <c r="T88" i="3" a="1"/>
  <c r="T301" i="3" a="1"/>
  <c r="T244" i="3" a="1"/>
  <c r="T120" i="3" a="1"/>
  <c r="T160" i="3" a="1"/>
  <c r="T337" i="3" a="1"/>
  <c r="T8" i="3" a="1"/>
  <c r="T302" i="3" a="1"/>
  <c r="T334" i="3" a="1"/>
  <c r="T150" i="3" a="1"/>
  <c r="T381" i="3" a="1"/>
  <c r="T318" i="3" a="1"/>
  <c r="T174" i="3" a="1"/>
  <c r="T119" i="3" a="1"/>
  <c r="T366" i="3" a="1"/>
  <c r="T361" i="3" a="1"/>
  <c r="T308" i="3" a="1"/>
  <c r="T57" i="3" a="1"/>
  <c r="T355" i="3" a="1"/>
  <c r="T306" i="3" a="1"/>
  <c r="T339" i="3" a="1"/>
  <c r="T338" i="3" a="1"/>
  <c r="T188" i="3" a="1"/>
  <c r="T335" i="3" a="1"/>
  <c r="T187" i="3" a="1"/>
  <c r="T329" i="3" a="1"/>
  <c r="T31" i="3" a="1"/>
  <c r="T313" i="3" a="1"/>
  <c r="T118" i="3" a="1"/>
  <c r="T331" i="3" a="1"/>
  <c r="T178" i="3" a="1"/>
  <c r="T45" i="3" a="1"/>
  <c r="T322" i="3" a="1"/>
  <c r="T81" i="3" a="1"/>
  <c r="T316" i="3" a="1"/>
  <c r="T177" i="3" a="1"/>
  <c r="T358" i="3" a="1"/>
  <c r="T309" i="3" a="1"/>
  <c r="T89" i="3" a="1"/>
  <c r="T168" i="3" a="1"/>
  <c r="T194" i="3" a="1"/>
  <c r="T195" i="3" s="1" a="1"/>
  <c r="T196" i="3" s="1" a="1"/>
  <c r="T197" i="3" s="1" a="1"/>
  <c r="T198" i="3" s="1" a="1"/>
  <c r="T199" i="3" s="1" a="1"/>
  <c r="T200" i="3" s="1" a="1"/>
  <c r="T201" i="3" s="1" a="1"/>
  <c r="T202" i="3" s="1" a="1"/>
  <c r="T203" i="3" s="1" a="1"/>
  <c r="T204" i="3" s="1" a="1"/>
  <c r="T205" i="3" s="1" a="1"/>
  <c r="T206" i="3" s="1" a="1"/>
  <c r="T207" i="3" s="1" a="1"/>
  <c r="T208" i="3" s="1" a="1"/>
  <c r="T209" i="3" s="1" a="1"/>
  <c r="T210" i="3" s="1" a="1"/>
  <c r="T211" i="3" s="1" a="1"/>
  <c r="T212" i="3" s="1" a="1"/>
  <c r="T213" i="3" s="1" a="1"/>
  <c r="T214" i="3" s="1" a="1"/>
  <c r="T215" i="3" s="1" a="1"/>
  <c r="T216" i="3" s="1" a="1"/>
  <c r="T217" i="3" s="1" a="1"/>
  <c r="T218" i="3" s="1" a="1"/>
  <c r="T219" i="3" s="1" a="1"/>
  <c r="T220" i="3" s="1" a="1"/>
  <c r="T221" i="3" s="1" a="1"/>
  <c r="T222" i="3" s="1" a="1"/>
  <c r="T223" i="3" s="1" a="1"/>
  <c r="T224" i="3" s="1" a="1"/>
  <c r="T225" i="3" s="1" a="1"/>
  <c r="T226" i="3" s="1" a="1"/>
  <c r="T227" i="3" s="1" a="1"/>
  <c r="T228" i="3" s="1" a="1"/>
  <c r="T229" i="3" s="1" a="1"/>
  <c r="T230" i="3" s="1" a="1"/>
  <c r="T231" i="3" s="1" a="1"/>
  <c r="T232" i="3" s="1" a="1"/>
  <c r="T233" i="3" s="1" a="1"/>
  <c r="T234" i="3" s="1" a="1"/>
  <c r="T235" i="3" s="1" a="1"/>
  <c r="T236" i="3" s="1" a="1"/>
  <c r="T237" i="3" s="1" a="1"/>
  <c r="T238" i="3" s="1" a="1"/>
  <c r="T239" i="3" s="1" a="1"/>
  <c r="T240" i="3" s="1" a="1"/>
  <c r="T241" i="3" s="1" a="1"/>
  <c r="T360" i="3" a="1"/>
  <c r="T76" i="3" a="1"/>
  <c r="T189" i="3" a="1"/>
  <c r="T117" i="3" a="1"/>
  <c r="T367" i="3" a="1"/>
  <c r="T371" i="3" a="1"/>
  <c r="T374" i="3" a="1"/>
  <c r="T384" i="3" a="1"/>
  <c r="T245" i="3" a="1"/>
  <c r="T191" i="3" a="1"/>
  <c r="S203" i="3" a="1"/>
  <c r="S202" i="3" a="1"/>
  <c r="S200" i="3" a="1"/>
  <c r="S196" i="3" a="1"/>
  <c r="S141" i="3" a="1"/>
  <c r="S140" i="3" a="1"/>
  <c r="S346" i="3" a="1"/>
  <c r="S139" i="3" a="1"/>
  <c r="S344" i="3" a="1"/>
  <c r="S138" i="3" a="1"/>
  <c r="S137" i="3" a="1"/>
  <c r="S136" i="3" a="1"/>
  <c r="S135" i="3" a="1"/>
  <c r="S134" i="3" a="1"/>
  <c r="S331" i="3" a="1"/>
  <c r="S133" i="3" a="1"/>
  <c r="S328" i="3" a="1"/>
  <c r="S132" i="3" a="1"/>
  <c r="S131" i="3" a="1"/>
  <c r="S130" i="3" a="1"/>
  <c r="S322" i="3" a="1"/>
  <c r="S129" i="3" a="1"/>
  <c r="S319" i="3" a="1"/>
  <c r="S128" i="3" a="1"/>
  <c r="S127" i="3" a="1"/>
  <c r="S126" i="3" a="1"/>
  <c r="S125" i="3" a="1"/>
  <c r="S313" i="3" a="1"/>
  <c r="S303" i="3" a="1"/>
  <c r="S199" i="3" a="1"/>
  <c r="S198" i="3" a="1"/>
  <c r="S124" i="3" a="1"/>
  <c r="S194" i="3" a="1"/>
  <c r="S123" i="3" a="1"/>
  <c r="S122" i="3" a="1"/>
  <c r="S121" i="3" a="1"/>
  <c r="S120" i="3" a="1"/>
  <c r="S119" i="3" a="1"/>
  <c r="S118" i="3" a="1"/>
  <c r="S117" i="3" a="1"/>
  <c r="S116" i="3" a="1"/>
  <c r="S383" i="3" a="1"/>
  <c r="S115" i="3" a="1"/>
  <c r="S114" i="3" a="1"/>
  <c r="S113" i="3" a="1"/>
  <c r="S112" i="3" a="1"/>
  <c r="S374" i="3" a="1"/>
  <c r="S373" i="3" a="1"/>
  <c r="S372" i="3" a="1"/>
  <c r="S371" i="3" a="1"/>
  <c r="S111" i="3" a="1"/>
  <c r="S110" i="3" a="1"/>
  <c r="S109" i="3" a="1"/>
  <c r="S108" i="3" a="1"/>
  <c r="S107" i="3" a="1"/>
  <c r="S106" i="3" a="1"/>
  <c r="S105" i="3" a="1"/>
  <c r="S104" i="3" a="1"/>
  <c r="S103" i="3" a="1"/>
  <c r="S337" i="3" a="1"/>
  <c r="S102" i="3" a="1"/>
  <c r="S101" i="3" a="1"/>
  <c r="S333" i="3" a="1"/>
  <c r="S330" i="3" a="1"/>
  <c r="S329" i="3" a="1"/>
  <c r="S100" i="3" a="1"/>
  <c r="S99" i="3" a="1"/>
  <c r="S98" i="3" a="1"/>
  <c r="S97" i="3" a="1"/>
  <c r="S96" i="3" a="1"/>
  <c r="S95" i="3" a="1"/>
  <c r="S94" i="3" a="1"/>
  <c r="S311" i="3" a="1"/>
  <c r="S93" i="3" a="1"/>
  <c r="S92" i="3" a="1"/>
  <c r="S91" i="3" a="1"/>
  <c r="S90" i="3" a="1"/>
  <c r="S89" i="3" a="1"/>
  <c r="S88" i="3" a="1"/>
  <c r="S87" i="3" a="1"/>
  <c r="S86" i="3" a="1"/>
  <c r="S85" i="3" a="1"/>
  <c r="S84" i="3" a="1"/>
  <c r="S83" i="3" a="1"/>
  <c r="S82" i="3" a="1"/>
  <c r="S81" i="3" a="1"/>
  <c r="S80" i="3" a="1"/>
  <c r="S79" i="3" a="1"/>
  <c r="S78" i="3" a="1"/>
  <c r="S77" i="3" a="1"/>
  <c r="S76" i="3" a="1"/>
  <c r="S75" i="3" a="1"/>
  <c r="S142" i="3" a="1"/>
  <c r="S74" i="3" a="1"/>
  <c r="S381" i="3" a="1"/>
  <c r="S73" i="3" a="1"/>
  <c r="S72" i="3" a="1"/>
  <c r="S71" i="3" a="1"/>
  <c r="S370" i="3" a="1"/>
  <c r="S367" i="3" a="1"/>
  <c r="S366" i="3" a="1"/>
  <c r="S70" i="3" a="1"/>
  <c r="S362" i="3" a="1"/>
  <c r="S69" i="3" a="1"/>
  <c r="S68" i="3" a="1"/>
  <c r="S358" i="3" a="1"/>
  <c r="S355" i="3" a="1"/>
  <c r="S67" i="3" a="1"/>
  <c r="S349" i="3" a="1"/>
  <c r="S348" i="3" a="1"/>
  <c r="S66" i="3" a="1"/>
  <c r="S341" i="3" a="1"/>
  <c r="S65" i="3" a="1"/>
  <c r="S338" i="3" a="1"/>
  <c r="S64" i="3" a="1"/>
  <c r="S63" i="3" a="1"/>
  <c r="S334" i="3" a="1"/>
  <c r="S62" i="3" a="1"/>
  <c r="S61" i="3" a="1"/>
  <c r="S60" i="3" a="1"/>
  <c r="S59" i="3" a="1"/>
  <c r="S58" i="3" a="1"/>
  <c r="S57" i="3" a="1"/>
  <c r="S316" i="3" a="1"/>
  <c r="S315" i="3" a="1"/>
  <c r="S56" i="3" a="1"/>
  <c r="S55" i="3" a="1"/>
  <c r="S54" i="3" a="1"/>
  <c r="S307" i="3" a="1"/>
  <c r="S304" i="3" a="1"/>
  <c r="S53" i="3" a="1"/>
  <c r="S52" i="3" a="1"/>
  <c r="S51" i="3" a="1"/>
  <c r="S50" i="3" a="1"/>
  <c r="S49" i="3" a="1"/>
  <c r="S48" i="3" a="1"/>
  <c r="S47" i="3" a="1"/>
  <c r="S46" i="3" a="1"/>
  <c r="S45" i="3" a="1"/>
  <c r="S44" i="3" a="1"/>
  <c r="S43" i="3" a="1"/>
  <c r="S42" i="3" a="1"/>
  <c r="S41" i="3" a="1"/>
  <c r="S40" i="3" a="1"/>
  <c r="S39" i="3" a="1"/>
  <c r="S38" i="3" a="1"/>
  <c r="S37" i="3" a="1"/>
  <c r="S36" i="3" a="1"/>
  <c r="S35" i="3" a="1"/>
  <c r="S34" i="3" a="1"/>
  <c r="S33" i="3" a="1"/>
  <c r="S32" i="3" a="1"/>
  <c r="S31" i="3" a="1"/>
  <c r="S30" i="3" a="1"/>
  <c r="S29" i="3" a="1"/>
  <c r="S28" i="3" a="1"/>
  <c r="S27" i="3" a="1"/>
  <c r="S26" i="3" a="1"/>
  <c r="S25" i="3" a="1"/>
  <c r="S24" i="3" a="1"/>
  <c r="S23" i="3" a="1"/>
  <c r="S22" i="3" a="1"/>
  <c r="S21" i="3" a="1"/>
  <c r="S20" i="3" a="1"/>
  <c r="S19" i="3" a="1"/>
  <c r="S18" i="3" a="1"/>
  <c r="S364" i="3" a="1"/>
  <c r="S17" i="3" a="1"/>
  <c r="S16" i="3" a="1"/>
  <c r="S15" i="3" a="1"/>
  <c r="S14" i="3" a="1"/>
  <c r="S13" i="3" a="1"/>
  <c r="S12" i="3" a="1"/>
  <c r="S354" i="3" a="1"/>
  <c r="S11" i="3" a="1"/>
  <c r="S351" i="3" a="1"/>
  <c r="S10" i="3" a="1"/>
  <c r="S9" i="3" a="1"/>
  <c r="S8" i="3" a="1"/>
  <c r="S7" i="3" a="1"/>
  <c r="S342" i="3" a="1"/>
  <c r="S6" i="3" a="1"/>
  <c r="S340" i="3" a="1"/>
  <c r="S5" i="3" a="1"/>
  <c r="S339" i="3" a="1"/>
  <c r="S336" i="3" a="1"/>
  <c r="S335" i="3" a="1"/>
  <c r="S4" i="3" a="1"/>
  <c r="S3" i="3" a="1"/>
  <c r="S2" i="3" a="1"/>
  <c r="S317" i="3" a="1"/>
  <c r="S314" i="3" a="1"/>
  <c r="S310" i="3" a="1"/>
  <c r="S320" i="3" a="1"/>
  <c r="S309" i="3" a="1"/>
  <c r="S368" i="3" a="1"/>
  <c r="S363" i="3" a="1"/>
  <c r="S353" i="3" a="1"/>
  <c r="S324" i="3" a="1"/>
  <c r="S321" i="3" a="1"/>
  <c r="S197" i="3" a="1"/>
  <c r="S384" i="3" a="1"/>
  <c r="S380" i="3" a="1"/>
  <c r="S361" i="3" a="1"/>
  <c r="S326" i="3" a="1"/>
  <c r="S385" i="3" a="1"/>
  <c r="S359" i="3" a="1"/>
  <c r="S357" i="3" a="1"/>
  <c r="S356" i="3" a="1"/>
  <c r="S308" i="3" a="1"/>
  <c r="S201" i="3" a="1"/>
  <c r="S195" i="3" a="1"/>
  <c r="S143" i="3" a="1"/>
  <c r="S302" i="3" a="1"/>
  <c r="S301" i="3" a="1"/>
  <c r="S145" i="3" a="1"/>
  <c r="S300" i="3" a="1"/>
  <c r="S299" i="3" a="1"/>
  <c r="S298" i="3" a="1"/>
  <c r="S382" i="3" a="1"/>
  <c r="S297" i="3" a="1"/>
  <c r="S296" i="3" a="1"/>
  <c r="S295" i="3" a="1"/>
  <c r="S294" i="3" a="1"/>
  <c r="S293" i="3" a="1"/>
  <c r="S146" i="3" a="1"/>
  <c r="S147" i="3" s="1" a="1"/>
  <c r="S148" i="3" s="1" a="1"/>
  <c r="S149" i="3" s="1" a="1"/>
  <c r="S150" i="3" s="1" a="1"/>
  <c r="S151" i="3" s="1" a="1"/>
  <c r="S152" i="3" s="1" a="1"/>
  <c r="S153" i="3" s="1" a="1"/>
  <c r="S154" i="3" s="1" a="1"/>
  <c r="S155" i="3" s="1" a="1"/>
  <c r="S156" i="3" s="1" a="1"/>
  <c r="S157" i="3" s="1" a="1"/>
  <c r="S158" i="3" s="1" a="1"/>
  <c r="S159" i="3" s="1" a="1"/>
  <c r="S160" i="3" s="1" a="1"/>
  <c r="S161" i="3" s="1" a="1"/>
  <c r="S162" i="3" s="1" a="1"/>
  <c r="S163" i="3" s="1" a="1"/>
  <c r="S164" i="3" s="1" a="1"/>
  <c r="S165" i="3" s="1" a="1"/>
  <c r="S166" i="3" s="1" a="1"/>
  <c r="S167" i="3" s="1" a="1"/>
  <c r="S168" i="3" s="1" a="1"/>
  <c r="S169" i="3" s="1" a="1"/>
  <c r="S170" i="3" s="1" a="1"/>
  <c r="S171" i="3" s="1" a="1"/>
  <c r="S172" i="3" s="1" a="1"/>
  <c r="S173" i="3" s="1" a="1"/>
  <c r="S174" i="3" s="1" a="1"/>
  <c r="S175" i="3" s="1" a="1"/>
  <c r="S176" i="3" s="1" a="1"/>
  <c r="S177" i="3" s="1" a="1"/>
  <c r="S178" i="3" s="1" a="1"/>
  <c r="S179" i="3" s="1" a="1"/>
  <c r="S180" i="3" s="1" a="1"/>
  <c r="S181" i="3" s="1" a="1"/>
  <c r="S182" i="3" s="1" a="1"/>
  <c r="S183" i="3" s="1" a="1"/>
  <c r="S184" i="3" s="1" a="1"/>
  <c r="S185" i="3" s="1" a="1"/>
  <c r="S186" i="3" s="1" a="1"/>
  <c r="S187" i="3" s="1" a="1"/>
  <c r="S188" i="3" s="1" a="1"/>
  <c r="S189" i="3" s="1" a="1"/>
  <c r="S190" i="3" s="1" a="1"/>
  <c r="S191" i="3" s="1" a="1"/>
  <c r="S192" i="3" s="1" a="1"/>
  <c r="S193" i="3" s="1" a="1"/>
  <c r="S292" i="3" a="1"/>
  <c r="S291" i="3" a="1"/>
  <c r="S290" i="3" a="1"/>
  <c r="S289" i="3" a="1"/>
  <c r="AC387" i="3"/>
  <c r="S345" i="3" a="1"/>
  <c r="S288" i="3" a="1"/>
  <c r="S287" i="3" a="1"/>
  <c r="S286" i="3" a="1"/>
  <c r="S285" i="3" a="1"/>
  <c r="S284" i="3" a="1"/>
  <c r="S377" i="3" a="1"/>
  <c r="S375" i="3" a="1"/>
  <c r="S332" i="3" a="1"/>
  <c r="S283" i="3" a="1"/>
  <c r="S282" i="3" a="1"/>
  <c r="S281" i="3" a="1"/>
  <c r="S280" i="3" a="1"/>
  <c r="S279" i="3" a="1"/>
  <c r="S278" i="3" a="1"/>
  <c r="S277" i="3" a="1"/>
  <c r="S347" i="3" a="1"/>
  <c r="S276" i="3" a="1"/>
  <c r="S306" i="3" a="1"/>
  <c r="S275" i="3" a="1"/>
  <c r="S274" i="3" a="1"/>
  <c r="S273" i="3" a="1"/>
  <c r="S272" i="3" a="1"/>
  <c r="S271" i="3" a="1"/>
  <c r="S270" i="3" a="1"/>
  <c r="S269" i="3" a="1"/>
  <c r="S268" i="3" a="1"/>
  <c r="S327" i="3" a="1"/>
  <c r="S267" i="3" a="1"/>
  <c r="S325" i="3" a="1"/>
  <c r="S266" i="3" a="1"/>
  <c r="S265" i="3" a="1"/>
  <c r="S264" i="3" a="1"/>
  <c r="S263" i="3" a="1"/>
  <c r="S262" i="3" a="1"/>
  <c r="S261" i="3" a="1"/>
  <c r="S260" i="3" a="1"/>
  <c r="S259" i="3" a="1"/>
  <c r="S144" i="3" a="1"/>
  <c r="S258" i="3" a="1"/>
  <c r="S257" i="3" a="1"/>
  <c r="S256" i="3" a="1"/>
  <c r="S255" i="3" a="1"/>
  <c r="S254" i="3" a="1"/>
  <c r="S253" i="3" a="1"/>
  <c r="S252" i="3" a="1"/>
  <c r="S376" i="3" a="1"/>
  <c r="S251" i="3" a="1"/>
  <c r="S250" i="3" a="1"/>
  <c r="S249" i="3" a="1"/>
  <c r="S248" i="3" a="1"/>
  <c r="S247" i="3" a="1"/>
  <c r="S246" i="3" a="1"/>
  <c r="S245" i="3" a="1"/>
  <c r="S244" i="3" a="1"/>
  <c r="S243" i="3" a="1"/>
  <c r="S360" i="3" a="1"/>
  <c r="S242" i="3" a="1"/>
  <c r="S241" i="3" a="1"/>
  <c r="S240" i="3" a="1"/>
  <c r="S239" i="3" a="1"/>
  <c r="S379" i="3" a="1"/>
  <c r="S352" i="3" a="1"/>
  <c r="S369" i="3" a="1"/>
  <c r="S350" i="3" a="1"/>
  <c r="S343" i="3" a="1"/>
  <c r="S365" i="3" a="1"/>
  <c r="S238" i="3" a="1"/>
  <c r="S237" i="3" a="1"/>
  <c r="S236" i="3" a="1"/>
  <c r="S235" i="3" a="1"/>
  <c r="S234" i="3" a="1"/>
  <c r="S233" i="3" a="1"/>
  <c r="S232" i="3" a="1"/>
  <c r="S231" i="3" a="1"/>
  <c r="S230" i="3" a="1"/>
  <c r="S229" i="3" a="1"/>
  <c r="S228" i="3" a="1"/>
  <c r="S323" i="3" a="1"/>
  <c r="S318" i="3" a="1"/>
  <c r="S227" i="3" a="1"/>
  <c r="S226" i="3" a="1"/>
  <c r="S312" i="3" a="1"/>
  <c r="S225" i="3" a="1"/>
  <c r="S224" i="3" a="1"/>
  <c r="S223" i="3" a="1"/>
  <c r="S222" i="3" a="1"/>
  <c r="S305" i="3" a="1"/>
  <c r="S221" i="3" a="1"/>
  <c r="S220" i="3" a="1"/>
  <c r="S219" i="3" a="1"/>
  <c r="S218" i="3" a="1"/>
  <c r="S217" i="3" a="1"/>
  <c r="S216" i="3" a="1"/>
  <c r="S215" i="3" a="1"/>
  <c r="S214" i="3" a="1"/>
  <c r="S213" i="3" a="1"/>
  <c r="S212" i="3" a="1"/>
  <c r="S211" i="3" a="1"/>
  <c r="S210" i="3" a="1"/>
  <c r="S209" i="3" a="1"/>
  <c r="S378" i="3" a="1"/>
  <c r="S208" i="3" a="1"/>
  <c r="S207" i="3" a="1"/>
  <c r="S206" i="3" a="1"/>
  <c r="S205" i="3" a="1"/>
  <c r="S204" i="3" a="1"/>
  <c r="R63" i="3" a="1"/>
  <c r="R158" i="3" a="1"/>
  <c r="R61" i="3" a="1"/>
  <c r="R198" i="3" a="1"/>
  <c r="R259" i="3" a="1"/>
  <c r="R52" i="3" a="1"/>
  <c r="R216" i="3" a="1"/>
  <c r="R320" i="3" a="1"/>
  <c r="R317" i="3" a="1"/>
  <c r="R260" i="3" a="1"/>
  <c r="R172" i="3" a="1"/>
  <c r="R215" i="3" a="1"/>
  <c r="R146" i="3" a="1"/>
  <c r="R261" i="3" a="1"/>
  <c r="R202" i="3" a="1"/>
  <c r="R383" i="3" a="1"/>
  <c r="R168" i="3" a="1"/>
  <c r="R310" i="3" a="1"/>
  <c r="R34" i="3" a="1"/>
  <c r="R313" i="3" a="1"/>
  <c r="R262" i="3" a="1"/>
  <c r="R364" i="3" a="1"/>
  <c r="R258" i="3" a="1"/>
  <c r="R257" i="3" a="1"/>
  <c r="R26" i="3" a="1"/>
  <c r="R214" i="3" a="1"/>
  <c r="R351" i="3" a="1"/>
  <c r="R263" i="3" a="1"/>
  <c r="R256" i="3" a="1"/>
  <c r="R67" i="3" a="1"/>
  <c r="R71" i="3" a="1"/>
  <c r="R337" i="3" a="1"/>
  <c r="R255" i="3" a="1"/>
  <c r="R264" i="3" a="1"/>
  <c r="R181" i="3" a="1"/>
  <c r="R51" i="3" a="1"/>
  <c r="R191" i="3" a="1"/>
  <c r="R2" i="3" a="1"/>
  <c r="R213" i="3" a="1"/>
  <c r="R66" i="3" a="1"/>
  <c r="R265" i="3" a="1"/>
  <c r="R254" i="3" a="1"/>
  <c r="R253" i="3" a="1"/>
  <c r="R331" i="3" a="1"/>
  <c r="R3" i="3" a="1"/>
  <c r="R58" i="3" a="1"/>
  <c r="R86" i="3" a="1"/>
  <c r="R252" i="3" a="1"/>
  <c r="R27" i="3" a="1"/>
  <c r="R344" i="3" a="1"/>
  <c r="R87" i="3" a="1"/>
  <c r="R267" i="3" a="1"/>
  <c r="R305" i="3" a="1"/>
  <c r="R352" i="3" a="1"/>
  <c r="R187" i="3" a="1"/>
  <c r="R200" i="3" a="1"/>
  <c r="R268" i="3" a="1"/>
  <c r="R356" i="3" a="1"/>
  <c r="R4" i="3" a="1"/>
  <c r="R201" i="3" a="1"/>
  <c r="R195" i="3" a="1"/>
  <c r="R269" i="3" a="1"/>
  <c r="R251" i="3" a="1"/>
  <c r="R190" i="3" a="1"/>
  <c r="R339" i="3" a="1"/>
  <c r="R270" i="3" a="1"/>
  <c r="R250" i="3" a="1"/>
  <c r="R373" i="3" a="1"/>
  <c r="R197" i="3" a="1"/>
  <c r="R271" i="3" a="1"/>
  <c r="R5" i="3" a="1"/>
  <c r="R176" i="3" a="1"/>
  <c r="R212" i="3" a="1"/>
  <c r="R272" i="3" a="1"/>
  <c r="R169" i="3" a="1"/>
  <c r="R85" i="3" a="1"/>
  <c r="R347" i="3" a="1"/>
  <c r="R273" i="3" a="1"/>
  <c r="R249" i="3" a="1"/>
  <c r="R28" i="3" a="1"/>
  <c r="R274" i="3" a="1"/>
  <c r="R248" i="3" a="1"/>
  <c r="R6" i="3" a="1"/>
  <c r="R43" i="3" a="1"/>
  <c r="R50" i="3" a="1"/>
  <c r="R275" i="3" a="1"/>
  <c r="R247" i="3" a="1"/>
  <c r="R7" i="3" a="1"/>
  <c r="R78" i="3" a="1"/>
  <c r="R276" i="3" a="1"/>
  <c r="R84" i="3" a="1"/>
  <c r="R41" i="3" a="1"/>
  <c r="R246" i="3" a="1"/>
  <c r="R211" i="3" a="1"/>
  <c r="R159" i="3" a="1"/>
  <c r="R277" i="3" a="1"/>
  <c r="R361" i="3" a="1"/>
  <c r="R189" i="3" a="1"/>
  <c r="R210" i="3" a="1"/>
  <c r="R35" i="3" a="1"/>
  <c r="R338" i="3" a="1"/>
  <c r="R245" i="3" a="1"/>
  <c r="R278" i="3" a="1"/>
  <c r="R365" i="3" a="1"/>
  <c r="R88" i="3" a="1"/>
  <c r="R193" i="3" a="1"/>
  <c r="R8" i="3" a="1"/>
  <c r="R303" i="3" a="1"/>
  <c r="R29" i="3" a="1"/>
  <c r="R279" i="3" a="1"/>
  <c r="R314" i="3" a="1"/>
  <c r="R244" i="3" a="1"/>
  <c r="R76" i="3" a="1"/>
  <c r="R280" i="3" a="1"/>
  <c r="R64" i="3" a="1"/>
  <c r="R318" i="3" a="1"/>
  <c r="R30" i="3" a="1"/>
  <c r="R65" i="3" a="1"/>
  <c r="R243" i="3" a="1"/>
  <c r="R57" i="3" a="1"/>
  <c r="R281" i="3" a="1"/>
  <c r="R9" i="3" a="1"/>
  <c r="R59" i="3" a="1"/>
  <c r="R49" i="3" a="1"/>
  <c r="R282" i="3" a="1"/>
  <c r="R38" i="3" a="1"/>
  <c r="R371" i="3" a="1"/>
  <c r="R329" i="3" a="1"/>
  <c r="R173" i="3" a="1"/>
  <c r="R283" i="3" a="1"/>
  <c r="R242" i="3" a="1"/>
  <c r="R209" i="3" a="1"/>
  <c r="R284" i="3" a="1"/>
  <c r="R10" i="3" a="1"/>
  <c r="R241" i="3" a="1"/>
  <c r="R240" i="3" a="1"/>
  <c r="R194" i="3" a="1"/>
  <c r="R160" i="3" a="1"/>
  <c r="R285" i="3" a="1"/>
  <c r="R377" i="3" a="1"/>
  <c r="R350" i="3" a="1"/>
  <c r="R379" i="3" a="1"/>
  <c r="R286" i="3" a="1"/>
  <c r="R11" i="3" a="1"/>
  <c r="R208" i="3" a="1"/>
  <c r="R48" i="3" a="1"/>
  <c r="R42" i="3" a="1"/>
  <c r="R287" i="3" a="1"/>
  <c r="R239" i="3" a="1"/>
  <c r="R40" i="3" a="1"/>
  <c r="R382" i="3" a="1"/>
  <c r="R288" i="3" a="1"/>
  <c r="R324" i="3" a="1"/>
  <c r="R372" i="3" a="1"/>
  <c r="R77" i="3" a="1"/>
  <c r="R374" i="3" a="1"/>
  <c r="R238" i="3" a="1"/>
  <c r="R12" i="3" a="1"/>
  <c r="R266" i="3" a="1"/>
  <c r="R289" i="3" a="1"/>
  <c r="R83" i="3" a="1"/>
  <c r="R363" i="3" a="1"/>
  <c r="R290" i="3" a="1"/>
  <c r="R384" i="3" a="1"/>
  <c r="R207" i="3" a="1"/>
  <c r="R291" i="3" a="1"/>
  <c r="R36" i="3" a="1"/>
  <c r="R237" i="3" a="1"/>
  <c r="R385" i="3" a="1"/>
  <c r="R13" i="3" a="1"/>
  <c r="R31" i="3" a="1"/>
  <c r="R89" i="3" a="1"/>
  <c r="R236" i="3" a="1"/>
  <c r="R292" i="3" a="1"/>
  <c r="R147" i="3" a="1"/>
  <c r="R381" i="3" a="1"/>
  <c r="R47" i="3" a="1"/>
  <c r="R235" i="3" a="1"/>
  <c r="R152" i="3" a="1"/>
  <c r="R293" i="3" a="1"/>
  <c r="R153" i="3" a="1"/>
  <c r="R376" i="3" a="1"/>
  <c r="R309" i="3" a="1"/>
  <c r="R375" i="3" a="1"/>
  <c r="R294" i="3" a="1"/>
  <c r="R156" i="3" a="1"/>
  <c r="R366" i="3" a="1"/>
  <c r="R171" i="3" a="1"/>
  <c r="R343" i="3" a="1"/>
  <c r="R295" i="3" a="1"/>
  <c r="R369" i="3" a="1"/>
  <c r="R14" i="3" a="1"/>
  <c r="R206" i="3" a="1"/>
  <c r="R367" i="3" a="1"/>
  <c r="R155" i="3" a="1"/>
  <c r="R296" i="3" a="1"/>
  <c r="R82" i="3" a="1"/>
  <c r="R161" i="3" a="1"/>
  <c r="R164" i="3" a="1"/>
  <c r="R90" i="3" a="1"/>
  <c r="R342" i="3" a="1"/>
  <c r="R297" i="3" a="1"/>
  <c r="R234" i="3" a="1"/>
  <c r="R186" i="3" a="1"/>
  <c r="R349" i="3" a="1"/>
  <c r="R298" i="3" a="1"/>
  <c r="R233" i="3" a="1"/>
  <c r="R188" i="3" a="1"/>
  <c r="R299" i="3" a="1"/>
  <c r="R182" i="3" a="1"/>
  <c r="R72" i="3" a="1"/>
  <c r="R300" i="3" a="1"/>
  <c r="R346" i="3" a="1"/>
  <c r="R15" i="3" a="1"/>
  <c r="R46" i="3" a="1"/>
  <c r="R232" i="3" a="1"/>
  <c r="R301" i="3" a="1"/>
  <c r="R16" i="3" a="1"/>
  <c r="R341" i="3" a="1"/>
  <c r="R302" i="3" a="1"/>
  <c r="R335" i="3" a="1"/>
  <c r="R196" i="3" a="1"/>
  <c r="R340" i="3" a="1"/>
  <c r="R336" i="3" a="1"/>
  <c r="R231" i="3" a="1"/>
  <c r="R327" i="3" a="1"/>
  <c r="R199" i="3" a="1"/>
  <c r="R325" i="3" a="1"/>
  <c r="R149" i="3" a="1"/>
  <c r="R362" i="3" a="1"/>
  <c r="R322" i="3" a="1"/>
  <c r="R230" i="3" a="1"/>
  <c r="R157" i="3" a="1"/>
  <c r="R167" i="3" a="1"/>
  <c r="R170" i="3" a="1"/>
  <c r="R17" i="3" a="1"/>
  <c r="R178" i="3" a="1"/>
  <c r="R334" i="3" a="1"/>
  <c r="R74" i="3" a="1"/>
  <c r="R60" i="3" a="1"/>
  <c r="R304" i="3" a="1"/>
  <c r="R229" i="3" a="1"/>
  <c r="R228" i="3" a="1"/>
  <c r="R307" i="3" a="1"/>
  <c r="R311" i="3" a="1"/>
  <c r="R312" i="3" a="1"/>
  <c r="R316" i="3" a="1"/>
  <c r="R205" i="3" a="1"/>
  <c r="R32" i="3" a="1"/>
  <c r="R330" i="3" a="1"/>
  <c r="R319" i="3" a="1"/>
  <c r="R18" i="3" a="1"/>
  <c r="R68" i="3" a="1"/>
  <c r="R37" i="3" a="1"/>
  <c r="R306" i="3" a="1"/>
  <c r="R332" i="3" a="1"/>
  <c r="R360" i="3" a="1"/>
  <c r="R204" i="3" a="1"/>
  <c r="R328" i="3" a="1"/>
  <c r="R333" i="3" a="1"/>
  <c r="R227" i="3" a="1"/>
  <c r="R45" i="3" a="1"/>
  <c r="R19" i="3" a="1"/>
  <c r="R81" i="3" a="1"/>
  <c r="R345" i="3" a="1"/>
  <c r="R226" i="3" a="1"/>
  <c r="R75" i="3" a="1"/>
  <c r="R185" i="3" a="1"/>
  <c r="R184" i="3" a="1"/>
  <c r="R359" i="3" a="1"/>
  <c r="R203" i="3" a="1"/>
  <c r="R315" i="3" a="1"/>
  <c r="R179" i="3" a="1"/>
  <c r="R308" i="3" a="1"/>
  <c r="R177" i="3" a="1"/>
  <c r="R321" i="3" a="1"/>
  <c r="R348" i="3" a="1"/>
  <c r="R225" i="3" a="1"/>
  <c r="R174" i="3" a="1"/>
  <c r="R368" i="3" a="1"/>
  <c r="R20" i="3" a="1"/>
  <c r="R357" i="3" a="1"/>
  <c r="R378" i="3" a="1"/>
  <c r="R175" i="3" a="1"/>
  <c r="R33" i="3" a="1"/>
  <c r="R166" i="3" a="1"/>
  <c r="R165" i="3" a="1"/>
  <c r="AB387" i="3"/>
  <c r="R91" i="3" a="1"/>
  <c r="R163" i="3" a="1"/>
  <c r="R224" i="3" a="1"/>
  <c r="R162" i="3" a="1"/>
  <c r="R73" i="3" a="1"/>
  <c r="R56" i="3" a="1"/>
  <c r="R223" i="3" a="1"/>
  <c r="R21" i="3" a="1"/>
  <c r="R92" i="3" a="1"/>
  <c r="R80" i="3" a="1"/>
  <c r="R93" i="3" a="1"/>
  <c r="R380" i="3" a="1"/>
  <c r="R222" i="3" a="1"/>
  <c r="R69" i="3" a="1"/>
  <c r="R55" i="3" a="1"/>
  <c r="R148" i="3" a="1"/>
  <c r="R94" i="3" a="1"/>
  <c r="R150" i="3" a="1"/>
  <c r="R95" i="3" a="1"/>
  <c r="R44" i="3" a="1"/>
  <c r="R151" i="3" a="1"/>
  <c r="R370" i="3" a="1"/>
  <c r="R96" i="3" a="1"/>
  <c r="R354" i="3" a="1"/>
  <c r="R22" i="3" a="1"/>
  <c r="R358" i="3" a="1"/>
  <c r="R154" i="3" a="1"/>
  <c r="R54" i="3" a="1"/>
  <c r="R355" i="3" a="1"/>
  <c r="R221" i="3" a="1"/>
  <c r="R353" i="3" a="1"/>
  <c r="R220" i="3" a="1"/>
  <c r="R97" i="3" a="1"/>
  <c r="R23" i="3" a="1"/>
  <c r="R79" i="3" a="1"/>
  <c r="R323" i="3" a="1"/>
  <c r="R98" i="3" a="1"/>
  <c r="R99" i="3" s="1" a="1"/>
  <c r="R100" i="3" s="1" a="1"/>
  <c r="R101" i="3" s="1" a="1"/>
  <c r="R102" i="3" s="1" a="1"/>
  <c r="R103" i="3" s="1" a="1"/>
  <c r="R104" i="3" s="1" a="1"/>
  <c r="R105" i="3" s="1" a="1"/>
  <c r="R106" i="3" s="1" a="1"/>
  <c r="R107" i="3" s="1" a="1"/>
  <c r="R108" i="3" s="1" a="1"/>
  <c r="R109" i="3" s="1" a="1"/>
  <c r="R110" i="3" s="1" a="1"/>
  <c r="R111" i="3" s="1" a="1"/>
  <c r="R112" i="3" s="1" a="1"/>
  <c r="R113" i="3" s="1" a="1"/>
  <c r="R114" i="3" s="1" a="1"/>
  <c r="R115" i="3" s="1" a="1"/>
  <c r="R116" i="3" s="1" a="1"/>
  <c r="R117" i="3" s="1" a="1"/>
  <c r="R118" i="3" s="1" a="1"/>
  <c r="R119" i="3" s="1" a="1"/>
  <c r="R120" i="3" s="1" a="1"/>
  <c r="R121" i="3" s="1" a="1"/>
  <c r="R122" i="3" s="1" a="1"/>
  <c r="R123" i="3" s="1" a="1"/>
  <c r="R124" i="3" s="1" a="1"/>
  <c r="R125" i="3" s="1" a="1"/>
  <c r="R126" i="3" s="1" a="1"/>
  <c r="R127" i="3" s="1" a="1"/>
  <c r="R128" i="3" s="1" a="1"/>
  <c r="R129" i="3" s="1" a="1"/>
  <c r="R130" i="3" s="1" a="1"/>
  <c r="R131" i="3" s="1" a="1"/>
  <c r="R132" i="3" s="1" a="1"/>
  <c r="R133" i="3" s="1" a="1"/>
  <c r="R134" i="3" s="1" a="1"/>
  <c r="R135" i="3" s="1" a="1"/>
  <c r="R136" i="3" s="1" a="1"/>
  <c r="R137" i="3" s="1" a="1"/>
  <c r="R138" i="3" s="1" a="1"/>
  <c r="R139" i="3" s="1" a="1"/>
  <c r="R140" i="3" s="1" a="1"/>
  <c r="R141" i="3" s="1" a="1"/>
  <c r="R142" i="3" s="1" a="1"/>
  <c r="R143" i="3" s="1" a="1"/>
  <c r="R144" i="3" s="1" a="1"/>
  <c r="R145" i="3" s="1" a="1"/>
  <c r="R219" i="3" a="1"/>
  <c r="R70" i="3" a="1"/>
  <c r="R218" i="3" a="1"/>
  <c r="R53" i="3" a="1"/>
  <c r="R180" i="3" a="1"/>
  <c r="R24" i="3" a="1"/>
  <c r="R183" i="3" a="1"/>
  <c r="R217" i="3" a="1"/>
  <c r="R62" i="3" a="1"/>
  <c r="R192" i="3" a="1"/>
  <c r="R326" i="3" a="1"/>
  <c r="R25" i="3" a="1"/>
  <c r="R39" i="3" a="1"/>
  <c r="Q194" i="3" a="1"/>
  <c r="Q170" i="3" a="1"/>
  <c r="Q259" i="3" a="1"/>
  <c r="Q256" i="3" a="1"/>
  <c r="Q153" i="3" a="1"/>
  <c r="Q151" i="3" a="1"/>
  <c r="Q260" i="3" a="1"/>
  <c r="Q165" i="3" a="1"/>
  <c r="Q261" i="3" a="1"/>
  <c r="Q155" i="3" a="1"/>
  <c r="Q257" i="3" a="1"/>
  <c r="Q262" i="3" a="1"/>
  <c r="Q373" i="3" a="1"/>
  <c r="Q258" i="3" a="1"/>
  <c r="Q263" i="3" a="1"/>
  <c r="Q352" i="3" a="1"/>
  <c r="Q264" i="3" a="1"/>
  <c r="Q338" i="3" a="1"/>
  <c r="Q332" i="3" a="1"/>
  <c r="Q265" i="3" a="1"/>
  <c r="Q266" i="3" a="1"/>
  <c r="Q267" i="3" a="1"/>
  <c r="Q268" i="3" a="1"/>
  <c r="Q269" i="3" a="1"/>
  <c r="Q270" i="3" a="1"/>
  <c r="Q271" i="3" a="1"/>
  <c r="Q272" i="3" a="1"/>
  <c r="Q273" i="3" a="1"/>
  <c r="Q274" i="3" a="1"/>
  <c r="Q275" i="3" a="1"/>
  <c r="Q152" i="3" a="1"/>
  <c r="Q276" i="3" a="1"/>
  <c r="Q383" i="3" a="1"/>
  <c r="Q382" i="3" a="1"/>
  <c r="Q277" i="3" a="1"/>
  <c r="Q377" i="3" a="1"/>
  <c r="Q375" i="3" a="1"/>
  <c r="Q374" i="3" a="1"/>
  <c r="Q278" i="3" a="1"/>
  <c r="Q279" i="3" a="1"/>
  <c r="Q280" i="3" a="1"/>
  <c r="Q331" i="3" a="1"/>
  <c r="Q281" i="3" a="1"/>
  <c r="Q282" i="3" a="1"/>
  <c r="Q313" i="3" a="1"/>
  <c r="Q133" i="3" a="1"/>
  <c r="Q283" i="3" a="1"/>
  <c r="Q284" i="3" a="1"/>
  <c r="Q285" i="3" a="1"/>
  <c r="Q190" i="3" a="1"/>
  <c r="Q286" i="3" a="1"/>
  <c r="Q287" i="3" a="1"/>
  <c r="Q178" i="3" a="1"/>
  <c r="Q176" i="3" a="1"/>
  <c r="Q288" i="3" a="1"/>
  <c r="Q159" i="3" a="1"/>
  <c r="Q156" i="3" a="1"/>
  <c r="Q289" i="3" a="1"/>
  <c r="Q148" i="3" a="1"/>
  <c r="Q290" i="3" a="1"/>
  <c r="Q291" i="3" a="1"/>
  <c r="AA387" i="3"/>
  <c r="AN387" i="3" s="1"/>
  <c r="AN2" i="3" s="1"/>
  <c r="Q292" i="3" a="1"/>
  <c r="Q293" i="3" a="1"/>
  <c r="Q294" i="3" a="1"/>
  <c r="Q371" i="3" a="1"/>
  <c r="Q295" i="3" a="1"/>
  <c r="Q370" i="3" a="1"/>
  <c r="Q368" i="3" a="1"/>
  <c r="Q296" i="3" a="1"/>
  <c r="Q297" i="3" a="1"/>
  <c r="Q355" i="3" a="1"/>
  <c r="Q298" i="3" a="1"/>
  <c r="Q299" i="3" a="1"/>
  <c r="Q300" i="3" a="1"/>
  <c r="Q301" i="3" a="1"/>
  <c r="Q302" i="3" a="1"/>
  <c r="Q303" i="3" a="1"/>
  <c r="Q146" i="3" a="1"/>
  <c r="Q323" i="3" a="1"/>
  <c r="Q314" i="3" a="1"/>
  <c r="Q179" i="3" a="1"/>
  <c r="Q317" i="3" a="1"/>
  <c r="Q199" i="3" a="1"/>
  <c r="Q318" i="3" a="1"/>
  <c r="Q320" i="3" a="1"/>
  <c r="Q193" i="3" a="1"/>
  <c r="Q192" i="3" a="1"/>
  <c r="Q191" i="3" a="1"/>
  <c r="Q189" i="3" a="1"/>
  <c r="Q186" i="3" a="1"/>
  <c r="Q183" i="3" a="1"/>
  <c r="Q181" i="3" a="1"/>
  <c r="Q180" i="3" a="1"/>
  <c r="Q347" i="3" a="1"/>
  <c r="Q363" i="3" a="1"/>
  <c r="Q384" i="3" a="1"/>
  <c r="Q167" i="3" a="1"/>
  <c r="Q161" i="3" a="1"/>
  <c r="Q379" i="3" a="1"/>
  <c r="Q365" i="3" a="1"/>
  <c r="Q98" i="3" a="1"/>
  <c r="Q336" i="3" a="1"/>
  <c r="Q99" i="3" a="1"/>
  <c r="Q333" i="3" a="1"/>
  <c r="Q100" i="3" a="1"/>
  <c r="Q330" i="3" a="1"/>
  <c r="Q101" i="3" a="1"/>
  <c r="Q312" i="3" a="1"/>
  <c r="Q311" i="3" a="1"/>
  <c r="Q102" i="3" a="1"/>
  <c r="Q103" i="3" a="1"/>
  <c r="Q104" i="3" a="1"/>
  <c r="Q105" i="3" a="1"/>
  <c r="Q168" i="3" a="1"/>
  <c r="Q50" i="3" a="1"/>
  <c r="Q51" i="3" s="1" a="1"/>
  <c r="Q52" i="3" s="1" a="1"/>
  <c r="Q53" i="3" s="1" a="1"/>
  <c r="Q54" i="3" s="1" a="1"/>
  <c r="Q55" i="3" s="1" a="1"/>
  <c r="Q56" i="3" s="1" a="1"/>
  <c r="Q57" i="3" s="1" a="1"/>
  <c r="Q58" i="3" s="1" a="1"/>
  <c r="Q59" i="3" s="1" a="1"/>
  <c r="Q60" i="3" s="1" a="1"/>
  <c r="Q61" i="3" s="1" a="1"/>
  <c r="Q62" i="3" s="1" a="1"/>
  <c r="Q63" i="3" s="1" a="1"/>
  <c r="Q64" i="3" s="1" a="1"/>
  <c r="Q65" i="3" s="1" a="1"/>
  <c r="Q66" i="3" s="1" a="1"/>
  <c r="Q67" i="3" s="1" a="1"/>
  <c r="Q68" i="3" s="1" a="1"/>
  <c r="Q69" i="3" s="1" a="1"/>
  <c r="Q70" i="3" s="1" a="1"/>
  <c r="Q71" i="3" s="1" a="1"/>
  <c r="Q72" i="3" s="1" a="1"/>
  <c r="Q73" i="3" s="1" a="1"/>
  <c r="Q74" i="3" s="1" a="1"/>
  <c r="Q75" i="3" s="1" a="1"/>
  <c r="Q76" i="3" s="1" a="1"/>
  <c r="Q77" i="3" s="1" a="1"/>
  <c r="Q78" i="3" s="1" a="1"/>
  <c r="Q79" i="3" s="1" a="1"/>
  <c r="Q80" i="3" s="1" a="1"/>
  <c r="Q81" i="3" s="1" a="1"/>
  <c r="Q82" i="3" s="1" a="1"/>
  <c r="Q83" i="3" s="1" a="1"/>
  <c r="Q84" i="3" s="1" a="1"/>
  <c r="Q85" i="3" s="1" a="1"/>
  <c r="Q86" i="3" s="1" a="1"/>
  <c r="Q87" i="3" s="1" a="1"/>
  <c r="Q88" i="3" s="1" a="1"/>
  <c r="Q89" i="3" s="1" a="1"/>
  <c r="Q90" i="3" s="1" a="1"/>
  <c r="Q91" i="3" s="1" a="1"/>
  <c r="Q92" i="3" s="1" a="1"/>
  <c r="Q93" i="3" s="1" a="1"/>
  <c r="Q94" i="3" s="1" a="1"/>
  <c r="Q95" i="3" s="1" a="1"/>
  <c r="Q96" i="3" s="1" a="1"/>
  <c r="Q97" i="3" s="1" a="1"/>
  <c r="Q106" i="3" a="1"/>
  <c r="Q107" i="3" a="1"/>
  <c r="Q149" i="3" a="1"/>
  <c r="Q108" i="3" a="1"/>
  <c r="Q49" i="3" a="1"/>
  <c r="Q109" i="3" a="1"/>
  <c r="Q110" i="3" a="1"/>
  <c r="Q48" i="3" a="1"/>
  <c r="Q111" i="3" a="1"/>
  <c r="Q112" i="3" a="1"/>
  <c r="Q113" i="3" a="1"/>
  <c r="Q47" i="3" a="1"/>
  <c r="Q359" i="3" a="1"/>
  <c r="Q114" i="3" a="1"/>
  <c r="Q356" i="3" a="1"/>
  <c r="Q115" i="3" a="1"/>
  <c r="Q46" i="3" a="1"/>
  <c r="Q116" i="3" a="1"/>
  <c r="Q117" i="3" a="1"/>
  <c r="Q118" i="3" a="1"/>
  <c r="Q319" i="3" a="1"/>
  <c r="Q45" i="3" a="1"/>
  <c r="Q119" i="3" a="1"/>
  <c r="Q120" i="3" a="1"/>
  <c r="Q44" i="3" a="1"/>
  <c r="Q121" i="3" a="1"/>
  <c r="Q122" i="3" a="1"/>
  <c r="Q174" i="3" a="1"/>
  <c r="Q123" i="3" a="1"/>
  <c r="Q43" i="3" a="1"/>
  <c r="Q124" i="3" a="1"/>
  <c r="Q125" i="3" a="1"/>
  <c r="Q42" i="3" a="1"/>
  <c r="Q369" i="3" a="1"/>
  <c r="Q367" i="3" a="1"/>
  <c r="Q126" i="3" a="1"/>
  <c r="Q364" i="3" a="1"/>
  <c r="Q127" i="3" a="1"/>
  <c r="Q357" i="3" a="1"/>
  <c r="Q128" i="3" a="1"/>
  <c r="Q351" i="3" a="1"/>
  <c r="Q41" i="3" a="1"/>
  <c r="Q129" i="3" a="1"/>
  <c r="Q345" i="3" a="1"/>
  <c r="Q130" i="3" a="1"/>
  <c r="Q339" i="3" a="1"/>
  <c r="Q335" i="3" a="1"/>
  <c r="Q334" i="3" a="1"/>
  <c r="Q40" i="3" a="1"/>
  <c r="Q131" i="3" a="1"/>
  <c r="Q132" i="3" a="1"/>
  <c r="Q327" i="3" a="1"/>
  <c r="Q328" i="3" a="1"/>
  <c r="Q321" i="3" a="1"/>
  <c r="Q39" i="3" a="1"/>
  <c r="Q134" i="3" a="1"/>
  <c r="Q135" i="3" a="1"/>
  <c r="Q38" i="3" a="1"/>
  <c r="Q136" i="3" a="1"/>
  <c r="Q197" i="3" a="1"/>
  <c r="Q196" i="3" a="1"/>
  <c r="Q195" i="3" a="1"/>
  <c r="Q137" i="3" a="1"/>
  <c r="Q182" i="3" a="1"/>
  <c r="Q138" i="3" a="1"/>
  <c r="Q173" i="3" a="1"/>
  <c r="Q171" i="3" a="1"/>
  <c r="Q37" i="3" a="1"/>
  <c r="Q139" i="3" a="1"/>
  <c r="Q140" i="3" a="1"/>
  <c r="Q380" i="3" a="1"/>
  <c r="Q36" i="3" a="1"/>
  <c r="Q141" i="3" a="1"/>
  <c r="Q144" i="3" a="1"/>
  <c r="Q372" i="3" a="1"/>
  <c r="Q35" i="3" a="1"/>
  <c r="Q188" i="3" a="1"/>
  <c r="Q362" i="3" a="1"/>
  <c r="Q349" i="3" a="1"/>
  <c r="Q34" i="3" a="1"/>
  <c r="Q202" i="3" a="1"/>
  <c r="Q329" i="3" a="1"/>
  <c r="Q203" i="3" a="1"/>
  <c r="Q322" i="3" a="1"/>
  <c r="Q33" i="3" a="1"/>
  <c r="Q204" i="3" a="1"/>
  <c r="Q308" i="3" a="1"/>
  <c r="Q200" i="3" a="1"/>
  <c r="Q32" i="3" a="1"/>
  <c r="Q205" i="3" a="1"/>
  <c r="Q187" i="3" a="1"/>
  <c r="Q206" i="3" a="1"/>
  <c r="Q31" i="3" a="1"/>
  <c r="Q164" i="3" a="1"/>
  <c r="Q207" i="3" a="1"/>
  <c r="Q208" i="3" a="1"/>
  <c r="Q150" i="3" a="1"/>
  <c r="Q30" i="3" a="1"/>
  <c r="Q209" i="3" a="1"/>
  <c r="Q29" i="3" a="1"/>
  <c r="Q210" i="3" a="1"/>
  <c r="Q360" i="3" a="1"/>
  <c r="Q211" i="3" a="1"/>
  <c r="Q353" i="3" a="1"/>
  <c r="Q28" i="3" a="1"/>
  <c r="Q344" i="3" a="1"/>
  <c r="Q342" i="3" a="1"/>
  <c r="Q212" i="3" a="1"/>
  <c r="Q213" i="3" a="1"/>
  <c r="Q27" i="3" a="1"/>
  <c r="Q214" i="3" a="1"/>
  <c r="Q26" i="3" a="1"/>
  <c r="Q215" i="3" a="1"/>
  <c r="Q310" i="3" a="1"/>
  <c r="Q216" i="3" a="1"/>
  <c r="Q25" i="3" a="1"/>
  <c r="Q217" i="3" a="1"/>
  <c r="Q218" i="3" a="1"/>
  <c r="Q24" i="3" a="1"/>
  <c r="Q219" i="3" a="1"/>
  <c r="Q175" i="3" a="1"/>
  <c r="Q172" i="3" a="1"/>
  <c r="Q169" i="3" a="1"/>
  <c r="Q23" i="3" a="1"/>
  <c r="Q220" i="3" a="1"/>
  <c r="Q163" i="3" a="1"/>
  <c r="Q162" i="3" a="1"/>
  <c r="Q160" i="3" a="1"/>
  <c r="Q221" i="3" a="1"/>
  <c r="Q22" i="3" a="1"/>
  <c r="Q222" i="3" a="1"/>
  <c r="Q145" i="3" a="1"/>
  <c r="Q223" i="3" a="1"/>
  <c r="Q21" i="3" a="1"/>
  <c r="Q366" i="3" a="1"/>
  <c r="Q224" i="3" a="1"/>
  <c r="Q361" i="3" a="1"/>
  <c r="Q20" i="3" a="1"/>
  <c r="Q225" i="3" a="1"/>
  <c r="Q226" i="3" a="1"/>
  <c r="Q346" i="3" a="1"/>
  <c r="Q19" i="3" a="1"/>
  <c r="Q227" i="3" a="1"/>
  <c r="Q337" i="3" a="1"/>
  <c r="Q228" i="3" a="1"/>
  <c r="Q18" i="3" a="1"/>
  <c r="Q325" i="3" a="1"/>
  <c r="Q229" i="3" a="1"/>
  <c r="Q315" i="3" a="1"/>
  <c r="Q17" i="3" a="1"/>
  <c r="Q230" i="3" a="1"/>
  <c r="Q231" i="3" a="1"/>
  <c r="Q304" i="3" a="1"/>
  <c r="Q198" i="3" a="1"/>
  <c r="Q16" i="3" a="1"/>
  <c r="Q232" i="3" a="1"/>
  <c r="Q233" i="3" a="1"/>
  <c r="Q15" i="3" a="1"/>
  <c r="Q177" i="3" a="1"/>
  <c r="Q234" i="3" a="1"/>
  <c r="Q14" i="3" a="1"/>
  <c r="Q154" i="3" a="1"/>
  <c r="Q235" i="3" a="1"/>
  <c r="Q236" i="3" a="1"/>
  <c r="Q13" i="3" a="1"/>
  <c r="Q237" i="3" a="1"/>
  <c r="Q385" i="3" a="1"/>
  <c r="Q238" i="3" a="1"/>
  <c r="Q381" i="3" a="1"/>
  <c r="Q378" i="3" a="1"/>
  <c r="Q12" i="3" a="1"/>
  <c r="Q239" i="3" a="1"/>
  <c r="Q11" i="3" a="1"/>
  <c r="Q240" i="3" a="1"/>
  <c r="Q343" i="3" a="1"/>
  <c r="Q241" i="3" a="1"/>
  <c r="Q341" i="3" a="1"/>
  <c r="Q340" i="3" a="1"/>
  <c r="Q10" i="3" a="1"/>
  <c r="Q242" i="3" a="1"/>
  <c r="Q243" i="3" a="1"/>
  <c r="Q326" i="3" a="1"/>
  <c r="Q9" i="3" a="1"/>
  <c r="Q324" i="3" a="1"/>
  <c r="Q244" i="3" a="1"/>
  <c r="Q316" i="3" a="1"/>
  <c r="Q307" i="3" a="1"/>
  <c r="Q305" i="3" a="1"/>
  <c r="Q8" i="3" a="1"/>
  <c r="Q245" i="3" a="1"/>
  <c r="Q246" i="3" a="1"/>
  <c r="Q7" i="3" a="1"/>
  <c r="Q166" i="3" a="1"/>
  <c r="Q247" i="3" a="1"/>
  <c r="Q248" i="3" a="1"/>
  <c r="Q6" i="3" a="1"/>
  <c r="Q158" i="3" a="1"/>
  <c r="Q157" i="3" a="1"/>
  <c r="Q147" i="3" a="1"/>
  <c r="Q249" i="3" a="1"/>
  <c r="Q143" i="3" a="1"/>
  <c r="Q142" i="3" a="1"/>
  <c r="Q5" i="3" a="1"/>
  <c r="Q376" i="3" a="1"/>
  <c r="Q250" i="3" a="1"/>
  <c r="Q251" i="3" a="1"/>
  <c r="Q358" i="3" a="1"/>
  <c r="Q4" i="3" a="1"/>
  <c r="Q354" i="3" a="1"/>
  <c r="Q350" i="3" a="1"/>
  <c r="Q348" i="3" a="1"/>
  <c r="Q252" i="3" a="1"/>
  <c r="Q253" i="3" a="1"/>
  <c r="Q3" i="3" a="1"/>
  <c r="Q254" i="3" a="1"/>
  <c r="Q309" i="3" a="1"/>
  <c r="Q2" i="3" a="1"/>
  <c r="Q306" i="3" a="1"/>
  <c r="Q201" i="3" a="1"/>
  <c r="Q184" i="3" a="1"/>
  <c r="Q255" i="3" a="1"/>
  <c r="Q185" i="3" a="1"/>
  <c r="P259" i="3" a="1"/>
  <c r="P260" i="3" a="1"/>
  <c r="P261" i="3" a="1"/>
  <c r="P262" i="3" a="1"/>
  <c r="P379" i="3" a="1"/>
  <c r="P367" i="3" a="1"/>
  <c r="P144" i="3" a="1"/>
  <c r="P191" i="3" a="1"/>
  <c r="P102" i="3" a="1"/>
  <c r="P216" i="3" a="1"/>
  <c r="P194" i="3" a="1"/>
  <c r="P52" i="3" a="1"/>
  <c r="P71" i="3" a="1"/>
  <c r="P101" i="3" a="1"/>
  <c r="P100" i="3" a="1"/>
  <c r="P351" i="3" a="1"/>
  <c r="P193" i="3" a="1"/>
  <c r="P217" i="3" a="1"/>
  <c r="P350" i="3" a="1"/>
  <c r="P337" i="3" a="1"/>
  <c r="P218" i="3" a="1"/>
  <c r="P131" i="3" a="1"/>
  <c r="P99" i="3" a="1"/>
  <c r="P61" i="3" a="1"/>
  <c r="P338" i="3" a="1"/>
  <c r="P53" i="3" a="1"/>
  <c r="P158" i="3" a="1"/>
  <c r="P342" i="3" a="1"/>
  <c r="P219" i="3" a="1"/>
  <c r="P160" i="3" a="1"/>
  <c r="P344" i="3" a="1"/>
  <c r="P161" i="3" a="1"/>
  <c r="P220" i="3" a="1"/>
  <c r="P163" i="3" a="1"/>
  <c r="P98" i="3" a="1"/>
  <c r="P136" i="3" a="1"/>
  <c r="P349" i="3" a="1"/>
  <c r="P334" i="3" a="1"/>
  <c r="P202" i="3" a="1"/>
  <c r="P333" i="3" a="1"/>
  <c r="P178" i="3" a="1"/>
  <c r="P97" i="3" a="1"/>
  <c r="P74" i="3" a="1"/>
  <c r="P221" i="3" a="1"/>
  <c r="P128" i="3" a="1"/>
  <c r="P54" i="3" a="1"/>
  <c r="P358" i="3" a="1"/>
  <c r="P80" i="3" a="1"/>
  <c r="P70" i="3" a="1"/>
  <c r="P96" i="3" a="1"/>
  <c r="P203" i="3" a="1"/>
  <c r="P95" i="3" a="1"/>
  <c r="P222" i="3" a="1"/>
  <c r="P55" i="3" a="1"/>
  <c r="P123" i="3" a="1"/>
  <c r="P326" i="3" a="1"/>
  <c r="P383" i="3" a="1"/>
  <c r="P94" i="3" a="1"/>
  <c r="P149" i="3" a="1"/>
  <c r="P223" i="3" a="1"/>
  <c r="P360" i="3" a="1"/>
  <c r="P93" i="3" a="1"/>
  <c r="P92" i="3" a="1"/>
  <c r="P371" i="3" a="1"/>
  <c r="P325" i="3" a="1"/>
  <c r="P122" i="3" a="1"/>
  <c r="P56" i="3" a="1"/>
  <c r="P224" i="3" a="1"/>
  <c r="P121" i="3" a="1"/>
  <c r="P65" i="3" a="1"/>
  <c r="P75" i="3" a="1"/>
  <c r="P225" i="3" a="1"/>
  <c r="P81" i="3" a="1"/>
  <c r="P171" i="3" a="1"/>
  <c r="P373" i="3" a="1"/>
  <c r="P120" i="3" a="1"/>
  <c r="P320" i="3" a="1"/>
  <c r="P175" i="3" a="1"/>
  <c r="P176" i="3" a="1"/>
  <c r="P226" i="3" a="1"/>
  <c r="P347" i="3" a="1"/>
  <c r="P361" i="3" a="1"/>
  <c r="P119" i="3" a="1"/>
  <c r="P346" i="3" a="1"/>
  <c r="P345" i="3" a="1"/>
  <c r="P340" i="3" a="1"/>
  <c r="P204" i="3" a="1"/>
  <c r="P227" i="3" a="1"/>
  <c r="P130" i="3" a="1"/>
  <c r="P336" i="3" a="1"/>
  <c r="P339" i="3" a="1"/>
  <c r="P73" i="3" a="1"/>
  <c r="P228" i="3" a="1"/>
  <c r="P305" i="3" a="1"/>
  <c r="P190" i="3" a="1"/>
  <c r="P324" i="3" a="1"/>
  <c r="P283" i="3" a="1"/>
  <c r="P195" i="3" a="1"/>
  <c r="P205" i="3" a="1"/>
  <c r="P308" i="3" a="1"/>
  <c r="P229" i="3" a="1"/>
  <c r="P118" i="3" a="1"/>
  <c r="P62" i="3" a="1"/>
  <c r="P306" i="3" a="1"/>
  <c r="P230" i="3" a="1"/>
  <c r="P317" i="3" a="1"/>
  <c r="P316" i="3" a="1"/>
  <c r="P201" i="3" a="1"/>
  <c r="P312" i="3" a="1"/>
  <c r="P314" i="3" a="1"/>
  <c r="P313" i="3" a="1"/>
  <c r="P172" i="3" a="1"/>
  <c r="P117" i="3" a="1"/>
  <c r="P139" i="3" a="1"/>
  <c r="P321" i="3" a="1"/>
  <c r="P231" i="3" a="1"/>
  <c r="P129" i="3" a="1"/>
  <c r="P196" i="3" a="1"/>
  <c r="P200" i="3" a="1"/>
  <c r="P91" i="3" a="1"/>
  <c r="P140" i="3" a="1"/>
  <c r="P148" i="3" a="1"/>
  <c r="P303" i="3" a="1"/>
  <c r="P60" i="3" a="1"/>
  <c r="P302" i="3" a="1"/>
  <c r="P332" i="3" a="1"/>
  <c r="P232" i="3" a="1"/>
  <c r="P348" i="3" a="1"/>
  <c r="P189" i="3" a="1"/>
  <c r="P343" i="3" a="1"/>
  <c r="P233" i="3" a="1"/>
  <c r="P162" i="3" a="1"/>
  <c r="P82" i="3" a="1"/>
  <c r="P301" i="3" a="1"/>
  <c r="P300" i="3" a="1"/>
  <c r="P181" i="3" a="1"/>
  <c r="P180" i="3" a="1"/>
  <c r="P116" i="3" a="1"/>
  <c r="P206" i="3" a="1"/>
  <c r="P299" i="3" a="1"/>
  <c r="P234" i="3" a="1"/>
  <c r="P173" i="3" a="1"/>
  <c r="P157" i="3" a="1"/>
  <c r="P298" i="3" a="1"/>
  <c r="P235" i="3" a="1"/>
  <c r="P166" i="3" a="1"/>
  <c r="P362" i="3" a="1"/>
  <c r="P297" i="3" a="1"/>
  <c r="P365" i="3" a="1"/>
  <c r="P296" i="3" a="1"/>
  <c r="P115" i="3" a="1"/>
  <c r="P295" i="3" a="1"/>
  <c r="P156" i="3" a="1"/>
  <c r="P77" i="3" a="1"/>
  <c r="P294" i="3" a="1"/>
  <c r="P378" i="3" a="1"/>
  <c r="P114" i="3" a="1"/>
  <c r="P90" i="3" a="1"/>
  <c r="P236" i="3" a="1"/>
  <c r="P293" i="3" a="1"/>
  <c r="P72" i="3" a="1"/>
  <c r="P384" i="3" a="1"/>
  <c r="P83" i="3" a="1"/>
  <c r="P385" i="3" a="1"/>
  <c r="P169" i="3" a="1"/>
  <c r="P237" i="3" a="1"/>
  <c r="P168" i="3" a="1"/>
  <c r="P292" i="3" a="1"/>
  <c r="P127" i="3" a="1"/>
  <c r="P238" i="3" a="1"/>
  <c r="P291" i="3" a="1"/>
  <c r="P133" i="3" a="1"/>
  <c r="P290" i="3" a="1"/>
  <c r="P207" i="3" a="1"/>
  <c r="P380" i="3" a="1"/>
  <c r="P150" i="3" a="1"/>
  <c r="P382" i="3" a="1"/>
  <c r="P363" i="3" a="1"/>
  <c r="P377" i="3" a="1"/>
  <c r="P376" i="3" a="1"/>
  <c r="P151" i="3" a="1"/>
  <c r="P152" i="3" a="1"/>
  <c r="P239" i="3" a="1"/>
  <c r="P289" i="3" a="1"/>
  <c r="P372" i="3" a="1"/>
  <c r="P113" i="3" a="1"/>
  <c r="P288" i="3" a="1"/>
  <c r="P364" i="3" a="1"/>
  <c r="P359" i="3" a="1"/>
  <c r="P240" i="3" a="1"/>
  <c r="P84" i="3" a="1"/>
  <c r="P287" i="3" a="1"/>
  <c r="P208" i="3" a="1"/>
  <c r="P286" i="3" a="1"/>
  <c r="P381" i="3" a="1"/>
  <c r="P285" i="3" a="1"/>
  <c r="P241" i="3" a="1"/>
  <c r="P154" i="3" a="1"/>
  <c r="P369" i="3" a="1"/>
  <c r="P329" i="3" a="1"/>
  <c r="P197" i="3" a="1"/>
  <c r="P145" i="3" a="1"/>
  <c r="P69" i="3" a="1"/>
  <c r="P57" i="3" a="1"/>
  <c r="P143" i="3" a="1"/>
  <c r="P242" i="3" a="1"/>
  <c r="P141" i="3" a="1"/>
  <c r="P284" i="3" a="1"/>
  <c r="P243" i="3" a="1"/>
  <c r="P310" i="3" a="1"/>
  <c r="P159" i="3" a="1"/>
  <c r="P112" i="3" a="1"/>
  <c r="P282" i="3" a="1"/>
  <c r="P64" i="3" a="1"/>
  <c r="P318" i="3" a="1"/>
  <c r="P375" i="3" a="1"/>
  <c r="P111" i="3" a="1"/>
  <c r="P322" i="3" a="1"/>
  <c r="P244" i="3" a="1"/>
  <c r="P281" i="3" a="1"/>
  <c r="P209" i="3" a="1"/>
  <c r="P374" i="3" a="1"/>
  <c r="P341" i="3" a="1"/>
  <c r="P280" i="3" a="1"/>
  <c r="P311" i="3" a="1"/>
  <c r="P76" i="3" a="1"/>
  <c r="P245" i="3" a="1"/>
  <c r="P110" i="3" a="1"/>
  <c r="P304" i="3" a="1"/>
  <c r="P352" i="3" a="1"/>
  <c r="P59" i="3" a="1"/>
  <c r="P89" i="3" a="1"/>
  <c r="P199" i="3" a="1"/>
  <c r="P109" i="3" a="1"/>
  <c r="P210" i="3" a="1"/>
  <c r="P279" i="3" a="1"/>
  <c r="P88" i="3" a="1"/>
  <c r="P246" i="3" a="1"/>
  <c r="P278" i="3" a="1"/>
  <c r="P78" i="3" a="1"/>
  <c r="P186" i="3" a="1"/>
  <c r="P277" i="3" a="1"/>
  <c r="P183" i="3" a="1"/>
  <c r="P142" i="3" a="1"/>
  <c r="P179" i="3" a="1"/>
  <c r="P147" i="3" a="1"/>
  <c r="P108" i="3" a="1"/>
  <c r="P247" i="3" a="1"/>
  <c r="P368" i="3" a="1"/>
  <c r="P134" i="3" a="1"/>
  <c r="P276" i="3" a="1"/>
  <c r="P248" i="3" a="1"/>
  <c r="P107" i="3" a="1"/>
  <c r="P85" i="3" a="1"/>
  <c r="P275" i="3" a="1"/>
  <c r="P137" i="3" a="1"/>
  <c r="P211" i="3" a="1"/>
  <c r="P155" i="3" a="1"/>
  <c r="P132" i="3" a="1"/>
  <c r="P153" i="3" a="1"/>
  <c r="P356" i="3" a="1"/>
  <c r="P146" i="3" a="1"/>
  <c r="P249" i="3" a="1"/>
  <c r="P50" i="3" a="1"/>
  <c r="P274" i="3" a="1"/>
  <c r="P354" i="3" a="1"/>
  <c r="P67" i="3" a="1"/>
  <c r="P250" i="3" a="1"/>
  <c r="P273" i="3" a="1"/>
  <c r="P272" i="3" a="1"/>
  <c r="P167" i="3" a="1"/>
  <c r="P66" i="3" a="1"/>
  <c r="P271" i="3" a="1"/>
  <c r="P370" i="3" a="1"/>
  <c r="P135" i="3" a="1"/>
  <c r="P185" i="3" a="1"/>
  <c r="P251" i="3" a="1"/>
  <c r="P366" i="3" a="1"/>
  <c r="P170" i="3" a="1"/>
  <c r="P270" i="3" a="1"/>
  <c r="P86" i="3" a="1"/>
  <c r="P212" i="3" a="1"/>
  <c r="P198" i="3" a="1"/>
  <c r="P269" i="3" a="1"/>
  <c r="P126" i="3" a="1"/>
  <c r="P355" i="3" a="1"/>
  <c r="P182" i="3" a="1"/>
  <c r="P252" i="3" a="1"/>
  <c r="P268" i="3" a="1"/>
  <c r="P125" i="3" a="1"/>
  <c r="P106" i="3" a="1"/>
  <c r="P87" i="3" a="1"/>
  <c r="P105" i="3" a="1"/>
  <c r="P58" i="3" a="1"/>
  <c r="P253" i="3" a="1"/>
  <c r="P213" i="3" a="1"/>
  <c r="P267" i="3" a="1"/>
  <c r="P319" i="3" a="1"/>
  <c r="P327" i="3" a="1"/>
  <c r="P124" i="3" a="1"/>
  <c r="P266" i="3" a="1"/>
  <c r="P254" i="3" a="1"/>
  <c r="P79" i="3" a="1"/>
  <c r="P323" i="3" a="1"/>
  <c r="P255" i="3" a="1"/>
  <c r="P328" i="3" a="1"/>
  <c r="P188" i="3" a="1"/>
  <c r="P330" i="3" a="1"/>
  <c r="P63" i="3" a="1"/>
  <c r="P104" i="3" a="1"/>
  <c r="P2" i="3" a="1"/>
  <c r="P3" i="3" s="1" a="1"/>
  <c r="P4" i="3" s="1" a="1"/>
  <c r="P5" i="3" s="1" a="1"/>
  <c r="P6" i="3" s="1" a="1"/>
  <c r="P7" i="3" s="1" a="1"/>
  <c r="P8" i="3" s="1" a="1"/>
  <c r="P9" i="3" s="1" a="1"/>
  <c r="P10" i="3" s="1" a="1"/>
  <c r="P11" i="3" s="1" a="1"/>
  <c r="P12" i="3" s="1" a="1"/>
  <c r="P13" i="3" s="1" a="1"/>
  <c r="P14" i="3" s="1" a="1"/>
  <c r="P15" i="3" s="1" a="1"/>
  <c r="P16" i="3" s="1" a="1"/>
  <c r="P17" i="3" s="1" a="1"/>
  <c r="P18" i="3" s="1" a="1"/>
  <c r="P19" i="3" s="1" a="1"/>
  <c r="P20" i="3" s="1" a="1"/>
  <c r="P21" i="3" s="1" a="1"/>
  <c r="P22" i="3" s="1" a="1"/>
  <c r="P23" i="3" s="1" a="1"/>
  <c r="P24" i="3" s="1" a="1"/>
  <c r="P25" i="3" s="1" a="1"/>
  <c r="P26" i="3" s="1" a="1"/>
  <c r="P27" i="3" s="1" a="1"/>
  <c r="P28" i="3" s="1" a="1"/>
  <c r="P29" i="3" s="1" a="1"/>
  <c r="P30" i="3" s="1" a="1"/>
  <c r="P31" i="3" s="1" a="1"/>
  <c r="P32" i="3" s="1" a="1"/>
  <c r="P33" i="3" s="1" a="1"/>
  <c r="P34" i="3" s="1" a="1"/>
  <c r="P35" i="3" s="1" a="1"/>
  <c r="P36" i="3" s="1" a="1"/>
  <c r="P37" i="3" s="1" a="1"/>
  <c r="P38" i="3" s="1" a="1"/>
  <c r="P39" i="3" s="1" a="1"/>
  <c r="P40" i="3" s="1" a="1"/>
  <c r="P41" i="3" s="1" a="1"/>
  <c r="P42" i="3" s="1" a="1"/>
  <c r="P43" i="3" s="1" a="1"/>
  <c r="P44" i="3" s="1" a="1"/>
  <c r="P45" i="3" s="1" a="1"/>
  <c r="P46" i="3" s="1" a="1"/>
  <c r="P47" i="3" s="1" a="1"/>
  <c r="P48" i="3" s="1" a="1"/>
  <c r="P49" i="3" s="1" a="1"/>
  <c r="P51" i="3" a="1"/>
  <c r="P192" i="3" a="1"/>
  <c r="P331" i="3" a="1"/>
  <c r="P214" i="3" a="1"/>
  <c r="P353" i="3" a="1"/>
  <c r="P265" i="3" a="1"/>
  <c r="P335" i="3" a="1"/>
  <c r="P187" i="3" a="1"/>
  <c r="P174" i="3" a="1"/>
  <c r="P256" i="3" a="1"/>
  <c r="P103" i="3" a="1"/>
  <c r="P215" i="3" a="1"/>
  <c r="P184" i="3" a="1"/>
  <c r="P68" i="3" a="1"/>
  <c r="P307" i="3" a="1"/>
  <c r="P264" i="3" a="1"/>
  <c r="P177" i="3" a="1"/>
  <c r="P257" i="3" a="1"/>
  <c r="P315" i="3" a="1"/>
  <c r="P309" i="3" a="1"/>
  <c r="P357" i="3" a="1"/>
  <c r="P258" i="3" a="1"/>
  <c r="P138" i="3" a="1"/>
  <c r="P263" i="3" a="1"/>
  <c r="P165" i="3" a="1"/>
  <c r="P164" i="3" a="1"/>
  <c r="AN14" i="9" l="1"/>
  <c r="AO13" i="9"/>
  <c r="AP13" i="9"/>
  <c r="A4" i="9"/>
  <c r="Q3" i="9"/>
  <c r="P3" i="9"/>
  <c r="O3" i="9"/>
  <c r="N3" i="9"/>
  <c r="M3" i="9"/>
  <c r="L3" i="9"/>
  <c r="C6" i="6"/>
  <c r="AH2" i="3" a="1"/>
  <c r="AH3" i="3" s="1" a="1"/>
  <c r="AH4" i="3" s="1" a="1"/>
  <c r="AH5" i="3" s="1" a="1"/>
  <c r="AH6" i="3" s="1" a="1"/>
  <c r="AH7" i="3" s="1" a="1"/>
  <c r="AH8" i="3" s="1" a="1"/>
  <c r="AH9" i="3" s="1" a="1"/>
  <c r="AH10" i="3" s="1" a="1"/>
  <c r="AH11" i="3" s="1" a="1"/>
  <c r="AH12" i="3" s="1" a="1"/>
  <c r="AH13" i="3" s="1" a="1"/>
  <c r="AH14" i="3" s="1" a="1"/>
  <c r="AH15" i="3" s="1" a="1"/>
  <c r="AH16" i="3" s="1" a="1"/>
  <c r="AH17" i="3" s="1" a="1"/>
  <c r="AH18" i="3" s="1" a="1"/>
  <c r="AH19" i="3" s="1" a="1"/>
  <c r="AH20" i="3" s="1" a="1"/>
  <c r="AH21" i="3" s="1" a="1"/>
  <c r="AH22" i="3" s="1" a="1"/>
  <c r="AH23" i="3" s="1" a="1"/>
  <c r="AH24" i="3" s="1" a="1"/>
  <c r="AH25" i="3" s="1" a="1"/>
  <c r="AH26" i="3" s="1" a="1"/>
  <c r="AH27" i="3" s="1" a="1"/>
  <c r="AH28" i="3" s="1" a="1"/>
  <c r="AH29" i="3" s="1" a="1"/>
  <c r="AH30" i="3" s="1" a="1"/>
  <c r="AH31" i="3" s="1" a="1"/>
  <c r="AH32" i="3" s="1" a="1"/>
  <c r="AH33" i="3" s="1" a="1"/>
  <c r="AH34" i="3" s="1" a="1"/>
  <c r="AH35" i="3" s="1" a="1"/>
  <c r="AH36" i="3" s="1" a="1"/>
  <c r="AH37" i="3" s="1" a="1"/>
  <c r="AH38" i="3" s="1" a="1"/>
  <c r="AH39" i="3" s="1" a="1"/>
  <c r="AH40" i="3" s="1" a="1"/>
  <c r="AH41" i="3" s="1" a="1"/>
  <c r="AH42" i="3" s="1" a="1"/>
  <c r="AH43" i="3" s="1" a="1"/>
  <c r="AH44" i="3" s="1" a="1"/>
  <c r="AU387" i="3"/>
  <c r="AG2" i="3" a="1"/>
  <c r="AG3" i="3" s="1" a="1"/>
  <c r="AG4" i="3" s="1" a="1"/>
  <c r="AG5" i="3" s="1" a="1"/>
  <c r="AG6" i="3" s="1" a="1"/>
  <c r="AG7" i="3" s="1" a="1"/>
  <c r="AG8" i="3" s="1" a="1"/>
  <c r="AG9" i="3" s="1" a="1"/>
  <c r="AG10" i="3" s="1" a="1"/>
  <c r="AG11" i="3" s="1" a="1"/>
  <c r="AG12" i="3" s="1" a="1"/>
  <c r="AG13" i="3" s="1" a="1"/>
  <c r="AG14" i="3" s="1" a="1"/>
  <c r="AG15" i="3" s="1" a="1"/>
  <c r="AG16" i="3" s="1" a="1"/>
  <c r="AG17" i="3" s="1" a="1"/>
  <c r="AG18" i="3" s="1" a="1"/>
  <c r="AG19" i="3" s="1" a="1"/>
  <c r="AG20" i="3" s="1" a="1"/>
  <c r="AG21" i="3" s="1" a="1"/>
  <c r="AG22" i="3" s="1" a="1"/>
  <c r="AG23" i="3" s="1" a="1"/>
  <c r="AG24" i="3" s="1" a="1"/>
  <c r="AG25" i="3" s="1" a="1"/>
  <c r="AG26" i="3" s="1" a="1"/>
  <c r="AG27" i="3" s="1" a="1"/>
  <c r="AG28" i="3" s="1" a="1"/>
  <c r="AG29" i="3" s="1" a="1"/>
  <c r="AG30" i="3" s="1" a="1"/>
  <c r="AG31" i="3" s="1" a="1"/>
  <c r="AG32" i="3" s="1" a="1"/>
  <c r="AG33" i="3" s="1" a="1"/>
  <c r="AG34" i="3" s="1" a="1"/>
  <c r="AG35" i="3" s="1" a="1"/>
  <c r="AG36" i="3" s="1" a="1"/>
  <c r="AG37" i="3" s="1" a="1"/>
  <c r="AG38" i="3" s="1" a="1"/>
  <c r="AG39" i="3" s="1" a="1"/>
  <c r="AG40" i="3" s="1" a="1"/>
  <c r="AG41" i="3" s="1" a="1"/>
  <c r="AG42" i="3" s="1" a="1"/>
  <c r="AG43" i="3" s="1" a="1"/>
  <c r="AG44" i="3" s="1" a="1"/>
  <c r="AG45" i="3" s="1" a="1"/>
  <c r="AG46" i="3" s="1" a="1"/>
  <c r="AG47" i="3" s="1" a="1"/>
  <c r="AG48" i="3" s="1" a="1"/>
  <c r="AG49" i="3" s="1" a="1"/>
  <c r="AT387" i="3"/>
  <c r="AF2" i="3" a="1"/>
  <c r="AF3" i="3" s="1" a="1"/>
  <c r="AF4" i="3" s="1" a="1"/>
  <c r="AF5" i="3" s="1" a="1"/>
  <c r="AF6" i="3" s="1" a="1"/>
  <c r="AF7" i="3" s="1" a="1"/>
  <c r="AF8" i="3" s="1" a="1"/>
  <c r="AF9" i="3" s="1" a="1"/>
  <c r="AF10" i="3" s="1" a="1"/>
  <c r="AF11" i="3" s="1" a="1"/>
  <c r="AF12" i="3" s="1" a="1"/>
  <c r="AF13" i="3" s="1" a="1"/>
  <c r="AF14" i="3" s="1" a="1"/>
  <c r="AF15" i="3" s="1" a="1"/>
  <c r="AF16" i="3" s="1" a="1"/>
  <c r="AF17" i="3" s="1" a="1"/>
  <c r="AF18" i="3" s="1" a="1"/>
  <c r="AF19" i="3" s="1" a="1"/>
  <c r="AF20" i="3" s="1" a="1"/>
  <c r="AF21" i="3" s="1" a="1"/>
  <c r="AF22" i="3" s="1" a="1"/>
  <c r="AF23" i="3" s="1" a="1"/>
  <c r="AF24" i="3" s="1" a="1"/>
  <c r="AF25" i="3" s="1" a="1"/>
  <c r="AF26" i="3" s="1" a="1"/>
  <c r="AF27" i="3" s="1" a="1"/>
  <c r="AF28" i="3" s="1" a="1"/>
  <c r="AF29" i="3" s="1" a="1"/>
  <c r="AF30" i="3" s="1" a="1"/>
  <c r="AF31" i="3" s="1" a="1"/>
  <c r="AF32" i="3" s="1" a="1"/>
  <c r="AF33" i="3" s="1" a="1"/>
  <c r="AS387" i="3"/>
  <c r="AE2" i="3" a="1"/>
  <c r="AE3" i="3" s="1" a="1"/>
  <c r="AE4" i="3" s="1" a="1"/>
  <c r="AE5" i="3" s="1" a="1"/>
  <c r="AE6" i="3" s="1" a="1"/>
  <c r="AE7" i="3" s="1" a="1"/>
  <c r="AE8" i="3" s="1" a="1"/>
  <c r="AE9" i="3" s="1" a="1"/>
  <c r="AE10" i="3" s="1" a="1"/>
  <c r="AE11" i="3" s="1" a="1"/>
  <c r="AE12" i="3" s="1" a="1"/>
  <c r="AE13" i="3" s="1" a="1"/>
  <c r="AE14" i="3" s="1" a="1"/>
  <c r="AE15" i="3" s="1" a="1"/>
  <c r="AE16" i="3" s="1" a="1"/>
  <c r="AE17" i="3" s="1" a="1"/>
  <c r="AR387" i="3"/>
  <c r="AD2" i="3" a="1"/>
  <c r="AD3" i="3" s="1" a="1"/>
  <c r="AD4" i="3" s="1" a="1"/>
  <c r="AD5" i="3" s="1" a="1"/>
  <c r="AD6" i="3" s="1" a="1"/>
  <c r="AD7" i="3" s="1" a="1"/>
  <c r="AD8" i="3" s="1" a="1"/>
  <c r="AD9" i="3" s="1" a="1"/>
  <c r="AD10" i="3" s="1" a="1"/>
  <c r="AD11" i="3" s="1" a="1"/>
  <c r="AD12" i="3" s="1" a="1"/>
  <c r="AD13" i="3" s="1" a="1"/>
  <c r="AD14" i="3" s="1" a="1"/>
  <c r="AD15" i="3" s="1" a="1"/>
  <c r="AD16" i="3" s="1" a="1"/>
  <c r="AD17" i="3" s="1" a="1"/>
  <c r="AD18" i="3" s="1" a="1"/>
  <c r="AD19" i="3" s="1" a="1"/>
  <c r="AD20" i="3" s="1" a="1"/>
  <c r="AD21" i="3" s="1" a="1"/>
  <c r="AD22" i="3" s="1" a="1"/>
  <c r="AD23" i="3" s="1" a="1"/>
  <c r="AD24" i="3" s="1" a="1"/>
  <c r="AD25" i="3" s="1" a="1"/>
  <c r="AD26" i="3" s="1" a="1"/>
  <c r="AD27" i="3" s="1" a="1"/>
  <c r="AD28" i="3" s="1" a="1"/>
  <c r="AD29" i="3" s="1" a="1"/>
  <c r="AD30" i="3" s="1" a="1"/>
  <c r="AD31" i="3" s="1" a="1"/>
  <c r="AD32" i="3" s="1" a="1"/>
  <c r="AD33" i="3" s="1" a="1"/>
  <c r="AD34" i="3" s="1" a="1"/>
  <c r="AD35" i="3" s="1" a="1"/>
  <c r="AD36" i="3" s="1" a="1"/>
  <c r="AD37" i="3" s="1" a="1"/>
  <c r="AD38" i="3" s="1" a="1"/>
  <c r="AD39" i="3" s="1" a="1"/>
  <c r="AD40" i="3" s="1" a="1"/>
  <c r="AD41" i="3" s="1" a="1"/>
  <c r="AD42" i="3" s="1" a="1"/>
  <c r="AD43" i="3" s="1" a="1"/>
  <c r="AD44" i="3" s="1" a="1"/>
  <c r="AD45" i="3" s="1" a="1"/>
  <c r="AD46" i="3" s="1" a="1"/>
  <c r="AD47" i="3" s="1" a="1"/>
  <c r="AD48" i="3" s="1" a="1"/>
  <c r="AD49" i="3" s="1" a="1"/>
  <c r="AQ387" i="3"/>
  <c r="AC2" i="3" a="1"/>
  <c r="AC3" i="3" s="1" a="1"/>
  <c r="AC4" i="3" s="1" a="1"/>
  <c r="AC5" i="3" s="1" a="1"/>
  <c r="AC6" i="3" s="1" a="1"/>
  <c r="AC7" i="3" s="1" a="1"/>
  <c r="AC8" i="3" s="1" a="1"/>
  <c r="AC9" i="3" s="1" a="1"/>
  <c r="AC10" i="3" s="1" a="1"/>
  <c r="AC11" i="3" s="1" a="1"/>
  <c r="AC12" i="3" s="1" a="1"/>
  <c r="AC13" i="3" s="1" a="1"/>
  <c r="AC14" i="3" s="1" a="1"/>
  <c r="AC15" i="3" s="1" a="1"/>
  <c r="AC16" i="3" s="1" a="1"/>
  <c r="AC17" i="3" s="1" a="1"/>
  <c r="AC18" i="3" s="1" a="1"/>
  <c r="AC19" i="3" s="1" a="1"/>
  <c r="AC20" i="3" s="1" a="1"/>
  <c r="AC21" i="3" s="1" a="1"/>
  <c r="AC22" i="3" s="1" a="1"/>
  <c r="AC23" i="3" s="1" a="1"/>
  <c r="AC24" i="3" s="1" a="1"/>
  <c r="AC25" i="3" s="1" a="1"/>
  <c r="AC26" i="3" s="1" a="1"/>
  <c r="AC27" i="3" s="1" a="1"/>
  <c r="AC28" i="3" s="1" a="1"/>
  <c r="AC29" i="3" s="1" a="1"/>
  <c r="AC30" i="3" s="1" a="1"/>
  <c r="AC31" i="3" s="1" a="1"/>
  <c r="AC32" i="3" s="1" a="1"/>
  <c r="AC33" i="3" s="1" a="1"/>
  <c r="AC34" i="3" s="1" a="1"/>
  <c r="AC35" i="3" s="1" a="1"/>
  <c r="AC36" i="3" s="1" a="1"/>
  <c r="AC37" i="3" s="1" a="1"/>
  <c r="AC38" i="3" s="1" a="1"/>
  <c r="AC39" i="3" s="1" a="1"/>
  <c r="AC40" i="3" s="1" a="1"/>
  <c r="AC41" i="3" s="1" a="1"/>
  <c r="AC42" i="3" s="1" a="1"/>
  <c r="AC43" i="3" s="1" a="1"/>
  <c r="AC44" i="3" s="1" a="1"/>
  <c r="AC45" i="3" s="1" a="1"/>
  <c r="AC46" i="3" s="1" a="1"/>
  <c r="AC47" i="3" s="1" a="1"/>
  <c r="AC48" i="3" s="1" a="1"/>
  <c r="AC49" i="3" s="1" a="1"/>
  <c r="AP387" i="3"/>
  <c r="AB2" i="3" a="1"/>
  <c r="AB3" i="3" s="1" a="1"/>
  <c r="AB4" i="3" s="1" a="1"/>
  <c r="AB5" i="3" s="1" a="1"/>
  <c r="AB6" i="3" s="1" a="1"/>
  <c r="AB7" i="3" s="1" a="1"/>
  <c r="AB8" i="3" s="1" a="1"/>
  <c r="AB9" i="3" s="1" a="1"/>
  <c r="AB10" i="3" s="1" a="1"/>
  <c r="AB11" i="3" s="1" a="1"/>
  <c r="AB12" i="3" s="1" a="1"/>
  <c r="AB13" i="3" s="1" a="1"/>
  <c r="AB14" i="3" s="1" a="1"/>
  <c r="AB15" i="3" s="1" a="1"/>
  <c r="AB16" i="3" s="1" a="1"/>
  <c r="AB17" i="3" s="1" a="1"/>
  <c r="AB18" i="3" s="1" a="1"/>
  <c r="AB19" i="3" s="1" a="1"/>
  <c r="AB20" i="3" s="1" a="1"/>
  <c r="AB21" i="3" s="1" a="1"/>
  <c r="AB22" i="3" s="1" a="1"/>
  <c r="AB23" i="3" s="1" a="1"/>
  <c r="AB24" i="3" s="1" a="1"/>
  <c r="AB25" i="3" s="1" a="1"/>
  <c r="AB26" i="3" s="1" a="1"/>
  <c r="AB27" i="3" s="1" a="1"/>
  <c r="AB28" i="3" s="1" a="1"/>
  <c r="AB29" i="3" s="1" a="1"/>
  <c r="AB30" i="3" s="1" a="1"/>
  <c r="AB31" i="3" s="1" a="1"/>
  <c r="AB32" i="3" s="1" a="1"/>
  <c r="AB33" i="3" s="1" a="1"/>
  <c r="AB34" i="3" s="1" a="1"/>
  <c r="AB35" i="3" s="1" a="1"/>
  <c r="AB36" i="3" s="1" a="1"/>
  <c r="AB37" i="3" s="1" a="1"/>
  <c r="AB38" i="3" s="1" a="1"/>
  <c r="AB39" i="3" s="1" a="1"/>
  <c r="AB40" i="3" s="1" a="1"/>
  <c r="AB41" i="3" s="1" a="1"/>
  <c r="AB42" i="3" s="1" a="1"/>
  <c r="AB43" i="3" s="1" a="1"/>
  <c r="AB44" i="3" s="1" a="1"/>
  <c r="AB45" i="3" s="1" a="1"/>
  <c r="AB46" i="3" s="1" a="1"/>
  <c r="AB47" i="3" s="1" a="1"/>
  <c r="AB48" i="3" s="1" a="1"/>
  <c r="AB49" i="3" s="1" a="1"/>
  <c r="AO387" i="3"/>
  <c r="AN7" i="3"/>
  <c r="AN34" i="3"/>
  <c r="AN31" i="3"/>
  <c r="AN30" i="3"/>
  <c r="AN24" i="3"/>
  <c r="AN23" i="3"/>
  <c r="AN22" i="3"/>
  <c r="AN18" i="3"/>
  <c r="AN12" i="3"/>
  <c r="AN11" i="3"/>
  <c r="AN10" i="3"/>
  <c r="AN9" i="3"/>
  <c r="AN8" i="3"/>
  <c r="AN49" i="3"/>
  <c r="AN48" i="3"/>
  <c r="AN47" i="3"/>
  <c r="AN46" i="3"/>
  <c r="AN45" i="3"/>
  <c r="AN44" i="3"/>
  <c r="AN43" i="3"/>
  <c r="AN42" i="3"/>
  <c r="AN41" i="3"/>
  <c r="AN40" i="3"/>
  <c r="AN39" i="3"/>
  <c r="AN38" i="3"/>
  <c r="AN37" i="3"/>
  <c r="AN36" i="3"/>
  <c r="AN35" i="3"/>
  <c r="AN33" i="3"/>
  <c r="AN32" i="3"/>
  <c r="AN29" i="3"/>
  <c r="AN28" i="3"/>
  <c r="AN27" i="3"/>
  <c r="AN26" i="3"/>
  <c r="AN25" i="3"/>
  <c r="AN21" i="3"/>
  <c r="AN20" i="3"/>
  <c r="AN19" i="3"/>
  <c r="AN17" i="3"/>
  <c r="AN16" i="3"/>
  <c r="AN15" i="3"/>
  <c r="AN14" i="3"/>
  <c r="AN13" i="3"/>
  <c r="AN6" i="3"/>
  <c r="AN5" i="3"/>
  <c r="AN4" i="3"/>
  <c r="AN3" i="3"/>
  <c r="AA2" i="3" a="1"/>
  <c r="AA3" i="3" s="1" a="1"/>
  <c r="AA4" i="3" s="1" a="1"/>
  <c r="AA5" i="3" s="1" a="1"/>
  <c r="AA6" i="3" s="1" a="1"/>
  <c r="AA7" i="3" s="1" a="1"/>
  <c r="AA8" i="3" s="1" a="1"/>
  <c r="AA9" i="3" s="1" a="1"/>
  <c r="AA10" i="3" s="1" a="1"/>
  <c r="AA11" i="3" s="1" a="1"/>
  <c r="AA12" i="3" s="1" a="1"/>
  <c r="AA13" i="3" s="1" a="1"/>
  <c r="AA14" i="3" s="1" a="1"/>
  <c r="AA15" i="3" s="1" a="1"/>
  <c r="AA16" i="3" s="1" a="1"/>
  <c r="AA17" i="3" s="1" a="1"/>
  <c r="AA18" i="3" s="1" a="1"/>
  <c r="AA19" i="3" s="1" a="1"/>
  <c r="AA20" i="3" s="1" a="1"/>
  <c r="AA21" i="3" s="1" a="1"/>
  <c r="AA22" i="3" s="1" a="1"/>
  <c r="AA23" i="3" s="1" a="1"/>
  <c r="AA24" i="3" s="1" a="1"/>
  <c r="AA25" i="3" s="1" a="1"/>
  <c r="AA26" i="3" s="1" a="1"/>
  <c r="AA27" i="3" s="1" a="1"/>
  <c r="AA28" i="3" s="1" a="1"/>
  <c r="AA29" i="3" s="1" a="1"/>
  <c r="AA30" i="3" s="1" a="1"/>
  <c r="AA31" i="3" s="1" a="1"/>
  <c r="AA32" i="3" s="1" a="1"/>
  <c r="AA33" i="3" s="1" a="1"/>
  <c r="AA34" i="3" s="1" a="1"/>
  <c r="AA35" i="3" s="1" a="1"/>
  <c r="AA36" i="3" s="1" a="1"/>
  <c r="AA37" i="3" s="1" a="1"/>
  <c r="AA38" i="3" s="1" a="1"/>
  <c r="AA39" i="3" s="1" a="1"/>
  <c r="AA40" i="3" s="1" a="1"/>
  <c r="AA41" i="3" s="1" a="1"/>
  <c r="AA42" i="3" s="1" a="1"/>
  <c r="AA43" i="3" s="1" a="1"/>
  <c r="AA44" i="3" s="1" a="1"/>
  <c r="AA45" i="3" s="1" a="1"/>
  <c r="AA46" i="3" s="1" a="1"/>
  <c r="AA47" i="3" s="1" a="1"/>
  <c r="AA48" i="3" s="1" a="1"/>
  <c r="AA49" i="3" s="1" a="1"/>
  <c r="AO14" i="9" l="1"/>
  <c r="AP14" i="9"/>
  <c r="Q4" i="9"/>
  <c r="P4" i="9"/>
  <c r="O4" i="9"/>
  <c r="N4" i="9"/>
  <c r="M4" i="9"/>
  <c r="L4" i="9"/>
  <c r="A5" i="9"/>
  <c r="C7" i="6"/>
  <c r="AU8" i="3"/>
  <c r="AU7" i="3"/>
  <c r="AU34" i="3"/>
  <c r="AU32" i="3"/>
  <c r="AU31" i="3"/>
  <c r="AU28" i="3"/>
  <c r="AU27" i="3"/>
  <c r="AU26" i="3"/>
  <c r="AU25" i="3"/>
  <c r="AU24" i="3"/>
  <c r="AU20" i="3"/>
  <c r="AU19" i="3"/>
  <c r="AU18" i="3"/>
  <c r="AU16" i="3"/>
  <c r="AU15" i="3"/>
  <c r="AU14" i="3"/>
  <c r="AU13" i="3"/>
  <c r="AU12" i="3"/>
  <c r="AU10" i="3"/>
  <c r="AU9" i="3"/>
  <c r="AU44" i="3"/>
  <c r="AU43" i="3"/>
  <c r="AU42" i="3"/>
  <c r="AU41" i="3"/>
  <c r="AU40" i="3"/>
  <c r="AU39" i="3"/>
  <c r="AU38" i="3"/>
  <c r="AU37" i="3"/>
  <c r="AU36" i="3"/>
  <c r="AU35" i="3"/>
  <c r="AU33" i="3"/>
  <c r="AU30" i="3"/>
  <c r="AU29" i="3"/>
  <c r="AU23" i="3"/>
  <c r="AU22" i="3"/>
  <c r="AU21" i="3"/>
  <c r="AU17" i="3"/>
  <c r="AU11" i="3"/>
  <c r="AU6" i="3"/>
  <c r="AU5" i="3"/>
  <c r="AU4" i="3"/>
  <c r="AU3" i="3"/>
  <c r="AU2" i="3"/>
  <c r="AT33" i="3"/>
  <c r="AT29" i="3"/>
  <c r="AT22" i="3"/>
  <c r="AT21" i="3"/>
  <c r="AT17" i="3"/>
  <c r="AT11" i="3"/>
  <c r="AT10" i="3"/>
  <c r="AT9" i="3"/>
  <c r="AT8" i="3"/>
  <c r="AT7" i="3"/>
  <c r="AT49" i="3"/>
  <c r="AT48" i="3"/>
  <c r="AT47" i="3"/>
  <c r="AT46" i="3"/>
  <c r="AT45" i="3"/>
  <c r="AT44" i="3"/>
  <c r="AT43" i="3"/>
  <c r="AT42" i="3"/>
  <c r="AT41" i="3"/>
  <c r="AT40" i="3"/>
  <c r="AT39" i="3"/>
  <c r="AT38" i="3"/>
  <c r="AT37" i="3"/>
  <c r="AT36" i="3"/>
  <c r="AT35" i="3"/>
  <c r="AT32" i="3"/>
  <c r="AT31" i="3"/>
  <c r="AT28" i="3"/>
  <c r="AT27" i="3"/>
  <c r="AT26" i="3"/>
  <c r="AT25" i="3"/>
  <c r="AT24" i="3"/>
  <c r="AT20" i="3"/>
  <c r="AT19" i="3"/>
  <c r="AT18" i="3"/>
  <c r="AT16" i="3"/>
  <c r="AT15" i="3"/>
  <c r="AT14" i="3"/>
  <c r="AT13" i="3"/>
  <c r="AT12" i="3"/>
  <c r="AT6" i="3"/>
  <c r="AT5" i="3"/>
  <c r="AT4" i="3"/>
  <c r="AT3" i="3"/>
  <c r="AT2" i="3"/>
  <c r="AT34" i="3"/>
  <c r="AT30" i="3"/>
  <c r="AT23" i="3"/>
  <c r="AS31" i="3"/>
  <c r="AS24" i="3"/>
  <c r="AS19" i="3"/>
  <c r="AS16" i="3"/>
  <c r="AS14" i="3"/>
  <c r="AS11" i="3"/>
  <c r="AS9" i="3"/>
  <c r="AS32" i="3"/>
  <c r="AS28" i="3"/>
  <c r="AS25" i="3"/>
  <c r="AS22" i="3"/>
  <c r="AS17" i="3"/>
  <c r="AS6" i="3"/>
  <c r="AS4" i="3"/>
  <c r="AS2" i="3"/>
  <c r="AS8" i="3"/>
  <c r="AS7" i="3"/>
  <c r="AS27" i="3"/>
  <c r="AS20" i="3"/>
  <c r="AS18" i="3"/>
  <c r="AS15" i="3"/>
  <c r="AS13" i="3"/>
  <c r="AS10" i="3"/>
  <c r="AS33" i="3"/>
  <c r="AS30" i="3"/>
  <c r="AS29" i="3"/>
  <c r="AS26" i="3"/>
  <c r="AS23" i="3"/>
  <c r="AS21" i="3"/>
  <c r="AS12" i="3"/>
  <c r="AS5" i="3"/>
  <c r="AS3" i="3"/>
  <c r="AR17" i="3"/>
  <c r="AR11" i="3"/>
  <c r="AR8" i="3"/>
  <c r="AR16" i="3"/>
  <c r="AR14" i="3"/>
  <c r="AR6" i="3"/>
  <c r="AR4" i="3"/>
  <c r="AR2" i="3"/>
  <c r="AR12" i="3"/>
  <c r="AR10" i="3"/>
  <c r="AR9" i="3"/>
  <c r="AR7" i="3"/>
  <c r="AR15" i="3"/>
  <c r="AR13" i="3"/>
  <c r="AR5" i="3"/>
  <c r="AR3" i="3"/>
  <c r="AQ7" i="3"/>
  <c r="AQ32" i="3"/>
  <c r="AQ29" i="3"/>
  <c r="AQ26" i="3"/>
  <c r="AQ23" i="3"/>
  <c r="AQ21" i="3"/>
  <c r="AQ16" i="3"/>
  <c r="AQ13" i="3"/>
  <c r="AQ9" i="3"/>
  <c r="AQ48" i="3"/>
  <c r="AQ46" i="3"/>
  <c r="AQ44" i="3"/>
  <c r="AQ42" i="3"/>
  <c r="AQ40" i="3"/>
  <c r="AQ38" i="3"/>
  <c r="AQ36" i="3"/>
  <c r="AQ34" i="3"/>
  <c r="AQ27" i="3"/>
  <c r="AQ19" i="3"/>
  <c r="AQ17" i="3"/>
  <c r="AQ12" i="3"/>
  <c r="AQ5" i="3"/>
  <c r="AQ3" i="3"/>
  <c r="AQ8" i="3"/>
  <c r="AQ33" i="3"/>
  <c r="AQ30" i="3"/>
  <c r="AQ28" i="3"/>
  <c r="AQ25" i="3"/>
  <c r="AQ22" i="3"/>
  <c r="AQ20" i="3"/>
  <c r="AQ15" i="3"/>
  <c r="AQ11" i="3"/>
  <c r="AQ10" i="3"/>
  <c r="AQ49" i="3"/>
  <c r="AQ47" i="3"/>
  <c r="AQ45" i="3"/>
  <c r="AQ43" i="3"/>
  <c r="AQ41" i="3"/>
  <c r="AQ39" i="3"/>
  <c r="AQ37" i="3"/>
  <c r="AQ35" i="3"/>
  <c r="AQ31" i="3"/>
  <c r="AQ24" i="3"/>
  <c r="AQ18" i="3"/>
  <c r="AQ14" i="3"/>
  <c r="AQ6" i="3"/>
  <c r="AQ4" i="3"/>
  <c r="AQ2" i="3"/>
  <c r="AP9" i="3"/>
  <c r="AP31" i="3"/>
  <c r="AP23" i="3"/>
  <c r="AP18" i="3"/>
  <c r="AP14" i="3"/>
  <c r="AP11" i="3"/>
  <c r="AP7" i="3"/>
  <c r="AP48" i="3"/>
  <c r="AP46" i="3"/>
  <c r="AP44" i="3"/>
  <c r="AP41" i="3"/>
  <c r="AP39" i="3"/>
  <c r="AP37" i="3"/>
  <c r="AP35" i="3"/>
  <c r="AP32" i="3"/>
  <c r="AP29" i="3"/>
  <c r="AP26" i="3"/>
  <c r="AP20" i="3"/>
  <c r="AP16" i="3"/>
  <c r="AP13" i="3"/>
  <c r="AP5" i="3"/>
  <c r="AP3" i="3"/>
  <c r="AP10" i="3"/>
  <c r="AP34" i="3"/>
  <c r="AP27" i="3"/>
  <c r="AP24" i="3"/>
  <c r="AP22" i="3"/>
  <c r="AP17" i="3"/>
  <c r="AP12" i="3"/>
  <c r="AP8" i="3"/>
  <c r="AP49" i="3"/>
  <c r="AP47" i="3"/>
  <c r="AP45" i="3"/>
  <c r="AP43" i="3"/>
  <c r="AP42" i="3"/>
  <c r="AP40" i="3"/>
  <c r="AP38" i="3"/>
  <c r="AP36" i="3"/>
  <c r="AP33" i="3"/>
  <c r="AP30" i="3"/>
  <c r="AP28" i="3"/>
  <c r="AP25" i="3"/>
  <c r="AP21" i="3"/>
  <c r="AP19" i="3"/>
  <c r="AP15" i="3"/>
  <c r="AP6" i="3"/>
  <c r="AP4" i="3"/>
  <c r="AP2" i="3"/>
  <c r="AO37" i="3"/>
  <c r="AO36" i="3"/>
  <c r="AO35" i="3"/>
  <c r="AO34" i="3"/>
  <c r="AO30" i="3"/>
  <c r="AO22" i="3"/>
  <c r="AO17" i="3"/>
  <c r="AO6" i="3"/>
  <c r="AO4" i="3"/>
  <c r="AO2" i="3"/>
  <c r="AO38" i="3"/>
  <c r="AO31" i="3"/>
  <c r="AO24" i="3"/>
  <c r="AO23" i="3"/>
  <c r="AO18" i="3"/>
  <c r="AO12" i="3"/>
  <c r="AO5" i="3"/>
  <c r="AO3" i="3"/>
  <c r="AO8" i="3"/>
  <c r="AO33" i="3"/>
  <c r="AO32" i="3"/>
  <c r="AO29" i="3"/>
  <c r="AO28" i="3"/>
  <c r="AO27" i="3"/>
  <c r="AO26" i="3"/>
  <c r="AO25" i="3"/>
  <c r="AO21" i="3"/>
  <c r="AO20" i="3"/>
  <c r="AO19" i="3"/>
  <c r="AO16" i="3"/>
  <c r="AO15" i="3"/>
  <c r="AO14" i="3"/>
  <c r="AO13" i="3"/>
  <c r="AO11" i="3"/>
  <c r="AO10" i="3"/>
  <c r="AO9" i="3"/>
  <c r="AO7" i="3"/>
  <c r="AO49" i="3"/>
  <c r="AO48" i="3"/>
  <c r="AO47" i="3"/>
  <c r="AO46" i="3"/>
  <c r="AO45" i="3"/>
  <c r="AO44" i="3"/>
  <c r="AO43" i="3"/>
  <c r="AO42" i="3"/>
  <c r="AO41" i="3"/>
  <c r="AO40" i="3"/>
  <c r="AO39" i="3"/>
  <c r="Q5" i="9" l="1"/>
  <c r="P5" i="9"/>
  <c r="O5" i="9"/>
  <c r="N5" i="9"/>
  <c r="M5" i="9"/>
  <c r="L5" i="9"/>
  <c r="A6" i="9"/>
  <c r="C8" i="6"/>
  <c r="Q6" i="9" l="1"/>
  <c r="P6" i="9"/>
  <c r="O6" i="9"/>
  <c r="L6" i="9"/>
  <c r="N6" i="9"/>
  <c r="M6" i="9"/>
  <c r="A7" i="9"/>
  <c r="C9" i="6"/>
  <c r="P7" i="9" l="1"/>
  <c r="O7" i="9"/>
  <c r="N7" i="9"/>
  <c r="M7" i="9"/>
  <c r="Q7" i="9"/>
  <c r="L7" i="9"/>
  <c r="A8" i="9"/>
  <c r="C10" i="6"/>
  <c r="L8" i="9" l="1"/>
  <c r="P8" i="9"/>
  <c r="O8" i="9"/>
  <c r="N8" i="9"/>
  <c r="M8" i="9"/>
  <c r="Q8" i="9"/>
  <c r="A9" i="9"/>
  <c r="C11" i="6"/>
  <c r="Q9" i="9" l="1"/>
  <c r="O9" i="9"/>
  <c r="M9" i="9"/>
  <c r="P9" i="9"/>
  <c r="N9" i="9"/>
  <c r="L9" i="9"/>
  <c r="A10" i="9"/>
  <c r="C12" i="6"/>
  <c r="P10" i="9" l="1"/>
  <c r="L10" i="9"/>
  <c r="O10" i="9"/>
  <c r="M10" i="9"/>
  <c r="N10" i="9"/>
  <c r="Q10" i="9"/>
  <c r="A11" i="9"/>
  <c r="C13" i="6"/>
  <c r="M11" i="9" l="1"/>
  <c r="N11" i="9"/>
  <c r="L11" i="9"/>
  <c r="O11" i="9"/>
  <c r="Q11" i="9"/>
  <c r="P11" i="9"/>
  <c r="A12" i="9"/>
  <c r="C14" i="6"/>
  <c r="O12" i="9" l="1"/>
  <c r="P12" i="9"/>
  <c r="N12" i="9"/>
  <c r="L12" i="9"/>
  <c r="Q12" i="9"/>
  <c r="M12" i="9"/>
  <c r="A13" i="9"/>
  <c r="C15" i="6"/>
  <c r="Q13" i="9" l="1"/>
  <c r="N13" i="9"/>
  <c r="L13" i="9"/>
  <c r="O13" i="9"/>
  <c r="M13" i="9"/>
  <c r="P13" i="9"/>
  <c r="A14" i="9"/>
  <c r="C16" i="6"/>
  <c r="Q14" i="9" l="1"/>
  <c r="O14" i="9"/>
  <c r="M14" i="9"/>
  <c r="P14" i="9"/>
  <c r="N14" i="9"/>
  <c r="L14" i="9"/>
  <c r="A15" i="9"/>
  <c r="C17" i="6"/>
  <c r="N15" i="9" l="1"/>
  <c r="M15" i="9"/>
  <c r="P15" i="9"/>
  <c r="Q15" i="9"/>
  <c r="L15" i="9"/>
  <c r="O15" i="9"/>
  <c r="A16" i="9"/>
  <c r="C18" i="6"/>
  <c r="N16" i="9" l="1"/>
  <c r="P16" i="9"/>
  <c r="L16" i="9"/>
  <c r="O16" i="9"/>
  <c r="M16" i="9"/>
  <c r="Q16" i="9"/>
  <c r="A17" i="9"/>
  <c r="C19" i="6"/>
  <c r="Q17" i="9" l="1"/>
  <c r="O17" i="9"/>
  <c r="L17" i="9"/>
  <c r="N17" i="9"/>
  <c r="P17" i="9"/>
  <c r="M17" i="9"/>
  <c r="A18" i="9"/>
  <c r="C20" i="6"/>
  <c r="N18" i="9" l="1"/>
  <c r="M18" i="9"/>
  <c r="P18" i="9"/>
  <c r="Q18" i="9"/>
  <c r="O18" i="9"/>
  <c r="L18" i="9"/>
  <c r="A19" i="9"/>
  <c r="C21" i="6"/>
  <c r="O19" i="9" l="1"/>
  <c r="Q19" i="9"/>
  <c r="P19" i="9"/>
  <c r="M19" i="9"/>
  <c r="N19" i="9"/>
  <c r="L19" i="9"/>
  <c r="A20" i="9"/>
  <c r="C22" i="6"/>
  <c r="L20" i="9" l="1"/>
  <c r="Q20" i="9"/>
  <c r="P20" i="9"/>
  <c r="N20" i="9"/>
  <c r="O20" i="9"/>
  <c r="M20" i="9"/>
  <c r="A21" i="9"/>
  <c r="C23" i="6"/>
  <c r="P21" i="9" l="1"/>
  <c r="L21" i="9"/>
  <c r="O21" i="9"/>
  <c r="Q21" i="9"/>
  <c r="N21" i="9"/>
  <c r="M21" i="9"/>
  <c r="A22" i="9"/>
  <c r="C24" i="6"/>
  <c r="N22" i="9" l="1"/>
  <c r="M22" i="9"/>
  <c r="L22" i="9"/>
  <c r="Q22" i="9"/>
  <c r="P22" i="9"/>
  <c r="O22" i="9"/>
  <c r="A23" i="9"/>
  <c r="C25" i="6"/>
  <c r="N23" i="9" l="1"/>
  <c r="L23" i="9"/>
  <c r="M23" i="9"/>
  <c r="Q23" i="9"/>
  <c r="O23" i="9"/>
  <c r="P23" i="9"/>
  <c r="A24" i="9"/>
  <c r="C26" i="6"/>
  <c r="N24" i="9" l="1"/>
  <c r="M24" i="9"/>
  <c r="L24" i="9"/>
  <c r="Q24" i="9"/>
  <c r="P24" i="9"/>
  <c r="O24" i="9"/>
  <c r="A25" i="9"/>
  <c r="C27" i="6"/>
  <c r="N25" i="9" l="1"/>
  <c r="Q25" i="9"/>
  <c r="O25" i="9"/>
  <c r="M25" i="9"/>
  <c r="P25" i="9"/>
  <c r="L25" i="9"/>
  <c r="A26" i="9"/>
  <c r="C28" i="6"/>
  <c r="Q26" i="9" l="1"/>
  <c r="P26" i="9"/>
  <c r="O26" i="9"/>
  <c r="M26" i="9"/>
  <c r="N26" i="9"/>
  <c r="L26" i="9"/>
  <c r="A27" i="9"/>
  <c r="C29" i="6"/>
  <c r="L27" i="9" l="1"/>
  <c r="N27" i="9"/>
  <c r="O27" i="9"/>
  <c r="Q27" i="9"/>
  <c r="P27" i="9"/>
  <c r="M27" i="9"/>
  <c r="A28" i="9"/>
  <c r="C30" i="6"/>
  <c r="O28" i="9" l="1"/>
  <c r="L28" i="9"/>
  <c r="P28" i="9"/>
  <c r="M28" i="9"/>
  <c r="N28" i="9"/>
  <c r="Q28" i="9"/>
  <c r="A29" i="9"/>
  <c r="C31" i="6"/>
  <c r="P29" i="9" l="1"/>
  <c r="M29" i="9"/>
  <c r="O29" i="9"/>
  <c r="Q29" i="9"/>
  <c r="N29" i="9"/>
  <c r="L29" i="9"/>
  <c r="A30" i="9"/>
  <c r="C32" i="6"/>
  <c r="O30" i="9" l="1"/>
  <c r="Q30" i="9"/>
  <c r="N30" i="9"/>
  <c r="L30" i="9"/>
  <c r="M30" i="9"/>
  <c r="P30" i="9"/>
  <c r="A31" i="9"/>
  <c r="C33" i="6"/>
  <c r="P31" i="9" l="1"/>
  <c r="L31" i="9"/>
  <c r="Q31" i="9"/>
  <c r="O31" i="9"/>
  <c r="M31" i="9"/>
  <c r="N31" i="9"/>
  <c r="A32" i="9"/>
  <c r="C34" i="6"/>
  <c r="Q32" i="9" l="1"/>
  <c r="M32" i="9"/>
  <c r="L32" i="9"/>
  <c r="N32" i="9"/>
  <c r="P32" i="9"/>
  <c r="O32" i="9"/>
  <c r="A33" i="9"/>
  <c r="C35" i="6"/>
  <c r="Q33" i="9" l="1"/>
  <c r="L33" i="9"/>
  <c r="M33" i="9"/>
  <c r="P33" i="9"/>
  <c r="O33" i="9"/>
  <c r="N33" i="9"/>
  <c r="A34" i="9"/>
  <c r="C36" i="6"/>
  <c r="N34" i="9" l="1"/>
  <c r="P34" i="9"/>
  <c r="L34" i="9"/>
  <c r="Q34" i="9"/>
  <c r="M34" i="9"/>
  <c r="O34" i="9"/>
  <c r="A35" i="9"/>
  <c r="C37" i="6"/>
  <c r="O35" i="9" l="1"/>
  <c r="M35" i="9"/>
  <c r="P35" i="9"/>
  <c r="Q35" i="9"/>
  <c r="N35" i="9"/>
  <c r="L35" i="9"/>
  <c r="A36" i="9"/>
  <c r="C38" i="6"/>
  <c r="N36" i="9" l="1"/>
  <c r="M36" i="9"/>
  <c r="O36" i="9"/>
  <c r="P36" i="9"/>
  <c r="L36" i="9"/>
  <c r="Q36" i="9"/>
  <c r="A37" i="9"/>
  <c r="C39" i="6"/>
  <c r="P37" i="9" l="1"/>
  <c r="O37" i="9"/>
  <c r="M37" i="9"/>
  <c r="N37" i="9"/>
  <c r="Q37" i="9"/>
  <c r="L37" i="9"/>
  <c r="A38" i="9"/>
  <c r="C40" i="6"/>
  <c r="N38" i="9" l="1"/>
  <c r="P38" i="9"/>
  <c r="M38" i="9"/>
  <c r="L38" i="9"/>
  <c r="Q38" i="9"/>
  <c r="O38" i="9"/>
  <c r="A39" i="9"/>
  <c r="C41" i="6"/>
  <c r="M39" i="9" l="1"/>
  <c r="N39" i="9"/>
  <c r="O39" i="9"/>
  <c r="L39" i="9"/>
  <c r="Q39" i="9"/>
  <c r="P39" i="9"/>
  <c r="A40" i="9"/>
  <c r="C42" i="6"/>
  <c r="Q40" i="9" l="1"/>
  <c r="N40" i="9"/>
  <c r="L40" i="9"/>
  <c r="M40" i="9"/>
  <c r="O40" i="9"/>
  <c r="P40" i="9"/>
  <c r="A41" i="9"/>
  <c r="C43" i="6"/>
  <c r="N41" i="9" l="1"/>
  <c r="Q41" i="9"/>
  <c r="P41" i="9"/>
  <c r="M41" i="9"/>
  <c r="L41" i="9"/>
  <c r="O41" i="9"/>
  <c r="A42" i="9"/>
  <c r="C44" i="6"/>
  <c r="M42" i="9" l="1"/>
  <c r="N42" i="9"/>
  <c r="P42" i="9"/>
  <c r="L42" i="9"/>
  <c r="O42" i="9"/>
  <c r="Q42" i="9"/>
  <c r="A43" i="9"/>
  <c r="C45" i="6"/>
  <c r="N43" i="9" l="1"/>
  <c r="P43" i="9"/>
  <c r="M43" i="9"/>
  <c r="Q43" i="9"/>
  <c r="L43" i="9"/>
  <c r="O43" i="9"/>
  <c r="A44" i="9"/>
  <c r="C46" i="6"/>
  <c r="O44" i="9" l="1"/>
  <c r="Q44" i="9"/>
  <c r="N44" i="9"/>
  <c r="P44" i="9"/>
  <c r="L44" i="9"/>
  <c r="M44" i="9"/>
  <c r="A45" i="9"/>
  <c r="C47" i="6"/>
  <c r="O45" i="9" l="1"/>
  <c r="L45" i="9"/>
  <c r="M45" i="9"/>
  <c r="P45" i="9"/>
  <c r="N45" i="9"/>
  <c r="Q45" i="9"/>
  <c r="A46" i="9"/>
  <c r="C48" i="6"/>
  <c r="N46" i="9" l="1"/>
  <c r="P46" i="9"/>
  <c r="O46" i="9"/>
  <c r="Q46" i="9"/>
  <c r="L46" i="9"/>
  <c r="M46" i="9"/>
  <c r="A47" i="9"/>
  <c r="C49" i="6"/>
  <c r="O47" i="9" l="1"/>
  <c r="L47" i="9"/>
  <c r="P47" i="9"/>
  <c r="N47" i="9"/>
  <c r="M47" i="9"/>
  <c r="Q47" i="9"/>
  <c r="A48" i="9"/>
  <c r="C50" i="6"/>
  <c r="O48" i="9" l="1"/>
  <c r="N48" i="9"/>
  <c r="L48" i="9"/>
  <c r="M48" i="9"/>
  <c r="Q48" i="9"/>
  <c r="P48" i="9"/>
  <c r="A49" i="9"/>
  <c r="C51" i="6"/>
  <c r="Q49" i="9" l="1"/>
  <c r="N49" i="9"/>
  <c r="L49" i="9"/>
  <c r="P49" i="9"/>
  <c r="M49" i="9"/>
  <c r="O49" i="9"/>
  <c r="A50" i="9"/>
  <c r="C52" i="6"/>
  <c r="M50" i="9" l="1"/>
  <c r="P50" i="9"/>
  <c r="O50" i="9"/>
  <c r="L50" i="9"/>
  <c r="Q50" i="9"/>
  <c r="N50" i="9"/>
  <c r="A51" i="9"/>
  <c r="C53" i="6"/>
  <c r="Q51" i="9" l="1"/>
  <c r="L51" i="9"/>
  <c r="N51" i="9"/>
  <c r="P51" i="9"/>
  <c r="M51" i="9"/>
  <c r="O51" i="9"/>
  <c r="A52" i="9"/>
  <c r="C54" i="6"/>
  <c r="N52" i="9" l="1"/>
  <c r="L52" i="9"/>
  <c r="O52" i="9"/>
  <c r="P52" i="9"/>
  <c r="M52" i="9"/>
  <c r="Q52" i="9"/>
  <c r="A53" i="9"/>
  <c r="C55" i="6"/>
  <c r="L53" i="9" l="1"/>
  <c r="Q53" i="9"/>
  <c r="O53" i="9"/>
  <c r="N53" i="9"/>
  <c r="M53" i="9"/>
  <c r="P53" i="9"/>
  <c r="A54" i="9"/>
  <c r="C56" i="6"/>
  <c r="N54" i="9" l="1"/>
  <c r="Q54" i="9"/>
  <c r="O54" i="9"/>
  <c r="P54" i="9"/>
  <c r="L54" i="9"/>
  <c r="M54" i="9"/>
  <c r="A55" i="9"/>
  <c r="C57" i="6"/>
  <c r="P55" i="9" l="1"/>
  <c r="N55" i="9"/>
  <c r="M55" i="9"/>
  <c r="L55" i="9"/>
  <c r="Q55" i="9"/>
  <c r="O55" i="9"/>
  <c r="A56" i="9"/>
  <c r="C58" i="6"/>
  <c r="N56" i="9" l="1"/>
  <c r="L56" i="9"/>
  <c r="Q56" i="9"/>
  <c r="O56" i="9"/>
  <c r="M56" i="9"/>
  <c r="P56" i="9"/>
  <c r="A57" i="9"/>
  <c r="C59" i="6"/>
  <c r="P57" i="9" l="1"/>
  <c r="N57" i="9"/>
  <c r="M57" i="9"/>
  <c r="Q57" i="9"/>
  <c r="L57" i="9"/>
  <c r="O57" i="9"/>
  <c r="A58" i="9"/>
  <c r="C60" i="6"/>
  <c r="P58" i="9" l="1"/>
  <c r="L58" i="9"/>
  <c r="Q58" i="9"/>
  <c r="O58" i="9"/>
  <c r="N58" i="9"/>
  <c r="M58" i="9"/>
  <c r="A59" i="9"/>
  <c r="C61" i="6"/>
  <c r="P59" i="9" l="1"/>
  <c r="Q59" i="9"/>
  <c r="O59" i="9"/>
  <c r="L59" i="9"/>
  <c r="N59" i="9"/>
  <c r="M59" i="9"/>
  <c r="A60" i="9"/>
  <c r="C62" i="6"/>
  <c r="Q60" i="9" l="1"/>
  <c r="M60" i="9"/>
  <c r="P60" i="9"/>
  <c r="O60" i="9"/>
  <c r="N60" i="9"/>
  <c r="L60" i="9"/>
  <c r="A61" i="9"/>
  <c r="C63" i="6"/>
  <c r="O61" i="9" l="1"/>
  <c r="L61" i="9"/>
  <c r="P61" i="9"/>
  <c r="M61" i="9"/>
  <c r="Q61" i="9"/>
  <c r="N61" i="9"/>
  <c r="A62" i="9"/>
  <c r="C64" i="6"/>
  <c r="N62" i="9" l="1"/>
  <c r="M62" i="9"/>
  <c r="Q62" i="9"/>
  <c r="P62" i="9"/>
  <c r="L62" i="9"/>
  <c r="O62" i="9"/>
  <c r="A63" i="9"/>
  <c r="C65" i="6"/>
  <c r="Q63" i="9" l="1"/>
  <c r="P63" i="9"/>
  <c r="O63" i="9"/>
  <c r="N63" i="9"/>
  <c r="M63" i="9"/>
  <c r="L63" i="9"/>
  <c r="A64" i="9"/>
  <c r="C66" i="6"/>
  <c r="Q64" i="9" l="1"/>
  <c r="P64" i="9"/>
  <c r="O64" i="9"/>
  <c r="N64" i="9"/>
  <c r="M64" i="9"/>
  <c r="L64" i="9"/>
  <c r="A65" i="9"/>
  <c r="C67" i="6"/>
  <c r="Q65" i="9" l="1"/>
  <c r="P65" i="9"/>
  <c r="O65" i="9"/>
  <c r="N65" i="9"/>
  <c r="M65" i="9"/>
  <c r="L65" i="9"/>
  <c r="A66" i="9"/>
  <c r="C68" i="6"/>
  <c r="Q66" i="9" l="1"/>
  <c r="P66" i="9"/>
  <c r="O66" i="9"/>
  <c r="N66" i="9"/>
  <c r="M66" i="9"/>
  <c r="L66" i="9"/>
  <c r="A67" i="9"/>
  <c r="C69" i="6"/>
  <c r="Q67" i="9" l="1"/>
  <c r="P67" i="9"/>
  <c r="O67" i="9"/>
  <c r="N67" i="9"/>
  <c r="M67" i="9"/>
  <c r="L67" i="9"/>
  <c r="A68" i="9"/>
  <c r="C70" i="6"/>
  <c r="Q68" i="9" l="1"/>
  <c r="P68" i="9"/>
  <c r="O68" i="9"/>
  <c r="N68" i="9"/>
  <c r="M68" i="9"/>
  <c r="L68" i="9"/>
  <c r="A69" i="9"/>
  <c r="C71" i="6"/>
  <c r="Q69" i="9" l="1"/>
  <c r="P69" i="9"/>
  <c r="O69" i="9"/>
  <c r="N69" i="9"/>
  <c r="M69" i="9"/>
  <c r="L69" i="9"/>
  <c r="A70" i="9"/>
  <c r="C72" i="6"/>
  <c r="Q70" i="9" l="1"/>
  <c r="P70" i="9"/>
  <c r="O70" i="9"/>
  <c r="N70" i="9"/>
  <c r="M70" i="9"/>
  <c r="L70" i="9"/>
  <c r="A71" i="9"/>
  <c r="C73" i="6"/>
  <c r="Q71" i="9" l="1"/>
  <c r="P71" i="9"/>
  <c r="O71" i="9"/>
  <c r="N71" i="9"/>
  <c r="M71" i="9"/>
  <c r="L71" i="9"/>
  <c r="A72" i="9"/>
  <c r="C74" i="6"/>
  <c r="Q72" i="9" l="1"/>
  <c r="P72" i="9"/>
  <c r="O72" i="9"/>
  <c r="N72" i="9"/>
  <c r="M72" i="9"/>
  <c r="L72" i="9"/>
  <c r="A73" i="9"/>
  <c r="C75" i="6"/>
  <c r="Q73" i="9" l="1"/>
  <c r="P73" i="9"/>
  <c r="O73" i="9"/>
  <c r="N73" i="9"/>
  <c r="M73" i="9"/>
  <c r="L73" i="9"/>
  <c r="A74" i="9"/>
  <c r="C76" i="6"/>
  <c r="Q74" i="9" l="1"/>
  <c r="P74" i="9"/>
  <c r="O74" i="9"/>
  <c r="N74" i="9"/>
  <c r="M74" i="9"/>
  <c r="L74" i="9"/>
  <c r="A75" i="9"/>
  <c r="C77" i="6"/>
  <c r="Q75" i="9" l="1"/>
  <c r="P75" i="9"/>
  <c r="O75" i="9"/>
  <c r="N75" i="9"/>
  <c r="M75" i="9"/>
  <c r="L75" i="9"/>
  <c r="A76" i="9"/>
  <c r="C78" i="6"/>
  <c r="Q76" i="9" l="1"/>
  <c r="P76" i="9"/>
  <c r="O76" i="9"/>
  <c r="N76" i="9"/>
  <c r="M76" i="9"/>
  <c r="L76" i="9"/>
  <c r="A77" i="9"/>
  <c r="C79" i="6"/>
  <c r="Q77" i="9" l="1"/>
  <c r="P77" i="9"/>
  <c r="O77" i="9"/>
  <c r="N77" i="9"/>
  <c r="M77" i="9"/>
  <c r="L77" i="9"/>
  <c r="A78" i="9"/>
  <c r="C80" i="6"/>
  <c r="Q78" i="9" l="1"/>
  <c r="P78" i="9"/>
  <c r="O78" i="9"/>
  <c r="N78" i="9"/>
  <c r="M78" i="9"/>
  <c r="L78" i="9"/>
  <c r="A79" i="9"/>
  <c r="C81" i="6"/>
  <c r="Q79" i="9" l="1"/>
  <c r="P79" i="9"/>
  <c r="O79" i="9"/>
  <c r="N79" i="9"/>
  <c r="M79" i="9"/>
  <c r="L79" i="9"/>
  <c r="A80" i="9"/>
  <c r="C82" i="6"/>
  <c r="Q80" i="9" l="1"/>
  <c r="P80" i="9"/>
  <c r="O80" i="9"/>
  <c r="N80" i="9"/>
  <c r="M80" i="9"/>
  <c r="L80" i="9"/>
  <c r="A81" i="9"/>
  <c r="C83" i="6"/>
  <c r="Q81" i="9" l="1"/>
  <c r="P81" i="9"/>
  <c r="O81" i="9"/>
  <c r="N81" i="9"/>
  <c r="M81" i="9"/>
  <c r="L81" i="9"/>
  <c r="A82" i="9"/>
  <c r="C84" i="6"/>
  <c r="Q82" i="9" l="1"/>
  <c r="P82" i="9"/>
  <c r="O82" i="9"/>
  <c r="N82" i="9"/>
  <c r="M82" i="9"/>
  <c r="L82" i="9"/>
  <c r="A83" i="9"/>
  <c r="C85" i="6"/>
  <c r="Q83" i="9" l="1"/>
  <c r="P83" i="9"/>
  <c r="O83" i="9"/>
  <c r="N83" i="9"/>
  <c r="M83" i="9"/>
  <c r="L83" i="9"/>
  <c r="A84" i="9"/>
  <c r="C86" i="6"/>
  <c r="Q84" i="9" l="1"/>
  <c r="P84" i="9"/>
  <c r="O84" i="9"/>
  <c r="N84" i="9"/>
  <c r="M84" i="9"/>
  <c r="L84" i="9"/>
  <c r="A85" i="9"/>
  <c r="C87" i="6"/>
  <c r="Q85" i="9" l="1"/>
  <c r="P85" i="9"/>
  <c r="O85" i="9"/>
  <c r="N85" i="9"/>
  <c r="M85" i="9"/>
  <c r="L85" i="9"/>
  <c r="A86" i="9"/>
  <c r="C88" i="6"/>
  <c r="Q86" i="9" l="1"/>
  <c r="P86" i="9"/>
  <c r="O86" i="9"/>
  <c r="N86" i="9"/>
  <c r="M86" i="9"/>
  <c r="L86" i="9"/>
  <c r="A87" i="9"/>
  <c r="C89" i="6"/>
  <c r="Q87" i="9" l="1"/>
  <c r="P87" i="9"/>
  <c r="O87" i="9"/>
  <c r="N87" i="9"/>
  <c r="M87" i="9"/>
  <c r="L87" i="9"/>
  <c r="A88" i="9"/>
  <c r="C90" i="6"/>
  <c r="Q88" i="9" l="1"/>
  <c r="P88" i="9"/>
  <c r="O88" i="9"/>
  <c r="N88" i="9"/>
  <c r="M88" i="9"/>
  <c r="L88" i="9"/>
  <c r="A89" i="9"/>
  <c r="C91" i="6"/>
  <c r="Q89" i="9" l="1"/>
  <c r="P89" i="9"/>
  <c r="O89" i="9"/>
  <c r="N89" i="9"/>
  <c r="M89" i="9"/>
  <c r="L89" i="9"/>
  <c r="A90" i="9"/>
  <c r="C92" i="6"/>
  <c r="Q90" i="9" l="1"/>
  <c r="P90" i="9"/>
  <c r="O90" i="9"/>
  <c r="N90" i="9"/>
  <c r="M90" i="9"/>
  <c r="L90" i="9"/>
  <c r="A91" i="9"/>
  <c r="C93" i="6"/>
  <c r="Q91" i="9" l="1"/>
  <c r="P91" i="9"/>
  <c r="O91" i="9"/>
  <c r="N91" i="9"/>
  <c r="M91" i="9"/>
  <c r="L91" i="9"/>
  <c r="A92" i="9"/>
  <c r="C94" i="6"/>
  <c r="Q92" i="9" l="1"/>
  <c r="P92" i="9"/>
  <c r="O92" i="9"/>
  <c r="N92" i="9"/>
  <c r="M92" i="9"/>
  <c r="L92" i="9"/>
  <c r="A93" i="9"/>
  <c r="C95" i="6"/>
  <c r="Q93" i="9" l="1"/>
  <c r="P93" i="9"/>
  <c r="O93" i="9"/>
  <c r="N93" i="9"/>
  <c r="M93" i="9"/>
  <c r="L93" i="9"/>
  <c r="A94" i="9"/>
  <c r="C96" i="6"/>
  <c r="Q94" i="9" l="1"/>
  <c r="P94" i="9"/>
  <c r="O94" i="9"/>
  <c r="N94" i="9"/>
  <c r="M94" i="9"/>
  <c r="L94" i="9"/>
  <c r="A95" i="9"/>
  <c r="C97" i="6"/>
  <c r="Q95" i="9" l="1"/>
  <c r="P95" i="9"/>
  <c r="O95" i="9"/>
  <c r="N95" i="9"/>
  <c r="M95" i="9"/>
  <c r="L95" i="9"/>
  <c r="A96" i="9"/>
  <c r="C98" i="6"/>
  <c r="Q96" i="9" l="1"/>
  <c r="P96" i="9"/>
  <c r="O96" i="9"/>
  <c r="N96" i="9"/>
  <c r="M96" i="9"/>
  <c r="L96" i="9"/>
  <c r="A97" i="9"/>
  <c r="C99" i="6"/>
  <c r="Q97" i="9" l="1"/>
  <c r="P97" i="9"/>
  <c r="O97" i="9"/>
  <c r="N97" i="9"/>
  <c r="M97" i="9"/>
  <c r="L97" i="9"/>
  <c r="A98" i="9"/>
  <c r="C100" i="6"/>
  <c r="Q98" i="9" l="1"/>
  <c r="P98" i="9"/>
  <c r="O98" i="9"/>
  <c r="N98" i="9"/>
  <c r="M98" i="9"/>
  <c r="L98" i="9"/>
  <c r="A99" i="9"/>
  <c r="C101" i="6"/>
  <c r="Q99" i="9" l="1"/>
  <c r="P99" i="9"/>
  <c r="O99" i="9"/>
  <c r="N99" i="9"/>
  <c r="M99" i="9"/>
  <c r="L99" i="9"/>
  <c r="A100" i="9"/>
  <c r="C102" i="6"/>
  <c r="Q100" i="9" l="1"/>
  <c r="P100" i="9"/>
  <c r="O100" i="9"/>
  <c r="N100" i="9"/>
  <c r="M100" i="9"/>
  <c r="L100" i="9"/>
  <c r="A101" i="9"/>
  <c r="C103" i="6"/>
  <c r="Q101" i="9" l="1"/>
  <c r="P101" i="9"/>
  <c r="O101" i="9"/>
  <c r="N101" i="9"/>
  <c r="M101" i="9"/>
  <c r="L101" i="9"/>
  <c r="A102" i="9"/>
  <c r="C104" i="6"/>
  <c r="Q102" i="9" l="1"/>
  <c r="P102" i="9"/>
  <c r="O102" i="9"/>
  <c r="N102" i="9"/>
  <c r="M102" i="9"/>
  <c r="L102" i="9"/>
  <c r="A103" i="9"/>
  <c r="C105" i="6"/>
  <c r="Q103" i="9" l="1"/>
  <c r="P103" i="9"/>
  <c r="O103" i="9"/>
  <c r="N103" i="9"/>
  <c r="M103" i="9"/>
  <c r="L103" i="9"/>
  <c r="A104" i="9"/>
  <c r="C106" i="6"/>
  <c r="Q104" i="9" l="1"/>
  <c r="P104" i="9"/>
  <c r="O104" i="9"/>
  <c r="N104" i="9"/>
  <c r="M104" i="9"/>
  <c r="L104" i="9"/>
  <c r="A105" i="9"/>
  <c r="C107" i="6"/>
  <c r="Q105" i="9" l="1"/>
  <c r="P105" i="9"/>
  <c r="O105" i="9"/>
  <c r="N105" i="9"/>
  <c r="M105" i="9"/>
  <c r="L105" i="9"/>
  <c r="A106" i="9"/>
  <c r="C108" i="6"/>
  <c r="Q106" i="9" l="1"/>
  <c r="P106" i="9"/>
  <c r="O106" i="9"/>
  <c r="N106" i="9"/>
  <c r="M106" i="9"/>
  <c r="L106" i="9"/>
  <c r="A107" i="9"/>
  <c r="C109" i="6"/>
  <c r="Q107" i="9" l="1"/>
  <c r="P107" i="9"/>
  <c r="O107" i="9"/>
  <c r="N107" i="9"/>
  <c r="M107" i="9"/>
  <c r="L107" i="9"/>
  <c r="A108" i="9"/>
  <c r="C110" i="6"/>
  <c r="Q108" i="9" l="1"/>
  <c r="P108" i="9"/>
  <c r="O108" i="9"/>
  <c r="N108" i="9"/>
  <c r="M108" i="9"/>
  <c r="L108" i="9"/>
  <c r="A109" i="9"/>
  <c r="C111" i="6"/>
  <c r="P109" i="9" l="1"/>
  <c r="M109" i="9"/>
  <c r="L109" i="9"/>
  <c r="N109" i="9"/>
  <c r="Q109" i="9"/>
  <c r="O109" i="9"/>
  <c r="A110" i="9"/>
  <c r="C112" i="6"/>
  <c r="M110" i="9" l="1"/>
  <c r="P110" i="9"/>
  <c r="Q110" i="9"/>
  <c r="N110" i="9"/>
  <c r="L110" i="9"/>
  <c r="O110" i="9"/>
  <c r="A111" i="9"/>
  <c r="C113" i="6"/>
  <c r="N111" i="9" l="1"/>
  <c r="Q111" i="9"/>
  <c r="L111" i="9"/>
  <c r="P111" i="9"/>
  <c r="O111" i="9"/>
  <c r="M111" i="9"/>
  <c r="A112" i="9"/>
  <c r="C114" i="6"/>
  <c r="N112" i="9" l="1"/>
  <c r="M112" i="9"/>
  <c r="O112" i="9"/>
  <c r="P112" i="9"/>
  <c r="Q112" i="9"/>
  <c r="L112" i="9"/>
  <c r="A113" i="9"/>
  <c r="C115" i="6"/>
  <c r="P113" i="9" l="1"/>
  <c r="M113" i="9"/>
  <c r="N113" i="9"/>
  <c r="L113" i="9"/>
  <c r="O113" i="9"/>
  <c r="Q113" i="9"/>
  <c r="A114" i="9"/>
  <c r="C116" i="6"/>
  <c r="O114" i="9" l="1"/>
  <c r="Q114" i="9"/>
  <c r="L114" i="9"/>
  <c r="M114" i="9"/>
  <c r="N114" i="9"/>
  <c r="P114" i="9"/>
  <c r="A115" i="9"/>
  <c r="C117" i="6"/>
  <c r="O115" i="9" l="1"/>
  <c r="L115" i="9"/>
  <c r="M115" i="9"/>
  <c r="Q115" i="9"/>
  <c r="P115" i="9"/>
  <c r="N115" i="9"/>
  <c r="A116" i="9"/>
  <c r="C118" i="6"/>
  <c r="Q116" i="9" l="1"/>
  <c r="P116" i="9"/>
  <c r="O116" i="9"/>
  <c r="M116" i="9"/>
  <c r="N116" i="9"/>
  <c r="L116" i="9"/>
  <c r="A117" i="9"/>
  <c r="C119" i="6"/>
  <c r="P117" i="9" l="1"/>
  <c r="M117" i="9"/>
  <c r="Q117" i="9"/>
  <c r="N117" i="9"/>
  <c r="L117" i="9"/>
  <c r="O117" i="9"/>
  <c r="A118" i="9"/>
  <c r="C120" i="6"/>
  <c r="Q118" i="9" l="1"/>
  <c r="N118" i="9"/>
  <c r="L118" i="9"/>
  <c r="P118" i="9"/>
  <c r="M118" i="9"/>
  <c r="O118" i="9"/>
  <c r="A119" i="9"/>
  <c r="C121" i="6"/>
  <c r="N119" i="9" l="1"/>
  <c r="Q119" i="9"/>
  <c r="M119" i="9"/>
  <c r="L119" i="9"/>
  <c r="O119" i="9"/>
  <c r="P119" i="9"/>
  <c r="A120" i="9"/>
  <c r="C122" i="6"/>
  <c r="O120" i="9" l="1"/>
  <c r="M120" i="9"/>
  <c r="L120" i="9"/>
  <c r="P120" i="9"/>
  <c r="N120" i="9"/>
  <c r="Q120" i="9"/>
  <c r="A121" i="9"/>
  <c r="C123" i="6"/>
  <c r="P121" i="9" l="1"/>
  <c r="N121" i="9"/>
  <c r="O121" i="9"/>
  <c r="Q121" i="9"/>
  <c r="L121" i="9"/>
  <c r="M121" i="9"/>
  <c r="A122" i="9"/>
  <c r="C124" i="6"/>
  <c r="L122" i="9" l="1"/>
  <c r="Q122" i="9"/>
  <c r="O122" i="9"/>
  <c r="P122" i="9"/>
  <c r="M122" i="9"/>
  <c r="N122" i="9"/>
  <c r="A123" i="9"/>
  <c r="C125" i="6"/>
  <c r="L123" i="9" l="1"/>
  <c r="Q123" i="9"/>
  <c r="P123" i="9"/>
  <c r="O123" i="9"/>
  <c r="N123" i="9"/>
  <c r="M123" i="9"/>
  <c r="A124" i="9"/>
  <c r="C126" i="6"/>
  <c r="Q124" i="9" l="1"/>
  <c r="P124" i="9"/>
  <c r="O124" i="9"/>
  <c r="N124" i="9"/>
  <c r="M124" i="9"/>
  <c r="L124" i="9"/>
  <c r="A125" i="9"/>
  <c r="C127" i="6"/>
  <c r="Q125" i="9" l="1"/>
  <c r="P125" i="9"/>
  <c r="O125" i="9"/>
  <c r="N125" i="9"/>
  <c r="M125" i="9"/>
  <c r="L125" i="9"/>
  <c r="A126" i="9"/>
  <c r="C128" i="6"/>
  <c r="Q126" i="9" l="1"/>
  <c r="P126" i="9"/>
  <c r="O126" i="9"/>
  <c r="N126" i="9"/>
  <c r="M126" i="9"/>
  <c r="L126" i="9"/>
  <c r="A127" i="9"/>
  <c r="C129" i="6"/>
  <c r="Q127" i="9" l="1"/>
  <c r="P127" i="9"/>
  <c r="O127" i="9"/>
  <c r="N127" i="9"/>
  <c r="M127" i="9"/>
  <c r="L127" i="9"/>
  <c r="A128" i="9"/>
  <c r="C130" i="6"/>
  <c r="Q128" i="9" l="1"/>
  <c r="P128" i="9"/>
  <c r="O128" i="9"/>
  <c r="N128" i="9"/>
  <c r="M128" i="9"/>
  <c r="L128" i="9"/>
  <c r="A129" i="9"/>
  <c r="C131" i="6"/>
  <c r="Q129" i="9" l="1"/>
  <c r="P129" i="9"/>
  <c r="O129" i="9"/>
  <c r="N129" i="9"/>
  <c r="M129" i="9"/>
  <c r="L129" i="9"/>
  <c r="A130" i="9"/>
  <c r="C132" i="6"/>
  <c r="Q130" i="9" l="1"/>
  <c r="P130" i="9"/>
  <c r="O130" i="9"/>
  <c r="N130" i="9"/>
  <c r="M130" i="9"/>
  <c r="L130" i="9"/>
  <c r="A131" i="9"/>
  <c r="C133" i="6"/>
  <c r="Q131" i="9" l="1"/>
  <c r="P131" i="9"/>
  <c r="O131" i="9"/>
  <c r="N131" i="9"/>
  <c r="M131" i="9"/>
  <c r="L131" i="9"/>
  <c r="A132" i="9"/>
  <c r="C134" i="6"/>
  <c r="Q132" i="9" l="1"/>
  <c r="P132" i="9"/>
  <c r="O132" i="9"/>
  <c r="N132" i="9"/>
  <c r="M132" i="9"/>
  <c r="L132" i="9"/>
  <c r="A133" i="9"/>
  <c r="C135" i="6"/>
  <c r="Q133" i="9" l="1"/>
  <c r="P133" i="9"/>
  <c r="O133" i="9"/>
  <c r="N133" i="9"/>
  <c r="M133" i="9"/>
  <c r="L133" i="9"/>
  <c r="A134" i="9"/>
  <c r="C136" i="6"/>
  <c r="Q134" i="9" l="1"/>
  <c r="P134" i="9"/>
  <c r="O134" i="9"/>
  <c r="N134" i="9"/>
  <c r="M134" i="9"/>
  <c r="L134" i="9"/>
  <c r="A135" i="9"/>
  <c r="C137" i="6"/>
  <c r="Q135" i="9" l="1"/>
  <c r="M135" i="9"/>
  <c r="O135" i="9"/>
  <c r="N135" i="9"/>
  <c r="P135" i="9"/>
  <c r="L135" i="9"/>
  <c r="A136" i="9"/>
  <c r="C138" i="6"/>
  <c r="P136" i="9" l="1"/>
  <c r="L136" i="9"/>
  <c r="O136" i="9"/>
  <c r="N136" i="9"/>
  <c r="Q136" i="9"/>
  <c r="M136" i="9"/>
  <c r="A137" i="9"/>
  <c r="C139" i="6"/>
  <c r="M137" i="9" l="1"/>
  <c r="L137" i="9"/>
  <c r="P137" i="9"/>
  <c r="N137" i="9"/>
  <c r="O137" i="9"/>
  <c r="Q137" i="9"/>
  <c r="A138" i="9"/>
  <c r="C140" i="6"/>
  <c r="L138" i="9" l="1"/>
  <c r="Q138" i="9"/>
  <c r="O138" i="9"/>
  <c r="P138" i="9"/>
  <c r="N138" i="9"/>
  <c r="M138" i="9"/>
  <c r="A139" i="9"/>
  <c r="C141" i="6"/>
  <c r="P139" i="9" l="1"/>
  <c r="N139" i="9"/>
  <c r="Q139" i="9"/>
  <c r="O139" i="9"/>
  <c r="L139" i="9"/>
  <c r="M139" i="9"/>
  <c r="A140" i="9"/>
  <c r="C142" i="6"/>
  <c r="O140" i="9" l="1"/>
  <c r="L140" i="9"/>
  <c r="P140" i="9"/>
  <c r="M140" i="9"/>
  <c r="N140" i="9"/>
  <c r="Q140" i="9"/>
  <c r="A141" i="9"/>
  <c r="C143" i="6"/>
  <c r="L141" i="9" l="1"/>
  <c r="Q141" i="9"/>
  <c r="P141" i="9"/>
  <c r="M141" i="9"/>
  <c r="O141" i="9"/>
  <c r="N141" i="9"/>
  <c r="A142" i="9"/>
  <c r="C144" i="6"/>
  <c r="N142" i="9" l="1"/>
  <c r="O142" i="9"/>
  <c r="L142" i="9"/>
  <c r="M142" i="9"/>
  <c r="Q142" i="9"/>
  <c r="P142" i="9"/>
  <c r="A143" i="9"/>
  <c r="C145" i="6"/>
  <c r="L143" i="9" l="1"/>
  <c r="Q143" i="9"/>
  <c r="P143" i="9"/>
  <c r="N143" i="9"/>
  <c r="O143" i="9"/>
  <c r="M143" i="9"/>
  <c r="A144" i="9"/>
  <c r="C146" i="6"/>
  <c r="L144" i="9" l="1"/>
  <c r="N144" i="9"/>
  <c r="M144" i="9"/>
  <c r="P144" i="9"/>
  <c r="O144" i="9"/>
  <c r="Q144" i="9"/>
  <c r="A145" i="9"/>
  <c r="C147" i="6"/>
  <c r="O145" i="9" l="1"/>
  <c r="L145" i="9"/>
  <c r="N145" i="9"/>
  <c r="P145" i="9"/>
  <c r="M145" i="9"/>
  <c r="Q145" i="9"/>
  <c r="A146" i="9"/>
  <c r="C148" i="6"/>
  <c r="N146" i="9" l="1"/>
  <c r="L146" i="9"/>
  <c r="O146" i="9"/>
  <c r="P146" i="9"/>
  <c r="Q146" i="9"/>
  <c r="M146" i="9"/>
  <c r="A147" i="9"/>
  <c r="C149" i="6"/>
  <c r="Q147" i="9" l="1"/>
  <c r="L147" i="9"/>
  <c r="O147" i="9"/>
  <c r="P147" i="9"/>
  <c r="M147" i="9"/>
  <c r="N147" i="9"/>
  <c r="A148" i="9"/>
  <c r="C150" i="6"/>
  <c r="P148" i="9" l="1"/>
  <c r="L148" i="9"/>
  <c r="O148" i="9"/>
  <c r="M148" i="9"/>
  <c r="N148" i="9"/>
  <c r="Q148" i="9"/>
  <c r="A149" i="9"/>
  <c r="C151" i="6"/>
  <c r="O149" i="9" l="1"/>
  <c r="M149" i="9"/>
  <c r="L149" i="9"/>
  <c r="P149" i="9"/>
  <c r="N149" i="9"/>
  <c r="Q149" i="9"/>
  <c r="A150" i="9"/>
  <c r="C152" i="6"/>
  <c r="O150" i="9" l="1"/>
  <c r="L150" i="9"/>
  <c r="N150" i="9"/>
  <c r="M150" i="9"/>
  <c r="Q150" i="9"/>
  <c r="P150" i="9"/>
  <c r="A151" i="9"/>
  <c r="C153" i="6"/>
  <c r="N151" i="9" l="1"/>
  <c r="O151" i="9"/>
  <c r="P151" i="9"/>
  <c r="Q151" i="9"/>
  <c r="L151" i="9"/>
  <c r="M151" i="9"/>
  <c r="A152" i="9"/>
  <c r="C154" i="6"/>
  <c r="P152" i="9" l="1"/>
  <c r="M152" i="9"/>
  <c r="Q152" i="9"/>
  <c r="O152" i="9"/>
  <c r="N152" i="9"/>
  <c r="L152" i="9"/>
  <c r="A153" i="9"/>
  <c r="C155" i="6"/>
  <c r="O153" i="9" l="1"/>
  <c r="P153" i="9"/>
  <c r="L153" i="9"/>
  <c r="N153" i="9"/>
  <c r="M153" i="9"/>
  <c r="Q153" i="9"/>
  <c r="A154" i="9"/>
  <c r="C156" i="6"/>
  <c r="O154" i="9" l="1"/>
  <c r="N154" i="9"/>
  <c r="L154" i="9"/>
  <c r="Q154" i="9"/>
  <c r="P154" i="9"/>
  <c r="M154" i="9"/>
  <c r="A155" i="9"/>
  <c r="C157" i="6"/>
  <c r="Q155" i="9" l="1"/>
  <c r="N155" i="9"/>
  <c r="O155" i="9"/>
  <c r="L155" i="9"/>
  <c r="P155" i="9"/>
  <c r="M155" i="9"/>
  <c r="A156" i="9"/>
  <c r="C158" i="6"/>
  <c r="O156" i="9" l="1"/>
  <c r="L156" i="9"/>
  <c r="N156" i="9"/>
  <c r="P156" i="9"/>
  <c r="M156" i="9"/>
  <c r="Q156" i="9"/>
  <c r="A157" i="9"/>
  <c r="C159" i="6"/>
  <c r="O157" i="9" l="1"/>
  <c r="M157" i="9"/>
  <c r="N157" i="9"/>
  <c r="P157" i="9"/>
  <c r="L157" i="9"/>
  <c r="Q157" i="9"/>
  <c r="A158" i="9"/>
  <c r="C160" i="6"/>
  <c r="P158" i="9" l="1"/>
  <c r="O158" i="9"/>
  <c r="L158" i="9"/>
  <c r="Q158" i="9"/>
  <c r="N158" i="9"/>
  <c r="M158" i="9"/>
  <c r="A159" i="9"/>
  <c r="C161" i="6"/>
  <c r="Q159" i="9" l="1"/>
  <c r="O159" i="9"/>
  <c r="P159" i="9"/>
  <c r="N159" i="9"/>
  <c r="L159" i="9"/>
  <c r="M159" i="9"/>
  <c r="A160" i="9"/>
  <c r="C162" i="6"/>
  <c r="Q160" i="9" l="1"/>
  <c r="L160" i="9"/>
  <c r="M160" i="9"/>
  <c r="P160" i="9"/>
  <c r="N160" i="9"/>
  <c r="O160" i="9"/>
  <c r="A161" i="9"/>
  <c r="C163" i="6"/>
  <c r="Q161" i="9" l="1"/>
  <c r="M161" i="9"/>
  <c r="O161" i="9"/>
  <c r="L161" i="9"/>
  <c r="N161" i="9"/>
  <c r="P161" i="9"/>
  <c r="A162" i="9"/>
  <c r="C164" i="6"/>
  <c r="L162" i="9" l="1"/>
  <c r="N162" i="9"/>
  <c r="Q162" i="9"/>
  <c r="P162" i="9"/>
  <c r="M162" i="9"/>
  <c r="O162" i="9"/>
  <c r="A163" i="9"/>
  <c r="C165" i="6"/>
  <c r="M163" i="9" l="1"/>
  <c r="Q163" i="9"/>
  <c r="N163" i="9"/>
  <c r="P163" i="9"/>
  <c r="L163" i="9"/>
  <c r="O163" i="9"/>
  <c r="A164" i="9"/>
  <c r="C166" i="6"/>
  <c r="P164" i="9" l="1"/>
  <c r="N164" i="9"/>
  <c r="L164" i="9"/>
  <c r="O164" i="9"/>
  <c r="Q164" i="9"/>
  <c r="M164" i="9"/>
  <c r="A165" i="9"/>
  <c r="C167" i="6"/>
  <c r="Q165" i="9" l="1"/>
  <c r="N165" i="9"/>
  <c r="M165" i="9"/>
  <c r="P165" i="9"/>
  <c r="L165" i="9"/>
  <c r="O165" i="9"/>
  <c r="A166" i="9"/>
  <c r="C168" i="6"/>
  <c r="P166" i="9" l="1"/>
  <c r="O166" i="9"/>
  <c r="L166" i="9"/>
  <c r="Q166" i="9"/>
  <c r="N166" i="9"/>
  <c r="M166" i="9"/>
  <c r="A167" i="9"/>
  <c r="C169" i="6"/>
  <c r="M167" i="9" l="1"/>
  <c r="Q167" i="9"/>
  <c r="N167" i="9"/>
  <c r="O167" i="9"/>
  <c r="P167" i="9"/>
  <c r="L167" i="9"/>
  <c r="A168" i="9"/>
  <c r="C170" i="6"/>
  <c r="O168" i="9" l="1"/>
  <c r="M168" i="9"/>
  <c r="L168" i="9"/>
  <c r="P168" i="9"/>
  <c r="Q168" i="9"/>
  <c r="N168" i="9"/>
  <c r="A169" i="9"/>
  <c r="C171" i="6"/>
  <c r="Q169" i="9" l="1"/>
  <c r="P169" i="9"/>
  <c r="M169" i="9"/>
  <c r="O169" i="9"/>
  <c r="N169" i="9"/>
  <c r="L169" i="9"/>
  <c r="A170" i="9"/>
  <c r="C172" i="6"/>
  <c r="Q170" i="9" l="1"/>
  <c r="M170" i="9"/>
  <c r="L170" i="9"/>
  <c r="O170" i="9"/>
  <c r="P170" i="9"/>
  <c r="N170" i="9"/>
  <c r="A171" i="9"/>
  <c r="C173" i="6"/>
  <c r="N171" i="9" l="1"/>
  <c r="P171" i="9"/>
  <c r="M171" i="9"/>
  <c r="O171" i="9"/>
  <c r="L171" i="9"/>
  <c r="Q171" i="9"/>
  <c r="A172" i="9"/>
  <c r="C174" i="6"/>
  <c r="M172" i="9" l="1"/>
  <c r="Q172" i="9"/>
  <c r="L172" i="9"/>
  <c r="N172" i="9"/>
  <c r="P172" i="9"/>
  <c r="O172" i="9"/>
  <c r="A173" i="9"/>
  <c r="C175" i="6"/>
  <c r="Q173" i="9" l="1"/>
  <c r="O173" i="9"/>
  <c r="P173" i="9"/>
  <c r="N173" i="9"/>
  <c r="L173" i="9"/>
  <c r="M173" i="9"/>
  <c r="A174" i="9"/>
  <c r="C176" i="6"/>
  <c r="L174" i="9" l="1"/>
  <c r="N174" i="9"/>
  <c r="O174" i="9"/>
  <c r="Q174" i="9"/>
  <c r="M174" i="9"/>
  <c r="P174" i="9"/>
  <c r="A175" i="9"/>
  <c r="C177" i="6"/>
  <c r="Q175" i="9" l="1"/>
  <c r="P175" i="9"/>
  <c r="M175" i="9"/>
  <c r="N175" i="9"/>
  <c r="L175" i="9"/>
  <c r="O175" i="9"/>
  <c r="A176" i="9"/>
  <c r="C178" i="6"/>
  <c r="N176" i="9" l="1"/>
  <c r="Q176" i="9"/>
  <c r="P176" i="9"/>
  <c r="O176" i="9"/>
  <c r="L176" i="9"/>
  <c r="M176" i="9"/>
  <c r="A177" i="9"/>
  <c r="C179" i="6"/>
  <c r="O177" i="9" l="1"/>
  <c r="N177" i="9"/>
  <c r="M177" i="9"/>
  <c r="P177" i="9"/>
  <c r="L177" i="9"/>
  <c r="Q177" i="9"/>
  <c r="A178" i="9"/>
  <c r="C180" i="6"/>
  <c r="N178" i="9" l="1"/>
  <c r="L178" i="9"/>
  <c r="P178" i="9"/>
  <c r="Q178" i="9"/>
  <c r="O178" i="9"/>
  <c r="M178" i="9"/>
  <c r="A179" i="9"/>
  <c r="C181" i="6"/>
  <c r="N179" i="9" l="1"/>
  <c r="Q179" i="9"/>
  <c r="O179" i="9"/>
  <c r="L179" i="9"/>
  <c r="M179" i="9"/>
  <c r="P179" i="9"/>
  <c r="A180" i="9"/>
  <c r="C182" i="6"/>
  <c r="Q180" i="9" l="1"/>
  <c r="M180" i="9"/>
  <c r="O180" i="9"/>
  <c r="N180" i="9"/>
  <c r="P180" i="9"/>
  <c r="L180" i="9"/>
  <c r="A181" i="9"/>
  <c r="C183" i="6"/>
  <c r="N181" i="9" l="1"/>
  <c r="M181" i="9"/>
  <c r="O181" i="9"/>
  <c r="L181" i="9"/>
  <c r="P181" i="9"/>
  <c r="Q181" i="9"/>
  <c r="A182" i="9"/>
  <c r="C184" i="6"/>
  <c r="M182" i="9" l="1"/>
  <c r="P182" i="9"/>
  <c r="Q182" i="9"/>
  <c r="N182" i="9"/>
  <c r="O182" i="9"/>
  <c r="L182" i="9"/>
  <c r="A183" i="9"/>
  <c r="C185" i="6"/>
  <c r="P183" i="9" l="1"/>
  <c r="M183" i="9"/>
  <c r="Q183" i="9"/>
  <c r="L183" i="9"/>
  <c r="O183" i="9"/>
  <c r="N183" i="9"/>
  <c r="A184" i="9"/>
  <c r="C186" i="6"/>
  <c r="Q184" i="9" l="1"/>
  <c r="P184" i="9"/>
  <c r="O184" i="9"/>
  <c r="N184" i="9"/>
  <c r="M184" i="9"/>
  <c r="L184" i="9"/>
  <c r="A185" i="9"/>
  <c r="C187" i="6"/>
  <c r="Q185" i="9" l="1"/>
  <c r="P185" i="9"/>
  <c r="O185" i="9"/>
  <c r="N185" i="9"/>
  <c r="M185" i="9"/>
  <c r="L185" i="9"/>
  <c r="A186" i="9"/>
  <c r="C188" i="6"/>
  <c r="Q186" i="9" l="1"/>
  <c r="P186" i="9"/>
  <c r="O186" i="9"/>
  <c r="N186" i="9"/>
  <c r="M186" i="9"/>
  <c r="L186" i="9"/>
  <c r="A187" i="9"/>
  <c r="C189" i="6"/>
  <c r="Q187" i="9" l="1"/>
  <c r="P187" i="9"/>
  <c r="O187" i="9"/>
  <c r="N187" i="9"/>
  <c r="M187" i="9"/>
  <c r="L187" i="9"/>
  <c r="A188" i="9"/>
  <c r="C190" i="6"/>
  <c r="Q188" i="9" l="1"/>
  <c r="P188" i="9"/>
  <c r="O188" i="9"/>
  <c r="N188" i="9"/>
  <c r="M188" i="9"/>
  <c r="L188" i="9"/>
  <c r="A189" i="9"/>
  <c r="C191" i="6"/>
  <c r="Q189" i="9" l="1"/>
  <c r="P189" i="9"/>
  <c r="O189" i="9"/>
  <c r="N189" i="9"/>
  <c r="M189" i="9"/>
  <c r="L189" i="9"/>
  <c r="A190" i="9"/>
  <c r="C192" i="6"/>
  <c r="Q190" i="9" l="1"/>
  <c r="P190" i="9"/>
  <c r="O190" i="9"/>
  <c r="N190" i="9"/>
  <c r="M190" i="9"/>
  <c r="L190" i="9"/>
  <c r="A191" i="9"/>
  <c r="C193" i="6"/>
  <c r="Q191" i="9" l="1"/>
  <c r="P191" i="9"/>
  <c r="O191" i="9"/>
  <c r="N191" i="9"/>
  <c r="M191" i="9"/>
  <c r="L191" i="9"/>
  <c r="A192" i="9"/>
  <c r="C194" i="6"/>
  <c r="Q192" i="9" l="1"/>
  <c r="P192" i="9"/>
  <c r="O192" i="9"/>
  <c r="N192" i="9"/>
  <c r="M192" i="9"/>
  <c r="L192" i="9"/>
  <c r="A193" i="9"/>
  <c r="C195" i="6"/>
  <c r="Q193" i="9" l="1"/>
  <c r="P193" i="9"/>
  <c r="O193" i="9"/>
  <c r="N193" i="9"/>
  <c r="M193" i="9"/>
  <c r="L193" i="9"/>
  <c r="A194" i="9"/>
  <c r="C196" i="6"/>
  <c r="Q194" i="9" l="1"/>
  <c r="P194" i="9"/>
  <c r="O194" i="9"/>
  <c r="N194" i="9"/>
  <c r="M194" i="9"/>
  <c r="L194" i="9"/>
  <c r="A195" i="9"/>
  <c r="C197" i="6"/>
  <c r="Q195" i="9" l="1"/>
  <c r="P195" i="9"/>
  <c r="O195" i="9"/>
  <c r="N195" i="9"/>
  <c r="M195" i="9"/>
  <c r="L195" i="9"/>
  <c r="A196" i="9"/>
  <c r="C198" i="6"/>
  <c r="Q196" i="9" l="1"/>
  <c r="P196" i="9"/>
  <c r="O196" i="9"/>
  <c r="N196" i="9"/>
  <c r="M196" i="9"/>
  <c r="L196" i="9"/>
  <c r="A197" i="9"/>
  <c r="C199" i="6"/>
  <c r="Q197" i="9" l="1"/>
  <c r="P197" i="9"/>
  <c r="O197" i="9"/>
  <c r="N197" i="9"/>
  <c r="M197" i="9"/>
  <c r="L197" i="9"/>
  <c r="A198" i="9"/>
  <c r="C200" i="6"/>
  <c r="Q198" i="9" l="1"/>
  <c r="P198" i="9"/>
  <c r="O198" i="9"/>
  <c r="N198" i="9"/>
  <c r="M198" i="9"/>
  <c r="L198" i="9"/>
  <c r="A199" i="9"/>
  <c r="C201" i="6"/>
  <c r="Q199" i="9" l="1"/>
  <c r="P199" i="9"/>
  <c r="O199" i="9"/>
  <c r="N199" i="9"/>
  <c r="M199" i="9"/>
  <c r="L199" i="9"/>
  <c r="A200" i="9"/>
  <c r="C202" i="6"/>
  <c r="Q200" i="9" l="1"/>
  <c r="P200" i="9"/>
  <c r="O200" i="9"/>
  <c r="N200" i="9"/>
  <c r="M200" i="9"/>
  <c r="L200" i="9"/>
  <c r="A201" i="9"/>
  <c r="C203" i="6"/>
  <c r="Q201" i="9" l="1"/>
  <c r="P201" i="9"/>
  <c r="O201" i="9"/>
  <c r="N201" i="9"/>
  <c r="M201" i="9"/>
  <c r="L201" i="9"/>
  <c r="A202" i="9"/>
  <c r="C204" i="6"/>
  <c r="Q202" i="9" l="1"/>
  <c r="P202" i="9"/>
  <c r="O202" i="9"/>
  <c r="N202" i="9"/>
  <c r="M202" i="9"/>
  <c r="L202" i="9"/>
  <c r="A203" i="9"/>
  <c r="C205" i="6"/>
  <c r="Q203" i="9" l="1"/>
  <c r="P203" i="9"/>
  <c r="O203" i="9"/>
  <c r="N203" i="9"/>
  <c r="M203" i="9"/>
  <c r="L203" i="9"/>
  <c r="A204" i="9"/>
  <c r="C206" i="6"/>
  <c r="Q204" i="9" l="1"/>
  <c r="P204" i="9"/>
  <c r="O204" i="9"/>
  <c r="N204" i="9"/>
  <c r="M204" i="9"/>
  <c r="L204" i="9"/>
  <c r="A205" i="9"/>
  <c r="C207" i="6"/>
  <c r="Q205" i="9" l="1"/>
  <c r="P205" i="9"/>
  <c r="O205" i="9"/>
  <c r="N205" i="9"/>
  <c r="M205" i="9"/>
  <c r="L205" i="9"/>
  <c r="A206" i="9"/>
  <c r="C208" i="6"/>
  <c r="Q206" i="9" l="1"/>
  <c r="P206" i="9"/>
  <c r="O206" i="9"/>
  <c r="N206" i="9"/>
  <c r="M206" i="9"/>
  <c r="L206" i="9"/>
  <c r="A207" i="9"/>
  <c r="C209" i="6"/>
  <c r="Q207" i="9" l="1"/>
  <c r="P207" i="9"/>
  <c r="O207" i="9"/>
  <c r="N207" i="9"/>
  <c r="M207" i="9"/>
  <c r="L207" i="9"/>
  <c r="A208" i="9"/>
  <c r="C210" i="6"/>
  <c r="Q208" i="9" l="1"/>
  <c r="P208" i="9"/>
  <c r="O208" i="9"/>
  <c r="N208" i="9"/>
  <c r="M208" i="9"/>
  <c r="L208" i="9"/>
  <c r="A209" i="9"/>
  <c r="C211" i="6"/>
  <c r="Q209" i="9" l="1"/>
  <c r="P209" i="9"/>
  <c r="O209" i="9"/>
  <c r="N209" i="9"/>
  <c r="M209" i="9"/>
  <c r="L209" i="9"/>
  <c r="A210" i="9"/>
  <c r="C212" i="6"/>
  <c r="Q210" i="9" l="1"/>
  <c r="P210" i="9"/>
  <c r="O210" i="9"/>
  <c r="N210" i="9"/>
  <c r="M210" i="9"/>
  <c r="L210" i="9"/>
  <c r="A211" i="9"/>
  <c r="C213" i="6"/>
  <c r="Q211" i="9" l="1"/>
  <c r="P211" i="9"/>
  <c r="O211" i="9"/>
  <c r="N211" i="9"/>
  <c r="M211" i="9"/>
  <c r="L211" i="9"/>
  <c r="A212" i="9"/>
  <c r="C214" i="6"/>
  <c r="Q212" i="9" l="1"/>
  <c r="P212" i="9"/>
  <c r="O212" i="9"/>
  <c r="N212" i="9"/>
  <c r="M212" i="9"/>
  <c r="L212" i="9"/>
  <c r="A213" i="9"/>
  <c r="C215" i="6"/>
  <c r="Q213" i="9" l="1"/>
  <c r="P213" i="9"/>
  <c r="O213" i="9"/>
  <c r="N213" i="9"/>
  <c r="M213" i="9"/>
  <c r="L213" i="9"/>
  <c r="A214" i="9"/>
  <c r="C216" i="6"/>
  <c r="Q214" i="9" l="1"/>
  <c r="P214" i="9"/>
  <c r="O214" i="9"/>
  <c r="N214" i="9"/>
  <c r="M214" i="9"/>
  <c r="L214" i="9"/>
  <c r="A215" i="9"/>
  <c r="C217" i="6"/>
  <c r="Q215" i="9" l="1"/>
  <c r="P215" i="9"/>
  <c r="O215" i="9"/>
  <c r="N215" i="9"/>
  <c r="M215" i="9"/>
  <c r="L215" i="9"/>
  <c r="A216" i="9"/>
  <c r="C218" i="6"/>
  <c r="Q216" i="9" l="1"/>
  <c r="P216" i="9"/>
  <c r="O216" i="9"/>
  <c r="N216" i="9"/>
  <c r="M216" i="9"/>
  <c r="L216" i="9"/>
  <c r="A217" i="9"/>
  <c r="C219" i="6"/>
  <c r="Q217" i="9" l="1"/>
  <c r="P217" i="9"/>
  <c r="O217" i="9"/>
  <c r="N217" i="9"/>
  <c r="M217" i="9"/>
  <c r="L217" i="9"/>
  <c r="A218" i="9"/>
  <c r="C220" i="6"/>
  <c r="Q218" i="9" l="1"/>
  <c r="P218" i="9"/>
  <c r="O218" i="9"/>
  <c r="N218" i="9"/>
  <c r="M218" i="9"/>
  <c r="L218" i="9"/>
  <c r="A219" i="9"/>
  <c r="C221" i="6"/>
  <c r="Q219" i="9" l="1"/>
  <c r="P219" i="9"/>
  <c r="O219" i="9"/>
  <c r="N219" i="9"/>
  <c r="M219" i="9"/>
  <c r="L219" i="9"/>
  <c r="A220" i="9"/>
  <c r="C222" i="6"/>
  <c r="Q220" i="9" l="1"/>
  <c r="P220" i="9"/>
  <c r="O220" i="9"/>
  <c r="N220" i="9"/>
  <c r="M220" i="9"/>
  <c r="L220" i="9"/>
  <c r="A221" i="9"/>
  <c r="C223" i="6"/>
  <c r="Q221" i="9" l="1"/>
  <c r="P221" i="9"/>
  <c r="O221" i="9"/>
  <c r="N221" i="9"/>
  <c r="M221" i="9"/>
  <c r="L221" i="9"/>
  <c r="A222" i="9"/>
  <c r="C224" i="6"/>
  <c r="Q222" i="9" l="1"/>
  <c r="P222" i="9"/>
  <c r="O222" i="9"/>
  <c r="N222" i="9"/>
  <c r="M222" i="9"/>
  <c r="L222" i="9"/>
  <c r="A223" i="9"/>
  <c r="C225" i="6"/>
  <c r="Q223" i="9" l="1"/>
  <c r="P223" i="9"/>
  <c r="O223" i="9"/>
  <c r="N223" i="9"/>
  <c r="M223" i="9"/>
  <c r="L223" i="9"/>
  <c r="A224" i="9"/>
  <c r="C226" i="6"/>
  <c r="Q224" i="9" l="1"/>
  <c r="P224" i="9"/>
  <c r="O224" i="9"/>
  <c r="N224" i="9"/>
  <c r="M224" i="9"/>
  <c r="L224" i="9"/>
  <c r="A225" i="9"/>
  <c r="C227" i="6"/>
  <c r="Q225" i="9" l="1"/>
  <c r="P225" i="9"/>
  <c r="O225" i="9"/>
  <c r="N225" i="9"/>
  <c r="M225" i="9"/>
  <c r="L225" i="9"/>
  <c r="A226" i="9"/>
  <c r="C228" i="6"/>
  <c r="Q226" i="9" l="1"/>
  <c r="P226" i="9"/>
  <c r="O226" i="9"/>
  <c r="N226" i="9"/>
  <c r="M226" i="9"/>
  <c r="L226" i="9"/>
  <c r="A227" i="9"/>
  <c r="C229" i="6"/>
  <c r="Q227" i="9" l="1"/>
  <c r="P227" i="9"/>
  <c r="O227" i="9"/>
  <c r="N227" i="9"/>
  <c r="M227" i="9"/>
  <c r="L227" i="9"/>
  <c r="A228" i="9"/>
  <c r="C230" i="6"/>
  <c r="Q228" i="9" l="1"/>
  <c r="P228" i="9"/>
  <c r="O228" i="9"/>
  <c r="N228" i="9"/>
  <c r="M228" i="9"/>
  <c r="L228" i="9"/>
  <c r="A229" i="9"/>
  <c r="C231" i="6"/>
  <c r="Q229" i="9" l="1"/>
  <c r="P229" i="9"/>
  <c r="O229" i="9"/>
  <c r="N229" i="9"/>
  <c r="M229" i="9"/>
  <c r="L229" i="9"/>
  <c r="A230" i="9"/>
  <c r="C232" i="6"/>
  <c r="Q230" i="9" l="1"/>
  <c r="P230" i="9"/>
  <c r="O230" i="9"/>
  <c r="N230" i="9"/>
  <c r="M230" i="9"/>
  <c r="L230" i="9"/>
  <c r="A231" i="9"/>
  <c r="C233" i="6"/>
  <c r="Q231" i="9" l="1"/>
  <c r="P231" i="9"/>
  <c r="O231" i="9"/>
  <c r="N231" i="9"/>
  <c r="M231" i="9"/>
  <c r="L231" i="9"/>
  <c r="A232" i="9"/>
  <c r="C234" i="6"/>
  <c r="Q232" i="9" l="1"/>
  <c r="P232" i="9"/>
  <c r="O232" i="9"/>
  <c r="N232" i="9"/>
  <c r="M232" i="9"/>
  <c r="L232" i="9"/>
  <c r="A233" i="9"/>
  <c r="C235" i="6"/>
  <c r="Q233" i="9" l="1"/>
  <c r="P233" i="9"/>
  <c r="O233" i="9"/>
  <c r="N233" i="9"/>
  <c r="M233" i="9"/>
  <c r="L233" i="9"/>
  <c r="A234" i="9"/>
  <c r="C236" i="6"/>
  <c r="Q234" i="9" l="1"/>
  <c r="P234" i="9"/>
  <c r="O234" i="9"/>
  <c r="N234" i="9"/>
  <c r="M234" i="9"/>
  <c r="L234" i="9"/>
  <c r="A235" i="9"/>
  <c r="C237" i="6"/>
  <c r="Q235" i="9" l="1"/>
  <c r="P235" i="9"/>
  <c r="O235" i="9"/>
  <c r="N235" i="9"/>
  <c r="M235" i="9"/>
  <c r="L235" i="9"/>
  <c r="A236" i="9"/>
  <c r="C238" i="6"/>
  <c r="Q236" i="9" l="1"/>
  <c r="P236" i="9"/>
  <c r="O236" i="9"/>
  <c r="N236" i="9"/>
  <c r="M236" i="9"/>
  <c r="L236" i="9"/>
  <c r="A237" i="9"/>
  <c r="C239" i="6"/>
  <c r="Q237" i="9" l="1"/>
  <c r="P237" i="9"/>
  <c r="O237" i="9"/>
  <c r="N237" i="9"/>
  <c r="M237" i="9"/>
  <c r="L237" i="9"/>
  <c r="A238" i="9"/>
  <c r="C240" i="6"/>
  <c r="Q238" i="9" l="1"/>
  <c r="P238" i="9"/>
  <c r="O238" i="9"/>
  <c r="N238" i="9"/>
  <c r="M238" i="9"/>
  <c r="L238" i="9"/>
  <c r="A239" i="9"/>
  <c r="C241" i="6"/>
  <c r="Q239" i="9" l="1"/>
  <c r="P239" i="9"/>
  <c r="O239" i="9"/>
  <c r="N239" i="9"/>
  <c r="M239" i="9"/>
  <c r="L239" i="9"/>
  <c r="A240" i="9"/>
  <c r="C242" i="6"/>
  <c r="Q240" i="9" l="1"/>
  <c r="P240" i="9"/>
  <c r="O240" i="9"/>
  <c r="N240" i="9"/>
  <c r="M240" i="9"/>
  <c r="L240" i="9"/>
  <c r="A241" i="9"/>
  <c r="C243" i="6"/>
  <c r="Q241" i="9" l="1"/>
  <c r="P241" i="9"/>
  <c r="O241" i="9"/>
  <c r="N241" i="9"/>
  <c r="M241" i="9"/>
  <c r="L241" i="9"/>
  <c r="A242" i="9"/>
  <c r="C244" i="6"/>
  <c r="Q242" i="9" l="1"/>
  <c r="P242" i="9"/>
  <c r="O242" i="9"/>
  <c r="N242" i="9"/>
  <c r="M242" i="9"/>
  <c r="L242" i="9"/>
  <c r="A243" i="9"/>
  <c r="C245" i="6"/>
  <c r="Q243" i="9" l="1"/>
  <c r="P243" i="9"/>
  <c r="O243" i="9"/>
  <c r="N243" i="9"/>
  <c r="M243" i="9"/>
  <c r="L243" i="9"/>
  <c r="A244" i="9"/>
  <c r="C246" i="6"/>
  <c r="Q244" i="9" l="1"/>
  <c r="P244" i="9"/>
  <c r="O244" i="9"/>
  <c r="N244" i="9"/>
  <c r="M244" i="9"/>
  <c r="L244" i="9"/>
  <c r="A245" i="9"/>
  <c r="C247" i="6"/>
  <c r="Q245" i="9" l="1"/>
  <c r="P245" i="9"/>
  <c r="O245" i="9"/>
  <c r="N245" i="9"/>
  <c r="M245" i="9"/>
  <c r="L245" i="9"/>
  <c r="A246" i="9"/>
  <c r="C248" i="6"/>
  <c r="Q246" i="9" l="1"/>
  <c r="P246" i="9"/>
  <c r="O246" i="9"/>
  <c r="N246" i="9"/>
  <c r="M246" i="9"/>
  <c r="L246" i="9"/>
  <c r="A247" i="9"/>
  <c r="C249" i="6"/>
  <c r="Q247" i="9" l="1"/>
  <c r="P247" i="9"/>
  <c r="O247" i="9"/>
  <c r="N247" i="9"/>
  <c r="M247" i="9"/>
  <c r="L247" i="9"/>
  <c r="A248" i="9"/>
  <c r="C250" i="6"/>
  <c r="Q248" i="9" l="1"/>
  <c r="P248" i="9"/>
  <c r="O248" i="9"/>
  <c r="N248" i="9"/>
  <c r="M248" i="9"/>
  <c r="L248" i="9"/>
  <c r="A249" i="9"/>
  <c r="C251" i="6"/>
  <c r="Q249" i="9" l="1"/>
  <c r="P249" i="9"/>
  <c r="O249" i="9"/>
  <c r="N249" i="9"/>
  <c r="M249" i="9"/>
  <c r="L249" i="9"/>
  <c r="A250" i="9"/>
  <c r="C252" i="6"/>
  <c r="Q250" i="9" l="1"/>
  <c r="P250" i="9"/>
  <c r="O250" i="9"/>
  <c r="N250" i="9"/>
  <c r="M250" i="9"/>
  <c r="L250" i="9"/>
  <c r="A251" i="9"/>
  <c r="C253" i="6"/>
  <c r="Q251" i="9" l="1"/>
  <c r="P251" i="9"/>
  <c r="O251" i="9"/>
  <c r="N251" i="9"/>
  <c r="M251" i="9"/>
  <c r="L251" i="9"/>
  <c r="A252" i="9"/>
  <c r="C254" i="6"/>
  <c r="Q252" i="9" l="1"/>
  <c r="P252" i="9"/>
  <c r="O252" i="9"/>
  <c r="N252" i="9"/>
  <c r="M252" i="9"/>
  <c r="L252" i="9"/>
  <c r="A253" i="9"/>
  <c r="C255" i="6"/>
  <c r="Q253" i="9" l="1"/>
  <c r="P253" i="9"/>
  <c r="O253" i="9"/>
  <c r="N253" i="9"/>
  <c r="M253" i="9"/>
  <c r="L253" i="9"/>
  <c r="A254" i="9"/>
  <c r="C256" i="6"/>
  <c r="Q254" i="9" l="1"/>
  <c r="P254" i="9"/>
  <c r="O254" i="9"/>
  <c r="N254" i="9"/>
  <c r="M254" i="9"/>
  <c r="L254" i="9"/>
  <c r="A255" i="9"/>
  <c r="C257" i="6"/>
  <c r="Q255" i="9" l="1"/>
  <c r="P255" i="9"/>
  <c r="O255" i="9"/>
  <c r="N255" i="9"/>
  <c r="M255" i="9"/>
  <c r="L255" i="9"/>
  <c r="A256" i="9"/>
  <c r="C258" i="6"/>
  <c r="Q256" i="9" l="1"/>
  <c r="P256" i="9"/>
  <c r="O256" i="9"/>
  <c r="N256" i="9"/>
  <c r="M256" i="9"/>
  <c r="L256" i="9"/>
  <c r="A257" i="9"/>
  <c r="C259" i="6"/>
  <c r="Q257" i="9" l="1"/>
  <c r="P257" i="9"/>
  <c r="O257" i="9"/>
  <c r="N257" i="9"/>
  <c r="M257" i="9"/>
  <c r="L257" i="9"/>
  <c r="A258" i="9"/>
  <c r="C260" i="6"/>
  <c r="Q258" i="9" l="1"/>
  <c r="P258" i="9"/>
  <c r="O258" i="9"/>
  <c r="N258" i="9"/>
  <c r="M258" i="9"/>
  <c r="L258" i="9"/>
  <c r="A259" i="9"/>
  <c r="C261" i="6"/>
  <c r="Q259" i="9" l="1"/>
  <c r="P259" i="9"/>
  <c r="O259" i="9"/>
  <c r="N259" i="9"/>
  <c r="M259" i="9"/>
  <c r="L259" i="9"/>
  <c r="A260" i="9"/>
  <c r="C262" i="6"/>
  <c r="Q260" i="9" l="1"/>
  <c r="P260" i="9"/>
  <c r="O260" i="9"/>
  <c r="N260" i="9"/>
  <c r="M260" i="9"/>
  <c r="L260" i="9"/>
  <c r="A261" i="9"/>
  <c r="C263" i="6"/>
  <c r="Q261" i="9" l="1"/>
  <c r="P261" i="9"/>
  <c r="O261" i="9"/>
  <c r="N261" i="9"/>
  <c r="M261" i="9"/>
  <c r="L261" i="9"/>
  <c r="A262" i="9"/>
  <c r="C264" i="6"/>
  <c r="Q262" i="9" l="1"/>
  <c r="P262" i="9"/>
  <c r="O262" i="9"/>
  <c r="N262" i="9"/>
  <c r="M262" i="9"/>
  <c r="L262" i="9"/>
  <c r="A263" i="9"/>
  <c r="C265" i="6"/>
  <c r="Q263" i="9" l="1"/>
  <c r="P263" i="9"/>
  <c r="O263" i="9"/>
  <c r="N263" i="9"/>
  <c r="M263" i="9"/>
  <c r="L263" i="9"/>
  <c r="A264" i="9"/>
  <c r="C266" i="6"/>
  <c r="Q264" i="9" l="1"/>
  <c r="P264" i="9"/>
  <c r="O264" i="9"/>
  <c r="N264" i="9"/>
  <c r="M264" i="9"/>
  <c r="L264" i="9"/>
  <c r="A265" i="9"/>
  <c r="C267" i="6"/>
  <c r="Q265" i="9" l="1"/>
  <c r="P265" i="9"/>
  <c r="O265" i="9"/>
  <c r="N265" i="9"/>
  <c r="M265" i="9"/>
  <c r="L265" i="9"/>
  <c r="A266" i="9"/>
  <c r="C268" i="6"/>
  <c r="Q266" i="9" l="1"/>
  <c r="P266" i="9"/>
  <c r="O266" i="9"/>
  <c r="N266" i="9"/>
  <c r="M266" i="9"/>
  <c r="L266" i="9"/>
  <c r="A267" i="9"/>
  <c r="C269" i="6"/>
  <c r="Q267" i="9" l="1"/>
  <c r="P267" i="9"/>
  <c r="O267" i="9"/>
  <c r="N267" i="9"/>
  <c r="M267" i="9"/>
  <c r="L267" i="9"/>
  <c r="A268" i="9"/>
  <c r="C270" i="6"/>
  <c r="Q268" i="9" l="1"/>
  <c r="P268" i="9"/>
  <c r="O268" i="9"/>
  <c r="N268" i="9"/>
  <c r="M268" i="9"/>
  <c r="L268" i="9"/>
  <c r="A269" i="9"/>
  <c r="C271" i="6"/>
  <c r="Q269" i="9" l="1"/>
  <c r="P269" i="9"/>
  <c r="O269" i="9"/>
  <c r="N269" i="9"/>
  <c r="M269" i="9"/>
  <c r="L269" i="9"/>
  <c r="A270" i="9"/>
  <c r="C272" i="6"/>
  <c r="Q270" i="9" l="1"/>
  <c r="P270" i="9"/>
  <c r="O270" i="9"/>
  <c r="N270" i="9"/>
  <c r="M270" i="9"/>
  <c r="L270" i="9"/>
  <c r="A271" i="9"/>
  <c r="C273" i="6"/>
  <c r="Q271" i="9" l="1"/>
  <c r="P271" i="9"/>
  <c r="O271" i="9"/>
  <c r="N271" i="9"/>
  <c r="M271" i="9"/>
  <c r="L271" i="9"/>
  <c r="A272" i="9"/>
  <c r="C274" i="6"/>
  <c r="Q272" i="9" l="1"/>
  <c r="P272" i="9"/>
  <c r="O272" i="9"/>
  <c r="N272" i="9"/>
  <c r="M272" i="9"/>
  <c r="L272" i="9"/>
  <c r="A273" i="9"/>
  <c r="C275" i="6"/>
  <c r="Q273" i="9" l="1"/>
  <c r="P273" i="9"/>
  <c r="O273" i="9"/>
  <c r="N273" i="9"/>
  <c r="M273" i="9"/>
  <c r="L273" i="9"/>
  <c r="A274" i="9"/>
  <c r="C276" i="6"/>
  <c r="Q274" i="9" l="1"/>
  <c r="P274" i="9"/>
  <c r="O274" i="9"/>
  <c r="N274" i="9"/>
  <c r="M274" i="9"/>
  <c r="L274" i="9"/>
  <c r="A275" i="9"/>
  <c r="C277" i="6"/>
  <c r="Q275" i="9" l="1"/>
  <c r="P275" i="9"/>
  <c r="O275" i="9"/>
  <c r="N275" i="9"/>
  <c r="M275" i="9"/>
  <c r="L275" i="9"/>
  <c r="A276" i="9"/>
  <c r="C278" i="6"/>
  <c r="Q276" i="9" l="1"/>
  <c r="P276" i="9"/>
  <c r="O276" i="9"/>
  <c r="N276" i="9"/>
  <c r="M276" i="9"/>
  <c r="L276" i="9"/>
  <c r="A277" i="9"/>
  <c r="C279" i="6"/>
  <c r="Q277" i="9" l="1"/>
  <c r="P277" i="9"/>
  <c r="O277" i="9"/>
  <c r="N277" i="9"/>
  <c r="M277" i="9"/>
  <c r="L277" i="9"/>
  <c r="A278" i="9"/>
  <c r="C280" i="6"/>
  <c r="Q278" i="9" l="1"/>
  <c r="P278" i="9"/>
  <c r="O278" i="9"/>
  <c r="N278" i="9"/>
  <c r="M278" i="9"/>
  <c r="L278" i="9"/>
  <c r="A279" i="9"/>
  <c r="C281" i="6"/>
  <c r="Q279" i="9" l="1"/>
  <c r="P279" i="9"/>
  <c r="O279" i="9"/>
  <c r="N279" i="9"/>
  <c r="M279" i="9"/>
  <c r="L279" i="9"/>
  <c r="A280" i="9"/>
  <c r="C282" i="6"/>
  <c r="Q280" i="9" l="1"/>
  <c r="P280" i="9"/>
  <c r="O280" i="9"/>
  <c r="N280" i="9"/>
  <c r="M280" i="9"/>
  <c r="L280" i="9"/>
  <c r="A281" i="9"/>
  <c r="C283" i="6"/>
  <c r="Q281" i="9" l="1"/>
  <c r="P281" i="9"/>
  <c r="O281" i="9"/>
  <c r="N281" i="9"/>
  <c r="M281" i="9"/>
  <c r="L281" i="9"/>
  <c r="A282" i="9"/>
  <c r="C284" i="6"/>
  <c r="Q282" i="9" l="1"/>
  <c r="P282" i="9"/>
  <c r="O282" i="9"/>
  <c r="N282" i="9"/>
  <c r="M282" i="9"/>
  <c r="L282" i="9"/>
  <c r="A283" i="9"/>
  <c r="C285" i="6"/>
  <c r="Q283" i="9" l="1"/>
  <c r="P283" i="9"/>
  <c r="O283" i="9"/>
  <c r="N283" i="9"/>
  <c r="M283" i="9"/>
  <c r="L283" i="9"/>
  <c r="A284" i="9"/>
  <c r="C286" i="6"/>
  <c r="Q284" i="9" l="1"/>
  <c r="P284" i="9"/>
  <c r="O284" i="9"/>
  <c r="N284" i="9"/>
  <c r="M284" i="9"/>
  <c r="L284" i="9"/>
  <c r="A285" i="9"/>
  <c r="C287" i="6"/>
  <c r="Q285" i="9" l="1"/>
  <c r="P285" i="9"/>
  <c r="O285" i="9"/>
  <c r="N285" i="9"/>
  <c r="M285" i="9"/>
  <c r="L285" i="9"/>
  <c r="A286" i="9"/>
  <c r="C288" i="6"/>
  <c r="Q286" i="9" l="1"/>
  <c r="P286" i="9"/>
  <c r="O286" i="9"/>
  <c r="N286" i="9"/>
  <c r="M286" i="9"/>
  <c r="L286" i="9"/>
  <c r="A287" i="9"/>
  <c r="C289" i="6"/>
  <c r="Q287" i="9" l="1"/>
  <c r="P287" i="9"/>
  <c r="O287" i="9"/>
  <c r="N287" i="9"/>
  <c r="M287" i="9"/>
  <c r="L287" i="9"/>
  <c r="A288" i="9"/>
  <c r="C290" i="6"/>
  <c r="Q288" i="9" l="1"/>
  <c r="P288" i="9"/>
  <c r="O288" i="9"/>
  <c r="N288" i="9"/>
  <c r="M288" i="9"/>
  <c r="L288" i="9"/>
  <c r="A289" i="9"/>
  <c r="C291" i="6"/>
  <c r="Q289" i="9" l="1"/>
  <c r="P289" i="9"/>
  <c r="O289" i="9"/>
  <c r="N289" i="9"/>
  <c r="M289" i="9"/>
  <c r="L289" i="9"/>
  <c r="A290" i="9"/>
  <c r="C292" i="6"/>
  <c r="Q290" i="9" l="1"/>
  <c r="P290" i="9"/>
  <c r="O290" i="9"/>
  <c r="N290" i="9"/>
  <c r="M290" i="9"/>
  <c r="L290" i="9"/>
  <c r="A291" i="9"/>
  <c r="C293" i="6"/>
  <c r="Q291" i="9" l="1"/>
  <c r="P291" i="9"/>
  <c r="O291" i="9"/>
  <c r="N291" i="9"/>
  <c r="M291" i="9"/>
  <c r="L291" i="9"/>
  <c r="A292" i="9"/>
  <c r="C294" i="6"/>
  <c r="Q292" i="9" l="1"/>
  <c r="P292" i="9"/>
  <c r="O292" i="9"/>
  <c r="N292" i="9"/>
  <c r="M292" i="9"/>
  <c r="L292" i="9"/>
  <c r="A293" i="9"/>
  <c r="C295" i="6"/>
  <c r="Q293" i="9" l="1"/>
  <c r="P293" i="9"/>
  <c r="O293" i="9"/>
  <c r="N293" i="9"/>
  <c r="M293" i="9"/>
  <c r="L293" i="9"/>
  <c r="A294" i="9"/>
  <c r="C296" i="6"/>
  <c r="Q294" i="9" l="1"/>
  <c r="P294" i="9"/>
  <c r="O294" i="9"/>
  <c r="N294" i="9"/>
  <c r="M294" i="9"/>
  <c r="L294" i="9"/>
  <c r="A295" i="9"/>
  <c r="C297" i="6"/>
  <c r="Q295" i="9" l="1"/>
  <c r="P295" i="9"/>
  <c r="O295" i="9"/>
  <c r="N295" i="9"/>
  <c r="M295" i="9"/>
  <c r="L295" i="9"/>
  <c r="A296" i="9"/>
  <c r="C298" i="6"/>
  <c r="Q296" i="9" l="1"/>
  <c r="P296" i="9"/>
  <c r="O296" i="9"/>
  <c r="N296" i="9"/>
  <c r="M296" i="9"/>
  <c r="L296" i="9"/>
  <c r="A297" i="9"/>
  <c r="C299" i="6"/>
  <c r="Q297" i="9" l="1"/>
  <c r="P297" i="9"/>
  <c r="O297" i="9"/>
  <c r="N297" i="9"/>
  <c r="M297" i="9"/>
  <c r="L297" i="9"/>
  <c r="A298" i="9"/>
  <c r="C300" i="6"/>
  <c r="Q298" i="9" l="1"/>
  <c r="P298" i="9"/>
  <c r="O298" i="9"/>
  <c r="N298" i="9"/>
  <c r="M298" i="9"/>
  <c r="L298" i="9"/>
  <c r="A299" i="9"/>
  <c r="C301" i="6"/>
  <c r="Q299" i="9" l="1"/>
  <c r="P299" i="9"/>
  <c r="O299" i="9"/>
  <c r="N299" i="9"/>
  <c r="M299" i="9"/>
  <c r="L299" i="9"/>
  <c r="A300" i="9"/>
  <c r="C302" i="6"/>
  <c r="Q300" i="9" l="1"/>
  <c r="N300" i="9"/>
  <c r="M300" i="9"/>
  <c r="L300" i="9"/>
  <c r="P300" i="9"/>
  <c r="O300" i="9"/>
  <c r="A301" i="9"/>
  <c r="C303" i="6"/>
  <c r="Q301" i="9" l="1"/>
  <c r="P301" i="9"/>
  <c r="O301" i="9"/>
  <c r="L301" i="9"/>
  <c r="N301" i="9"/>
  <c r="M301" i="9"/>
  <c r="A302" i="9"/>
  <c r="C304" i="6"/>
  <c r="Q302" i="9" l="1"/>
  <c r="N302" i="9"/>
  <c r="M302" i="9"/>
  <c r="P302" i="9"/>
  <c r="O302" i="9"/>
  <c r="L302" i="9"/>
  <c r="A303" i="9"/>
  <c r="C305" i="6"/>
  <c r="L303" i="9" l="1"/>
  <c r="Q303" i="9"/>
  <c r="P303" i="9"/>
  <c r="O303" i="9"/>
  <c r="N303" i="9"/>
  <c r="M303" i="9"/>
  <c r="A304" i="9"/>
  <c r="C306" i="6"/>
  <c r="Q304" i="9" l="1"/>
  <c r="P304" i="9"/>
  <c r="O304" i="9"/>
  <c r="N304" i="9"/>
  <c r="M304" i="9"/>
  <c r="L304" i="9"/>
  <c r="A305" i="9"/>
  <c r="C307" i="6"/>
  <c r="Q305" i="9" l="1"/>
  <c r="P305" i="9"/>
  <c r="O305" i="9"/>
  <c r="N305" i="9"/>
  <c r="M305" i="9"/>
  <c r="L305" i="9"/>
  <c r="A306" i="9"/>
  <c r="C308" i="6"/>
  <c r="Q306" i="9" l="1"/>
  <c r="P306" i="9"/>
  <c r="O306" i="9"/>
  <c r="N306" i="9"/>
  <c r="M306" i="9"/>
  <c r="L306" i="9"/>
  <c r="A307" i="9"/>
  <c r="C309" i="6"/>
  <c r="Q307" i="9" l="1"/>
  <c r="P307" i="9"/>
  <c r="O307" i="9"/>
  <c r="N307" i="9"/>
  <c r="M307" i="9"/>
  <c r="L307" i="9"/>
  <c r="A308" i="9"/>
  <c r="C310" i="6"/>
  <c r="Q308" i="9" l="1"/>
  <c r="P308" i="9"/>
  <c r="O308" i="9"/>
  <c r="N308" i="9"/>
  <c r="M308" i="9"/>
  <c r="L308" i="9"/>
  <c r="A309" i="9"/>
  <c r="C311" i="6"/>
  <c r="Q309" i="9" l="1"/>
  <c r="P309" i="9"/>
  <c r="O309" i="9"/>
  <c r="N309" i="9"/>
  <c r="M309" i="9"/>
  <c r="L309" i="9"/>
  <c r="A310" i="9"/>
  <c r="C312" i="6"/>
  <c r="Q310" i="9" l="1"/>
  <c r="P310" i="9"/>
  <c r="O310" i="9"/>
  <c r="N310" i="9"/>
  <c r="M310" i="9"/>
  <c r="L310" i="9"/>
  <c r="A311" i="9"/>
  <c r="C313" i="6"/>
  <c r="Q311" i="9" l="1"/>
  <c r="P311" i="9"/>
  <c r="O311" i="9"/>
  <c r="N311" i="9"/>
  <c r="M311" i="9"/>
  <c r="L311" i="9"/>
  <c r="A312" i="9"/>
  <c r="C314" i="6"/>
  <c r="Q312" i="9" l="1"/>
  <c r="P312" i="9"/>
  <c r="O312" i="9"/>
  <c r="N312" i="9"/>
  <c r="M312" i="9"/>
  <c r="L312" i="9"/>
  <c r="A313" i="9"/>
  <c r="C315" i="6"/>
  <c r="Q313" i="9" l="1"/>
  <c r="P313" i="9"/>
  <c r="O313" i="9"/>
  <c r="N313" i="9"/>
  <c r="M313" i="9"/>
  <c r="L313" i="9"/>
  <c r="A314" i="9"/>
  <c r="C316" i="6"/>
  <c r="Q314" i="9" l="1"/>
  <c r="P314" i="9"/>
  <c r="O314" i="9"/>
  <c r="N314" i="9"/>
  <c r="M314" i="9"/>
  <c r="L314" i="9"/>
  <c r="A315" i="9"/>
  <c r="C317" i="6"/>
  <c r="Q315" i="9" l="1"/>
  <c r="P315" i="9"/>
  <c r="O315" i="9"/>
  <c r="N315" i="9"/>
  <c r="M315" i="9"/>
  <c r="L315" i="9"/>
  <c r="A316" i="9"/>
  <c r="C318" i="6"/>
  <c r="Q316" i="9" l="1"/>
  <c r="P316" i="9"/>
  <c r="O316" i="9"/>
  <c r="N316" i="9"/>
  <c r="M316" i="9"/>
  <c r="L316" i="9"/>
  <c r="A317" i="9"/>
  <c r="C319" i="6"/>
  <c r="Q317" i="9" l="1"/>
  <c r="P317" i="9"/>
  <c r="O317" i="9"/>
  <c r="N317" i="9"/>
  <c r="M317" i="9"/>
  <c r="L317" i="9"/>
  <c r="A318" i="9"/>
  <c r="C320" i="6"/>
  <c r="Q318" i="9" l="1"/>
  <c r="P318" i="9"/>
  <c r="O318" i="9"/>
  <c r="N318" i="9"/>
  <c r="M318" i="9"/>
  <c r="L318" i="9"/>
  <c r="A319" i="9"/>
  <c r="C321" i="6"/>
  <c r="Q319" i="9" l="1"/>
  <c r="P319" i="9"/>
  <c r="O319" i="9"/>
  <c r="N319" i="9"/>
  <c r="M319" i="9"/>
  <c r="L319" i="9"/>
  <c r="A320" i="9"/>
  <c r="C322" i="6"/>
  <c r="Q320" i="9" l="1"/>
  <c r="P320" i="9"/>
  <c r="O320" i="9"/>
  <c r="N320" i="9"/>
  <c r="M320" i="9"/>
  <c r="L320" i="9"/>
  <c r="A321" i="9"/>
  <c r="C323" i="6"/>
  <c r="Q321" i="9" l="1"/>
  <c r="P321" i="9"/>
  <c r="O321" i="9"/>
  <c r="N321" i="9"/>
  <c r="M321" i="9"/>
  <c r="L321" i="9"/>
  <c r="A322" i="9"/>
  <c r="C324" i="6"/>
  <c r="Q322" i="9" l="1"/>
  <c r="P322" i="9"/>
  <c r="O322" i="9"/>
  <c r="N322" i="9"/>
  <c r="M322" i="9"/>
  <c r="L322" i="9"/>
  <c r="A323" i="9"/>
  <c r="C325" i="6"/>
  <c r="Q323" i="9" l="1"/>
  <c r="P323" i="9"/>
  <c r="O323" i="9"/>
  <c r="N323" i="9"/>
  <c r="M323" i="9"/>
  <c r="L323" i="9"/>
  <c r="A324" i="9"/>
  <c r="C326" i="6"/>
  <c r="Q324" i="9" l="1"/>
  <c r="P324" i="9"/>
  <c r="O324" i="9"/>
  <c r="N324" i="9"/>
  <c r="M324" i="9"/>
  <c r="L324" i="9"/>
  <c r="A325" i="9"/>
  <c r="C327" i="6"/>
  <c r="Q325" i="9" l="1"/>
  <c r="P325" i="9"/>
  <c r="O325" i="9"/>
  <c r="N325" i="9"/>
  <c r="M325" i="9"/>
  <c r="L325" i="9"/>
  <c r="A326" i="9"/>
  <c r="C328" i="6"/>
  <c r="Q326" i="9" l="1"/>
  <c r="P326" i="9"/>
  <c r="O326" i="9"/>
  <c r="N326" i="9"/>
  <c r="M326" i="9"/>
  <c r="L326" i="9"/>
  <c r="A327" i="9"/>
  <c r="C329" i="6"/>
  <c r="Q327" i="9" l="1"/>
  <c r="P327" i="9"/>
  <c r="O327" i="9"/>
  <c r="N327" i="9"/>
  <c r="M327" i="9"/>
  <c r="L327" i="9"/>
  <c r="A328" i="9"/>
  <c r="C330" i="6"/>
  <c r="Q328" i="9" l="1"/>
  <c r="P328" i="9"/>
  <c r="O328" i="9"/>
  <c r="N328" i="9"/>
  <c r="M328" i="9"/>
  <c r="L328" i="9"/>
  <c r="A329" i="9"/>
  <c r="C331" i="6"/>
  <c r="Q329" i="9" l="1"/>
  <c r="P329" i="9"/>
  <c r="O329" i="9"/>
  <c r="N329" i="9"/>
  <c r="M329" i="9"/>
  <c r="L329" i="9"/>
  <c r="A330" i="9"/>
  <c r="C332" i="6"/>
  <c r="Q330" i="9" l="1"/>
  <c r="P330" i="9"/>
  <c r="O330" i="9"/>
  <c r="N330" i="9"/>
  <c r="M330" i="9"/>
  <c r="L330" i="9"/>
  <c r="A331" i="9"/>
  <c r="C333" i="6"/>
  <c r="Q331" i="9" l="1"/>
  <c r="P331" i="9"/>
  <c r="O331" i="9"/>
  <c r="N331" i="9"/>
  <c r="M331" i="9"/>
  <c r="L331" i="9"/>
  <c r="A332" i="9"/>
  <c r="C334" i="6"/>
  <c r="Q332" i="9" l="1"/>
  <c r="P332" i="9"/>
  <c r="O332" i="9"/>
  <c r="N332" i="9"/>
  <c r="M332" i="9"/>
  <c r="L332" i="9"/>
  <c r="A333" i="9"/>
  <c r="C335" i="6"/>
  <c r="Q333" i="9" l="1"/>
  <c r="P333" i="9"/>
  <c r="O333" i="9"/>
  <c r="N333" i="9"/>
  <c r="M333" i="9"/>
  <c r="L333" i="9"/>
  <c r="A334" i="9"/>
  <c r="C336" i="6"/>
  <c r="Q334" i="9" l="1"/>
  <c r="P334" i="9"/>
  <c r="O334" i="9"/>
  <c r="N334" i="9"/>
  <c r="M334" i="9"/>
  <c r="L334" i="9"/>
  <c r="A335" i="9"/>
  <c r="C337" i="6"/>
  <c r="Q335" i="9" l="1"/>
  <c r="P335" i="9"/>
  <c r="O335" i="9"/>
  <c r="N335" i="9"/>
  <c r="M335" i="9"/>
  <c r="L335" i="9"/>
  <c r="A336" i="9"/>
  <c r="C338" i="6"/>
  <c r="Q336" i="9" l="1"/>
  <c r="P336" i="9"/>
  <c r="O336" i="9"/>
  <c r="N336" i="9"/>
  <c r="M336" i="9"/>
  <c r="L336" i="9"/>
  <c r="A337" i="9"/>
  <c r="C339" i="6"/>
  <c r="Q337" i="9" l="1"/>
  <c r="P337" i="9"/>
  <c r="O337" i="9"/>
  <c r="N337" i="9"/>
  <c r="M337" i="9"/>
  <c r="L337" i="9"/>
  <c r="A338" i="9"/>
  <c r="C340" i="6"/>
  <c r="Q338" i="9" l="1"/>
  <c r="P338" i="9"/>
  <c r="O338" i="9"/>
  <c r="N338" i="9"/>
  <c r="M338" i="9"/>
  <c r="L338" i="9"/>
  <c r="A339" i="9"/>
  <c r="C341" i="6"/>
  <c r="Q339" i="9" l="1"/>
  <c r="P339" i="9"/>
  <c r="O339" i="9"/>
  <c r="N339" i="9"/>
  <c r="M339" i="9"/>
  <c r="L339" i="9"/>
  <c r="A340" i="9"/>
  <c r="C342" i="6"/>
  <c r="Q340" i="9" l="1"/>
  <c r="P340" i="9"/>
  <c r="O340" i="9"/>
  <c r="N340" i="9"/>
  <c r="M340" i="9"/>
  <c r="L340" i="9"/>
  <c r="A341" i="9"/>
  <c r="C343" i="6"/>
  <c r="Q341" i="9" l="1"/>
  <c r="P341" i="9"/>
  <c r="O341" i="9"/>
  <c r="N341" i="9"/>
  <c r="M341" i="9"/>
  <c r="L341" i="9"/>
  <c r="A342" i="9"/>
  <c r="C344" i="6"/>
  <c r="Q342" i="9" l="1"/>
  <c r="P342" i="9"/>
  <c r="O342" i="9"/>
  <c r="N342" i="9"/>
  <c r="M342" i="9"/>
  <c r="L342" i="9"/>
  <c r="A343" i="9"/>
  <c r="C345" i="6"/>
  <c r="Q343" i="9" l="1"/>
  <c r="P343" i="9"/>
  <c r="O343" i="9"/>
  <c r="N343" i="9"/>
  <c r="M343" i="9"/>
  <c r="L343" i="9"/>
  <c r="A344" i="9"/>
  <c r="C346" i="6"/>
  <c r="Q344" i="9" l="1"/>
  <c r="P344" i="9"/>
  <c r="O344" i="9"/>
  <c r="N344" i="9"/>
  <c r="M344" i="9"/>
  <c r="L344" i="9"/>
  <c r="A345" i="9"/>
  <c r="C347" i="6"/>
  <c r="Q345" i="9" l="1"/>
  <c r="P345" i="9"/>
  <c r="O345" i="9"/>
  <c r="N345" i="9"/>
  <c r="M345" i="9"/>
  <c r="L345" i="9"/>
  <c r="A346" i="9"/>
  <c r="C348" i="6"/>
  <c r="Q346" i="9" l="1"/>
  <c r="P346" i="9"/>
  <c r="O346" i="9"/>
  <c r="N346" i="9"/>
  <c r="M346" i="9"/>
  <c r="L346" i="9"/>
  <c r="A347" i="9"/>
  <c r="C349" i="6"/>
  <c r="Q347" i="9" l="1"/>
  <c r="P347" i="9"/>
  <c r="O347" i="9"/>
  <c r="N347" i="9"/>
  <c r="M347" i="9"/>
  <c r="L347" i="9"/>
  <c r="A348" i="9"/>
  <c r="C350" i="6"/>
  <c r="Q348" i="9" l="1"/>
  <c r="P348" i="9"/>
  <c r="O348" i="9"/>
  <c r="N348" i="9"/>
  <c r="M348" i="9"/>
  <c r="L348" i="9"/>
  <c r="A349" i="9"/>
  <c r="C351" i="6"/>
  <c r="Q349" i="9" l="1"/>
  <c r="P349" i="9"/>
  <c r="O349" i="9"/>
  <c r="N349" i="9"/>
  <c r="M349" i="9"/>
  <c r="L349" i="9"/>
  <c r="A350" i="9"/>
  <c r="C352" i="6"/>
  <c r="Q350" i="9" l="1"/>
  <c r="P350" i="9"/>
  <c r="O350" i="9"/>
  <c r="N350" i="9"/>
  <c r="M350" i="9"/>
  <c r="L350" i="9"/>
  <c r="A351" i="9"/>
  <c r="C353" i="6"/>
  <c r="Q351" i="9" l="1"/>
  <c r="P351" i="9"/>
  <c r="O351" i="9"/>
  <c r="N351" i="9"/>
  <c r="M351" i="9"/>
  <c r="L351" i="9"/>
  <c r="A352" i="9"/>
  <c r="C354" i="6"/>
  <c r="Q352" i="9" l="1"/>
  <c r="P352" i="9"/>
  <c r="O352" i="9"/>
  <c r="N352" i="9"/>
  <c r="M352" i="9"/>
  <c r="L352" i="9"/>
  <c r="A353" i="9"/>
  <c r="C355" i="6"/>
  <c r="Q353" i="9" l="1"/>
  <c r="P353" i="9"/>
  <c r="O353" i="9"/>
  <c r="N353" i="9"/>
  <c r="M353" i="9"/>
  <c r="L353" i="9"/>
  <c r="A354" i="9"/>
  <c r="C356" i="6"/>
  <c r="Q354" i="9" l="1"/>
  <c r="P354" i="9"/>
  <c r="O354" i="9"/>
  <c r="N354" i="9"/>
  <c r="M354" i="9"/>
  <c r="L354" i="9"/>
  <c r="A355" i="9"/>
  <c r="C357" i="6"/>
  <c r="Q355" i="9" l="1"/>
  <c r="P355" i="9"/>
  <c r="O355" i="9"/>
  <c r="N355" i="9"/>
  <c r="M355" i="9"/>
  <c r="L355" i="9"/>
  <c r="A356" i="9"/>
  <c r="C358" i="6"/>
  <c r="Q356" i="9" l="1"/>
  <c r="P356" i="9"/>
  <c r="O356" i="9"/>
  <c r="N356" i="9"/>
  <c r="M356" i="9"/>
  <c r="L356" i="9"/>
  <c r="A357" i="9"/>
  <c r="C359" i="6"/>
  <c r="Q357" i="9" l="1"/>
  <c r="P357" i="9"/>
  <c r="O357" i="9"/>
  <c r="N357" i="9"/>
  <c r="M357" i="9"/>
  <c r="L357" i="9"/>
  <c r="A358" i="9"/>
  <c r="C360" i="6"/>
  <c r="Q358" i="9" l="1"/>
  <c r="P358" i="9"/>
  <c r="O358" i="9"/>
  <c r="N358" i="9"/>
  <c r="M358" i="9"/>
  <c r="L358" i="9"/>
  <c r="A359" i="9"/>
  <c r="C361" i="6"/>
  <c r="Q359" i="9" l="1"/>
  <c r="P359" i="9"/>
  <c r="O359" i="9"/>
  <c r="N359" i="9"/>
  <c r="M359" i="9"/>
  <c r="L359" i="9"/>
  <c r="A360" i="9"/>
  <c r="C362" i="6"/>
  <c r="Q360" i="9" l="1"/>
  <c r="P360" i="9"/>
  <c r="O360" i="9"/>
  <c r="N360" i="9"/>
  <c r="M360" i="9"/>
  <c r="L360" i="9"/>
  <c r="A361" i="9"/>
  <c r="C363" i="6"/>
  <c r="Q361" i="9" l="1"/>
  <c r="P361" i="9"/>
  <c r="O361" i="9"/>
  <c r="N361" i="9"/>
  <c r="M361" i="9"/>
  <c r="L361" i="9"/>
  <c r="A362" i="9"/>
  <c r="C364" i="6"/>
  <c r="Q362" i="9" l="1"/>
  <c r="P362" i="9"/>
  <c r="O362" i="9"/>
  <c r="N362" i="9"/>
  <c r="M362" i="9"/>
  <c r="L362" i="9"/>
  <c r="A363" i="9"/>
  <c r="C365" i="6"/>
  <c r="Q363" i="9" l="1"/>
  <c r="P363" i="9"/>
  <c r="O363" i="9"/>
  <c r="N363" i="9"/>
  <c r="M363" i="9"/>
  <c r="L363" i="9"/>
  <c r="A364" i="9"/>
  <c r="C366" i="6"/>
  <c r="Q364" i="9" l="1"/>
  <c r="P364" i="9"/>
  <c r="O364" i="9"/>
  <c r="N364" i="9"/>
  <c r="M364" i="9"/>
  <c r="L364" i="9"/>
  <c r="A365" i="9"/>
  <c r="C367" i="6"/>
  <c r="Q365" i="9" l="1"/>
  <c r="P365" i="9"/>
  <c r="O365" i="9"/>
  <c r="N365" i="9"/>
  <c r="M365" i="9"/>
  <c r="L365" i="9"/>
  <c r="A366" i="9"/>
  <c r="C368" i="6"/>
  <c r="Q366" i="9" l="1"/>
  <c r="P366" i="9"/>
  <c r="O366" i="9"/>
  <c r="N366" i="9"/>
  <c r="M366" i="9"/>
  <c r="L366" i="9"/>
  <c r="A367" i="9"/>
  <c r="C369" i="6"/>
  <c r="Q367" i="9" l="1"/>
  <c r="P367" i="9"/>
  <c r="O367" i="9"/>
  <c r="N367" i="9"/>
  <c r="M367" i="9"/>
  <c r="L367" i="9"/>
  <c r="A368" i="9"/>
  <c r="C370" i="6"/>
  <c r="Q368" i="9" l="1"/>
  <c r="P368" i="9"/>
  <c r="O368" i="9"/>
  <c r="N368" i="9"/>
  <c r="M368" i="9"/>
  <c r="L368" i="9"/>
  <c r="A369" i="9"/>
  <c r="C371" i="6"/>
  <c r="Q369" i="9" l="1"/>
  <c r="P369" i="9"/>
  <c r="O369" i="9"/>
  <c r="N369" i="9"/>
  <c r="M369" i="9"/>
  <c r="L369" i="9"/>
  <c r="A370" i="9"/>
  <c r="C372" i="6"/>
  <c r="Q370" i="9" l="1"/>
  <c r="P370" i="9"/>
  <c r="O370" i="9"/>
  <c r="N370" i="9"/>
  <c r="M370" i="9"/>
  <c r="L370" i="9"/>
  <c r="A371" i="9"/>
  <c r="C373" i="6"/>
  <c r="Q371" i="9" l="1"/>
  <c r="P371" i="9"/>
  <c r="O371" i="9"/>
  <c r="N371" i="9"/>
  <c r="M371" i="9"/>
  <c r="L371" i="9"/>
  <c r="A372" i="9"/>
  <c r="C374" i="6"/>
  <c r="Q372" i="9" l="1"/>
  <c r="P372" i="9"/>
  <c r="O372" i="9"/>
  <c r="N372" i="9"/>
  <c r="M372" i="9"/>
  <c r="L372" i="9"/>
  <c r="A373" i="9"/>
  <c r="C375" i="6"/>
  <c r="Q373" i="9" l="1"/>
  <c r="P373" i="9"/>
  <c r="O373" i="9"/>
  <c r="N373" i="9"/>
  <c r="M373" i="9"/>
  <c r="L373" i="9"/>
  <c r="A374" i="9"/>
  <c r="C376" i="6"/>
  <c r="Q374" i="9" l="1"/>
  <c r="P374" i="9"/>
  <c r="O374" i="9"/>
  <c r="N374" i="9"/>
  <c r="M374" i="9"/>
  <c r="L374" i="9"/>
  <c r="A375" i="9"/>
  <c r="C377" i="6"/>
  <c r="Q375" i="9" l="1"/>
  <c r="P375" i="9"/>
  <c r="O375" i="9"/>
  <c r="N375" i="9"/>
  <c r="M375" i="9"/>
  <c r="L375" i="9"/>
  <c r="A376" i="9"/>
  <c r="C378" i="6"/>
  <c r="Q376" i="9" l="1"/>
  <c r="P376" i="9"/>
  <c r="O376" i="9"/>
  <c r="N376" i="9"/>
  <c r="M376" i="9"/>
  <c r="L376" i="9"/>
  <c r="A377" i="9"/>
  <c r="C379" i="6"/>
  <c r="Q377" i="9" l="1"/>
  <c r="P377" i="9"/>
  <c r="O377" i="9"/>
  <c r="N377" i="9"/>
  <c r="M377" i="9"/>
  <c r="L377" i="9"/>
  <c r="A378" i="9"/>
  <c r="C380" i="6"/>
  <c r="Q378" i="9" l="1"/>
  <c r="P378" i="9"/>
  <c r="O378" i="9"/>
  <c r="N378" i="9"/>
  <c r="M378" i="9"/>
  <c r="L378" i="9"/>
  <c r="A379" i="9"/>
  <c r="C381" i="6"/>
  <c r="Q379" i="9" l="1"/>
  <c r="P379" i="9"/>
  <c r="O379" i="9"/>
  <c r="N379" i="9"/>
  <c r="M379" i="9"/>
  <c r="L379" i="9"/>
  <c r="A380" i="9"/>
  <c r="C382" i="6"/>
  <c r="Q380" i="9" l="1"/>
  <c r="P380" i="9"/>
  <c r="O380" i="9"/>
  <c r="N380" i="9"/>
  <c r="M380" i="9"/>
  <c r="L380" i="9"/>
  <c r="A381" i="9"/>
  <c r="C383" i="6"/>
  <c r="Q381" i="9" l="1"/>
  <c r="P381" i="9"/>
  <c r="O381" i="9"/>
  <c r="N381" i="9"/>
  <c r="M381" i="9"/>
  <c r="L381" i="9"/>
  <c r="A382" i="9"/>
  <c r="C384" i="6"/>
  <c r="Q382" i="9" l="1"/>
  <c r="P382" i="9"/>
  <c r="O382" i="9"/>
  <c r="N382" i="9"/>
  <c r="M382" i="9"/>
  <c r="L382" i="9"/>
  <c r="A383" i="9"/>
  <c r="C385" i="6"/>
  <c r="Q383" i="9" l="1"/>
  <c r="P383" i="9"/>
  <c r="O383" i="9"/>
  <c r="N383" i="9"/>
  <c r="M383" i="9"/>
  <c r="L383" i="9"/>
  <c r="A384" i="9"/>
  <c r="C386" i="6"/>
  <c r="Q384" i="9" l="1"/>
  <c r="P384" i="9"/>
  <c r="O384" i="9"/>
  <c r="N384" i="9"/>
  <c r="M384" i="9"/>
  <c r="L384" i="9"/>
  <c r="A385" i="9"/>
  <c r="C387" i="6"/>
  <c r="Q385" i="9" l="1"/>
  <c r="P385" i="9"/>
  <c r="O385" i="9"/>
  <c r="N385" i="9"/>
  <c r="M385" i="9"/>
  <c r="L385" i="9"/>
  <c r="A386" i="9"/>
  <c r="C388" i="6"/>
  <c r="Q386" i="9" l="1"/>
  <c r="P386" i="9"/>
  <c r="O386" i="9"/>
  <c r="N386" i="9"/>
  <c r="M386" i="9"/>
  <c r="L386" i="9"/>
  <c r="A387" i="9"/>
  <c r="C389" i="6"/>
  <c r="Q387" i="9" l="1"/>
  <c r="P387" i="9"/>
  <c r="O387" i="9"/>
  <c r="N387" i="9"/>
  <c r="M387" i="9"/>
  <c r="L387" i="9"/>
  <c r="A388" i="9"/>
  <c r="C390" i="6"/>
  <c r="Q388" i="9" l="1"/>
  <c r="P388" i="9"/>
  <c r="O388" i="9"/>
  <c r="N388" i="9"/>
  <c r="M388" i="9"/>
  <c r="L388" i="9"/>
  <c r="A389" i="9"/>
  <c r="C391" i="6"/>
  <c r="Q389" i="9" l="1"/>
  <c r="P389" i="9"/>
  <c r="O389" i="9"/>
  <c r="N389" i="9"/>
  <c r="M389" i="9"/>
  <c r="L389" i="9"/>
  <c r="A390" i="9"/>
  <c r="C392" i="6"/>
  <c r="Q390" i="9" l="1"/>
  <c r="P390" i="9"/>
  <c r="O390" i="9"/>
  <c r="N390" i="9"/>
  <c r="M390" i="9"/>
  <c r="L390" i="9"/>
  <c r="A391" i="9"/>
  <c r="C393" i="6"/>
  <c r="Q391" i="9" l="1"/>
  <c r="P391" i="9"/>
  <c r="O391" i="9"/>
  <c r="N391" i="9"/>
  <c r="M391" i="9"/>
  <c r="L391" i="9"/>
  <c r="A392" i="9"/>
  <c r="C394" i="6"/>
  <c r="Q392" i="9" l="1"/>
  <c r="P392" i="9"/>
  <c r="O392" i="9"/>
  <c r="N392" i="9"/>
  <c r="M392" i="9"/>
  <c r="L392" i="9"/>
  <c r="A393" i="9"/>
  <c r="C395" i="6"/>
  <c r="Q393" i="9" l="1"/>
  <c r="P393" i="9"/>
  <c r="O393" i="9"/>
  <c r="N393" i="9"/>
  <c r="M393" i="9"/>
  <c r="L393" i="9"/>
  <c r="A394" i="9"/>
  <c r="C396" i="6"/>
  <c r="Q394" i="9" l="1"/>
  <c r="P394" i="9"/>
  <c r="O394" i="9"/>
  <c r="N394" i="9"/>
  <c r="M394" i="9"/>
  <c r="L394" i="9"/>
  <c r="A395" i="9"/>
  <c r="C397" i="6"/>
  <c r="Q395" i="9" l="1"/>
  <c r="P395" i="9"/>
  <c r="O395" i="9"/>
  <c r="N395" i="9"/>
  <c r="M395" i="9"/>
  <c r="L395" i="9"/>
  <c r="A396" i="9"/>
  <c r="C398" i="6"/>
  <c r="Q396" i="9" l="1"/>
  <c r="P396" i="9"/>
  <c r="O396" i="9"/>
  <c r="N396" i="9"/>
  <c r="M396" i="9"/>
  <c r="L396" i="9"/>
  <c r="A397" i="9"/>
  <c r="C399" i="6"/>
  <c r="Q397" i="9" l="1"/>
  <c r="P397" i="9"/>
  <c r="O397" i="9"/>
  <c r="N397" i="9"/>
  <c r="M397" i="9"/>
  <c r="L397" i="9"/>
  <c r="A398" i="9"/>
  <c r="C400" i="6"/>
  <c r="Q398" i="9" l="1"/>
  <c r="P398" i="9"/>
  <c r="O398" i="9"/>
  <c r="N398" i="9"/>
  <c r="M398" i="9"/>
  <c r="L398" i="9"/>
  <c r="A399" i="9"/>
  <c r="C401" i="6"/>
  <c r="Q399" i="9" l="1"/>
  <c r="P399" i="9"/>
  <c r="O399" i="9"/>
  <c r="N399" i="9"/>
  <c r="M399" i="9"/>
  <c r="L399" i="9"/>
  <c r="A400" i="9"/>
  <c r="C402" i="6"/>
  <c r="Q400" i="9" l="1"/>
  <c r="P400" i="9"/>
  <c r="O400" i="9"/>
  <c r="N400" i="9"/>
  <c r="M400" i="9"/>
  <c r="L400" i="9"/>
  <c r="A401" i="9"/>
  <c r="C403" i="6"/>
  <c r="Q401" i="9" l="1"/>
  <c r="P401" i="9"/>
  <c r="O401" i="9"/>
  <c r="N401" i="9"/>
  <c r="M401" i="9"/>
  <c r="L401" i="9"/>
  <c r="A402" i="9"/>
  <c r="Q402" i="9" l="1"/>
  <c r="P402" i="9"/>
  <c r="O402" i="9"/>
  <c r="N402" i="9"/>
  <c r="M402" i="9"/>
  <c r="L402" i="9"/>
  <c r="A403" i="9"/>
  <c r="Q403" i="9" l="1"/>
  <c r="P403" i="9"/>
  <c r="O403" i="9"/>
  <c r="N403" i="9"/>
  <c r="M403" i="9"/>
  <c r="L403" i="9"/>
  <c r="A404" i="9"/>
  <c r="Q404" i="9" l="1"/>
  <c r="P404" i="9"/>
  <c r="O404" i="9"/>
  <c r="N404" i="9"/>
  <c r="M404" i="9"/>
  <c r="L404" i="9"/>
  <c r="A405" i="9"/>
  <c r="Q405" i="9" l="1"/>
  <c r="P405" i="9"/>
  <c r="O405" i="9"/>
  <c r="N405" i="9"/>
  <c r="M405" i="9"/>
  <c r="L405" i="9"/>
  <c r="A406" i="9"/>
  <c r="Q406" i="9" l="1"/>
  <c r="P406" i="9"/>
  <c r="O406" i="9"/>
  <c r="N406" i="9"/>
  <c r="M406" i="9"/>
  <c r="L406" i="9"/>
  <c r="A407" i="9"/>
  <c r="Q407" i="9" l="1"/>
  <c r="P407" i="9"/>
  <c r="O407" i="9"/>
  <c r="N407" i="9"/>
  <c r="M407" i="9"/>
  <c r="L407" i="9"/>
  <c r="A408" i="9"/>
  <c r="Q408" i="9" l="1"/>
  <c r="P408" i="9"/>
  <c r="O408" i="9"/>
  <c r="N408" i="9"/>
  <c r="M408" i="9"/>
  <c r="L408" i="9"/>
  <c r="A409" i="9"/>
  <c r="Q409" i="9" l="1"/>
  <c r="P409" i="9"/>
  <c r="O409" i="9"/>
  <c r="N409" i="9"/>
  <c r="M409" i="9"/>
  <c r="L409" i="9"/>
  <c r="A410" i="9"/>
  <c r="Q410" i="9" l="1"/>
  <c r="P410" i="9"/>
  <c r="O410" i="9"/>
  <c r="N410" i="9"/>
  <c r="M410" i="9"/>
  <c r="L410" i="9"/>
  <c r="A411" i="9"/>
  <c r="Q411" i="9" l="1"/>
  <c r="P411" i="9"/>
  <c r="O411" i="9"/>
  <c r="N411" i="9"/>
  <c r="M411" i="9"/>
  <c r="L411" i="9"/>
  <c r="A412" i="9"/>
  <c r="Q412" i="9" l="1"/>
  <c r="P412" i="9"/>
  <c r="O412" i="9"/>
  <c r="N412" i="9"/>
  <c r="M412" i="9"/>
  <c r="L412" i="9"/>
  <c r="A413" i="9"/>
  <c r="Q413" i="9" l="1"/>
  <c r="P413" i="9"/>
  <c r="O413" i="9"/>
  <c r="N413" i="9"/>
  <c r="M413" i="9"/>
  <c r="L413" i="9"/>
  <c r="A414" i="9"/>
  <c r="Q414" i="9" l="1"/>
  <c r="P414" i="9"/>
  <c r="O414" i="9"/>
  <c r="N414" i="9"/>
  <c r="M414" i="9"/>
  <c r="L414" i="9"/>
  <c r="A415" i="9"/>
  <c r="Q415" i="9" l="1"/>
  <c r="P415" i="9"/>
  <c r="O415" i="9"/>
  <c r="N415" i="9"/>
  <c r="M415" i="9"/>
  <c r="L415" i="9"/>
  <c r="A416" i="9"/>
  <c r="Q416" i="9" l="1"/>
  <c r="P416" i="9"/>
  <c r="O416" i="9"/>
  <c r="N416" i="9"/>
  <c r="M416" i="9"/>
  <c r="L416" i="9"/>
  <c r="A417" i="9"/>
  <c r="Q417" i="9" l="1"/>
  <c r="P417" i="9"/>
  <c r="O417" i="9"/>
  <c r="N417" i="9"/>
  <c r="M417" i="9"/>
  <c r="L417" i="9"/>
  <c r="A418" i="9"/>
  <c r="Q418" i="9" l="1"/>
  <c r="P418" i="9"/>
  <c r="O418" i="9"/>
  <c r="N418" i="9"/>
  <c r="M418" i="9"/>
  <c r="L418" i="9"/>
  <c r="A419" i="9"/>
  <c r="Q419" i="9" l="1"/>
  <c r="P419" i="9"/>
  <c r="O419" i="9"/>
  <c r="N419" i="9"/>
  <c r="M419" i="9"/>
  <c r="L419" i="9"/>
  <c r="A420" i="9"/>
  <c r="Q420" i="9" l="1"/>
  <c r="P420" i="9"/>
  <c r="O420" i="9"/>
  <c r="N420" i="9"/>
  <c r="M420" i="9"/>
  <c r="L420" i="9"/>
  <c r="A421" i="9"/>
  <c r="Q421" i="9" l="1"/>
  <c r="P421" i="9"/>
  <c r="O421" i="9"/>
  <c r="N421" i="9"/>
  <c r="M421" i="9"/>
  <c r="L421" i="9"/>
  <c r="A422" i="9"/>
  <c r="Q422" i="9" l="1"/>
  <c r="P422" i="9"/>
  <c r="O422" i="9"/>
  <c r="N422" i="9"/>
  <c r="M422" i="9"/>
  <c r="L422" i="9"/>
  <c r="A423" i="9"/>
  <c r="Q423" i="9" l="1"/>
  <c r="P423" i="9"/>
  <c r="O423" i="9"/>
  <c r="N423" i="9"/>
  <c r="M423" i="9"/>
  <c r="L423" i="9"/>
  <c r="A424" i="9"/>
  <c r="Q424" i="9" l="1"/>
  <c r="P424" i="9"/>
  <c r="O424" i="9"/>
  <c r="N424" i="9"/>
  <c r="M424" i="9"/>
  <c r="L424" i="9"/>
  <c r="A425" i="9"/>
  <c r="Q425" i="9" l="1"/>
  <c r="P425" i="9"/>
  <c r="O425" i="9"/>
  <c r="N425" i="9"/>
  <c r="M425" i="9"/>
  <c r="L425" i="9"/>
  <c r="A426" i="9"/>
  <c r="Q426" i="9" l="1"/>
  <c r="P426" i="9"/>
  <c r="O426" i="9"/>
  <c r="N426" i="9"/>
  <c r="M426" i="9"/>
  <c r="L426" i="9"/>
  <c r="A427" i="9"/>
  <c r="Q427" i="9" l="1"/>
  <c r="P427" i="9"/>
  <c r="O427" i="9"/>
  <c r="N427" i="9"/>
  <c r="M427" i="9"/>
  <c r="L427" i="9"/>
  <c r="A428" i="9"/>
  <c r="Q428" i="9" l="1"/>
  <c r="P428" i="9"/>
  <c r="O428" i="9"/>
  <c r="N428" i="9"/>
  <c r="M428" i="9"/>
  <c r="L428" i="9"/>
  <c r="A429" i="9"/>
  <c r="Q429" i="9" l="1"/>
  <c r="P429" i="9"/>
  <c r="O429" i="9"/>
  <c r="N429" i="9"/>
  <c r="M429" i="9"/>
  <c r="L429" i="9"/>
  <c r="A430" i="9"/>
  <c r="Q430" i="9" l="1"/>
  <c r="P430" i="9"/>
  <c r="O430" i="9"/>
  <c r="N430" i="9"/>
  <c r="M430" i="9"/>
  <c r="L430" i="9"/>
  <c r="A431" i="9"/>
  <c r="Q431" i="9" l="1"/>
  <c r="P431" i="9"/>
  <c r="O431" i="9"/>
  <c r="N431" i="9"/>
  <c r="M431" i="9"/>
  <c r="L431" i="9"/>
  <c r="A432" i="9"/>
  <c r="Q432" i="9" l="1"/>
  <c r="P432" i="9"/>
  <c r="O432" i="9"/>
  <c r="N432" i="9"/>
  <c r="M432" i="9"/>
  <c r="L432" i="9"/>
  <c r="A433" i="9"/>
  <c r="Q433" i="9" l="1"/>
  <c r="P433" i="9"/>
  <c r="O433" i="9"/>
  <c r="N433" i="9"/>
  <c r="M433" i="9"/>
  <c r="L433" i="9"/>
  <c r="A434" i="9"/>
  <c r="Q434" i="9" l="1"/>
  <c r="P434" i="9"/>
  <c r="O434" i="9"/>
  <c r="N434" i="9"/>
  <c r="M434" i="9"/>
  <c r="L434" i="9"/>
  <c r="A435" i="9"/>
  <c r="Q435" i="9" l="1"/>
  <c r="P435" i="9"/>
  <c r="O435" i="9"/>
  <c r="N435" i="9"/>
  <c r="M435" i="9"/>
  <c r="L435" i="9"/>
  <c r="A436" i="9"/>
  <c r="Q436" i="9" l="1"/>
  <c r="P436" i="9"/>
  <c r="O436" i="9"/>
  <c r="N436" i="9"/>
  <c r="M436" i="9"/>
  <c r="L436" i="9"/>
  <c r="A437" i="9"/>
  <c r="Q437" i="9" l="1"/>
  <c r="P437" i="9"/>
  <c r="O437" i="9"/>
  <c r="N437" i="9"/>
  <c r="M437" i="9"/>
  <c r="L437" i="9"/>
  <c r="A438" i="9"/>
  <c r="Q438" i="9" l="1"/>
  <c r="P438" i="9"/>
  <c r="O438" i="9"/>
  <c r="N438" i="9"/>
  <c r="M438" i="9"/>
  <c r="L438" i="9"/>
  <c r="A439" i="9"/>
  <c r="Q439" i="9" l="1"/>
  <c r="P439" i="9"/>
  <c r="O439" i="9"/>
  <c r="N439" i="9"/>
  <c r="M439" i="9"/>
  <c r="L439" i="9"/>
  <c r="A440" i="9"/>
  <c r="Q440" i="9" l="1"/>
  <c r="P440" i="9"/>
  <c r="O440" i="9"/>
  <c r="N440" i="9"/>
  <c r="M440" i="9"/>
  <c r="L440" i="9"/>
  <c r="A441" i="9"/>
  <c r="Q441" i="9" l="1"/>
  <c r="P441" i="9"/>
  <c r="O441" i="9"/>
  <c r="N441" i="9"/>
  <c r="M441" i="9"/>
  <c r="L441" i="9"/>
  <c r="A442" i="9"/>
  <c r="Q442" i="9" l="1"/>
  <c r="P442" i="9"/>
  <c r="O442" i="9"/>
  <c r="N442" i="9"/>
  <c r="M442" i="9"/>
  <c r="L442" i="9"/>
  <c r="A443" i="9"/>
  <c r="Q443" i="9" l="1"/>
  <c r="P443" i="9"/>
  <c r="O443" i="9"/>
  <c r="N443" i="9"/>
  <c r="M443" i="9"/>
  <c r="L443" i="9"/>
  <c r="A444" i="9"/>
  <c r="Q444" i="9" l="1"/>
  <c r="P444" i="9"/>
  <c r="O444" i="9"/>
  <c r="N444" i="9"/>
  <c r="M444" i="9"/>
  <c r="L444" i="9"/>
  <c r="A445" i="9"/>
  <c r="Q445" i="9" l="1"/>
  <c r="P445" i="9"/>
  <c r="O445" i="9"/>
  <c r="N445" i="9"/>
  <c r="M445" i="9"/>
  <c r="L445" i="9"/>
  <c r="A446" i="9"/>
  <c r="Q446" i="9" l="1"/>
  <c r="P446" i="9"/>
  <c r="O446" i="9"/>
  <c r="N446" i="9"/>
  <c r="M446" i="9"/>
  <c r="L446" i="9"/>
  <c r="A447" i="9"/>
  <c r="Q447" i="9" l="1"/>
  <c r="P447" i="9"/>
  <c r="O447" i="9"/>
  <c r="N447" i="9"/>
  <c r="M447" i="9"/>
  <c r="L447" i="9"/>
  <c r="A448" i="9"/>
  <c r="Q448" i="9" l="1"/>
  <c r="P448" i="9"/>
  <c r="O448" i="9"/>
  <c r="N448" i="9"/>
  <c r="M448" i="9"/>
  <c r="L448" i="9"/>
  <c r="A449" i="9"/>
  <c r="Q449" i="9" l="1"/>
  <c r="P449" i="9"/>
  <c r="O449" i="9"/>
  <c r="N449" i="9"/>
  <c r="M449" i="9"/>
  <c r="L449" i="9"/>
  <c r="A450" i="9"/>
  <c r="Q450" i="9" l="1"/>
  <c r="P450" i="9"/>
  <c r="O450" i="9"/>
  <c r="N450" i="9"/>
  <c r="M450" i="9"/>
  <c r="L450" i="9"/>
  <c r="A451" i="9"/>
  <c r="Q451" i="9" l="1"/>
  <c r="P451" i="9"/>
  <c r="O451" i="9"/>
  <c r="N451" i="9"/>
  <c r="M451" i="9"/>
  <c r="L451" i="9"/>
  <c r="A452" i="9"/>
  <c r="Q452" i="9" l="1"/>
  <c r="P452" i="9"/>
  <c r="O452" i="9"/>
  <c r="N452" i="9"/>
  <c r="M452" i="9"/>
  <c r="L452" i="9"/>
  <c r="A453" i="9"/>
  <c r="Q453" i="9" l="1"/>
  <c r="P453" i="9"/>
  <c r="O453" i="9"/>
  <c r="N453" i="9"/>
  <c r="M453" i="9"/>
  <c r="L453" i="9"/>
  <c r="A454" i="9"/>
  <c r="Q454" i="9" l="1"/>
  <c r="P454" i="9"/>
  <c r="O454" i="9"/>
  <c r="N454" i="9"/>
  <c r="M454" i="9"/>
  <c r="L454" i="9"/>
  <c r="A455" i="9"/>
  <c r="Q455" i="9" l="1"/>
  <c r="P455" i="9"/>
  <c r="O455" i="9"/>
  <c r="N455" i="9"/>
  <c r="M455" i="9"/>
  <c r="L455" i="9"/>
  <c r="A456" i="9"/>
  <c r="Q456" i="9" l="1"/>
  <c r="P456" i="9"/>
  <c r="O456" i="9"/>
  <c r="N456" i="9"/>
  <c r="M456" i="9"/>
  <c r="L456" i="9"/>
  <c r="A457" i="9"/>
  <c r="Q457" i="9" l="1"/>
  <c r="P457" i="9"/>
  <c r="O457" i="9"/>
  <c r="N457" i="9"/>
  <c r="M457" i="9"/>
  <c r="L457" i="9"/>
  <c r="A458" i="9"/>
  <c r="Q458" i="9" l="1"/>
  <c r="P458" i="9"/>
  <c r="O458" i="9"/>
  <c r="N458" i="9"/>
  <c r="M458" i="9"/>
  <c r="L458" i="9"/>
  <c r="A459" i="9"/>
  <c r="Q459" i="9" l="1"/>
  <c r="P459" i="9"/>
  <c r="O459" i="9"/>
  <c r="N459" i="9"/>
  <c r="M459" i="9"/>
  <c r="L459" i="9"/>
  <c r="A460" i="9"/>
  <c r="Q460" i="9" l="1"/>
  <c r="P460" i="9"/>
  <c r="O460" i="9"/>
  <c r="N460" i="9"/>
  <c r="M460" i="9"/>
  <c r="L460" i="9"/>
  <c r="A461" i="9"/>
  <c r="Q461" i="9" l="1"/>
  <c r="P461" i="9"/>
  <c r="O461" i="9"/>
  <c r="N461" i="9"/>
  <c r="M461" i="9"/>
  <c r="L461" i="9"/>
  <c r="A462" i="9"/>
  <c r="Q462" i="9" l="1"/>
  <c r="P462" i="9"/>
  <c r="O462" i="9"/>
  <c r="N462" i="9"/>
  <c r="M462" i="9"/>
  <c r="L462" i="9"/>
  <c r="A463" i="9"/>
  <c r="Q463" i="9" l="1"/>
  <c r="P463" i="9"/>
  <c r="O463" i="9"/>
  <c r="N463" i="9"/>
  <c r="M463" i="9"/>
  <c r="L463" i="9"/>
  <c r="A464" i="9"/>
  <c r="Q464" i="9" l="1"/>
  <c r="P464" i="9"/>
  <c r="O464" i="9"/>
  <c r="N464" i="9"/>
  <c r="M464" i="9"/>
  <c r="L464" i="9"/>
  <c r="A465" i="9"/>
  <c r="Q465" i="9" l="1"/>
  <c r="P465" i="9"/>
  <c r="O465" i="9"/>
  <c r="N465" i="9"/>
  <c r="M465" i="9"/>
  <c r="L465" i="9"/>
  <c r="A466" i="9"/>
  <c r="Q466" i="9" l="1"/>
  <c r="P466" i="9"/>
  <c r="O466" i="9"/>
  <c r="N466" i="9"/>
  <c r="M466" i="9"/>
  <c r="L466" i="9"/>
  <c r="A467" i="9"/>
  <c r="Q467" i="9" l="1"/>
  <c r="P467" i="9"/>
  <c r="O467" i="9"/>
  <c r="N467" i="9"/>
  <c r="M467" i="9"/>
  <c r="L467" i="9"/>
  <c r="A468" i="9"/>
  <c r="Q468" i="9" l="1"/>
  <c r="P468" i="9"/>
  <c r="O468" i="9"/>
  <c r="N468" i="9"/>
  <c r="M468" i="9"/>
  <c r="L468" i="9"/>
  <c r="A469" i="9"/>
  <c r="Q469" i="9" l="1"/>
  <c r="P469" i="9"/>
  <c r="O469" i="9"/>
  <c r="N469" i="9"/>
  <c r="M469" i="9"/>
  <c r="L469" i="9"/>
  <c r="A470" i="9"/>
  <c r="Q470" i="9" l="1"/>
  <c r="P470" i="9"/>
  <c r="O470" i="9"/>
  <c r="N470" i="9"/>
  <c r="M470" i="9"/>
  <c r="L470" i="9"/>
  <c r="A471" i="9"/>
  <c r="Q471" i="9" l="1"/>
  <c r="P471" i="9"/>
  <c r="O471" i="9"/>
  <c r="N471" i="9"/>
  <c r="M471" i="9"/>
  <c r="L471" i="9"/>
  <c r="A472" i="9"/>
  <c r="Q472" i="9" l="1"/>
  <c r="P472" i="9"/>
  <c r="O472" i="9"/>
  <c r="N472" i="9"/>
  <c r="M472" i="9"/>
  <c r="L472" i="9"/>
  <c r="A473" i="9"/>
  <c r="Q473" i="9" l="1"/>
  <c r="P473" i="9"/>
  <c r="O473" i="9"/>
  <c r="N473" i="9"/>
  <c r="M473" i="9"/>
  <c r="L473" i="9"/>
  <c r="A474" i="9"/>
  <c r="Q474" i="9" l="1"/>
  <c r="P474" i="9"/>
  <c r="O474" i="9"/>
  <c r="N474" i="9"/>
  <c r="M474" i="9"/>
  <c r="L474" i="9"/>
  <c r="A475" i="9"/>
  <c r="Q475" i="9" l="1"/>
  <c r="P475" i="9"/>
  <c r="O475" i="9"/>
  <c r="N475" i="9"/>
  <c r="M475" i="9"/>
  <c r="L475" i="9"/>
  <c r="A476" i="9"/>
  <c r="Q476" i="9" l="1"/>
  <c r="P476" i="9"/>
  <c r="O476" i="9"/>
  <c r="N476" i="9"/>
  <c r="M476" i="9"/>
  <c r="L476" i="9"/>
  <c r="A477" i="9"/>
  <c r="Q477" i="9" l="1"/>
  <c r="P477" i="9"/>
  <c r="O477" i="9"/>
  <c r="N477" i="9"/>
  <c r="M477" i="9"/>
  <c r="L477" i="9"/>
  <c r="A478" i="9"/>
  <c r="Q478" i="9" l="1"/>
  <c r="P478" i="9"/>
  <c r="O478" i="9"/>
  <c r="N478" i="9"/>
  <c r="M478" i="9"/>
  <c r="L478" i="9"/>
  <c r="A479" i="9"/>
  <c r="Q479" i="9" l="1"/>
  <c r="P479" i="9"/>
  <c r="O479" i="9"/>
  <c r="N479" i="9"/>
  <c r="M479" i="9"/>
  <c r="L479" i="9"/>
  <c r="A480" i="9"/>
  <c r="Q480" i="9" l="1"/>
  <c r="P480" i="9"/>
  <c r="O480" i="9"/>
  <c r="N480" i="9"/>
  <c r="M480" i="9"/>
  <c r="L48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<sst xmlns="http://schemas.openxmlformats.org/spreadsheetml/2006/main" count="14620" uniqueCount="12321">
  <si>
    <t>Lula III</t>
  </si>
  <si>
    <t>Bolsonaro</t>
  </si>
  <si>
    <t>Temer</t>
  </si>
  <si>
    <t>Dilma II</t>
  </si>
  <si>
    <t>Dilma I</t>
  </si>
  <si>
    <t>Lula II</t>
  </si>
  <si>
    <t>Lula I</t>
  </si>
  <si>
    <t>Coluna1</t>
  </si>
  <si>
    <t>Selic</t>
  </si>
  <si>
    <t>Dólar</t>
  </si>
  <si>
    <t>IPCA</t>
  </si>
  <si>
    <t>Ibov</t>
  </si>
  <si>
    <t>Resultado Primário</t>
  </si>
  <si>
    <t xml:space="preserve">Dívida Líquida </t>
  </si>
  <si>
    <t>Dívida Bruta</t>
  </si>
  <si>
    <t>Investimento Estrangeiro Direto</t>
  </si>
  <si>
    <t>IPOs B3</t>
  </si>
  <si>
    <t>FHC II</t>
  </si>
  <si>
    <t>FHC I</t>
  </si>
  <si>
    <t>Fonte</t>
  </si>
  <si>
    <t>-</t>
  </si>
  <si>
    <t>4502 - Dívida bruta do governo geral - Saldos em R$ milhões - Metodologia utilizada até 2007 - R$ (milhões)</t>
  </si>
  <si>
    <t>4501 - Divida líquida do governo geral - Saldos em R$ milhões - R$ (milhões)</t>
  </si>
  <si>
    <t>4468 - Dívida Líquida do Setor Público - Saldos em R$ milhões - Total - Governo Federal e Banco Central - R$ (milhões)</t>
  </si>
  <si>
    <t>Data</t>
  </si>
  <si>
    <t>Início do mandato</t>
  </si>
  <si>
    <t>Fim do mandato</t>
  </si>
  <si>
    <t/>
  </si>
  <si>
    <t>4382 - PIB acumulado dos últimos 12 meses - Valores correntes (R$ milhões) - R$ (milhões)</t>
  </si>
  <si>
    <t>Ibov/Dólar</t>
  </si>
  <si>
    <t>BCB-DSTAT</t>
  </si>
  <si>
    <t>4649 - NFSP sem desvalorização cambial - Fluxo mensal corrente - Resultado primário - Total - Setor público consolidado - R$ (milhões)</t>
  </si>
  <si>
    <t>4639 - NFSP sem desvalorização cambial - Fluxo mensal corrente - Resultado primário - Total - Governo Federal e Banco Central - R$ (milhões)</t>
  </si>
  <si>
    <t>RP Real (GF e BC)</t>
  </si>
  <si>
    <t>RP Real (STP)</t>
  </si>
  <si>
    <t>Endividamento das Famílias (exc. Crédito Habitacional)</t>
  </si>
  <si>
    <t>18/09/2026</t>
  </si>
  <si>
    <t>17/09/2026</t>
  </si>
  <si>
    <t>16/09/2026</t>
  </si>
  <si>
    <t>15/09/2026</t>
  </si>
  <si>
    <t>14/09/2026</t>
  </si>
  <si>
    <t>13/09/2026</t>
  </si>
  <si>
    <t>12/09/2026</t>
  </si>
  <si>
    <t>11/09/2026</t>
  </si>
  <si>
    <t>10/09/2026</t>
  </si>
  <si>
    <t>09/09/2026</t>
  </si>
  <si>
    <t>08/09/2026</t>
  </si>
  <si>
    <t>07/09/2026</t>
  </si>
  <si>
    <t>06/09/2026</t>
  </si>
  <si>
    <t>05/09/2026</t>
  </si>
  <si>
    <t>04/09/2026</t>
  </si>
  <si>
    <t>03/09/2026</t>
  </si>
  <si>
    <t>02/09/2026</t>
  </si>
  <si>
    <t>01/09/2026</t>
  </si>
  <si>
    <t>31/08/2026</t>
  </si>
  <si>
    <t>30/08/2026</t>
  </si>
  <si>
    <t>29/08/2026</t>
  </si>
  <si>
    <t>28/08/2026</t>
  </si>
  <si>
    <t>27/08/2026</t>
  </si>
  <si>
    <t>26/08/2026</t>
  </si>
  <si>
    <t>25/08/2026</t>
  </si>
  <si>
    <t>24/08/2026</t>
  </si>
  <si>
    <t>23/08/2026</t>
  </si>
  <si>
    <t>22/08/2026</t>
  </si>
  <si>
    <t>21/08/2026</t>
  </si>
  <si>
    <t>20/08/2026</t>
  </si>
  <si>
    <t>19/08/2026</t>
  </si>
  <si>
    <t>18/08/2026</t>
  </si>
  <si>
    <t>17/08/2026</t>
  </si>
  <si>
    <t>16/08/2026</t>
  </si>
  <si>
    <t>15/08/2026</t>
  </si>
  <si>
    <t>14/08/2026</t>
  </si>
  <si>
    <t>13/08/2026</t>
  </si>
  <si>
    <t>12/08/2026</t>
  </si>
  <si>
    <t>11/08/2026</t>
  </si>
  <si>
    <t>10/08/2026</t>
  </si>
  <si>
    <t>09/08/2026</t>
  </si>
  <si>
    <t>08/08/2026</t>
  </si>
  <si>
    <t>07/08/2026</t>
  </si>
  <si>
    <t>06/08/2026</t>
  </si>
  <si>
    <t>05/08/2026</t>
  </si>
  <si>
    <t>04/08/2026</t>
  </si>
  <si>
    <t>03/08/2026</t>
  </si>
  <si>
    <t>02/08/2026</t>
  </si>
  <si>
    <t>01/08/2026</t>
  </si>
  <si>
    <t>31/07/2026</t>
  </si>
  <si>
    <t>30/07/2026</t>
  </si>
  <si>
    <t>29/07/2026</t>
  </si>
  <si>
    <t>28/07/2026</t>
  </si>
  <si>
    <t>27/07/2026</t>
  </si>
  <si>
    <t>26/07/2026</t>
  </si>
  <si>
    <t>25/07/2026</t>
  </si>
  <si>
    <t>24/07/2026</t>
  </si>
  <si>
    <t>23/07/2026</t>
  </si>
  <si>
    <t>22/07/2026</t>
  </si>
  <si>
    <t>21/07/2026</t>
  </si>
  <si>
    <t>20/07/2026</t>
  </si>
  <si>
    <t>19/07/2026</t>
  </si>
  <si>
    <t>18/07/2026</t>
  </si>
  <si>
    <t>17/07/2026</t>
  </si>
  <si>
    <t>16/07/2026</t>
  </si>
  <si>
    <t>15/07/2026</t>
  </si>
  <si>
    <t>14/07/2026</t>
  </si>
  <si>
    <t>13/07/2026</t>
  </si>
  <si>
    <t>12/07/2026</t>
  </si>
  <si>
    <t>11/07/2026</t>
  </si>
  <si>
    <t>10/07/2026</t>
  </si>
  <si>
    <t>09/07/2026</t>
  </si>
  <si>
    <t>08/07/2026</t>
  </si>
  <si>
    <t>07/07/2026</t>
  </si>
  <si>
    <t>06/07/2026</t>
  </si>
  <si>
    <t>05/07/2026</t>
  </si>
  <si>
    <t>04/07/2026</t>
  </si>
  <si>
    <t>03/07/2026</t>
  </si>
  <si>
    <t>02/07/2026</t>
  </si>
  <si>
    <t>01/07/2026</t>
  </si>
  <si>
    <t>30/06/2026</t>
  </si>
  <si>
    <t>29/06/2026</t>
  </si>
  <si>
    <t>28/06/2026</t>
  </si>
  <si>
    <t>27/06/2026</t>
  </si>
  <si>
    <t>26/06/2026</t>
  </si>
  <si>
    <t>25/06/2026</t>
  </si>
  <si>
    <t>24/06/2026</t>
  </si>
  <si>
    <t>23/06/2026</t>
  </si>
  <si>
    <t>22/06/2026</t>
  </si>
  <si>
    <t>21/06/2026</t>
  </si>
  <si>
    <t>20/06/2026</t>
  </si>
  <si>
    <t>19/06/2026</t>
  </si>
  <si>
    <t>18/06/2026</t>
  </si>
  <si>
    <t>17/06/2026</t>
  </si>
  <si>
    <t>16/06/2026</t>
  </si>
  <si>
    <t>15/06/2026</t>
  </si>
  <si>
    <t>14/06/2026</t>
  </si>
  <si>
    <t>13/06/2026</t>
  </si>
  <si>
    <t>12/06/2026</t>
  </si>
  <si>
    <t>11/06/2026</t>
  </si>
  <si>
    <t>10/06/2026</t>
  </si>
  <si>
    <t>09/06/2026</t>
  </si>
  <si>
    <t>08/06/2026</t>
  </si>
  <si>
    <t>07/06/2026</t>
  </si>
  <si>
    <t>06/06/2026</t>
  </si>
  <si>
    <t>05/06/2026</t>
  </si>
  <si>
    <t>04/06/2026</t>
  </si>
  <si>
    <t>03/06/2026</t>
  </si>
  <si>
    <t>02/06/2026</t>
  </si>
  <si>
    <t>01/06/2026</t>
  </si>
  <si>
    <t>31/05/2026</t>
  </si>
  <si>
    <t>30/05/2026</t>
  </si>
  <si>
    <t>29/05/2026</t>
  </si>
  <si>
    <t>28/05/2026</t>
  </si>
  <si>
    <t>27/05/2026</t>
  </si>
  <si>
    <t>26/05/2026</t>
  </si>
  <si>
    <t>25/05/2026</t>
  </si>
  <si>
    <t>24/05/2026</t>
  </si>
  <si>
    <t>23/05/2026</t>
  </si>
  <si>
    <t>22/05/2026</t>
  </si>
  <si>
    <t>21/05/2026</t>
  </si>
  <si>
    <t>20/05/2026</t>
  </si>
  <si>
    <t>19/05/2026</t>
  </si>
  <si>
    <t>18/05/2026</t>
  </si>
  <si>
    <t>17/05/2026</t>
  </si>
  <si>
    <t>16/05/2026</t>
  </si>
  <si>
    <t>15/05/2026</t>
  </si>
  <si>
    <t>14/05/2026</t>
  </si>
  <si>
    <t>13/05/2026</t>
  </si>
  <si>
    <t>12/05/2026</t>
  </si>
  <si>
    <t>11/05/2026</t>
  </si>
  <si>
    <t>10/05/2026</t>
  </si>
  <si>
    <t>09/05/2026</t>
  </si>
  <si>
    <t>08/05/2026</t>
  </si>
  <si>
    <t>07/05/2026</t>
  </si>
  <si>
    <t>06/05/2026</t>
  </si>
  <si>
    <t>05/05/2026</t>
  </si>
  <si>
    <t>04/05/2026</t>
  </si>
  <si>
    <t>03/05/2026</t>
  </si>
  <si>
    <t>02/05/2026</t>
  </si>
  <si>
    <t>01/05/2026</t>
  </si>
  <si>
    <t>30/04/2026</t>
  </si>
  <si>
    <t>29/04/2026</t>
  </si>
  <si>
    <t>28/04/2026</t>
  </si>
  <si>
    <t>27/04/2026</t>
  </si>
  <si>
    <t>26/04/2026</t>
  </si>
  <si>
    <t>25/04/2026</t>
  </si>
  <si>
    <t>24/04/2026</t>
  </si>
  <si>
    <t>23/04/2026</t>
  </si>
  <si>
    <t>22/04/2026</t>
  </si>
  <si>
    <t>21/04/2026</t>
  </si>
  <si>
    <t>20/04/2026</t>
  </si>
  <si>
    <t>19/04/2026</t>
  </si>
  <si>
    <t>18/04/2026</t>
  </si>
  <si>
    <t>17/04/2026</t>
  </si>
  <si>
    <t>16/04/2026</t>
  </si>
  <si>
    <t>15/04/2026</t>
  </si>
  <si>
    <t>14/04/2026</t>
  </si>
  <si>
    <t>13/04/2026</t>
  </si>
  <si>
    <t>12/04/2026</t>
  </si>
  <si>
    <t>11/04/2026</t>
  </si>
  <si>
    <t>10/04/2026</t>
  </si>
  <si>
    <t>09/04/2026</t>
  </si>
  <si>
    <t>08/04/2026</t>
  </si>
  <si>
    <t>07/04/2026</t>
  </si>
  <si>
    <t>06/04/2026</t>
  </si>
  <si>
    <t>05/04/2026</t>
  </si>
  <si>
    <t>04/04/2026</t>
  </si>
  <si>
    <t>03/04/2026</t>
  </si>
  <si>
    <t>02/04/2026</t>
  </si>
  <si>
    <t>01/04/2026</t>
  </si>
  <si>
    <t>31/03/2026</t>
  </si>
  <si>
    <t>30/03/2026</t>
  </si>
  <si>
    <t>29/03/2026</t>
  </si>
  <si>
    <t>28/03/2026</t>
  </si>
  <si>
    <t>27/03/2026</t>
  </si>
  <si>
    <t>26/03/2026</t>
  </si>
  <si>
    <t>25/03/2026</t>
  </si>
  <si>
    <t>24/03/2026</t>
  </si>
  <si>
    <t>23/03/2026</t>
  </si>
  <si>
    <t>22/03/2026</t>
  </si>
  <si>
    <t>21/03/2026</t>
  </si>
  <si>
    <t>20/03/2026</t>
  </si>
  <si>
    <t>19/03/2026</t>
  </si>
  <si>
    <t>18/03/2026</t>
  </si>
  <si>
    <t>17/03/2026</t>
  </si>
  <si>
    <t>16/03/2026</t>
  </si>
  <si>
    <t>15/03/2026</t>
  </si>
  <si>
    <t>14/03/2026</t>
  </si>
  <si>
    <t>13/03/2026</t>
  </si>
  <si>
    <t>12/03/2026</t>
  </si>
  <si>
    <t>11/03/2026</t>
  </si>
  <si>
    <t>10/03/2026</t>
  </si>
  <si>
    <t>09/03/2026</t>
  </si>
  <si>
    <t>08/03/2026</t>
  </si>
  <si>
    <t>07/03/2026</t>
  </si>
  <si>
    <t>06/03/2026</t>
  </si>
  <si>
    <t>05/03/2026</t>
  </si>
  <si>
    <t>04/03/2026</t>
  </si>
  <si>
    <t>03/03/2026</t>
  </si>
  <si>
    <t>02/03/2026</t>
  </si>
  <si>
    <t>01/03/2026</t>
  </si>
  <si>
    <t>28/02/2026</t>
  </si>
  <si>
    <t>27/02/2026</t>
  </si>
  <si>
    <t>26/02/2026</t>
  </si>
  <si>
    <t>25/02/2026</t>
  </si>
  <si>
    <t>24/02/2026</t>
  </si>
  <si>
    <t>23/02/2026</t>
  </si>
  <si>
    <t>22/02/2026</t>
  </si>
  <si>
    <t>21/02/2026</t>
  </si>
  <si>
    <t>20/02/2026</t>
  </si>
  <si>
    <t>19/02/2026</t>
  </si>
  <si>
    <t>18/02/2026</t>
  </si>
  <si>
    <t>17/02/2026</t>
  </si>
  <si>
    <t>16/02/2026</t>
  </si>
  <si>
    <t>15/02/2026</t>
  </si>
  <si>
    <t>14/02/2026</t>
  </si>
  <si>
    <t>13/02/2026</t>
  </si>
  <si>
    <t>12/02/2026</t>
  </si>
  <si>
    <t>11/02/2026</t>
  </si>
  <si>
    <t>10/02/2026</t>
  </si>
  <si>
    <t>09/02/2026</t>
  </si>
  <si>
    <t>08/02/2026</t>
  </si>
  <si>
    <t>07/02/2026</t>
  </si>
  <si>
    <t>06/02/2026</t>
  </si>
  <si>
    <t>05/02/2026</t>
  </si>
  <si>
    <t>04/02/2026</t>
  </si>
  <si>
    <t>03/02/2026</t>
  </si>
  <si>
    <t>02/02/2026</t>
  </si>
  <si>
    <t>01/02/2026</t>
  </si>
  <si>
    <t>31/01/2026</t>
  </si>
  <si>
    <t>30/01/2026</t>
  </si>
  <si>
    <t>29/01/2026</t>
  </si>
  <si>
    <t>28/01/2026</t>
  </si>
  <si>
    <t>27/01/2026</t>
  </si>
  <si>
    <t>26/01/2026</t>
  </si>
  <si>
    <t>25/01/2026</t>
  </si>
  <si>
    <t>24/01/2026</t>
  </si>
  <si>
    <t>23/01/2026</t>
  </si>
  <si>
    <t>22/01/2026</t>
  </si>
  <si>
    <t>21/01/2026</t>
  </si>
  <si>
    <t>20/01/2026</t>
  </si>
  <si>
    <t>19/01/2026</t>
  </si>
  <si>
    <t>18/01/2026</t>
  </si>
  <si>
    <t>17/01/2026</t>
  </si>
  <si>
    <t>16/01/2026</t>
  </si>
  <si>
    <t>15/01/2026</t>
  </si>
  <si>
    <t>14/01/2026</t>
  </si>
  <si>
    <t>13/01/2026</t>
  </si>
  <si>
    <t>12/01/2026</t>
  </si>
  <si>
    <t>11/01/2026</t>
  </si>
  <si>
    <t>10/01/2026</t>
  </si>
  <si>
    <t>09/01/2026</t>
  </si>
  <si>
    <t>08/01/2026</t>
  </si>
  <si>
    <t>07/01/2026</t>
  </si>
  <si>
    <t>06/01/2026</t>
  </si>
  <si>
    <t>05/01/2026</t>
  </si>
  <si>
    <t>04/01/2026</t>
  </si>
  <si>
    <t>03/01/2026</t>
  </si>
  <si>
    <t>02/01/2026</t>
  </si>
  <si>
    <t>01/01/2026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</si>
  <si>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</si>
  <si>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</si>
  <si>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</si>
  <si>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</si>
  <si>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</si>
  <si>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</si>
  <si>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</si>
  <si>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</si>
  <si>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</si>
  <si>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</si>
  <si>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</si>
  <si>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</si>
  <si>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</si>
  <si>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</si>
  <si>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</si>
  <si>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</si>
  <si>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</si>
  <si>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</si>
  <si>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</si>
  <si>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12/12/2025</t>
  </si>
  <si>
    <t>11/12/2025</t>
  </si>
  <si>
    <t>10/12/2025</t>
  </si>
  <si>
    <t>09/12/2025</t>
  </si>
  <si>
    <t>08/12/2025</t>
  </si>
  <si>
    <t>07/12/2025</t>
  </si>
  <si>
    <t>06/12/2025</t>
  </si>
  <si>
    <t>05/12/2025</t>
  </si>
  <si>
    <t>04/12/2025</t>
  </si>
  <si>
    <t>03/12/2025</t>
  </si>
  <si>
    <t>02/12/2025</t>
  </si>
  <si>
    <t>01/12/2025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</si>
  <si>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</si>
  <si>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</si>
  <si>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</si>
  <si>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</si>
  <si>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</si>
  <si>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</si>
  <si>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</si>
  <si>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</si>
  <si>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</si>
  <si>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</si>
  <si>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</si>
  <si>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</si>
  <si>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</si>
  <si>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</si>
  <si>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</si>
  <si>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</si>
  <si>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</si>
  <si>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</si>
  <si>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12/11/2025</t>
  </si>
  <si>
    <t>11/11/2025</t>
  </si>
  <si>
    <t>10/11/2025</t>
  </si>
  <si>
    <t>09/11/2025</t>
  </si>
  <si>
    <t>08/11/2025</t>
  </si>
  <si>
    <t>07/11/2025</t>
  </si>
  <si>
    <t>06/11/2025</t>
  </si>
  <si>
    <t>05/11/2025</t>
  </si>
  <si>
    <t>04/11/2025</t>
  </si>
  <si>
    <t>03/11/2025</t>
  </si>
  <si>
    <t>02/11/2025</t>
  </si>
  <si>
    <t>01/11/2025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</si>
  <si>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</si>
  <si>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</si>
  <si>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</si>
  <si>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</si>
  <si>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</si>
  <si>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</si>
  <si>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</si>
  <si>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</si>
  <si>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</si>
  <si>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</si>
  <si>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</si>
  <si>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</si>
  <si>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</si>
  <si>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</si>
  <si>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</si>
  <si>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</si>
  <si>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</si>
  <si>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</si>
  <si>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</si>
  <si>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12/10/2025</t>
  </si>
  <si>
    <t>11/10/2025</t>
  </si>
  <si>
    <t>10/10/2025</t>
  </si>
  <si>
    <t>09/10/2025</t>
  </si>
  <si>
    <t>08/10/2025</t>
  </si>
  <si>
    <t>07/10/2025</t>
  </si>
  <si>
    <t>06/10/2025</t>
  </si>
  <si>
    <t>05/10/2025</t>
  </si>
  <si>
    <t>04/10/2025</t>
  </si>
  <si>
    <t>03/10/2025</t>
  </si>
  <si>
    <t>02/10/2025</t>
  </si>
  <si>
    <t>01/10/2025</t>
  </si>
  <si>
    <t>30/09/2025</t>
  </si>
  <si>
    <t>29/09/2025</t>
  </si>
  <si>
    <t>28/09/2025</t>
  </si>
  <si>
    <t>27/09/2025</t>
  </si>
  <si>
    <t>26/09/2025</t>
  </si>
  <si>
    <t>25/09/2025</t>
  </si>
  <si>
    <t>24/09/2025</t>
  </si>
  <si>
    <t>23/09/2025</t>
  </si>
  <si>
    <t>22/09/2025</t>
  </si>
  <si>
    <t>21/09/2025</t>
  </si>
  <si>
    <t>20/09/2025</t>
  </si>
  <si>
    <t>19/09/2025</t>
  </si>
  <si>
    <t>18/09/2025</t>
  </si>
  <si>
    <t>17/09/2025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</si>
  <si>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</si>
  <si>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</si>
  <si>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</si>
  <si>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</si>
  <si>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</si>
  <si>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</si>
  <si>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</si>
  <si>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09/09/2025</t>
  </si>
  <si>
    <t>08/09/2025</t>
  </si>
  <si>
    <t>07/09/2025</t>
  </si>
  <si>
    <t>06/09/2025</t>
  </si>
  <si>
    <t>05/09/2025</t>
  </si>
  <si>
    <t>04/09/2025</t>
  </si>
  <si>
    <t>03/09/2025</t>
  </si>
  <si>
    <t>02/09/2025</t>
  </si>
  <si>
    <t>01/09/2025</t>
  </si>
  <si>
    <t>31/08/2025</t>
  </si>
  <si>
    <t>30/08/2025</t>
  </si>
  <si>
    <t>29/08/2025</t>
  </si>
  <si>
    <t>28/08/2025</t>
  </si>
  <si>
    <t>27/08/2025</t>
  </si>
  <si>
    <t>26/08/2025</t>
  </si>
  <si>
    <t>25/08/2025</t>
  </si>
  <si>
    <t>24/08/2025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</si>
  <si>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</si>
  <si>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</si>
  <si>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</si>
  <si>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</si>
  <si>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</si>
  <si>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</si>
  <si>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</si>
  <si>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16/08/2025</t>
  </si>
  <si>
    <t>15/08/2025</t>
  </si>
  <si>
    <t>14/08/2025</t>
  </si>
  <si>
    <t>13/08/2025</t>
  </si>
  <si>
    <t>12/08/2025</t>
  </si>
  <si>
    <t>11/08/2025</t>
  </si>
  <si>
    <t>10/08/2025</t>
  </si>
  <si>
    <t>09/08/2025</t>
  </si>
  <si>
    <t>08/08/2025</t>
  </si>
  <si>
    <t>07/08/2025</t>
  </si>
  <si>
    <t>06/08/2025</t>
  </si>
  <si>
    <t>05/08/2025</t>
  </si>
  <si>
    <t>04/08/2025</t>
  </si>
  <si>
    <t>03/08/2025</t>
  </si>
  <si>
    <t>02/08/2025</t>
  </si>
  <si>
    <t>01/08/2025</t>
  </si>
  <si>
    <t>31/07/2025</t>
  </si>
  <si>
    <t>30/07/2025</t>
  </si>
  <si>
    <t>29/07/2025</t>
  </si>
  <si>
    <t>28/07/2025</t>
  </si>
  <si>
    <t>27/07/2025</t>
  </si>
  <si>
    <t>26/07/2025</t>
  </si>
  <si>
    <t>25/07/2025</t>
  </si>
  <si>
    <t>24/07/2025</t>
  </si>
  <si>
    <t>23/07/2025</t>
  </si>
  <si>
    <t>22/07/2025</t>
  </si>
  <si>
    <t>21/07/2025</t>
  </si>
  <si>
    <t>20/07/2025</t>
  </si>
  <si>
    <t>19/07/2025</t>
  </si>
  <si>
    <t>18/07/2025</t>
  </si>
  <si>
    <t>17/07/2025</t>
  </si>
  <si>
    <t>16/07/2025</t>
  </si>
  <si>
    <t>15/07/2025</t>
  </si>
  <si>
    <t>14/07/2025</t>
  </si>
  <si>
    <t>13/07/2025</t>
  </si>
  <si>
    <t>12/07/2025</t>
  </si>
  <si>
    <t>11/07/2025</t>
  </si>
  <si>
    <t>10/07/2025</t>
  </si>
  <si>
    <t>09/07/2025</t>
  </si>
  <si>
    <t>08/07/2025</t>
  </si>
  <si>
    <t>07/07/2025</t>
  </si>
  <si>
    <t>06/07/2025</t>
  </si>
  <si>
    <t>05/07/2025</t>
  </si>
  <si>
    <t>04/07/2025</t>
  </si>
  <si>
    <t>03/07/2025</t>
  </si>
  <si>
    <t>02/07/2025</t>
  </si>
  <si>
    <t>01/07/2025</t>
  </si>
  <si>
    <t>30/06/2025</t>
  </si>
  <si>
    <t>29/06/2025</t>
  </si>
  <si>
    <t>28/06/2025</t>
  </si>
  <si>
    <t>27/06/2025</t>
  </si>
  <si>
    <t>26/06/2025</t>
  </si>
  <si>
    <t>25/06/2025</t>
  </si>
  <si>
    <t>24/06/2025</t>
  </si>
  <si>
    <t>23/06/2025</t>
  </si>
  <si>
    <t>22/06/2025</t>
  </si>
  <si>
    <t>21/06/2025</t>
  </si>
  <si>
    <t>20/06/2025</t>
  </si>
  <si>
    <t>19/06/2025</t>
  </si>
  <si>
    <t>18/06/2025</t>
  </si>
  <si>
    <t>17/06/2025</t>
  </si>
  <si>
    <t>16/06/2025</t>
  </si>
  <si>
    <t>15/06/2025</t>
  </si>
  <si>
    <t>14/06/2025</t>
  </si>
  <si>
    <t>13/06/2025</t>
  </si>
  <si>
    <t>12/06/2025</t>
  </si>
  <si>
    <t>11/06/2025</t>
  </si>
  <si>
    <t>10/06/2025</t>
  </si>
  <si>
    <t>09/06/2025</t>
  </si>
  <si>
    <t>08/06/2025</t>
  </si>
  <si>
    <t>07/06/2025</t>
  </si>
  <si>
    <t>06/06/2025</t>
  </si>
  <si>
    <t>05/06/2025</t>
  </si>
  <si>
    <t>04/06/2025</t>
  </si>
  <si>
    <t>03/06/2025</t>
  </si>
  <si>
    <t>02/06/2025</t>
  </si>
  <si>
    <t>01/06/2025</t>
  </si>
  <si>
    <t>31/05/2025</t>
  </si>
  <si>
    <t>30/05/2025</t>
  </si>
  <si>
    <t>29/05/2025</t>
  </si>
  <si>
    <t>28/05/2025</t>
  </si>
  <si>
    <t>27/05/2025</t>
  </si>
  <si>
    <t>26/05/2025</t>
  </si>
  <si>
    <t>25/05/2025</t>
  </si>
  <si>
    <t>24/05/2025</t>
  </si>
  <si>
    <t>23/05/2025</t>
  </si>
  <si>
    <t>22/05/2025</t>
  </si>
  <si>
    <t>21/05/2025</t>
  </si>
  <si>
    <t>20/05/2025</t>
  </si>
  <si>
    <t>19/05/2025</t>
  </si>
  <si>
    <t>18/05/2025</t>
  </si>
  <si>
    <t>17/05/2025</t>
  </si>
  <si>
    <t>16/05/2025</t>
  </si>
  <si>
    <t>15/05/2025</t>
  </si>
  <si>
    <t>14/05/2025</t>
  </si>
  <si>
    <t>13/05/2025</t>
  </si>
  <si>
    <t>12/05/2025</t>
  </si>
  <si>
    <t>11/05/2025</t>
  </si>
  <si>
    <t>10/05/2025</t>
  </si>
  <si>
    <t>09/05/2025</t>
  </si>
  <si>
    <t>08/05/2025</t>
  </si>
  <si>
    <t>07/05/2025</t>
  </si>
  <si>
    <t>06/05/2025</t>
  </si>
  <si>
    <t>05/05/2025</t>
  </si>
  <si>
    <t>04/05/2025</t>
  </si>
  <si>
    <t>03/05/2025</t>
  </si>
  <si>
    <t>02/05/2025</t>
  </si>
  <si>
    <t>01/05/2025</t>
  </si>
  <si>
    <t>30/04/2025</t>
  </si>
  <si>
    <t>29/04/2025</t>
  </si>
  <si>
    <t>28/04/2025</t>
  </si>
  <si>
    <t>27/04/2025</t>
  </si>
  <si>
    <t>26/04/2025</t>
  </si>
  <si>
    <t>25/04/2025</t>
  </si>
  <si>
    <t>24/04/2025</t>
  </si>
  <si>
    <t>23/04/2025</t>
  </si>
  <si>
    <t>22/04/2025</t>
  </si>
  <si>
    <t>21/04/2025</t>
  </si>
  <si>
    <t>20/04/2025</t>
  </si>
  <si>
    <t>19/04/2025</t>
  </si>
  <si>
    <t>18/04/2025</t>
  </si>
  <si>
    <t>17/04/2025</t>
  </si>
  <si>
    <t>16/04/2025</t>
  </si>
  <si>
    <t>15/04/2025</t>
  </si>
  <si>
    <t>14/04/2025</t>
  </si>
  <si>
    <t>13/04/2025</t>
  </si>
  <si>
    <t>12/04/2025</t>
  </si>
  <si>
    <t>11/04/2025</t>
  </si>
  <si>
    <t>10/04/2025</t>
  </si>
  <si>
    <t>09/04/2025</t>
  </si>
  <si>
    <t>08/04/2025</t>
  </si>
  <si>
    <t>07/04/2025</t>
  </si>
  <si>
    <t>06/04/2025</t>
  </si>
  <si>
    <t>05/04/2025</t>
  </si>
  <si>
    <t>04/04/2025</t>
  </si>
  <si>
    <t>03/04/2025</t>
  </si>
  <si>
    <t>02/04/2025</t>
  </si>
  <si>
    <t>01/04/2025</t>
  </si>
  <si>
    <t>31/03/2025</t>
  </si>
  <si>
    <t>30/03/2025</t>
  </si>
  <si>
    <t>29/03/2025</t>
  </si>
  <si>
    <t>28/03/2025</t>
  </si>
  <si>
    <t>27/03/2025</t>
  </si>
  <si>
    <t>26/03/2025</t>
  </si>
  <si>
    <t>25/03/2025</t>
  </si>
  <si>
    <t>24/03/2025</t>
  </si>
  <si>
    <t>23/03/2025</t>
  </si>
  <si>
    <t>22/03/2025</t>
  </si>
  <si>
    <t>21/03/2025</t>
  </si>
  <si>
    <t>20/03/2025</t>
  </si>
  <si>
    <t>19/03/2025</t>
  </si>
  <si>
    <t>18/03/2025</t>
  </si>
  <si>
    <t>17/03/2025</t>
  </si>
  <si>
    <t>16/03/2025</t>
  </si>
  <si>
    <t>15/03/2025</t>
  </si>
  <si>
    <t>14/03/2025</t>
  </si>
  <si>
    <t>13/03/2025</t>
  </si>
  <si>
    <t>12/03/2025</t>
  </si>
  <si>
    <t>11/03/2025</t>
  </si>
  <si>
    <t>10/03/2025</t>
  </si>
  <si>
    <t>09/03/2025</t>
  </si>
  <si>
    <t>08/03/2025</t>
  </si>
  <si>
    <t>07/03/2025</t>
  </si>
  <si>
    <t>06/03/2025</t>
  </si>
  <si>
    <t>05/03/2025</t>
  </si>
  <si>
    <t>04/03/2025</t>
  </si>
  <si>
    <t>03/03/2025</t>
  </si>
  <si>
    <t>02/03/2025</t>
  </si>
  <si>
    <t>01/03/2025</t>
  </si>
  <si>
    <t>28/02/2025</t>
  </si>
  <si>
    <t>27/02/2025</t>
  </si>
  <si>
    <t>26/02/2025</t>
  </si>
  <si>
    <t>25/02/2025</t>
  </si>
  <si>
    <t>24/02/2025</t>
  </si>
  <si>
    <t>23/02/2025</t>
  </si>
  <si>
    <t>22/02/2025</t>
  </si>
  <si>
    <t>21/02/2025</t>
  </si>
  <si>
    <t>20/02/2025</t>
  </si>
  <si>
    <t>19/02/2025</t>
  </si>
  <si>
    <t>18/02/2025</t>
  </si>
  <si>
    <t>17/02/2025</t>
  </si>
  <si>
    <t>16/02/2025</t>
  </si>
  <si>
    <t>15/02/2025</t>
  </si>
  <si>
    <t>14/02/2025</t>
  </si>
  <si>
    <t>13/02/2025</t>
  </si>
  <si>
    <t>12/02/2025</t>
  </si>
  <si>
    <t>11/02/2025</t>
  </si>
  <si>
    <t>10/02/2025</t>
  </si>
  <si>
    <t>09/02/2025</t>
  </si>
  <si>
    <t>08/02/2025</t>
  </si>
  <si>
    <t>07/02/2025</t>
  </si>
  <si>
    <t>06/02/2025</t>
  </si>
  <si>
    <t>05/02/2025</t>
  </si>
  <si>
    <t>04/02/2025</t>
  </si>
  <si>
    <t>03/02/2025</t>
  </si>
  <si>
    <t>02/02/2025</t>
  </si>
  <si>
    <t>01/02/2025</t>
  </si>
  <si>
    <t>31/01/2025</t>
  </si>
  <si>
    <t>30/01/2025</t>
  </si>
  <si>
    <t>29/01/2025</t>
  </si>
  <si>
    <t>28/01/2025</t>
  </si>
  <si>
    <t>27/01/2025</t>
  </si>
  <si>
    <t>26/01/2025</t>
  </si>
  <si>
    <t>25/01/2025</t>
  </si>
  <si>
    <t>24/01/2025</t>
  </si>
  <si>
    <t>23/01/2025</t>
  </si>
  <si>
    <t>22/01/2025</t>
  </si>
  <si>
    <t>21/01/2025</t>
  </si>
  <si>
    <t>20/01/2025</t>
  </si>
  <si>
    <t>19/01/2025</t>
  </si>
  <si>
    <t>18/01/2025</t>
  </si>
  <si>
    <t>17/01/2025</t>
  </si>
  <si>
    <t>16/01/2025</t>
  </si>
  <si>
    <t>15/01/2025</t>
  </si>
  <si>
    <t>14/01/2025</t>
  </si>
  <si>
    <t>13/01/2025</t>
  </si>
  <si>
    <t>12/01/2025</t>
  </si>
  <si>
    <t>11/01/2025</t>
  </si>
  <si>
    <t>10/01/2025</t>
  </si>
  <si>
    <t>09/01/2025</t>
  </si>
  <si>
    <t>08/01/2025</t>
  </si>
  <si>
    <t>07/01/2025</t>
  </si>
  <si>
    <t>06/01/2025</t>
  </si>
  <si>
    <t>05/01/2025</t>
  </si>
  <si>
    <t>04/01/2025</t>
  </si>
  <si>
    <t>03/01/2025</t>
  </si>
  <si>
    <t>02/01/2025</t>
  </si>
  <si>
    <t>01/01/2025</t>
  </si>
  <si>
    <t>31/12/2024</t>
  </si>
  <si>
    <t>30/12/2024</t>
  </si>
  <si>
    <t>29/12/2024</t>
  </si>
  <si>
    <t>28/12/2024</t>
  </si>
  <si>
    <t>27/12/2024</t>
  </si>
  <si>
    <t>26/12/2024</t>
  </si>
  <si>
    <t>25/12/2024</t>
  </si>
  <si>
    <t>24/12/2024</t>
  </si>
  <si>
    <t>23/12/2024</t>
  </si>
  <si>
    <t>22/12/2024</t>
  </si>
  <si>
    <t>21/12/2024</t>
  </si>
  <si>
    <t>20/12/2024</t>
  </si>
  <si>
    <t>19/12/2024</t>
  </si>
  <si>
    <t>18/12/2024</t>
  </si>
  <si>
    <t>17/12/2024</t>
  </si>
  <si>
    <t>16/12/2024</t>
  </si>
  <si>
    <t>15/12/2024</t>
  </si>
  <si>
    <t>14/12/2024</t>
  </si>
  <si>
    <t>13/12/2024</t>
  </si>
  <si>
    <t>12/12/2024</t>
  </si>
  <si>
    <t>11/12/2024</t>
  </si>
  <si>
    <t>10/12/2024</t>
  </si>
  <si>
    <t>09/12/2024</t>
  </si>
  <si>
    <t>08/12/2024</t>
  </si>
  <si>
    <t>07/12/2024</t>
  </si>
  <si>
    <t>06/12/2024</t>
  </si>
  <si>
    <t>05/12/2024</t>
  </si>
  <si>
    <t>04/12/2024</t>
  </si>
  <si>
    <t>03/12/2024</t>
  </si>
  <si>
    <t>02/12/2024</t>
  </si>
  <si>
    <t>01/12/2024</t>
  </si>
  <si>
    <t>30/11/2024</t>
  </si>
  <si>
    <t>29/11/2024</t>
  </si>
  <si>
    <t>28/11/2024</t>
  </si>
  <si>
    <t>27/11/2024</t>
  </si>
  <si>
    <t>26/11/2024</t>
  </si>
  <si>
    <t>25/11/2024</t>
  </si>
  <si>
    <t>24/11/2024</t>
  </si>
  <si>
    <t>23/11/2024</t>
  </si>
  <si>
    <t>22/11/2024</t>
  </si>
  <si>
    <t>21/11/2024</t>
  </si>
  <si>
    <t>20/11/2024</t>
  </si>
  <si>
    <t>19/11/2024</t>
  </si>
  <si>
    <t>18/11/2024</t>
  </si>
  <si>
    <t>17/11/2024</t>
  </si>
  <si>
    <t>16/11/2024</t>
  </si>
  <si>
    <t>15/11/2024</t>
  </si>
  <si>
    <t>14/11/2024</t>
  </si>
  <si>
    <t>13/11/2024</t>
  </si>
  <si>
    <t>12/11/2024</t>
  </si>
  <si>
    <t>11/11/2024</t>
  </si>
  <si>
    <t>10/11/2024</t>
  </si>
  <si>
    <t>09/11/2024</t>
  </si>
  <si>
    <t>08/11/2024</t>
  </si>
  <si>
    <t>07/11/2024</t>
  </si>
  <si>
    <t>06/11/2024</t>
  </si>
  <si>
    <t>05/11/2024</t>
  </si>
  <si>
    <t>04/11/2024</t>
  </si>
  <si>
    <t>03/11/2024</t>
  </si>
  <si>
    <t>02/11/2024</t>
  </si>
  <si>
    <t>01/11/2024</t>
  </si>
  <si>
    <t>31/10/2024</t>
  </si>
  <si>
    <t>30/10/2024</t>
  </si>
  <si>
    <t>29/10/2024</t>
  </si>
  <si>
    <t>28/10/2024</t>
  </si>
  <si>
    <t>27/10/2024</t>
  </si>
  <si>
    <t>26/10/2024</t>
  </si>
  <si>
    <t>25/10/2024</t>
  </si>
  <si>
    <t>24/10/2024</t>
  </si>
  <si>
    <t>23/10/2024</t>
  </si>
  <si>
    <t>22/10/2024</t>
  </si>
  <si>
    <t>21/10/2024</t>
  </si>
  <si>
    <t>20/10/2024</t>
  </si>
  <si>
    <t>19/10/2024</t>
  </si>
  <si>
    <t>18/10/2024</t>
  </si>
  <si>
    <t>17/10/2024</t>
  </si>
  <si>
    <t>16/10/2024</t>
  </si>
  <si>
    <t>15/10/2024</t>
  </si>
  <si>
    <t>14/10/2024</t>
  </si>
  <si>
    <t>13/10/2024</t>
  </si>
  <si>
    <t>12/10/2024</t>
  </si>
  <si>
    <t>11/10/2024</t>
  </si>
  <si>
    <t>10/10/2024</t>
  </si>
  <si>
    <t>09/10/2024</t>
  </si>
  <si>
    <t>08/10/2024</t>
  </si>
  <si>
    <t>07/10/2024</t>
  </si>
  <si>
    <t>06/10/2024</t>
  </si>
  <si>
    <t>05/10/2024</t>
  </si>
  <si>
    <t>04/10/2024</t>
  </si>
  <si>
    <t>03/10/2024</t>
  </si>
  <si>
    <t>02/10/2024</t>
  </si>
  <si>
    <t>01/10/2024</t>
  </si>
  <si>
    <t>30/09/2024</t>
  </si>
  <si>
    <t>29/09/2024</t>
  </si>
  <si>
    <t>28/09/2024</t>
  </si>
  <si>
    <t>27/09/2024</t>
  </si>
  <si>
    <t>26/09/2024</t>
  </si>
  <si>
    <t>25/09/2024</t>
  </si>
  <si>
    <t>24/09/2024</t>
  </si>
  <si>
    <t>23/09/2024</t>
  </si>
  <si>
    <t>22/09/2024</t>
  </si>
  <si>
    <t>21/09/2024</t>
  </si>
  <si>
    <t>20/09/2024</t>
  </si>
  <si>
    <t>19/09/2024</t>
  </si>
  <si>
    <t>18/09/2024</t>
  </si>
  <si>
    <t>17/09/2024</t>
  </si>
  <si>
    <t>16/09/2024</t>
  </si>
  <si>
    <t>15/09/2024</t>
  </si>
  <si>
    <t>14/09/2024</t>
  </si>
  <si>
    <t>13/09/2024</t>
  </si>
  <si>
    <t>12/09/2024</t>
  </si>
  <si>
    <t>11/09/2024</t>
  </si>
  <si>
    <t>10/09/2024</t>
  </si>
  <si>
    <t>09/09/2024</t>
  </si>
  <si>
    <t>08/09/2024</t>
  </si>
  <si>
    <t>07/09/2024</t>
  </si>
  <si>
    <t>06/09/2024</t>
  </si>
  <si>
    <t>05/09/2024</t>
  </si>
  <si>
    <t>04/09/2024</t>
  </si>
  <si>
    <t>03/09/2024</t>
  </si>
  <si>
    <t>02/09/2024</t>
  </si>
  <si>
    <t>01/09/2024</t>
  </si>
  <si>
    <t>31/08/2024</t>
  </si>
  <si>
    <t>30/08/2024</t>
  </si>
  <si>
    <t>29/08/2024</t>
  </si>
  <si>
    <t>28/08/2024</t>
  </si>
  <si>
    <t>27/08/2024</t>
  </si>
  <si>
    <t>26/08/2024</t>
  </si>
  <si>
    <t>25/08/2024</t>
  </si>
  <si>
    <t>24/08/2024</t>
  </si>
  <si>
    <t>23/08/2024</t>
  </si>
  <si>
    <t>22/08/2024</t>
  </si>
  <si>
    <t>21/08/2024</t>
  </si>
  <si>
    <t>20/08/2024</t>
  </si>
  <si>
    <t>19/08/2024</t>
  </si>
  <si>
    <t>18/08/2024</t>
  </si>
  <si>
    <t>17/08/2024</t>
  </si>
  <si>
    <t>16/08/2024</t>
  </si>
  <si>
    <t>15/08/2024</t>
  </si>
  <si>
    <t>14/08/2024</t>
  </si>
  <si>
    <t>13/08/2024</t>
  </si>
  <si>
    <t>12/08/2024</t>
  </si>
  <si>
    <t>11/08/2024</t>
  </si>
  <si>
    <t>10/08/2024</t>
  </si>
  <si>
    <t>09/08/2024</t>
  </si>
  <si>
    <t>08/08/2024</t>
  </si>
  <si>
    <t>07/08/2024</t>
  </si>
  <si>
    <t>06/08/2024</t>
  </si>
  <si>
    <t>05/08/2024</t>
  </si>
  <si>
    <t>04/08/2024</t>
  </si>
  <si>
    <t>03/08/2024</t>
  </si>
  <si>
    <t>02/08/2024</t>
  </si>
  <si>
    <t>01/08/2024</t>
  </si>
  <si>
    <t>31/07/2024</t>
  </si>
  <si>
    <t>30/07/2024</t>
  </si>
  <si>
    <t>29/07/2024</t>
  </si>
  <si>
    <t>28/07/2024</t>
  </si>
  <si>
    <t>27/07/2024</t>
  </si>
  <si>
    <t>26/07/2024</t>
  </si>
  <si>
    <t>25/07/2024</t>
  </si>
  <si>
    <t>24/07/2024</t>
  </si>
  <si>
    <t>23/07/2024</t>
  </si>
  <si>
    <t>22/07/2024</t>
  </si>
  <si>
    <t>21/07/2024</t>
  </si>
  <si>
    <t>20/07/2024</t>
  </si>
  <si>
    <t>19/07/2024</t>
  </si>
  <si>
    <t>18/07/2024</t>
  </si>
  <si>
    <t>17/07/2024</t>
  </si>
  <si>
    <t>16/07/2024</t>
  </si>
  <si>
    <t>15/07/2024</t>
  </si>
  <si>
    <t>14/07/2024</t>
  </si>
  <si>
    <t>13/07/2024</t>
  </si>
  <si>
    <t>12/07/2024</t>
  </si>
  <si>
    <t>11/07/2024</t>
  </si>
  <si>
    <t>10/07/2024</t>
  </si>
  <si>
    <t>09/07/2024</t>
  </si>
  <si>
    <t>08/07/2024</t>
  </si>
  <si>
    <t>07/07/2024</t>
  </si>
  <si>
    <t>06/07/2024</t>
  </si>
  <si>
    <t>05/07/2024</t>
  </si>
  <si>
    <t>04/07/2024</t>
  </si>
  <si>
    <t>03/07/2024</t>
  </si>
  <si>
    <t>02/07/2024</t>
  </si>
  <si>
    <t>01/07/2024</t>
  </si>
  <si>
    <t>30/06/2024</t>
  </si>
  <si>
    <t>29/06/2024</t>
  </si>
  <si>
    <t>28/06/2024</t>
  </si>
  <si>
    <t>27/06/2024</t>
  </si>
  <si>
    <t>26/06/2024</t>
  </si>
  <si>
    <t>25/06/2024</t>
  </si>
  <si>
    <t>24/06/2024</t>
  </si>
  <si>
    <t>23/06/2024</t>
  </si>
  <si>
    <t>22/06/2024</t>
  </si>
  <si>
    <t>21/06/2024</t>
  </si>
  <si>
    <t>20/06/2024</t>
  </si>
  <si>
    <t>19/06/2024</t>
  </si>
  <si>
    <t>18/06/2024</t>
  </si>
  <si>
    <t>17/06/2024</t>
  </si>
  <si>
    <t>16/06/2024</t>
  </si>
  <si>
    <t>15/06/2024</t>
  </si>
  <si>
    <t>14/06/2024</t>
  </si>
  <si>
    <t>13/06/2024</t>
  </si>
  <si>
    <t>12/06/2024</t>
  </si>
  <si>
    <t>11/06/2024</t>
  </si>
  <si>
    <t>10/06/2024</t>
  </si>
  <si>
    <t>09/06/2024</t>
  </si>
  <si>
    <t>08/06/2024</t>
  </si>
  <si>
    <t>07/06/2024</t>
  </si>
  <si>
    <t>06/06/2024</t>
  </si>
  <si>
    <t>05/06/2024</t>
  </si>
  <si>
    <t>04/06/2024</t>
  </si>
  <si>
    <t>03/06/2024</t>
  </si>
  <si>
    <t>02/06/2024</t>
  </si>
  <si>
    <t>01/06/2024</t>
  </si>
  <si>
    <t>31/05/2024</t>
  </si>
  <si>
    <t>30/05/2024</t>
  </si>
  <si>
    <t>29/05/2024</t>
  </si>
  <si>
    <t>28/05/2024</t>
  </si>
  <si>
    <t>27/05/2024</t>
  </si>
  <si>
    <t>26/05/2024</t>
  </si>
  <si>
    <t>25/05/2024</t>
  </si>
  <si>
    <t>24/05/2024</t>
  </si>
  <si>
    <t>23/05/2024</t>
  </si>
  <si>
    <t>22/05/2024</t>
  </si>
  <si>
    <t>21/05/2024</t>
  </si>
  <si>
    <t>20/05/2024</t>
  </si>
  <si>
    <t>19/05/2024</t>
  </si>
  <si>
    <t>18/05/2024</t>
  </si>
  <si>
    <t>17/05/2024</t>
  </si>
  <si>
    <t>16/05/2024</t>
  </si>
  <si>
    <t>15/05/2024</t>
  </si>
  <si>
    <t>14/05/2024</t>
  </si>
  <si>
    <t>13/05/2024</t>
  </si>
  <si>
    <t>12/05/2024</t>
  </si>
  <si>
    <t>11/05/2024</t>
  </si>
  <si>
    <t>10/05/2024</t>
  </si>
  <si>
    <t>09/05/2024</t>
  </si>
  <si>
    <t>08/05/2024</t>
  </si>
  <si>
    <t>07/05/2024</t>
  </si>
  <si>
    <t>06/05/2024</t>
  </si>
  <si>
    <t>05/05/2024</t>
  </si>
  <si>
    <t>04/05/2024</t>
  </si>
  <si>
    <t>03/05/2024</t>
  </si>
  <si>
    <t>02/05/2024</t>
  </si>
  <si>
    <t>01/05/2024</t>
  </si>
  <si>
    <t>30/04/2024</t>
  </si>
  <si>
    <t>29/04/2024</t>
  </si>
  <si>
    <t>28/04/2024</t>
  </si>
  <si>
    <t>27/04/2024</t>
  </si>
  <si>
    <t>26/04/2024</t>
  </si>
  <si>
    <t>25/04/2024</t>
  </si>
  <si>
    <t>24/04/2024</t>
  </si>
  <si>
    <t>23/04/2024</t>
  </si>
  <si>
    <t>22/04/2024</t>
  </si>
  <si>
    <t>21/04/2024</t>
  </si>
  <si>
    <t>20/04/2024</t>
  </si>
  <si>
    <t>19/04/2024</t>
  </si>
  <si>
    <t>18/04/2024</t>
  </si>
  <si>
    <t>17/04/2024</t>
  </si>
  <si>
    <t>16/04/2024</t>
  </si>
  <si>
    <t>15/04/2024</t>
  </si>
  <si>
    <t>14/04/2024</t>
  </si>
  <si>
    <t>13/04/2024</t>
  </si>
  <si>
    <t>12/04/2024</t>
  </si>
  <si>
    <t>11/04/2024</t>
  </si>
  <si>
    <t>10/04/2024</t>
  </si>
  <si>
    <t>09/04/2024</t>
  </si>
  <si>
    <t>08/04/2024</t>
  </si>
  <si>
    <t>07/04/2024</t>
  </si>
  <si>
    <t>06/04/2024</t>
  </si>
  <si>
    <t>05/04/2024</t>
  </si>
  <si>
    <t>04/04/2024</t>
  </si>
  <si>
    <t>03/04/2024</t>
  </si>
  <si>
    <t>02/04/2024</t>
  </si>
  <si>
    <t>01/04/2024</t>
  </si>
  <si>
    <t>31/03/2024</t>
  </si>
  <si>
    <t>30/03/2024</t>
  </si>
  <si>
    <t>29/03/2024</t>
  </si>
  <si>
    <t>28/03/2024</t>
  </si>
  <si>
    <t>27/03/2024</t>
  </si>
  <si>
    <t>26/03/2024</t>
  </si>
  <si>
    <t>25/03/2024</t>
  </si>
  <si>
    <t>24/03/2024</t>
  </si>
  <si>
    <t>23/03/2024</t>
  </si>
  <si>
    <t>22/03/2024</t>
  </si>
  <si>
    <t>21/03/2024</t>
  </si>
  <si>
    <t>20/03/2024</t>
  </si>
  <si>
    <t>19/03/2024</t>
  </si>
  <si>
    <t>18/03/2024</t>
  </si>
  <si>
    <t>17/03/2024</t>
  </si>
  <si>
    <t>16/03/2024</t>
  </si>
  <si>
    <t>15/03/2024</t>
  </si>
  <si>
    <t>14/03/2024</t>
  </si>
  <si>
    <t>13/03/2024</t>
  </si>
  <si>
    <t>12/03/2024</t>
  </si>
  <si>
    <t>11/03/2024</t>
  </si>
  <si>
    <t>10/03/2024</t>
  </si>
  <si>
    <t>09/03/2024</t>
  </si>
  <si>
    <t>08/03/2024</t>
  </si>
  <si>
    <t>07/03/2024</t>
  </si>
  <si>
    <t>06/03/2024</t>
  </si>
  <si>
    <t>05/03/2024</t>
  </si>
  <si>
    <t>04/03/2024</t>
  </si>
  <si>
    <t>03/03/2024</t>
  </si>
  <si>
    <t>02/03/2024</t>
  </si>
  <si>
    <t>01/03/2024</t>
  </si>
  <si>
    <t>29/02/2024</t>
  </si>
  <si>
    <t>28/02/2024</t>
  </si>
  <si>
    <t>27/02/2024</t>
  </si>
  <si>
    <t>26/02/2024</t>
  </si>
  <si>
    <t>25/02/2024</t>
  </si>
  <si>
    <t>24/02/2024</t>
  </si>
  <si>
    <t>23/02/2024</t>
  </si>
  <si>
    <t>22/02/2024</t>
  </si>
  <si>
    <t>21/02/2024</t>
  </si>
  <si>
    <t>20/02/2024</t>
  </si>
  <si>
    <t>19/02/2024</t>
  </si>
  <si>
    <t>18/02/2024</t>
  </si>
  <si>
    <t>17/02/2024</t>
  </si>
  <si>
    <t>16/02/2024</t>
  </si>
  <si>
    <t>15/02/2024</t>
  </si>
  <si>
    <t>14/02/2024</t>
  </si>
  <si>
    <t>13/02/2024</t>
  </si>
  <si>
    <t>12/02/2024</t>
  </si>
  <si>
    <t>11/02/2024</t>
  </si>
  <si>
    <t>10/02/2024</t>
  </si>
  <si>
    <t>09/02/2024</t>
  </si>
  <si>
    <t>08/02/2024</t>
  </si>
  <si>
    <t>07/02/2024</t>
  </si>
  <si>
    <t>06/02/2024</t>
  </si>
  <si>
    <t>05/02/2024</t>
  </si>
  <si>
    <t>04/02/2024</t>
  </si>
  <si>
    <t>03/02/2024</t>
  </si>
  <si>
    <t>02/02/2024</t>
  </si>
  <si>
    <t>01/02/2024</t>
  </si>
  <si>
    <t>31/01/2024</t>
  </si>
  <si>
    <t>30/01/2024</t>
  </si>
  <si>
    <t>29/01/2024</t>
  </si>
  <si>
    <t>28/01/2024</t>
  </si>
  <si>
    <t>27/01/2024</t>
  </si>
  <si>
    <t>26/01/2024</t>
  </si>
  <si>
    <t>25/01/2024</t>
  </si>
  <si>
    <t>24/01/2024</t>
  </si>
  <si>
    <t>23/01/2024</t>
  </si>
  <si>
    <t>22/01/2024</t>
  </si>
  <si>
    <t>21/01/2024</t>
  </si>
  <si>
    <t>20/01/2024</t>
  </si>
  <si>
    <t>19/01/2024</t>
  </si>
  <si>
    <t>18/01/2024</t>
  </si>
  <si>
    <t>17/01/2024</t>
  </si>
  <si>
    <t>16/01/2024</t>
  </si>
  <si>
    <t>15/01/2024</t>
  </si>
  <si>
    <t>14/01/2024</t>
  </si>
  <si>
    <t>13/01/2024</t>
  </si>
  <si>
    <t>12/01/2024</t>
  </si>
  <si>
    <t>11/01/2024</t>
  </si>
  <si>
    <t>10/01/2024</t>
  </si>
  <si>
    <t>09/01/2024</t>
  </si>
  <si>
    <t>08/01/2024</t>
  </si>
  <si>
    <t>07/01/2024</t>
  </si>
  <si>
    <t>06/01/2024</t>
  </si>
  <si>
    <t>05/01/2024</t>
  </si>
  <si>
    <t>04/01/2024</t>
  </si>
  <si>
    <t>03/01/2024</t>
  </si>
  <si>
    <t>02/01/2024</t>
  </si>
  <si>
    <t>01/01/2024</t>
  </si>
  <si>
    <t>31/12/2023</t>
  </si>
  <si>
    <t>30/12/2023</t>
  </si>
  <si>
    <t>29/12/2023</t>
  </si>
  <si>
    <t>28/12/2023</t>
  </si>
  <si>
    <t>27/12/2023</t>
  </si>
  <si>
    <t>26/12/2023</t>
  </si>
  <si>
    <t>25/12/2023</t>
  </si>
  <si>
    <t>24/12/2023</t>
  </si>
  <si>
    <t>23/12/2023</t>
  </si>
  <si>
    <t>22/12/2023</t>
  </si>
  <si>
    <t>21/12/2023</t>
  </si>
  <si>
    <t>20/12/2023</t>
  </si>
  <si>
    <t>19/12/2023</t>
  </si>
  <si>
    <t>18/12/2023</t>
  </si>
  <si>
    <t>17/12/2023</t>
  </si>
  <si>
    <t>16/12/2023</t>
  </si>
  <si>
    <t>15/12/2023</t>
  </si>
  <si>
    <t>14/12/2023</t>
  </si>
  <si>
    <t>13/12/2023</t>
  </si>
  <si>
    <t>12/12/2023</t>
  </si>
  <si>
    <t>11/12/2023</t>
  </si>
  <si>
    <t>10/12/2023</t>
  </si>
  <si>
    <t>09/12/2023</t>
  </si>
  <si>
    <t>08/12/2023</t>
  </si>
  <si>
    <t>07/12/2023</t>
  </si>
  <si>
    <t>06/12/2023</t>
  </si>
  <si>
    <t>05/12/2023</t>
  </si>
  <si>
    <t>04/12/2023</t>
  </si>
  <si>
    <t>03/12/2023</t>
  </si>
  <si>
    <t>02/12/2023</t>
  </si>
  <si>
    <t>01/12/2023</t>
  </si>
  <si>
    <t>30/11/2023</t>
  </si>
  <si>
    <t>29/11/2023</t>
  </si>
  <si>
    <t>28/11/2023</t>
  </si>
  <si>
    <t>27/11/2023</t>
  </si>
  <si>
    <t>26/11/2023</t>
  </si>
  <si>
    <t>25/11/2023</t>
  </si>
  <si>
    <t>24/11/2023</t>
  </si>
  <si>
    <t>23/11/2023</t>
  </si>
  <si>
    <t>22/11/2023</t>
  </si>
  <si>
    <t>21/11/2023</t>
  </si>
  <si>
    <t>20/11/2023</t>
  </si>
  <si>
    <t>19/11/2023</t>
  </si>
  <si>
    <t>18/11/2023</t>
  </si>
  <si>
    <t>17/11/2023</t>
  </si>
  <si>
    <t>16/11/2023</t>
  </si>
  <si>
    <t>15/11/2023</t>
  </si>
  <si>
    <t>14/11/2023</t>
  </si>
  <si>
    <t>13/11/2023</t>
  </si>
  <si>
    <t>12/11/2023</t>
  </si>
  <si>
    <t>11/11/2023</t>
  </si>
  <si>
    <t>10/11/2023</t>
  </si>
  <si>
    <t>09/11/2023</t>
  </si>
  <si>
    <t>08/11/2023</t>
  </si>
  <si>
    <t>07/11/2023</t>
  </si>
  <si>
    <t>06/11/2023</t>
  </si>
  <si>
    <t>05/11/2023</t>
  </si>
  <si>
    <t>04/11/2023</t>
  </si>
  <si>
    <t>03/11/2023</t>
  </si>
  <si>
    <t>02/11/2023</t>
  </si>
  <si>
    <t>01/11/2023</t>
  </si>
  <si>
    <t>31/10/2023</t>
  </si>
  <si>
    <t>30/10/2023</t>
  </si>
  <si>
    <t>29/10/2023</t>
  </si>
  <si>
    <t>28/10/2023</t>
  </si>
  <si>
    <t>27/10/2023</t>
  </si>
  <si>
    <t>26/10/2023</t>
  </si>
  <si>
    <t>25/10/2023</t>
  </si>
  <si>
    <t>24/10/2023</t>
  </si>
  <si>
    <t>23/10/2023</t>
  </si>
  <si>
    <t>22/10/2023</t>
  </si>
  <si>
    <t>21/10/2023</t>
  </si>
  <si>
    <t>20/10/2023</t>
  </si>
  <si>
    <t>19/10/2023</t>
  </si>
  <si>
    <t>18/10/2023</t>
  </si>
  <si>
    <t>17/10/2023</t>
  </si>
  <si>
    <t>16/10/2023</t>
  </si>
  <si>
    <t>15/10/2023</t>
  </si>
  <si>
    <t>14/10/2023</t>
  </si>
  <si>
    <t>13/10/2023</t>
  </si>
  <si>
    <t>12/10/2023</t>
  </si>
  <si>
    <t>11/10/2023</t>
  </si>
  <si>
    <t>10/10/2023</t>
  </si>
  <si>
    <t>09/10/2023</t>
  </si>
  <si>
    <t>08/10/2023</t>
  </si>
  <si>
    <t>07/10/2023</t>
  </si>
  <si>
    <t>06/10/2023</t>
  </si>
  <si>
    <t>05/10/2023</t>
  </si>
  <si>
    <t>04/10/2023</t>
  </si>
  <si>
    <t>03/10/2023</t>
  </si>
  <si>
    <t>02/10/2023</t>
  </si>
  <si>
    <t>01/10/2023</t>
  </si>
  <si>
    <t>30/09/2023</t>
  </si>
  <si>
    <t>29/09/2023</t>
  </si>
  <si>
    <t>28/09/2023</t>
  </si>
  <si>
    <t>27/09/2023</t>
  </si>
  <si>
    <t>26/09/2023</t>
  </si>
  <si>
    <t>25/09/2023</t>
  </si>
  <si>
    <t>24/09/2023</t>
  </si>
  <si>
    <t>23/09/2023</t>
  </si>
  <si>
    <t>22/09/2023</t>
  </si>
  <si>
    <t>21/09/2023</t>
  </si>
  <si>
    <t>20/09/2023</t>
  </si>
  <si>
    <t>19/09/2023</t>
  </si>
  <si>
    <t>18/09/2023</t>
  </si>
  <si>
    <t>17/09/2023</t>
  </si>
  <si>
    <t>16/09/2023</t>
  </si>
  <si>
    <t>15/09/2023</t>
  </si>
  <si>
    <t>14/09/2023</t>
  </si>
  <si>
    <t>13/09/2023</t>
  </si>
  <si>
    <t>12/09/2023</t>
  </si>
  <si>
    <t>11/09/2023</t>
  </si>
  <si>
    <t>10/09/2023</t>
  </si>
  <si>
    <t>09/09/2023</t>
  </si>
  <si>
    <t>08/09/2023</t>
  </si>
  <si>
    <t>07/09/2023</t>
  </si>
  <si>
    <t>06/09/2023</t>
  </si>
  <si>
    <t>05/09/2023</t>
  </si>
  <si>
    <t>04/09/2023</t>
  </si>
  <si>
    <t>03/09/2023</t>
  </si>
  <si>
    <t>02/09/2023</t>
  </si>
  <si>
    <t>01/09/2023</t>
  </si>
  <si>
    <t>31/08/2023</t>
  </si>
  <si>
    <t>30/08/2023</t>
  </si>
  <si>
    <t>29/08/2023</t>
  </si>
  <si>
    <t>28/08/2023</t>
  </si>
  <si>
    <t>27/08/2023</t>
  </si>
  <si>
    <t>26/08/2023</t>
  </si>
  <si>
    <t>25/08/2023</t>
  </si>
  <si>
    <t>24/08/2023</t>
  </si>
  <si>
    <t>23/08/2023</t>
  </si>
  <si>
    <t>22/08/2023</t>
  </si>
  <si>
    <t>21/08/2023</t>
  </si>
  <si>
    <t>20/08/2023</t>
  </si>
  <si>
    <t>19/08/2023</t>
  </si>
  <si>
    <t>18/08/2023</t>
  </si>
  <si>
    <t>17/08/2023</t>
  </si>
  <si>
    <t>16/08/2023</t>
  </si>
  <si>
    <t>15/08/2023</t>
  </si>
  <si>
    <t>14/08/2023</t>
  </si>
  <si>
    <t>13/08/2023</t>
  </si>
  <si>
    <t>12/08/2023</t>
  </si>
  <si>
    <t>11/08/2023</t>
  </si>
  <si>
    <t>10/08/2023</t>
  </si>
  <si>
    <t>09/08/2023</t>
  </si>
  <si>
    <t>08/08/2023</t>
  </si>
  <si>
    <t>07/08/2023</t>
  </si>
  <si>
    <t>06/08/2023</t>
  </si>
  <si>
    <t>05/08/2023</t>
  </si>
  <si>
    <t>04/08/2023</t>
  </si>
  <si>
    <t>03/08/2023</t>
  </si>
  <si>
    <t>02/08/2023</t>
  </si>
  <si>
    <t>01/08/2023</t>
  </si>
  <si>
    <t>31/07/2023</t>
  </si>
  <si>
    <t>30/07/2023</t>
  </si>
  <si>
    <t>29/07/2023</t>
  </si>
  <si>
    <t>28/07/2023</t>
  </si>
  <si>
    <t>27/07/2023</t>
  </si>
  <si>
    <t>26/07/2023</t>
  </si>
  <si>
    <t>25/07/2023</t>
  </si>
  <si>
    <t>24/07/2023</t>
  </si>
  <si>
    <t>23/07/2023</t>
  </si>
  <si>
    <t>22/07/2023</t>
  </si>
  <si>
    <t>21/07/2023</t>
  </si>
  <si>
    <t>20/07/2023</t>
  </si>
  <si>
    <t>19/07/2023</t>
  </si>
  <si>
    <t>18/07/2023</t>
  </si>
  <si>
    <t>17/07/2023</t>
  </si>
  <si>
    <t>16/07/2023</t>
  </si>
  <si>
    <t>15/07/2023</t>
  </si>
  <si>
    <t>14/07/2023</t>
  </si>
  <si>
    <t>13/07/2023</t>
  </si>
  <si>
    <t>12/07/2023</t>
  </si>
  <si>
    <t>11/07/2023</t>
  </si>
  <si>
    <t>10/07/2023</t>
  </si>
  <si>
    <t>09/07/2023</t>
  </si>
  <si>
    <t>08/07/2023</t>
  </si>
  <si>
    <t>07/07/2023</t>
  </si>
  <si>
    <t>06/07/2023</t>
  </si>
  <si>
    <t>05/07/2023</t>
  </si>
  <si>
    <t>04/07/2023</t>
  </si>
  <si>
    <t>03/07/2023</t>
  </si>
  <si>
    <t>02/07/2023</t>
  </si>
  <si>
    <t>01/07/2023</t>
  </si>
  <si>
    <t>30/06/2023</t>
  </si>
  <si>
    <t>29/06/2023</t>
  </si>
  <si>
    <t>28/06/2023</t>
  </si>
  <si>
    <t>27/06/2023</t>
  </si>
  <si>
    <t>26/06/2023</t>
  </si>
  <si>
    <t>25/06/2023</t>
  </si>
  <si>
    <t>24/06/2023</t>
  </si>
  <si>
    <t>23/06/2023</t>
  </si>
  <si>
    <t>22/06/2023</t>
  </si>
  <si>
    <t>21/06/2023</t>
  </si>
  <si>
    <t>20/06/2023</t>
  </si>
  <si>
    <t>19/06/2023</t>
  </si>
  <si>
    <t>18/06/2023</t>
  </si>
  <si>
    <t>17/06/2023</t>
  </si>
  <si>
    <t>16/06/2023</t>
  </si>
  <si>
    <t>15/06/2023</t>
  </si>
  <si>
    <t>14/06/2023</t>
  </si>
  <si>
    <t>13/06/2023</t>
  </si>
  <si>
    <t>12/06/2023</t>
  </si>
  <si>
    <t>11/06/2023</t>
  </si>
  <si>
    <t>10/06/2023</t>
  </si>
  <si>
    <t>09/06/2023</t>
  </si>
  <si>
    <t>08/06/2023</t>
  </si>
  <si>
    <t>07/06/2023</t>
  </si>
  <si>
    <t>06/06/2023</t>
  </si>
  <si>
    <t>05/06/2023</t>
  </si>
  <si>
    <t>04/06/2023</t>
  </si>
  <si>
    <t>03/06/2023</t>
  </si>
  <si>
    <t>02/06/2023</t>
  </si>
  <si>
    <t>01/06/2023</t>
  </si>
  <si>
    <t>31/05/2023</t>
  </si>
  <si>
    <t>30/05/2023</t>
  </si>
  <si>
    <t>29/05/2023</t>
  </si>
  <si>
    <t>28/05/2023</t>
  </si>
  <si>
    <t>27/05/2023</t>
  </si>
  <si>
    <t>26/05/2023</t>
  </si>
  <si>
    <t>25/05/2023</t>
  </si>
  <si>
    <t>24/05/2023</t>
  </si>
  <si>
    <t>23/05/2023</t>
  </si>
  <si>
    <t>22/05/2023</t>
  </si>
  <si>
    <t>21/05/2023</t>
  </si>
  <si>
    <t>20/05/2023</t>
  </si>
  <si>
    <t>19/05/2023</t>
  </si>
  <si>
    <t>18/05/2023</t>
  </si>
  <si>
    <t>17/05/2023</t>
  </si>
  <si>
    <t>16/05/2023</t>
  </si>
  <si>
    <t>15/05/2023</t>
  </si>
  <si>
    <t>14/05/2023</t>
  </si>
  <si>
    <t>13/05/2023</t>
  </si>
  <si>
    <t>12/05/2023</t>
  </si>
  <si>
    <t>11/05/2023</t>
  </si>
  <si>
    <t>10/05/2023</t>
  </si>
  <si>
    <t>09/05/2023</t>
  </si>
  <si>
    <t>08/05/2023</t>
  </si>
  <si>
    <t>07/05/2023</t>
  </si>
  <si>
    <t>06/05/2023</t>
  </si>
  <si>
    <t>05/05/2023</t>
  </si>
  <si>
    <t>04/05/2023</t>
  </si>
  <si>
    <t>03/05/2023</t>
  </si>
  <si>
    <t>02/05/2023</t>
  </si>
  <si>
    <t>01/05/2023</t>
  </si>
  <si>
    <t>30/04/2023</t>
  </si>
  <si>
    <t>29/04/2023</t>
  </si>
  <si>
    <t>28/04/2023</t>
  </si>
  <si>
    <t>27/04/2023</t>
  </si>
  <si>
    <t>26/04/2023</t>
  </si>
  <si>
    <t>25/04/2023</t>
  </si>
  <si>
    <t>24/04/2023</t>
  </si>
  <si>
    <t>23/04/2023</t>
  </si>
  <si>
    <t>22/04/2023</t>
  </si>
  <si>
    <t>21/04/2023</t>
  </si>
  <si>
    <t>20/04/2023</t>
  </si>
  <si>
    <t>19/04/2023</t>
  </si>
  <si>
    <t>18/04/2023</t>
  </si>
  <si>
    <t>17/04/2023</t>
  </si>
  <si>
    <t>16/04/2023</t>
  </si>
  <si>
    <t>15/04/2023</t>
  </si>
  <si>
    <t>14/04/2023</t>
  </si>
  <si>
    <t>13/04/2023</t>
  </si>
  <si>
    <t>12/04/2023</t>
  </si>
  <si>
    <t>11/04/2023</t>
  </si>
  <si>
    <t>10/04/2023</t>
  </si>
  <si>
    <t>09/04/2023</t>
  </si>
  <si>
    <t>08/04/2023</t>
  </si>
  <si>
    <t>07/04/2023</t>
  </si>
  <si>
    <t>06/04/2023</t>
  </si>
  <si>
    <t>05/04/2023</t>
  </si>
  <si>
    <t>04/04/2023</t>
  </si>
  <si>
    <t>03/04/2023</t>
  </si>
  <si>
    <t>02/04/2023</t>
  </si>
  <si>
    <t>01/04/2023</t>
  </si>
  <si>
    <t>31/03/2023</t>
  </si>
  <si>
    <t>30/03/2023</t>
  </si>
  <si>
    <t>29/03/2023</t>
  </si>
  <si>
    <t>28/03/2023</t>
  </si>
  <si>
    <t>27/03/2023</t>
  </si>
  <si>
    <t>26/03/2023</t>
  </si>
  <si>
    <t>25/03/2023</t>
  </si>
  <si>
    <t>24/03/2023</t>
  </si>
  <si>
    <t>23/03/2023</t>
  </si>
  <si>
    <t>22/03/2023</t>
  </si>
  <si>
    <t>21/03/2023</t>
  </si>
  <si>
    <t>20/03/2023</t>
  </si>
  <si>
    <t>19/03/2023</t>
  </si>
  <si>
    <t>18/03/2023</t>
  </si>
  <si>
    <t>17/03/2023</t>
  </si>
  <si>
    <t>16/03/2023</t>
  </si>
  <si>
    <t>15/03/2023</t>
  </si>
  <si>
    <t>14/03/2023</t>
  </si>
  <si>
    <t>13/03/2023</t>
  </si>
  <si>
    <t>12/03/2023</t>
  </si>
  <si>
    <t>11/03/2023</t>
  </si>
  <si>
    <t>10/03/2023</t>
  </si>
  <si>
    <t>09/03/2023</t>
  </si>
  <si>
    <t>08/03/2023</t>
  </si>
  <si>
    <t>07/03/2023</t>
  </si>
  <si>
    <t>06/03/2023</t>
  </si>
  <si>
    <t>05/03/2023</t>
  </si>
  <si>
    <t>04/03/2023</t>
  </si>
  <si>
    <t>03/03/2023</t>
  </si>
  <si>
    <t>02/03/2023</t>
  </si>
  <si>
    <t>01/03/2023</t>
  </si>
  <si>
    <t>28/02/2023</t>
  </si>
  <si>
    <t>27/02/2023</t>
  </si>
  <si>
    <t>26/02/2023</t>
  </si>
  <si>
    <t>25/02/2023</t>
  </si>
  <si>
    <t>24/02/2023</t>
  </si>
  <si>
    <t>23/02/2023</t>
  </si>
  <si>
    <t>22/02/2023</t>
  </si>
  <si>
    <t>21/02/2023</t>
  </si>
  <si>
    <t>20/02/2023</t>
  </si>
  <si>
    <t>19/02/2023</t>
  </si>
  <si>
    <t>18/02/2023</t>
  </si>
  <si>
    <t>17/02/2023</t>
  </si>
  <si>
    <t>16/02/2023</t>
  </si>
  <si>
    <t>15/02/2023</t>
  </si>
  <si>
    <t>14/02/2023</t>
  </si>
  <si>
    <t>13/02/2023</t>
  </si>
  <si>
    <t>12/02/2023</t>
  </si>
  <si>
    <t>11/02/2023</t>
  </si>
  <si>
    <t>10/02/2023</t>
  </si>
  <si>
    <t>09/02/2023</t>
  </si>
  <si>
    <t>08/02/2023</t>
  </si>
  <si>
    <t>07/02/2023</t>
  </si>
  <si>
    <t>06/02/2023</t>
  </si>
  <si>
    <t>05/02/2023</t>
  </si>
  <si>
    <t>04/02/2023</t>
  </si>
  <si>
    <t>03/02/2023</t>
  </si>
  <si>
    <t>02/02/2023</t>
  </si>
  <si>
    <t>01/02/2023</t>
  </si>
  <si>
    <t>31/01/2023</t>
  </si>
  <si>
    <t>30/01/2023</t>
  </si>
  <si>
    <t>29/01/2023</t>
  </si>
  <si>
    <t>28/01/2023</t>
  </si>
  <si>
    <t>27/01/2023</t>
  </si>
  <si>
    <t>26/01/2023</t>
  </si>
  <si>
    <t>25/01/2023</t>
  </si>
  <si>
    <t>24/01/2023</t>
  </si>
  <si>
    <t>23/01/2023</t>
  </si>
  <si>
    <t>22/01/2023</t>
  </si>
  <si>
    <t>21/01/2023</t>
  </si>
  <si>
    <t>20/01/2023</t>
  </si>
  <si>
    <t>19/01/2023</t>
  </si>
  <si>
    <t>18/01/2023</t>
  </si>
  <si>
    <t>17/01/2023</t>
  </si>
  <si>
    <t>16/01/2023</t>
  </si>
  <si>
    <t>15/01/2023</t>
  </si>
  <si>
    <t>14/01/2023</t>
  </si>
  <si>
    <t>13/01/2023</t>
  </si>
  <si>
    <t>12/01/2023</t>
  </si>
  <si>
    <t>11/01/2023</t>
  </si>
  <si>
    <t>10/01/2023</t>
  </si>
  <si>
    <t>09/01/2023</t>
  </si>
  <si>
    <t>08/01/2023</t>
  </si>
  <si>
    <t>07/01/2023</t>
  </si>
  <si>
    <t>06/01/2023</t>
  </si>
  <si>
    <t>05/01/2023</t>
  </si>
  <si>
    <t>04/01/2023</t>
  </si>
  <si>
    <t>03/01/2023</t>
  </si>
  <si>
    <t>02/01/2023</t>
  </si>
  <si>
    <t>01/01/2023</t>
  </si>
  <si>
    <t>31/12/2022</t>
  </si>
  <si>
    <t>30/12/2022</t>
  </si>
  <si>
    <t>29/12/2022</t>
  </si>
  <si>
    <t>28/12/2022</t>
  </si>
  <si>
    <t>27/12/2022</t>
  </si>
  <si>
    <t>26/12/2022</t>
  </si>
  <si>
    <t>25/12/2022</t>
  </si>
  <si>
    <t>24/12/2022</t>
  </si>
  <si>
    <t>23/12/2022</t>
  </si>
  <si>
    <t>22/12/2022</t>
  </si>
  <si>
    <t>21/12/2022</t>
  </si>
  <si>
    <t>20/12/2022</t>
  </si>
  <si>
    <t>19/12/2022</t>
  </si>
  <si>
    <t>18/12/2022</t>
  </si>
  <si>
    <t>17/12/2022</t>
  </si>
  <si>
    <t>16/12/2022</t>
  </si>
  <si>
    <t>15/12/2022</t>
  </si>
  <si>
    <t>14/12/2022</t>
  </si>
  <si>
    <t>13/12/2022</t>
  </si>
  <si>
    <t>12/12/2022</t>
  </si>
  <si>
    <t>11/12/2022</t>
  </si>
  <si>
    <t>10/12/2022</t>
  </si>
  <si>
    <t>09/12/2022</t>
  </si>
  <si>
    <t>08/12/2022</t>
  </si>
  <si>
    <t>07/12/2022</t>
  </si>
  <si>
    <t>06/12/2022</t>
  </si>
  <si>
    <t>05/12/2022</t>
  </si>
  <si>
    <t>04/12/2022</t>
  </si>
  <si>
    <t>03/12/2022</t>
  </si>
  <si>
    <t>02/12/2022</t>
  </si>
  <si>
    <t>01/12/2022</t>
  </si>
  <si>
    <t>30/11/2022</t>
  </si>
  <si>
    <t>29/11/2022</t>
  </si>
  <si>
    <t>28/11/2022</t>
  </si>
  <si>
    <t>27/11/2022</t>
  </si>
  <si>
    <t>26/11/2022</t>
  </si>
  <si>
    <t>25/11/2022</t>
  </si>
  <si>
    <t>24/11/2022</t>
  </si>
  <si>
    <t>23/11/2022</t>
  </si>
  <si>
    <t>22/11/2022</t>
  </si>
  <si>
    <t>21/11/2022</t>
  </si>
  <si>
    <t>20/11/2022</t>
  </si>
  <si>
    <t>19/11/2022</t>
  </si>
  <si>
    <t>18/11/2022</t>
  </si>
  <si>
    <t>17/11/2022</t>
  </si>
  <si>
    <t>16/11/2022</t>
  </si>
  <si>
    <t>15/11/2022</t>
  </si>
  <si>
    <t>14/11/2022</t>
  </si>
  <si>
    <t>13/11/2022</t>
  </si>
  <si>
    <t>12/11/2022</t>
  </si>
  <si>
    <t>11/11/2022</t>
  </si>
  <si>
    <t>10/11/2022</t>
  </si>
  <si>
    <t>09/11/2022</t>
  </si>
  <si>
    <t>08/11/2022</t>
  </si>
  <si>
    <t>07/11/2022</t>
  </si>
  <si>
    <t>06/11/2022</t>
  </si>
  <si>
    <t>05/11/2022</t>
  </si>
  <si>
    <t>04/11/2022</t>
  </si>
  <si>
    <t>03/11/2022</t>
  </si>
  <si>
    <t>02/11/2022</t>
  </si>
  <si>
    <t>01/11/2022</t>
  </si>
  <si>
    <t>31/10/2022</t>
  </si>
  <si>
    <t>30/10/2022</t>
  </si>
  <si>
    <t>29/10/2022</t>
  </si>
  <si>
    <t>28/10/2022</t>
  </si>
  <si>
    <t>27/10/2022</t>
  </si>
  <si>
    <t>26/10/2022</t>
  </si>
  <si>
    <t>25/10/2022</t>
  </si>
  <si>
    <t>24/10/2022</t>
  </si>
  <si>
    <t>23/10/2022</t>
  </si>
  <si>
    <t>22/10/2022</t>
  </si>
  <si>
    <t>21/10/2022</t>
  </si>
  <si>
    <t>20/10/2022</t>
  </si>
  <si>
    <t>19/10/2022</t>
  </si>
  <si>
    <t>18/10/2022</t>
  </si>
  <si>
    <t>17/10/2022</t>
  </si>
  <si>
    <t>16/10/2022</t>
  </si>
  <si>
    <t>15/10/2022</t>
  </si>
  <si>
    <t>14/10/2022</t>
  </si>
  <si>
    <t>13/10/2022</t>
  </si>
  <si>
    <t>12/10/2022</t>
  </si>
  <si>
    <t>11/10/2022</t>
  </si>
  <si>
    <t>10/10/2022</t>
  </si>
  <si>
    <t>09/10/2022</t>
  </si>
  <si>
    <t>08/10/2022</t>
  </si>
  <si>
    <t>07/10/2022</t>
  </si>
  <si>
    <t>06/10/2022</t>
  </si>
  <si>
    <t>05/10/2022</t>
  </si>
  <si>
    <t>04/10/2022</t>
  </si>
  <si>
    <t>03/10/2022</t>
  </si>
  <si>
    <t>02/10/2022</t>
  </si>
  <si>
    <t>01/10/2022</t>
  </si>
  <si>
    <t>30/09/2022</t>
  </si>
  <si>
    <t>29/09/2022</t>
  </si>
  <si>
    <t>28/09/2022</t>
  </si>
  <si>
    <t>27/09/2022</t>
  </si>
  <si>
    <t>26/09/2022</t>
  </si>
  <si>
    <t>25/09/2022</t>
  </si>
  <si>
    <t>24/09/2022</t>
  </si>
  <si>
    <t>23/09/2022</t>
  </si>
  <si>
    <t>22/09/2022</t>
  </si>
  <si>
    <t>21/09/2022</t>
  </si>
  <si>
    <t>20/09/2022</t>
  </si>
  <si>
    <t>19/09/2022</t>
  </si>
  <si>
    <t>18/09/2022</t>
  </si>
  <si>
    <t>17/09/2022</t>
  </si>
  <si>
    <t>16/09/2022</t>
  </si>
  <si>
    <t>15/09/2022</t>
  </si>
  <si>
    <t>14/09/2022</t>
  </si>
  <si>
    <t>13/09/2022</t>
  </si>
  <si>
    <t>12/09/2022</t>
  </si>
  <si>
    <t>11/09/2022</t>
  </si>
  <si>
    <t>10/09/2022</t>
  </si>
  <si>
    <t>09/09/2022</t>
  </si>
  <si>
    <t>08/09/2022</t>
  </si>
  <si>
    <t>07/09/2022</t>
  </si>
  <si>
    <t>06/09/2022</t>
  </si>
  <si>
    <t>05/09/2022</t>
  </si>
  <si>
    <t>04/09/2022</t>
  </si>
  <si>
    <t>03/09/2022</t>
  </si>
  <si>
    <t>02/09/2022</t>
  </si>
  <si>
    <t>01/09/2022</t>
  </si>
  <si>
    <t>31/08/2022</t>
  </si>
  <si>
    <t>30/08/2022</t>
  </si>
  <si>
    <t>29/08/2022</t>
  </si>
  <si>
    <t>28/08/2022</t>
  </si>
  <si>
    <t>27/08/2022</t>
  </si>
  <si>
    <t>26/08/2022</t>
  </si>
  <si>
    <t>25/08/2022</t>
  </si>
  <si>
    <t>24/08/2022</t>
  </si>
  <si>
    <t>23/08/2022</t>
  </si>
  <si>
    <t>22/08/2022</t>
  </si>
  <si>
    <t>21/08/2022</t>
  </si>
  <si>
    <t>20/08/2022</t>
  </si>
  <si>
    <t>19/08/2022</t>
  </si>
  <si>
    <t>18/08/2022</t>
  </si>
  <si>
    <t>17/08/2022</t>
  </si>
  <si>
    <t>16/08/2022</t>
  </si>
  <si>
    <t>15/08/2022</t>
  </si>
  <si>
    <t>14/08/2022</t>
  </si>
  <si>
    <t>13/08/2022</t>
  </si>
  <si>
    <t>12/08/2022</t>
  </si>
  <si>
    <t>11/08/2022</t>
  </si>
  <si>
    <t>10/08/2022</t>
  </si>
  <si>
    <t>09/08/2022</t>
  </si>
  <si>
    <t>08/08/2022</t>
  </si>
  <si>
    <t>07/08/2022</t>
  </si>
  <si>
    <t>06/08/2022</t>
  </si>
  <si>
    <t>05/08/2022</t>
  </si>
  <si>
    <t>04/08/2022</t>
  </si>
  <si>
    <t>03/08/2022</t>
  </si>
  <si>
    <t>02/08/2022</t>
  </si>
  <si>
    <t>01/08/2022</t>
  </si>
  <si>
    <t>31/07/2022</t>
  </si>
  <si>
    <t>30/07/2022</t>
  </si>
  <si>
    <t>29/07/2022</t>
  </si>
  <si>
    <t>28/07/2022</t>
  </si>
  <si>
    <t>27/07/2022</t>
  </si>
  <si>
    <t>26/07/2022</t>
  </si>
  <si>
    <t>25/07/2022</t>
  </si>
  <si>
    <t>24/07/2022</t>
  </si>
  <si>
    <t>23/07/2022</t>
  </si>
  <si>
    <t>22/07/2022</t>
  </si>
  <si>
    <t>21/07/2022</t>
  </si>
  <si>
    <t>20/07/2022</t>
  </si>
  <si>
    <t>19/07/2022</t>
  </si>
  <si>
    <t>18/07/2022</t>
  </si>
  <si>
    <t>17/07/2022</t>
  </si>
  <si>
    <t>16/07/2022</t>
  </si>
  <si>
    <t>15/07/2022</t>
  </si>
  <si>
    <t>14/07/2022</t>
  </si>
  <si>
    <t>13/07/2022</t>
  </si>
  <si>
    <t>12/07/2022</t>
  </si>
  <si>
    <t>11/07/2022</t>
  </si>
  <si>
    <t>10/07/2022</t>
  </si>
  <si>
    <t>09/07/2022</t>
  </si>
  <si>
    <t>08/07/2022</t>
  </si>
  <si>
    <t>07/07/2022</t>
  </si>
  <si>
    <t>06/07/2022</t>
  </si>
  <si>
    <t>05/07/2022</t>
  </si>
  <si>
    <t>04/07/2022</t>
  </si>
  <si>
    <t>03/07/2022</t>
  </si>
  <si>
    <t>02/07/2022</t>
  </si>
  <si>
    <t>01/07/2022</t>
  </si>
  <si>
    <t>30/06/2022</t>
  </si>
  <si>
    <t>29/06/2022</t>
  </si>
  <si>
    <t>28/06/2022</t>
  </si>
  <si>
    <t>27/06/2022</t>
  </si>
  <si>
    <t>26/06/2022</t>
  </si>
  <si>
    <t>25/06/2022</t>
  </si>
  <si>
    <t>24/06/2022</t>
  </si>
  <si>
    <t>23/06/2022</t>
  </si>
  <si>
    <t>22/06/2022</t>
  </si>
  <si>
    <t>21/06/2022</t>
  </si>
  <si>
    <t>20/06/2022</t>
  </si>
  <si>
    <t>19/06/2022</t>
  </si>
  <si>
    <t>18/06/2022</t>
  </si>
  <si>
    <t>17/06/2022</t>
  </si>
  <si>
    <t>16/06/2022</t>
  </si>
  <si>
    <t>15/06/2022</t>
  </si>
  <si>
    <t>14/06/2022</t>
  </si>
  <si>
    <t>13/06/2022</t>
  </si>
  <si>
    <t>12/06/2022</t>
  </si>
  <si>
    <t>11/06/2022</t>
  </si>
  <si>
    <t>10/06/2022</t>
  </si>
  <si>
    <t>09/06/2022</t>
  </si>
  <si>
    <t>08/06/2022</t>
  </si>
  <si>
    <t>07/06/2022</t>
  </si>
  <si>
    <t>06/06/2022</t>
  </si>
  <si>
    <t>05/06/2022</t>
  </si>
  <si>
    <t>04/06/2022</t>
  </si>
  <si>
    <t>03/06/2022</t>
  </si>
  <si>
    <t>02/06/2022</t>
  </si>
  <si>
    <t>01/06/2022</t>
  </si>
  <si>
    <t>31/05/2022</t>
  </si>
  <si>
    <t>30/05/2022</t>
  </si>
  <si>
    <t>29/05/2022</t>
  </si>
  <si>
    <t>28/05/2022</t>
  </si>
  <si>
    <t>27/05/2022</t>
  </si>
  <si>
    <t>26/05/2022</t>
  </si>
  <si>
    <t>25/05/2022</t>
  </si>
  <si>
    <t>24/05/2022</t>
  </si>
  <si>
    <t>23/05/2022</t>
  </si>
  <si>
    <t>22/05/2022</t>
  </si>
  <si>
    <t>21/05/2022</t>
  </si>
  <si>
    <t>20/05/2022</t>
  </si>
  <si>
    <t>19/05/2022</t>
  </si>
  <si>
    <t>18/05/2022</t>
  </si>
  <si>
    <t>17/05/2022</t>
  </si>
  <si>
    <t>16/05/2022</t>
  </si>
  <si>
    <t>15/05/2022</t>
  </si>
  <si>
    <t>14/05/2022</t>
  </si>
  <si>
    <t>13/05/2022</t>
  </si>
  <si>
    <t>12/05/2022</t>
  </si>
  <si>
    <t>11/05/2022</t>
  </si>
  <si>
    <t>10/05/2022</t>
  </si>
  <si>
    <t>09/05/2022</t>
  </si>
  <si>
    <t>08/05/2022</t>
  </si>
  <si>
    <t>07/05/2022</t>
  </si>
  <si>
    <t>06/05/2022</t>
  </si>
  <si>
    <t>05/05/2022</t>
  </si>
  <si>
    <t>04/05/2022</t>
  </si>
  <si>
    <t>03/05/2022</t>
  </si>
  <si>
    <t>02/05/2022</t>
  </si>
  <si>
    <t>01/05/2022</t>
  </si>
  <si>
    <t>30/04/2022</t>
  </si>
  <si>
    <t>29/04/2022</t>
  </si>
  <si>
    <t>28/04/2022</t>
  </si>
  <si>
    <t>27/04/2022</t>
  </si>
  <si>
    <t>26/04/2022</t>
  </si>
  <si>
    <t>25/04/2022</t>
  </si>
  <si>
    <t>24/04/2022</t>
  </si>
  <si>
    <t>23/04/2022</t>
  </si>
  <si>
    <t>22/04/2022</t>
  </si>
  <si>
    <t>21/04/2022</t>
  </si>
  <si>
    <t>20/04/2022</t>
  </si>
  <si>
    <t>19/04/2022</t>
  </si>
  <si>
    <t>18/04/2022</t>
  </si>
  <si>
    <t>17/04/2022</t>
  </si>
  <si>
    <t>16/04/2022</t>
  </si>
  <si>
    <t>15/04/2022</t>
  </si>
  <si>
    <t>14/04/2022</t>
  </si>
  <si>
    <t>13/04/2022</t>
  </si>
  <si>
    <t>12/04/2022</t>
  </si>
  <si>
    <t>11/04/2022</t>
  </si>
  <si>
    <t>10/04/2022</t>
  </si>
  <si>
    <t>09/04/2022</t>
  </si>
  <si>
    <t>08/04/2022</t>
  </si>
  <si>
    <t>07/04/2022</t>
  </si>
  <si>
    <t>06/04/2022</t>
  </si>
  <si>
    <t>05/04/2022</t>
  </si>
  <si>
    <t>04/04/2022</t>
  </si>
  <si>
    <t>03/04/2022</t>
  </si>
  <si>
    <t>02/04/2022</t>
  </si>
  <si>
    <t>01/04/2022</t>
  </si>
  <si>
    <t>31/03/2022</t>
  </si>
  <si>
    <t>30/03/2022</t>
  </si>
  <si>
    <t>29/03/2022</t>
  </si>
  <si>
    <t>28/03/2022</t>
  </si>
  <si>
    <t>27/03/2022</t>
  </si>
  <si>
    <t>26/03/2022</t>
  </si>
  <si>
    <t>25/03/2022</t>
  </si>
  <si>
    <t>24/03/2022</t>
  </si>
  <si>
    <t>23/03/2022</t>
  </si>
  <si>
    <t>22/03/2022</t>
  </si>
  <si>
    <t>21/03/2022</t>
  </si>
  <si>
    <t>20/03/2022</t>
  </si>
  <si>
    <t>19/03/2022</t>
  </si>
  <si>
    <t>18/03/2022</t>
  </si>
  <si>
    <t>17/03/2022</t>
  </si>
  <si>
    <t>16/03/2022</t>
  </si>
  <si>
    <t>15/03/2022</t>
  </si>
  <si>
    <t>14/03/2022</t>
  </si>
  <si>
    <t>13/03/2022</t>
  </si>
  <si>
    <t>12/03/2022</t>
  </si>
  <si>
    <t>11/03/2022</t>
  </si>
  <si>
    <t>10/03/2022</t>
  </si>
  <si>
    <t>09/03/2022</t>
  </si>
  <si>
    <t>08/03/2022</t>
  </si>
  <si>
    <t>07/03/2022</t>
  </si>
  <si>
    <t>06/03/2022</t>
  </si>
  <si>
    <t>05/03/2022</t>
  </si>
  <si>
    <t>04/03/2022</t>
  </si>
  <si>
    <t>03/03/2022</t>
  </si>
  <si>
    <t>02/03/2022</t>
  </si>
  <si>
    <t>01/03/2022</t>
  </si>
  <si>
    <t>28/02/2022</t>
  </si>
  <si>
    <t>27/02/2022</t>
  </si>
  <si>
    <t>26/02/2022</t>
  </si>
  <si>
    <t>25/02/2022</t>
  </si>
  <si>
    <t>24/02/2022</t>
  </si>
  <si>
    <t>23/02/2022</t>
  </si>
  <si>
    <t>22/02/2022</t>
  </si>
  <si>
    <t>21/02/2022</t>
  </si>
  <si>
    <t>20/02/2022</t>
  </si>
  <si>
    <t>19/02/2022</t>
  </si>
  <si>
    <t>18/02/2022</t>
  </si>
  <si>
    <t>17/02/2022</t>
  </si>
  <si>
    <t>16/02/2022</t>
  </si>
  <si>
    <t>15/02/2022</t>
  </si>
  <si>
    <t>14/02/2022</t>
  </si>
  <si>
    <t>13/02/2022</t>
  </si>
  <si>
    <t>12/02/2022</t>
  </si>
  <si>
    <t>11/02/2022</t>
  </si>
  <si>
    <t>10/02/2022</t>
  </si>
  <si>
    <t>09/02/2022</t>
  </si>
  <si>
    <t>08/02/2022</t>
  </si>
  <si>
    <t>07/02/2022</t>
  </si>
  <si>
    <t>06/02/2022</t>
  </si>
  <si>
    <t>05/02/2022</t>
  </si>
  <si>
    <t>04/02/2022</t>
  </si>
  <si>
    <t>03/02/2022</t>
  </si>
  <si>
    <t>02/02/2022</t>
  </si>
  <si>
    <t>01/02/2022</t>
  </si>
  <si>
    <t>31/01/2022</t>
  </si>
  <si>
    <t>30/01/2022</t>
  </si>
  <si>
    <t>29/01/2022</t>
  </si>
  <si>
    <t>28/01/2022</t>
  </si>
  <si>
    <t>27/01/2022</t>
  </si>
  <si>
    <t>26/01/2022</t>
  </si>
  <si>
    <t>25/01/2022</t>
  </si>
  <si>
    <t>24/01/2022</t>
  </si>
  <si>
    <t>23/01/2022</t>
  </si>
  <si>
    <t>22/01/2022</t>
  </si>
  <si>
    <t>21/01/2022</t>
  </si>
  <si>
    <t>20/01/2022</t>
  </si>
  <si>
    <t>19/01/2022</t>
  </si>
  <si>
    <t>18/01/2022</t>
  </si>
  <si>
    <t>17/01/2022</t>
  </si>
  <si>
    <t>16/01/2022</t>
  </si>
  <si>
    <t>15/01/2022</t>
  </si>
  <si>
    <t>14/01/2022</t>
  </si>
  <si>
    <t>13/01/2022</t>
  </si>
  <si>
    <t>12/01/2022</t>
  </si>
  <si>
    <t>11/01/2022</t>
  </si>
  <si>
    <t>10/01/2022</t>
  </si>
  <si>
    <t>09/01/2022</t>
  </si>
  <si>
    <t>08/01/2022</t>
  </si>
  <si>
    <t>07/01/2022</t>
  </si>
  <si>
    <t>06/01/2022</t>
  </si>
  <si>
    <t>05/01/2022</t>
  </si>
  <si>
    <t>04/01/2022</t>
  </si>
  <si>
    <t>03/01/2022</t>
  </si>
  <si>
    <t>02/01/2022</t>
  </si>
  <si>
    <t>01/01/2022</t>
  </si>
  <si>
    <t>31/12/2021</t>
  </si>
  <si>
    <t>30/12/2021</t>
  </si>
  <si>
    <t>29/12/2021</t>
  </si>
  <si>
    <t>28/12/2021</t>
  </si>
  <si>
    <t>27/12/2021</t>
  </si>
  <si>
    <t>26/12/2021</t>
  </si>
  <si>
    <t>25/12/2021</t>
  </si>
  <si>
    <t>24/12/2021</t>
  </si>
  <si>
    <t>23/12/2021</t>
  </si>
  <si>
    <t>22/12/2021</t>
  </si>
  <si>
    <t>21/12/2021</t>
  </si>
  <si>
    <t>20/12/2021</t>
  </si>
  <si>
    <t>19/12/2021</t>
  </si>
  <si>
    <t>18/12/2021</t>
  </si>
  <si>
    <t>17/12/2021</t>
  </si>
  <si>
    <t>16/12/2021</t>
  </si>
  <si>
    <t>15/12/2021</t>
  </si>
  <si>
    <t>14/12/2021</t>
  </si>
  <si>
    <t>13/12/2021</t>
  </si>
  <si>
    <t>12/12/2021</t>
  </si>
  <si>
    <t>11/12/2021</t>
  </si>
  <si>
    <t>10/12/2021</t>
  </si>
  <si>
    <t>09/12/2021</t>
  </si>
  <si>
    <t>08/12/2021</t>
  </si>
  <si>
    <t>07/12/2021</t>
  </si>
  <si>
    <t>06/12/2021</t>
  </si>
  <si>
    <t>05/12/2021</t>
  </si>
  <si>
    <t>04/12/2021</t>
  </si>
  <si>
    <t>03/12/2021</t>
  </si>
  <si>
    <t>02/12/2021</t>
  </si>
  <si>
    <t>01/12/2021</t>
  </si>
  <si>
    <t>30/11/2021</t>
  </si>
  <si>
    <t>29/11/2021</t>
  </si>
  <si>
    <t>28/11/2021</t>
  </si>
  <si>
    <t>27/11/2021</t>
  </si>
  <si>
    <t>26/11/2021</t>
  </si>
  <si>
    <t>25/11/2021</t>
  </si>
  <si>
    <t>24/11/2021</t>
  </si>
  <si>
    <t>23/11/2021</t>
  </si>
  <si>
    <t>22/11/2021</t>
  </si>
  <si>
    <t>21/11/2021</t>
  </si>
  <si>
    <t>20/11/2021</t>
  </si>
  <si>
    <t>19/11/2021</t>
  </si>
  <si>
    <t>18/11/2021</t>
  </si>
  <si>
    <t>17/11/2021</t>
  </si>
  <si>
    <t>16/11/2021</t>
  </si>
  <si>
    <t>15/11/2021</t>
  </si>
  <si>
    <t>14/11/2021</t>
  </si>
  <si>
    <t>13/11/2021</t>
  </si>
  <si>
    <t>12/11/2021</t>
  </si>
  <si>
    <t>11/11/2021</t>
  </si>
  <si>
    <t>10/11/2021</t>
  </si>
  <si>
    <t>09/11/2021</t>
  </si>
  <si>
    <t>08/11/2021</t>
  </si>
  <si>
    <t>07/11/2021</t>
  </si>
  <si>
    <t>06/11/2021</t>
  </si>
  <si>
    <t>05/11/2021</t>
  </si>
  <si>
    <t>04/11/2021</t>
  </si>
  <si>
    <t>03/11/2021</t>
  </si>
  <si>
    <t>02/11/2021</t>
  </si>
  <si>
    <t>01/11/2021</t>
  </si>
  <si>
    <t>31/10/2021</t>
  </si>
  <si>
    <t>30/10/2021</t>
  </si>
  <si>
    <t>29/10/2021</t>
  </si>
  <si>
    <t>28/10/2021</t>
  </si>
  <si>
    <t>27/10/2021</t>
  </si>
  <si>
    <t>26/10/2021</t>
  </si>
  <si>
    <t>25/10/2021</t>
  </si>
  <si>
    <t>24/10/2021</t>
  </si>
  <si>
    <t>23/10/2021</t>
  </si>
  <si>
    <t>22/10/2021</t>
  </si>
  <si>
    <t>21/10/2021</t>
  </si>
  <si>
    <t>20/10/2021</t>
  </si>
  <si>
    <t>19/10/2021</t>
  </si>
  <si>
    <t>18/10/2021</t>
  </si>
  <si>
    <t>17/10/2021</t>
  </si>
  <si>
    <t>16/10/2021</t>
  </si>
  <si>
    <t>15/10/2021</t>
  </si>
  <si>
    <t>14/10/2021</t>
  </si>
  <si>
    <t>13/10/2021</t>
  </si>
  <si>
    <t>12/10/2021</t>
  </si>
  <si>
    <t>11/10/2021</t>
  </si>
  <si>
    <t>10/10/2021</t>
  </si>
  <si>
    <t>09/10/2021</t>
  </si>
  <si>
    <t>08/10/2021</t>
  </si>
  <si>
    <t>07/10/2021</t>
  </si>
  <si>
    <t>06/10/2021</t>
  </si>
  <si>
    <t>05/10/2021</t>
  </si>
  <si>
    <t>04/10/2021</t>
  </si>
  <si>
    <t>03/10/2021</t>
  </si>
  <si>
    <t>02/10/2021</t>
  </si>
  <si>
    <t>01/10/2021</t>
  </si>
  <si>
    <t>30/09/2021</t>
  </si>
  <si>
    <t>29/09/2021</t>
  </si>
  <si>
    <t>28/09/2021</t>
  </si>
  <si>
    <t>27/09/2021</t>
  </si>
  <si>
    <t>26/09/2021</t>
  </si>
  <si>
    <t>25/09/2021</t>
  </si>
  <si>
    <t>24/09/2021</t>
  </si>
  <si>
    <t>23/09/2021</t>
  </si>
  <si>
    <t>22/09/2021</t>
  </si>
  <si>
    <t>21/09/2021</t>
  </si>
  <si>
    <t>20/09/2021</t>
  </si>
  <si>
    <t>19/09/2021</t>
  </si>
  <si>
    <t>18/09/2021</t>
  </si>
  <si>
    <t>17/09/2021</t>
  </si>
  <si>
    <t>16/09/2021</t>
  </si>
  <si>
    <t>15/09/2021</t>
  </si>
  <si>
    <t>14/09/2021</t>
  </si>
  <si>
    <t>13/09/2021</t>
  </si>
  <si>
    <t>12/09/2021</t>
  </si>
  <si>
    <t>11/09/2021</t>
  </si>
  <si>
    <t>10/09/2021</t>
  </si>
  <si>
    <t>09/09/2021</t>
  </si>
  <si>
    <t>08/09/2021</t>
  </si>
  <si>
    <t>07/09/2021</t>
  </si>
  <si>
    <t>06/09/2021</t>
  </si>
  <si>
    <t>05/09/2021</t>
  </si>
  <si>
    <t>04/09/2021</t>
  </si>
  <si>
    <t>03/09/2021</t>
  </si>
  <si>
    <t>02/09/2021</t>
  </si>
  <si>
    <t>01/09/2021</t>
  </si>
  <si>
    <t>31/08/2021</t>
  </si>
  <si>
    <t>30/08/2021</t>
  </si>
  <si>
    <t>29/08/2021</t>
  </si>
  <si>
    <t>28/08/2021</t>
  </si>
  <si>
    <t>27/08/2021</t>
  </si>
  <si>
    <t>26/08/2021</t>
  </si>
  <si>
    <t>25/08/2021</t>
  </si>
  <si>
    <t>24/08/2021</t>
  </si>
  <si>
    <t>23/08/2021</t>
  </si>
  <si>
    <t>22/08/2021</t>
  </si>
  <si>
    <t>21/08/2021</t>
  </si>
  <si>
    <t>20/08/2021</t>
  </si>
  <si>
    <t>19/08/2021</t>
  </si>
  <si>
    <t>18/08/2021</t>
  </si>
  <si>
    <t>17/08/2021</t>
  </si>
  <si>
    <t>16/08/2021</t>
  </si>
  <si>
    <t>15/08/2021</t>
  </si>
  <si>
    <t>14/08/2021</t>
  </si>
  <si>
    <t>13/08/2021</t>
  </si>
  <si>
    <t>12/08/2021</t>
  </si>
  <si>
    <t>11/08/2021</t>
  </si>
  <si>
    <t>10/08/2021</t>
  </si>
  <si>
    <t>09/08/2021</t>
  </si>
  <si>
    <t>08/08/2021</t>
  </si>
  <si>
    <t>07/08/2021</t>
  </si>
  <si>
    <t>06/08/2021</t>
  </si>
  <si>
    <t>05/08/2021</t>
  </si>
  <si>
    <t>04/08/2021</t>
  </si>
  <si>
    <t>03/08/2021</t>
  </si>
  <si>
    <t>02/08/2021</t>
  </si>
  <si>
    <t>01/08/2021</t>
  </si>
  <si>
    <t>31/07/2021</t>
  </si>
  <si>
    <t>30/07/2021</t>
  </si>
  <si>
    <t>29/07/2021</t>
  </si>
  <si>
    <t>28/07/2021</t>
  </si>
  <si>
    <t>27/07/2021</t>
  </si>
  <si>
    <t>26/07/2021</t>
  </si>
  <si>
    <t>25/07/2021</t>
  </si>
  <si>
    <t>24/07/2021</t>
  </si>
  <si>
    <t>23/07/2021</t>
  </si>
  <si>
    <t>22/07/2021</t>
  </si>
  <si>
    <t>21/07/2021</t>
  </si>
  <si>
    <t>20/07/2021</t>
  </si>
  <si>
    <t>19/07/2021</t>
  </si>
  <si>
    <t>18/07/2021</t>
  </si>
  <si>
    <t>17/07/2021</t>
  </si>
  <si>
    <t>16/07/2021</t>
  </si>
  <si>
    <t>15/07/2021</t>
  </si>
  <si>
    <t>14/07/2021</t>
  </si>
  <si>
    <t>13/07/2021</t>
  </si>
  <si>
    <t>12/07/2021</t>
  </si>
  <si>
    <t>11/07/2021</t>
  </si>
  <si>
    <t>10/07/2021</t>
  </si>
  <si>
    <t>09/07/2021</t>
  </si>
  <si>
    <t>08/07/2021</t>
  </si>
  <si>
    <t>07/07/2021</t>
  </si>
  <si>
    <t>06/07/2021</t>
  </si>
  <si>
    <t>05/07/2021</t>
  </si>
  <si>
    <t>04/07/2021</t>
  </si>
  <si>
    <t>03/07/2021</t>
  </si>
  <si>
    <t>02/07/2021</t>
  </si>
  <si>
    <t>01/07/2021</t>
  </si>
  <si>
    <t>30/06/2021</t>
  </si>
  <si>
    <t>29/06/2021</t>
  </si>
  <si>
    <t>28/06/2021</t>
  </si>
  <si>
    <t>27/06/2021</t>
  </si>
  <si>
    <t>26/06/2021</t>
  </si>
  <si>
    <t>25/06/2021</t>
  </si>
  <si>
    <t>24/06/2021</t>
  </si>
  <si>
    <t>23/06/2021</t>
  </si>
  <si>
    <t>22/06/2021</t>
  </si>
  <si>
    <t>21/06/2021</t>
  </si>
  <si>
    <t>20/06/2021</t>
  </si>
  <si>
    <t>19/06/2021</t>
  </si>
  <si>
    <t>18/06/2021</t>
  </si>
  <si>
    <t>17/06/2021</t>
  </si>
  <si>
    <t>16/06/2021</t>
  </si>
  <si>
    <t>15/06/2021</t>
  </si>
  <si>
    <t>14/06/2021</t>
  </si>
  <si>
    <t>13/06/2021</t>
  </si>
  <si>
    <t>12/06/2021</t>
  </si>
  <si>
    <t>11/06/2021</t>
  </si>
  <si>
    <t>10/06/2021</t>
  </si>
  <si>
    <t>09/06/2021</t>
  </si>
  <si>
    <t>08/06/2021</t>
  </si>
  <si>
    <t>07/06/2021</t>
  </si>
  <si>
    <t>06/06/2021</t>
  </si>
  <si>
    <t>05/06/2021</t>
  </si>
  <si>
    <t>04/06/2021</t>
  </si>
  <si>
    <t>03/06/2021</t>
  </si>
  <si>
    <t>02/06/2021</t>
  </si>
  <si>
    <t>01/06/2021</t>
  </si>
  <si>
    <t>31/05/2021</t>
  </si>
  <si>
    <t>30/05/2021</t>
  </si>
  <si>
    <t>29/05/2021</t>
  </si>
  <si>
    <t>28/05/2021</t>
  </si>
  <si>
    <t>27/05/2021</t>
  </si>
  <si>
    <t>26/05/2021</t>
  </si>
  <si>
    <t>25/05/2021</t>
  </si>
  <si>
    <t>24/05/2021</t>
  </si>
  <si>
    <t>23/05/2021</t>
  </si>
  <si>
    <t>22/05/2021</t>
  </si>
  <si>
    <t>21/05/2021</t>
  </si>
  <si>
    <t>20/05/2021</t>
  </si>
  <si>
    <t>19/05/2021</t>
  </si>
  <si>
    <t>18/05/2021</t>
  </si>
  <si>
    <t>17/05/2021</t>
  </si>
  <si>
    <t>16/05/2021</t>
  </si>
  <si>
    <t>15/05/2021</t>
  </si>
  <si>
    <t>14/05/2021</t>
  </si>
  <si>
    <t>13/05/2021</t>
  </si>
  <si>
    <t>12/05/2021</t>
  </si>
  <si>
    <t>11/05/2021</t>
  </si>
  <si>
    <t>10/05/2021</t>
  </si>
  <si>
    <t>09/05/2021</t>
  </si>
  <si>
    <t>08/05/2021</t>
  </si>
  <si>
    <t>07/05/2021</t>
  </si>
  <si>
    <t>06/05/2021</t>
  </si>
  <si>
    <t>05/05/2021</t>
  </si>
  <si>
    <t>04/05/2021</t>
  </si>
  <si>
    <t>03/05/2021</t>
  </si>
  <si>
    <t>02/05/2021</t>
  </si>
  <si>
    <t>01/05/2021</t>
  </si>
  <si>
    <t>30/04/2021</t>
  </si>
  <si>
    <t>29/04/2021</t>
  </si>
  <si>
    <t>28/04/2021</t>
  </si>
  <si>
    <t>27/04/2021</t>
  </si>
  <si>
    <t>26/04/2021</t>
  </si>
  <si>
    <t>25/04/2021</t>
  </si>
  <si>
    <t>24/04/2021</t>
  </si>
  <si>
    <t>23/04/2021</t>
  </si>
  <si>
    <t>22/04/2021</t>
  </si>
  <si>
    <t>21/04/2021</t>
  </si>
  <si>
    <t>20/04/2021</t>
  </si>
  <si>
    <t>19/04/2021</t>
  </si>
  <si>
    <t>18/04/2021</t>
  </si>
  <si>
    <t>17/04/2021</t>
  </si>
  <si>
    <t>16/04/2021</t>
  </si>
  <si>
    <t>15/04/2021</t>
  </si>
  <si>
    <t>14/04/2021</t>
  </si>
  <si>
    <t>13/04/2021</t>
  </si>
  <si>
    <t>12/04/2021</t>
  </si>
  <si>
    <t>11/04/2021</t>
  </si>
  <si>
    <t>10/04/2021</t>
  </si>
  <si>
    <t>09/04/2021</t>
  </si>
  <si>
    <t>08/04/2021</t>
  </si>
  <si>
    <t>07/04/2021</t>
  </si>
  <si>
    <t>06/04/2021</t>
  </si>
  <si>
    <t>05/04/2021</t>
  </si>
  <si>
    <t>04/04/2021</t>
  </si>
  <si>
    <t>03/04/2021</t>
  </si>
  <si>
    <t>02/04/2021</t>
  </si>
  <si>
    <t>01/04/2021</t>
  </si>
  <si>
    <t>31/03/2021</t>
  </si>
  <si>
    <t>30/03/2021</t>
  </si>
  <si>
    <t>29/03/2021</t>
  </si>
  <si>
    <t>28/03/2021</t>
  </si>
  <si>
    <t>27/03/2021</t>
  </si>
  <si>
    <t>26/03/2021</t>
  </si>
  <si>
    <t>25/03/2021</t>
  </si>
  <si>
    <t>24/03/2021</t>
  </si>
  <si>
    <t>23/03/2021</t>
  </si>
  <si>
    <t>22/03/2021</t>
  </si>
  <si>
    <t>21/03/2021</t>
  </si>
  <si>
    <t>20/03/2021</t>
  </si>
  <si>
    <t>19/03/2021</t>
  </si>
  <si>
    <t>18/03/2021</t>
  </si>
  <si>
    <t>17/03/2021</t>
  </si>
  <si>
    <t>16/03/2021</t>
  </si>
  <si>
    <t>15/03/2021</t>
  </si>
  <si>
    <t>14/03/2021</t>
  </si>
  <si>
    <t>13/03/2021</t>
  </si>
  <si>
    <t>12/03/2021</t>
  </si>
  <si>
    <t>11/03/2021</t>
  </si>
  <si>
    <t>10/03/2021</t>
  </si>
  <si>
    <t>09/03/2021</t>
  </si>
  <si>
    <t>08/03/2021</t>
  </si>
  <si>
    <t>07/03/2021</t>
  </si>
  <si>
    <t>06/03/2021</t>
  </si>
  <si>
    <t>05/03/2021</t>
  </si>
  <si>
    <t>04/03/2021</t>
  </si>
  <si>
    <t>03/03/2021</t>
  </si>
  <si>
    <t>02/03/2021</t>
  </si>
  <si>
    <t>01/03/2021</t>
  </si>
  <si>
    <t>28/02/2021</t>
  </si>
  <si>
    <t>27/02/2021</t>
  </si>
  <si>
    <t>26/02/2021</t>
  </si>
  <si>
    <t>25/02/2021</t>
  </si>
  <si>
    <t>24/02/2021</t>
  </si>
  <si>
    <t>23/02/2021</t>
  </si>
  <si>
    <t>22/02/2021</t>
  </si>
  <si>
    <t>21/02/2021</t>
  </si>
  <si>
    <t>20/02/2021</t>
  </si>
  <si>
    <t>19/02/2021</t>
  </si>
  <si>
    <t>18/02/2021</t>
  </si>
  <si>
    <t>17/02/2021</t>
  </si>
  <si>
    <t>16/02/2021</t>
  </si>
  <si>
    <t>15/02/2021</t>
  </si>
  <si>
    <t>14/02/2021</t>
  </si>
  <si>
    <t>13/02/2021</t>
  </si>
  <si>
    <t>12/02/2021</t>
  </si>
  <si>
    <t>11/02/2021</t>
  </si>
  <si>
    <t>10/02/2021</t>
  </si>
  <si>
    <t>09/02/2021</t>
  </si>
  <si>
    <t>08/02/2021</t>
  </si>
  <si>
    <t>07/02/2021</t>
  </si>
  <si>
    <t>06/02/2021</t>
  </si>
  <si>
    <t>05/02/2021</t>
  </si>
  <si>
    <t>04/02/2021</t>
  </si>
  <si>
    <t>03/02/2021</t>
  </si>
  <si>
    <t>02/02/2021</t>
  </si>
  <si>
    <t>01/02/2021</t>
  </si>
  <si>
    <t>31/01/2021</t>
  </si>
  <si>
    <t>30/01/2021</t>
  </si>
  <si>
    <t>29/01/2021</t>
  </si>
  <si>
    <t>28/01/2021</t>
  </si>
  <si>
    <t>27/01/2021</t>
  </si>
  <si>
    <t>26/01/2021</t>
  </si>
  <si>
    <t>25/01/2021</t>
  </si>
  <si>
    <t>24/01/2021</t>
  </si>
  <si>
    <t>23/01/2021</t>
  </si>
  <si>
    <t>22/01/2021</t>
  </si>
  <si>
    <t>21/01/2021</t>
  </si>
  <si>
    <t>20/01/2021</t>
  </si>
  <si>
    <t>19/01/2021</t>
  </si>
  <si>
    <t>18/01/2021</t>
  </si>
  <si>
    <t>17/01/2021</t>
  </si>
  <si>
    <t>16/01/2021</t>
  </si>
  <si>
    <t>15/01/2021</t>
  </si>
  <si>
    <t>14/01/2021</t>
  </si>
  <si>
    <t>13/01/2021</t>
  </si>
  <si>
    <t>12/01/2021</t>
  </si>
  <si>
    <t>11/01/2021</t>
  </si>
  <si>
    <t>10/01/2021</t>
  </si>
  <si>
    <t>09/01/2021</t>
  </si>
  <si>
    <t>08/01/2021</t>
  </si>
  <si>
    <t>07/01/2021</t>
  </si>
  <si>
    <t>06/01/2021</t>
  </si>
  <si>
    <t>05/01/2021</t>
  </si>
  <si>
    <t>04/01/2021</t>
  </si>
  <si>
    <t>03/01/2021</t>
  </si>
  <si>
    <t>02/01/2021</t>
  </si>
  <si>
    <t>01/01/2021</t>
  </si>
  <si>
    <t>31/12/2020</t>
  </si>
  <si>
    <t>30/12/2020</t>
  </si>
  <si>
    <t>29/12/2020</t>
  </si>
  <si>
    <t>28/12/2020</t>
  </si>
  <si>
    <t>27/12/2020</t>
  </si>
  <si>
    <t>26/12/2020</t>
  </si>
  <si>
    <t>25/12/2020</t>
  </si>
  <si>
    <t>24/12/2020</t>
  </si>
  <si>
    <t>23/12/2020</t>
  </si>
  <si>
    <t>22/12/2020</t>
  </si>
  <si>
    <t>21/12/2020</t>
  </si>
  <si>
    <t>20/12/2020</t>
  </si>
  <si>
    <t>19/12/2020</t>
  </si>
  <si>
    <t>18/12/2020</t>
  </si>
  <si>
    <t>17/12/2020</t>
  </si>
  <si>
    <t>16/12/2020</t>
  </si>
  <si>
    <t>15/12/2020</t>
  </si>
  <si>
    <t>14/12/2020</t>
  </si>
  <si>
    <t>13/12/2020</t>
  </si>
  <si>
    <t>12/12/2020</t>
  </si>
  <si>
    <t>11/12/2020</t>
  </si>
  <si>
    <t>10/12/2020</t>
  </si>
  <si>
    <t>09/12/2020</t>
  </si>
  <si>
    <t>08/12/2020</t>
  </si>
  <si>
    <t>07/12/2020</t>
  </si>
  <si>
    <t>06/12/2020</t>
  </si>
  <si>
    <t>05/12/2020</t>
  </si>
  <si>
    <t>04/12/2020</t>
  </si>
  <si>
    <t>03/12/2020</t>
  </si>
  <si>
    <t>02/12/2020</t>
  </si>
  <si>
    <t>01/12/2020</t>
  </si>
  <si>
    <t>30/11/2020</t>
  </si>
  <si>
    <t>29/11/2020</t>
  </si>
  <si>
    <t>28/11/2020</t>
  </si>
  <si>
    <t>27/11/2020</t>
  </si>
  <si>
    <t>26/11/2020</t>
  </si>
  <si>
    <t>25/11/2020</t>
  </si>
  <si>
    <t>24/11/2020</t>
  </si>
  <si>
    <t>23/11/2020</t>
  </si>
  <si>
    <t>22/11/2020</t>
  </si>
  <si>
    <t>21/11/2020</t>
  </si>
  <si>
    <t>20/11/2020</t>
  </si>
  <si>
    <t>19/11/2020</t>
  </si>
  <si>
    <t>18/11/2020</t>
  </si>
  <si>
    <t>17/11/2020</t>
  </si>
  <si>
    <t>16/11/2020</t>
  </si>
  <si>
    <t>15/11/2020</t>
  </si>
  <si>
    <t>14/11/2020</t>
  </si>
  <si>
    <t>13/11/2020</t>
  </si>
  <si>
    <t>12/11/2020</t>
  </si>
  <si>
    <t>11/11/2020</t>
  </si>
  <si>
    <t>10/11/2020</t>
  </si>
  <si>
    <t>09/11/2020</t>
  </si>
  <si>
    <t>08/11/2020</t>
  </si>
  <si>
    <t>07/11/2020</t>
  </si>
  <si>
    <t>06/11/2020</t>
  </si>
  <si>
    <t>05/11/2020</t>
  </si>
  <si>
    <t>04/11/2020</t>
  </si>
  <si>
    <t>03/11/2020</t>
  </si>
  <si>
    <t>02/11/2020</t>
  </si>
  <si>
    <t>01/11/2020</t>
  </si>
  <si>
    <t>31/10/2020</t>
  </si>
  <si>
    <t>30/10/2020</t>
  </si>
  <si>
    <t>29/10/2020</t>
  </si>
  <si>
    <t>28/10/2020</t>
  </si>
  <si>
    <t>27/10/2020</t>
  </si>
  <si>
    <t>26/10/2020</t>
  </si>
  <si>
    <t>25/10/2020</t>
  </si>
  <si>
    <t>24/10/2020</t>
  </si>
  <si>
    <t>23/10/2020</t>
  </si>
  <si>
    <t>22/10/2020</t>
  </si>
  <si>
    <t>21/10/2020</t>
  </si>
  <si>
    <t>20/10/2020</t>
  </si>
  <si>
    <t>19/10/2020</t>
  </si>
  <si>
    <t>18/10/2020</t>
  </si>
  <si>
    <t>17/10/2020</t>
  </si>
  <si>
    <t>16/10/2020</t>
  </si>
  <si>
    <t>15/10/2020</t>
  </si>
  <si>
    <t>14/10/2020</t>
  </si>
  <si>
    <t>13/10/2020</t>
  </si>
  <si>
    <t>12/10/2020</t>
  </si>
  <si>
    <t>11/10/2020</t>
  </si>
  <si>
    <t>10/10/2020</t>
  </si>
  <si>
    <t>09/10/2020</t>
  </si>
  <si>
    <t>08/10/2020</t>
  </si>
  <si>
    <t>07/10/2020</t>
  </si>
  <si>
    <t>06/10/2020</t>
  </si>
  <si>
    <t>05/10/2020</t>
  </si>
  <si>
    <t>04/10/2020</t>
  </si>
  <si>
    <t>03/10/2020</t>
  </si>
  <si>
    <t>02/10/2020</t>
  </si>
  <si>
    <t>01/10/2020</t>
  </si>
  <si>
    <t>30/09/2020</t>
  </si>
  <si>
    <t>29/09/2020</t>
  </si>
  <si>
    <t>28/09/2020</t>
  </si>
  <si>
    <t>27/09/2020</t>
  </si>
  <si>
    <t>26/09/2020</t>
  </si>
  <si>
    <t>25/09/2020</t>
  </si>
  <si>
    <t>24/09/2020</t>
  </si>
  <si>
    <t>23/09/2020</t>
  </si>
  <si>
    <t>22/09/2020</t>
  </si>
  <si>
    <t>21/09/2020</t>
  </si>
  <si>
    <t>20/09/2020</t>
  </si>
  <si>
    <t>19/09/2020</t>
  </si>
  <si>
    <t>18/09/2020</t>
  </si>
  <si>
    <t>17/09/2020</t>
  </si>
  <si>
    <t>16/09/2020</t>
  </si>
  <si>
    <t>15/09/2020</t>
  </si>
  <si>
    <t>14/09/2020</t>
  </si>
  <si>
    <t>13/09/2020</t>
  </si>
  <si>
    <t>12/09/2020</t>
  </si>
  <si>
    <t>11/09/2020</t>
  </si>
  <si>
    <t>10/09/2020</t>
  </si>
  <si>
    <t>09/09/2020</t>
  </si>
  <si>
    <t>08/09/2020</t>
  </si>
  <si>
    <t>07/09/2020</t>
  </si>
  <si>
    <t>06/09/2020</t>
  </si>
  <si>
    <t>05/09/2020</t>
  </si>
  <si>
    <t>04/09/2020</t>
  </si>
  <si>
    <t>03/09/2020</t>
  </si>
  <si>
    <t>02/09/2020</t>
  </si>
  <si>
    <t>01/09/2020</t>
  </si>
  <si>
    <t>31/08/2020</t>
  </si>
  <si>
    <t>30/08/2020</t>
  </si>
  <si>
    <t>29/08/2020</t>
  </si>
  <si>
    <t>28/08/2020</t>
  </si>
  <si>
    <t>27/08/2020</t>
  </si>
  <si>
    <t>26/08/2020</t>
  </si>
  <si>
    <t>25/08/2020</t>
  </si>
  <si>
    <t>24/08/2020</t>
  </si>
  <si>
    <t>23/08/2020</t>
  </si>
  <si>
    <t>22/08/2020</t>
  </si>
  <si>
    <t>21/08/2020</t>
  </si>
  <si>
    <t>20/08/2020</t>
  </si>
  <si>
    <t>19/08/2020</t>
  </si>
  <si>
    <t>18/08/2020</t>
  </si>
  <si>
    <t>17/08/2020</t>
  </si>
  <si>
    <t>16/08/2020</t>
  </si>
  <si>
    <t>15/08/2020</t>
  </si>
  <si>
    <t>14/08/2020</t>
  </si>
  <si>
    <t>13/08/2020</t>
  </si>
  <si>
    <t>12/08/2020</t>
  </si>
  <si>
    <t>11/08/2020</t>
  </si>
  <si>
    <t>10/08/2020</t>
  </si>
  <si>
    <t>09/08/2020</t>
  </si>
  <si>
    <t>08/08/2020</t>
  </si>
  <si>
    <t>07/08/2020</t>
  </si>
  <si>
    <t>06/08/2020</t>
  </si>
  <si>
    <t>05/08/2020</t>
  </si>
  <si>
    <t>04/08/2020</t>
  </si>
  <si>
    <t>03/08/2020</t>
  </si>
  <si>
    <t>02/08/2020</t>
  </si>
  <si>
    <t>01/08/2020</t>
  </si>
  <si>
    <t>31/07/2020</t>
  </si>
  <si>
    <t>30/07/2020</t>
  </si>
  <si>
    <t>29/07/2020</t>
  </si>
  <si>
    <t>28/07/2020</t>
  </si>
  <si>
    <t>27/07/2020</t>
  </si>
  <si>
    <t>26/07/2020</t>
  </si>
  <si>
    <t>25/07/2020</t>
  </si>
  <si>
    <t>24/07/2020</t>
  </si>
  <si>
    <t>23/07/2020</t>
  </si>
  <si>
    <t>22/07/2020</t>
  </si>
  <si>
    <t>21/07/2020</t>
  </si>
  <si>
    <t>20/07/2020</t>
  </si>
  <si>
    <t>19/07/2020</t>
  </si>
  <si>
    <t>18/07/2020</t>
  </si>
  <si>
    <t>17/07/2020</t>
  </si>
  <si>
    <t>16/07/2020</t>
  </si>
  <si>
    <t>15/07/2020</t>
  </si>
  <si>
    <t>14/07/2020</t>
  </si>
  <si>
    <t>13/07/2020</t>
  </si>
  <si>
    <t>12/07/2020</t>
  </si>
  <si>
    <t>11/07/2020</t>
  </si>
  <si>
    <t>10/07/2020</t>
  </si>
  <si>
    <t>09/07/2020</t>
  </si>
  <si>
    <t>08/07/2020</t>
  </si>
  <si>
    <t>07/07/2020</t>
  </si>
  <si>
    <t>06/07/2020</t>
  </si>
  <si>
    <t>05/07/2020</t>
  </si>
  <si>
    <t>04/07/2020</t>
  </si>
  <si>
    <t>03/07/2020</t>
  </si>
  <si>
    <t>02/07/2020</t>
  </si>
  <si>
    <t>01/07/2020</t>
  </si>
  <si>
    <t>30/06/2020</t>
  </si>
  <si>
    <t>29/06/2020</t>
  </si>
  <si>
    <t>28/06/2020</t>
  </si>
  <si>
    <t>27/06/2020</t>
  </si>
  <si>
    <t>26/06/2020</t>
  </si>
  <si>
    <t>25/06/2020</t>
  </si>
  <si>
    <t>24/06/2020</t>
  </si>
  <si>
    <t>23/06/2020</t>
  </si>
  <si>
    <t>22/06/2020</t>
  </si>
  <si>
    <t>21/06/2020</t>
  </si>
  <si>
    <t>20/06/2020</t>
  </si>
  <si>
    <t>19/06/2020</t>
  </si>
  <si>
    <t>18/06/2020</t>
  </si>
  <si>
    <t>17/06/2020</t>
  </si>
  <si>
    <t>16/06/2020</t>
  </si>
  <si>
    <t>15/06/2020</t>
  </si>
  <si>
    <t>14/06/2020</t>
  </si>
  <si>
    <t>13/06/2020</t>
  </si>
  <si>
    <t>12/06/2020</t>
  </si>
  <si>
    <t>11/06/2020</t>
  </si>
  <si>
    <t>10/06/2020</t>
  </si>
  <si>
    <t>09/06/2020</t>
  </si>
  <si>
    <t>08/06/2020</t>
  </si>
  <si>
    <t>07/06/2020</t>
  </si>
  <si>
    <t>06/06/2020</t>
  </si>
  <si>
    <t>05/06/2020</t>
  </si>
  <si>
    <t>04/06/2020</t>
  </si>
  <si>
    <t>03/06/2020</t>
  </si>
  <si>
    <t>02/06/2020</t>
  </si>
  <si>
    <t>01/06/2020</t>
  </si>
  <si>
    <t>31/05/2020</t>
  </si>
  <si>
    <t>30/05/2020</t>
  </si>
  <si>
    <t>29/05/2020</t>
  </si>
  <si>
    <t>28/05/2020</t>
  </si>
  <si>
    <t>27/05/2020</t>
  </si>
  <si>
    <t>26/05/2020</t>
  </si>
  <si>
    <t>25/05/2020</t>
  </si>
  <si>
    <t>24/05/2020</t>
  </si>
  <si>
    <t>23/05/2020</t>
  </si>
  <si>
    <t>22/05/2020</t>
  </si>
  <si>
    <t>21/05/2020</t>
  </si>
  <si>
    <t>20/05/2020</t>
  </si>
  <si>
    <t>19/05/2020</t>
  </si>
  <si>
    <t>18/05/2020</t>
  </si>
  <si>
    <t>17/05/2020</t>
  </si>
  <si>
    <t>16/05/2020</t>
  </si>
  <si>
    <t>15/05/2020</t>
  </si>
  <si>
    <t>14/05/2020</t>
  </si>
  <si>
    <t>13/05/2020</t>
  </si>
  <si>
    <t>12/05/2020</t>
  </si>
  <si>
    <t>11/05/2020</t>
  </si>
  <si>
    <t>10/05/2020</t>
  </si>
  <si>
    <t>09/05/2020</t>
  </si>
  <si>
    <t>08/05/2020</t>
  </si>
  <si>
    <t>07/05/2020</t>
  </si>
  <si>
    <t>06/05/2020</t>
  </si>
  <si>
    <t>05/05/2020</t>
  </si>
  <si>
    <t>04/05/2020</t>
  </si>
  <si>
    <t>03/05/2020</t>
  </si>
  <si>
    <t>02/05/2020</t>
  </si>
  <si>
    <t>01/05/2020</t>
  </si>
  <si>
    <t>30/04/2020</t>
  </si>
  <si>
    <t>29/04/2020</t>
  </si>
  <si>
    <t>28/04/2020</t>
  </si>
  <si>
    <t>27/04/2020</t>
  </si>
  <si>
    <t>26/04/2020</t>
  </si>
  <si>
    <t>25/04/2020</t>
  </si>
  <si>
    <t>24/04/2020</t>
  </si>
  <si>
    <t>23/04/2020</t>
  </si>
  <si>
    <t>22/04/2020</t>
  </si>
  <si>
    <t>21/04/2020</t>
  </si>
  <si>
    <t>20/04/2020</t>
  </si>
  <si>
    <t>19/04/2020</t>
  </si>
  <si>
    <t>18/04/2020</t>
  </si>
  <si>
    <t>17/04/2020</t>
  </si>
  <si>
    <t>16/04/2020</t>
  </si>
  <si>
    <t>15/04/2020</t>
  </si>
  <si>
    <t>14/04/2020</t>
  </si>
  <si>
    <t>13/04/2020</t>
  </si>
  <si>
    <t>12/04/2020</t>
  </si>
  <si>
    <t>11/04/2020</t>
  </si>
  <si>
    <t>10/04/2020</t>
  </si>
  <si>
    <t>09/04/2020</t>
  </si>
  <si>
    <t>08/04/2020</t>
  </si>
  <si>
    <t>07/04/2020</t>
  </si>
  <si>
    <t>06/04/2020</t>
  </si>
  <si>
    <t>05/04/2020</t>
  </si>
  <si>
    <t>04/04/2020</t>
  </si>
  <si>
    <t>03/04/2020</t>
  </si>
  <si>
    <t>02/04/2020</t>
  </si>
  <si>
    <t>01/04/2020</t>
  </si>
  <si>
    <t>31/03/2020</t>
  </si>
  <si>
    <t>30/03/2020</t>
  </si>
  <si>
    <t>29/03/2020</t>
  </si>
  <si>
    <t>28/03/2020</t>
  </si>
  <si>
    <t>27/03/2020</t>
  </si>
  <si>
    <t>26/03/2020</t>
  </si>
  <si>
    <t>25/03/2020</t>
  </si>
  <si>
    <t>24/03/2020</t>
  </si>
  <si>
    <t>23/03/2020</t>
  </si>
  <si>
    <t>22/03/2020</t>
  </si>
  <si>
    <t>21/03/2020</t>
  </si>
  <si>
    <t>20/03/2020</t>
  </si>
  <si>
    <t>19/03/2020</t>
  </si>
  <si>
    <t>18/03/2020</t>
  </si>
  <si>
    <t>17/03/2020</t>
  </si>
  <si>
    <t>16/03/2020</t>
  </si>
  <si>
    <t>15/03/2020</t>
  </si>
  <si>
    <t>14/03/2020</t>
  </si>
  <si>
    <t>13/03/2020</t>
  </si>
  <si>
    <t>12/03/2020</t>
  </si>
  <si>
    <t>11/03/2020</t>
  </si>
  <si>
    <t>10/03/2020</t>
  </si>
  <si>
    <t>09/03/2020</t>
  </si>
  <si>
    <t>08/03/2020</t>
  </si>
  <si>
    <t>07/03/2020</t>
  </si>
  <si>
    <t>06/03/2020</t>
  </si>
  <si>
    <t>05/03/2020</t>
  </si>
  <si>
    <t>04/03/2020</t>
  </si>
  <si>
    <t>03/03/2020</t>
  </si>
  <si>
    <t>02/03/2020</t>
  </si>
  <si>
    <t>01/03/2020</t>
  </si>
  <si>
    <t>29/02/2020</t>
  </si>
  <si>
    <t>28/02/2020</t>
  </si>
  <si>
    <t>27/02/2020</t>
  </si>
  <si>
    <t>26/02/2020</t>
  </si>
  <si>
    <t>25/02/2020</t>
  </si>
  <si>
    <t>24/02/2020</t>
  </si>
  <si>
    <t>23/02/2020</t>
  </si>
  <si>
    <t>22/02/2020</t>
  </si>
  <si>
    <t>21/02/2020</t>
  </si>
  <si>
    <t>20/02/2020</t>
  </si>
  <si>
    <t>19/02/2020</t>
  </si>
  <si>
    <t>18/02/2020</t>
  </si>
  <si>
    <t>17/02/2020</t>
  </si>
  <si>
    <t>16/02/2020</t>
  </si>
  <si>
    <t>15/02/2020</t>
  </si>
  <si>
    <t>14/02/2020</t>
  </si>
  <si>
    <t>13/02/2020</t>
  </si>
  <si>
    <t>12/02/2020</t>
  </si>
  <si>
    <t>11/02/2020</t>
  </si>
  <si>
    <t>10/02/2020</t>
  </si>
  <si>
    <t>09/02/2020</t>
  </si>
  <si>
    <t>08/02/2020</t>
  </si>
  <si>
    <t>07/02/2020</t>
  </si>
  <si>
    <t>06/02/2020</t>
  </si>
  <si>
    <t>05/02/2020</t>
  </si>
  <si>
    <t>04/02/2020</t>
  </si>
  <si>
    <t>03/02/2020</t>
  </si>
  <si>
    <t>02/02/2020</t>
  </si>
  <si>
    <t>01/02/2020</t>
  </si>
  <si>
    <t>31/01/2020</t>
  </si>
  <si>
    <t>30/01/2020</t>
  </si>
  <si>
    <t>29/01/2020</t>
  </si>
  <si>
    <t>28/01/2020</t>
  </si>
  <si>
    <t>27/01/2020</t>
  </si>
  <si>
    <t>26/01/2020</t>
  </si>
  <si>
    <t>25/01/2020</t>
  </si>
  <si>
    <t>24/01/2020</t>
  </si>
  <si>
    <t>23/01/2020</t>
  </si>
  <si>
    <t>22/01/2020</t>
  </si>
  <si>
    <t>21/01/2020</t>
  </si>
  <si>
    <t>20/01/2020</t>
  </si>
  <si>
    <t>19/01/2020</t>
  </si>
  <si>
    <t>18/01/2020</t>
  </si>
  <si>
    <t>17/01/2020</t>
  </si>
  <si>
    <t>16/01/2020</t>
  </si>
  <si>
    <t>15/01/2020</t>
  </si>
  <si>
    <t>14/01/2020</t>
  </si>
  <si>
    <t>13/01/2020</t>
  </si>
  <si>
    <t>12/01/2020</t>
  </si>
  <si>
    <t>11/01/2020</t>
  </si>
  <si>
    <t>10/01/2020</t>
  </si>
  <si>
    <t>09/01/2020</t>
  </si>
  <si>
    <t>08/01/2020</t>
  </si>
  <si>
    <t>07/01/2020</t>
  </si>
  <si>
    <t>06/01/2020</t>
  </si>
  <si>
    <t>05/01/2020</t>
  </si>
  <si>
    <t>04/01/2020</t>
  </si>
  <si>
    <t>03/01/2020</t>
  </si>
  <si>
    <t>02/01/2020</t>
  </si>
  <si>
    <t>01/01/2020</t>
  </si>
  <si>
    <t>31/12/2019</t>
  </si>
  <si>
    <t>30/12/2019</t>
  </si>
  <si>
    <t>29/12/2019</t>
  </si>
  <si>
    <t>28/12/2019</t>
  </si>
  <si>
    <t>27/12/2019</t>
  </si>
  <si>
    <t>26/12/2019</t>
  </si>
  <si>
    <t>25/12/2019</t>
  </si>
  <si>
    <t>24/12/2019</t>
  </si>
  <si>
    <t>23/12/2019</t>
  </si>
  <si>
    <t>22/12/2019</t>
  </si>
  <si>
    <t>21/12/2019</t>
  </si>
  <si>
    <t>20/12/2019</t>
  </si>
  <si>
    <t>19/12/2019</t>
  </si>
  <si>
    <t>18/12/2019</t>
  </si>
  <si>
    <t>17/12/2019</t>
  </si>
  <si>
    <t>16/12/2019</t>
  </si>
  <si>
    <t>15/12/2019</t>
  </si>
  <si>
    <t>14/12/2019</t>
  </si>
  <si>
    <t>13/12/2019</t>
  </si>
  <si>
    <t>12/12/2019</t>
  </si>
  <si>
    <t>11/12/2019</t>
  </si>
  <si>
    <t>10/12/2019</t>
  </si>
  <si>
    <t>09/12/2019</t>
  </si>
  <si>
    <t>08/12/2019</t>
  </si>
  <si>
    <t>07/12/2019</t>
  </si>
  <si>
    <t>06/12/2019</t>
  </si>
  <si>
    <t>05/12/2019</t>
  </si>
  <si>
    <t>04/12/2019</t>
  </si>
  <si>
    <t>03/12/2019</t>
  </si>
  <si>
    <t>02/12/2019</t>
  </si>
  <si>
    <t>01/12/2019</t>
  </si>
  <si>
    <t>30/11/2019</t>
  </si>
  <si>
    <t>29/11/2019</t>
  </si>
  <si>
    <t>28/11/2019</t>
  </si>
  <si>
    <t>27/11/2019</t>
  </si>
  <si>
    <t>26/11/2019</t>
  </si>
  <si>
    <t>25/11/2019</t>
  </si>
  <si>
    <t>24/11/2019</t>
  </si>
  <si>
    <t>23/11/2019</t>
  </si>
  <si>
    <t>22/11/2019</t>
  </si>
  <si>
    <t>21/11/2019</t>
  </si>
  <si>
    <t>20/11/2019</t>
  </si>
  <si>
    <t>19/11/2019</t>
  </si>
  <si>
    <t>18/11/2019</t>
  </si>
  <si>
    <t>17/11/2019</t>
  </si>
  <si>
    <t>16/11/2019</t>
  </si>
  <si>
    <t>15/11/2019</t>
  </si>
  <si>
    <t>14/11/2019</t>
  </si>
  <si>
    <t>13/11/2019</t>
  </si>
  <si>
    <t>12/11/2019</t>
  </si>
  <si>
    <t>11/11/2019</t>
  </si>
  <si>
    <t>10/11/2019</t>
  </si>
  <si>
    <t>09/11/2019</t>
  </si>
  <si>
    <t>08/11/2019</t>
  </si>
  <si>
    <t>07/11/2019</t>
  </si>
  <si>
    <t>06/11/2019</t>
  </si>
  <si>
    <t>05/11/2019</t>
  </si>
  <si>
    <t>04/11/2019</t>
  </si>
  <si>
    <t>03/11/2019</t>
  </si>
  <si>
    <t>02/11/2019</t>
  </si>
  <si>
    <t>01/11/2019</t>
  </si>
  <si>
    <t>31/10/2019</t>
  </si>
  <si>
    <t>30/10/2019</t>
  </si>
  <si>
    <t>29/10/2019</t>
  </si>
  <si>
    <t>28/10/2019</t>
  </si>
  <si>
    <t>27/10/2019</t>
  </si>
  <si>
    <t>26/10/2019</t>
  </si>
  <si>
    <t>25/10/2019</t>
  </si>
  <si>
    <t>24/10/2019</t>
  </si>
  <si>
    <t>23/10/2019</t>
  </si>
  <si>
    <t>22/10/2019</t>
  </si>
  <si>
    <t>21/10/2019</t>
  </si>
  <si>
    <t>20/10/2019</t>
  </si>
  <si>
    <t>19/10/2019</t>
  </si>
  <si>
    <t>18/10/2019</t>
  </si>
  <si>
    <t>17/10/2019</t>
  </si>
  <si>
    <t>16/10/2019</t>
  </si>
  <si>
    <t>15/10/2019</t>
  </si>
  <si>
    <t>14/10/2019</t>
  </si>
  <si>
    <t>13/10/2019</t>
  </si>
  <si>
    <t>12/10/2019</t>
  </si>
  <si>
    <t>11/10/2019</t>
  </si>
  <si>
    <t>10/10/2019</t>
  </si>
  <si>
    <t>09/10/2019</t>
  </si>
  <si>
    <t>08/10/2019</t>
  </si>
  <si>
    <t>07/10/2019</t>
  </si>
  <si>
    <t>06/10/2019</t>
  </si>
  <si>
    <t>05/10/2019</t>
  </si>
  <si>
    <t>04/10/2019</t>
  </si>
  <si>
    <t>03/10/2019</t>
  </si>
  <si>
    <t>02/10/2019</t>
  </si>
  <si>
    <t>01/10/2019</t>
  </si>
  <si>
    <t>30/09/2019</t>
  </si>
  <si>
    <t>29/09/2019</t>
  </si>
  <si>
    <t>28/09/2019</t>
  </si>
  <si>
    <t>27/09/2019</t>
  </si>
  <si>
    <t>26/09/2019</t>
  </si>
  <si>
    <t>25/09/2019</t>
  </si>
  <si>
    <t>24/09/2019</t>
  </si>
  <si>
    <t>23/09/2019</t>
  </si>
  <si>
    <t>22/09/2019</t>
  </si>
  <si>
    <t>21/09/2019</t>
  </si>
  <si>
    <t>20/09/2019</t>
  </si>
  <si>
    <t>19/09/2019</t>
  </si>
  <si>
    <t>18/09/2019</t>
  </si>
  <si>
    <t>17/09/2019</t>
  </si>
  <si>
    <t>16/09/2019</t>
  </si>
  <si>
    <t>15/09/2019</t>
  </si>
  <si>
    <t>14/09/2019</t>
  </si>
  <si>
    <t>13/09/2019</t>
  </si>
  <si>
    <t>12/09/2019</t>
  </si>
  <si>
    <t>11/09/2019</t>
  </si>
  <si>
    <t>10/09/2019</t>
  </si>
  <si>
    <t>09/09/2019</t>
  </si>
  <si>
    <t>08/09/2019</t>
  </si>
  <si>
    <t>07/09/2019</t>
  </si>
  <si>
    <t>06/09/2019</t>
  </si>
  <si>
    <t>05/09/2019</t>
  </si>
  <si>
    <t>04/09/2019</t>
  </si>
  <si>
    <t>03/09/2019</t>
  </si>
  <si>
    <t>02/09/2019</t>
  </si>
  <si>
    <t>01/09/2019</t>
  </si>
  <si>
    <t>31/08/2019</t>
  </si>
  <si>
    <t>30/08/2019</t>
  </si>
  <si>
    <t>29/08/2019</t>
  </si>
  <si>
    <t>28/08/2019</t>
  </si>
  <si>
    <t>27/08/2019</t>
  </si>
  <si>
    <t>26/08/2019</t>
  </si>
  <si>
    <t>25/08/2019</t>
  </si>
  <si>
    <t>24/08/2019</t>
  </si>
  <si>
    <t>23/08/2019</t>
  </si>
  <si>
    <t>22/08/2019</t>
  </si>
  <si>
    <t>21/08/2019</t>
  </si>
  <si>
    <t>20/08/2019</t>
  </si>
  <si>
    <t>19/08/2019</t>
  </si>
  <si>
    <t>18/08/2019</t>
  </si>
  <si>
    <t>17/08/2019</t>
  </si>
  <si>
    <t>16/08/2019</t>
  </si>
  <si>
    <t>15/08/2019</t>
  </si>
  <si>
    <t>14/08/2019</t>
  </si>
  <si>
    <t>13/08/2019</t>
  </si>
  <si>
    <t>12/08/2019</t>
  </si>
  <si>
    <t>11/08/2019</t>
  </si>
  <si>
    <t>10/08/2019</t>
  </si>
  <si>
    <t>09/08/2019</t>
  </si>
  <si>
    <t>08/08/2019</t>
  </si>
  <si>
    <t>07/08/2019</t>
  </si>
  <si>
    <t>06/08/2019</t>
  </si>
  <si>
    <t>05/08/2019</t>
  </si>
  <si>
    <t>04/08/2019</t>
  </si>
  <si>
    <t>03/08/2019</t>
  </si>
  <si>
    <t>02/08/2019</t>
  </si>
  <si>
    <t>01/08/2019</t>
  </si>
  <si>
    <t>31/07/2019</t>
  </si>
  <si>
    <t>30/07/2019</t>
  </si>
  <si>
    <t>29/07/2019</t>
  </si>
  <si>
    <t>28/07/2019</t>
  </si>
  <si>
    <t>27/07/2019</t>
  </si>
  <si>
    <t>26/07/2019</t>
  </si>
  <si>
    <t>25/07/2019</t>
  </si>
  <si>
    <t>24/07/2019</t>
  </si>
  <si>
    <t>23/07/2019</t>
  </si>
  <si>
    <t>22/07/2019</t>
  </si>
  <si>
    <t>21/07/2019</t>
  </si>
  <si>
    <t>20/07/2019</t>
  </si>
  <si>
    <t>19/07/2019</t>
  </si>
  <si>
    <t>18/07/2019</t>
  </si>
  <si>
    <t>17/07/2019</t>
  </si>
  <si>
    <t>16/07/2019</t>
  </si>
  <si>
    <t>15/07/2019</t>
  </si>
  <si>
    <t>14/07/2019</t>
  </si>
  <si>
    <t>13/07/2019</t>
  </si>
  <si>
    <t>12/07/2019</t>
  </si>
  <si>
    <t>11/07/2019</t>
  </si>
  <si>
    <t>10/07/2019</t>
  </si>
  <si>
    <t>09/07/2019</t>
  </si>
  <si>
    <t>08/07/2019</t>
  </si>
  <si>
    <t>07/07/2019</t>
  </si>
  <si>
    <t>06/07/2019</t>
  </si>
  <si>
    <t>05/07/2019</t>
  </si>
  <si>
    <t>04/07/2019</t>
  </si>
  <si>
    <t>03/07/2019</t>
  </si>
  <si>
    <t>02/07/2019</t>
  </si>
  <si>
    <t>01/07/2019</t>
  </si>
  <si>
    <t>30/06/2019</t>
  </si>
  <si>
    <t>29/06/2019</t>
  </si>
  <si>
    <t>28/06/2019</t>
  </si>
  <si>
    <t>27/06/2019</t>
  </si>
  <si>
    <t>26/06/2019</t>
  </si>
  <si>
    <t>25/06/2019</t>
  </si>
  <si>
    <t>24/06/2019</t>
  </si>
  <si>
    <t>23/06/2019</t>
  </si>
  <si>
    <t>22/06/2019</t>
  </si>
  <si>
    <t>21/06/2019</t>
  </si>
  <si>
    <t>20/06/2019</t>
  </si>
  <si>
    <t>19/06/2019</t>
  </si>
  <si>
    <t>18/06/2019</t>
  </si>
  <si>
    <t>17/06/2019</t>
  </si>
  <si>
    <t>16/06/2019</t>
  </si>
  <si>
    <t>15/06/2019</t>
  </si>
  <si>
    <t>14/06/2019</t>
  </si>
  <si>
    <t>13/06/2019</t>
  </si>
  <si>
    <t>12/06/2019</t>
  </si>
  <si>
    <t>11/06/2019</t>
  </si>
  <si>
    <t>10/06/2019</t>
  </si>
  <si>
    <t>09/06/2019</t>
  </si>
  <si>
    <t>08/06/2019</t>
  </si>
  <si>
    <t>07/06/2019</t>
  </si>
  <si>
    <t>06/06/2019</t>
  </si>
  <si>
    <t>05/06/2019</t>
  </si>
  <si>
    <t>04/06/2019</t>
  </si>
  <si>
    <t>03/06/2019</t>
  </si>
  <si>
    <t>02/06/2019</t>
  </si>
  <si>
    <t>01/06/2019</t>
  </si>
  <si>
    <t>31/05/2019</t>
  </si>
  <si>
    <t>30/05/2019</t>
  </si>
  <si>
    <t>29/05/2019</t>
  </si>
  <si>
    <t>28/05/2019</t>
  </si>
  <si>
    <t>27/05/2019</t>
  </si>
  <si>
    <t>26/05/2019</t>
  </si>
  <si>
    <t>25/05/2019</t>
  </si>
  <si>
    <t>24/05/2019</t>
  </si>
  <si>
    <t>23/05/2019</t>
  </si>
  <si>
    <t>22/05/2019</t>
  </si>
  <si>
    <t>21/05/2019</t>
  </si>
  <si>
    <t>20/05/2019</t>
  </si>
  <si>
    <t>19/05/2019</t>
  </si>
  <si>
    <t>18/05/2019</t>
  </si>
  <si>
    <t>17/05/2019</t>
  </si>
  <si>
    <t>16/05/2019</t>
  </si>
  <si>
    <t>15/05/2019</t>
  </si>
  <si>
    <t>14/05/2019</t>
  </si>
  <si>
    <t>13/05/2019</t>
  </si>
  <si>
    <t>12/05/2019</t>
  </si>
  <si>
    <t>11/05/2019</t>
  </si>
  <si>
    <t>10/05/2019</t>
  </si>
  <si>
    <t>09/05/2019</t>
  </si>
  <si>
    <t>08/05/2019</t>
  </si>
  <si>
    <t>07/05/2019</t>
  </si>
  <si>
    <t>06/05/2019</t>
  </si>
  <si>
    <t>05/05/2019</t>
  </si>
  <si>
    <t>04/05/2019</t>
  </si>
  <si>
    <t>03/05/2019</t>
  </si>
  <si>
    <t>02/05/2019</t>
  </si>
  <si>
    <t>01/05/2019</t>
  </si>
  <si>
    <t>30/04/2019</t>
  </si>
  <si>
    <t>29/04/2019</t>
  </si>
  <si>
    <t>28/04/2019</t>
  </si>
  <si>
    <t>27/04/2019</t>
  </si>
  <si>
    <t>26/04/2019</t>
  </si>
  <si>
    <t>25/04/2019</t>
  </si>
  <si>
    <t>24/04/2019</t>
  </si>
  <si>
    <t>23/04/2019</t>
  </si>
  <si>
    <t>22/04/2019</t>
  </si>
  <si>
    <t>21/04/2019</t>
  </si>
  <si>
    <t>20/04/2019</t>
  </si>
  <si>
    <t>19/04/2019</t>
  </si>
  <si>
    <t>18/04/2019</t>
  </si>
  <si>
    <t>17/04/2019</t>
  </si>
  <si>
    <t>16/04/2019</t>
  </si>
  <si>
    <t>15/04/2019</t>
  </si>
  <si>
    <t>14/04/2019</t>
  </si>
  <si>
    <t>13/04/2019</t>
  </si>
  <si>
    <t>12/04/2019</t>
  </si>
  <si>
    <t>11/04/2019</t>
  </si>
  <si>
    <t>10/04/2019</t>
  </si>
  <si>
    <t>09/04/2019</t>
  </si>
  <si>
    <t>08/04/2019</t>
  </si>
  <si>
    <t>07/04/2019</t>
  </si>
  <si>
    <t>06/04/2019</t>
  </si>
  <si>
    <t>05/04/2019</t>
  </si>
  <si>
    <t>04/04/2019</t>
  </si>
  <si>
    <t>03/04/2019</t>
  </si>
  <si>
    <t>02/04/2019</t>
  </si>
  <si>
    <t>01/04/2019</t>
  </si>
  <si>
    <t>31/03/2019</t>
  </si>
  <si>
    <t>30/03/2019</t>
  </si>
  <si>
    <t>29/03/2019</t>
  </si>
  <si>
    <t>28/03/2019</t>
  </si>
  <si>
    <t>27/03/2019</t>
  </si>
  <si>
    <t>26/03/2019</t>
  </si>
  <si>
    <t>25/03/2019</t>
  </si>
  <si>
    <t>24/03/2019</t>
  </si>
  <si>
    <t>23/03/2019</t>
  </si>
  <si>
    <t>22/03/2019</t>
  </si>
  <si>
    <t>21/03/2019</t>
  </si>
  <si>
    <t>20/03/2019</t>
  </si>
  <si>
    <t>19/03/2019</t>
  </si>
  <si>
    <t>18/03/2019</t>
  </si>
  <si>
    <t>17/03/2019</t>
  </si>
  <si>
    <t>16/03/2019</t>
  </si>
  <si>
    <t>15/03/2019</t>
  </si>
  <si>
    <t>14/03/2019</t>
  </si>
  <si>
    <t>13/03/2019</t>
  </si>
  <si>
    <t>12/03/2019</t>
  </si>
  <si>
    <t>11/03/2019</t>
  </si>
  <si>
    <t>10/03/2019</t>
  </si>
  <si>
    <t>09/03/2019</t>
  </si>
  <si>
    <t>08/03/2019</t>
  </si>
  <si>
    <t>07/03/2019</t>
  </si>
  <si>
    <t>06/03/2019</t>
  </si>
  <si>
    <t>05/03/2019</t>
  </si>
  <si>
    <t>04/03/2019</t>
  </si>
  <si>
    <t>03/03/2019</t>
  </si>
  <si>
    <t>02/03/2019</t>
  </si>
  <si>
    <t>01/03/2019</t>
  </si>
  <si>
    <t>28/02/2019</t>
  </si>
  <si>
    <t>27/02/2019</t>
  </si>
  <si>
    <t>26/02/2019</t>
  </si>
  <si>
    <t>25/02/2019</t>
  </si>
  <si>
    <t>24/02/2019</t>
  </si>
  <si>
    <t>23/02/2019</t>
  </si>
  <si>
    <t>22/02/2019</t>
  </si>
  <si>
    <t>21/02/2019</t>
  </si>
  <si>
    <t>20/02/2019</t>
  </si>
  <si>
    <t>19/02/2019</t>
  </si>
  <si>
    <t>18/02/2019</t>
  </si>
  <si>
    <t>17/02/2019</t>
  </si>
  <si>
    <t>16/02/2019</t>
  </si>
  <si>
    <t>15/02/2019</t>
  </si>
  <si>
    <t>14/02/2019</t>
  </si>
  <si>
    <t>13/02/2019</t>
  </si>
  <si>
    <t>12/02/2019</t>
  </si>
  <si>
    <t>11/02/2019</t>
  </si>
  <si>
    <t>10/02/2019</t>
  </si>
  <si>
    <t>09/02/2019</t>
  </si>
  <si>
    <t>08/02/2019</t>
  </si>
  <si>
    <t>07/02/2019</t>
  </si>
  <si>
    <t>06/02/2019</t>
  </si>
  <si>
    <t>05/02/2019</t>
  </si>
  <si>
    <t>04/02/2019</t>
  </si>
  <si>
    <t>03/02/2019</t>
  </si>
  <si>
    <t>02/02/2019</t>
  </si>
  <si>
    <t>01/02/2019</t>
  </si>
  <si>
    <t>31/01/2019</t>
  </si>
  <si>
    <t>30/01/2019</t>
  </si>
  <si>
    <t>29/01/2019</t>
  </si>
  <si>
    <t>28/01/2019</t>
  </si>
  <si>
    <t>27/01/2019</t>
  </si>
  <si>
    <t>26/01/2019</t>
  </si>
  <si>
    <t>25/01/2019</t>
  </si>
  <si>
    <t>24/01/2019</t>
  </si>
  <si>
    <t>23/01/2019</t>
  </si>
  <si>
    <t>22/01/2019</t>
  </si>
  <si>
    <t>21/01/2019</t>
  </si>
  <si>
    <t>20/01/2019</t>
  </si>
  <si>
    <t>19/01/2019</t>
  </si>
  <si>
    <t>18/01/2019</t>
  </si>
  <si>
    <t>17/01/2019</t>
  </si>
  <si>
    <t>16/01/2019</t>
  </si>
  <si>
    <t>15/01/2019</t>
  </si>
  <si>
    <t>14/01/2019</t>
  </si>
  <si>
    <t>13/01/2019</t>
  </si>
  <si>
    <t>12/01/2019</t>
  </si>
  <si>
    <t>11/01/2019</t>
  </si>
  <si>
    <t>10/01/2019</t>
  </si>
  <si>
    <t>09/01/2019</t>
  </si>
  <si>
    <t>08/01/2019</t>
  </si>
  <si>
    <t>07/01/2019</t>
  </si>
  <si>
    <t>06/01/2019</t>
  </si>
  <si>
    <t>05/01/2019</t>
  </si>
  <si>
    <t>04/01/2019</t>
  </si>
  <si>
    <t>03/01/2019</t>
  </si>
  <si>
    <t>02/01/2019</t>
  </si>
  <si>
    <t>01/01/2019</t>
  </si>
  <si>
    <t>31/12/2018</t>
  </si>
  <si>
    <t>30/12/2018</t>
  </si>
  <si>
    <t>29/12/2018</t>
  </si>
  <si>
    <t>28/12/2018</t>
  </si>
  <si>
    <t>27/12/2018</t>
  </si>
  <si>
    <t>26/12/2018</t>
  </si>
  <si>
    <t>25/12/2018</t>
  </si>
  <si>
    <t>24/12/2018</t>
  </si>
  <si>
    <t>23/12/2018</t>
  </si>
  <si>
    <t>22/12/2018</t>
  </si>
  <si>
    <t>21/12/2018</t>
  </si>
  <si>
    <t>20/12/2018</t>
  </si>
  <si>
    <t>19/12/2018</t>
  </si>
  <si>
    <t>18/12/2018</t>
  </si>
  <si>
    <t>17/12/2018</t>
  </si>
  <si>
    <t>16/12/2018</t>
  </si>
  <si>
    <t>15/12/2018</t>
  </si>
  <si>
    <t>14/12/2018</t>
  </si>
  <si>
    <t>13/12/2018</t>
  </si>
  <si>
    <t>12/12/2018</t>
  </si>
  <si>
    <t>11/12/2018</t>
  </si>
  <si>
    <t>10/12/2018</t>
  </si>
  <si>
    <t>09/12/2018</t>
  </si>
  <si>
    <t>08/12/2018</t>
  </si>
  <si>
    <t>07/12/2018</t>
  </si>
  <si>
    <t>06/12/2018</t>
  </si>
  <si>
    <t>05/12/2018</t>
  </si>
  <si>
    <t>04/12/2018</t>
  </si>
  <si>
    <t>03/12/2018</t>
  </si>
  <si>
    <t>02/12/2018</t>
  </si>
  <si>
    <t>01/12/2018</t>
  </si>
  <si>
    <t>30/11/2018</t>
  </si>
  <si>
    <t>29/11/2018</t>
  </si>
  <si>
    <t>28/11/2018</t>
  </si>
  <si>
    <t>27/11/2018</t>
  </si>
  <si>
    <t>26/11/2018</t>
  </si>
  <si>
    <t>25/11/2018</t>
  </si>
  <si>
    <t>24/11/2018</t>
  </si>
  <si>
    <t>23/11/2018</t>
  </si>
  <si>
    <t>22/11/2018</t>
  </si>
  <si>
    <t>21/11/2018</t>
  </si>
  <si>
    <t>20/11/2018</t>
  </si>
  <si>
    <t>19/11/2018</t>
  </si>
  <si>
    <t>18/11/2018</t>
  </si>
  <si>
    <t>17/11/2018</t>
  </si>
  <si>
    <t>16/11/2018</t>
  </si>
  <si>
    <t>15/11/2018</t>
  </si>
  <si>
    <t>14/11/2018</t>
  </si>
  <si>
    <t>13/11/2018</t>
  </si>
  <si>
    <t>12/11/2018</t>
  </si>
  <si>
    <t>11/11/2018</t>
  </si>
  <si>
    <t>10/11/2018</t>
  </si>
  <si>
    <t>09/11/2018</t>
  </si>
  <si>
    <t>08/11/2018</t>
  </si>
  <si>
    <t>07/11/2018</t>
  </si>
  <si>
    <t>06/11/2018</t>
  </si>
  <si>
    <t>05/11/2018</t>
  </si>
  <si>
    <t>04/11/2018</t>
  </si>
  <si>
    <t>03/11/2018</t>
  </si>
  <si>
    <t>02/11/2018</t>
  </si>
  <si>
    <t>01/11/2018</t>
  </si>
  <si>
    <t>31/10/2018</t>
  </si>
  <si>
    <t>30/10/2018</t>
  </si>
  <si>
    <t>29/10/2018</t>
  </si>
  <si>
    <t>28/10/2018</t>
  </si>
  <si>
    <t>27/10/2018</t>
  </si>
  <si>
    <t>26/10/2018</t>
  </si>
  <si>
    <t>25/10/2018</t>
  </si>
  <si>
    <t>24/10/2018</t>
  </si>
  <si>
    <t>23/10/2018</t>
  </si>
  <si>
    <t>22/10/2018</t>
  </si>
  <si>
    <t>21/10/2018</t>
  </si>
  <si>
    <t>20/10/2018</t>
  </si>
  <si>
    <t>19/10/2018</t>
  </si>
  <si>
    <t>18/10/2018</t>
  </si>
  <si>
    <t>17/10/2018</t>
  </si>
  <si>
    <t>16/10/2018</t>
  </si>
  <si>
    <t>15/10/2018</t>
  </si>
  <si>
    <t>14/10/2018</t>
  </si>
  <si>
    <t>13/10/2018</t>
  </si>
  <si>
    <t>12/10/2018</t>
  </si>
  <si>
    <t>11/10/2018</t>
  </si>
  <si>
    <t>10/10/2018</t>
  </si>
  <si>
    <t>09/10/2018</t>
  </si>
  <si>
    <t>08/10/2018</t>
  </si>
  <si>
    <t>07/10/2018</t>
  </si>
  <si>
    <t>06/10/2018</t>
  </si>
  <si>
    <t>05/10/2018</t>
  </si>
  <si>
    <t>04/10/2018</t>
  </si>
  <si>
    <t>03/10/2018</t>
  </si>
  <si>
    <t>02/10/2018</t>
  </si>
  <si>
    <t>01/10/2018</t>
  </si>
  <si>
    <t>30/09/2018</t>
  </si>
  <si>
    <t>29/09/2018</t>
  </si>
  <si>
    <t>28/09/2018</t>
  </si>
  <si>
    <t>27/09/2018</t>
  </si>
  <si>
    <t>26/09/2018</t>
  </si>
  <si>
    <t>25/09/2018</t>
  </si>
  <si>
    <t>24/09/2018</t>
  </si>
  <si>
    <t>23/09/2018</t>
  </si>
  <si>
    <t>22/09/2018</t>
  </si>
  <si>
    <t>21/09/2018</t>
  </si>
  <si>
    <t>20/09/2018</t>
  </si>
  <si>
    <t>19/09/2018</t>
  </si>
  <si>
    <t>18/09/2018</t>
  </si>
  <si>
    <t>17/09/2018</t>
  </si>
  <si>
    <t>16/09/2018</t>
  </si>
  <si>
    <t>15/09/2018</t>
  </si>
  <si>
    <t>14/09/2018</t>
  </si>
  <si>
    <t>13/09/2018</t>
  </si>
  <si>
    <t>12/09/2018</t>
  </si>
  <si>
    <t>11/09/2018</t>
  </si>
  <si>
    <t>10/09/2018</t>
  </si>
  <si>
    <t>09/09/2018</t>
  </si>
  <si>
    <t>08/09/2018</t>
  </si>
  <si>
    <t>07/09/2018</t>
  </si>
  <si>
    <t>06/09/2018</t>
  </si>
  <si>
    <t>05/09/2018</t>
  </si>
  <si>
    <t>04/09/2018</t>
  </si>
  <si>
    <t>03/09/2018</t>
  </si>
  <si>
    <t>02/09/2018</t>
  </si>
  <si>
    <t>01/09/2018</t>
  </si>
  <si>
    <t>31/08/2018</t>
  </si>
  <si>
    <t>30/08/2018</t>
  </si>
  <si>
    <t>29/08/2018</t>
  </si>
  <si>
    <t>28/08/2018</t>
  </si>
  <si>
    <t>27/08/2018</t>
  </si>
  <si>
    <t>26/08/2018</t>
  </si>
  <si>
    <t>25/08/2018</t>
  </si>
  <si>
    <t>24/08/2018</t>
  </si>
  <si>
    <t>23/08/2018</t>
  </si>
  <si>
    <t>22/08/2018</t>
  </si>
  <si>
    <t>21/08/2018</t>
  </si>
  <si>
    <t>20/08/2018</t>
  </si>
  <si>
    <t>19/08/2018</t>
  </si>
  <si>
    <t>18/08/2018</t>
  </si>
  <si>
    <t>17/08/2018</t>
  </si>
  <si>
    <t>16/08/2018</t>
  </si>
  <si>
    <t>15/08/2018</t>
  </si>
  <si>
    <t>14/08/2018</t>
  </si>
  <si>
    <t>13/08/2018</t>
  </si>
  <si>
    <t>12/08/2018</t>
  </si>
  <si>
    <t>11/08/2018</t>
  </si>
  <si>
    <t>10/08/2018</t>
  </si>
  <si>
    <t>09/08/2018</t>
  </si>
  <si>
    <t>08/08/2018</t>
  </si>
  <si>
    <t>07/08/2018</t>
  </si>
  <si>
    <t>06/08/2018</t>
  </si>
  <si>
    <t>05/08/2018</t>
  </si>
  <si>
    <t>04/08/2018</t>
  </si>
  <si>
    <t>03/08/2018</t>
  </si>
  <si>
    <t>02/08/2018</t>
  </si>
  <si>
    <t>01/08/2018</t>
  </si>
  <si>
    <t>31/07/2018</t>
  </si>
  <si>
    <t>30/07/2018</t>
  </si>
  <si>
    <t>29/07/2018</t>
  </si>
  <si>
    <t>28/07/2018</t>
  </si>
  <si>
    <t>27/07/2018</t>
  </si>
  <si>
    <t>26/07/2018</t>
  </si>
  <si>
    <t>25/07/2018</t>
  </si>
  <si>
    <t>24/07/2018</t>
  </si>
  <si>
    <t>23/07/2018</t>
  </si>
  <si>
    <t>22/07/2018</t>
  </si>
  <si>
    <t>21/07/2018</t>
  </si>
  <si>
    <t>20/07/2018</t>
  </si>
  <si>
    <t>19/07/2018</t>
  </si>
  <si>
    <t>18/07/2018</t>
  </si>
  <si>
    <t>17/07/2018</t>
  </si>
  <si>
    <t>16/07/2018</t>
  </si>
  <si>
    <t>15/07/2018</t>
  </si>
  <si>
    <t>14/07/2018</t>
  </si>
  <si>
    <t>13/07/2018</t>
  </si>
  <si>
    <t>12/07/2018</t>
  </si>
  <si>
    <t>11/07/2018</t>
  </si>
  <si>
    <t>10/07/2018</t>
  </si>
  <si>
    <t>09/07/2018</t>
  </si>
  <si>
    <t>08/07/2018</t>
  </si>
  <si>
    <t>07/07/2018</t>
  </si>
  <si>
    <t>06/07/2018</t>
  </si>
  <si>
    <t>05/07/2018</t>
  </si>
  <si>
    <t>04/07/2018</t>
  </si>
  <si>
    <t>03/07/2018</t>
  </si>
  <si>
    <t>02/07/2018</t>
  </si>
  <si>
    <t>01/07/2018</t>
  </si>
  <si>
    <t>30/06/2018</t>
  </si>
  <si>
    <t>29/06/2018</t>
  </si>
  <si>
    <t>28/06/2018</t>
  </si>
  <si>
    <t>27/06/2018</t>
  </si>
  <si>
    <t>26/06/2018</t>
  </si>
  <si>
    <t>25/06/2018</t>
  </si>
  <si>
    <t>24/06/2018</t>
  </si>
  <si>
    <t>23/06/2018</t>
  </si>
  <si>
    <t>22/06/2018</t>
  </si>
  <si>
    <t>21/06/2018</t>
  </si>
  <si>
    <t>20/06/2018</t>
  </si>
  <si>
    <t>19/06/2018</t>
  </si>
  <si>
    <t>18/06/2018</t>
  </si>
  <si>
    <t>17/06/2018</t>
  </si>
  <si>
    <t>16/06/2018</t>
  </si>
  <si>
    <t>15/06/2018</t>
  </si>
  <si>
    <t>14/06/2018</t>
  </si>
  <si>
    <t>13/06/2018</t>
  </si>
  <si>
    <t>12/06/2018</t>
  </si>
  <si>
    <t>11/06/2018</t>
  </si>
  <si>
    <t>10/06/2018</t>
  </si>
  <si>
    <t>09/06/2018</t>
  </si>
  <si>
    <t>08/06/2018</t>
  </si>
  <si>
    <t>07/06/2018</t>
  </si>
  <si>
    <t>06/06/2018</t>
  </si>
  <si>
    <t>05/06/2018</t>
  </si>
  <si>
    <t>04/06/2018</t>
  </si>
  <si>
    <t>03/06/2018</t>
  </si>
  <si>
    <t>02/06/2018</t>
  </si>
  <si>
    <t>01/06/2018</t>
  </si>
  <si>
    <t>31/05/2018</t>
  </si>
  <si>
    <t>30/05/2018</t>
  </si>
  <si>
    <t>29/05/2018</t>
  </si>
  <si>
    <t>28/05/2018</t>
  </si>
  <si>
    <t>27/05/2018</t>
  </si>
  <si>
    <t>26/05/2018</t>
  </si>
  <si>
    <t>25/05/2018</t>
  </si>
  <si>
    <t>24/05/2018</t>
  </si>
  <si>
    <t>23/05/2018</t>
  </si>
  <si>
    <t>22/05/2018</t>
  </si>
  <si>
    <t>21/05/2018</t>
  </si>
  <si>
    <t>20/05/2018</t>
  </si>
  <si>
    <t>19/05/2018</t>
  </si>
  <si>
    <t>18/05/2018</t>
  </si>
  <si>
    <t>17/05/2018</t>
  </si>
  <si>
    <t>16/05/2018</t>
  </si>
  <si>
    <t>15/05/2018</t>
  </si>
  <si>
    <t>14/05/2018</t>
  </si>
  <si>
    <t>13/05/2018</t>
  </si>
  <si>
    <t>12/05/2018</t>
  </si>
  <si>
    <t>11/05/2018</t>
  </si>
  <si>
    <t>10/05/2018</t>
  </si>
  <si>
    <t>09/05/2018</t>
  </si>
  <si>
    <t>08/05/2018</t>
  </si>
  <si>
    <t>07/05/2018</t>
  </si>
  <si>
    <t>06/05/2018</t>
  </si>
  <si>
    <t>05/05/2018</t>
  </si>
  <si>
    <t>04/05/2018</t>
  </si>
  <si>
    <t>03/05/2018</t>
  </si>
  <si>
    <t>02/05/2018</t>
  </si>
  <si>
    <t>01/05/2018</t>
  </si>
  <si>
    <t>30/04/2018</t>
  </si>
  <si>
    <t>29/04/2018</t>
  </si>
  <si>
    <t>28/04/2018</t>
  </si>
  <si>
    <t>27/04/2018</t>
  </si>
  <si>
    <t>26/04/2018</t>
  </si>
  <si>
    <t>25/04/2018</t>
  </si>
  <si>
    <t>24/04/2018</t>
  </si>
  <si>
    <t>23/04/2018</t>
  </si>
  <si>
    <t>22/04/2018</t>
  </si>
  <si>
    <t>21/04/2018</t>
  </si>
  <si>
    <t>20/04/2018</t>
  </si>
  <si>
    <t>19/04/2018</t>
  </si>
  <si>
    <t>18/04/2018</t>
  </si>
  <si>
    <t>17/04/2018</t>
  </si>
  <si>
    <t>16/04/2018</t>
  </si>
  <si>
    <t>15/04/2018</t>
  </si>
  <si>
    <t>14/04/2018</t>
  </si>
  <si>
    <t>13/04/2018</t>
  </si>
  <si>
    <t>12/04/2018</t>
  </si>
  <si>
    <t>11/04/2018</t>
  </si>
  <si>
    <t>10/04/2018</t>
  </si>
  <si>
    <t>09/04/2018</t>
  </si>
  <si>
    <t>08/04/2018</t>
  </si>
  <si>
    <t>07/04/2018</t>
  </si>
  <si>
    <t>06/04/2018</t>
  </si>
  <si>
    <t>05/04/2018</t>
  </si>
  <si>
    <t>04/04/2018</t>
  </si>
  <si>
    <t>03/04/2018</t>
  </si>
  <si>
    <t>02/04/2018</t>
  </si>
  <si>
    <t>01/04/2018</t>
  </si>
  <si>
    <t>31/03/2018</t>
  </si>
  <si>
    <t>30/03/2018</t>
  </si>
  <si>
    <t>29/03/2018</t>
  </si>
  <si>
    <t>28/03/2018</t>
  </si>
  <si>
    <t>27/03/2018</t>
  </si>
  <si>
    <t>26/03/2018</t>
  </si>
  <si>
    <t>25/03/2018</t>
  </si>
  <si>
    <t>24/03/2018</t>
  </si>
  <si>
    <t>23/03/2018</t>
  </si>
  <si>
    <t>22/03/2018</t>
  </si>
  <si>
    <t>21/03/2018</t>
  </si>
  <si>
    <t>20/03/2018</t>
  </si>
  <si>
    <t>19/03/2018</t>
  </si>
  <si>
    <t>18/03/2018</t>
  </si>
  <si>
    <t>17/03/2018</t>
  </si>
  <si>
    <t>16/03/2018</t>
  </si>
  <si>
    <t>15/03/2018</t>
  </si>
  <si>
    <t>14/03/2018</t>
  </si>
  <si>
    <t>13/03/2018</t>
  </si>
  <si>
    <t>12/03/2018</t>
  </si>
  <si>
    <t>11/03/2018</t>
  </si>
  <si>
    <t>10/03/2018</t>
  </si>
  <si>
    <t>09/03/2018</t>
  </si>
  <si>
    <t>08/03/2018</t>
  </si>
  <si>
    <t>07/03/2018</t>
  </si>
  <si>
    <t>06/03/2018</t>
  </si>
  <si>
    <t>05/03/2018</t>
  </si>
  <si>
    <t>04/03/2018</t>
  </si>
  <si>
    <t>03/03/2018</t>
  </si>
  <si>
    <t>02/03/2018</t>
  </si>
  <si>
    <t>01/03/2018</t>
  </si>
  <si>
    <t>28/02/2018</t>
  </si>
  <si>
    <t>27/02/2018</t>
  </si>
  <si>
    <t>26/02/2018</t>
  </si>
  <si>
    <t>25/02/2018</t>
  </si>
  <si>
    <t>24/02/2018</t>
  </si>
  <si>
    <t>23/02/2018</t>
  </si>
  <si>
    <t>22/02/2018</t>
  </si>
  <si>
    <t>21/02/2018</t>
  </si>
  <si>
    <t>20/02/2018</t>
  </si>
  <si>
    <t>19/02/2018</t>
  </si>
  <si>
    <t>18/02/2018</t>
  </si>
  <si>
    <t>17/02/2018</t>
  </si>
  <si>
    <t>16/02/2018</t>
  </si>
  <si>
    <t>15/02/2018</t>
  </si>
  <si>
    <t>14/02/2018</t>
  </si>
  <si>
    <t>13/02/2018</t>
  </si>
  <si>
    <t>12/02/2018</t>
  </si>
  <si>
    <t>11/02/2018</t>
  </si>
  <si>
    <t>10/02/2018</t>
  </si>
  <si>
    <t>09/02/2018</t>
  </si>
  <si>
    <t>08/02/2018</t>
  </si>
  <si>
    <t>07/02/2018</t>
  </si>
  <si>
    <t>06/02/2018</t>
  </si>
  <si>
    <t>05/02/2018</t>
  </si>
  <si>
    <t>04/02/2018</t>
  </si>
  <si>
    <t>03/02/2018</t>
  </si>
  <si>
    <t>02/02/2018</t>
  </si>
  <si>
    <t>01/02/2018</t>
  </si>
  <si>
    <t>31/01/2018</t>
  </si>
  <si>
    <t>30/01/2018</t>
  </si>
  <si>
    <t>29/01/2018</t>
  </si>
  <si>
    <t>28/01/2018</t>
  </si>
  <si>
    <t>27/01/2018</t>
  </si>
  <si>
    <t>26/01/2018</t>
  </si>
  <si>
    <t>25/01/2018</t>
  </si>
  <si>
    <t>24/01/2018</t>
  </si>
  <si>
    <t>23/01/2018</t>
  </si>
  <si>
    <t>22/01/2018</t>
  </si>
  <si>
    <t>21/01/2018</t>
  </si>
  <si>
    <t>20/01/2018</t>
  </si>
  <si>
    <t>19/01/2018</t>
  </si>
  <si>
    <t>18/01/2018</t>
  </si>
  <si>
    <t>17/01/2018</t>
  </si>
  <si>
    <t>16/01/2018</t>
  </si>
  <si>
    <t>15/01/2018</t>
  </si>
  <si>
    <t>14/01/2018</t>
  </si>
  <si>
    <t>13/01/2018</t>
  </si>
  <si>
    <t>12/01/2018</t>
  </si>
  <si>
    <t>11/01/2018</t>
  </si>
  <si>
    <t>10/01/2018</t>
  </si>
  <si>
    <t>09/01/2018</t>
  </si>
  <si>
    <t>08/01/2018</t>
  </si>
  <si>
    <t>07/01/2018</t>
  </si>
  <si>
    <t>06/01/2018</t>
  </si>
  <si>
    <t>05/01/2018</t>
  </si>
  <si>
    <t>04/01/2018</t>
  </si>
  <si>
    <t>03/01/2018</t>
  </si>
  <si>
    <t>02/01/2018</t>
  </si>
  <si>
    <t>01/01/2018</t>
  </si>
  <si>
    <t>31/12/2017</t>
  </si>
  <si>
    <t>30/12/2017</t>
  </si>
  <si>
    <t>29/12/2017</t>
  </si>
  <si>
    <t>28/12/2017</t>
  </si>
  <si>
    <t>27/12/2017</t>
  </si>
  <si>
    <t>26/12/2017</t>
  </si>
  <si>
    <t>25/12/2017</t>
  </si>
  <si>
    <t>24/12/2017</t>
  </si>
  <si>
    <t>23/12/2017</t>
  </si>
  <si>
    <t>22/12/2017</t>
  </si>
  <si>
    <t>21/12/2017</t>
  </si>
  <si>
    <t>20/12/2017</t>
  </si>
  <si>
    <t>19/12/2017</t>
  </si>
  <si>
    <t>18/12/2017</t>
  </si>
  <si>
    <t>17/12/2017</t>
  </si>
  <si>
    <t>16/12/2017</t>
  </si>
  <si>
    <t>15/12/2017</t>
  </si>
  <si>
    <t>14/12/2017</t>
  </si>
  <si>
    <t>13/12/2017</t>
  </si>
  <si>
    <t>12/12/2017</t>
  </si>
  <si>
    <t>11/12/2017</t>
  </si>
  <si>
    <t>10/12/2017</t>
  </si>
  <si>
    <t>09/12/2017</t>
  </si>
  <si>
    <t>08/12/2017</t>
  </si>
  <si>
    <t>07/12/2017</t>
  </si>
  <si>
    <t>06/12/2017</t>
  </si>
  <si>
    <t>05/12/2017</t>
  </si>
  <si>
    <t>04/12/2017</t>
  </si>
  <si>
    <t>03/12/2017</t>
  </si>
  <si>
    <t>02/12/2017</t>
  </si>
  <si>
    <t>01/12/2017</t>
  </si>
  <si>
    <t>30/11/2017</t>
  </si>
  <si>
    <t>29/11/2017</t>
  </si>
  <si>
    <t>28/11/2017</t>
  </si>
  <si>
    <t>27/11/2017</t>
  </si>
  <si>
    <t>26/11/2017</t>
  </si>
  <si>
    <t>25/11/2017</t>
  </si>
  <si>
    <t>24/11/2017</t>
  </si>
  <si>
    <t>23/11/2017</t>
  </si>
  <si>
    <t>22/11/2017</t>
  </si>
  <si>
    <t>21/11/2017</t>
  </si>
  <si>
    <t>20/11/2017</t>
  </si>
  <si>
    <t>19/11/2017</t>
  </si>
  <si>
    <t>18/11/2017</t>
  </si>
  <si>
    <t>17/11/2017</t>
  </si>
  <si>
    <t>16/11/2017</t>
  </si>
  <si>
    <t>15/11/2017</t>
  </si>
  <si>
    <t>14/11/2017</t>
  </si>
  <si>
    <t>13/11/2017</t>
  </si>
  <si>
    <t>12/11/2017</t>
  </si>
  <si>
    <t>11/11/2017</t>
  </si>
  <si>
    <t>10/11/2017</t>
  </si>
  <si>
    <t>09/11/2017</t>
  </si>
  <si>
    <t>08/11/2017</t>
  </si>
  <si>
    <t>07/11/2017</t>
  </si>
  <si>
    <t>06/11/2017</t>
  </si>
  <si>
    <t>05/11/2017</t>
  </si>
  <si>
    <t>04/11/2017</t>
  </si>
  <si>
    <t>03/11/2017</t>
  </si>
  <si>
    <t>02/11/2017</t>
  </si>
  <si>
    <t>01/11/2017</t>
  </si>
  <si>
    <t>31/10/2017</t>
  </si>
  <si>
    <t>30/10/2017</t>
  </si>
  <si>
    <t>29/10/2017</t>
  </si>
  <si>
    <t>28/10/2017</t>
  </si>
  <si>
    <t>27/10/2017</t>
  </si>
  <si>
    <t>26/10/2017</t>
  </si>
  <si>
    <t>25/10/2017</t>
  </si>
  <si>
    <t>24/10/2017</t>
  </si>
  <si>
    <t>23/10/2017</t>
  </si>
  <si>
    <t>22/10/2017</t>
  </si>
  <si>
    <t>21/10/2017</t>
  </si>
  <si>
    <t>20/10/2017</t>
  </si>
  <si>
    <t>19/10/2017</t>
  </si>
  <si>
    <t>18/10/2017</t>
  </si>
  <si>
    <t>17/10/2017</t>
  </si>
  <si>
    <t>16/10/2017</t>
  </si>
  <si>
    <t>15/10/2017</t>
  </si>
  <si>
    <t>14/10/2017</t>
  </si>
  <si>
    <t>13/10/2017</t>
  </si>
  <si>
    <t>12/10/2017</t>
  </si>
  <si>
    <t>11/10/2017</t>
  </si>
  <si>
    <t>10/10/2017</t>
  </si>
  <si>
    <t>09/10/2017</t>
  </si>
  <si>
    <t>08/10/2017</t>
  </si>
  <si>
    <t>07/10/2017</t>
  </si>
  <si>
    <t>06/10/2017</t>
  </si>
  <si>
    <t>05/10/2017</t>
  </si>
  <si>
    <t>04/10/2017</t>
  </si>
  <si>
    <t>03/10/2017</t>
  </si>
  <si>
    <t>02/10/2017</t>
  </si>
  <si>
    <t>01/10/2017</t>
  </si>
  <si>
    <t>30/09/2017</t>
  </si>
  <si>
    <t>29/09/2017</t>
  </si>
  <si>
    <t>28/09/2017</t>
  </si>
  <si>
    <t>27/09/2017</t>
  </si>
  <si>
    <t>26/09/2017</t>
  </si>
  <si>
    <t>25/09/2017</t>
  </si>
  <si>
    <t>24/09/2017</t>
  </si>
  <si>
    <t>23/09/2017</t>
  </si>
  <si>
    <t>22/09/2017</t>
  </si>
  <si>
    <t>21/09/2017</t>
  </si>
  <si>
    <t>20/09/2017</t>
  </si>
  <si>
    <t>19/09/2017</t>
  </si>
  <si>
    <t>18/09/2017</t>
  </si>
  <si>
    <t>17/09/2017</t>
  </si>
  <si>
    <t>16/09/2017</t>
  </si>
  <si>
    <t>15/09/2017</t>
  </si>
  <si>
    <t>14/09/2017</t>
  </si>
  <si>
    <t>13/09/2017</t>
  </si>
  <si>
    <t>12/09/2017</t>
  </si>
  <si>
    <t>11/09/2017</t>
  </si>
  <si>
    <t>10/09/2017</t>
  </si>
  <si>
    <t>09/09/2017</t>
  </si>
  <si>
    <t>08/09/2017</t>
  </si>
  <si>
    <t>07/09/2017</t>
  </si>
  <si>
    <t>06/09/2017</t>
  </si>
  <si>
    <t>05/09/2017</t>
  </si>
  <si>
    <t>04/09/2017</t>
  </si>
  <si>
    <t>03/09/2017</t>
  </si>
  <si>
    <t>02/09/2017</t>
  </si>
  <si>
    <t>01/09/2017</t>
  </si>
  <si>
    <t>31/08/2017</t>
  </si>
  <si>
    <t>30/08/2017</t>
  </si>
  <si>
    <t>29/08/2017</t>
  </si>
  <si>
    <t>28/08/2017</t>
  </si>
  <si>
    <t>27/08/2017</t>
  </si>
  <si>
    <t>26/08/2017</t>
  </si>
  <si>
    <t>25/08/2017</t>
  </si>
  <si>
    <t>24/08/2017</t>
  </si>
  <si>
    <t>23/08/2017</t>
  </si>
  <si>
    <t>22/08/2017</t>
  </si>
  <si>
    <t>21/08/2017</t>
  </si>
  <si>
    <t>20/08/2017</t>
  </si>
  <si>
    <t>19/08/2017</t>
  </si>
  <si>
    <t>18/08/2017</t>
  </si>
  <si>
    <t>17/08/2017</t>
  </si>
  <si>
    <t>16/08/2017</t>
  </si>
  <si>
    <t>15/08/2017</t>
  </si>
  <si>
    <t>14/08/2017</t>
  </si>
  <si>
    <t>13/08/2017</t>
  </si>
  <si>
    <t>12/08/2017</t>
  </si>
  <si>
    <t>11/08/2017</t>
  </si>
  <si>
    <t>10/08/2017</t>
  </si>
  <si>
    <t>09/08/2017</t>
  </si>
  <si>
    <t>08/08/2017</t>
  </si>
  <si>
    <t>07/08/2017</t>
  </si>
  <si>
    <t>06/08/2017</t>
  </si>
  <si>
    <t>05/08/2017</t>
  </si>
  <si>
    <t>04/08/2017</t>
  </si>
  <si>
    <t>03/08/2017</t>
  </si>
  <si>
    <t>02/08/2017</t>
  </si>
  <si>
    <t>01/08/2017</t>
  </si>
  <si>
    <t>31/07/2017</t>
  </si>
  <si>
    <t>30/07/2017</t>
  </si>
  <si>
    <t>29/07/2017</t>
  </si>
  <si>
    <t>28/07/2017</t>
  </si>
  <si>
    <t>27/07/2017</t>
  </si>
  <si>
    <t>26/07/2017</t>
  </si>
  <si>
    <t>25/07/2017</t>
  </si>
  <si>
    <t>24/07/2017</t>
  </si>
  <si>
    <t>23/07/2017</t>
  </si>
  <si>
    <t>22/07/2017</t>
  </si>
  <si>
    <t>21/07/2017</t>
  </si>
  <si>
    <t>20/07/2017</t>
  </si>
  <si>
    <t>19/07/2017</t>
  </si>
  <si>
    <t>18/07/2017</t>
  </si>
  <si>
    <t>17/07/2017</t>
  </si>
  <si>
    <t>16/07/2017</t>
  </si>
  <si>
    <t>15/07/2017</t>
  </si>
  <si>
    <t>14/07/2017</t>
  </si>
  <si>
    <t>13/07/2017</t>
  </si>
  <si>
    <t>12/07/2017</t>
  </si>
  <si>
    <t>11/07/2017</t>
  </si>
  <si>
    <t>10/07/2017</t>
  </si>
  <si>
    <t>09/07/2017</t>
  </si>
  <si>
    <t>08/07/2017</t>
  </si>
  <si>
    <t>07/07/2017</t>
  </si>
  <si>
    <t>06/07/2017</t>
  </si>
  <si>
    <t>05/07/2017</t>
  </si>
  <si>
    <t>04/07/2017</t>
  </si>
  <si>
    <t>03/07/2017</t>
  </si>
  <si>
    <t>02/07/2017</t>
  </si>
  <si>
    <t>01/07/2017</t>
  </si>
  <si>
    <t>30/06/2017</t>
  </si>
  <si>
    <t>29/06/2017</t>
  </si>
  <si>
    <t>28/06/2017</t>
  </si>
  <si>
    <t>27/06/2017</t>
  </si>
  <si>
    <t>26/06/2017</t>
  </si>
  <si>
    <t>25/06/2017</t>
  </si>
  <si>
    <t>24/06/2017</t>
  </si>
  <si>
    <t>23/06/2017</t>
  </si>
  <si>
    <t>22/06/2017</t>
  </si>
  <si>
    <t>21/06/2017</t>
  </si>
  <si>
    <t>20/06/2017</t>
  </si>
  <si>
    <t>19/06/2017</t>
  </si>
  <si>
    <t>18/06/2017</t>
  </si>
  <si>
    <t>17/06/2017</t>
  </si>
  <si>
    <t>16/06/2017</t>
  </si>
  <si>
    <t>15/06/2017</t>
  </si>
  <si>
    <t>14/06/2017</t>
  </si>
  <si>
    <t>13/06/2017</t>
  </si>
  <si>
    <t>12/06/2017</t>
  </si>
  <si>
    <t>11/06/2017</t>
  </si>
  <si>
    <t>10/06/2017</t>
  </si>
  <si>
    <t>09/06/2017</t>
  </si>
  <si>
    <t>08/06/2017</t>
  </si>
  <si>
    <t>07/06/2017</t>
  </si>
  <si>
    <t>06/06/2017</t>
  </si>
  <si>
    <t>05/06/2017</t>
  </si>
  <si>
    <t>04/06/2017</t>
  </si>
  <si>
    <t>03/06/2017</t>
  </si>
  <si>
    <t>02/06/2017</t>
  </si>
  <si>
    <t>01/06/2017</t>
  </si>
  <si>
    <t>31/05/2017</t>
  </si>
  <si>
    <t>30/05/2017</t>
  </si>
  <si>
    <t>29/05/2017</t>
  </si>
  <si>
    <t>28/05/2017</t>
  </si>
  <si>
    <t>27/05/2017</t>
  </si>
  <si>
    <t>26/05/2017</t>
  </si>
  <si>
    <t>25/05/2017</t>
  </si>
  <si>
    <t>24/05/2017</t>
  </si>
  <si>
    <t>23/05/2017</t>
  </si>
  <si>
    <t>22/05/2017</t>
  </si>
  <si>
    <t>21/05/2017</t>
  </si>
  <si>
    <t>20/05/2017</t>
  </si>
  <si>
    <t>19/05/2017</t>
  </si>
  <si>
    <t>18/05/2017</t>
  </si>
  <si>
    <t>17/05/2017</t>
  </si>
  <si>
    <t>16/05/2017</t>
  </si>
  <si>
    <t>15/05/2017</t>
  </si>
  <si>
    <t>14/05/2017</t>
  </si>
  <si>
    <t>13/05/2017</t>
  </si>
  <si>
    <t>12/05/2017</t>
  </si>
  <si>
    <t>11/05/2017</t>
  </si>
  <si>
    <t>10/05/2017</t>
  </si>
  <si>
    <t>09/05/2017</t>
  </si>
  <si>
    <t>08/05/2017</t>
  </si>
  <si>
    <t>07/05/2017</t>
  </si>
  <si>
    <t>06/05/2017</t>
  </si>
  <si>
    <t>05/05/2017</t>
  </si>
  <si>
    <t>04/05/2017</t>
  </si>
  <si>
    <t>03/05/2017</t>
  </si>
  <si>
    <t>02/05/2017</t>
  </si>
  <si>
    <t>01/05/2017</t>
  </si>
  <si>
    <t>30/04/2017</t>
  </si>
  <si>
    <t>29/04/2017</t>
  </si>
  <si>
    <t>28/04/2017</t>
  </si>
  <si>
    <t>27/04/2017</t>
  </si>
  <si>
    <t>26/04/2017</t>
  </si>
  <si>
    <t>25/04/2017</t>
  </si>
  <si>
    <t>24/04/2017</t>
  </si>
  <si>
    <t>23/04/2017</t>
  </si>
  <si>
    <t>22/04/2017</t>
  </si>
  <si>
    <t>21/04/2017</t>
  </si>
  <si>
    <t>20/04/2017</t>
  </si>
  <si>
    <t>19/04/2017</t>
  </si>
  <si>
    <t>18/04/2017</t>
  </si>
  <si>
    <t>17/04/2017</t>
  </si>
  <si>
    <t>16/04/2017</t>
  </si>
  <si>
    <t>15/04/2017</t>
  </si>
  <si>
    <t>14/04/2017</t>
  </si>
  <si>
    <t>13/04/2017</t>
  </si>
  <si>
    <t>12/04/2017</t>
  </si>
  <si>
    <t>11/04/2017</t>
  </si>
  <si>
    <t>10/04/2017</t>
  </si>
  <si>
    <t>09/04/2017</t>
  </si>
  <si>
    <t>08/04/2017</t>
  </si>
  <si>
    <t>07/04/2017</t>
  </si>
  <si>
    <t>06/04/2017</t>
  </si>
  <si>
    <t>05/04/2017</t>
  </si>
  <si>
    <t>04/04/2017</t>
  </si>
  <si>
    <t>03/04/2017</t>
  </si>
  <si>
    <t>02/04/2017</t>
  </si>
  <si>
    <t>01/04/2017</t>
  </si>
  <si>
    <t>31/03/2017</t>
  </si>
  <si>
    <t>30/03/2017</t>
  </si>
  <si>
    <t>29/03/2017</t>
  </si>
  <si>
    <t>28/03/2017</t>
  </si>
  <si>
    <t>27/03/2017</t>
  </si>
  <si>
    <t>26/03/2017</t>
  </si>
  <si>
    <t>25/03/2017</t>
  </si>
  <si>
    <t>24/03/2017</t>
  </si>
  <si>
    <t>23/03/2017</t>
  </si>
  <si>
    <t>22/03/2017</t>
  </si>
  <si>
    <t>21/03/2017</t>
  </si>
  <si>
    <t>20/03/2017</t>
  </si>
  <si>
    <t>19/03/2017</t>
  </si>
  <si>
    <t>18/03/2017</t>
  </si>
  <si>
    <t>17/03/2017</t>
  </si>
  <si>
    <t>16/03/2017</t>
  </si>
  <si>
    <t>15/03/2017</t>
  </si>
  <si>
    <t>14/03/2017</t>
  </si>
  <si>
    <t>13/03/2017</t>
  </si>
  <si>
    <t>12/03/2017</t>
  </si>
  <si>
    <t>11/03/2017</t>
  </si>
  <si>
    <t>10/03/2017</t>
  </si>
  <si>
    <t>09/03/2017</t>
  </si>
  <si>
    <t>08/03/2017</t>
  </si>
  <si>
    <t>07/03/2017</t>
  </si>
  <si>
    <t>06/03/2017</t>
  </si>
  <si>
    <t>05/03/2017</t>
  </si>
  <si>
    <t>04/03/2017</t>
  </si>
  <si>
    <t>03/03/2017</t>
  </si>
  <si>
    <t>02/03/2017</t>
  </si>
  <si>
    <t>01/03/2017</t>
  </si>
  <si>
    <t>28/02/2017</t>
  </si>
  <si>
    <t>27/02/2017</t>
  </si>
  <si>
    <t>26/02/2017</t>
  </si>
  <si>
    <t>25/02/2017</t>
  </si>
  <si>
    <t>24/02/2017</t>
  </si>
  <si>
    <t>23/02/2017</t>
  </si>
  <si>
    <t>22/02/2017</t>
  </si>
  <si>
    <t>21/02/2017</t>
  </si>
  <si>
    <t>20/02/2017</t>
  </si>
  <si>
    <t>19/02/2017</t>
  </si>
  <si>
    <t>18/02/2017</t>
  </si>
  <si>
    <t>17/02/2017</t>
  </si>
  <si>
    <t>16/02/2017</t>
  </si>
  <si>
    <t>15/02/2017</t>
  </si>
  <si>
    <t>14/02/2017</t>
  </si>
  <si>
    <t>13/02/2017</t>
  </si>
  <si>
    <t>12/02/2017</t>
  </si>
  <si>
    <t>11/02/2017</t>
  </si>
  <si>
    <t>10/02/2017</t>
  </si>
  <si>
    <t>09/02/2017</t>
  </si>
  <si>
    <t>08/02/2017</t>
  </si>
  <si>
    <t>07/02/2017</t>
  </si>
  <si>
    <t>06/02/2017</t>
  </si>
  <si>
    <t>05/02/2017</t>
  </si>
  <si>
    <t>04/02/2017</t>
  </si>
  <si>
    <t>03/02/2017</t>
  </si>
  <si>
    <t>02/02/2017</t>
  </si>
  <si>
    <t>01/02/2017</t>
  </si>
  <si>
    <t>31/01/2017</t>
  </si>
  <si>
    <t>30/01/2017</t>
  </si>
  <si>
    <t>29/01/2017</t>
  </si>
  <si>
    <t>28/01/2017</t>
  </si>
  <si>
    <t>27/01/2017</t>
  </si>
  <si>
    <t>26/01/2017</t>
  </si>
  <si>
    <t>25/01/2017</t>
  </si>
  <si>
    <t>24/01/2017</t>
  </si>
  <si>
    <t>23/01/2017</t>
  </si>
  <si>
    <t>22/01/2017</t>
  </si>
  <si>
    <t>21/01/2017</t>
  </si>
  <si>
    <t>20/01/2017</t>
  </si>
  <si>
    <t>19/01/2017</t>
  </si>
  <si>
    <t>18/01/2017</t>
  </si>
  <si>
    <t>17/01/2017</t>
  </si>
  <si>
    <t>16/01/2017</t>
  </si>
  <si>
    <t>15/01/2017</t>
  </si>
  <si>
    <t>14/01/2017</t>
  </si>
  <si>
    <t>13/01/2017</t>
  </si>
  <si>
    <t>12/01/2017</t>
  </si>
  <si>
    <t>11/01/2017</t>
  </si>
  <si>
    <t>10/01/2017</t>
  </si>
  <si>
    <t>09/01/2017</t>
  </si>
  <si>
    <t>08/01/2017</t>
  </si>
  <si>
    <t>07/01/2017</t>
  </si>
  <si>
    <t>06/01/2017</t>
  </si>
  <si>
    <t>05/01/2017</t>
  </si>
  <si>
    <t>04/01/2017</t>
  </si>
  <si>
    <t>03/01/2017</t>
  </si>
  <si>
    <t>02/01/2017</t>
  </si>
  <si>
    <t>01/01/2017</t>
  </si>
  <si>
    <t>31/12/2016</t>
  </si>
  <si>
    <t>30/12/2016</t>
  </si>
  <si>
    <t>29/12/2016</t>
  </si>
  <si>
    <t>28/12/2016</t>
  </si>
  <si>
    <t>27/12/2016</t>
  </si>
  <si>
    <t>26/12/2016</t>
  </si>
  <si>
    <t>25/12/2016</t>
  </si>
  <si>
    <t>24/12/2016</t>
  </si>
  <si>
    <t>23/12/2016</t>
  </si>
  <si>
    <t>22/12/2016</t>
  </si>
  <si>
    <t>21/12/2016</t>
  </si>
  <si>
    <t>20/12/2016</t>
  </si>
  <si>
    <t>19/12/2016</t>
  </si>
  <si>
    <t>18/12/2016</t>
  </si>
  <si>
    <t>17/12/2016</t>
  </si>
  <si>
    <t>16/12/2016</t>
  </si>
  <si>
    <t>15/12/2016</t>
  </si>
  <si>
    <t>14/12/2016</t>
  </si>
  <si>
    <t>13/12/2016</t>
  </si>
  <si>
    <t>12/12/2016</t>
  </si>
  <si>
    <t>11/12/2016</t>
  </si>
  <si>
    <t>10/12/2016</t>
  </si>
  <si>
    <t>09/12/2016</t>
  </si>
  <si>
    <t>08/12/2016</t>
  </si>
  <si>
    <t>07/12/2016</t>
  </si>
  <si>
    <t>06/12/2016</t>
  </si>
  <si>
    <t>05/12/2016</t>
  </si>
  <si>
    <t>04/12/2016</t>
  </si>
  <si>
    <t>03/12/2016</t>
  </si>
  <si>
    <t>02/12/2016</t>
  </si>
  <si>
    <t>01/12/2016</t>
  </si>
  <si>
    <t>30/11/2016</t>
  </si>
  <si>
    <t>29/11/2016</t>
  </si>
  <si>
    <t>28/11/2016</t>
  </si>
  <si>
    <t>27/11/2016</t>
  </si>
  <si>
    <t>26/11/2016</t>
  </si>
  <si>
    <t>25/11/2016</t>
  </si>
  <si>
    <t>24/11/2016</t>
  </si>
  <si>
    <t>23/11/2016</t>
  </si>
  <si>
    <t>22/11/2016</t>
  </si>
  <si>
    <t>21/11/2016</t>
  </si>
  <si>
    <t>20/11/2016</t>
  </si>
  <si>
    <t>19/11/2016</t>
  </si>
  <si>
    <t>18/11/2016</t>
  </si>
  <si>
    <t>17/11/2016</t>
  </si>
  <si>
    <t>16/11/2016</t>
  </si>
  <si>
    <t>15/11/2016</t>
  </si>
  <si>
    <t>14/11/2016</t>
  </si>
  <si>
    <t>13/11/2016</t>
  </si>
  <si>
    <t>12/11/2016</t>
  </si>
  <si>
    <t>11/11/2016</t>
  </si>
  <si>
    <t>10/11/2016</t>
  </si>
  <si>
    <t>09/11/2016</t>
  </si>
  <si>
    <t>08/11/2016</t>
  </si>
  <si>
    <t>07/11/2016</t>
  </si>
  <si>
    <t>06/11/2016</t>
  </si>
  <si>
    <t>05/11/2016</t>
  </si>
  <si>
    <t>04/11/2016</t>
  </si>
  <si>
    <t>03/11/2016</t>
  </si>
  <si>
    <t>02/11/2016</t>
  </si>
  <si>
    <t>01/11/2016</t>
  </si>
  <si>
    <t>31/10/2016</t>
  </si>
  <si>
    <t>30/10/2016</t>
  </si>
  <si>
    <t>29/10/2016</t>
  </si>
  <si>
    <t>28/10/2016</t>
  </si>
  <si>
    <t>27/10/2016</t>
  </si>
  <si>
    <t>26/10/2016</t>
  </si>
  <si>
    <t>25/10/2016</t>
  </si>
  <si>
    <t>24/10/2016</t>
  </si>
  <si>
    <t>23/10/2016</t>
  </si>
  <si>
    <t>22/10/2016</t>
  </si>
  <si>
    <t>21/10/2016</t>
  </si>
  <si>
    <t>20/10/2016</t>
  </si>
  <si>
    <t>19/10/2016</t>
  </si>
  <si>
    <t>18/10/2016</t>
  </si>
  <si>
    <t>17/10/2016</t>
  </si>
  <si>
    <t>16/10/2016</t>
  </si>
  <si>
    <t>15/10/2016</t>
  </si>
  <si>
    <t>14/10/2016</t>
  </si>
  <si>
    <t>13/10/2016</t>
  </si>
  <si>
    <t>12/10/2016</t>
  </si>
  <si>
    <t>11/10/2016</t>
  </si>
  <si>
    <t>10/10/2016</t>
  </si>
  <si>
    <t>09/10/2016</t>
  </si>
  <si>
    <t>08/10/2016</t>
  </si>
  <si>
    <t>07/10/2016</t>
  </si>
  <si>
    <t>06/10/2016</t>
  </si>
  <si>
    <t>05/10/2016</t>
  </si>
  <si>
    <t>04/10/2016</t>
  </si>
  <si>
    <t>03/10/2016</t>
  </si>
  <si>
    <t>02/10/2016</t>
  </si>
  <si>
    <t>01/10/2016</t>
  </si>
  <si>
    <t>30/09/2016</t>
  </si>
  <si>
    <t>29/09/2016</t>
  </si>
  <si>
    <t>28/09/2016</t>
  </si>
  <si>
    <t>27/09/2016</t>
  </si>
  <si>
    <t>26/09/2016</t>
  </si>
  <si>
    <t>25/09/2016</t>
  </si>
  <si>
    <t>24/09/2016</t>
  </si>
  <si>
    <t>23/09/2016</t>
  </si>
  <si>
    <t>22/09/2016</t>
  </si>
  <si>
    <t>21/09/2016</t>
  </si>
  <si>
    <t>20/09/2016</t>
  </si>
  <si>
    <t>19/09/2016</t>
  </si>
  <si>
    <t>18/09/2016</t>
  </si>
  <si>
    <t>17/09/2016</t>
  </si>
  <si>
    <t>16/09/2016</t>
  </si>
  <si>
    <t>15/09/2016</t>
  </si>
  <si>
    <t>14/09/2016</t>
  </si>
  <si>
    <t>13/09/2016</t>
  </si>
  <si>
    <t>12/09/2016</t>
  </si>
  <si>
    <t>11/09/2016</t>
  </si>
  <si>
    <t>10/09/2016</t>
  </si>
  <si>
    <t>09/09/2016</t>
  </si>
  <si>
    <t>08/09/2016</t>
  </si>
  <si>
    <t>07/09/2016</t>
  </si>
  <si>
    <t>06/09/2016</t>
  </si>
  <si>
    <t>05/09/2016</t>
  </si>
  <si>
    <t>04/09/2016</t>
  </si>
  <si>
    <t>03/09/2016</t>
  </si>
  <si>
    <t>02/09/2016</t>
  </si>
  <si>
    <t>01/09/2016</t>
  </si>
  <si>
    <t>31/08/2016</t>
  </si>
  <si>
    <t>30/08/2016</t>
  </si>
  <si>
    <t>29/08/2016</t>
  </si>
  <si>
    <t>28/08/2016</t>
  </si>
  <si>
    <t>27/08/2016</t>
  </si>
  <si>
    <t>26/08/2016</t>
  </si>
  <si>
    <t>25/08/2016</t>
  </si>
  <si>
    <t>24/08/2016</t>
  </si>
  <si>
    <t>23/08/2016</t>
  </si>
  <si>
    <t>22/08/2016</t>
  </si>
  <si>
    <t>21/08/2016</t>
  </si>
  <si>
    <t>20/08/2016</t>
  </si>
  <si>
    <t>19/08/2016</t>
  </si>
  <si>
    <t>18/08/2016</t>
  </si>
  <si>
    <t>17/08/2016</t>
  </si>
  <si>
    <t>16/08/2016</t>
  </si>
  <si>
    <t>15/08/2016</t>
  </si>
  <si>
    <t>14/08/2016</t>
  </si>
  <si>
    <t>13/08/2016</t>
  </si>
  <si>
    <t>12/08/2016</t>
  </si>
  <si>
    <t>11/08/2016</t>
  </si>
  <si>
    <t>10/08/2016</t>
  </si>
  <si>
    <t>09/08/2016</t>
  </si>
  <si>
    <t>08/08/2016</t>
  </si>
  <si>
    <t>07/08/2016</t>
  </si>
  <si>
    <t>06/08/2016</t>
  </si>
  <si>
    <t>05/08/2016</t>
  </si>
  <si>
    <t>04/08/2016</t>
  </si>
  <si>
    <t>03/08/2016</t>
  </si>
  <si>
    <t>02/08/2016</t>
  </si>
  <si>
    <t>01/08/2016</t>
  </si>
  <si>
    <t>31/07/2016</t>
  </si>
  <si>
    <t>30/07/2016</t>
  </si>
  <si>
    <t>29/07/2016</t>
  </si>
  <si>
    <t>28/07/2016</t>
  </si>
  <si>
    <t>27/07/2016</t>
  </si>
  <si>
    <t>26/07/2016</t>
  </si>
  <si>
    <t>25/07/2016</t>
  </si>
  <si>
    <t>24/07/2016</t>
  </si>
  <si>
    <t>23/07/2016</t>
  </si>
  <si>
    <t>22/07/2016</t>
  </si>
  <si>
    <t>21/07/2016</t>
  </si>
  <si>
    <t>20/07/2016</t>
  </si>
  <si>
    <t>19/07/2016</t>
  </si>
  <si>
    <t>18/07/2016</t>
  </si>
  <si>
    <t>17/07/2016</t>
  </si>
  <si>
    <t>16/07/2016</t>
  </si>
  <si>
    <t>15/07/2016</t>
  </si>
  <si>
    <t>14/07/2016</t>
  </si>
  <si>
    <t>13/07/2016</t>
  </si>
  <si>
    <t>12/07/2016</t>
  </si>
  <si>
    <t>11/07/2016</t>
  </si>
  <si>
    <t>10/07/2016</t>
  </si>
  <si>
    <t>09/07/2016</t>
  </si>
  <si>
    <t>08/07/2016</t>
  </si>
  <si>
    <t>07/07/2016</t>
  </si>
  <si>
    <t>06/07/2016</t>
  </si>
  <si>
    <t>05/07/2016</t>
  </si>
  <si>
    <t>04/07/2016</t>
  </si>
  <si>
    <t>03/07/2016</t>
  </si>
  <si>
    <t>02/07/2016</t>
  </si>
  <si>
    <t>01/07/2016</t>
  </si>
  <si>
    <t>30/06/2016</t>
  </si>
  <si>
    <t>29/06/2016</t>
  </si>
  <si>
    <t>28/06/2016</t>
  </si>
  <si>
    <t>27/06/2016</t>
  </si>
  <si>
    <t>26/06/2016</t>
  </si>
  <si>
    <t>25/06/2016</t>
  </si>
  <si>
    <t>24/06/2016</t>
  </si>
  <si>
    <t>23/06/2016</t>
  </si>
  <si>
    <t>22/06/2016</t>
  </si>
  <si>
    <t>21/06/2016</t>
  </si>
  <si>
    <t>20/06/2016</t>
  </si>
  <si>
    <t>19/06/2016</t>
  </si>
  <si>
    <t>18/06/2016</t>
  </si>
  <si>
    <t>17/06/2016</t>
  </si>
  <si>
    <t>16/06/2016</t>
  </si>
  <si>
    <t>15/06/2016</t>
  </si>
  <si>
    <t>14/06/2016</t>
  </si>
  <si>
    <t>13/06/2016</t>
  </si>
  <si>
    <t>12/06/2016</t>
  </si>
  <si>
    <t>11/06/2016</t>
  </si>
  <si>
    <t>10/06/2016</t>
  </si>
  <si>
    <t>09/06/2016</t>
  </si>
  <si>
    <t>08/06/2016</t>
  </si>
  <si>
    <t>07/06/2016</t>
  </si>
  <si>
    <t>06/06/2016</t>
  </si>
  <si>
    <t>05/06/2016</t>
  </si>
  <si>
    <t>04/06/2016</t>
  </si>
  <si>
    <t>03/06/2016</t>
  </si>
  <si>
    <t>02/06/2016</t>
  </si>
  <si>
    <t>01/06/2016</t>
  </si>
  <si>
    <t>31/05/2016</t>
  </si>
  <si>
    <t>30/05/2016</t>
  </si>
  <si>
    <t>29/05/2016</t>
  </si>
  <si>
    <t>28/05/2016</t>
  </si>
  <si>
    <t>27/05/2016</t>
  </si>
  <si>
    <t>26/05/2016</t>
  </si>
  <si>
    <t>25/05/2016</t>
  </si>
  <si>
    <t>24/05/2016</t>
  </si>
  <si>
    <t>23/05/2016</t>
  </si>
  <si>
    <t>22/05/2016</t>
  </si>
  <si>
    <t>21/05/2016</t>
  </si>
  <si>
    <t>20/05/2016</t>
  </si>
  <si>
    <t>19/05/2016</t>
  </si>
  <si>
    <t>18/05/2016</t>
  </si>
  <si>
    <t>17/05/2016</t>
  </si>
  <si>
    <t>16/05/2016</t>
  </si>
  <si>
    <t>15/05/2016</t>
  </si>
  <si>
    <t>14/05/2016</t>
  </si>
  <si>
    <t>13/05/2016</t>
  </si>
  <si>
    <t>12/05/2016</t>
  </si>
  <si>
    <t>11/05/2016</t>
  </si>
  <si>
    <t>10/05/2016</t>
  </si>
  <si>
    <t>09/05/2016</t>
  </si>
  <si>
    <t>08/05/2016</t>
  </si>
  <si>
    <t>07/05/2016</t>
  </si>
  <si>
    <t>06/05/2016</t>
  </si>
  <si>
    <t>05/05/2016</t>
  </si>
  <si>
    <t>04/05/2016</t>
  </si>
  <si>
    <t>03/05/2016</t>
  </si>
  <si>
    <t>02/05/2016</t>
  </si>
  <si>
    <t>01/05/2016</t>
  </si>
  <si>
    <t>30/04/2016</t>
  </si>
  <si>
    <t>29/04/2016</t>
  </si>
  <si>
    <t>28/04/2016</t>
  </si>
  <si>
    <t>27/04/2016</t>
  </si>
  <si>
    <t>26/04/2016</t>
  </si>
  <si>
    <t>25/04/2016</t>
  </si>
  <si>
    <t>24/04/2016</t>
  </si>
  <si>
    <t>23/04/2016</t>
  </si>
  <si>
    <t>22/04/2016</t>
  </si>
  <si>
    <t>21/04/2016</t>
  </si>
  <si>
    <t>20/04/2016</t>
  </si>
  <si>
    <t>19/04/2016</t>
  </si>
  <si>
    <t>18/04/2016</t>
  </si>
  <si>
    <t>17/04/2016</t>
  </si>
  <si>
    <t>16/04/2016</t>
  </si>
  <si>
    <t>15/04/2016</t>
  </si>
  <si>
    <t>14/04/2016</t>
  </si>
  <si>
    <t>13/04/2016</t>
  </si>
  <si>
    <t>12/04/2016</t>
  </si>
  <si>
    <t>11/04/2016</t>
  </si>
  <si>
    <t>10/04/2016</t>
  </si>
  <si>
    <t>09/04/2016</t>
  </si>
  <si>
    <t>08/04/2016</t>
  </si>
  <si>
    <t>07/04/2016</t>
  </si>
  <si>
    <t>06/04/2016</t>
  </si>
  <si>
    <t>05/04/2016</t>
  </si>
  <si>
    <t>04/04/2016</t>
  </si>
  <si>
    <t>03/04/2016</t>
  </si>
  <si>
    <t>02/04/2016</t>
  </si>
  <si>
    <t>01/04/2016</t>
  </si>
  <si>
    <t>31/03/2016</t>
  </si>
  <si>
    <t>30/03/2016</t>
  </si>
  <si>
    <t>29/03/2016</t>
  </si>
  <si>
    <t>28/03/2016</t>
  </si>
  <si>
    <t>27/03/2016</t>
  </si>
  <si>
    <t>26/03/2016</t>
  </si>
  <si>
    <t>25/03/2016</t>
  </si>
  <si>
    <t>24/03/2016</t>
  </si>
  <si>
    <t>23/03/2016</t>
  </si>
  <si>
    <t>22/03/2016</t>
  </si>
  <si>
    <t>21/03/2016</t>
  </si>
  <si>
    <t>20/03/2016</t>
  </si>
  <si>
    <t>19/03/2016</t>
  </si>
  <si>
    <t>18/03/2016</t>
  </si>
  <si>
    <t>17/03/2016</t>
  </si>
  <si>
    <t>16/03/2016</t>
  </si>
  <si>
    <t>15/03/2016</t>
  </si>
  <si>
    <t>14/03/2016</t>
  </si>
  <si>
    <t>13/03/2016</t>
  </si>
  <si>
    <t>12/03/2016</t>
  </si>
  <si>
    <t>11/03/2016</t>
  </si>
  <si>
    <t>10/03/2016</t>
  </si>
  <si>
    <t>09/03/2016</t>
  </si>
  <si>
    <t>08/03/2016</t>
  </si>
  <si>
    <t>07/03/2016</t>
  </si>
  <si>
    <t>06/03/2016</t>
  </si>
  <si>
    <t>05/03/2016</t>
  </si>
  <si>
    <t>04/03/2016</t>
  </si>
  <si>
    <t>03/03/2016</t>
  </si>
  <si>
    <t>02/03/2016</t>
  </si>
  <si>
    <t>01/03/2016</t>
  </si>
  <si>
    <t>29/02/2016</t>
  </si>
  <si>
    <t>28/02/2016</t>
  </si>
  <si>
    <t>27/02/2016</t>
  </si>
  <si>
    <t>26/02/2016</t>
  </si>
  <si>
    <t>25/02/2016</t>
  </si>
  <si>
    <t>24/02/2016</t>
  </si>
  <si>
    <t>23/02/2016</t>
  </si>
  <si>
    <t>22/02/2016</t>
  </si>
  <si>
    <t>21/02/2016</t>
  </si>
  <si>
    <t>20/02/2016</t>
  </si>
  <si>
    <t>19/02/2016</t>
  </si>
  <si>
    <t>18/02/2016</t>
  </si>
  <si>
    <t>17/02/2016</t>
  </si>
  <si>
    <t>16/02/2016</t>
  </si>
  <si>
    <t>15/02/2016</t>
  </si>
  <si>
    <t>14/02/2016</t>
  </si>
  <si>
    <t>13/02/2016</t>
  </si>
  <si>
    <t>12/02/2016</t>
  </si>
  <si>
    <t>11/02/2016</t>
  </si>
  <si>
    <t>10/02/2016</t>
  </si>
  <si>
    <t>09/02/2016</t>
  </si>
  <si>
    <t>08/02/2016</t>
  </si>
  <si>
    <t>07/02/2016</t>
  </si>
  <si>
    <t>06/02/2016</t>
  </si>
  <si>
    <t>05/02/2016</t>
  </si>
  <si>
    <t>04/02/2016</t>
  </si>
  <si>
    <t>03/02/2016</t>
  </si>
  <si>
    <t>02/02/2016</t>
  </si>
  <si>
    <t>01/02/2016</t>
  </si>
  <si>
    <t>31/01/2016</t>
  </si>
  <si>
    <t>30/01/2016</t>
  </si>
  <si>
    <t>29/01/2016</t>
  </si>
  <si>
    <t>28/01/2016</t>
  </si>
  <si>
    <t>27/01/2016</t>
  </si>
  <si>
    <t>26/01/2016</t>
  </si>
  <si>
    <t>25/01/2016</t>
  </si>
  <si>
    <t>24/01/2016</t>
  </si>
  <si>
    <t>23/01/2016</t>
  </si>
  <si>
    <t>22/01/2016</t>
  </si>
  <si>
    <t>21/01/2016</t>
  </si>
  <si>
    <t>20/01/2016</t>
  </si>
  <si>
    <t>19/01/2016</t>
  </si>
  <si>
    <t>18/01/2016</t>
  </si>
  <si>
    <t>17/01/2016</t>
  </si>
  <si>
    <t>16/01/2016</t>
  </si>
  <si>
    <t>15/01/2016</t>
  </si>
  <si>
    <t>14/01/2016</t>
  </si>
  <si>
    <t>13/01/2016</t>
  </si>
  <si>
    <t>12/01/2016</t>
  </si>
  <si>
    <t>11/01/2016</t>
  </si>
  <si>
    <t>10/01/2016</t>
  </si>
  <si>
    <t>09/01/2016</t>
  </si>
  <si>
    <t>08/01/2016</t>
  </si>
  <si>
    <t>07/01/2016</t>
  </si>
  <si>
    <t>06/01/2016</t>
  </si>
  <si>
    <t>05/01/2016</t>
  </si>
  <si>
    <t>04/01/2016</t>
  </si>
  <si>
    <t>03/01/2016</t>
  </si>
  <si>
    <t>02/01/2016</t>
  </si>
  <si>
    <t>01/01/2016</t>
  </si>
  <si>
    <t>31/12/2015</t>
  </si>
  <si>
    <t>30/12/2015</t>
  </si>
  <si>
    <t>29/12/2015</t>
  </si>
  <si>
    <t>28/12/2015</t>
  </si>
  <si>
    <t>27/12/2015</t>
  </si>
  <si>
    <t>26/12/2015</t>
  </si>
  <si>
    <t>25/12/2015</t>
  </si>
  <si>
    <t>24/12/2015</t>
  </si>
  <si>
    <t>23/12/2015</t>
  </si>
  <si>
    <t>22/12/2015</t>
  </si>
  <si>
    <t>21/12/2015</t>
  </si>
  <si>
    <t>20/12/2015</t>
  </si>
  <si>
    <t>19/12/2015</t>
  </si>
  <si>
    <t>18/12/2015</t>
  </si>
  <si>
    <t>17/12/2015</t>
  </si>
  <si>
    <t>16/12/2015</t>
  </si>
  <si>
    <t>15/12/2015</t>
  </si>
  <si>
    <t>14/12/2015</t>
  </si>
  <si>
    <t>13/12/2015</t>
  </si>
  <si>
    <t>12/12/2015</t>
  </si>
  <si>
    <t>11/12/2015</t>
  </si>
  <si>
    <t>10/12/2015</t>
  </si>
  <si>
    <t>09/12/2015</t>
  </si>
  <si>
    <t>08/12/2015</t>
  </si>
  <si>
    <t>07/12/2015</t>
  </si>
  <si>
    <t>06/12/2015</t>
  </si>
  <si>
    <t>05/12/2015</t>
  </si>
  <si>
    <t>04/12/2015</t>
  </si>
  <si>
    <t>03/12/2015</t>
  </si>
  <si>
    <t>02/12/2015</t>
  </si>
  <si>
    <t>01/12/2015</t>
  </si>
  <si>
    <t>30/11/2015</t>
  </si>
  <si>
    <t>29/11/2015</t>
  </si>
  <si>
    <t>28/11/2015</t>
  </si>
  <si>
    <t>27/11/2015</t>
  </si>
  <si>
    <t>26/11/2015</t>
  </si>
  <si>
    <t>25/11/2015</t>
  </si>
  <si>
    <t>24/11/2015</t>
  </si>
  <si>
    <t>23/11/2015</t>
  </si>
  <si>
    <t>22/11/2015</t>
  </si>
  <si>
    <t>21/11/2015</t>
  </si>
  <si>
    <t>20/11/2015</t>
  </si>
  <si>
    <t>19/11/2015</t>
  </si>
  <si>
    <t>18/11/2015</t>
  </si>
  <si>
    <t>17/11/2015</t>
  </si>
  <si>
    <t>16/11/2015</t>
  </si>
  <si>
    <t>15/11/2015</t>
  </si>
  <si>
    <t>14/11/2015</t>
  </si>
  <si>
    <t>13/11/2015</t>
  </si>
  <si>
    <t>12/11/2015</t>
  </si>
  <si>
    <t>11/11/2015</t>
  </si>
  <si>
    <t>10/11/2015</t>
  </si>
  <si>
    <t>09/11/2015</t>
  </si>
  <si>
    <t>08/11/2015</t>
  </si>
  <si>
    <t>07/11/2015</t>
  </si>
  <si>
    <t>06/11/2015</t>
  </si>
  <si>
    <t>05/11/2015</t>
  </si>
  <si>
    <t>04/11/2015</t>
  </si>
  <si>
    <t>03/11/2015</t>
  </si>
  <si>
    <t>02/11/2015</t>
  </si>
  <si>
    <t>01/11/2015</t>
  </si>
  <si>
    <t>31/10/2015</t>
  </si>
  <si>
    <t>30/10/2015</t>
  </si>
  <si>
    <t>29/10/2015</t>
  </si>
  <si>
    <t>28/10/2015</t>
  </si>
  <si>
    <t>27/10/2015</t>
  </si>
  <si>
    <t>26/10/2015</t>
  </si>
  <si>
    <t>25/10/2015</t>
  </si>
  <si>
    <t>24/10/2015</t>
  </si>
  <si>
    <t>23/10/2015</t>
  </si>
  <si>
    <t>22/10/2015</t>
  </si>
  <si>
    <t>21/10/2015</t>
  </si>
  <si>
    <t>20/10/2015</t>
  </si>
  <si>
    <t>19/10/2015</t>
  </si>
  <si>
    <t>18/10/2015</t>
  </si>
  <si>
    <t>17/10/2015</t>
  </si>
  <si>
    <t>16/10/2015</t>
  </si>
  <si>
    <t>15/10/2015</t>
  </si>
  <si>
    <t>14/10/2015</t>
  </si>
  <si>
    <t>13/10/2015</t>
  </si>
  <si>
    <t>12/10/2015</t>
  </si>
  <si>
    <t>11/10/2015</t>
  </si>
  <si>
    <t>10/10/2015</t>
  </si>
  <si>
    <t>09/10/2015</t>
  </si>
  <si>
    <t>08/10/2015</t>
  </si>
  <si>
    <t>07/10/2015</t>
  </si>
  <si>
    <t>06/10/2015</t>
  </si>
  <si>
    <t>05/10/2015</t>
  </si>
  <si>
    <t>04/10/2015</t>
  </si>
  <si>
    <t>03/10/2015</t>
  </si>
  <si>
    <t>02/10/2015</t>
  </si>
  <si>
    <t>01/10/2015</t>
  </si>
  <si>
    <t>30/09/2015</t>
  </si>
  <si>
    <t>29/09/2015</t>
  </si>
  <si>
    <t>28/09/2015</t>
  </si>
  <si>
    <t>27/09/2015</t>
  </si>
  <si>
    <t>26/09/2015</t>
  </si>
  <si>
    <t>25/09/2015</t>
  </si>
  <si>
    <t>24/09/2015</t>
  </si>
  <si>
    <t>23/09/2015</t>
  </si>
  <si>
    <t>22/09/2015</t>
  </si>
  <si>
    <t>21/09/2015</t>
  </si>
  <si>
    <t>20/09/2015</t>
  </si>
  <si>
    <t>19/09/2015</t>
  </si>
  <si>
    <t>18/09/2015</t>
  </si>
  <si>
    <t>17/09/2015</t>
  </si>
  <si>
    <t>16/09/2015</t>
  </si>
  <si>
    <t>15/09/2015</t>
  </si>
  <si>
    <t>14/09/2015</t>
  </si>
  <si>
    <t>13/09/2015</t>
  </si>
  <si>
    <t>12/09/2015</t>
  </si>
  <si>
    <t>11/09/2015</t>
  </si>
  <si>
    <t>10/09/2015</t>
  </si>
  <si>
    <t>09/09/2015</t>
  </si>
  <si>
    <t>08/09/2015</t>
  </si>
  <si>
    <t>07/09/2015</t>
  </si>
  <si>
    <t>06/09/2015</t>
  </si>
  <si>
    <t>05/09/2015</t>
  </si>
  <si>
    <t>04/09/2015</t>
  </si>
  <si>
    <t>03/09/2015</t>
  </si>
  <si>
    <t>02/09/2015</t>
  </si>
  <si>
    <t>01/09/2015</t>
  </si>
  <si>
    <t>31/08/2015</t>
  </si>
  <si>
    <t>30/08/2015</t>
  </si>
  <si>
    <t>29/08/2015</t>
  </si>
  <si>
    <t>28/08/2015</t>
  </si>
  <si>
    <t>27/08/2015</t>
  </si>
  <si>
    <t>26/08/2015</t>
  </si>
  <si>
    <t>25/08/2015</t>
  </si>
  <si>
    <t>24/08/2015</t>
  </si>
  <si>
    <t>23/08/2015</t>
  </si>
  <si>
    <t>22/08/2015</t>
  </si>
  <si>
    <t>21/08/2015</t>
  </si>
  <si>
    <t>20/08/2015</t>
  </si>
  <si>
    <t>19/08/2015</t>
  </si>
  <si>
    <t>18/08/2015</t>
  </si>
  <si>
    <t>17/08/2015</t>
  </si>
  <si>
    <t>16/08/2015</t>
  </si>
  <si>
    <t>15/08/2015</t>
  </si>
  <si>
    <t>14/08/2015</t>
  </si>
  <si>
    <t>13/08/2015</t>
  </si>
  <si>
    <t>12/08/2015</t>
  </si>
  <si>
    <t>11/08/2015</t>
  </si>
  <si>
    <t>10/08/2015</t>
  </si>
  <si>
    <t>09/08/2015</t>
  </si>
  <si>
    <t>08/08/2015</t>
  </si>
  <si>
    <t>07/08/2015</t>
  </si>
  <si>
    <t>06/08/2015</t>
  </si>
  <si>
    <t>05/08/2015</t>
  </si>
  <si>
    <t>04/08/2015</t>
  </si>
  <si>
    <t>03/08/2015</t>
  </si>
  <si>
    <t>02/08/2015</t>
  </si>
  <si>
    <t>01/08/2015</t>
  </si>
  <si>
    <t>31/07/2015</t>
  </si>
  <si>
    <t>30/07/2015</t>
  </si>
  <si>
    <t>29/07/2015</t>
  </si>
  <si>
    <t>28/07/2015</t>
  </si>
  <si>
    <t>27/07/2015</t>
  </si>
  <si>
    <t>26/07/2015</t>
  </si>
  <si>
    <t>25/07/2015</t>
  </si>
  <si>
    <t>24/07/2015</t>
  </si>
  <si>
    <t>23/07/2015</t>
  </si>
  <si>
    <t>22/07/2015</t>
  </si>
  <si>
    <t>21/07/2015</t>
  </si>
  <si>
    <t>20/07/2015</t>
  </si>
  <si>
    <t>19/07/2015</t>
  </si>
  <si>
    <t>18/07/2015</t>
  </si>
  <si>
    <t>17/07/2015</t>
  </si>
  <si>
    <t>16/07/2015</t>
  </si>
  <si>
    <t>15/07/2015</t>
  </si>
  <si>
    <t>14/07/2015</t>
  </si>
  <si>
    <t>13/07/2015</t>
  </si>
  <si>
    <t>12/07/2015</t>
  </si>
  <si>
    <t>11/07/2015</t>
  </si>
  <si>
    <t>10/07/2015</t>
  </si>
  <si>
    <t>09/07/2015</t>
  </si>
  <si>
    <t>08/07/2015</t>
  </si>
  <si>
    <t>07/07/2015</t>
  </si>
  <si>
    <t>06/07/2015</t>
  </si>
  <si>
    <t>05/07/2015</t>
  </si>
  <si>
    <t>04/07/2015</t>
  </si>
  <si>
    <t>03/07/2015</t>
  </si>
  <si>
    <t>02/07/2015</t>
  </si>
  <si>
    <t>01/07/2015</t>
  </si>
  <si>
    <t>30/06/2015</t>
  </si>
  <si>
    <t>29/06/2015</t>
  </si>
  <si>
    <t>28/06/2015</t>
  </si>
  <si>
    <t>27/06/2015</t>
  </si>
  <si>
    <t>26/06/2015</t>
  </si>
  <si>
    <t>25/06/2015</t>
  </si>
  <si>
    <t>24/06/2015</t>
  </si>
  <si>
    <t>23/06/2015</t>
  </si>
  <si>
    <t>22/06/2015</t>
  </si>
  <si>
    <t>21/06/2015</t>
  </si>
  <si>
    <t>20/06/2015</t>
  </si>
  <si>
    <t>19/06/2015</t>
  </si>
  <si>
    <t>18/06/2015</t>
  </si>
  <si>
    <t>17/06/2015</t>
  </si>
  <si>
    <t>16/06/2015</t>
  </si>
  <si>
    <t>15/06/2015</t>
  </si>
  <si>
    <t>14/06/2015</t>
  </si>
  <si>
    <t>13/06/2015</t>
  </si>
  <si>
    <t>12/06/2015</t>
  </si>
  <si>
    <t>11/06/2015</t>
  </si>
  <si>
    <t>10/06/2015</t>
  </si>
  <si>
    <t>09/06/2015</t>
  </si>
  <si>
    <t>08/06/2015</t>
  </si>
  <si>
    <t>07/06/2015</t>
  </si>
  <si>
    <t>06/06/2015</t>
  </si>
  <si>
    <t>05/06/2015</t>
  </si>
  <si>
    <t>04/06/2015</t>
  </si>
  <si>
    <t>03/06/2015</t>
  </si>
  <si>
    <t>02/06/2015</t>
  </si>
  <si>
    <t>01/06/2015</t>
  </si>
  <si>
    <t>31/05/2015</t>
  </si>
  <si>
    <t>30/05/2015</t>
  </si>
  <si>
    <t>29/05/2015</t>
  </si>
  <si>
    <t>28/05/2015</t>
  </si>
  <si>
    <t>27/05/2015</t>
  </si>
  <si>
    <t>26/05/2015</t>
  </si>
  <si>
    <t>25/05/2015</t>
  </si>
  <si>
    <t>24/05/2015</t>
  </si>
  <si>
    <t>23/05/2015</t>
  </si>
  <si>
    <t>22/05/2015</t>
  </si>
  <si>
    <t>21/05/2015</t>
  </si>
  <si>
    <t>20/05/2015</t>
  </si>
  <si>
    <t>19/05/2015</t>
  </si>
  <si>
    <t>18/05/2015</t>
  </si>
  <si>
    <t>17/05/2015</t>
  </si>
  <si>
    <t>16/05/2015</t>
  </si>
  <si>
    <t>15/05/2015</t>
  </si>
  <si>
    <t>14/05/2015</t>
  </si>
  <si>
    <t>13/05/2015</t>
  </si>
  <si>
    <t>12/05/2015</t>
  </si>
  <si>
    <t>11/05/2015</t>
  </si>
  <si>
    <t>10/05/2015</t>
  </si>
  <si>
    <t>09/05/2015</t>
  </si>
  <si>
    <t>08/05/2015</t>
  </si>
  <si>
    <t>07/05/2015</t>
  </si>
  <si>
    <t>06/05/2015</t>
  </si>
  <si>
    <t>05/05/2015</t>
  </si>
  <si>
    <t>04/05/2015</t>
  </si>
  <si>
    <t>03/05/2015</t>
  </si>
  <si>
    <t>02/05/2015</t>
  </si>
  <si>
    <t>01/05/2015</t>
  </si>
  <si>
    <t>30/04/2015</t>
  </si>
  <si>
    <t>29/04/2015</t>
  </si>
  <si>
    <t>28/04/2015</t>
  </si>
  <si>
    <t>27/04/2015</t>
  </si>
  <si>
    <t>26/04/2015</t>
  </si>
  <si>
    <t>25/04/2015</t>
  </si>
  <si>
    <t>24/04/2015</t>
  </si>
  <si>
    <t>23/04/2015</t>
  </si>
  <si>
    <t>22/04/2015</t>
  </si>
  <si>
    <t>21/04/2015</t>
  </si>
  <si>
    <t>20/04/2015</t>
  </si>
  <si>
    <t>19/04/2015</t>
  </si>
  <si>
    <t>18/04/2015</t>
  </si>
  <si>
    <t>17/04/2015</t>
  </si>
  <si>
    <t>16/04/2015</t>
  </si>
  <si>
    <t>15/04/2015</t>
  </si>
  <si>
    <t>14/04/2015</t>
  </si>
  <si>
    <t>13/04/2015</t>
  </si>
  <si>
    <t>12/04/2015</t>
  </si>
  <si>
    <t>11/04/2015</t>
  </si>
  <si>
    <t>10/04/2015</t>
  </si>
  <si>
    <t>09/04/2015</t>
  </si>
  <si>
    <t>08/04/2015</t>
  </si>
  <si>
    <t>07/04/2015</t>
  </si>
  <si>
    <t>06/04/2015</t>
  </si>
  <si>
    <t>05/04/2015</t>
  </si>
  <si>
    <t>04/04/2015</t>
  </si>
  <si>
    <t>03/04/2015</t>
  </si>
  <si>
    <t>02/04/2015</t>
  </si>
  <si>
    <t>01/04/2015</t>
  </si>
  <si>
    <t>31/03/2015</t>
  </si>
  <si>
    <t>30/03/2015</t>
  </si>
  <si>
    <t>29/03/2015</t>
  </si>
  <si>
    <t>28/03/2015</t>
  </si>
  <si>
    <t>27/03/2015</t>
  </si>
  <si>
    <t>26/03/2015</t>
  </si>
  <si>
    <t>25/03/2015</t>
  </si>
  <si>
    <t>24/03/2015</t>
  </si>
  <si>
    <t>23/03/2015</t>
  </si>
  <si>
    <t>22/03/2015</t>
  </si>
  <si>
    <t>21/03/2015</t>
  </si>
  <si>
    <t>20/03/2015</t>
  </si>
  <si>
    <t>19/03/2015</t>
  </si>
  <si>
    <t>18/03/2015</t>
  </si>
  <si>
    <t>17/03/2015</t>
  </si>
  <si>
    <t>16/03/2015</t>
  </si>
  <si>
    <t>15/03/2015</t>
  </si>
  <si>
    <t>14/03/2015</t>
  </si>
  <si>
    <t>13/03/2015</t>
  </si>
  <si>
    <t>12/03/2015</t>
  </si>
  <si>
    <t>11/03/2015</t>
  </si>
  <si>
    <t>10/03/2015</t>
  </si>
  <si>
    <t>09/03/2015</t>
  </si>
  <si>
    <t>08/03/2015</t>
  </si>
  <si>
    <t>07/03/2015</t>
  </si>
  <si>
    <t>06/03/2015</t>
  </si>
  <si>
    <t>05/03/2015</t>
  </si>
  <si>
    <t>04/03/2015</t>
  </si>
  <si>
    <t>03/03/2015</t>
  </si>
  <si>
    <t>02/03/2015</t>
  </si>
  <si>
    <t>01/03/2015</t>
  </si>
  <si>
    <t>28/02/2015</t>
  </si>
  <si>
    <t>27/02/2015</t>
  </si>
  <si>
    <t>26/02/2015</t>
  </si>
  <si>
    <t>25/02/2015</t>
  </si>
  <si>
    <t>24/02/2015</t>
  </si>
  <si>
    <t>23/02/2015</t>
  </si>
  <si>
    <t>22/02/2015</t>
  </si>
  <si>
    <t>21/02/2015</t>
  </si>
  <si>
    <t>20/02/2015</t>
  </si>
  <si>
    <t>19/02/2015</t>
  </si>
  <si>
    <t>18/02/2015</t>
  </si>
  <si>
    <t>17/02/2015</t>
  </si>
  <si>
    <t>16/02/2015</t>
  </si>
  <si>
    <t>15/02/2015</t>
  </si>
  <si>
    <t>14/02/2015</t>
  </si>
  <si>
    <t>13/02/2015</t>
  </si>
  <si>
    <t>12/02/2015</t>
  </si>
  <si>
    <t>11/02/2015</t>
  </si>
  <si>
    <t>10/02/2015</t>
  </si>
  <si>
    <t>09/02/2015</t>
  </si>
  <si>
    <t>08/02/2015</t>
  </si>
  <si>
    <t>07/02/2015</t>
  </si>
  <si>
    <t>06/02/2015</t>
  </si>
  <si>
    <t>05/02/2015</t>
  </si>
  <si>
    <t>04/02/2015</t>
  </si>
  <si>
    <t>03/02/2015</t>
  </si>
  <si>
    <t>02/02/2015</t>
  </si>
  <si>
    <t>01/02/2015</t>
  </si>
  <si>
    <t>31/01/2015</t>
  </si>
  <si>
    <t>30/01/2015</t>
  </si>
  <si>
    <t>29/01/2015</t>
  </si>
  <si>
    <t>28/01/2015</t>
  </si>
  <si>
    <t>27/01/2015</t>
  </si>
  <si>
    <t>26/01/2015</t>
  </si>
  <si>
    <t>25/01/2015</t>
  </si>
  <si>
    <t>24/01/2015</t>
  </si>
  <si>
    <t>23/01/2015</t>
  </si>
  <si>
    <t>22/01/2015</t>
  </si>
  <si>
    <t>21/01/2015</t>
  </si>
  <si>
    <t>20/01/2015</t>
  </si>
  <si>
    <t>19/01/2015</t>
  </si>
  <si>
    <t>18/01/2015</t>
  </si>
  <si>
    <t>17/01/2015</t>
  </si>
  <si>
    <t>16/01/2015</t>
  </si>
  <si>
    <t>15/01/2015</t>
  </si>
  <si>
    <t>14/01/2015</t>
  </si>
  <si>
    <t>13/01/2015</t>
  </si>
  <si>
    <t>12/01/2015</t>
  </si>
  <si>
    <t>11/01/2015</t>
  </si>
  <si>
    <t>10/01/2015</t>
  </si>
  <si>
    <t>09/01/2015</t>
  </si>
  <si>
    <t>08/01/2015</t>
  </si>
  <si>
    <t>07/01/2015</t>
  </si>
  <si>
    <t>06/01/2015</t>
  </si>
  <si>
    <t>05/01/2015</t>
  </si>
  <si>
    <t>04/01/2015</t>
  </si>
  <si>
    <t>03/01/2015</t>
  </si>
  <si>
    <t>02/01/2015</t>
  </si>
  <si>
    <t>01/01/2015</t>
  </si>
  <si>
    <t>31/12/2014</t>
  </si>
  <si>
    <t>30/12/2014</t>
  </si>
  <si>
    <t>29/12/2014</t>
  </si>
  <si>
    <t>28/12/2014</t>
  </si>
  <si>
    <t>27/12/2014</t>
  </si>
  <si>
    <t>26/12/2014</t>
  </si>
  <si>
    <t>25/12/2014</t>
  </si>
  <si>
    <t>24/12/2014</t>
  </si>
  <si>
    <t>23/12/2014</t>
  </si>
  <si>
    <t>22/12/2014</t>
  </si>
  <si>
    <t>21/12/2014</t>
  </si>
  <si>
    <t>20/12/2014</t>
  </si>
  <si>
    <t>19/12/2014</t>
  </si>
  <si>
    <t>18/12/2014</t>
  </si>
  <si>
    <t>17/12/2014</t>
  </si>
  <si>
    <t>16/12/2014</t>
  </si>
  <si>
    <t>15/12/2014</t>
  </si>
  <si>
    <t>14/12/2014</t>
  </si>
  <si>
    <t>13/12/2014</t>
  </si>
  <si>
    <t>12/12/2014</t>
  </si>
  <si>
    <t>11/12/2014</t>
  </si>
  <si>
    <t>10/12/2014</t>
  </si>
  <si>
    <t>09/12/2014</t>
  </si>
  <si>
    <t>08/12/2014</t>
  </si>
  <si>
    <t>07/12/2014</t>
  </si>
  <si>
    <t>06/12/2014</t>
  </si>
  <si>
    <t>05/12/2014</t>
  </si>
  <si>
    <t>04/12/2014</t>
  </si>
  <si>
    <t>03/12/2014</t>
  </si>
  <si>
    <t>02/12/2014</t>
  </si>
  <si>
    <t>01/12/2014</t>
  </si>
  <si>
    <t>30/11/2014</t>
  </si>
  <si>
    <t>29/11/2014</t>
  </si>
  <si>
    <t>28/11/2014</t>
  </si>
  <si>
    <t>27/11/2014</t>
  </si>
  <si>
    <t>26/11/2014</t>
  </si>
  <si>
    <t>25/11/2014</t>
  </si>
  <si>
    <t>24/11/2014</t>
  </si>
  <si>
    <t>23/11/2014</t>
  </si>
  <si>
    <t>22/11/2014</t>
  </si>
  <si>
    <t>21/11/2014</t>
  </si>
  <si>
    <t>20/11/2014</t>
  </si>
  <si>
    <t>19/11/2014</t>
  </si>
  <si>
    <t>18/11/2014</t>
  </si>
  <si>
    <t>17/11/2014</t>
  </si>
  <si>
    <t>16/11/2014</t>
  </si>
  <si>
    <t>15/11/2014</t>
  </si>
  <si>
    <t>14/11/2014</t>
  </si>
  <si>
    <t>13/11/2014</t>
  </si>
  <si>
    <t>12/11/2014</t>
  </si>
  <si>
    <t>11/11/2014</t>
  </si>
  <si>
    <t>10/11/2014</t>
  </si>
  <si>
    <t>09/11/2014</t>
  </si>
  <si>
    <t>08/11/2014</t>
  </si>
  <si>
    <t>07/11/2014</t>
  </si>
  <si>
    <t>06/11/2014</t>
  </si>
  <si>
    <t>05/11/2014</t>
  </si>
  <si>
    <t>04/11/2014</t>
  </si>
  <si>
    <t>03/11/2014</t>
  </si>
  <si>
    <t>02/11/2014</t>
  </si>
  <si>
    <t>01/11/2014</t>
  </si>
  <si>
    <t>31/10/2014</t>
  </si>
  <si>
    <t>30/10/2014</t>
  </si>
  <si>
    <t>29/10/2014</t>
  </si>
  <si>
    <t>28/10/2014</t>
  </si>
  <si>
    <t>27/10/2014</t>
  </si>
  <si>
    <t>26/10/2014</t>
  </si>
  <si>
    <t>25/10/2014</t>
  </si>
  <si>
    <t>24/10/2014</t>
  </si>
  <si>
    <t>23/10/2014</t>
  </si>
  <si>
    <t>22/10/2014</t>
  </si>
  <si>
    <t>21/10/2014</t>
  </si>
  <si>
    <t>20/10/2014</t>
  </si>
  <si>
    <t>19/10/2014</t>
  </si>
  <si>
    <t>18/10/2014</t>
  </si>
  <si>
    <t>17/10/2014</t>
  </si>
  <si>
    <t>16/10/2014</t>
  </si>
  <si>
    <t>15/10/2014</t>
  </si>
  <si>
    <t>14/10/2014</t>
  </si>
  <si>
    <t>13/10/2014</t>
  </si>
  <si>
    <t>12/10/2014</t>
  </si>
  <si>
    <t>11/10/2014</t>
  </si>
  <si>
    <t>10/10/2014</t>
  </si>
  <si>
    <t>09/10/2014</t>
  </si>
  <si>
    <t>08/10/2014</t>
  </si>
  <si>
    <t>07/10/2014</t>
  </si>
  <si>
    <t>06/10/2014</t>
  </si>
  <si>
    <t>05/10/2014</t>
  </si>
  <si>
    <t>04/10/2014</t>
  </si>
  <si>
    <t>03/10/2014</t>
  </si>
  <si>
    <t>02/10/2014</t>
  </si>
  <si>
    <t>01/10/2014</t>
  </si>
  <si>
    <t>30/09/2014</t>
  </si>
  <si>
    <t>29/09/2014</t>
  </si>
  <si>
    <t>28/09/2014</t>
  </si>
  <si>
    <t>27/09/2014</t>
  </si>
  <si>
    <t>26/09/2014</t>
  </si>
  <si>
    <t>25/09/2014</t>
  </si>
  <si>
    <t>24/09/2014</t>
  </si>
  <si>
    <t>23/09/2014</t>
  </si>
  <si>
    <t>22/09/2014</t>
  </si>
  <si>
    <t>21/09/2014</t>
  </si>
  <si>
    <t>20/09/2014</t>
  </si>
  <si>
    <t>19/09/2014</t>
  </si>
  <si>
    <t>18/09/2014</t>
  </si>
  <si>
    <t>17/09/2014</t>
  </si>
  <si>
    <t>16/09/2014</t>
  </si>
  <si>
    <t>15/09/2014</t>
  </si>
  <si>
    <t>14/09/2014</t>
  </si>
  <si>
    <t>13/09/2014</t>
  </si>
  <si>
    <t>12/09/2014</t>
  </si>
  <si>
    <t>11/09/2014</t>
  </si>
  <si>
    <t>10/09/2014</t>
  </si>
  <si>
    <t>09/09/2014</t>
  </si>
  <si>
    <t>08/09/2014</t>
  </si>
  <si>
    <t>07/09/2014</t>
  </si>
  <si>
    <t>06/09/2014</t>
  </si>
  <si>
    <t>05/09/2014</t>
  </si>
  <si>
    <t>04/09/2014</t>
  </si>
  <si>
    <t>03/09/2014</t>
  </si>
  <si>
    <t>02/09/2014</t>
  </si>
  <si>
    <t>01/09/2014</t>
  </si>
  <si>
    <t>31/08/2014</t>
  </si>
  <si>
    <t>30/08/2014</t>
  </si>
  <si>
    <t>29/08/2014</t>
  </si>
  <si>
    <t>28/08/2014</t>
  </si>
  <si>
    <t>27/08/2014</t>
  </si>
  <si>
    <t>26/08/2014</t>
  </si>
  <si>
    <t>25/08/2014</t>
  </si>
  <si>
    <t>24/08/2014</t>
  </si>
  <si>
    <t>23/08/2014</t>
  </si>
  <si>
    <t>22/08/2014</t>
  </si>
  <si>
    <t>21/08/2014</t>
  </si>
  <si>
    <t>20/08/2014</t>
  </si>
  <si>
    <t>19/08/2014</t>
  </si>
  <si>
    <t>18/08/2014</t>
  </si>
  <si>
    <t>17/08/2014</t>
  </si>
  <si>
    <t>16/08/2014</t>
  </si>
  <si>
    <t>15/08/2014</t>
  </si>
  <si>
    <t>14/08/2014</t>
  </si>
  <si>
    <t>13/08/2014</t>
  </si>
  <si>
    <t>12/08/2014</t>
  </si>
  <si>
    <t>11/08/2014</t>
  </si>
  <si>
    <t>10/08/2014</t>
  </si>
  <si>
    <t>09/08/2014</t>
  </si>
  <si>
    <t>08/08/2014</t>
  </si>
  <si>
    <t>07/08/2014</t>
  </si>
  <si>
    <t>06/08/2014</t>
  </si>
  <si>
    <t>05/08/2014</t>
  </si>
  <si>
    <t>04/08/2014</t>
  </si>
  <si>
    <t>03/08/2014</t>
  </si>
  <si>
    <t>02/08/2014</t>
  </si>
  <si>
    <t>01/08/2014</t>
  </si>
  <si>
    <t>31/07/2014</t>
  </si>
  <si>
    <t>30/07/2014</t>
  </si>
  <si>
    <t>29/07/2014</t>
  </si>
  <si>
    <t>28/07/2014</t>
  </si>
  <si>
    <t>27/07/2014</t>
  </si>
  <si>
    <t>26/07/2014</t>
  </si>
  <si>
    <t>25/07/2014</t>
  </si>
  <si>
    <t>24/07/2014</t>
  </si>
  <si>
    <t>23/07/2014</t>
  </si>
  <si>
    <t>22/07/2014</t>
  </si>
  <si>
    <t>21/07/2014</t>
  </si>
  <si>
    <t>20/07/2014</t>
  </si>
  <si>
    <t>19/07/2014</t>
  </si>
  <si>
    <t>18/07/2014</t>
  </si>
  <si>
    <t>17/07/2014</t>
  </si>
  <si>
    <t>16/07/2014</t>
  </si>
  <si>
    <t>15/07/2014</t>
  </si>
  <si>
    <t>14/07/2014</t>
  </si>
  <si>
    <t>13/07/2014</t>
  </si>
  <si>
    <t>12/07/2014</t>
  </si>
  <si>
    <t>11/07/2014</t>
  </si>
  <si>
    <t>10/07/2014</t>
  </si>
  <si>
    <t>09/07/2014</t>
  </si>
  <si>
    <t>08/07/2014</t>
  </si>
  <si>
    <t>07/07/2014</t>
  </si>
  <si>
    <t>06/07/2014</t>
  </si>
  <si>
    <t>05/07/2014</t>
  </si>
  <si>
    <t>04/07/2014</t>
  </si>
  <si>
    <t>03/07/2014</t>
  </si>
  <si>
    <t>02/07/2014</t>
  </si>
  <si>
    <t>01/07/2014</t>
  </si>
  <si>
    <t>30/06/2014</t>
  </si>
  <si>
    <t>29/06/2014</t>
  </si>
  <si>
    <t>28/06/2014</t>
  </si>
  <si>
    <t>27/06/2014</t>
  </si>
  <si>
    <t>26/06/2014</t>
  </si>
  <si>
    <t>25/06/2014</t>
  </si>
  <si>
    <t>24/06/2014</t>
  </si>
  <si>
    <t>23/06/2014</t>
  </si>
  <si>
    <t>22/06/2014</t>
  </si>
  <si>
    <t>21/06/2014</t>
  </si>
  <si>
    <t>20/06/2014</t>
  </si>
  <si>
    <t>19/06/2014</t>
  </si>
  <si>
    <t>18/06/2014</t>
  </si>
  <si>
    <t>17/06/2014</t>
  </si>
  <si>
    <t>16/06/2014</t>
  </si>
  <si>
    <t>15/06/2014</t>
  </si>
  <si>
    <t>14/06/2014</t>
  </si>
  <si>
    <t>13/06/2014</t>
  </si>
  <si>
    <t>12/06/2014</t>
  </si>
  <si>
    <t>11/06/2014</t>
  </si>
  <si>
    <t>10/06/2014</t>
  </si>
  <si>
    <t>09/06/2014</t>
  </si>
  <si>
    <t>08/06/2014</t>
  </si>
  <si>
    <t>07/06/2014</t>
  </si>
  <si>
    <t>06/06/2014</t>
  </si>
  <si>
    <t>05/06/2014</t>
  </si>
  <si>
    <t>04/06/2014</t>
  </si>
  <si>
    <t>03/06/2014</t>
  </si>
  <si>
    <t>02/06/2014</t>
  </si>
  <si>
    <t>01/06/2014</t>
  </si>
  <si>
    <t>31/05/2014</t>
  </si>
  <si>
    <t>30/05/2014</t>
  </si>
  <si>
    <t>29/05/2014</t>
  </si>
  <si>
    <t>28/05/2014</t>
  </si>
  <si>
    <t>27/05/2014</t>
  </si>
  <si>
    <t>26/05/2014</t>
  </si>
  <si>
    <t>25/05/2014</t>
  </si>
  <si>
    <t>24/05/2014</t>
  </si>
  <si>
    <t>23/05/2014</t>
  </si>
  <si>
    <t>22/05/2014</t>
  </si>
  <si>
    <t>21/05/2014</t>
  </si>
  <si>
    <t>20/05/2014</t>
  </si>
  <si>
    <t>19/05/2014</t>
  </si>
  <si>
    <t>18/05/2014</t>
  </si>
  <si>
    <t>17/05/2014</t>
  </si>
  <si>
    <t>16/05/2014</t>
  </si>
  <si>
    <t>15/05/2014</t>
  </si>
  <si>
    <t>14/05/2014</t>
  </si>
  <si>
    <t>13/05/2014</t>
  </si>
  <si>
    <t>12/05/2014</t>
  </si>
  <si>
    <t>11/05/2014</t>
  </si>
  <si>
    <t>10/05/2014</t>
  </si>
  <si>
    <t>09/05/2014</t>
  </si>
  <si>
    <t>08/05/2014</t>
  </si>
  <si>
    <t>07/05/2014</t>
  </si>
  <si>
    <t>06/05/2014</t>
  </si>
  <si>
    <t>05/05/2014</t>
  </si>
  <si>
    <t>04/05/2014</t>
  </si>
  <si>
    <t>03/05/2014</t>
  </si>
  <si>
    <t>02/05/2014</t>
  </si>
  <si>
    <t>01/05/2014</t>
  </si>
  <si>
    <t>30/04/2014</t>
  </si>
  <si>
    <t>29/04/2014</t>
  </si>
  <si>
    <t>28/04/2014</t>
  </si>
  <si>
    <t>27/04/2014</t>
  </si>
  <si>
    <t>26/04/2014</t>
  </si>
  <si>
    <t>25/04/2014</t>
  </si>
  <si>
    <t>24/04/2014</t>
  </si>
  <si>
    <t>23/04/2014</t>
  </si>
  <si>
    <t>22/04/2014</t>
  </si>
  <si>
    <t>21/04/2014</t>
  </si>
  <si>
    <t>20/04/2014</t>
  </si>
  <si>
    <t>19/04/2014</t>
  </si>
  <si>
    <t>18/04/2014</t>
  </si>
  <si>
    <t>17/04/2014</t>
  </si>
  <si>
    <t>16/04/2014</t>
  </si>
  <si>
    <t>15/04/2014</t>
  </si>
  <si>
    <t>14/04/2014</t>
  </si>
  <si>
    <t>13/04/2014</t>
  </si>
  <si>
    <t>12/04/2014</t>
  </si>
  <si>
    <t>11/04/2014</t>
  </si>
  <si>
    <t>10/04/2014</t>
  </si>
  <si>
    <t>09/04/2014</t>
  </si>
  <si>
    <t>08/04/2014</t>
  </si>
  <si>
    <t>07/04/2014</t>
  </si>
  <si>
    <t>06/04/2014</t>
  </si>
  <si>
    <t>05/04/2014</t>
  </si>
  <si>
    <t>04/04/2014</t>
  </si>
  <si>
    <t>03/04/2014</t>
  </si>
  <si>
    <t>02/04/2014</t>
  </si>
  <si>
    <t>01/04/2014</t>
  </si>
  <si>
    <t>31/03/2014</t>
  </si>
  <si>
    <t>30/03/2014</t>
  </si>
  <si>
    <t>29/03/2014</t>
  </si>
  <si>
    <t>28/03/2014</t>
  </si>
  <si>
    <t>27/03/2014</t>
  </si>
  <si>
    <t>26/03/2014</t>
  </si>
  <si>
    <t>25/03/2014</t>
  </si>
  <si>
    <t>24/03/2014</t>
  </si>
  <si>
    <t>23/03/2014</t>
  </si>
  <si>
    <t>22/03/2014</t>
  </si>
  <si>
    <t>21/03/2014</t>
  </si>
  <si>
    <t>20/03/2014</t>
  </si>
  <si>
    <t>19/03/2014</t>
  </si>
  <si>
    <t>18/03/2014</t>
  </si>
  <si>
    <t>17/03/2014</t>
  </si>
  <si>
    <t>16/03/2014</t>
  </si>
  <si>
    <t>15/03/2014</t>
  </si>
  <si>
    <t>14/03/2014</t>
  </si>
  <si>
    <t>13/03/2014</t>
  </si>
  <si>
    <t>12/03/2014</t>
  </si>
  <si>
    <t>11/03/2014</t>
  </si>
  <si>
    <t>10/03/2014</t>
  </si>
  <si>
    <t>09/03/2014</t>
  </si>
  <si>
    <t>08/03/2014</t>
  </si>
  <si>
    <t>07/03/2014</t>
  </si>
  <si>
    <t>06/03/2014</t>
  </si>
  <si>
    <t>05/03/2014</t>
  </si>
  <si>
    <t>04/03/2014</t>
  </si>
  <si>
    <t>03/03/2014</t>
  </si>
  <si>
    <t>02/03/2014</t>
  </si>
  <si>
    <t>01/03/2014</t>
  </si>
  <si>
    <t>28/02/2014</t>
  </si>
  <si>
    <t>27/02/2014</t>
  </si>
  <si>
    <t>26/02/2014</t>
  </si>
  <si>
    <t>25/02/2014</t>
  </si>
  <si>
    <t>24/02/2014</t>
  </si>
  <si>
    <t>23/02/2014</t>
  </si>
  <si>
    <t>22/02/2014</t>
  </si>
  <si>
    <t>21/02/2014</t>
  </si>
  <si>
    <t>20/02/2014</t>
  </si>
  <si>
    <t>19/02/2014</t>
  </si>
  <si>
    <t>18/02/2014</t>
  </si>
  <si>
    <t>17/02/2014</t>
  </si>
  <si>
    <t>16/02/2014</t>
  </si>
  <si>
    <t>15/02/2014</t>
  </si>
  <si>
    <t>14/02/2014</t>
  </si>
  <si>
    <t>13/02/2014</t>
  </si>
  <si>
    <t>12/02/2014</t>
  </si>
  <si>
    <t>11/02/2014</t>
  </si>
  <si>
    <t>10/02/2014</t>
  </si>
  <si>
    <t>09/02/2014</t>
  </si>
  <si>
    <t>08/02/2014</t>
  </si>
  <si>
    <t>07/02/2014</t>
  </si>
  <si>
    <t>06/02/2014</t>
  </si>
  <si>
    <t>05/02/2014</t>
  </si>
  <si>
    <t>04/02/2014</t>
  </si>
  <si>
    <t>03/02/2014</t>
  </si>
  <si>
    <t>02/02/2014</t>
  </si>
  <si>
    <t>01/02/2014</t>
  </si>
  <si>
    <t>31/01/2014</t>
  </si>
  <si>
    <t>30/01/2014</t>
  </si>
  <si>
    <t>29/01/2014</t>
  </si>
  <si>
    <t>28/01/2014</t>
  </si>
  <si>
    <t>27/01/2014</t>
  </si>
  <si>
    <t>26/01/2014</t>
  </si>
  <si>
    <t>25/01/2014</t>
  </si>
  <si>
    <t>24/01/2014</t>
  </si>
  <si>
    <t>23/01/2014</t>
  </si>
  <si>
    <t>22/01/2014</t>
  </si>
  <si>
    <t>21/01/2014</t>
  </si>
  <si>
    <t>20/01/2014</t>
  </si>
  <si>
    <t>19/01/2014</t>
  </si>
  <si>
    <t>18/01/2014</t>
  </si>
  <si>
    <t>17/01/2014</t>
  </si>
  <si>
    <t>16/01/2014</t>
  </si>
  <si>
    <t>15/01/2014</t>
  </si>
  <si>
    <t>14/01/2014</t>
  </si>
  <si>
    <t>13/01/2014</t>
  </si>
  <si>
    <t>12/01/2014</t>
  </si>
  <si>
    <t>11/01/2014</t>
  </si>
  <si>
    <t>10/01/2014</t>
  </si>
  <si>
    <t>09/01/2014</t>
  </si>
  <si>
    <t>08/01/2014</t>
  </si>
  <si>
    <t>07/01/2014</t>
  </si>
  <si>
    <t>06/01/2014</t>
  </si>
  <si>
    <t>05/01/2014</t>
  </si>
  <si>
    <t>04/01/2014</t>
  </si>
  <si>
    <t>03/01/2014</t>
  </si>
  <si>
    <t>02/01/2014</t>
  </si>
  <si>
    <t>01/01/2014</t>
  </si>
  <si>
    <t>31/12/2013</t>
  </si>
  <si>
    <t>30/12/2013</t>
  </si>
  <si>
    <t>29/12/2013</t>
  </si>
  <si>
    <t>28/12/2013</t>
  </si>
  <si>
    <t>27/12/2013</t>
  </si>
  <si>
    <t>26/12/2013</t>
  </si>
  <si>
    <t>25/12/2013</t>
  </si>
  <si>
    <t>24/12/2013</t>
  </si>
  <si>
    <t>23/12/2013</t>
  </si>
  <si>
    <t>22/12/2013</t>
  </si>
  <si>
    <t>21/12/2013</t>
  </si>
  <si>
    <t>20/12/2013</t>
  </si>
  <si>
    <t>19/12/2013</t>
  </si>
  <si>
    <t>18/12/2013</t>
  </si>
  <si>
    <t>17/12/2013</t>
  </si>
  <si>
    <t>16/12/2013</t>
  </si>
  <si>
    <t>15/12/2013</t>
  </si>
  <si>
    <t>14/12/2013</t>
  </si>
  <si>
    <t>13/12/2013</t>
  </si>
  <si>
    <t>12/12/2013</t>
  </si>
  <si>
    <t>11/12/2013</t>
  </si>
  <si>
    <t>10/12/2013</t>
  </si>
  <si>
    <t>09/12/2013</t>
  </si>
  <si>
    <t>08/12/2013</t>
  </si>
  <si>
    <t>07/12/2013</t>
  </si>
  <si>
    <t>06/12/2013</t>
  </si>
  <si>
    <t>05/12/2013</t>
  </si>
  <si>
    <t>04/12/2013</t>
  </si>
  <si>
    <t>03/12/2013</t>
  </si>
  <si>
    <t>02/12/2013</t>
  </si>
  <si>
    <t>01/12/2013</t>
  </si>
  <si>
    <t>30/11/2013</t>
  </si>
  <si>
    <t>29/11/2013</t>
  </si>
  <si>
    <t>28/11/2013</t>
  </si>
  <si>
    <t>27/11/2013</t>
  </si>
  <si>
    <t>26/11/2013</t>
  </si>
  <si>
    <t>25/11/2013</t>
  </si>
  <si>
    <t>24/11/2013</t>
  </si>
  <si>
    <t>23/11/2013</t>
  </si>
  <si>
    <t>22/11/2013</t>
  </si>
  <si>
    <t>21/11/2013</t>
  </si>
  <si>
    <t>20/11/2013</t>
  </si>
  <si>
    <t>19/11/2013</t>
  </si>
  <si>
    <t>18/11/2013</t>
  </si>
  <si>
    <t>17/11/2013</t>
  </si>
  <si>
    <t>16/11/2013</t>
  </si>
  <si>
    <t>15/11/2013</t>
  </si>
  <si>
    <t>14/11/2013</t>
  </si>
  <si>
    <t>13/11/2013</t>
  </si>
  <si>
    <t>12/11/2013</t>
  </si>
  <si>
    <t>11/11/2013</t>
  </si>
  <si>
    <t>10/11/2013</t>
  </si>
  <si>
    <t>09/11/2013</t>
  </si>
  <si>
    <t>08/11/2013</t>
  </si>
  <si>
    <t>07/11/2013</t>
  </si>
  <si>
    <t>06/11/2013</t>
  </si>
  <si>
    <t>05/11/2013</t>
  </si>
  <si>
    <t>04/11/2013</t>
  </si>
  <si>
    <t>03/11/2013</t>
  </si>
  <si>
    <t>02/11/2013</t>
  </si>
  <si>
    <t>01/11/2013</t>
  </si>
  <si>
    <t>31/10/2013</t>
  </si>
  <si>
    <t>30/10/2013</t>
  </si>
  <si>
    <t>29/10/2013</t>
  </si>
  <si>
    <t>28/10/2013</t>
  </si>
  <si>
    <t>27/10/2013</t>
  </si>
  <si>
    <t>26/10/2013</t>
  </si>
  <si>
    <t>25/10/2013</t>
  </si>
  <si>
    <t>24/10/2013</t>
  </si>
  <si>
    <t>23/10/2013</t>
  </si>
  <si>
    <t>22/10/2013</t>
  </si>
  <si>
    <t>21/10/2013</t>
  </si>
  <si>
    <t>20/10/2013</t>
  </si>
  <si>
    <t>19/10/2013</t>
  </si>
  <si>
    <t>18/10/2013</t>
  </si>
  <si>
    <t>17/10/2013</t>
  </si>
  <si>
    <t>16/10/2013</t>
  </si>
  <si>
    <t>15/10/2013</t>
  </si>
  <si>
    <t>14/10/2013</t>
  </si>
  <si>
    <t>13/10/2013</t>
  </si>
  <si>
    <t>12/10/2013</t>
  </si>
  <si>
    <t>11/10/2013</t>
  </si>
  <si>
    <t>10/10/2013</t>
  </si>
  <si>
    <t>09/10/2013</t>
  </si>
  <si>
    <t>08/10/2013</t>
  </si>
  <si>
    <t>07/10/2013</t>
  </si>
  <si>
    <t>06/10/2013</t>
  </si>
  <si>
    <t>05/10/2013</t>
  </si>
  <si>
    <t>04/10/2013</t>
  </si>
  <si>
    <t>03/10/2013</t>
  </si>
  <si>
    <t>02/10/2013</t>
  </si>
  <si>
    <t>01/10/2013</t>
  </si>
  <si>
    <t>30/09/2013</t>
  </si>
  <si>
    <t>29/09/2013</t>
  </si>
  <si>
    <t>28/09/2013</t>
  </si>
  <si>
    <t>27/09/2013</t>
  </si>
  <si>
    <t>26/09/2013</t>
  </si>
  <si>
    <t>25/09/2013</t>
  </si>
  <si>
    <t>24/09/2013</t>
  </si>
  <si>
    <t>23/09/2013</t>
  </si>
  <si>
    <t>22/09/2013</t>
  </si>
  <si>
    <t>21/09/2013</t>
  </si>
  <si>
    <t>20/09/2013</t>
  </si>
  <si>
    <t>19/09/2013</t>
  </si>
  <si>
    <t>18/09/2013</t>
  </si>
  <si>
    <t>17/09/2013</t>
  </si>
  <si>
    <t>16/09/2013</t>
  </si>
  <si>
    <t>15/09/2013</t>
  </si>
  <si>
    <t>14/09/2013</t>
  </si>
  <si>
    <t>13/09/2013</t>
  </si>
  <si>
    <t>12/09/2013</t>
  </si>
  <si>
    <t>11/09/2013</t>
  </si>
  <si>
    <t>10/09/2013</t>
  </si>
  <si>
    <t>09/09/2013</t>
  </si>
  <si>
    <t>08/09/2013</t>
  </si>
  <si>
    <t>07/09/2013</t>
  </si>
  <si>
    <t>06/09/2013</t>
  </si>
  <si>
    <t>05/09/2013</t>
  </si>
  <si>
    <t>04/09/2013</t>
  </si>
  <si>
    <t>03/09/2013</t>
  </si>
  <si>
    <t>02/09/2013</t>
  </si>
  <si>
    <t>01/09/2013</t>
  </si>
  <si>
    <t>31/08/2013</t>
  </si>
  <si>
    <t>30/08/2013</t>
  </si>
  <si>
    <t>29/08/2013</t>
  </si>
  <si>
    <t>28/08/2013</t>
  </si>
  <si>
    <t>27/08/2013</t>
  </si>
  <si>
    <t>26/08/2013</t>
  </si>
  <si>
    <t>25/08/2013</t>
  </si>
  <si>
    <t>24/08/2013</t>
  </si>
  <si>
    <t>23/08/2013</t>
  </si>
  <si>
    <t>22/08/2013</t>
  </si>
  <si>
    <t>21/08/2013</t>
  </si>
  <si>
    <t>20/08/2013</t>
  </si>
  <si>
    <t>19/08/2013</t>
  </si>
  <si>
    <t>18/08/2013</t>
  </si>
  <si>
    <t>17/08/2013</t>
  </si>
  <si>
    <t>16/08/2013</t>
  </si>
  <si>
    <t>15/08/2013</t>
  </si>
  <si>
    <t>14/08/2013</t>
  </si>
  <si>
    <t>13/08/2013</t>
  </si>
  <si>
    <t>12/08/2013</t>
  </si>
  <si>
    <t>11/08/2013</t>
  </si>
  <si>
    <t>10/08/2013</t>
  </si>
  <si>
    <t>09/08/2013</t>
  </si>
  <si>
    <t>08/08/2013</t>
  </si>
  <si>
    <t>07/08/2013</t>
  </si>
  <si>
    <t>06/08/2013</t>
  </si>
  <si>
    <t>05/08/2013</t>
  </si>
  <si>
    <t>04/08/2013</t>
  </si>
  <si>
    <t>03/08/2013</t>
  </si>
  <si>
    <t>02/08/2013</t>
  </si>
  <si>
    <t>01/08/2013</t>
  </si>
  <si>
    <t>31/07/2013</t>
  </si>
  <si>
    <t>30/07/2013</t>
  </si>
  <si>
    <t>29/07/2013</t>
  </si>
  <si>
    <t>28/07/2013</t>
  </si>
  <si>
    <t>27/07/2013</t>
  </si>
  <si>
    <t>26/07/2013</t>
  </si>
  <si>
    <t>25/07/2013</t>
  </si>
  <si>
    <t>24/07/2013</t>
  </si>
  <si>
    <t>23/07/2013</t>
  </si>
  <si>
    <t>22/07/2013</t>
  </si>
  <si>
    <t>21/07/2013</t>
  </si>
  <si>
    <t>20/07/2013</t>
  </si>
  <si>
    <t>19/07/2013</t>
  </si>
  <si>
    <t>18/07/2013</t>
  </si>
  <si>
    <t>17/07/2013</t>
  </si>
  <si>
    <t>16/07/2013</t>
  </si>
  <si>
    <t>15/07/2013</t>
  </si>
  <si>
    <t>14/07/2013</t>
  </si>
  <si>
    <t>13/07/2013</t>
  </si>
  <si>
    <t>12/07/2013</t>
  </si>
  <si>
    <t>11/07/2013</t>
  </si>
  <si>
    <t>10/07/2013</t>
  </si>
  <si>
    <t>09/07/2013</t>
  </si>
  <si>
    <t>08/07/2013</t>
  </si>
  <si>
    <t>07/07/2013</t>
  </si>
  <si>
    <t>06/07/2013</t>
  </si>
  <si>
    <t>05/07/2013</t>
  </si>
  <si>
    <t>04/07/2013</t>
  </si>
  <si>
    <t>03/07/2013</t>
  </si>
  <si>
    <t>02/07/2013</t>
  </si>
  <si>
    <t>01/07/2013</t>
  </si>
  <si>
    <t>30/06/2013</t>
  </si>
  <si>
    <t>29/06/2013</t>
  </si>
  <si>
    <t>28/06/2013</t>
  </si>
  <si>
    <t>27/06/2013</t>
  </si>
  <si>
    <t>26/06/2013</t>
  </si>
  <si>
    <t>25/06/2013</t>
  </si>
  <si>
    <t>24/06/2013</t>
  </si>
  <si>
    <t>23/06/2013</t>
  </si>
  <si>
    <t>22/06/2013</t>
  </si>
  <si>
    <t>21/06/2013</t>
  </si>
  <si>
    <t>20/06/2013</t>
  </si>
  <si>
    <t>19/06/2013</t>
  </si>
  <si>
    <t>18/06/2013</t>
  </si>
  <si>
    <t>17/06/2013</t>
  </si>
  <si>
    <t>16/06/2013</t>
  </si>
  <si>
    <t>15/06/2013</t>
  </si>
  <si>
    <t>14/06/2013</t>
  </si>
  <si>
    <t>13/06/2013</t>
  </si>
  <si>
    <t>12/06/2013</t>
  </si>
  <si>
    <t>11/06/2013</t>
  </si>
  <si>
    <t>10/06/2013</t>
  </si>
  <si>
    <t>09/06/2013</t>
  </si>
  <si>
    <t>08/06/2013</t>
  </si>
  <si>
    <t>07/06/2013</t>
  </si>
  <si>
    <t>06/06/2013</t>
  </si>
  <si>
    <t>05/06/2013</t>
  </si>
  <si>
    <t>04/06/2013</t>
  </si>
  <si>
    <t>03/06/2013</t>
  </si>
  <si>
    <t>02/06/2013</t>
  </si>
  <si>
    <t>01/06/2013</t>
  </si>
  <si>
    <t>31/05/2013</t>
  </si>
  <si>
    <t>30/05/2013</t>
  </si>
  <si>
    <t>29/05/2013</t>
  </si>
  <si>
    <t>28/05/2013</t>
  </si>
  <si>
    <t>27/05/2013</t>
  </si>
  <si>
    <t>26/05/2013</t>
  </si>
  <si>
    <t>25/05/2013</t>
  </si>
  <si>
    <t>24/05/2013</t>
  </si>
  <si>
    <t>23/05/2013</t>
  </si>
  <si>
    <t>22/05/2013</t>
  </si>
  <si>
    <t>21/05/2013</t>
  </si>
  <si>
    <t>20/05/2013</t>
  </si>
  <si>
    <t>19/05/2013</t>
  </si>
  <si>
    <t>18/05/2013</t>
  </si>
  <si>
    <t>17/05/2013</t>
  </si>
  <si>
    <t>16/05/2013</t>
  </si>
  <si>
    <t>15/05/2013</t>
  </si>
  <si>
    <t>14/05/2013</t>
  </si>
  <si>
    <t>13/05/2013</t>
  </si>
  <si>
    <t>12/05/2013</t>
  </si>
  <si>
    <t>11/05/2013</t>
  </si>
  <si>
    <t>10/05/2013</t>
  </si>
  <si>
    <t>09/05/2013</t>
  </si>
  <si>
    <t>08/05/2013</t>
  </si>
  <si>
    <t>07/05/2013</t>
  </si>
  <si>
    <t>06/05/2013</t>
  </si>
  <si>
    <t>05/05/2013</t>
  </si>
  <si>
    <t>04/05/2013</t>
  </si>
  <si>
    <t>03/05/2013</t>
  </si>
  <si>
    <t>02/05/2013</t>
  </si>
  <si>
    <t>01/05/2013</t>
  </si>
  <si>
    <t>30/04/2013</t>
  </si>
  <si>
    <t>29/04/2013</t>
  </si>
  <si>
    <t>28/04/2013</t>
  </si>
  <si>
    <t>27/04/2013</t>
  </si>
  <si>
    <t>26/04/2013</t>
  </si>
  <si>
    <t>25/04/2013</t>
  </si>
  <si>
    <t>24/04/2013</t>
  </si>
  <si>
    <t>23/04/2013</t>
  </si>
  <si>
    <t>22/04/2013</t>
  </si>
  <si>
    <t>21/04/2013</t>
  </si>
  <si>
    <t>20/04/2013</t>
  </si>
  <si>
    <t>19/04/2013</t>
  </si>
  <si>
    <t>18/04/2013</t>
  </si>
  <si>
    <t>17/04/2013</t>
  </si>
  <si>
    <t>16/04/2013</t>
  </si>
  <si>
    <t>15/04/2013</t>
  </si>
  <si>
    <t>14/04/2013</t>
  </si>
  <si>
    <t>13/04/2013</t>
  </si>
  <si>
    <t>12/04/2013</t>
  </si>
  <si>
    <t>11/04/2013</t>
  </si>
  <si>
    <t>10/04/2013</t>
  </si>
  <si>
    <t>09/04/2013</t>
  </si>
  <si>
    <t>08/04/2013</t>
  </si>
  <si>
    <t>07/04/2013</t>
  </si>
  <si>
    <t>06/04/2013</t>
  </si>
  <si>
    <t>05/04/2013</t>
  </si>
  <si>
    <t>04/04/2013</t>
  </si>
  <si>
    <t>03/04/2013</t>
  </si>
  <si>
    <t>02/04/2013</t>
  </si>
  <si>
    <t>01/04/2013</t>
  </si>
  <si>
    <t>31/03/2013</t>
  </si>
  <si>
    <t>30/03/2013</t>
  </si>
  <si>
    <t>29/03/2013</t>
  </si>
  <si>
    <t>28/03/2013</t>
  </si>
  <si>
    <t>27/03/2013</t>
  </si>
  <si>
    <t>26/03/2013</t>
  </si>
  <si>
    <t>25/03/2013</t>
  </si>
  <si>
    <t>24/03/2013</t>
  </si>
  <si>
    <t>23/03/2013</t>
  </si>
  <si>
    <t>22/03/2013</t>
  </si>
  <si>
    <t>21/03/2013</t>
  </si>
  <si>
    <t>20/03/2013</t>
  </si>
  <si>
    <t>19/03/2013</t>
  </si>
  <si>
    <t>18/03/2013</t>
  </si>
  <si>
    <t>17/03/2013</t>
  </si>
  <si>
    <t>16/03/2013</t>
  </si>
  <si>
    <t>15/03/2013</t>
  </si>
  <si>
    <t>14/03/2013</t>
  </si>
  <si>
    <t>13/03/2013</t>
  </si>
  <si>
    <t>12/03/2013</t>
  </si>
  <si>
    <t>11/03/2013</t>
  </si>
  <si>
    <t>10/03/2013</t>
  </si>
  <si>
    <t>09/03/2013</t>
  </si>
  <si>
    <t>08/03/2013</t>
  </si>
  <si>
    <t>07/03/2013</t>
  </si>
  <si>
    <t>06/03/2013</t>
  </si>
  <si>
    <t>05/03/2013</t>
  </si>
  <si>
    <t>04/03/2013</t>
  </si>
  <si>
    <t>03/03/2013</t>
  </si>
  <si>
    <t>02/03/2013</t>
  </si>
  <si>
    <t>01/03/2013</t>
  </si>
  <si>
    <t>28/02/2013</t>
  </si>
  <si>
    <t>27/02/2013</t>
  </si>
  <si>
    <t>26/02/2013</t>
  </si>
  <si>
    <t>25/02/2013</t>
  </si>
  <si>
    <t>24/02/2013</t>
  </si>
  <si>
    <t>23/02/2013</t>
  </si>
  <si>
    <t>22/02/2013</t>
  </si>
  <si>
    <t>21/02/2013</t>
  </si>
  <si>
    <t>20/02/2013</t>
  </si>
  <si>
    <t>19/02/2013</t>
  </si>
  <si>
    <t>18/02/2013</t>
  </si>
  <si>
    <t>17/02/2013</t>
  </si>
  <si>
    <t>16/02/2013</t>
  </si>
  <si>
    <t>15/02/2013</t>
  </si>
  <si>
    <t>14/02/2013</t>
  </si>
  <si>
    <t>13/02/2013</t>
  </si>
  <si>
    <t>12/02/2013</t>
  </si>
  <si>
    <t>11/02/2013</t>
  </si>
  <si>
    <t>10/02/2013</t>
  </si>
  <si>
    <t>09/02/2013</t>
  </si>
  <si>
    <t>08/02/2013</t>
  </si>
  <si>
    <t>07/02/2013</t>
  </si>
  <si>
    <t>06/02/2013</t>
  </si>
  <si>
    <t>05/02/2013</t>
  </si>
  <si>
    <t>04/02/2013</t>
  </si>
  <si>
    <t>03/02/2013</t>
  </si>
  <si>
    <t>02/02/2013</t>
  </si>
  <si>
    <t>01/02/2013</t>
  </si>
  <si>
    <t>31/01/2013</t>
  </si>
  <si>
    <t>30/01/2013</t>
  </si>
  <si>
    <t>29/01/2013</t>
  </si>
  <si>
    <t>28/01/2013</t>
  </si>
  <si>
    <t>27/01/2013</t>
  </si>
  <si>
    <t>26/01/2013</t>
  </si>
  <si>
    <t>25/01/2013</t>
  </si>
  <si>
    <t>24/01/2013</t>
  </si>
  <si>
    <t>23/01/2013</t>
  </si>
  <si>
    <t>22/01/2013</t>
  </si>
  <si>
    <t>21/01/2013</t>
  </si>
  <si>
    <t>20/01/2013</t>
  </si>
  <si>
    <t>19/01/2013</t>
  </si>
  <si>
    <t>18/01/2013</t>
  </si>
  <si>
    <t>17/01/2013</t>
  </si>
  <si>
    <t>16/01/2013</t>
  </si>
  <si>
    <t>15/01/2013</t>
  </si>
  <si>
    <t>14/01/2013</t>
  </si>
  <si>
    <t>13/01/2013</t>
  </si>
  <si>
    <t>12/01/2013</t>
  </si>
  <si>
    <t>11/01/2013</t>
  </si>
  <si>
    <t>10/01/2013</t>
  </si>
  <si>
    <t>09/01/2013</t>
  </si>
  <si>
    <t>08/01/2013</t>
  </si>
  <si>
    <t>07/01/2013</t>
  </si>
  <si>
    <t>06/01/2013</t>
  </si>
  <si>
    <t>05/01/2013</t>
  </si>
  <si>
    <t>04/01/2013</t>
  </si>
  <si>
    <t>03/01/2013</t>
  </si>
  <si>
    <t>02/01/2013</t>
  </si>
  <si>
    <t>01/01/2013</t>
  </si>
  <si>
    <t>31/12/2012</t>
  </si>
  <si>
    <t>30/12/2012</t>
  </si>
  <si>
    <t>29/12/2012</t>
  </si>
  <si>
    <t>28/12/2012</t>
  </si>
  <si>
    <t>27/12/2012</t>
  </si>
  <si>
    <t>26/12/2012</t>
  </si>
  <si>
    <t>25/12/2012</t>
  </si>
  <si>
    <t>24/12/2012</t>
  </si>
  <si>
    <t>23/12/2012</t>
  </si>
  <si>
    <t>22/12/2012</t>
  </si>
  <si>
    <t>21/12/2012</t>
  </si>
  <si>
    <t>20/12/2012</t>
  </si>
  <si>
    <t>19/12/2012</t>
  </si>
  <si>
    <t>18/12/2012</t>
  </si>
  <si>
    <t>17/12/2012</t>
  </si>
  <si>
    <t>16/12/2012</t>
  </si>
  <si>
    <t>15/12/2012</t>
  </si>
  <si>
    <t>14/12/2012</t>
  </si>
  <si>
    <t>13/12/2012</t>
  </si>
  <si>
    <t>12/12/2012</t>
  </si>
  <si>
    <t>11/12/2012</t>
  </si>
  <si>
    <t>10/12/2012</t>
  </si>
  <si>
    <t>09/12/2012</t>
  </si>
  <si>
    <t>08/12/2012</t>
  </si>
  <si>
    <t>07/12/2012</t>
  </si>
  <si>
    <t>06/12/2012</t>
  </si>
  <si>
    <t>05/12/2012</t>
  </si>
  <si>
    <t>04/12/2012</t>
  </si>
  <si>
    <t>03/12/2012</t>
  </si>
  <si>
    <t>02/12/2012</t>
  </si>
  <si>
    <t>01/12/2012</t>
  </si>
  <si>
    <t>30/11/2012</t>
  </si>
  <si>
    <t>29/11/2012</t>
  </si>
  <si>
    <t>28/11/2012</t>
  </si>
  <si>
    <t>27/11/2012</t>
  </si>
  <si>
    <t>26/11/2012</t>
  </si>
  <si>
    <t>25/11/2012</t>
  </si>
  <si>
    <t>24/11/2012</t>
  </si>
  <si>
    <t>23/11/2012</t>
  </si>
  <si>
    <t>22/11/2012</t>
  </si>
  <si>
    <t>21/11/2012</t>
  </si>
  <si>
    <t>20/11/2012</t>
  </si>
  <si>
    <t>19/11/2012</t>
  </si>
  <si>
    <t>18/11/2012</t>
  </si>
  <si>
    <t>17/11/2012</t>
  </si>
  <si>
    <t>16/11/2012</t>
  </si>
  <si>
    <t>15/11/2012</t>
  </si>
  <si>
    <t>14/11/2012</t>
  </si>
  <si>
    <t>13/11/2012</t>
  </si>
  <si>
    <t>12/11/2012</t>
  </si>
  <si>
    <t>11/11/2012</t>
  </si>
  <si>
    <t>10/11/2012</t>
  </si>
  <si>
    <t>09/11/2012</t>
  </si>
  <si>
    <t>08/11/2012</t>
  </si>
  <si>
    <t>07/11/2012</t>
  </si>
  <si>
    <t>06/11/2012</t>
  </si>
  <si>
    <t>05/11/2012</t>
  </si>
  <si>
    <t>04/11/2012</t>
  </si>
  <si>
    <t>03/11/2012</t>
  </si>
  <si>
    <t>02/11/2012</t>
  </si>
  <si>
    <t>01/11/2012</t>
  </si>
  <si>
    <t>31/10/2012</t>
  </si>
  <si>
    <t>30/10/2012</t>
  </si>
  <si>
    <t>29/10/2012</t>
  </si>
  <si>
    <t>28/10/2012</t>
  </si>
  <si>
    <t>27/10/2012</t>
  </si>
  <si>
    <t>26/10/2012</t>
  </si>
  <si>
    <t>25/10/2012</t>
  </si>
  <si>
    <t>24/10/2012</t>
  </si>
  <si>
    <t>23/10/2012</t>
  </si>
  <si>
    <t>22/10/2012</t>
  </si>
  <si>
    <t>21/10/2012</t>
  </si>
  <si>
    <t>20/10/2012</t>
  </si>
  <si>
    <t>19/10/2012</t>
  </si>
  <si>
    <t>18/10/2012</t>
  </si>
  <si>
    <t>17/10/2012</t>
  </si>
  <si>
    <t>16/10/2012</t>
  </si>
  <si>
    <t>15/10/2012</t>
  </si>
  <si>
    <t>14/10/2012</t>
  </si>
  <si>
    <t>13/10/2012</t>
  </si>
  <si>
    <t>12/10/2012</t>
  </si>
  <si>
    <t>11/10/2012</t>
  </si>
  <si>
    <t>10/10/2012</t>
  </si>
  <si>
    <t>09/10/2012</t>
  </si>
  <si>
    <t>08/10/2012</t>
  </si>
  <si>
    <t>07/10/2012</t>
  </si>
  <si>
    <t>06/10/2012</t>
  </si>
  <si>
    <t>05/10/2012</t>
  </si>
  <si>
    <t>04/10/2012</t>
  </si>
  <si>
    <t>03/10/2012</t>
  </si>
  <si>
    <t>02/10/2012</t>
  </si>
  <si>
    <t>01/10/2012</t>
  </si>
  <si>
    <t>30/09/2012</t>
  </si>
  <si>
    <t>29/09/2012</t>
  </si>
  <si>
    <t>28/09/2012</t>
  </si>
  <si>
    <t>27/09/2012</t>
  </si>
  <si>
    <t>26/09/2012</t>
  </si>
  <si>
    <t>25/09/2012</t>
  </si>
  <si>
    <t>24/09/2012</t>
  </si>
  <si>
    <t>23/09/2012</t>
  </si>
  <si>
    <t>22/09/2012</t>
  </si>
  <si>
    <t>21/09/2012</t>
  </si>
  <si>
    <t>20/09/2012</t>
  </si>
  <si>
    <t>19/09/2012</t>
  </si>
  <si>
    <t>18/09/2012</t>
  </si>
  <si>
    <t>17/09/2012</t>
  </si>
  <si>
    <t>16/09/2012</t>
  </si>
  <si>
    <t>15/09/2012</t>
  </si>
  <si>
    <t>14/09/2012</t>
  </si>
  <si>
    <t>13/09/2012</t>
  </si>
  <si>
    <t>12/09/2012</t>
  </si>
  <si>
    <t>11/09/2012</t>
  </si>
  <si>
    <t>10/09/2012</t>
  </si>
  <si>
    <t>09/09/2012</t>
  </si>
  <si>
    <t>08/09/2012</t>
  </si>
  <si>
    <t>07/09/2012</t>
  </si>
  <si>
    <t>06/09/2012</t>
  </si>
  <si>
    <t>05/09/2012</t>
  </si>
  <si>
    <t>04/09/2012</t>
  </si>
  <si>
    <t>03/09/2012</t>
  </si>
  <si>
    <t>02/09/2012</t>
  </si>
  <si>
    <t>01/09/2012</t>
  </si>
  <si>
    <t>31/08/2012</t>
  </si>
  <si>
    <t>30/08/2012</t>
  </si>
  <si>
    <t>29/08/2012</t>
  </si>
  <si>
    <t>28/08/2012</t>
  </si>
  <si>
    <t>27/08/2012</t>
  </si>
  <si>
    <t>26/08/2012</t>
  </si>
  <si>
    <t>25/08/2012</t>
  </si>
  <si>
    <t>24/08/2012</t>
  </si>
  <si>
    <t>23/08/2012</t>
  </si>
  <si>
    <t>22/08/2012</t>
  </si>
  <si>
    <t>21/08/2012</t>
  </si>
  <si>
    <t>20/08/2012</t>
  </si>
  <si>
    <t>19/08/2012</t>
  </si>
  <si>
    <t>18/08/2012</t>
  </si>
  <si>
    <t>17/08/2012</t>
  </si>
  <si>
    <t>16/08/2012</t>
  </si>
  <si>
    <t>15/08/2012</t>
  </si>
  <si>
    <t>14/08/2012</t>
  </si>
  <si>
    <t>13/08/2012</t>
  </si>
  <si>
    <t>12/08/2012</t>
  </si>
  <si>
    <t>11/08/2012</t>
  </si>
  <si>
    <t>10/08/2012</t>
  </si>
  <si>
    <t>09/08/2012</t>
  </si>
  <si>
    <t>08/08/2012</t>
  </si>
  <si>
    <t>07/08/2012</t>
  </si>
  <si>
    <t>06/08/2012</t>
  </si>
  <si>
    <t>05/08/2012</t>
  </si>
  <si>
    <t>04/08/2012</t>
  </si>
  <si>
    <t>03/08/2012</t>
  </si>
  <si>
    <t>02/08/2012</t>
  </si>
  <si>
    <t>01/08/2012</t>
  </si>
  <si>
    <t>31/07/2012</t>
  </si>
  <si>
    <t>30/07/2012</t>
  </si>
  <si>
    <t>29/07/2012</t>
  </si>
  <si>
    <t>28/07/2012</t>
  </si>
  <si>
    <t>27/07/2012</t>
  </si>
  <si>
    <t>26/07/2012</t>
  </si>
  <si>
    <t>25/07/2012</t>
  </si>
  <si>
    <t>24/07/2012</t>
  </si>
  <si>
    <t>23/07/2012</t>
  </si>
  <si>
    <t>22/07/2012</t>
  </si>
  <si>
    <t>21/07/2012</t>
  </si>
  <si>
    <t>20/07/2012</t>
  </si>
  <si>
    <t>19/07/2012</t>
  </si>
  <si>
    <t>18/07/2012</t>
  </si>
  <si>
    <t>17/07/2012</t>
  </si>
  <si>
    <t>16/07/2012</t>
  </si>
  <si>
    <t>15/07/2012</t>
  </si>
  <si>
    <t>14/07/2012</t>
  </si>
  <si>
    <t>13/07/2012</t>
  </si>
  <si>
    <t>12/07/2012</t>
  </si>
  <si>
    <t>11/07/2012</t>
  </si>
  <si>
    <t>10/07/2012</t>
  </si>
  <si>
    <t>09/07/2012</t>
  </si>
  <si>
    <t>08/07/2012</t>
  </si>
  <si>
    <t>07/07/2012</t>
  </si>
  <si>
    <t>06/07/2012</t>
  </si>
  <si>
    <t>05/07/2012</t>
  </si>
  <si>
    <t>04/07/2012</t>
  </si>
  <si>
    <t>03/07/2012</t>
  </si>
  <si>
    <t>02/07/2012</t>
  </si>
  <si>
    <t>01/07/2012</t>
  </si>
  <si>
    <t>30/06/2012</t>
  </si>
  <si>
    <t>29/06/2012</t>
  </si>
  <si>
    <t>28/06/2012</t>
  </si>
  <si>
    <t>27/06/2012</t>
  </si>
  <si>
    <t>26/06/2012</t>
  </si>
  <si>
    <t>25/06/2012</t>
  </si>
  <si>
    <t>24/06/2012</t>
  </si>
  <si>
    <t>23/06/2012</t>
  </si>
  <si>
    <t>22/06/2012</t>
  </si>
  <si>
    <t>21/06/2012</t>
  </si>
  <si>
    <t>20/06/2012</t>
  </si>
  <si>
    <t>19/06/2012</t>
  </si>
  <si>
    <t>18/06/2012</t>
  </si>
  <si>
    <t>17/06/2012</t>
  </si>
  <si>
    <t>16/06/2012</t>
  </si>
  <si>
    <t>15/06/2012</t>
  </si>
  <si>
    <t>14/06/2012</t>
  </si>
  <si>
    <t>13/06/2012</t>
  </si>
  <si>
    <t>12/06/2012</t>
  </si>
  <si>
    <t>11/06/2012</t>
  </si>
  <si>
    <t>10/06/2012</t>
  </si>
  <si>
    <t>09/06/2012</t>
  </si>
  <si>
    <t>08/06/2012</t>
  </si>
  <si>
    <t>07/06/2012</t>
  </si>
  <si>
    <t>06/06/2012</t>
  </si>
  <si>
    <t>05/06/2012</t>
  </si>
  <si>
    <t>04/06/2012</t>
  </si>
  <si>
    <t>03/06/2012</t>
  </si>
  <si>
    <t>02/06/2012</t>
  </si>
  <si>
    <t>01/06/2012</t>
  </si>
  <si>
    <t>31/05/2012</t>
  </si>
  <si>
    <t>30/05/2012</t>
  </si>
  <si>
    <t>29/05/2012</t>
  </si>
  <si>
    <t>28/05/2012</t>
  </si>
  <si>
    <t>27/05/2012</t>
  </si>
  <si>
    <t>26/05/2012</t>
  </si>
  <si>
    <t>25/05/2012</t>
  </si>
  <si>
    <t>24/05/2012</t>
  </si>
  <si>
    <t>23/05/2012</t>
  </si>
  <si>
    <t>22/05/2012</t>
  </si>
  <si>
    <t>21/05/2012</t>
  </si>
  <si>
    <t>20/05/2012</t>
  </si>
  <si>
    <t>19/05/2012</t>
  </si>
  <si>
    <t>18/05/2012</t>
  </si>
  <si>
    <t>17/05/2012</t>
  </si>
  <si>
    <t>16/05/2012</t>
  </si>
  <si>
    <t>15/05/2012</t>
  </si>
  <si>
    <t>14/05/2012</t>
  </si>
  <si>
    <t>13/05/2012</t>
  </si>
  <si>
    <t>12/05/2012</t>
  </si>
  <si>
    <t>11/05/2012</t>
  </si>
  <si>
    <t>10/05/2012</t>
  </si>
  <si>
    <t>09/05/2012</t>
  </si>
  <si>
    <t>08/05/2012</t>
  </si>
  <si>
    <t>07/05/2012</t>
  </si>
  <si>
    <t>06/05/2012</t>
  </si>
  <si>
    <t>05/05/2012</t>
  </si>
  <si>
    <t>04/05/2012</t>
  </si>
  <si>
    <t>03/05/2012</t>
  </si>
  <si>
    <t>02/05/2012</t>
  </si>
  <si>
    <t>01/05/2012</t>
  </si>
  <si>
    <t>30/04/2012</t>
  </si>
  <si>
    <t>29/04/2012</t>
  </si>
  <si>
    <t>28/04/2012</t>
  </si>
  <si>
    <t>27/04/2012</t>
  </si>
  <si>
    <t>26/04/2012</t>
  </si>
  <si>
    <t>25/04/2012</t>
  </si>
  <si>
    <t>24/04/2012</t>
  </si>
  <si>
    <t>23/04/2012</t>
  </si>
  <si>
    <t>22/04/2012</t>
  </si>
  <si>
    <t>21/04/2012</t>
  </si>
  <si>
    <t>20/04/2012</t>
  </si>
  <si>
    <t>19/04/2012</t>
  </si>
  <si>
    <t>18/04/2012</t>
  </si>
  <si>
    <t>17/04/2012</t>
  </si>
  <si>
    <t>16/04/2012</t>
  </si>
  <si>
    <t>15/04/2012</t>
  </si>
  <si>
    <t>14/04/2012</t>
  </si>
  <si>
    <t>13/04/2012</t>
  </si>
  <si>
    <t>12/04/2012</t>
  </si>
  <si>
    <t>11/04/2012</t>
  </si>
  <si>
    <t>10/04/2012</t>
  </si>
  <si>
    <t>09/04/2012</t>
  </si>
  <si>
    <t>08/04/2012</t>
  </si>
  <si>
    <t>07/04/2012</t>
  </si>
  <si>
    <t>06/04/2012</t>
  </si>
  <si>
    <t>05/04/2012</t>
  </si>
  <si>
    <t>04/04/2012</t>
  </si>
  <si>
    <t>03/04/2012</t>
  </si>
  <si>
    <t>02/04/2012</t>
  </si>
  <si>
    <t>01/04/2012</t>
  </si>
  <si>
    <t>31/03/2012</t>
  </si>
  <si>
    <t>30/03/2012</t>
  </si>
  <si>
    <t>29/03/2012</t>
  </si>
  <si>
    <t>28/03/2012</t>
  </si>
  <si>
    <t>27/03/2012</t>
  </si>
  <si>
    <t>26/03/2012</t>
  </si>
  <si>
    <t>25/03/2012</t>
  </si>
  <si>
    <t>24/03/2012</t>
  </si>
  <si>
    <t>23/03/2012</t>
  </si>
  <si>
    <t>22/03/2012</t>
  </si>
  <si>
    <t>21/03/2012</t>
  </si>
  <si>
    <t>20/03/2012</t>
  </si>
  <si>
    <t>19/03/2012</t>
  </si>
  <si>
    <t>18/03/2012</t>
  </si>
  <si>
    <t>17/03/2012</t>
  </si>
  <si>
    <t>16/03/2012</t>
  </si>
  <si>
    <t>15/03/2012</t>
  </si>
  <si>
    <t>14/03/2012</t>
  </si>
  <si>
    <t>13/03/2012</t>
  </si>
  <si>
    <t>12/03/2012</t>
  </si>
  <si>
    <t>11/03/2012</t>
  </si>
  <si>
    <t>10/03/2012</t>
  </si>
  <si>
    <t>09/03/2012</t>
  </si>
  <si>
    <t>08/03/2012</t>
  </si>
  <si>
    <t>07/03/2012</t>
  </si>
  <si>
    <t>06/03/2012</t>
  </si>
  <si>
    <t>05/03/2012</t>
  </si>
  <si>
    <t>04/03/2012</t>
  </si>
  <si>
    <t>03/03/2012</t>
  </si>
  <si>
    <t>02/03/2012</t>
  </si>
  <si>
    <t>01/03/2012</t>
  </si>
  <si>
    <t>29/02/2012</t>
  </si>
  <si>
    <t>28/02/2012</t>
  </si>
  <si>
    <t>27/02/2012</t>
  </si>
  <si>
    <t>26/02/2012</t>
  </si>
  <si>
    <t>25/02/2012</t>
  </si>
  <si>
    <t>24/02/2012</t>
  </si>
  <si>
    <t>23/02/2012</t>
  </si>
  <si>
    <t>22/02/2012</t>
  </si>
  <si>
    <t>21/02/2012</t>
  </si>
  <si>
    <t>20/02/2012</t>
  </si>
  <si>
    <t>19/02/2012</t>
  </si>
  <si>
    <t>18/02/2012</t>
  </si>
  <si>
    <t>17/02/2012</t>
  </si>
  <si>
    <t>16/02/2012</t>
  </si>
  <si>
    <t>15/02/2012</t>
  </si>
  <si>
    <t>14/02/2012</t>
  </si>
  <si>
    <t>13/02/2012</t>
  </si>
  <si>
    <t>12/02/2012</t>
  </si>
  <si>
    <t>11/02/2012</t>
  </si>
  <si>
    <t>10/02/2012</t>
  </si>
  <si>
    <t>09/02/2012</t>
  </si>
  <si>
    <t>08/02/2012</t>
  </si>
  <si>
    <t>07/02/2012</t>
  </si>
  <si>
    <t>06/02/2012</t>
  </si>
  <si>
    <t>05/02/2012</t>
  </si>
  <si>
    <t>04/02/2012</t>
  </si>
  <si>
    <t>03/02/2012</t>
  </si>
  <si>
    <t>02/02/2012</t>
  </si>
  <si>
    <t>01/02/2012</t>
  </si>
  <si>
    <t>31/01/2012</t>
  </si>
  <si>
    <t>30/01/2012</t>
  </si>
  <si>
    <t>29/01/2012</t>
  </si>
  <si>
    <t>28/01/2012</t>
  </si>
  <si>
    <t>27/01/2012</t>
  </si>
  <si>
    <t>26/01/2012</t>
  </si>
  <si>
    <t>25/01/2012</t>
  </si>
  <si>
    <t>24/01/2012</t>
  </si>
  <si>
    <t>23/01/2012</t>
  </si>
  <si>
    <t>22/01/2012</t>
  </si>
  <si>
    <t>21/01/2012</t>
  </si>
  <si>
    <t>20/01/2012</t>
  </si>
  <si>
    <t>19/01/2012</t>
  </si>
  <si>
    <t>18/01/2012</t>
  </si>
  <si>
    <t>17/01/2012</t>
  </si>
  <si>
    <t>16/01/2012</t>
  </si>
  <si>
    <t>15/01/2012</t>
  </si>
  <si>
    <t>14/01/2012</t>
  </si>
  <si>
    <t>13/01/2012</t>
  </si>
  <si>
    <t>12/01/2012</t>
  </si>
  <si>
    <t>11/01/2012</t>
  </si>
  <si>
    <t>10/01/2012</t>
  </si>
  <si>
    <t>09/01/2012</t>
  </si>
  <si>
    <t>08/01/2012</t>
  </si>
  <si>
    <t>07/01/2012</t>
  </si>
  <si>
    <t>06/01/2012</t>
  </si>
  <si>
    <t>05/01/2012</t>
  </si>
  <si>
    <t>04/01/2012</t>
  </si>
  <si>
    <t>03/01/2012</t>
  </si>
  <si>
    <t>02/01/2012</t>
  </si>
  <si>
    <t>01/01/2012</t>
  </si>
  <si>
    <t>31/12/2011</t>
  </si>
  <si>
    <t>30/12/2011</t>
  </si>
  <si>
    <t>29/12/2011</t>
  </si>
  <si>
    <t>28/12/2011</t>
  </si>
  <si>
    <t>27/12/2011</t>
  </si>
  <si>
    <t>26/12/2011</t>
  </si>
  <si>
    <t>25/12/2011</t>
  </si>
  <si>
    <t>24/12/2011</t>
  </si>
  <si>
    <t>23/12/2011</t>
  </si>
  <si>
    <t>22/12/2011</t>
  </si>
  <si>
    <t>21/12/2011</t>
  </si>
  <si>
    <t>20/12/2011</t>
  </si>
  <si>
    <t>19/12/2011</t>
  </si>
  <si>
    <t>18/12/2011</t>
  </si>
  <si>
    <t>17/12/2011</t>
  </si>
  <si>
    <t>16/12/2011</t>
  </si>
  <si>
    <t>15/12/2011</t>
  </si>
  <si>
    <t>14/12/2011</t>
  </si>
  <si>
    <t>13/12/2011</t>
  </si>
  <si>
    <t>12/12/2011</t>
  </si>
  <si>
    <t>11/12/2011</t>
  </si>
  <si>
    <t>10/12/2011</t>
  </si>
  <si>
    <t>09/12/2011</t>
  </si>
  <si>
    <t>08/12/2011</t>
  </si>
  <si>
    <t>07/12/2011</t>
  </si>
  <si>
    <t>06/12/2011</t>
  </si>
  <si>
    <t>05/12/2011</t>
  </si>
  <si>
    <t>04/12/2011</t>
  </si>
  <si>
    <t>03/12/2011</t>
  </si>
  <si>
    <t>02/12/2011</t>
  </si>
  <si>
    <t>01/12/2011</t>
  </si>
  <si>
    <t>30/11/2011</t>
  </si>
  <si>
    <t>29/11/2011</t>
  </si>
  <si>
    <t>28/11/2011</t>
  </si>
  <si>
    <t>27/11/2011</t>
  </si>
  <si>
    <t>26/11/2011</t>
  </si>
  <si>
    <t>25/11/2011</t>
  </si>
  <si>
    <t>24/11/2011</t>
  </si>
  <si>
    <t>23/11/2011</t>
  </si>
  <si>
    <t>22/11/2011</t>
  </si>
  <si>
    <t>21/11/2011</t>
  </si>
  <si>
    <t>20/11/2011</t>
  </si>
  <si>
    <t>19/11/2011</t>
  </si>
  <si>
    <t>18/11/2011</t>
  </si>
  <si>
    <t>17/11/2011</t>
  </si>
  <si>
    <t>16/11/2011</t>
  </si>
  <si>
    <t>15/11/2011</t>
  </si>
  <si>
    <t>14/11/2011</t>
  </si>
  <si>
    <t>13/11/2011</t>
  </si>
  <si>
    <t>12/11/2011</t>
  </si>
  <si>
    <t>11/11/2011</t>
  </si>
  <si>
    <t>10/11/2011</t>
  </si>
  <si>
    <t>09/11/2011</t>
  </si>
  <si>
    <t>08/11/2011</t>
  </si>
  <si>
    <t>07/11/2011</t>
  </si>
  <si>
    <t>06/11/2011</t>
  </si>
  <si>
    <t>05/11/2011</t>
  </si>
  <si>
    <t>04/11/2011</t>
  </si>
  <si>
    <t>03/11/2011</t>
  </si>
  <si>
    <t>02/11/2011</t>
  </si>
  <si>
    <t>01/11/2011</t>
  </si>
  <si>
    <t>31/10/2011</t>
  </si>
  <si>
    <t>30/10/2011</t>
  </si>
  <si>
    <t>29/10/2011</t>
  </si>
  <si>
    <t>28/10/2011</t>
  </si>
  <si>
    <t>27/10/2011</t>
  </si>
  <si>
    <t>26/10/2011</t>
  </si>
  <si>
    <t>25/10/2011</t>
  </si>
  <si>
    <t>24/10/2011</t>
  </si>
  <si>
    <t>23/10/2011</t>
  </si>
  <si>
    <t>22/10/2011</t>
  </si>
  <si>
    <t>21/10/2011</t>
  </si>
  <si>
    <t>20/10/2011</t>
  </si>
  <si>
    <t>19/10/2011</t>
  </si>
  <si>
    <t>18/10/2011</t>
  </si>
  <si>
    <t>17/10/2011</t>
  </si>
  <si>
    <t>16/10/2011</t>
  </si>
  <si>
    <t>15/10/2011</t>
  </si>
  <si>
    <t>14/10/2011</t>
  </si>
  <si>
    <t>13/10/2011</t>
  </si>
  <si>
    <t>12/10/2011</t>
  </si>
  <si>
    <t>11/10/2011</t>
  </si>
  <si>
    <t>10/10/2011</t>
  </si>
  <si>
    <t>09/10/2011</t>
  </si>
  <si>
    <t>08/10/2011</t>
  </si>
  <si>
    <t>07/10/2011</t>
  </si>
  <si>
    <t>06/10/2011</t>
  </si>
  <si>
    <t>05/10/2011</t>
  </si>
  <si>
    <t>04/10/2011</t>
  </si>
  <si>
    <t>03/10/2011</t>
  </si>
  <si>
    <t>02/10/2011</t>
  </si>
  <si>
    <t>01/10/2011</t>
  </si>
  <si>
    <t>30/09/2011</t>
  </si>
  <si>
    <t>29/09/2011</t>
  </si>
  <si>
    <t>28/09/2011</t>
  </si>
  <si>
    <t>27/09/2011</t>
  </si>
  <si>
    <t>26/09/2011</t>
  </si>
  <si>
    <t>25/09/2011</t>
  </si>
  <si>
    <t>24/09/2011</t>
  </si>
  <si>
    <t>23/09/2011</t>
  </si>
  <si>
    <t>22/09/2011</t>
  </si>
  <si>
    <t>21/09/2011</t>
  </si>
  <si>
    <t>20/09/2011</t>
  </si>
  <si>
    <t>19/09/2011</t>
  </si>
  <si>
    <t>18/09/2011</t>
  </si>
  <si>
    <t>17/09/2011</t>
  </si>
  <si>
    <t>16/09/2011</t>
  </si>
  <si>
    <t>15/09/2011</t>
  </si>
  <si>
    <t>14/09/2011</t>
  </si>
  <si>
    <t>13/09/2011</t>
  </si>
  <si>
    <t>12/09/2011</t>
  </si>
  <si>
    <t>11/09/2011</t>
  </si>
  <si>
    <t>10/09/2011</t>
  </si>
  <si>
    <t>09/09/2011</t>
  </si>
  <si>
    <t>08/09/2011</t>
  </si>
  <si>
    <t>07/09/2011</t>
  </si>
  <si>
    <t>06/09/2011</t>
  </si>
  <si>
    <t>05/09/2011</t>
  </si>
  <si>
    <t>04/09/2011</t>
  </si>
  <si>
    <t>03/09/2011</t>
  </si>
  <si>
    <t>02/09/2011</t>
  </si>
  <si>
    <t>01/09/2011</t>
  </si>
  <si>
    <t>31/08/2011</t>
  </si>
  <si>
    <t>30/08/2011</t>
  </si>
  <si>
    <t>29/08/2011</t>
  </si>
  <si>
    <t>28/08/2011</t>
  </si>
  <si>
    <t>27/08/2011</t>
  </si>
  <si>
    <t>26/08/2011</t>
  </si>
  <si>
    <t>25/08/2011</t>
  </si>
  <si>
    <t>24/08/2011</t>
  </si>
  <si>
    <t>23/08/2011</t>
  </si>
  <si>
    <t>22/08/2011</t>
  </si>
  <si>
    <t>21/08/2011</t>
  </si>
  <si>
    <t>20/08/2011</t>
  </si>
  <si>
    <t>19/08/2011</t>
  </si>
  <si>
    <t>18/08/2011</t>
  </si>
  <si>
    <t>17/08/2011</t>
  </si>
  <si>
    <t>16/08/2011</t>
  </si>
  <si>
    <t>15/08/2011</t>
  </si>
  <si>
    <t>14/08/2011</t>
  </si>
  <si>
    <t>13/08/2011</t>
  </si>
  <si>
    <t>12/08/2011</t>
  </si>
  <si>
    <t>11/08/2011</t>
  </si>
  <si>
    <t>10/08/2011</t>
  </si>
  <si>
    <t>09/08/2011</t>
  </si>
  <si>
    <t>08/08/2011</t>
  </si>
  <si>
    <t>07/08/2011</t>
  </si>
  <si>
    <t>06/08/2011</t>
  </si>
  <si>
    <t>05/08/2011</t>
  </si>
  <si>
    <t>04/08/2011</t>
  </si>
  <si>
    <t>03/08/2011</t>
  </si>
  <si>
    <t>02/08/2011</t>
  </si>
  <si>
    <t>01/08/2011</t>
  </si>
  <si>
    <t>31/07/2011</t>
  </si>
  <si>
    <t>30/07/2011</t>
  </si>
  <si>
    <t>29/07/2011</t>
  </si>
  <si>
    <t>28/07/2011</t>
  </si>
  <si>
    <t>27/07/2011</t>
  </si>
  <si>
    <t>26/07/2011</t>
  </si>
  <si>
    <t>25/07/2011</t>
  </si>
  <si>
    <t>24/07/2011</t>
  </si>
  <si>
    <t>23/07/2011</t>
  </si>
  <si>
    <t>22/07/2011</t>
  </si>
  <si>
    <t>21/07/2011</t>
  </si>
  <si>
    <t>20/07/2011</t>
  </si>
  <si>
    <t>19/07/2011</t>
  </si>
  <si>
    <t>18/07/2011</t>
  </si>
  <si>
    <t>17/07/2011</t>
  </si>
  <si>
    <t>16/07/2011</t>
  </si>
  <si>
    <t>15/07/2011</t>
  </si>
  <si>
    <t>14/07/2011</t>
  </si>
  <si>
    <t>13/07/2011</t>
  </si>
  <si>
    <t>12/07/2011</t>
  </si>
  <si>
    <t>11/07/2011</t>
  </si>
  <si>
    <t>10/07/2011</t>
  </si>
  <si>
    <t>09/07/2011</t>
  </si>
  <si>
    <t>08/07/2011</t>
  </si>
  <si>
    <t>07/07/2011</t>
  </si>
  <si>
    <t>06/07/2011</t>
  </si>
  <si>
    <t>05/07/2011</t>
  </si>
  <si>
    <t>04/07/2011</t>
  </si>
  <si>
    <t>03/07/2011</t>
  </si>
  <si>
    <t>02/07/2011</t>
  </si>
  <si>
    <t>01/07/2011</t>
  </si>
  <si>
    <t>30/06/2011</t>
  </si>
  <si>
    <t>29/06/2011</t>
  </si>
  <si>
    <t>28/06/2011</t>
  </si>
  <si>
    <t>27/06/2011</t>
  </si>
  <si>
    <t>26/06/2011</t>
  </si>
  <si>
    <t>25/06/2011</t>
  </si>
  <si>
    <t>24/06/2011</t>
  </si>
  <si>
    <t>23/06/2011</t>
  </si>
  <si>
    <t>22/06/2011</t>
  </si>
  <si>
    <t>21/06/2011</t>
  </si>
  <si>
    <t>20/06/2011</t>
  </si>
  <si>
    <t>19/06/2011</t>
  </si>
  <si>
    <t>18/06/2011</t>
  </si>
  <si>
    <t>17/06/2011</t>
  </si>
  <si>
    <t>16/06/2011</t>
  </si>
  <si>
    <t>15/06/2011</t>
  </si>
  <si>
    <t>14/06/2011</t>
  </si>
  <si>
    <t>13/06/2011</t>
  </si>
  <si>
    <t>12/06/2011</t>
  </si>
  <si>
    <t>11/06/2011</t>
  </si>
  <si>
    <t>10/06/2011</t>
  </si>
  <si>
    <t>09/06/2011</t>
  </si>
  <si>
    <t>08/06/2011</t>
  </si>
  <si>
    <t>07/06/2011</t>
  </si>
  <si>
    <t>06/06/2011</t>
  </si>
  <si>
    <t>05/06/2011</t>
  </si>
  <si>
    <t>04/06/2011</t>
  </si>
  <si>
    <t>03/06/2011</t>
  </si>
  <si>
    <t>02/06/2011</t>
  </si>
  <si>
    <t>01/06/2011</t>
  </si>
  <si>
    <t>31/05/2011</t>
  </si>
  <si>
    <t>30/05/2011</t>
  </si>
  <si>
    <t>29/05/2011</t>
  </si>
  <si>
    <t>28/05/2011</t>
  </si>
  <si>
    <t>27/05/2011</t>
  </si>
  <si>
    <t>26/05/2011</t>
  </si>
  <si>
    <t>25/05/2011</t>
  </si>
  <si>
    <t>24/05/2011</t>
  </si>
  <si>
    <t>23/05/2011</t>
  </si>
  <si>
    <t>22/05/2011</t>
  </si>
  <si>
    <t>21/05/2011</t>
  </si>
  <si>
    <t>20/05/2011</t>
  </si>
  <si>
    <t>19/05/2011</t>
  </si>
  <si>
    <t>18/05/2011</t>
  </si>
  <si>
    <t>17/05/2011</t>
  </si>
  <si>
    <t>16/05/2011</t>
  </si>
  <si>
    <t>15/05/2011</t>
  </si>
  <si>
    <t>14/05/2011</t>
  </si>
  <si>
    <t>13/05/2011</t>
  </si>
  <si>
    <t>12/05/2011</t>
  </si>
  <si>
    <t>11/05/2011</t>
  </si>
  <si>
    <t>10/05/2011</t>
  </si>
  <si>
    <t>09/05/2011</t>
  </si>
  <si>
    <t>08/05/2011</t>
  </si>
  <si>
    <t>07/05/2011</t>
  </si>
  <si>
    <t>06/05/2011</t>
  </si>
  <si>
    <t>05/05/2011</t>
  </si>
  <si>
    <t>04/05/2011</t>
  </si>
  <si>
    <t>03/05/2011</t>
  </si>
  <si>
    <t>02/05/2011</t>
  </si>
  <si>
    <t>01/05/2011</t>
  </si>
  <si>
    <t>30/04/2011</t>
  </si>
  <si>
    <t>29/04/2011</t>
  </si>
  <si>
    <t>28/04/2011</t>
  </si>
  <si>
    <t>27/04/2011</t>
  </si>
  <si>
    <t>26/04/2011</t>
  </si>
  <si>
    <t>25/04/2011</t>
  </si>
  <si>
    <t>24/04/2011</t>
  </si>
  <si>
    <t>23/04/2011</t>
  </si>
  <si>
    <t>22/04/2011</t>
  </si>
  <si>
    <t>21/04/2011</t>
  </si>
  <si>
    <t>20/04/2011</t>
  </si>
  <si>
    <t>19/04/2011</t>
  </si>
  <si>
    <t>18/04/2011</t>
  </si>
  <si>
    <t>17/04/2011</t>
  </si>
  <si>
    <t>16/04/2011</t>
  </si>
  <si>
    <t>15/04/2011</t>
  </si>
  <si>
    <t>14/04/2011</t>
  </si>
  <si>
    <t>13/04/2011</t>
  </si>
  <si>
    <t>12/04/2011</t>
  </si>
  <si>
    <t>11/04/2011</t>
  </si>
  <si>
    <t>10/04/2011</t>
  </si>
  <si>
    <t>09/04/2011</t>
  </si>
  <si>
    <t>08/04/2011</t>
  </si>
  <si>
    <t>07/04/2011</t>
  </si>
  <si>
    <t>06/04/2011</t>
  </si>
  <si>
    <t>05/04/2011</t>
  </si>
  <si>
    <t>04/04/2011</t>
  </si>
  <si>
    <t>03/04/2011</t>
  </si>
  <si>
    <t>02/04/2011</t>
  </si>
  <si>
    <t>01/04/2011</t>
  </si>
  <si>
    <t>31/03/2011</t>
  </si>
  <si>
    <t>30/03/2011</t>
  </si>
  <si>
    <t>29/03/2011</t>
  </si>
  <si>
    <t>28/03/2011</t>
  </si>
  <si>
    <t>27/03/2011</t>
  </si>
  <si>
    <t>26/03/2011</t>
  </si>
  <si>
    <t>25/03/2011</t>
  </si>
  <si>
    <t>24/03/2011</t>
  </si>
  <si>
    <t>23/03/2011</t>
  </si>
  <si>
    <t>22/03/2011</t>
  </si>
  <si>
    <t>21/03/2011</t>
  </si>
  <si>
    <t>20/03/2011</t>
  </si>
  <si>
    <t>19/03/2011</t>
  </si>
  <si>
    <t>18/03/2011</t>
  </si>
  <si>
    <t>17/03/2011</t>
  </si>
  <si>
    <t>16/03/2011</t>
  </si>
  <si>
    <t>15/03/2011</t>
  </si>
  <si>
    <t>14/03/2011</t>
  </si>
  <si>
    <t>13/03/2011</t>
  </si>
  <si>
    <t>12/03/2011</t>
  </si>
  <si>
    <t>11/03/2011</t>
  </si>
  <si>
    <t>10/03/2011</t>
  </si>
  <si>
    <t>09/03/2011</t>
  </si>
  <si>
    <t>08/03/2011</t>
  </si>
  <si>
    <t>07/03/2011</t>
  </si>
  <si>
    <t>06/03/2011</t>
  </si>
  <si>
    <t>05/03/2011</t>
  </si>
  <si>
    <t>04/03/2011</t>
  </si>
  <si>
    <t>03/03/2011</t>
  </si>
  <si>
    <t>02/03/2011</t>
  </si>
  <si>
    <t>01/03/2011</t>
  </si>
  <si>
    <t>28/02/2011</t>
  </si>
  <si>
    <t>27/02/2011</t>
  </si>
  <si>
    <t>26/02/2011</t>
  </si>
  <si>
    <t>25/02/2011</t>
  </si>
  <si>
    <t>24/02/2011</t>
  </si>
  <si>
    <t>23/02/2011</t>
  </si>
  <si>
    <t>22/02/2011</t>
  </si>
  <si>
    <t>21/02/2011</t>
  </si>
  <si>
    <t>20/02/2011</t>
  </si>
  <si>
    <t>19/02/2011</t>
  </si>
  <si>
    <t>18/02/2011</t>
  </si>
  <si>
    <t>17/02/2011</t>
  </si>
  <si>
    <t>16/02/2011</t>
  </si>
  <si>
    <t>15/02/2011</t>
  </si>
  <si>
    <t>14/02/2011</t>
  </si>
  <si>
    <t>13/02/2011</t>
  </si>
  <si>
    <t>12/02/2011</t>
  </si>
  <si>
    <t>11/02/2011</t>
  </si>
  <si>
    <t>10/02/2011</t>
  </si>
  <si>
    <t>09/02/2011</t>
  </si>
  <si>
    <t>08/02/2011</t>
  </si>
  <si>
    <t>07/02/2011</t>
  </si>
  <si>
    <t>06/02/2011</t>
  </si>
  <si>
    <t>05/02/2011</t>
  </si>
  <si>
    <t>04/02/2011</t>
  </si>
  <si>
    <t>03/02/2011</t>
  </si>
  <si>
    <t>02/02/2011</t>
  </si>
  <si>
    <t>01/02/2011</t>
  </si>
  <si>
    <t>31/01/2011</t>
  </si>
  <si>
    <t>30/01/2011</t>
  </si>
  <si>
    <t>29/01/2011</t>
  </si>
  <si>
    <t>28/01/2011</t>
  </si>
  <si>
    <t>27/01/2011</t>
  </si>
  <si>
    <t>26/01/2011</t>
  </si>
  <si>
    <t>25/01/2011</t>
  </si>
  <si>
    <t>24/01/2011</t>
  </si>
  <si>
    <t>23/01/2011</t>
  </si>
  <si>
    <t>22/01/2011</t>
  </si>
  <si>
    <t>21/01/2011</t>
  </si>
  <si>
    <t>20/01/2011</t>
  </si>
  <si>
    <t>19/01/2011</t>
  </si>
  <si>
    <t>18/01/2011</t>
  </si>
  <si>
    <t>17/01/2011</t>
  </si>
  <si>
    <t>16/01/2011</t>
  </si>
  <si>
    <t>15/01/2011</t>
  </si>
  <si>
    <t>14/01/2011</t>
  </si>
  <si>
    <t>13/01/2011</t>
  </si>
  <si>
    <t>12/01/2011</t>
  </si>
  <si>
    <t>11/01/2011</t>
  </si>
  <si>
    <t>10/01/2011</t>
  </si>
  <si>
    <t>09/01/2011</t>
  </si>
  <si>
    <t>08/01/2011</t>
  </si>
  <si>
    <t>07/01/2011</t>
  </si>
  <si>
    <t>06/01/2011</t>
  </si>
  <si>
    <t>05/01/2011</t>
  </si>
  <si>
    <t>04/01/2011</t>
  </si>
  <si>
    <t>03/01/2011</t>
  </si>
  <si>
    <t>02/01/2011</t>
  </si>
  <si>
    <t>01/01/2011</t>
  </si>
  <si>
    <t>31/12/2010</t>
  </si>
  <si>
    <t>30/12/2010</t>
  </si>
  <si>
    <t>29/12/2010</t>
  </si>
  <si>
    <t>28/12/2010</t>
  </si>
  <si>
    <t>27/12/2010</t>
  </si>
  <si>
    <t>26/12/2010</t>
  </si>
  <si>
    <t>25/12/2010</t>
  </si>
  <si>
    <t>24/12/2010</t>
  </si>
  <si>
    <t>23/12/2010</t>
  </si>
  <si>
    <t>22/12/2010</t>
  </si>
  <si>
    <t>21/12/2010</t>
  </si>
  <si>
    <t>20/12/2010</t>
  </si>
  <si>
    <t>19/12/2010</t>
  </si>
  <si>
    <t>18/12/2010</t>
  </si>
  <si>
    <t>17/12/2010</t>
  </si>
  <si>
    <t>16/12/2010</t>
  </si>
  <si>
    <t>15/12/2010</t>
  </si>
  <si>
    <t>14/12/2010</t>
  </si>
  <si>
    <t>13/12/2010</t>
  </si>
  <si>
    <t>12/12/2010</t>
  </si>
  <si>
    <t>11/12/2010</t>
  </si>
  <si>
    <t>10/12/2010</t>
  </si>
  <si>
    <t>09/12/2010</t>
  </si>
  <si>
    <t>08/12/2010</t>
  </si>
  <si>
    <t>07/12/2010</t>
  </si>
  <si>
    <t>06/12/2010</t>
  </si>
  <si>
    <t>05/12/2010</t>
  </si>
  <si>
    <t>04/12/2010</t>
  </si>
  <si>
    <t>03/12/2010</t>
  </si>
  <si>
    <t>02/12/2010</t>
  </si>
  <si>
    <t>01/12/2010</t>
  </si>
  <si>
    <t>30/11/2010</t>
  </si>
  <si>
    <t>29/11/2010</t>
  </si>
  <si>
    <t>28/11/2010</t>
  </si>
  <si>
    <t>27/11/2010</t>
  </si>
  <si>
    <t>26/11/2010</t>
  </si>
  <si>
    <t>25/11/2010</t>
  </si>
  <si>
    <t>24/11/2010</t>
  </si>
  <si>
    <t>23/11/2010</t>
  </si>
  <si>
    <t>22/11/2010</t>
  </si>
  <si>
    <t>21/11/2010</t>
  </si>
  <si>
    <t>20/11/2010</t>
  </si>
  <si>
    <t>19/11/2010</t>
  </si>
  <si>
    <t>18/11/2010</t>
  </si>
  <si>
    <t>17/11/2010</t>
  </si>
  <si>
    <t>16/11/2010</t>
  </si>
  <si>
    <t>15/11/2010</t>
  </si>
  <si>
    <t>14/11/2010</t>
  </si>
  <si>
    <t>13/11/2010</t>
  </si>
  <si>
    <t>12/11/2010</t>
  </si>
  <si>
    <t>11/11/2010</t>
  </si>
  <si>
    <t>10/11/2010</t>
  </si>
  <si>
    <t>09/11/2010</t>
  </si>
  <si>
    <t>08/11/2010</t>
  </si>
  <si>
    <t>07/11/2010</t>
  </si>
  <si>
    <t>06/11/2010</t>
  </si>
  <si>
    <t>05/11/2010</t>
  </si>
  <si>
    <t>04/11/2010</t>
  </si>
  <si>
    <t>03/11/2010</t>
  </si>
  <si>
    <t>02/11/2010</t>
  </si>
  <si>
    <t>01/11/2010</t>
  </si>
  <si>
    <t>31/10/2010</t>
  </si>
  <si>
    <t>30/10/2010</t>
  </si>
  <si>
    <t>29/10/2010</t>
  </si>
  <si>
    <t>28/10/2010</t>
  </si>
  <si>
    <t>27/10/2010</t>
  </si>
  <si>
    <t>26/10/2010</t>
  </si>
  <si>
    <t>25/10/2010</t>
  </si>
  <si>
    <t>24/10/2010</t>
  </si>
  <si>
    <t>23/10/2010</t>
  </si>
  <si>
    <t>22/10/2010</t>
  </si>
  <si>
    <t>21/10/2010</t>
  </si>
  <si>
    <t>20/10/2010</t>
  </si>
  <si>
    <t>19/10/2010</t>
  </si>
  <si>
    <t>18/10/2010</t>
  </si>
  <si>
    <t>17/10/2010</t>
  </si>
  <si>
    <t>16/10/2010</t>
  </si>
  <si>
    <t>15/10/2010</t>
  </si>
  <si>
    <t>14/10/2010</t>
  </si>
  <si>
    <t>13/10/2010</t>
  </si>
  <si>
    <t>12/10/2010</t>
  </si>
  <si>
    <t>11/10/2010</t>
  </si>
  <si>
    <t>10/10/2010</t>
  </si>
  <si>
    <t>09/10/2010</t>
  </si>
  <si>
    <t>08/10/2010</t>
  </si>
  <si>
    <t>07/10/2010</t>
  </si>
  <si>
    <t>06/10/2010</t>
  </si>
  <si>
    <t>05/10/2010</t>
  </si>
  <si>
    <t>04/10/2010</t>
  </si>
  <si>
    <t>03/10/2010</t>
  </si>
  <si>
    <t>02/10/2010</t>
  </si>
  <si>
    <t>01/10/2010</t>
  </si>
  <si>
    <t>30/09/2010</t>
  </si>
  <si>
    <t>29/09/2010</t>
  </si>
  <si>
    <t>28/09/2010</t>
  </si>
  <si>
    <t>27/09/2010</t>
  </si>
  <si>
    <t>26/09/2010</t>
  </si>
  <si>
    <t>25/09/2010</t>
  </si>
  <si>
    <t>24/09/2010</t>
  </si>
  <si>
    <t>23/09/2010</t>
  </si>
  <si>
    <t>22/09/2010</t>
  </si>
  <si>
    <t>21/09/2010</t>
  </si>
  <si>
    <t>20/09/2010</t>
  </si>
  <si>
    <t>19/09/2010</t>
  </si>
  <si>
    <t>18/09/2010</t>
  </si>
  <si>
    <t>17/09/2010</t>
  </si>
  <si>
    <t>16/09/2010</t>
  </si>
  <si>
    <t>15/09/2010</t>
  </si>
  <si>
    <t>14/09/2010</t>
  </si>
  <si>
    <t>13/09/2010</t>
  </si>
  <si>
    <t>12/09/2010</t>
  </si>
  <si>
    <t>11/09/2010</t>
  </si>
  <si>
    <t>10/09/2010</t>
  </si>
  <si>
    <t>09/09/2010</t>
  </si>
  <si>
    <t>08/09/2010</t>
  </si>
  <si>
    <t>07/09/2010</t>
  </si>
  <si>
    <t>06/09/2010</t>
  </si>
  <si>
    <t>05/09/2010</t>
  </si>
  <si>
    <t>04/09/2010</t>
  </si>
  <si>
    <t>03/09/2010</t>
  </si>
  <si>
    <t>02/09/2010</t>
  </si>
  <si>
    <t>01/09/2010</t>
  </si>
  <si>
    <t>31/08/2010</t>
  </si>
  <si>
    <t>30/08/2010</t>
  </si>
  <si>
    <t>29/08/2010</t>
  </si>
  <si>
    <t>28/08/2010</t>
  </si>
  <si>
    <t>27/08/2010</t>
  </si>
  <si>
    <t>26/08/2010</t>
  </si>
  <si>
    <t>25/08/2010</t>
  </si>
  <si>
    <t>24/08/2010</t>
  </si>
  <si>
    <t>23/08/2010</t>
  </si>
  <si>
    <t>22/08/2010</t>
  </si>
  <si>
    <t>21/08/2010</t>
  </si>
  <si>
    <t>20/08/2010</t>
  </si>
  <si>
    <t>19/08/2010</t>
  </si>
  <si>
    <t>18/08/2010</t>
  </si>
  <si>
    <t>17/08/2010</t>
  </si>
  <si>
    <t>16/08/2010</t>
  </si>
  <si>
    <t>15/08/2010</t>
  </si>
  <si>
    <t>14/08/2010</t>
  </si>
  <si>
    <t>13/08/2010</t>
  </si>
  <si>
    <t>12/08/2010</t>
  </si>
  <si>
    <t>11/08/2010</t>
  </si>
  <si>
    <t>10/08/2010</t>
  </si>
  <si>
    <t>09/08/2010</t>
  </si>
  <si>
    <t>08/08/2010</t>
  </si>
  <si>
    <t>07/08/2010</t>
  </si>
  <si>
    <t>06/08/2010</t>
  </si>
  <si>
    <t>05/08/2010</t>
  </si>
  <si>
    <t>04/08/2010</t>
  </si>
  <si>
    <t>03/08/2010</t>
  </si>
  <si>
    <t>02/08/2010</t>
  </si>
  <si>
    <t>01/08/2010</t>
  </si>
  <si>
    <t>31/07/2010</t>
  </si>
  <si>
    <t>30/07/2010</t>
  </si>
  <si>
    <t>29/07/2010</t>
  </si>
  <si>
    <t>28/07/2010</t>
  </si>
  <si>
    <t>27/07/2010</t>
  </si>
  <si>
    <t>26/07/2010</t>
  </si>
  <si>
    <t>25/07/2010</t>
  </si>
  <si>
    <t>24/07/2010</t>
  </si>
  <si>
    <t>23/07/2010</t>
  </si>
  <si>
    <t>22/07/2010</t>
  </si>
  <si>
    <t>21/07/2010</t>
  </si>
  <si>
    <t>20/07/2010</t>
  </si>
  <si>
    <t>19/07/2010</t>
  </si>
  <si>
    <t>18/07/2010</t>
  </si>
  <si>
    <t>17/07/2010</t>
  </si>
  <si>
    <t>16/07/2010</t>
  </si>
  <si>
    <t>15/07/2010</t>
  </si>
  <si>
    <t>14/07/2010</t>
  </si>
  <si>
    <t>13/07/2010</t>
  </si>
  <si>
    <t>12/07/2010</t>
  </si>
  <si>
    <t>11/07/2010</t>
  </si>
  <si>
    <t>10/07/2010</t>
  </si>
  <si>
    <t>09/07/2010</t>
  </si>
  <si>
    <t>08/07/2010</t>
  </si>
  <si>
    <t>07/07/2010</t>
  </si>
  <si>
    <t>06/07/2010</t>
  </si>
  <si>
    <t>05/07/2010</t>
  </si>
  <si>
    <t>04/07/2010</t>
  </si>
  <si>
    <t>03/07/2010</t>
  </si>
  <si>
    <t>02/07/2010</t>
  </si>
  <si>
    <t>01/07/2010</t>
  </si>
  <si>
    <t>30/06/2010</t>
  </si>
  <si>
    <t>29/06/2010</t>
  </si>
  <si>
    <t>28/06/2010</t>
  </si>
  <si>
    <t>27/06/2010</t>
  </si>
  <si>
    <t>26/06/2010</t>
  </si>
  <si>
    <t>25/06/2010</t>
  </si>
  <si>
    <t>24/06/2010</t>
  </si>
  <si>
    <t>23/06/2010</t>
  </si>
  <si>
    <t>22/06/2010</t>
  </si>
  <si>
    <t>21/06/2010</t>
  </si>
  <si>
    <t>20/06/2010</t>
  </si>
  <si>
    <t>19/06/2010</t>
  </si>
  <si>
    <t>18/06/2010</t>
  </si>
  <si>
    <t>17/06/2010</t>
  </si>
  <si>
    <t>16/06/2010</t>
  </si>
  <si>
    <t>15/06/2010</t>
  </si>
  <si>
    <t>14/06/2010</t>
  </si>
  <si>
    <t>13/06/2010</t>
  </si>
  <si>
    <t>12/06/2010</t>
  </si>
  <si>
    <t>11/06/2010</t>
  </si>
  <si>
    <t>10/06/2010</t>
  </si>
  <si>
    <t>09/06/2010</t>
  </si>
  <si>
    <t>08/06/2010</t>
  </si>
  <si>
    <t>07/06/2010</t>
  </si>
  <si>
    <t>06/06/2010</t>
  </si>
  <si>
    <t>05/06/2010</t>
  </si>
  <si>
    <t>04/06/2010</t>
  </si>
  <si>
    <t>03/06/2010</t>
  </si>
  <si>
    <t>02/06/2010</t>
  </si>
  <si>
    <t>01/06/2010</t>
  </si>
  <si>
    <t>31/05/2010</t>
  </si>
  <si>
    <t>30/05/2010</t>
  </si>
  <si>
    <t>29/05/2010</t>
  </si>
  <si>
    <t>28/05/2010</t>
  </si>
  <si>
    <t>27/05/2010</t>
  </si>
  <si>
    <t>26/05/2010</t>
  </si>
  <si>
    <t>25/05/2010</t>
  </si>
  <si>
    <t>24/05/2010</t>
  </si>
  <si>
    <t>23/05/2010</t>
  </si>
  <si>
    <t>22/05/2010</t>
  </si>
  <si>
    <t>21/05/2010</t>
  </si>
  <si>
    <t>20/05/2010</t>
  </si>
  <si>
    <t>19/05/2010</t>
  </si>
  <si>
    <t>18/05/2010</t>
  </si>
  <si>
    <t>17/05/2010</t>
  </si>
  <si>
    <t>16/05/2010</t>
  </si>
  <si>
    <t>15/05/2010</t>
  </si>
  <si>
    <t>14/05/2010</t>
  </si>
  <si>
    <t>13/05/2010</t>
  </si>
  <si>
    <t>12/05/2010</t>
  </si>
  <si>
    <t>11/05/2010</t>
  </si>
  <si>
    <t>10/05/2010</t>
  </si>
  <si>
    <t>09/05/2010</t>
  </si>
  <si>
    <t>08/05/2010</t>
  </si>
  <si>
    <t>07/05/2010</t>
  </si>
  <si>
    <t>06/05/2010</t>
  </si>
  <si>
    <t>05/05/2010</t>
  </si>
  <si>
    <t>04/05/2010</t>
  </si>
  <si>
    <t>03/05/2010</t>
  </si>
  <si>
    <t>02/05/2010</t>
  </si>
  <si>
    <t>01/05/2010</t>
  </si>
  <si>
    <t>30/04/2010</t>
  </si>
  <si>
    <t>29/04/2010</t>
  </si>
  <si>
    <t>28/04/2010</t>
  </si>
  <si>
    <t>27/04/2010</t>
  </si>
  <si>
    <t>26/04/2010</t>
  </si>
  <si>
    <t>25/04/2010</t>
  </si>
  <si>
    <t>24/04/2010</t>
  </si>
  <si>
    <t>23/04/2010</t>
  </si>
  <si>
    <t>22/04/2010</t>
  </si>
  <si>
    <t>21/04/2010</t>
  </si>
  <si>
    <t>20/04/2010</t>
  </si>
  <si>
    <t>19/04/2010</t>
  </si>
  <si>
    <t>18/04/2010</t>
  </si>
  <si>
    <t>17/04/2010</t>
  </si>
  <si>
    <t>16/04/2010</t>
  </si>
  <si>
    <t>15/04/2010</t>
  </si>
  <si>
    <t>14/04/2010</t>
  </si>
  <si>
    <t>13/04/2010</t>
  </si>
  <si>
    <t>12/04/2010</t>
  </si>
  <si>
    <t>11/04/2010</t>
  </si>
  <si>
    <t>10/04/2010</t>
  </si>
  <si>
    <t>09/04/2010</t>
  </si>
  <si>
    <t>08/04/2010</t>
  </si>
  <si>
    <t>07/04/2010</t>
  </si>
  <si>
    <t>06/04/2010</t>
  </si>
  <si>
    <t>05/04/2010</t>
  </si>
  <si>
    <t>04/04/2010</t>
  </si>
  <si>
    <t>03/04/2010</t>
  </si>
  <si>
    <t>02/04/2010</t>
  </si>
  <si>
    <t>01/04/2010</t>
  </si>
  <si>
    <t>31/03/2010</t>
  </si>
  <si>
    <t>30/03/2010</t>
  </si>
  <si>
    <t>29/03/2010</t>
  </si>
  <si>
    <t>28/03/2010</t>
  </si>
  <si>
    <t>27/03/2010</t>
  </si>
  <si>
    <t>26/03/2010</t>
  </si>
  <si>
    <t>25/03/2010</t>
  </si>
  <si>
    <t>24/03/2010</t>
  </si>
  <si>
    <t>23/03/2010</t>
  </si>
  <si>
    <t>22/03/2010</t>
  </si>
  <si>
    <t>21/03/2010</t>
  </si>
  <si>
    <t>20/03/2010</t>
  </si>
  <si>
    <t>19/03/2010</t>
  </si>
  <si>
    <t>18/03/2010</t>
  </si>
  <si>
    <t>17/03/2010</t>
  </si>
  <si>
    <t>16/03/2010</t>
  </si>
  <si>
    <t>15/03/2010</t>
  </si>
  <si>
    <t>14/03/2010</t>
  </si>
  <si>
    <t>13/03/2010</t>
  </si>
  <si>
    <t>12/03/2010</t>
  </si>
  <si>
    <t>11/03/2010</t>
  </si>
  <si>
    <t>10/03/2010</t>
  </si>
  <si>
    <t>09/03/2010</t>
  </si>
  <si>
    <t>08/03/2010</t>
  </si>
  <si>
    <t>07/03/2010</t>
  </si>
  <si>
    <t>06/03/2010</t>
  </si>
  <si>
    <t>05/03/2010</t>
  </si>
  <si>
    <t>04/03/2010</t>
  </si>
  <si>
    <t>03/03/2010</t>
  </si>
  <si>
    <t>02/03/2010</t>
  </si>
  <si>
    <t>01/03/2010</t>
  </si>
  <si>
    <t>28/02/2010</t>
  </si>
  <si>
    <t>27/02/2010</t>
  </si>
  <si>
    <t>26/02/2010</t>
  </si>
  <si>
    <t>25/02/2010</t>
  </si>
  <si>
    <t>24/02/2010</t>
  </si>
  <si>
    <t>23/02/2010</t>
  </si>
  <si>
    <t>22/02/2010</t>
  </si>
  <si>
    <t>21/02/2010</t>
  </si>
  <si>
    <t>20/02/2010</t>
  </si>
  <si>
    <t>19/02/2010</t>
  </si>
  <si>
    <t>18/02/2010</t>
  </si>
  <si>
    <t>17/02/2010</t>
  </si>
  <si>
    <t>16/02/2010</t>
  </si>
  <si>
    <t>15/02/2010</t>
  </si>
  <si>
    <t>14/02/2010</t>
  </si>
  <si>
    <t>13/02/2010</t>
  </si>
  <si>
    <t>12/02/2010</t>
  </si>
  <si>
    <t>11/02/2010</t>
  </si>
  <si>
    <t>10/02/2010</t>
  </si>
  <si>
    <t>09/02/2010</t>
  </si>
  <si>
    <t>08/02/2010</t>
  </si>
  <si>
    <t>07/02/2010</t>
  </si>
  <si>
    <t>06/02/2010</t>
  </si>
  <si>
    <t>05/02/2010</t>
  </si>
  <si>
    <t>04/02/2010</t>
  </si>
  <si>
    <t>03/02/2010</t>
  </si>
  <si>
    <t>02/02/2010</t>
  </si>
  <si>
    <t>01/02/2010</t>
  </si>
  <si>
    <t>31/01/2010</t>
  </si>
  <si>
    <t>30/01/2010</t>
  </si>
  <si>
    <t>29/01/2010</t>
  </si>
  <si>
    <t>28/01/2010</t>
  </si>
  <si>
    <t>27/01/2010</t>
  </si>
  <si>
    <t>26/01/2010</t>
  </si>
  <si>
    <t>25/01/2010</t>
  </si>
  <si>
    <t>24/01/2010</t>
  </si>
  <si>
    <t>23/01/2010</t>
  </si>
  <si>
    <t>22/01/2010</t>
  </si>
  <si>
    <t>21/01/2010</t>
  </si>
  <si>
    <t>20/01/2010</t>
  </si>
  <si>
    <t>19/01/2010</t>
  </si>
  <si>
    <t>18/01/2010</t>
  </si>
  <si>
    <t>17/01/2010</t>
  </si>
  <si>
    <t>16/01/2010</t>
  </si>
  <si>
    <t>15/01/2010</t>
  </si>
  <si>
    <t>14/01/2010</t>
  </si>
  <si>
    <t>13/01/2010</t>
  </si>
  <si>
    <t>12/01/2010</t>
  </si>
  <si>
    <t>11/01/2010</t>
  </si>
  <si>
    <t>10/01/2010</t>
  </si>
  <si>
    <t>09/01/2010</t>
  </si>
  <si>
    <t>08/01/2010</t>
  </si>
  <si>
    <t>07/01/2010</t>
  </si>
  <si>
    <t>06/01/2010</t>
  </si>
  <si>
    <t>05/01/2010</t>
  </si>
  <si>
    <t>04/01/2010</t>
  </si>
  <si>
    <t>03/01/2010</t>
  </si>
  <si>
    <t>02/01/2010</t>
  </si>
  <si>
    <t>01/01/2010</t>
  </si>
  <si>
    <t>31/12/2009</t>
  </si>
  <si>
    <t>30/12/2009</t>
  </si>
  <si>
    <t>29/12/2009</t>
  </si>
  <si>
    <t>28/12/2009</t>
  </si>
  <si>
    <t>27/12/2009</t>
  </si>
  <si>
    <t>26/12/2009</t>
  </si>
  <si>
    <t>25/12/2009</t>
  </si>
  <si>
    <t>24/12/2009</t>
  </si>
  <si>
    <t>23/12/2009</t>
  </si>
  <si>
    <t>22/12/2009</t>
  </si>
  <si>
    <t>21/12/2009</t>
  </si>
  <si>
    <t>20/12/2009</t>
  </si>
  <si>
    <t>19/12/2009</t>
  </si>
  <si>
    <t>18/12/2009</t>
  </si>
  <si>
    <t>17/12/2009</t>
  </si>
  <si>
    <t>16/12/2009</t>
  </si>
  <si>
    <t>15/12/2009</t>
  </si>
  <si>
    <t>14/12/2009</t>
  </si>
  <si>
    <t>13/12/2009</t>
  </si>
  <si>
    <t>12/12/2009</t>
  </si>
  <si>
    <t>11/12/2009</t>
  </si>
  <si>
    <t>10/12/2009</t>
  </si>
  <si>
    <t>09/12/2009</t>
  </si>
  <si>
    <t>08/12/2009</t>
  </si>
  <si>
    <t>07/12/2009</t>
  </si>
  <si>
    <t>06/12/2009</t>
  </si>
  <si>
    <t>05/12/2009</t>
  </si>
  <si>
    <t>04/12/2009</t>
  </si>
  <si>
    <t>03/12/2009</t>
  </si>
  <si>
    <t>02/12/2009</t>
  </si>
  <si>
    <t>01/12/2009</t>
  </si>
  <si>
    <t>30/11/2009</t>
  </si>
  <si>
    <t>29/11/2009</t>
  </si>
  <si>
    <t>28/11/2009</t>
  </si>
  <si>
    <t>27/11/2009</t>
  </si>
  <si>
    <t>26/11/2009</t>
  </si>
  <si>
    <t>25/11/2009</t>
  </si>
  <si>
    <t>24/11/2009</t>
  </si>
  <si>
    <t>23/11/2009</t>
  </si>
  <si>
    <t>22/11/2009</t>
  </si>
  <si>
    <t>21/11/2009</t>
  </si>
  <si>
    <t>20/11/2009</t>
  </si>
  <si>
    <t>19/11/2009</t>
  </si>
  <si>
    <t>18/11/2009</t>
  </si>
  <si>
    <t>17/11/2009</t>
  </si>
  <si>
    <t>16/11/2009</t>
  </si>
  <si>
    <t>15/11/2009</t>
  </si>
  <si>
    <t>14/11/2009</t>
  </si>
  <si>
    <t>13/11/2009</t>
  </si>
  <si>
    <t>12/11/2009</t>
  </si>
  <si>
    <t>11/11/2009</t>
  </si>
  <si>
    <t>10/11/2009</t>
  </si>
  <si>
    <t>09/11/2009</t>
  </si>
  <si>
    <t>08/11/2009</t>
  </si>
  <si>
    <t>07/11/2009</t>
  </si>
  <si>
    <t>06/11/2009</t>
  </si>
  <si>
    <t>05/11/2009</t>
  </si>
  <si>
    <t>04/11/2009</t>
  </si>
  <si>
    <t>03/11/2009</t>
  </si>
  <si>
    <t>02/11/2009</t>
  </si>
  <si>
    <t>01/11/2009</t>
  </si>
  <si>
    <t>31/10/2009</t>
  </si>
  <si>
    <t>30/10/2009</t>
  </si>
  <si>
    <t>29/10/2009</t>
  </si>
  <si>
    <t>28/10/2009</t>
  </si>
  <si>
    <t>27/10/2009</t>
  </si>
  <si>
    <t>26/10/2009</t>
  </si>
  <si>
    <t>25/10/2009</t>
  </si>
  <si>
    <t>24/10/2009</t>
  </si>
  <si>
    <t>23/10/2009</t>
  </si>
  <si>
    <t>22/10/2009</t>
  </si>
  <si>
    <t>21/10/2009</t>
  </si>
  <si>
    <t>20/10/2009</t>
  </si>
  <si>
    <t>19/10/2009</t>
  </si>
  <si>
    <t>18/10/2009</t>
  </si>
  <si>
    <t>17/10/2009</t>
  </si>
  <si>
    <t>16/10/2009</t>
  </si>
  <si>
    <t>15/10/2009</t>
  </si>
  <si>
    <t>14/10/2009</t>
  </si>
  <si>
    <t>13/10/2009</t>
  </si>
  <si>
    <t>12/10/2009</t>
  </si>
  <si>
    <t>11/10/2009</t>
  </si>
  <si>
    <t>10/10/2009</t>
  </si>
  <si>
    <t>09/10/2009</t>
  </si>
  <si>
    <t>08/10/2009</t>
  </si>
  <si>
    <t>07/10/2009</t>
  </si>
  <si>
    <t>06/10/2009</t>
  </si>
  <si>
    <t>05/10/2009</t>
  </si>
  <si>
    <t>04/10/2009</t>
  </si>
  <si>
    <t>03/10/2009</t>
  </si>
  <si>
    <t>02/10/2009</t>
  </si>
  <si>
    <t>01/10/2009</t>
  </si>
  <si>
    <t>30/09/2009</t>
  </si>
  <si>
    <t>29/09/2009</t>
  </si>
  <si>
    <t>28/09/2009</t>
  </si>
  <si>
    <t>27/09/2009</t>
  </si>
  <si>
    <t>26/09/2009</t>
  </si>
  <si>
    <t>25/09/2009</t>
  </si>
  <si>
    <t>24/09/2009</t>
  </si>
  <si>
    <t>23/09/2009</t>
  </si>
  <si>
    <t>22/09/2009</t>
  </si>
  <si>
    <t>21/09/2009</t>
  </si>
  <si>
    <t>20/09/2009</t>
  </si>
  <si>
    <t>19/09/2009</t>
  </si>
  <si>
    <t>18/09/2009</t>
  </si>
  <si>
    <t>17/09/2009</t>
  </si>
  <si>
    <t>16/09/2009</t>
  </si>
  <si>
    <t>15/09/2009</t>
  </si>
  <si>
    <t>14/09/2009</t>
  </si>
  <si>
    <t>13/09/2009</t>
  </si>
  <si>
    <t>12/09/2009</t>
  </si>
  <si>
    <t>11/09/2009</t>
  </si>
  <si>
    <t>10/09/2009</t>
  </si>
  <si>
    <t>09/09/2009</t>
  </si>
  <si>
    <t>08/09/2009</t>
  </si>
  <si>
    <t>07/09/2009</t>
  </si>
  <si>
    <t>06/09/2009</t>
  </si>
  <si>
    <t>05/09/2009</t>
  </si>
  <si>
    <t>04/09/2009</t>
  </si>
  <si>
    <t>03/09/2009</t>
  </si>
  <si>
    <t>02/09/2009</t>
  </si>
  <si>
    <t>01/09/2009</t>
  </si>
  <si>
    <t>31/08/2009</t>
  </si>
  <si>
    <t>30/08/2009</t>
  </si>
  <si>
    <t>29/08/2009</t>
  </si>
  <si>
    <t>28/08/2009</t>
  </si>
  <si>
    <t>27/08/2009</t>
  </si>
  <si>
    <t>26/08/2009</t>
  </si>
  <si>
    <t>25/08/2009</t>
  </si>
  <si>
    <t>24/08/2009</t>
  </si>
  <si>
    <t>23/08/2009</t>
  </si>
  <si>
    <t>22/08/2009</t>
  </si>
  <si>
    <t>21/08/2009</t>
  </si>
  <si>
    <t>20/08/2009</t>
  </si>
  <si>
    <t>19/08/2009</t>
  </si>
  <si>
    <t>18/08/2009</t>
  </si>
  <si>
    <t>17/08/2009</t>
  </si>
  <si>
    <t>16/08/2009</t>
  </si>
  <si>
    <t>15/08/2009</t>
  </si>
  <si>
    <t>14/08/2009</t>
  </si>
  <si>
    <t>13/08/2009</t>
  </si>
  <si>
    <t>12/08/2009</t>
  </si>
  <si>
    <t>11/08/2009</t>
  </si>
  <si>
    <t>10/08/2009</t>
  </si>
  <si>
    <t>09/08/2009</t>
  </si>
  <si>
    <t>08/08/2009</t>
  </si>
  <si>
    <t>07/08/2009</t>
  </si>
  <si>
    <t>06/08/2009</t>
  </si>
  <si>
    <t>05/08/2009</t>
  </si>
  <si>
    <t>04/08/2009</t>
  </si>
  <si>
    <t>03/08/2009</t>
  </si>
  <si>
    <t>02/08/2009</t>
  </si>
  <si>
    <t>01/08/2009</t>
  </si>
  <si>
    <t>31/07/2009</t>
  </si>
  <si>
    <t>30/07/2009</t>
  </si>
  <si>
    <t>29/07/2009</t>
  </si>
  <si>
    <t>28/07/2009</t>
  </si>
  <si>
    <t>27/07/2009</t>
  </si>
  <si>
    <t>26/07/2009</t>
  </si>
  <si>
    <t>25/07/2009</t>
  </si>
  <si>
    <t>24/07/2009</t>
  </si>
  <si>
    <t>23/07/2009</t>
  </si>
  <si>
    <t>22/07/2009</t>
  </si>
  <si>
    <t>21/07/2009</t>
  </si>
  <si>
    <t>20/07/2009</t>
  </si>
  <si>
    <t>19/07/2009</t>
  </si>
  <si>
    <t>18/07/2009</t>
  </si>
  <si>
    <t>17/07/2009</t>
  </si>
  <si>
    <t>16/07/2009</t>
  </si>
  <si>
    <t>15/07/2009</t>
  </si>
  <si>
    <t>14/07/2009</t>
  </si>
  <si>
    <t>13/07/2009</t>
  </si>
  <si>
    <t>12/07/2009</t>
  </si>
  <si>
    <t>11/07/2009</t>
  </si>
  <si>
    <t>10/07/2009</t>
  </si>
  <si>
    <t>09/07/2009</t>
  </si>
  <si>
    <t>08/07/2009</t>
  </si>
  <si>
    <t>07/07/2009</t>
  </si>
  <si>
    <t>06/07/2009</t>
  </si>
  <si>
    <t>05/07/2009</t>
  </si>
  <si>
    <t>04/07/2009</t>
  </si>
  <si>
    <t>03/07/2009</t>
  </si>
  <si>
    <t>02/07/2009</t>
  </si>
  <si>
    <t>01/07/2009</t>
  </si>
  <si>
    <t>30/06/2009</t>
  </si>
  <si>
    <t>29/06/2009</t>
  </si>
  <si>
    <t>28/06/2009</t>
  </si>
  <si>
    <t>27/06/2009</t>
  </si>
  <si>
    <t>26/06/2009</t>
  </si>
  <si>
    <t>25/06/2009</t>
  </si>
  <si>
    <t>24/06/2009</t>
  </si>
  <si>
    <t>23/06/2009</t>
  </si>
  <si>
    <t>22/06/2009</t>
  </si>
  <si>
    <t>21/06/2009</t>
  </si>
  <si>
    <t>20/06/2009</t>
  </si>
  <si>
    <t>19/06/2009</t>
  </si>
  <si>
    <t>18/06/2009</t>
  </si>
  <si>
    <t>17/06/2009</t>
  </si>
  <si>
    <t>16/06/2009</t>
  </si>
  <si>
    <t>15/06/2009</t>
  </si>
  <si>
    <t>14/06/2009</t>
  </si>
  <si>
    <t>13/06/2009</t>
  </si>
  <si>
    <t>12/06/2009</t>
  </si>
  <si>
    <t>11/06/2009</t>
  </si>
  <si>
    <t>10/06/2009</t>
  </si>
  <si>
    <t>09/06/2009</t>
  </si>
  <si>
    <t>08/06/2009</t>
  </si>
  <si>
    <t>07/06/2009</t>
  </si>
  <si>
    <t>06/06/2009</t>
  </si>
  <si>
    <t>05/06/2009</t>
  </si>
  <si>
    <t>04/06/2009</t>
  </si>
  <si>
    <t>03/06/2009</t>
  </si>
  <si>
    <t>02/06/2009</t>
  </si>
  <si>
    <t>01/06/2009</t>
  </si>
  <si>
    <t>31/05/2009</t>
  </si>
  <si>
    <t>30/05/2009</t>
  </si>
  <si>
    <t>29/05/2009</t>
  </si>
  <si>
    <t>28/05/2009</t>
  </si>
  <si>
    <t>27/05/2009</t>
  </si>
  <si>
    <t>26/05/2009</t>
  </si>
  <si>
    <t>25/05/2009</t>
  </si>
  <si>
    <t>24/05/2009</t>
  </si>
  <si>
    <t>23/05/2009</t>
  </si>
  <si>
    <t>22/05/2009</t>
  </si>
  <si>
    <t>21/05/2009</t>
  </si>
  <si>
    <t>20/05/2009</t>
  </si>
  <si>
    <t>19/05/2009</t>
  </si>
  <si>
    <t>18/05/2009</t>
  </si>
  <si>
    <t>17/05/2009</t>
  </si>
  <si>
    <t>16/05/2009</t>
  </si>
  <si>
    <t>15/05/2009</t>
  </si>
  <si>
    <t>14/05/2009</t>
  </si>
  <si>
    <t>13/05/2009</t>
  </si>
  <si>
    <t>12/05/2009</t>
  </si>
  <si>
    <t>11/05/2009</t>
  </si>
  <si>
    <t>10/05/2009</t>
  </si>
  <si>
    <t>09/05/2009</t>
  </si>
  <si>
    <t>08/05/2009</t>
  </si>
  <si>
    <t>07/05/2009</t>
  </si>
  <si>
    <t>06/05/2009</t>
  </si>
  <si>
    <t>05/05/2009</t>
  </si>
  <si>
    <t>04/05/2009</t>
  </si>
  <si>
    <t>03/05/2009</t>
  </si>
  <si>
    <t>02/05/2009</t>
  </si>
  <si>
    <t>01/05/2009</t>
  </si>
  <si>
    <t>30/04/2009</t>
  </si>
  <si>
    <t>29/04/2009</t>
  </si>
  <si>
    <t>28/04/2009</t>
  </si>
  <si>
    <t>27/04/2009</t>
  </si>
  <si>
    <t>26/04/2009</t>
  </si>
  <si>
    <t>25/04/2009</t>
  </si>
  <si>
    <t>24/04/2009</t>
  </si>
  <si>
    <t>23/04/2009</t>
  </si>
  <si>
    <t>22/04/2009</t>
  </si>
  <si>
    <t>21/04/2009</t>
  </si>
  <si>
    <t>20/04/2009</t>
  </si>
  <si>
    <t>19/04/2009</t>
  </si>
  <si>
    <t>18/04/2009</t>
  </si>
  <si>
    <t>17/04/2009</t>
  </si>
  <si>
    <t>16/04/2009</t>
  </si>
  <si>
    <t>15/04/2009</t>
  </si>
  <si>
    <t>14/04/2009</t>
  </si>
  <si>
    <t>13/04/2009</t>
  </si>
  <si>
    <t>12/04/2009</t>
  </si>
  <si>
    <t>11/04/2009</t>
  </si>
  <si>
    <t>10/04/2009</t>
  </si>
  <si>
    <t>09/04/2009</t>
  </si>
  <si>
    <t>08/04/2009</t>
  </si>
  <si>
    <t>07/04/2009</t>
  </si>
  <si>
    <t>06/04/2009</t>
  </si>
  <si>
    <t>05/04/2009</t>
  </si>
  <si>
    <t>04/04/2009</t>
  </si>
  <si>
    <t>03/04/2009</t>
  </si>
  <si>
    <t>02/04/2009</t>
  </si>
  <si>
    <t>01/04/2009</t>
  </si>
  <si>
    <t>31/03/2009</t>
  </si>
  <si>
    <t>30/03/2009</t>
  </si>
  <si>
    <t>29/03/2009</t>
  </si>
  <si>
    <t>28/03/2009</t>
  </si>
  <si>
    <t>27/03/2009</t>
  </si>
  <si>
    <t>26/03/2009</t>
  </si>
  <si>
    <t>25/03/2009</t>
  </si>
  <si>
    <t>24/03/2009</t>
  </si>
  <si>
    <t>23/03/2009</t>
  </si>
  <si>
    <t>22/03/2009</t>
  </si>
  <si>
    <t>21/03/2009</t>
  </si>
  <si>
    <t>20/03/2009</t>
  </si>
  <si>
    <t>19/03/2009</t>
  </si>
  <si>
    <t>18/03/2009</t>
  </si>
  <si>
    <t>17/03/2009</t>
  </si>
  <si>
    <t>16/03/2009</t>
  </si>
  <si>
    <t>15/03/2009</t>
  </si>
  <si>
    <t>14/03/2009</t>
  </si>
  <si>
    <t>13/03/2009</t>
  </si>
  <si>
    <t>12/03/2009</t>
  </si>
  <si>
    <t>11/03/2009</t>
  </si>
  <si>
    <t>10/03/2009</t>
  </si>
  <si>
    <t>09/03/2009</t>
  </si>
  <si>
    <t>08/03/2009</t>
  </si>
  <si>
    <t>07/03/2009</t>
  </si>
  <si>
    <t>06/03/2009</t>
  </si>
  <si>
    <t>05/03/2009</t>
  </si>
  <si>
    <t>04/03/2009</t>
  </si>
  <si>
    <t>03/03/2009</t>
  </si>
  <si>
    <t>02/03/2009</t>
  </si>
  <si>
    <t>01/03/2009</t>
  </si>
  <si>
    <t>28/02/2009</t>
  </si>
  <si>
    <t>27/02/2009</t>
  </si>
  <si>
    <t>26/02/2009</t>
  </si>
  <si>
    <t>25/02/2009</t>
  </si>
  <si>
    <t>24/02/2009</t>
  </si>
  <si>
    <t>23/02/2009</t>
  </si>
  <si>
    <t>22/02/2009</t>
  </si>
  <si>
    <t>21/02/2009</t>
  </si>
  <si>
    <t>20/02/2009</t>
  </si>
  <si>
    <t>19/02/2009</t>
  </si>
  <si>
    <t>18/02/2009</t>
  </si>
  <si>
    <t>17/02/2009</t>
  </si>
  <si>
    <t>16/02/2009</t>
  </si>
  <si>
    <t>15/02/2009</t>
  </si>
  <si>
    <t>14/02/2009</t>
  </si>
  <si>
    <t>13/02/2009</t>
  </si>
  <si>
    <t>12/02/2009</t>
  </si>
  <si>
    <t>11/02/2009</t>
  </si>
  <si>
    <t>10/02/2009</t>
  </si>
  <si>
    <t>09/02/2009</t>
  </si>
  <si>
    <t>08/02/2009</t>
  </si>
  <si>
    <t>07/02/2009</t>
  </si>
  <si>
    <t>06/02/2009</t>
  </si>
  <si>
    <t>05/02/2009</t>
  </si>
  <si>
    <t>04/02/2009</t>
  </si>
  <si>
    <t>03/02/2009</t>
  </si>
  <si>
    <t>02/02/2009</t>
  </si>
  <si>
    <t>01/02/2009</t>
  </si>
  <si>
    <t>31/01/2009</t>
  </si>
  <si>
    <t>30/01/2009</t>
  </si>
  <si>
    <t>29/01/2009</t>
  </si>
  <si>
    <t>28/01/2009</t>
  </si>
  <si>
    <t>27/01/2009</t>
  </si>
  <si>
    <t>26/01/2009</t>
  </si>
  <si>
    <t>25/01/2009</t>
  </si>
  <si>
    <t>24/01/2009</t>
  </si>
  <si>
    <t>23/01/2009</t>
  </si>
  <si>
    <t>22/01/2009</t>
  </si>
  <si>
    <t>21/01/2009</t>
  </si>
  <si>
    <t>20/01/2009</t>
  </si>
  <si>
    <t>19/01/2009</t>
  </si>
  <si>
    <t>18/01/2009</t>
  </si>
  <si>
    <t>17/01/2009</t>
  </si>
  <si>
    <t>16/01/2009</t>
  </si>
  <si>
    <t>15/01/2009</t>
  </si>
  <si>
    <t>14/01/2009</t>
  </si>
  <si>
    <t>13/01/2009</t>
  </si>
  <si>
    <t>12/01/2009</t>
  </si>
  <si>
    <t>11/01/2009</t>
  </si>
  <si>
    <t>10/01/2009</t>
  </si>
  <si>
    <t>09/01/2009</t>
  </si>
  <si>
    <t>08/01/2009</t>
  </si>
  <si>
    <t>07/01/2009</t>
  </si>
  <si>
    <t>06/01/2009</t>
  </si>
  <si>
    <t>05/01/2009</t>
  </si>
  <si>
    <t>04/01/2009</t>
  </si>
  <si>
    <t>03/01/2009</t>
  </si>
  <si>
    <t>02/01/2009</t>
  </si>
  <si>
    <t>01/01/2009</t>
  </si>
  <si>
    <t>31/12/2008</t>
  </si>
  <si>
    <t>30/12/2008</t>
  </si>
  <si>
    <t>29/12/2008</t>
  </si>
  <si>
    <t>28/12/2008</t>
  </si>
  <si>
    <t>27/12/2008</t>
  </si>
  <si>
    <t>26/12/2008</t>
  </si>
  <si>
    <t>25/12/2008</t>
  </si>
  <si>
    <t>24/12/2008</t>
  </si>
  <si>
    <t>23/12/2008</t>
  </si>
  <si>
    <t>22/12/2008</t>
  </si>
  <si>
    <t>21/12/2008</t>
  </si>
  <si>
    <t>20/12/2008</t>
  </si>
  <si>
    <t>19/12/2008</t>
  </si>
  <si>
    <t>18/12/2008</t>
  </si>
  <si>
    <t>17/12/2008</t>
  </si>
  <si>
    <t>16/12/2008</t>
  </si>
  <si>
    <t>15/12/2008</t>
  </si>
  <si>
    <t>14/12/2008</t>
  </si>
  <si>
    <t>13/12/2008</t>
  </si>
  <si>
    <t>12/12/2008</t>
  </si>
  <si>
    <t>11/12/2008</t>
  </si>
  <si>
    <t>10/12/2008</t>
  </si>
  <si>
    <t>09/12/2008</t>
  </si>
  <si>
    <t>08/12/2008</t>
  </si>
  <si>
    <t>07/12/2008</t>
  </si>
  <si>
    <t>06/12/2008</t>
  </si>
  <si>
    <t>05/12/2008</t>
  </si>
  <si>
    <t>04/12/2008</t>
  </si>
  <si>
    <t>03/12/2008</t>
  </si>
  <si>
    <t>02/12/2008</t>
  </si>
  <si>
    <t>01/12/2008</t>
  </si>
  <si>
    <t>30/11/2008</t>
  </si>
  <si>
    <t>29/11/2008</t>
  </si>
  <si>
    <t>28/11/2008</t>
  </si>
  <si>
    <t>27/11/2008</t>
  </si>
  <si>
    <t>26/11/2008</t>
  </si>
  <si>
    <t>25/11/2008</t>
  </si>
  <si>
    <t>24/11/2008</t>
  </si>
  <si>
    <t>23/11/2008</t>
  </si>
  <si>
    <t>22/11/2008</t>
  </si>
  <si>
    <t>21/11/2008</t>
  </si>
  <si>
    <t>20/11/2008</t>
  </si>
  <si>
    <t>19/11/2008</t>
  </si>
  <si>
    <t>18/11/2008</t>
  </si>
  <si>
    <t>17/11/2008</t>
  </si>
  <si>
    <t>16/11/2008</t>
  </si>
  <si>
    <t>15/11/2008</t>
  </si>
  <si>
    <t>14/11/2008</t>
  </si>
  <si>
    <t>13/11/2008</t>
  </si>
  <si>
    <t>12/11/2008</t>
  </si>
  <si>
    <t>11/11/2008</t>
  </si>
  <si>
    <t>10/11/2008</t>
  </si>
  <si>
    <t>09/11/2008</t>
  </si>
  <si>
    <t>08/11/2008</t>
  </si>
  <si>
    <t>07/11/2008</t>
  </si>
  <si>
    <t>06/11/2008</t>
  </si>
  <si>
    <t>05/11/2008</t>
  </si>
  <si>
    <t>04/11/2008</t>
  </si>
  <si>
    <t>03/11/2008</t>
  </si>
  <si>
    <t>02/11/2008</t>
  </si>
  <si>
    <t>01/11/2008</t>
  </si>
  <si>
    <t>31/10/2008</t>
  </si>
  <si>
    <t>30/10/2008</t>
  </si>
  <si>
    <t>29/10/2008</t>
  </si>
  <si>
    <t>28/10/2008</t>
  </si>
  <si>
    <t>27/10/2008</t>
  </si>
  <si>
    <t>26/10/2008</t>
  </si>
  <si>
    <t>25/10/2008</t>
  </si>
  <si>
    <t>24/10/2008</t>
  </si>
  <si>
    <t>23/10/2008</t>
  </si>
  <si>
    <t>22/10/2008</t>
  </si>
  <si>
    <t>21/10/2008</t>
  </si>
  <si>
    <t>20/10/2008</t>
  </si>
  <si>
    <t>19/10/2008</t>
  </si>
  <si>
    <t>18/10/2008</t>
  </si>
  <si>
    <t>17/10/2008</t>
  </si>
  <si>
    <t>16/10/2008</t>
  </si>
  <si>
    <t>15/10/2008</t>
  </si>
  <si>
    <t>14/10/2008</t>
  </si>
  <si>
    <t>13/10/2008</t>
  </si>
  <si>
    <t>12/10/2008</t>
  </si>
  <si>
    <t>11/10/2008</t>
  </si>
  <si>
    <t>10/10/2008</t>
  </si>
  <si>
    <t>09/10/2008</t>
  </si>
  <si>
    <t>08/10/2008</t>
  </si>
  <si>
    <t>07/10/2008</t>
  </si>
  <si>
    <t>06/10/2008</t>
  </si>
  <si>
    <t>05/10/2008</t>
  </si>
  <si>
    <t>04/10/2008</t>
  </si>
  <si>
    <t>03/10/2008</t>
  </si>
  <si>
    <t>02/10/2008</t>
  </si>
  <si>
    <t>01/10/2008</t>
  </si>
  <si>
    <t>30/09/2008</t>
  </si>
  <si>
    <t>29/09/2008</t>
  </si>
  <si>
    <t>28/09/2008</t>
  </si>
  <si>
    <t>27/09/2008</t>
  </si>
  <si>
    <t>26/09/2008</t>
  </si>
  <si>
    <t>25/09/2008</t>
  </si>
  <si>
    <t>24/09/2008</t>
  </si>
  <si>
    <t>23/09/2008</t>
  </si>
  <si>
    <t>22/09/2008</t>
  </si>
  <si>
    <t>21/09/2008</t>
  </si>
  <si>
    <t>20/09/2008</t>
  </si>
  <si>
    <t>19/09/2008</t>
  </si>
  <si>
    <t>18/09/2008</t>
  </si>
  <si>
    <t>17/09/2008</t>
  </si>
  <si>
    <t>16/09/2008</t>
  </si>
  <si>
    <t>15/09/2008</t>
  </si>
  <si>
    <t>14/09/2008</t>
  </si>
  <si>
    <t>13/09/2008</t>
  </si>
  <si>
    <t>12/09/2008</t>
  </si>
  <si>
    <t>11/09/2008</t>
  </si>
  <si>
    <t>10/09/2008</t>
  </si>
  <si>
    <t>09/09/2008</t>
  </si>
  <si>
    <t>08/09/2008</t>
  </si>
  <si>
    <t>07/09/2008</t>
  </si>
  <si>
    <t>06/09/2008</t>
  </si>
  <si>
    <t>05/09/2008</t>
  </si>
  <si>
    <t>04/09/2008</t>
  </si>
  <si>
    <t>03/09/2008</t>
  </si>
  <si>
    <t>02/09/2008</t>
  </si>
  <si>
    <t>01/09/2008</t>
  </si>
  <si>
    <t>31/08/2008</t>
  </si>
  <si>
    <t>30/08/2008</t>
  </si>
  <si>
    <t>29/08/2008</t>
  </si>
  <si>
    <t>28/08/2008</t>
  </si>
  <si>
    <t>27/08/2008</t>
  </si>
  <si>
    <t>26/08/2008</t>
  </si>
  <si>
    <t>25/08/2008</t>
  </si>
  <si>
    <t>24/08/2008</t>
  </si>
  <si>
    <t>23/08/2008</t>
  </si>
  <si>
    <t>22/08/2008</t>
  </si>
  <si>
    <t>21/08/2008</t>
  </si>
  <si>
    <t>20/08/2008</t>
  </si>
  <si>
    <t>19/08/2008</t>
  </si>
  <si>
    <t>18/08/2008</t>
  </si>
  <si>
    <t>17/08/2008</t>
  </si>
  <si>
    <t>16/08/2008</t>
  </si>
  <si>
    <t>15/08/2008</t>
  </si>
  <si>
    <t>14/08/2008</t>
  </si>
  <si>
    <t>13/08/2008</t>
  </si>
  <si>
    <t>12/08/2008</t>
  </si>
  <si>
    <t>11/08/2008</t>
  </si>
  <si>
    <t>10/08/2008</t>
  </si>
  <si>
    <t>09/08/2008</t>
  </si>
  <si>
    <t>08/08/2008</t>
  </si>
  <si>
    <t>07/08/2008</t>
  </si>
  <si>
    <t>06/08/2008</t>
  </si>
  <si>
    <t>05/08/2008</t>
  </si>
  <si>
    <t>04/08/2008</t>
  </si>
  <si>
    <t>03/08/2008</t>
  </si>
  <si>
    <t>02/08/2008</t>
  </si>
  <si>
    <t>01/08/2008</t>
  </si>
  <si>
    <t>31/07/2008</t>
  </si>
  <si>
    <t>30/07/2008</t>
  </si>
  <si>
    <t>29/07/2008</t>
  </si>
  <si>
    <t>28/07/2008</t>
  </si>
  <si>
    <t>27/07/2008</t>
  </si>
  <si>
    <t>26/07/2008</t>
  </si>
  <si>
    <t>25/07/2008</t>
  </si>
  <si>
    <t>24/07/2008</t>
  </si>
  <si>
    <t>23/07/2008</t>
  </si>
  <si>
    <t>22/07/2008</t>
  </si>
  <si>
    <t>21/07/2008</t>
  </si>
  <si>
    <t>20/07/2008</t>
  </si>
  <si>
    <t>19/07/2008</t>
  </si>
  <si>
    <t>18/07/2008</t>
  </si>
  <si>
    <t>17/07/2008</t>
  </si>
  <si>
    <t>16/07/2008</t>
  </si>
  <si>
    <t>15/07/2008</t>
  </si>
  <si>
    <t>14/07/2008</t>
  </si>
  <si>
    <t>13/07/2008</t>
  </si>
  <si>
    <t>12/07/2008</t>
  </si>
  <si>
    <t>11/07/2008</t>
  </si>
  <si>
    <t>10/07/2008</t>
  </si>
  <si>
    <t>09/07/2008</t>
  </si>
  <si>
    <t>08/07/2008</t>
  </si>
  <si>
    <t>07/07/2008</t>
  </si>
  <si>
    <t>06/07/2008</t>
  </si>
  <si>
    <t>05/07/2008</t>
  </si>
  <si>
    <t>04/07/2008</t>
  </si>
  <si>
    <t>03/07/2008</t>
  </si>
  <si>
    <t>02/07/2008</t>
  </si>
  <si>
    <t>01/07/2008</t>
  </si>
  <si>
    <t>30/06/2008</t>
  </si>
  <si>
    <t>29/06/2008</t>
  </si>
  <si>
    <t>28/06/2008</t>
  </si>
  <si>
    <t>27/06/2008</t>
  </si>
  <si>
    <t>26/06/2008</t>
  </si>
  <si>
    <t>25/06/2008</t>
  </si>
  <si>
    <t>24/06/2008</t>
  </si>
  <si>
    <t>23/06/2008</t>
  </si>
  <si>
    <t>22/06/2008</t>
  </si>
  <si>
    <t>21/06/2008</t>
  </si>
  <si>
    <t>20/06/2008</t>
  </si>
  <si>
    <t>19/06/2008</t>
  </si>
  <si>
    <t>18/06/2008</t>
  </si>
  <si>
    <t>17/06/2008</t>
  </si>
  <si>
    <t>16/06/2008</t>
  </si>
  <si>
    <t>15/06/2008</t>
  </si>
  <si>
    <t>14/06/2008</t>
  </si>
  <si>
    <t>13/06/2008</t>
  </si>
  <si>
    <t>12/06/2008</t>
  </si>
  <si>
    <t>11/06/2008</t>
  </si>
  <si>
    <t>10/06/2008</t>
  </si>
  <si>
    <t>09/06/2008</t>
  </si>
  <si>
    <t>08/06/2008</t>
  </si>
  <si>
    <t>07/06/2008</t>
  </si>
  <si>
    <t>06/06/2008</t>
  </si>
  <si>
    <t>05/06/2008</t>
  </si>
  <si>
    <t>04/06/2008</t>
  </si>
  <si>
    <t>03/06/2008</t>
  </si>
  <si>
    <t>02/06/2008</t>
  </si>
  <si>
    <t>01/06/2008</t>
  </si>
  <si>
    <t>31/05/2008</t>
  </si>
  <si>
    <t>30/05/2008</t>
  </si>
  <si>
    <t>29/05/2008</t>
  </si>
  <si>
    <t>28/05/2008</t>
  </si>
  <si>
    <t>27/05/2008</t>
  </si>
  <si>
    <t>26/05/2008</t>
  </si>
  <si>
    <t>25/05/2008</t>
  </si>
  <si>
    <t>24/05/2008</t>
  </si>
  <si>
    <t>23/05/2008</t>
  </si>
  <si>
    <t>22/05/2008</t>
  </si>
  <si>
    <t>21/05/2008</t>
  </si>
  <si>
    <t>20/05/2008</t>
  </si>
  <si>
    <t>19/05/2008</t>
  </si>
  <si>
    <t>18/05/2008</t>
  </si>
  <si>
    <t>17/05/2008</t>
  </si>
  <si>
    <t>16/05/2008</t>
  </si>
  <si>
    <t>15/05/2008</t>
  </si>
  <si>
    <t>14/05/2008</t>
  </si>
  <si>
    <t>13/05/2008</t>
  </si>
  <si>
    <t>12/05/2008</t>
  </si>
  <si>
    <t>11/05/2008</t>
  </si>
  <si>
    <t>10/05/2008</t>
  </si>
  <si>
    <t>09/05/2008</t>
  </si>
  <si>
    <t>08/05/2008</t>
  </si>
  <si>
    <t>07/05/2008</t>
  </si>
  <si>
    <t>06/05/2008</t>
  </si>
  <si>
    <t>05/05/2008</t>
  </si>
  <si>
    <t>04/05/2008</t>
  </si>
  <si>
    <t>03/05/2008</t>
  </si>
  <si>
    <t>02/05/2008</t>
  </si>
  <si>
    <t>01/05/2008</t>
  </si>
  <si>
    <t>30/04/2008</t>
  </si>
  <si>
    <t>29/04/2008</t>
  </si>
  <si>
    <t>28/04/2008</t>
  </si>
  <si>
    <t>27/04/2008</t>
  </si>
  <si>
    <t>26/04/2008</t>
  </si>
  <si>
    <t>25/04/2008</t>
  </si>
  <si>
    <t>24/04/2008</t>
  </si>
  <si>
    <t>23/04/2008</t>
  </si>
  <si>
    <t>22/04/2008</t>
  </si>
  <si>
    <t>21/04/2008</t>
  </si>
  <si>
    <t>20/04/2008</t>
  </si>
  <si>
    <t>19/04/2008</t>
  </si>
  <si>
    <t>18/04/2008</t>
  </si>
  <si>
    <t>17/04/2008</t>
  </si>
  <si>
    <t>16/04/2008</t>
  </si>
  <si>
    <t>15/04/2008</t>
  </si>
  <si>
    <t>14/04/2008</t>
  </si>
  <si>
    <t>13/04/2008</t>
  </si>
  <si>
    <t>12/04/2008</t>
  </si>
  <si>
    <t>11/04/2008</t>
  </si>
  <si>
    <t>10/04/2008</t>
  </si>
  <si>
    <t>09/04/2008</t>
  </si>
  <si>
    <t>08/04/2008</t>
  </si>
  <si>
    <t>07/04/2008</t>
  </si>
  <si>
    <t>06/04/2008</t>
  </si>
  <si>
    <t>05/04/2008</t>
  </si>
  <si>
    <t>04/04/2008</t>
  </si>
  <si>
    <t>03/04/2008</t>
  </si>
  <si>
    <t>02/04/2008</t>
  </si>
  <si>
    <t>01/04/2008</t>
  </si>
  <si>
    <t>31/03/2008</t>
  </si>
  <si>
    <t>30/03/2008</t>
  </si>
  <si>
    <t>29/03/2008</t>
  </si>
  <si>
    <t>28/03/2008</t>
  </si>
  <si>
    <t>27/03/2008</t>
  </si>
  <si>
    <t>26/03/2008</t>
  </si>
  <si>
    <t>25/03/2008</t>
  </si>
  <si>
    <t>24/03/2008</t>
  </si>
  <si>
    <t>23/03/2008</t>
  </si>
  <si>
    <t>22/03/2008</t>
  </si>
  <si>
    <t>21/03/2008</t>
  </si>
  <si>
    <t>20/03/2008</t>
  </si>
  <si>
    <t>19/03/2008</t>
  </si>
  <si>
    <t>18/03/2008</t>
  </si>
  <si>
    <t>17/03/2008</t>
  </si>
  <si>
    <t>16/03/2008</t>
  </si>
  <si>
    <t>15/03/2008</t>
  </si>
  <si>
    <t>14/03/2008</t>
  </si>
  <si>
    <t>13/03/2008</t>
  </si>
  <si>
    <t>12/03/2008</t>
  </si>
  <si>
    <t>11/03/2008</t>
  </si>
  <si>
    <t>10/03/2008</t>
  </si>
  <si>
    <t>09/03/2008</t>
  </si>
  <si>
    <t>08/03/2008</t>
  </si>
  <si>
    <t>07/03/2008</t>
  </si>
  <si>
    <t>06/03/2008</t>
  </si>
  <si>
    <t>05/03/2008</t>
  </si>
  <si>
    <t>04/03/2008</t>
  </si>
  <si>
    <t>03/03/2008</t>
  </si>
  <si>
    <t>02/03/2008</t>
  </si>
  <si>
    <t>01/03/2008</t>
  </si>
  <si>
    <t>29/02/2008</t>
  </si>
  <si>
    <t>28/02/2008</t>
  </si>
  <si>
    <t>27/02/2008</t>
  </si>
  <si>
    <t>26/02/2008</t>
  </si>
  <si>
    <t>25/02/2008</t>
  </si>
  <si>
    <t>24/02/2008</t>
  </si>
  <si>
    <t>23/02/2008</t>
  </si>
  <si>
    <t>22/02/2008</t>
  </si>
  <si>
    <t>21/02/2008</t>
  </si>
  <si>
    <t>20/02/2008</t>
  </si>
  <si>
    <t>19/02/2008</t>
  </si>
  <si>
    <t>18/02/2008</t>
  </si>
  <si>
    <t>17/02/2008</t>
  </si>
  <si>
    <t>16/02/2008</t>
  </si>
  <si>
    <t>15/02/2008</t>
  </si>
  <si>
    <t>14/02/2008</t>
  </si>
  <si>
    <t>13/02/2008</t>
  </si>
  <si>
    <t>12/02/2008</t>
  </si>
  <si>
    <t>11/02/2008</t>
  </si>
  <si>
    <t>10/02/2008</t>
  </si>
  <si>
    <t>09/02/2008</t>
  </si>
  <si>
    <t>08/02/2008</t>
  </si>
  <si>
    <t>07/02/2008</t>
  </si>
  <si>
    <t>06/02/2008</t>
  </si>
  <si>
    <t>05/02/2008</t>
  </si>
  <si>
    <t>04/02/2008</t>
  </si>
  <si>
    <t>03/02/2008</t>
  </si>
  <si>
    <t>02/02/2008</t>
  </si>
  <si>
    <t>01/02/2008</t>
  </si>
  <si>
    <t>31/01/2008</t>
  </si>
  <si>
    <t>30/01/2008</t>
  </si>
  <si>
    <t>29/01/2008</t>
  </si>
  <si>
    <t>28/01/2008</t>
  </si>
  <si>
    <t>27/01/2008</t>
  </si>
  <si>
    <t>26/01/2008</t>
  </si>
  <si>
    <t>25/01/2008</t>
  </si>
  <si>
    <t>24/01/2008</t>
  </si>
  <si>
    <t>23/01/2008</t>
  </si>
  <si>
    <t>22/01/2008</t>
  </si>
  <si>
    <t>21/01/2008</t>
  </si>
  <si>
    <t>20/01/2008</t>
  </si>
  <si>
    <t>19/01/2008</t>
  </si>
  <si>
    <t>18/01/2008</t>
  </si>
  <si>
    <t>17/01/2008</t>
  </si>
  <si>
    <t>16/01/2008</t>
  </si>
  <si>
    <t>15/01/2008</t>
  </si>
  <si>
    <t>14/01/2008</t>
  </si>
  <si>
    <t>13/01/2008</t>
  </si>
  <si>
    <t>12/01/2008</t>
  </si>
  <si>
    <t>11/01/2008</t>
  </si>
  <si>
    <t>10/01/2008</t>
  </si>
  <si>
    <t>09/01/2008</t>
  </si>
  <si>
    <t>08/01/2008</t>
  </si>
  <si>
    <t>07/01/2008</t>
  </si>
  <si>
    <t>06/01/2008</t>
  </si>
  <si>
    <t>05/01/2008</t>
  </si>
  <si>
    <t>04/01/2008</t>
  </si>
  <si>
    <t>03/01/2008</t>
  </si>
  <si>
    <t>02/01/2008</t>
  </si>
  <si>
    <t>01/01/2008</t>
  </si>
  <si>
    <t>31/12/2007</t>
  </si>
  <si>
    <t>30/12/2007</t>
  </si>
  <si>
    <t>29/12/2007</t>
  </si>
  <si>
    <t>28/12/2007</t>
  </si>
  <si>
    <t>27/12/2007</t>
  </si>
  <si>
    <t>26/12/2007</t>
  </si>
  <si>
    <t>25/12/2007</t>
  </si>
  <si>
    <t>24/12/2007</t>
  </si>
  <si>
    <t>23/12/2007</t>
  </si>
  <si>
    <t>22/12/2007</t>
  </si>
  <si>
    <t>21/12/2007</t>
  </si>
  <si>
    <t>20/12/2007</t>
  </si>
  <si>
    <t>19/12/2007</t>
  </si>
  <si>
    <t>18/12/2007</t>
  </si>
  <si>
    <t>17/12/2007</t>
  </si>
  <si>
    <t>16/12/2007</t>
  </si>
  <si>
    <t>15/12/2007</t>
  </si>
  <si>
    <t>14/12/2007</t>
  </si>
  <si>
    <t>13/12/2007</t>
  </si>
  <si>
    <t>12/12/2007</t>
  </si>
  <si>
    <t>11/12/2007</t>
  </si>
  <si>
    <t>10/12/2007</t>
  </si>
  <si>
    <t>09/12/2007</t>
  </si>
  <si>
    <t>08/12/2007</t>
  </si>
  <si>
    <t>07/12/2007</t>
  </si>
  <si>
    <t>06/12/2007</t>
  </si>
  <si>
    <t>05/12/2007</t>
  </si>
  <si>
    <t>04/12/2007</t>
  </si>
  <si>
    <t>03/12/2007</t>
  </si>
  <si>
    <t>02/12/2007</t>
  </si>
  <si>
    <t>01/12/2007</t>
  </si>
  <si>
    <t>30/11/2007</t>
  </si>
  <si>
    <t>29/11/2007</t>
  </si>
  <si>
    <t>28/11/2007</t>
  </si>
  <si>
    <t>27/11/2007</t>
  </si>
  <si>
    <t>26/11/2007</t>
  </si>
  <si>
    <t>25/11/2007</t>
  </si>
  <si>
    <t>24/11/2007</t>
  </si>
  <si>
    <t>23/11/2007</t>
  </si>
  <si>
    <t>22/11/2007</t>
  </si>
  <si>
    <t>21/11/2007</t>
  </si>
  <si>
    <t>20/11/2007</t>
  </si>
  <si>
    <t>19/11/2007</t>
  </si>
  <si>
    <t>18/11/2007</t>
  </si>
  <si>
    <t>17/11/2007</t>
  </si>
  <si>
    <t>16/11/2007</t>
  </si>
  <si>
    <t>15/11/2007</t>
  </si>
  <si>
    <t>14/11/2007</t>
  </si>
  <si>
    <t>13/11/2007</t>
  </si>
  <si>
    <t>12/11/2007</t>
  </si>
  <si>
    <t>11/11/2007</t>
  </si>
  <si>
    <t>10/11/2007</t>
  </si>
  <si>
    <t>09/11/2007</t>
  </si>
  <si>
    <t>08/11/2007</t>
  </si>
  <si>
    <t>07/11/2007</t>
  </si>
  <si>
    <t>06/11/2007</t>
  </si>
  <si>
    <t>05/11/2007</t>
  </si>
  <si>
    <t>04/11/2007</t>
  </si>
  <si>
    <t>03/11/2007</t>
  </si>
  <si>
    <t>02/11/2007</t>
  </si>
  <si>
    <t>01/11/2007</t>
  </si>
  <si>
    <t>31/10/2007</t>
  </si>
  <si>
    <t>30/10/2007</t>
  </si>
  <si>
    <t>29/10/2007</t>
  </si>
  <si>
    <t>28/10/2007</t>
  </si>
  <si>
    <t>27/10/2007</t>
  </si>
  <si>
    <t>26/10/2007</t>
  </si>
  <si>
    <t>25/10/2007</t>
  </si>
  <si>
    <t>24/10/2007</t>
  </si>
  <si>
    <t>23/10/2007</t>
  </si>
  <si>
    <t>22/10/2007</t>
  </si>
  <si>
    <t>21/10/2007</t>
  </si>
  <si>
    <t>20/10/2007</t>
  </si>
  <si>
    <t>19/10/2007</t>
  </si>
  <si>
    <t>18/10/2007</t>
  </si>
  <si>
    <t>17/10/2007</t>
  </si>
  <si>
    <t>16/10/2007</t>
  </si>
  <si>
    <t>15/10/2007</t>
  </si>
  <si>
    <t>14/10/2007</t>
  </si>
  <si>
    <t>13/10/2007</t>
  </si>
  <si>
    <t>12/10/2007</t>
  </si>
  <si>
    <t>11/10/2007</t>
  </si>
  <si>
    <t>10/10/2007</t>
  </si>
  <si>
    <t>09/10/2007</t>
  </si>
  <si>
    <t>08/10/2007</t>
  </si>
  <si>
    <t>07/10/2007</t>
  </si>
  <si>
    <t>06/10/2007</t>
  </si>
  <si>
    <t>05/10/2007</t>
  </si>
  <si>
    <t>04/10/2007</t>
  </si>
  <si>
    <t>03/10/2007</t>
  </si>
  <si>
    <t>02/10/2007</t>
  </si>
  <si>
    <t>01/10/2007</t>
  </si>
  <si>
    <t>30/09/2007</t>
  </si>
  <si>
    <t>29/09/2007</t>
  </si>
  <si>
    <t>28/09/2007</t>
  </si>
  <si>
    <t>27/09/2007</t>
  </si>
  <si>
    <t>26/09/2007</t>
  </si>
  <si>
    <t>25/09/2007</t>
  </si>
  <si>
    <t>24/09/2007</t>
  </si>
  <si>
    <t>23/09/2007</t>
  </si>
  <si>
    <t>22/09/2007</t>
  </si>
  <si>
    <t>21/09/2007</t>
  </si>
  <si>
    <t>20/09/2007</t>
  </si>
  <si>
    <t>19/09/2007</t>
  </si>
  <si>
    <t>18/09/2007</t>
  </si>
  <si>
    <t>17/09/2007</t>
  </si>
  <si>
    <t>16/09/2007</t>
  </si>
  <si>
    <t>15/09/2007</t>
  </si>
  <si>
    <t>14/09/2007</t>
  </si>
  <si>
    <t>13/09/2007</t>
  </si>
  <si>
    <t>12/09/2007</t>
  </si>
  <si>
    <t>11/09/2007</t>
  </si>
  <si>
    <t>10/09/2007</t>
  </si>
  <si>
    <t>09/09/2007</t>
  </si>
  <si>
    <t>08/09/2007</t>
  </si>
  <si>
    <t>07/09/2007</t>
  </si>
  <si>
    <t>06/09/2007</t>
  </si>
  <si>
    <t>05/09/2007</t>
  </si>
  <si>
    <t>04/09/2007</t>
  </si>
  <si>
    <t>03/09/2007</t>
  </si>
  <si>
    <t>02/09/2007</t>
  </si>
  <si>
    <t>01/09/2007</t>
  </si>
  <si>
    <t>31/08/2007</t>
  </si>
  <si>
    <t>30/08/2007</t>
  </si>
  <si>
    <t>29/08/2007</t>
  </si>
  <si>
    <t>28/08/2007</t>
  </si>
  <si>
    <t>27/08/2007</t>
  </si>
  <si>
    <t>26/08/2007</t>
  </si>
  <si>
    <t>25/08/2007</t>
  </si>
  <si>
    <t>24/08/2007</t>
  </si>
  <si>
    <t>23/08/2007</t>
  </si>
  <si>
    <t>22/08/2007</t>
  </si>
  <si>
    <t>21/08/2007</t>
  </si>
  <si>
    <t>20/08/2007</t>
  </si>
  <si>
    <t>19/08/2007</t>
  </si>
  <si>
    <t>18/08/2007</t>
  </si>
  <si>
    <t>17/08/2007</t>
  </si>
  <si>
    <t>16/08/2007</t>
  </si>
  <si>
    <t>15/08/2007</t>
  </si>
  <si>
    <t>14/08/2007</t>
  </si>
  <si>
    <t>13/08/2007</t>
  </si>
  <si>
    <t>12/08/2007</t>
  </si>
  <si>
    <t>11/08/2007</t>
  </si>
  <si>
    <t>10/08/2007</t>
  </si>
  <si>
    <t>09/08/2007</t>
  </si>
  <si>
    <t>08/08/2007</t>
  </si>
  <si>
    <t>07/08/2007</t>
  </si>
  <si>
    <t>06/08/2007</t>
  </si>
  <si>
    <t>05/08/2007</t>
  </si>
  <si>
    <t>04/08/2007</t>
  </si>
  <si>
    <t>03/08/2007</t>
  </si>
  <si>
    <t>02/08/2007</t>
  </si>
  <si>
    <t>01/08/2007</t>
  </si>
  <si>
    <t>31/07/2007</t>
  </si>
  <si>
    <t>30/07/2007</t>
  </si>
  <si>
    <t>29/07/2007</t>
  </si>
  <si>
    <t>28/07/2007</t>
  </si>
  <si>
    <t>27/07/2007</t>
  </si>
  <si>
    <t>26/07/2007</t>
  </si>
  <si>
    <t>25/07/2007</t>
  </si>
  <si>
    <t>24/07/2007</t>
  </si>
  <si>
    <t>23/07/2007</t>
  </si>
  <si>
    <t>22/07/2007</t>
  </si>
  <si>
    <t>21/07/2007</t>
  </si>
  <si>
    <t>20/07/2007</t>
  </si>
  <si>
    <t>19/07/2007</t>
  </si>
  <si>
    <t>18/07/2007</t>
  </si>
  <si>
    <t>17/07/2007</t>
  </si>
  <si>
    <t>16/07/2007</t>
  </si>
  <si>
    <t>15/07/2007</t>
  </si>
  <si>
    <t>14/07/2007</t>
  </si>
  <si>
    <t>13/07/2007</t>
  </si>
  <si>
    <t>12/07/2007</t>
  </si>
  <si>
    <t>11/07/2007</t>
  </si>
  <si>
    <t>10/07/2007</t>
  </si>
  <si>
    <t>09/07/2007</t>
  </si>
  <si>
    <t>08/07/2007</t>
  </si>
  <si>
    <t>07/07/2007</t>
  </si>
  <si>
    <t>06/07/2007</t>
  </si>
  <si>
    <t>05/07/2007</t>
  </si>
  <si>
    <t>04/07/2007</t>
  </si>
  <si>
    <t>03/07/2007</t>
  </si>
  <si>
    <t>02/07/2007</t>
  </si>
  <si>
    <t>01/07/2007</t>
  </si>
  <si>
    <t>30/06/2007</t>
  </si>
  <si>
    <t>29/06/2007</t>
  </si>
  <si>
    <t>28/06/2007</t>
  </si>
  <si>
    <t>27/06/2007</t>
  </si>
  <si>
    <t>26/06/2007</t>
  </si>
  <si>
    <t>25/06/2007</t>
  </si>
  <si>
    <t>24/06/2007</t>
  </si>
  <si>
    <t>23/06/2007</t>
  </si>
  <si>
    <t>22/06/2007</t>
  </si>
  <si>
    <t>21/06/2007</t>
  </si>
  <si>
    <t>20/06/2007</t>
  </si>
  <si>
    <t>19/06/2007</t>
  </si>
  <si>
    <t>18/06/2007</t>
  </si>
  <si>
    <t>17/06/2007</t>
  </si>
  <si>
    <t>16/06/2007</t>
  </si>
  <si>
    <t>15/06/2007</t>
  </si>
  <si>
    <t>14/06/2007</t>
  </si>
  <si>
    <t>13/06/2007</t>
  </si>
  <si>
    <t>12/06/2007</t>
  </si>
  <si>
    <t>11/06/2007</t>
  </si>
  <si>
    <t>10/06/2007</t>
  </si>
  <si>
    <t>09/06/2007</t>
  </si>
  <si>
    <t>08/06/2007</t>
  </si>
  <si>
    <t>07/06/2007</t>
  </si>
  <si>
    <t>06/06/2007</t>
  </si>
  <si>
    <t>05/06/2007</t>
  </si>
  <si>
    <t>04/06/2007</t>
  </si>
  <si>
    <t>03/06/2007</t>
  </si>
  <si>
    <t>02/06/2007</t>
  </si>
  <si>
    <t>01/06/2007</t>
  </si>
  <si>
    <t>31/05/2007</t>
  </si>
  <si>
    <t>30/05/2007</t>
  </si>
  <si>
    <t>29/05/2007</t>
  </si>
  <si>
    <t>28/05/2007</t>
  </si>
  <si>
    <t>27/05/2007</t>
  </si>
  <si>
    <t>26/05/2007</t>
  </si>
  <si>
    <t>25/05/2007</t>
  </si>
  <si>
    <t>24/05/2007</t>
  </si>
  <si>
    <t>23/05/2007</t>
  </si>
  <si>
    <t>22/05/2007</t>
  </si>
  <si>
    <t>21/05/2007</t>
  </si>
  <si>
    <t>20/05/2007</t>
  </si>
  <si>
    <t>19/05/2007</t>
  </si>
  <si>
    <t>18/05/2007</t>
  </si>
  <si>
    <t>17/05/2007</t>
  </si>
  <si>
    <t>16/05/2007</t>
  </si>
  <si>
    <t>15/05/2007</t>
  </si>
  <si>
    <t>14/05/2007</t>
  </si>
  <si>
    <t>13/05/2007</t>
  </si>
  <si>
    <t>12/05/2007</t>
  </si>
  <si>
    <t>11/05/2007</t>
  </si>
  <si>
    <t>10/05/2007</t>
  </si>
  <si>
    <t>09/05/2007</t>
  </si>
  <si>
    <t>08/05/2007</t>
  </si>
  <si>
    <t>07/05/2007</t>
  </si>
  <si>
    <t>06/05/2007</t>
  </si>
  <si>
    <t>05/05/2007</t>
  </si>
  <si>
    <t>04/05/2007</t>
  </si>
  <si>
    <t>03/05/2007</t>
  </si>
  <si>
    <t>02/05/2007</t>
  </si>
  <si>
    <t>01/05/2007</t>
  </si>
  <si>
    <t>30/04/2007</t>
  </si>
  <si>
    <t>29/04/2007</t>
  </si>
  <si>
    <t>28/04/2007</t>
  </si>
  <si>
    <t>27/04/2007</t>
  </si>
  <si>
    <t>26/04/2007</t>
  </si>
  <si>
    <t>25/04/2007</t>
  </si>
  <si>
    <t>24/04/2007</t>
  </si>
  <si>
    <t>23/04/2007</t>
  </si>
  <si>
    <t>22/04/2007</t>
  </si>
  <si>
    <t>21/04/2007</t>
  </si>
  <si>
    <t>20/04/2007</t>
  </si>
  <si>
    <t>19/04/2007</t>
  </si>
  <si>
    <t>18/04/2007</t>
  </si>
  <si>
    <t>17/04/2007</t>
  </si>
  <si>
    <t>16/04/2007</t>
  </si>
  <si>
    <t>15/04/2007</t>
  </si>
  <si>
    <t>14/04/2007</t>
  </si>
  <si>
    <t>13/04/2007</t>
  </si>
  <si>
    <t>12/04/2007</t>
  </si>
  <si>
    <t>11/04/2007</t>
  </si>
  <si>
    <t>10/04/2007</t>
  </si>
  <si>
    <t>09/04/2007</t>
  </si>
  <si>
    <t>08/04/2007</t>
  </si>
  <si>
    <t>07/04/2007</t>
  </si>
  <si>
    <t>06/04/2007</t>
  </si>
  <si>
    <t>05/04/2007</t>
  </si>
  <si>
    <t>04/04/2007</t>
  </si>
  <si>
    <t>03/04/2007</t>
  </si>
  <si>
    <t>02/04/2007</t>
  </si>
  <si>
    <t>01/04/2007</t>
  </si>
  <si>
    <t>31/03/2007</t>
  </si>
  <si>
    <t>30/03/2007</t>
  </si>
  <si>
    <t>29/03/2007</t>
  </si>
  <si>
    <t>28/03/2007</t>
  </si>
  <si>
    <t>27/03/2007</t>
  </si>
  <si>
    <t>26/03/2007</t>
  </si>
  <si>
    <t>25/03/2007</t>
  </si>
  <si>
    <t>24/03/2007</t>
  </si>
  <si>
    <t>23/03/2007</t>
  </si>
  <si>
    <t>22/03/2007</t>
  </si>
  <si>
    <t>21/03/2007</t>
  </si>
  <si>
    <t>20/03/2007</t>
  </si>
  <si>
    <t>19/03/2007</t>
  </si>
  <si>
    <t>18/03/2007</t>
  </si>
  <si>
    <t>17/03/2007</t>
  </si>
  <si>
    <t>16/03/2007</t>
  </si>
  <si>
    <t>15/03/2007</t>
  </si>
  <si>
    <t>14/03/2007</t>
  </si>
  <si>
    <t>13/03/2007</t>
  </si>
  <si>
    <t>12/03/2007</t>
  </si>
  <si>
    <t>11/03/2007</t>
  </si>
  <si>
    <t>10/03/2007</t>
  </si>
  <si>
    <t>09/03/2007</t>
  </si>
  <si>
    <t>08/03/2007</t>
  </si>
  <si>
    <t>07/03/2007</t>
  </si>
  <si>
    <t>06/03/2007</t>
  </si>
  <si>
    <t>05/03/2007</t>
  </si>
  <si>
    <t>04/03/2007</t>
  </si>
  <si>
    <t>03/03/2007</t>
  </si>
  <si>
    <t>02/03/2007</t>
  </si>
  <si>
    <t>01/03/2007</t>
  </si>
  <si>
    <t>28/02/2007</t>
  </si>
  <si>
    <t>27/02/2007</t>
  </si>
  <si>
    <t>26/02/2007</t>
  </si>
  <si>
    <t>25/02/2007</t>
  </si>
  <si>
    <t>24/02/2007</t>
  </si>
  <si>
    <t>23/02/2007</t>
  </si>
  <si>
    <t>22/02/2007</t>
  </si>
  <si>
    <t>21/02/2007</t>
  </si>
  <si>
    <t>20/02/2007</t>
  </si>
  <si>
    <t>19/02/2007</t>
  </si>
  <si>
    <t>18/02/2007</t>
  </si>
  <si>
    <t>17/02/2007</t>
  </si>
  <si>
    <t>16/02/2007</t>
  </si>
  <si>
    <t>15/02/2007</t>
  </si>
  <si>
    <t>14/02/2007</t>
  </si>
  <si>
    <t>13/02/2007</t>
  </si>
  <si>
    <t>12/02/2007</t>
  </si>
  <si>
    <t>11/02/2007</t>
  </si>
  <si>
    <t>10/02/2007</t>
  </si>
  <si>
    <t>09/02/2007</t>
  </si>
  <si>
    <t>08/02/2007</t>
  </si>
  <si>
    <t>07/02/2007</t>
  </si>
  <si>
    <t>06/02/2007</t>
  </si>
  <si>
    <t>05/02/2007</t>
  </si>
  <si>
    <t>04/02/2007</t>
  </si>
  <si>
    <t>03/02/2007</t>
  </si>
  <si>
    <t>02/02/2007</t>
  </si>
  <si>
    <t>01/02/2007</t>
  </si>
  <si>
    <t>31/01/2007</t>
  </si>
  <si>
    <t>30/01/2007</t>
  </si>
  <si>
    <t>29/01/2007</t>
  </si>
  <si>
    <t>28/01/2007</t>
  </si>
  <si>
    <t>27/01/2007</t>
  </si>
  <si>
    <t>26/01/2007</t>
  </si>
  <si>
    <t>25/01/2007</t>
  </si>
  <si>
    <t>24/01/2007</t>
  </si>
  <si>
    <t>23/01/2007</t>
  </si>
  <si>
    <t>22/01/2007</t>
  </si>
  <si>
    <t>21/01/2007</t>
  </si>
  <si>
    <t>20/01/2007</t>
  </si>
  <si>
    <t>19/01/2007</t>
  </si>
  <si>
    <t>18/01/2007</t>
  </si>
  <si>
    <t>17/01/2007</t>
  </si>
  <si>
    <t>16/01/2007</t>
  </si>
  <si>
    <t>15/01/2007</t>
  </si>
  <si>
    <t>14/01/2007</t>
  </si>
  <si>
    <t>13/01/2007</t>
  </si>
  <si>
    <t>12/01/2007</t>
  </si>
  <si>
    <t>11/01/2007</t>
  </si>
  <si>
    <t>10/01/2007</t>
  </si>
  <si>
    <t>09/01/2007</t>
  </si>
  <si>
    <t>08/01/2007</t>
  </si>
  <si>
    <t>07/01/2007</t>
  </si>
  <si>
    <t>06/01/2007</t>
  </si>
  <si>
    <t>05/01/2007</t>
  </si>
  <si>
    <t>04/01/2007</t>
  </si>
  <si>
    <t>03/01/2007</t>
  </si>
  <si>
    <t>02/01/2007</t>
  </si>
  <si>
    <t>01/01/2007</t>
  </si>
  <si>
    <t>31/12/2006</t>
  </si>
  <si>
    <t>30/12/2006</t>
  </si>
  <si>
    <t>29/12/2006</t>
  </si>
  <si>
    <t>28/12/2006</t>
  </si>
  <si>
    <t>27/12/2006</t>
  </si>
  <si>
    <t>26/12/2006</t>
  </si>
  <si>
    <t>25/12/2006</t>
  </si>
  <si>
    <t>24/12/2006</t>
  </si>
  <si>
    <t>23/12/2006</t>
  </si>
  <si>
    <t>22/12/2006</t>
  </si>
  <si>
    <t>21/12/2006</t>
  </si>
  <si>
    <t>20/12/2006</t>
  </si>
  <si>
    <t>19/12/2006</t>
  </si>
  <si>
    <t>18/12/2006</t>
  </si>
  <si>
    <t>17/12/2006</t>
  </si>
  <si>
    <t>16/12/2006</t>
  </si>
  <si>
    <t>15/12/2006</t>
  </si>
  <si>
    <t>14/12/2006</t>
  </si>
  <si>
    <t>13/12/2006</t>
  </si>
  <si>
    <t>12/12/2006</t>
  </si>
  <si>
    <t>11/12/2006</t>
  </si>
  <si>
    <t>10/12/2006</t>
  </si>
  <si>
    <t>09/12/2006</t>
  </si>
  <si>
    <t>08/12/2006</t>
  </si>
  <si>
    <t>07/12/2006</t>
  </si>
  <si>
    <t>06/12/2006</t>
  </si>
  <si>
    <t>05/12/2006</t>
  </si>
  <si>
    <t>04/12/2006</t>
  </si>
  <si>
    <t>03/12/2006</t>
  </si>
  <si>
    <t>02/12/2006</t>
  </si>
  <si>
    <t>01/12/2006</t>
  </si>
  <si>
    <t>30/11/2006</t>
  </si>
  <si>
    <t>29/11/2006</t>
  </si>
  <si>
    <t>28/11/2006</t>
  </si>
  <si>
    <t>27/11/2006</t>
  </si>
  <si>
    <t>26/11/2006</t>
  </si>
  <si>
    <t>25/11/2006</t>
  </si>
  <si>
    <t>24/11/2006</t>
  </si>
  <si>
    <t>23/11/2006</t>
  </si>
  <si>
    <t>22/11/2006</t>
  </si>
  <si>
    <t>21/11/2006</t>
  </si>
  <si>
    <t>20/11/2006</t>
  </si>
  <si>
    <t>19/11/2006</t>
  </si>
  <si>
    <t>18/11/2006</t>
  </si>
  <si>
    <t>17/11/2006</t>
  </si>
  <si>
    <t>16/11/2006</t>
  </si>
  <si>
    <t>15/11/2006</t>
  </si>
  <si>
    <t>14/11/2006</t>
  </si>
  <si>
    <t>13/11/2006</t>
  </si>
  <si>
    <t>12/11/2006</t>
  </si>
  <si>
    <t>11/11/2006</t>
  </si>
  <si>
    <t>10/11/2006</t>
  </si>
  <si>
    <t>09/11/2006</t>
  </si>
  <si>
    <t>08/11/2006</t>
  </si>
  <si>
    <t>07/11/2006</t>
  </si>
  <si>
    <t>06/11/2006</t>
  </si>
  <si>
    <t>05/11/2006</t>
  </si>
  <si>
    <t>04/11/2006</t>
  </si>
  <si>
    <t>03/11/2006</t>
  </si>
  <si>
    <t>02/11/2006</t>
  </si>
  <si>
    <t>01/11/2006</t>
  </si>
  <si>
    <t>31/10/2006</t>
  </si>
  <si>
    <t>30/10/2006</t>
  </si>
  <si>
    <t>29/10/2006</t>
  </si>
  <si>
    <t>28/10/2006</t>
  </si>
  <si>
    <t>27/10/2006</t>
  </si>
  <si>
    <t>26/10/2006</t>
  </si>
  <si>
    <t>25/10/2006</t>
  </si>
  <si>
    <t>24/10/2006</t>
  </si>
  <si>
    <t>23/10/2006</t>
  </si>
  <si>
    <t>22/10/2006</t>
  </si>
  <si>
    <t>21/10/2006</t>
  </si>
  <si>
    <t>20/10/2006</t>
  </si>
  <si>
    <t>19/10/2006</t>
  </si>
  <si>
    <t>18/10/2006</t>
  </si>
  <si>
    <t>17/10/2006</t>
  </si>
  <si>
    <t>16/10/2006</t>
  </si>
  <si>
    <t>15/10/2006</t>
  </si>
  <si>
    <t>14/10/2006</t>
  </si>
  <si>
    <t>13/10/2006</t>
  </si>
  <si>
    <t>12/10/2006</t>
  </si>
  <si>
    <t>11/10/2006</t>
  </si>
  <si>
    <t>10/10/2006</t>
  </si>
  <si>
    <t>09/10/2006</t>
  </si>
  <si>
    <t>08/10/2006</t>
  </si>
  <si>
    <t>07/10/2006</t>
  </si>
  <si>
    <t>06/10/2006</t>
  </si>
  <si>
    <t>05/10/2006</t>
  </si>
  <si>
    <t>04/10/2006</t>
  </si>
  <si>
    <t>03/10/2006</t>
  </si>
  <si>
    <t>02/10/2006</t>
  </si>
  <si>
    <t>01/10/2006</t>
  </si>
  <si>
    <t>30/09/2006</t>
  </si>
  <si>
    <t>29/09/2006</t>
  </si>
  <si>
    <t>28/09/2006</t>
  </si>
  <si>
    <t>27/09/2006</t>
  </si>
  <si>
    <t>26/09/2006</t>
  </si>
  <si>
    <t>25/09/2006</t>
  </si>
  <si>
    <t>24/09/2006</t>
  </si>
  <si>
    <t>23/09/2006</t>
  </si>
  <si>
    <t>22/09/2006</t>
  </si>
  <si>
    <t>21/09/2006</t>
  </si>
  <si>
    <t>20/09/2006</t>
  </si>
  <si>
    <t>19/09/2006</t>
  </si>
  <si>
    <t>18/09/2006</t>
  </si>
  <si>
    <t>17/09/2006</t>
  </si>
  <si>
    <t>16/09/2006</t>
  </si>
  <si>
    <t>15/09/2006</t>
  </si>
  <si>
    <t>14/09/2006</t>
  </si>
  <si>
    <t>13/09/2006</t>
  </si>
  <si>
    <t>12/09/2006</t>
  </si>
  <si>
    <t>11/09/2006</t>
  </si>
  <si>
    <t>10/09/2006</t>
  </si>
  <si>
    <t>09/09/2006</t>
  </si>
  <si>
    <t>08/09/2006</t>
  </si>
  <si>
    <t>07/09/2006</t>
  </si>
  <si>
    <t>06/09/2006</t>
  </si>
  <si>
    <t>05/09/2006</t>
  </si>
  <si>
    <t>04/09/2006</t>
  </si>
  <si>
    <t>03/09/2006</t>
  </si>
  <si>
    <t>02/09/2006</t>
  </si>
  <si>
    <t>01/09/2006</t>
  </si>
  <si>
    <t>31/08/2006</t>
  </si>
  <si>
    <t>30/08/2006</t>
  </si>
  <si>
    <t>29/08/2006</t>
  </si>
  <si>
    <t>28/08/2006</t>
  </si>
  <si>
    <t>27/08/2006</t>
  </si>
  <si>
    <t>26/08/2006</t>
  </si>
  <si>
    <t>25/08/2006</t>
  </si>
  <si>
    <t>24/08/2006</t>
  </si>
  <si>
    <t>23/08/2006</t>
  </si>
  <si>
    <t>22/08/2006</t>
  </si>
  <si>
    <t>21/08/2006</t>
  </si>
  <si>
    <t>20/08/2006</t>
  </si>
  <si>
    <t>19/08/2006</t>
  </si>
  <si>
    <t>18/08/2006</t>
  </si>
  <si>
    <t>17/08/2006</t>
  </si>
  <si>
    <t>16/08/2006</t>
  </si>
  <si>
    <t>15/08/2006</t>
  </si>
  <si>
    <t>14/08/2006</t>
  </si>
  <si>
    <t>13/08/2006</t>
  </si>
  <si>
    <t>12/08/2006</t>
  </si>
  <si>
    <t>11/08/2006</t>
  </si>
  <si>
    <t>10/08/2006</t>
  </si>
  <si>
    <t>09/08/2006</t>
  </si>
  <si>
    <t>08/08/2006</t>
  </si>
  <si>
    <t>07/08/2006</t>
  </si>
  <si>
    <t>06/08/2006</t>
  </si>
  <si>
    <t>05/08/2006</t>
  </si>
  <si>
    <t>04/08/2006</t>
  </si>
  <si>
    <t>03/08/2006</t>
  </si>
  <si>
    <t>02/08/2006</t>
  </si>
  <si>
    <t>01/08/2006</t>
  </si>
  <si>
    <t>31/07/2006</t>
  </si>
  <si>
    <t>30/07/2006</t>
  </si>
  <si>
    <t>29/07/2006</t>
  </si>
  <si>
    <t>28/07/2006</t>
  </si>
  <si>
    <t>27/07/2006</t>
  </si>
  <si>
    <t>26/07/2006</t>
  </si>
  <si>
    <t>25/07/2006</t>
  </si>
  <si>
    <t>24/07/2006</t>
  </si>
  <si>
    <t>23/07/2006</t>
  </si>
  <si>
    <t>22/07/2006</t>
  </si>
  <si>
    <t>21/07/2006</t>
  </si>
  <si>
    <t>20/07/2006</t>
  </si>
  <si>
    <t>19/07/2006</t>
  </si>
  <si>
    <t>18/07/2006</t>
  </si>
  <si>
    <t>17/07/2006</t>
  </si>
  <si>
    <t>16/07/2006</t>
  </si>
  <si>
    <t>15/07/2006</t>
  </si>
  <si>
    <t>14/07/2006</t>
  </si>
  <si>
    <t>13/07/2006</t>
  </si>
  <si>
    <t>12/07/2006</t>
  </si>
  <si>
    <t>11/07/2006</t>
  </si>
  <si>
    <t>10/07/2006</t>
  </si>
  <si>
    <t>09/07/2006</t>
  </si>
  <si>
    <t>08/07/2006</t>
  </si>
  <si>
    <t>07/07/2006</t>
  </si>
  <si>
    <t>06/07/2006</t>
  </si>
  <si>
    <t>05/07/2006</t>
  </si>
  <si>
    <t>04/07/2006</t>
  </si>
  <si>
    <t>03/07/2006</t>
  </si>
  <si>
    <t>02/07/2006</t>
  </si>
  <si>
    <t>01/07/2006</t>
  </si>
  <si>
    <t>30/06/2006</t>
  </si>
  <si>
    <t>29/06/2006</t>
  </si>
  <si>
    <t>28/06/2006</t>
  </si>
  <si>
    <t>27/06/2006</t>
  </si>
  <si>
    <t>26/06/2006</t>
  </si>
  <si>
    <t>25/06/2006</t>
  </si>
  <si>
    <t>24/06/2006</t>
  </si>
  <si>
    <t>23/06/2006</t>
  </si>
  <si>
    <t>22/06/2006</t>
  </si>
  <si>
    <t>21/06/2006</t>
  </si>
  <si>
    <t>20/06/2006</t>
  </si>
  <si>
    <t>19/06/2006</t>
  </si>
  <si>
    <t>18/06/2006</t>
  </si>
  <si>
    <t>17/06/2006</t>
  </si>
  <si>
    <t>16/06/2006</t>
  </si>
  <si>
    <t>15/06/2006</t>
  </si>
  <si>
    <t>14/06/2006</t>
  </si>
  <si>
    <t>13/06/2006</t>
  </si>
  <si>
    <t>12/06/2006</t>
  </si>
  <si>
    <t>11/06/2006</t>
  </si>
  <si>
    <t>10/06/2006</t>
  </si>
  <si>
    <t>09/06/2006</t>
  </si>
  <si>
    <t>08/06/2006</t>
  </si>
  <si>
    <t>07/06/2006</t>
  </si>
  <si>
    <t>06/06/2006</t>
  </si>
  <si>
    <t>05/06/2006</t>
  </si>
  <si>
    <t>04/06/2006</t>
  </si>
  <si>
    <t>03/06/2006</t>
  </si>
  <si>
    <t>02/06/2006</t>
  </si>
  <si>
    <t>01/06/2006</t>
  </si>
  <si>
    <t>31/05/2006</t>
  </si>
  <si>
    <t>30/05/2006</t>
  </si>
  <si>
    <t>29/05/2006</t>
  </si>
  <si>
    <t>28/05/2006</t>
  </si>
  <si>
    <t>27/05/2006</t>
  </si>
  <si>
    <t>26/05/2006</t>
  </si>
  <si>
    <t>25/05/2006</t>
  </si>
  <si>
    <t>24/05/2006</t>
  </si>
  <si>
    <t>23/05/2006</t>
  </si>
  <si>
    <t>22/05/2006</t>
  </si>
  <si>
    <t>21/05/2006</t>
  </si>
  <si>
    <t>20/05/2006</t>
  </si>
  <si>
    <t>19/05/2006</t>
  </si>
  <si>
    <t>18/05/2006</t>
  </si>
  <si>
    <t>17/05/2006</t>
  </si>
  <si>
    <t>16/05/2006</t>
  </si>
  <si>
    <t>15/05/2006</t>
  </si>
  <si>
    <t>14/05/2006</t>
  </si>
  <si>
    <t>13/05/2006</t>
  </si>
  <si>
    <t>12/05/2006</t>
  </si>
  <si>
    <t>11/05/2006</t>
  </si>
  <si>
    <t>10/05/2006</t>
  </si>
  <si>
    <t>09/05/2006</t>
  </si>
  <si>
    <t>08/05/2006</t>
  </si>
  <si>
    <t>07/05/2006</t>
  </si>
  <si>
    <t>06/05/2006</t>
  </si>
  <si>
    <t>05/05/2006</t>
  </si>
  <si>
    <t>04/05/2006</t>
  </si>
  <si>
    <t>03/05/2006</t>
  </si>
  <si>
    <t>02/05/2006</t>
  </si>
  <si>
    <t>01/05/2006</t>
  </si>
  <si>
    <t>30/04/2006</t>
  </si>
  <si>
    <t>29/04/2006</t>
  </si>
  <si>
    <t>28/04/2006</t>
  </si>
  <si>
    <t>27/04/2006</t>
  </si>
  <si>
    <t>26/04/2006</t>
  </si>
  <si>
    <t>25/04/2006</t>
  </si>
  <si>
    <t>24/04/2006</t>
  </si>
  <si>
    <t>23/04/2006</t>
  </si>
  <si>
    <t>22/04/2006</t>
  </si>
  <si>
    <t>21/04/2006</t>
  </si>
  <si>
    <t>20/04/2006</t>
  </si>
  <si>
    <t>19/04/2006</t>
  </si>
  <si>
    <t>18/04/2006</t>
  </si>
  <si>
    <t>17/04/2006</t>
  </si>
  <si>
    <t>16/04/2006</t>
  </si>
  <si>
    <t>15/04/2006</t>
  </si>
  <si>
    <t>14/04/2006</t>
  </si>
  <si>
    <t>13/04/2006</t>
  </si>
  <si>
    <t>12/04/2006</t>
  </si>
  <si>
    <t>11/04/2006</t>
  </si>
  <si>
    <t>10/04/2006</t>
  </si>
  <si>
    <t>09/04/2006</t>
  </si>
  <si>
    <t>08/04/2006</t>
  </si>
  <si>
    <t>07/04/2006</t>
  </si>
  <si>
    <t>06/04/2006</t>
  </si>
  <si>
    <t>05/04/2006</t>
  </si>
  <si>
    <t>04/04/2006</t>
  </si>
  <si>
    <t>03/04/2006</t>
  </si>
  <si>
    <t>02/04/2006</t>
  </si>
  <si>
    <t>01/04/2006</t>
  </si>
  <si>
    <t>31/03/2006</t>
  </si>
  <si>
    <t>30/03/2006</t>
  </si>
  <si>
    <t>29/03/2006</t>
  </si>
  <si>
    <t>28/03/2006</t>
  </si>
  <si>
    <t>27/03/2006</t>
  </si>
  <si>
    <t>26/03/2006</t>
  </si>
  <si>
    <t>25/03/2006</t>
  </si>
  <si>
    <t>24/03/2006</t>
  </si>
  <si>
    <t>23/03/2006</t>
  </si>
  <si>
    <t>22/03/2006</t>
  </si>
  <si>
    <t>21/03/2006</t>
  </si>
  <si>
    <t>20/03/2006</t>
  </si>
  <si>
    <t>19/03/2006</t>
  </si>
  <si>
    <t>18/03/2006</t>
  </si>
  <si>
    <t>17/03/2006</t>
  </si>
  <si>
    <t>16/03/2006</t>
  </si>
  <si>
    <t>15/03/2006</t>
  </si>
  <si>
    <t>14/03/2006</t>
  </si>
  <si>
    <t>13/03/2006</t>
  </si>
  <si>
    <t>12/03/2006</t>
  </si>
  <si>
    <t>11/03/2006</t>
  </si>
  <si>
    <t>10/03/2006</t>
  </si>
  <si>
    <t>09/03/2006</t>
  </si>
  <si>
    <t>08/03/2006</t>
  </si>
  <si>
    <t>07/03/2006</t>
  </si>
  <si>
    <t>06/03/2006</t>
  </si>
  <si>
    <t>05/03/2006</t>
  </si>
  <si>
    <t>04/03/2006</t>
  </si>
  <si>
    <t>03/03/2006</t>
  </si>
  <si>
    <t>02/03/2006</t>
  </si>
  <si>
    <t>01/03/2006</t>
  </si>
  <si>
    <t>28/02/2006</t>
  </si>
  <si>
    <t>27/02/2006</t>
  </si>
  <si>
    <t>26/02/2006</t>
  </si>
  <si>
    <t>25/02/2006</t>
  </si>
  <si>
    <t>24/02/2006</t>
  </si>
  <si>
    <t>23/02/2006</t>
  </si>
  <si>
    <t>22/02/2006</t>
  </si>
  <si>
    <t>21/02/2006</t>
  </si>
  <si>
    <t>20/02/2006</t>
  </si>
  <si>
    <t>19/02/2006</t>
  </si>
  <si>
    <t>18/02/2006</t>
  </si>
  <si>
    <t>17/02/2006</t>
  </si>
  <si>
    <t>16/02/2006</t>
  </si>
  <si>
    <t>15/02/2006</t>
  </si>
  <si>
    <t>14/02/2006</t>
  </si>
  <si>
    <t>13/02/2006</t>
  </si>
  <si>
    <t>12/02/2006</t>
  </si>
  <si>
    <t>11/02/2006</t>
  </si>
  <si>
    <t>10/02/2006</t>
  </si>
  <si>
    <t>09/02/2006</t>
  </si>
  <si>
    <t>08/02/2006</t>
  </si>
  <si>
    <t>07/02/2006</t>
  </si>
  <si>
    <t>06/02/2006</t>
  </si>
  <si>
    <t>05/02/2006</t>
  </si>
  <si>
    <t>04/02/2006</t>
  </si>
  <si>
    <t>03/02/2006</t>
  </si>
  <si>
    <t>02/02/2006</t>
  </si>
  <si>
    <t>01/02/2006</t>
  </si>
  <si>
    <t>31/01/2006</t>
  </si>
  <si>
    <t>30/01/2006</t>
  </si>
  <si>
    <t>29/01/2006</t>
  </si>
  <si>
    <t>28/01/2006</t>
  </si>
  <si>
    <t>27/01/2006</t>
  </si>
  <si>
    <t>26/01/2006</t>
  </si>
  <si>
    <t>25/01/2006</t>
  </si>
  <si>
    <t>24/01/2006</t>
  </si>
  <si>
    <t>23/01/2006</t>
  </si>
  <si>
    <t>22/01/2006</t>
  </si>
  <si>
    <t>21/01/2006</t>
  </si>
  <si>
    <t>20/01/2006</t>
  </si>
  <si>
    <t>19/01/2006</t>
  </si>
  <si>
    <t>18/01/2006</t>
  </si>
  <si>
    <t>17/01/2006</t>
  </si>
  <si>
    <t>16/01/2006</t>
  </si>
  <si>
    <t>15/01/2006</t>
  </si>
  <si>
    <t>14/01/2006</t>
  </si>
  <si>
    <t>13/01/2006</t>
  </si>
  <si>
    <t>12/01/2006</t>
  </si>
  <si>
    <t>11/01/2006</t>
  </si>
  <si>
    <t>10/01/2006</t>
  </si>
  <si>
    <t>09/01/2006</t>
  </si>
  <si>
    <t>08/01/2006</t>
  </si>
  <si>
    <t>07/01/2006</t>
  </si>
  <si>
    <t>06/01/2006</t>
  </si>
  <si>
    <t>05/01/2006</t>
  </si>
  <si>
    <t>04/01/2006</t>
  </si>
  <si>
    <t>03/01/2006</t>
  </si>
  <si>
    <t>02/01/2006</t>
  </si>
  <si>
    <t>01/01/2006</t>
  </si>
  <si>
    <t>31/12/2005</t>
  </si>
  <si>
    <t>30/12/2005</t>
  </si>
  <si>
    <t>29/12/2005</t>
  </si>
  <si>
    <t>28/12/2005</t>
  </si>
  <si>
    <t>27/12/2005</t>
  </si>
  <si>
    <t>26/12/2005</t>
  </si>
  <si>
    <t>25/12/2005</t>
  </si>
  <si>
    <t>24/12/2005</t>
  </si>
  <si>
    <t>23/12/2005</t>
  </si>
  <si>
    <t>22/12/2005</t>
  </si>
  <si>
    <t>21/12/2005</t>
  </si>
  <si>
    <t>20/12/2005</t>
  </si>
  <si>
    <t>19/12/2005</t>
  </si>
  <si>
    <t>18/12/2005</t>
  </si>
  <si>
    <t>17/12/2005</t>
  </si>
  <si>
    <t>16/12/2005</t>
  </si>
  <si>
    <t>15/12/2005</t>
  </si>
  <si>
    <t>14/12/2005</t>
  </si>
  <si>
    <t>13/12/2005</t>
  </si>
  <si>
    <t>12/12/2005</t>
  </si>
  <si>
    <t>11/12/2005</t>
  </si>
  <si>
    <t>10/12/2005</t>
  </si>
  <si>
    <t>09/12/2005</t>
  </si>
  <si>
    <t>08/12/2005</t>
  </si>
  <si>
    <t>07/12/2005</t>
  </si>
  <si>
    <t>06/12/2005</t>
  </si>
  <si>
    <t>05/12/2005</t>
  </si>
  <si>
    <t>04/12/2005</t>
  </si>
  <si>
    <t>03/12/2005</t>
  </si>
  <si>
    <t>02/12/2005</t>
  </si>
  <si>
    <t>01/12/2005</t>
  </si>
  <si>
    <t>30/11/2005</t>
  </si>
  <si>
    <t>29/11/2005</t>
  </si>
  <si>
    <t>28/11/2005</t>
  </si>
  <si>
    <t>27/11/2005</t>
  </si>
  <si>
    <t>26/11/2005</t>
  </si>
  <si>
    <t>25/11/2005</t>
  </si>
  <si>
    <t>24/11/2005</t>
  </si>
  <si>
    <t>23/11/2005</t>
  </si>
  <si>
    <t>22/11/2005</t>
  </si>
  <si>
    <t>21/11/2005</t>
  </si>
  <si>
    <t>20/11/2005</t>
  </si>
  <si>
    <t>19/11/2005</t>
  </si>
  <si>
    <t>18/11/2005</t>
  </si>
  <si>
    <t>17/11/2005</t>
  </si>
  <si>
    <t>16/11/2005</t>
  </si>
  <si>
    <t>15/11/2005</t>
  </si>
  <si>
    <t>14/11/2005</t>
  </si>
  <si>
    <t>13/11/2005</t>
  </si>
  <si>
    <t>12/11/2005</t>
  </si>
  <si>
    <t>11/11/2005</t>
  </si>
  <si>
    <t>10/11/2005</t>
  </si>
  <si>
    <t>09/11/2005</t>
  </si>
  <si>
    <t>08/11/2005</t>
  </si>
  <si>
    <t>07/11/2005</t>
  </si>
  <si>
    <t>06/11/2005</t>
  </si>
  <si>
    <t>05/11/2005</t>
  </si>
  <si>
    <t>04/11/2005</t>
  </si>
  <si>
    <t>03/11/2005</t>
  </si>
  <si>
    <t>02/11/2005</t>
  </si>
  <si>
    <t>01/11/2005</t>
  </si>
  <si>
    <t>31/10/2005</t>
  </si>
  <si>
    <t>30/10/2005</t>
  </si>
  <si>
    <t>29/10/2005</t>
  </si>
  <si>
    <t>28/10/2005</t>
  </si>
  <si>
    <t>27/10/2005</t>
  </si>
  <si>
    <t>26/10/2005</t>
  </si>
  <si>
    <t>25/10/2005</t>
  </si>
  <si>
    <t>24/10/2005</t>
  </si>
  <si>
    <t>23/10/2005</t>
  </si>
  <si>
    <t>22/10/2005</t>
  </si>
  <si>
    <t>21/10/2005</t>
  </si>
  <si>
    <t>20/10/2005</t>
  </si>
  <si>
    <t>19/10/2005</t>
  </si>
  <si>
    <t>18/10/2005</t>
  </si>
  <si>
    <t>17/10/2005</t>
  </si>
  <si>
    <t>16/10/2005</t>
  </si>
  <si>
    <t>15/10/2005</t>
  </si>
  <si>
    <t>14/10/2005</t>
  </si>
  <si>
    <t>13/10/2005</t>
  </si>
  <si>
    <t>12/10/2005</t>
  </si>
  <si>
    <t>11/10/2005</t>
  </si>
  <si>
    <t>10/10/2005</t>
  </si>
  <si>
    <t>09/10/2005</t>
  </si>
  <si>
    <t>08/10/2005</t>
  </si>
  <si>
    <t>07/10/2005</t>
  </si>
  <si>
    <t>06/10/2005</t>
  </si>
  <si>
    <t>05/10/2005</t>
  </si>
  <si>
    <t>04/10/2005</t>
  </si>
  <si>
    <t>03/10/2005</t>
  </si>
  <si>
    <t>02/10/2005</t>
  </si>
  <si>
    <t>01/10/2005</t>
  </si>
  <si>
    <t>30/09/2005</t>
  </si>
  <si>
    <t>29/09/2005</t>
  </si>
  <si>
    <t>28/09/2005</t>
  </si>
  <si>
    <t>27/09/2005</t>
  </si>
  <si>
    <t>26/09/2005</t>
  </si>
  <si>
    <t>25/09/2005</t>
  </si>
  <si>
    <t>24/09/2005</t>
  </si>
  <si>
    <t>23/09/2005</t>
  </si>
  <si>
    <t>22/09/2005</t>
  </si>
  <si>
    <t>21/09/2005</t>
  </si>
  <si>
    <t>20/09/2005</t>
  </si>
  <si>
    <t>19/09/2005</t>
  </si>
  <si>
    <t>18/09/2005</t>
  </si>
  <si>
    <t>17/09/2005</t>
  </si>
  <si>
    <t>16/09/2005</t>
  </si>
  <si>
    <t>15/09/2005</t>
  </si>
  <si>
    <t>14/09/2005</t>
  </si>
  <si>
    <t>13/09/2005</t>
  </si>
  <si>
    <t>12/09/2005</t>
  </si>
  <si>
    <t>11/09/2005</t>
  </si>
  <si>
    <t>10/09/2005</t>
  </si>
  <si>
    <t>09/09/2005</t>
  </si>
  <si>
    <t>08/09/2005</t>
  </si>
  <si>
    <t>07/09/2005</t>
  </si>
  <si>
    <t>06/09/2005</t>
  </si>
  <si>
    <t>05/09/2005</t>
  </si>
  <si>
    <t>04/09/2005</t>
  </si>
  <si>
    <t>03/09/2005</t>
  </si>
  <si>
    <t>02/09/2005</t>
  </si>
  <si>
    <t>01/09/2005</t>
  </si>
  <si>
    <t>31/08/2005</t>
  </si>
  <si>
    <t>30/08/2005</t>
  </si>
  <si>
    <t>29/08/2005</t>
  </si>
  <si>
    <t>28/08/2005</t>
  </si>
  <si>
    <t>27/08/2005</t>
  </si>
  <si>
    <t>26/08/2005</t>
  </si>
  <si>
    <t>25/08/2005</t>
  </si>
  <si>
    <t>24/08/2005</t>
  </si>
  <si>
    <t>23/08/2005</t>
  </si>
  <si>
    <t>22/08/2005</t>
  </si>
  <si>
    <t>21/08/2005</t>
  </si>
  <si>
    <t>20/08/2005</t>
  </si>
  <si>
    <t>19/08/2005</t>
  </si>
  <si>
    <t>18/08/2005</t>
  </si>
  <si>
    <t>17/08/2005</t>
  </si>
  <si>
    <t>16/08/2005</t>
  </si>
  <si>
    <t>15/08/2005</t>
  </si>
  <si>
    <t>14/08/2005</t>
  </si>
  <si>
    <t>13/08/2005</t>
  </si>
  <si>
    <t>12/08/2005</t>
  </si>
  <si>
    <t>11/08/2005</t>
  </si>
  <si>
    <t>10/08/2005</t>
  </si>
  <si>
    <t>09/08/2005</t>
  </si>
  <si>
    <t>08/08/2005</t>
  </si>
  <si>
    <t>07/08/2005</t>
  </si>
  <si>
    <t>06/08/2005</t>
  </si>
  <si>
    <t>05/08/2005</t>
  </si>
  <si>
    <t>04/08/2005</t>
  </si>
  <si>
    <t>03/08/2005</t>
  </si>
  <si>
    <t>02/08/2005</t>
  </si>
  <si>
    <t>01/08/2005</t>
  </si>
  <si>
    <t>31/07/2005</t>
  </si>
  <si>
    <t>30/07/2005</t>
  </si>
  <si>
    <t>29/07/2005</t>
  </si>
  <si>
    <t>28/07/2005</t>
  </si>
  <si>
    <t>27/07/2005</t>
  </si>
  <si>
    <t>26/07/2005</t>
  </si>
  <si>
    <t>25/07/2005</t>
  </si>
  <si>
    <t>24/07/2005</t>
  </si>
  <si>
    <t>23/07/2005</t>
  </si>
  <si>
    <t>22/07/2005</t>
  </si>
  <si>
    <t>21/07/2005</t>
  </si>
  <si>
    <t>20/07/2005</t>
  </si>
  <si>
    <t>19/07/2005</t>
  </si>
  <si>
    <t>18/07/2005</t>
  </si>
  <si>
    <t>17/07/2005</t>
  </si>
  <si>
    <t>16/07/2005</t>
  </si>
  <si>
    <t>15/07/2005</t>
  </si>
  <si>
    <t>14/07/2005</t>
  </si>
  <si>
    <t>13/07/2005</t>
  </si>
  <si>
    <t>12/07/2005</t>
  </si>
  <si>
    <t>11/07/2005</t>
  </si>
  <si>
    <t>10/07/2005</t>
  </si>
  <si>
    <t>09/07/2005</t>
  </si>
  <si>
    <t>08/07/2005</t>
  </si>
  <si>
    <t>07/07/2005</t>
  </si>
  <si>
    <t>06/07/2005</t>
  </si>
  <si>
    <t>05/07/2005</t>
  </si>
  <si>
    <t>04/07/2005</t>
  </si>
  <si>
    <t>03/07/2005</t>
  </si>
  <si>
    <t>02/07/2005</t>
  </si>
  <si>
    <t>01/07/2005</t>
  </si>
  <si>
    <t>30/06/2005</t>
  </si>
  <si>
    <t>29/06/2005</t>
  </si>
  <si>
    <t>28/06/2005</t>
  </si>
  <si>
    <t>27/06/2005</t>
  </si>
  <si>
    <t>26/06/2005</t>
  </si>
  <si>
    <t>25/06/2005</t>
  </si>
  <si>
    <t>24/06/2005</t>
  </si>
  <si>
    <t>23/06/2005</t>
  </si>
  <si>
    <t>22/06/2005</t>
  </si>
  <si>
    <t>21/06/2005</t>
  </si>
  <si>
    <t>20/06/2005</t>
  </si>
  <si>
    <t>19/06/2005</t>
  </si>
  <si>
    <t>18/06/2005</t>
  </si>
  <si>
    <t>17/06/2005</t>
  </si>
  <si>
    <t>16/06/2005</t>
  </si>
  <si>
    <t>15/06/2005</t>
  </si>
  <si>
    <t>14/06/2005</t>
  </si>
  <si>
    <t>13/06/2005</t>
  </si>
  <si>
    <t>12/06/2005</t>
  </si>
  <si>
    <t>11/06/2005</t>
  </si>
  <si>
    <t>10/06/2005</t>
  </si>
  <si>
    <t>09/06/2005</t>
  </si>
  <si>
    <t>08/06/2005</t>
  </si>
  <si>
    <t>07/06/2005</t>
  </si>
  <si>
    <t>06/06/2005</t>
  </si>
  <si>
    <t>05/06/2005</t>
  </si>
  <si>
    <t>04/06/2005</t>
  </si>
  <si>
    <t>03/06/2005</t>
  </si>
  <si>
    <t>02/06/2005</t>
  </si>
  <si>
    <t>01/06/2005</t>
  </si>
  <si>
    <t>31/05/2005</t>
  </si>
  <si>
    <t>30/05/2005</t>
  </si>
  <si>
    <t>29/05/2005</t>
  </si>
  <si>
    <t>28/05/2005</t>
  </si>
  <si>
    <t>27/05/2005</t>
  </si>
  <si>
    <t>26/05/2005</t>
  </si>
  <si>
    <t>25/05/2005</t>
  </si>
  <si>
    <t>24/05/2005</t>
  </si>
  <si>
    <t>23/05/2005</t>
  </si>
  <si>
    <t>22/05/2005</t>
  </si>
  <si>
    <t>21/05/2005</t>
  </si>
  <si>
    <t>20/05/2005</t>
  </si>
  <si>
    <t>19/05/2005</t>
  </si>
  <si>
    <t>18/05/2005</t>
  </si>
  <si>
    <t>17/05/2005</t>
  </si>
  <si>
    <t>16/05/2005</t>
  </si>
  <si>
    <t>15/05/2005</t>
  </si>
  <si>
    <t>14/05/2005</t>
  </si>
  <si>
    <t>13/05/2005</t>
  </si>
  <si>
    <t>12/05/2005</t>
  </si>
  <si>
    <t>11/05/2005</t>
  </si>
  <si>
    <t>10/05/2005</t>
  </si>
  <si>
    <t>09/05/2005</t>
  </si>
  <si>
    <t>08/05/2005</t>
  </si>
  <si>
    <t>07/05/2005</t>
  </si>
  <si>
    <t>06/05/2005</t>
  </si>
  <si>
    <t>05/05/2005</t>
  </si>
  <si>
    <t>04/05/2005</t>
  </si>
  <si>
    <t>03/05/2005</t>
  </si>
  <si>
    <t>02/05/2005</t>
  </si>
  <si>
    <t>01/05/2005</t>
  </si>
  <si>
    <t>30/04/2005</t>
  </si>
  <si>
    <t>29/04/2005</t>
  </si>
  <si>
    <t>28/04/2005</t>
  </si>
  <si>
    <t>27/04/2005</t>
  </si>
  <si>
    <t>26/04/2005</t>
  </si>
  <si>
    <t>25/04/2005</t>
  </si>
  <si>
    <t>24/04/2005</t>
  </si>
  <si>
    <t>23/04/2005</t>
  </si>
  <si>
    <t>22/04/2005</t>
  </si>
  <si>
    <t>21/04/2005</t>
  </si>
  <si>
    <t>20/04/2005</t>
  </si>
  <si>
    <t>19/04/2005</t>
  </si>
  <si>
    <t>18/04/2005</t>
  </si>
  <si>
    <t>17/04/2005</t>
  </si>
  <si>
    <t>16/04/2005</t>
  </si>
  <si>
    <t>15/04/2005</t>
  </si>
  <si>
    <t>14/04/2005</t>
  </si>
  <si>
    <t>13/04/2005</t>
  </si>
  <si>
    <t>12/04/2005</t>
  </si>
  <si>
    <t>11/04/2005</t>
  </si>
  <si>
    <t>10/04/2005</t>
  </si>
  <si>
    <t>09/04/2005</t>
  </si>
  <si>
    <t>08/04/2005</t>
  </si>
  <si>
    <t>07/04/2005</t>
  </si>
  <si>
    <t>06/04/2005</t>
  </si>
  <si>
    <t>05/04/2005</t>
  </si>
  <si>
    <t>04/04/2005</t>
  </si>
  <si>
    <t>03/04/2005</t>
  </si>
  <si>
    <t>02/04/2005</t>
  </si>
  <si>
    <t>01/04/2005</t>
  </si>
  <si>
    <t>31/03/2005</t>
  </si>
  <si>
    <t>30/03/2005</t>
  </si>
  <si>
    <t>29/03/2005</t>
  </si>
  <si>
    <t>28/03/2005</t>
  </si>
  <si>
    <t>27/03/2005</t>
  </si>
  <si>
    <t>26/03/2005</t>
  </si>
  <si>
    <t>25/03/2005</t>
  </si>
  <si>
    <t>24/03/2005</t>
  </si>
  <si>
    <t>23/03/2005</t>
  </si>
  <si>
    <t>22/03/2005</t>
  </si>
  <si>
    <t>21/03/2005</t>
  </si>
  <si>
    <t>20/03/2005</t>
  </si>
  <si>
    <t>19/03/2005</t>
  </si>
  <si>
    <t>18/03/2005</t>
  </si>
  <si>
    <t>17/03/2005</t>
  </si>
  <si>
    <t>16/03/2005</t>
  </si>
  <si>
    <t>15/03/2005</t>
  </si>
  <si>
    <t>14/03/2005</t>
  </si>
  <si>
    <t>13/03/2005</t>
  </si>
  <si>
    <t>12/03/2005</t>
  </si>
  <si>
    <t>11/03/2005</t>
  </si>
  <si>
    <t>10/03/2005</t>
  </si>
  <si>
    <t>09/03/2005</t>
  </si>
  <si>
    <t>08/03/2005</t>
  </si>
  <si>
    <t>07/03/2005</t>
  </si>
  <si>
    <t>06/03/2005</t>
  </si>
  <si>
    <t>05/03/2005</t>
  </si>
  <si>
    <t>04/03/2005</t>
  </si>
  <si>
    <t>03/03/2005</t>
  </si>
  <si>
    <t>02/03/2005</t>
  </si>
  <si>
    <t>01/03/2005</t>
  </si>
  <si>
    <t>28/02/2005</t>
  </si>
  <si>
    <t>27/02/2005</t>
  </si>
  <si>
    <t>26/02/2005</t>
  </si>
  <si>
    <t>25/02/2005</t>
  </si>
  <si>
    <t>24/02/2005</t>
  </si>
  <si>
    <t>23/02/2005</t>
  </si>
  <si>
    <t>22/02/2005</t>
  </si>
  <si>
    <t>21/02/2005</t>
  </si>
  <si>
    <t>20/02/2005</t>
  </si>
  <si>
    <t>19/02/2005</t>
  </si>
  <si>
    <t>18/02/2005</t>
  </si>
  <si>
    <t>17/02/2005</t>
  </si>
  <si>
    <t>16/02/2005</t>
  </si>
  <si>
    <t>15/02/2005</t>
  </si>
  <si>
    <t>14/02/2005</t>
  </si>
  <si>
    <t>13/02/2005</t>
  </si>
  <si>
    <t>12/02/2005</t>
  </si>
  <si>
    <t>11/02/2005</t>
  </si>
  <si>
    <t>10/02/2005</t>
  </si>
  <si>
    <t>09/02/2005</t>
  </si>
  <si>
    <t>08/02/2005</t>
  </si>
  <si>
    <t>07/02/2005</t>
  </si>
  <si>
    <t>06/02/2005</t>
  </si>
  <si>
    <t>05/02/2005</t>
  </si>
  <si>
    <t>04/02/2005</t>
  </si>
  <si>
    <t>03/02/2005</t>
  </si>
  <si>
    <t>02/02/2005</t>
  </si>
  <si>
    <t>01/02/2005</t>
  </si>
  <si>
    <t>31/01/2005</t>
  </si>
  <si>
    <t>30/01/2005</t>
  </si>
  <si>
    <t>29/01/2005</t>
  </si>
  <si>
    <t>28/01/2005</t>
  </si>
  <si>
    <t>27/01/2005</t>
  </si>
  <si>
    <t>26/01/2005</t>
  </si>
  <si>
    <t>25/01/2005</t>
  </si>
  <si>
    <t>24/01/2005</t>
  </si>
  <si>
    <t>23/01/2005</t>
  </si>
  <si>
    <t>22/01/2005</t>
  </si>
  <si>
    <t>21/01/2005</t>
  </si>
  <si>
    <t>20/01/2005</t>
  </si>
  <si>
    <t>19/01/2005</t>
  </si>
  <si>
    <t>18/01/2005</t>
  </si>
  <si>
    <t>17/01/2005</t>
  </si>
  <si>
    <t>16/01/2005</t>
  </si>
  <si>
    <t>15/01/2005</t>
  </si>
  <si>
    <t>14/01/2005</t>
  </si>
  <si>
    <t>13/01/2005</t>
  </si>
  <si>
    <t>12/01/2005</t>
  </si>
  <si>
    <t>11/01/2005</t>
  </si>
  <si>
    <t>10/01/2005</t>
  </si>
  <si>
    <t>09/01/2005</t>
  </si>
  <si>
    <t>08/01/2005</t>
  </si>
  <si>
    <t>07/01/2005</t>
  </si>
  <si>
    <t>06/01/2005</t>
  </si>
  <si>
    <t>05/01/2005</t>
  </si>
  <si>
    <t>04/01/2005</t>
  </si>
  <si>
    <t>03/01/2005</t>
  </si>
  <si>
    <t>02/01/2005</t>
  </si>
  <si>
    <t>01/01/2005</t>
  </si>
  <si>
    <t>31/12/2004</t>
  </si>
  <si>
    <t>30/12/2004</t>
  </si>
  <si>
    <t>29/12/2004</t>
  </si>
  <si>
    <t>28/12/2004</t>
  </si>
  <si>
    <t>27/12/2004</t>
  </si>
  <si>
    <t>26/12/2004</t>
  </si>
  <si>
    <t>25/12/2004</t>
  </si>
  <si>
    <t>24/12/2004</t>
  </si>
  <si>
    <t>23/12/2004</t>
  </si>
  <si>
    <t>22/12/2004</t>
  </si>
  <si>
    <t>21/12/2004</t>
  </si>
  <si>
    <t>20/12/2004</t>
  </si>
  <si>
    <t>19/12/2004</t>
  </si>
  <si>
    <t>18/12/2004</t>
  </si>
  <si>
    <t>17/12/2004</t>
  </si>
  <si>
    <t>16/12/2004</t>
  </si>
  <si>
    <t>15/12/2004</t>
  </si>
  <si>
    <t>14/12/2004</t>
  </si>
  <si>
    <t>13/12/2004</t>
  </si>
  <si>
    <t>12/12/2004</t>
  </si>
  <si>
    <t>11/12/2004</t>
  </si>
  <si>
    <t>10/12/2004</t>
  </si>
  <si>
    <t>09/12/2004</t>
  </si>
  <si>
    <t>08/12/2004</t>
  </si>
  <si>
    <t>07/12/2004</t>
  </si>
  <si>
    <t>06/12/2004</t>
  </si>
  <si>
    <t>05/12/2004</t>
  </si>
  <si>
    <t>04/12/2004</t>
  </si>
  <si>
    <t>03/12/2004</t>
  </si>
  <si>
    <t>02/12/2004</t>
  </si>
  <si>
    <t>01/12/2004</t>
  </si>
  <si>
    <t>30/11/2004</t>
  </si>
  <si>
    <t>29/11/2004</t>
  </si>
  <si>
    <t>28/11/2004</t>
  </si>
  <si>
    <t>27/11/2004</t>
  </si>
  <si>
    <t>26/11/2004</t>
  </si>
  <si>
    <t>25/11/2004</t>
  </si>
  <si>
    <t>24/11/2004</t>
  </si>
  <si>
    <t>23/11/2004</t>
  </si>
  <si>
    <t>22/11/2004</t>
  </si>
  <si>
    <t>21/11/2004</t>
  </si>
  <si>
    <t>20/11/2004</t>
  </si>
  <si>
    <t>19/11/2004</t>
  </si>
  <si>
    <t>18/11/2004</t>
  </si>
  <si>
    <t>17/11/2004</t>
  </si>
  <si>
    <t>16/11/2004</t>
  </si>
  <si>
    <t>15/11/2004</t>
  </si>
  <si>
    <t>14/11/2004</t>
  </si>
  <si>
    <t>13/11/2004</t>
  </si>
  <si>
    <t>12/11/2004</t>
  </si>
  <si>
    <t>11/11/2004</t>
  </si>
  <si>
    <t>10/11/2004</t>
  </si>
  <si>
    <t>09/11/2004</t>
  </si>
  <si>
    <t>08/11/2004</t>
  </si>
  <si>
    <t>07/11/2004</t>
  </si>
  <si>
    <t>06/11/2004</t>
  </si>
  <si>
    <t>05/11/2004</t>
  </si>
  <si>
    <t>04/11/2004</t>
  </si>
  <si>
    <t>03/11/2004</t>
  </si>
  <si>
    <t>02/11/2004</t>
  </si>
  <si>
    <t>01/11/2004</t>
  </si>
  <si>
    <t>31/10/2004</t>
  </si>
  <si>
    <t>30/10/2004</t>
  </si>
  <si>
    <t>29/10/2004</t>
  </si>
  <si>
    <t>28/10/2004</t>
  </si>
  <si>
    <t>27/10/2004</t>
  </si>
  <si>
    <t>26/10/2004</t>
  </si>
  <si>
    <t>25/10/2004</t>
  </si>
  <si>
    <t>24/10/2004</t>
  </si>
  <si>
    <t>23/10/2004</t>
  </si>
  <si>
    <t>22/10/2004</t>
  </si>
  <si>
    <t>21/10/2004</t>
  </si>
  <si>
    <t>20/10/2004</t>
  </si>
  <si>
    <t>19/10/2004</t>
  </si>
  <si>
    <t>18/10/2004</t>
  </si>
  <si>
    <t>17/10/2004</t>
  </si>
  <si>
    <t>16/10/2004</t>
  </si>
  <si>
    <t>15/10/2004</t>
  </si>
  <si>
    <t>14/10/2004</t>
  </si>
  <si>
    <t>13/10/2004</t>
  </si>
  <si>
    <t>12/10/2004</t>
  </si>
  <si>
    <t>11/10/2004</t>
  </si>
  <si>
    <t>10/10/2004</t>
  </si>
  <si>
    <t>09/10/2004</t>
  </si>
  <si>
    <t>08/10/2004</t>
  </si>
  <si>
    <t>07/10/2004</t>
  </si>
  <si>
    <t>06/10/2004</t>
  </si>
  <si>
    <t>05/10/2004</t>
  </si>
  <si>
    <t>04/10/2004</t>
  </si>
  <si>
    <t>03/10/2004</t>
  </si>
  <si>
    <t>02/10/2004</t>
  </si>
  <si>
    <t>01/10/2004</t>
  </si>
  <si>
    <t>30/09/2004</t>
  </si>
  <si>
    <t>29/09/2004</t>
  </si>
  <si>
    <t>28/09/2004</t>
  </si>
  <si>
    <t>27/09/2004</t>
  </si>
  <si>
    <t>26/09/2004</t>
  </si>
  <si>
    <t>25/09/2004</t>
  </si>
  <si>
    <t>24/09/2004</t>
  </si>
  <si>
    <t>23/09/2004</t>
  </si>
  <si>
    <t>22/09/2004</t>
  </si>
  <si>
    <t>21/09/2004</t>
  </si>
  <si>
    <t>20/09/2004</t>
  </si>
  <si>
    <t>19/09/2004</t>
  </si>
  <si>
    <t>18/09/2004</t>
  </si>
  <si>
    <t>17/09/2004</t>
  </si>
  <si>
    <t>16/09/2004</t>
  </si>
  <si>
    <t>15/09/2004</t>
  </si>
  <si>
    <t>14/09/2004</t>
  </si>
  <si>
    <t>13/09/2004</t>
  </si>
  <si>
    <t>12/09/2004</t>
  </si>
  <si>
    <t>11/09/2004</t>
  </si>
  <si>
    <t>10/09/2004</t>
  </si>
  <si>
    <t>09/09/2004</t>
  </si>
  <si>
    <t>08/09/2004</t>
  </si>
  <si>
    <t>07/09/2004</t>
  </si>
  <si>
    <t>06/09/2004</t>
  </si>
  <si>
    <t>05/09/2004</t>
  </si>
  <si>
    <t>04/09/2004</t>
  </si>
  <si>
    <t>03/09/2004</t>
  </si>
  <si>
    <t>02/09/2004</t>
  </si>
  <si>
    <t>01/09/2004</t>
  </si>
  <si>
    <t>31/08/2004</t>
  </si>
  <si>
    <t>30/08/2004</t>
  </si>
  <si>
    <t>29/08/2004</t>
  </si>
  <si>
    <t>28/08/2004</t>
  </si>
  <si>
    <t>27/08/2004</t>
  </si>
  <si>
    <t>26/08/2004</t>
  </si>
  <si>
    <t>25/08/2004</t>
  </si>
  <si>
    <t>24/08/2004</t>
  </si>
  <si>
    <t>23/08/2004</t>
  </si>
  <si>
    <t>22/08/2004</t>
  </si>
  <si>
    <t>21/08/2004</t>
  </si>
  <si>
    <t>20/08/2004</t>
  </si>
  <si>
    <t>19/08/2004</t>
  </si>
  <si>
    <t>18/08/2004</t>
  </si>
  <si>
    <t>17/08/2004</t>
  </si>
  <si>
    <t>16/08/2004</t>
  </si>
  <si>
    <t>15/08/2004</t>
  </si>
  <si>
    <t>14/08/2004</t>
  </si>
  <si>
    <t>13/08/2004</t>
  </si>
  <si>
    <t>12/08/2004</t>
  </si>
  <si>
    <t>11/08/2004</t>
  </si>
  <si>
    <t>10/08/2004</t>
  </si>
  <si>
    <t>09/08/2004</t>
  </si>
  <si>
    <t>08/08/2004</t>
  </si>
  <si>
    <t>07/08/2004</t>
  </si>
  <si>
    <t>06/08/2004</t>
  </si>
  <si>
    <t>05/08/2004</t>
  </si>
  <si>
    <t>04/08/2004</t>
  </si>
  <si>
    <t>03/08/2004</t>
  </si>
  <si>
    <t>02/08/2004</t>
  </si>
  <si>
    <t>01/08/2004</t>
  </si>
  <si>
    <t>31/07/2004</t>
  </si>
  <si>
    <t>30/07/2004</t>
  </si>
  <si>
    <t>29/07/2004</t>
  </si>
  <si>
    <t>28/07/2004</t>
  </si>
  <si>
    <t>27/07/2004</t>
  </si>
  <si>
    <t>26/07/2004</t>
  </si>
  <si>
    <t>25/07/2004</t>
  </si>
  <si>
    <t>24/07/2004</t>
  </si>
  <si>
    <t>23/07/2004</t>
  </si>
  <si>
    <t>22/07/2004</t>
  </si>
  <si>
    <t>21/07/2004</t>
  </si>
  <si>
    <t>20/07/2004</t>
  </si>
  <si>
    <t>19/07/2004</t>
  </si>
  <si>
    <t>18/07/2004</t>
  </si>
  <si>
    <t>17/07/2004</t>
  </si>
  <si>
    <t>16/07/2004</t>
  </si>
  <si>
    <t>15/07/2004</t>
  </si>
  <si>
    <t>14/07/2004</t>
  </si>
  <si>
    <t>13/07/2004</t>
  </si>
  <si>
    <t>12/07/2004</t>
  </si>
  <si>
    <t>11/07/2004</t>
  </si>
  <si>
    <t>10/07/2004</t>
  </si>
  <si>
    <t>09/07/2004</t>
  </si>
  <si>
    <t>08/07/2004</t>
  </si>
  <si>
    <t>07/07/2004</t>
  </si>
  <si>
    <t>06/07/2004</t>
  </si>
  <si>
    <t>05/07/2004</t>
  </si>
  <si>
    <t>04/07/2004</t>
  </si>
  <si>
    <t>03/07/2004</t>
  </si>
  <si>
    <t>02/07/2004</t>
  </si>
  <si>
    <t>01/07/2004</t>
  </si>
  <si>
    <t>30/06/2004</t>
  </si>
  <si>
    <t>29/06/2004</t>
  </si>
  <si>
    <t>28/06/2004</t>
  </si>
  <si>
    <t>27/06/2004</t>
  </si>
  <si>
    <t>26/06/2004</t>
  </si>
  <si>
    <t>25/06/2004</t>
  </si>
  <si>
    <t>24/06/2004</t>
  </si>
  <si>
    <t>23/06/2004</t>
  </si>
  <si>
    <t>22/06/2004</t>
  </si>
  <si>
    <t>21/06/2004</t>
  </si>
  <si>
    <t>20/06/2004</t>
  </si>
  <si>
    <t>19/06/2004</t>
  </si>
  <si>
    <t>18/06/2004</t>
  </si>
  <si>
    <t>17/06/2004</t>
  </si>
  <si>
    <t>16/06/2004</t>
  </si>
  <si>
    <t>15/06/2004</t>
  </si>
  <si>
    <t>14/06/2004</t>
  </si>
  <si>
    <t>13/06/2004</t>
  </si>
  <si>
    <t>12/06/2004</t>
  </si>
  <si>
    <t>11/06/2004</t>
  </si>
  <si>
    <t>10/06/2004</t>
  </si>
  <si>
    <t>09/06/2004</t>
  </si>
  <si>
    <t>08/06/2004</t>
  </si>
  <si>
    <t>07/06/2004</t>
  </si>
  <si>
    <t>06/06/2004</t>
  </si>
  <si>
    <t>05/06/2004</t>
  </si>
  <si>
    <t>04/06/2004</t>
  </si>
  <si>
    <t>03/06/2004</t>
  </si>
  <si>
    <t>02/06/2004</t>
  </si>
  <si>
    <t>01/06/2004</t>
  </si>
  <si>
    <t>31/05/2004</t>
  </si>
  <si>
    <t>30/05/2004</t>
  </si>
  <si>
    <t>29/05/2004</t>
  </si>
  <si>
    <t>28/05/2004</t>
  </si>
  <si>
    <t>27/05/2004</t>
  </si>
  <si>
    <t>26/05/2004</t>
  </si>
  <si>
    <t>25/05/2004</t>
  </si>
  <si>
    <t>24/05/2004</t>
  </si>
  <si>
    <t>23/05/2004</t>
  </si>
  <si>
    <t>22/05/2004</t>
  </si>
  <si>
    <t>21/05/2004</t>
  </si>
  <si>
    <t>20/05/2004</t>
  </si>
  <si>
    <t>19/05/2004</t>
  </si>
  <si>
    <t>18/05/2004</t>
  </si>
  <si>
    <t>17/05/2004</t>
  </si>
  <si>
    <t>16/05/2004</t>
  </si>
  <si>
    <t>15/05/2004</t>
  </si>
  <si>
    <t>14/05/2004</t>
  </si>
  <si>
    <t>13/05/2004</t>
  </si>
  <si>
    <t>12/05/2004</t>
  </si>
  <si>
    <t>11/05/2004</t>
  </si>
  <si>
    <t>10/05/2004</t>
  </si>
  <si>
    <t>09/05/2004</t>
  </si>
  <si>
    <t>08/05/2004</t>
  </si>
  <si>
    <t>07/05/2004</t>
  </si>
  <si>
    <t>06/05/2004</t>
  </si>
  <si>
    <t>05/05/2004</t>
  </si>
  <si>
    <t>04/05/2004</t>
  </si>
  <si>
    <t>03/05/2004</t>
  </si>
  <si>
    <t>02/05/2004</t>
  </si>
  <si>
    <t>01/05/2004</t>
  </si>
  <si>
    <t>30/04/2004</t>
  </si>
  <si>
    <t>29/04/2004</t>
  </si>
  <si>
    <t>28/04/2004</t>
  </si>
  <si>
    <t>27/04/2004</t>
  </si>
  <si>
    <t>26/04/2004</t>
  </si>
  <si>
    <t>25/04/2004</t>
  </si>
  <si>
    <t>24/04/2004</t>
  </si>
  <si>
    <t>23/04/2004</t>
  </si>
  <si>
    <t>22/04/2004</t>
  </si>
  <si>
    <t>21/04/2004</t>
  </si>
  <si>
    <t>20/04/2004</t>
  </si>
  <si>
    <t>19/04/2004</t>
  </si>
  <si>
    <t>18/04/2004</t>
  </si>
  <si>
    <t>17/04/2004</t>
  </si>
  <si>
    <t>16/04/2004</t>
  </si>
  <si>
    <t>15/04/2004</t>
  </si>
  <si>
    <t>14/04/2004</t>
  </si>
  <si>
    <t>13/04/2004</t>
  </si>
  <si>
    <t>12/04/2004</t>
  </si>
  <si>
    <t>11/04/2004</t>
  </si>
  <si>
    <t>10/04/2004</t>
  </si>
  <si>
    <t>09/04/2004</t>
  </si>
  <si>
    <t>08/04/2004</t>
  </si>
  <si>
    <t>07/04/2004</t>
  </si>
  <si>
    <t>06/04/2004</t>
  </si>
  <si>
    <t>05/04/2004</t>
  </si>
  <si>
    <t>04/04/2004</t>
  </si>
  <si>
    <t>03/04/2004</t>
  </si>
  <si>
    <t>02/04/2004</t>
  </si>
  <si>
    <t>01/04/2004</t>
  </si>
  <si>
    <t>31/03/2004</t>
  </si>
  <si>
    <t>30/03/2004</t>
  </si>
  <si>
    <t>29/03/2004</t>
  </si>
  <si>
    <t>28/03/2004</t>
  </si>
  <si>
    <t>27/03/2004</t>
  </si>
  <si>
    <t>26/03/2004</t>
  </si>
  <si>
    <t>25/03/2004</t>
  </si>
  <si>
    <t>24/03/2004</t>
  </si>
  <si>
    <t>23/03/2004</t>
  </si>
  <si>
    <t>22/03/2004</t>
  </si>
  <si>
    <t>21/03/2004</t>
  </si>
  <si>
    <t>20/03/2004</t>
  </si>
  <si>
    <t>19/03/2004</t>
  </si>
  <si>
    <t>18/03/2004</t>
  </si>
  <si>
    <t>17/03/2004</t>
  </si>
  <si>
    <t>16/03/2004</t>
  </si>
  <si>
    <t>15/03/2004</t>
  </si>
  <si>
    <t>14/03/2004</t>
  </si>
  <si>
    <t>13/03/2004</t>
  </si>
  <si>
    <t>12/03/2004</t>
  </si>
  <si>
    <t>11/03/2004</t>
  </si>
  <si>
    <t>10/03/2004</t>
  </si>
  <si>
    <t>09/03/2004</t>
  </si>
  <si>
    <t>08/03/2004</t>
  </si>
  <si>
    <t>07/03/2004</t>
  </si>
  <si>
    <t>06/03/2004</t>
  </si>
  <si>
    <t>05/03/2004</t>
  </si>
  <si>
    <t>04/03/2004</t>
  </si>
  <si>
    <t>03/03/2004</t>
  </si>
  <si>
    <t>02/03/2004</t>
  </si>
  <si>
    <t>01/03/2004</t>
  </si>
  <si>
    <t>29/02/2004</t>
  </si>
  <si>
    <t>28/02/2004</t>
  </si>
  <si>
    <t>27/02/2004</t>
  </si>
  <si>
    <t>26/02/2004</t>
  </si>
  <si>
    <t>25/02/2004</t>
  </si>
  <si>
    <t>24/02/2004</t>
  </si>
  <si>
    <t>23/02/2004</t>
  </si>
  <si>
    <t>22/02/2004</t>
  </si>
  <si>
    <t>21/02/2004</t>
  </si>
  <si>
    <t>20/02/2004</t>
  </si>
  <si>
    <t>19/02/2004</t>
  </si>
  <si>
    <t>18/02/2004</t>
  </si>
  <si>
    <t>17/02/2004</t>
  </si>
  <si>
    <t>16/02/2004</t>
  </si>
  <si>
    <t>15/02/2004</t>
  </si>
  <si>
    <t>14/02/2004</t>
  </si>
  <si>
    <t>13/02/2004</t>
  </si>
  <si>
    <t>12/02/2004</t>
  </si>
  <si>
    <t>11/02/2004</t>
  </si>
  <si>
    <t>10/02/2004</t>
  </si>
  <si>
    <t>09/02/2004</t>
  </si>
  <si>
    <t>08/02/2004</t>
  </si>
  <si>
    <t>07/02/2004</t>
  </si>
  <si>
    <t>06/02/2004</t>
  </si>
  <si>
    <t>05/02/2004</t>
  </si>
  <si>
    <t>04/02/2004</t>
  </si>
  <si>
    <t>03/02/2004</t>
  </si>
  <si>
    <t>02/02/2004</t>
  </si>
  <si>
    <t>01/02/2004</t>
  </si>
  <si>
    <t>31/01/2004</t>
  </si>
  <si>
    <t>30/01/2004</t>
  </si>
  <si>
    <t>29/01/2004</t>
  </si>
  <si>
    <t>28/01/2004</t>
  </si>
  <si>
    <t>27/01/2004</t>
  </si>
  <si>
    <t>26/01/2004</t>
  </si>
  <si>
    <t>25/01/2004</t>
  </si>
  <si>
    <t>24/01/2004</t>
  </si>
  <si>
    <t>23/01/2004</t>
  </si>
  <si>
    <t>22/01/2004</t>
  </si>
  <si>
    <t>21/01/2004</t>
  </si>
  <si>
    <t>20/01/2004</t>
  </si>
  <si>
    <t>19/01/2004</t>
  </si>
  <si>
    <t>18/01/2004</t>
  </si>
  <si>
    <t>17/01/2004</t>
  </si>
  <si>
    <t>16/01/2004</t>
  </si>
  <si>
    <t>15/01/2004</t>
  </si>
  <si>
    <t>14/01/2004</t>
  </si>
  <si>
    <t>13/01/2004</t>
  </si>
  <si>
    <t>12/01/2004</t>
  </si>
  <si>
    <t>11/01/2004</t>
  </si>
  <si>
    <t>10/01/2004</t>
  </si>
  <si>
    <t>09/01/2004</t>
  </si>
  <si>
    <t>08/01/2004</t>
  </si>
  <si>
    <t>07/01/2004</t>
  </si>
  <si>
    <t>06/01/2004</t>
  </si>
  <si>
    <t>05/01/2004</t>
  </si>
  <si>
    <t>04/01/2004</t>
  </si>
  <si>
    <t>03/01/2004</t>
  </si>
  <si>
    <t>02/01/2004</t>
  </si>
  <si>
    <t>01/01/2004</t>
  </si>
  <si>
    <t>31/12/2003</t>
  </si>
  <si>
    <t>30/12/2003</t>
  </si>
  <si>
    <t>29/12/2003</t>
  </si>
  <si>
    <t>28/12/2003</t>
  </si>
  <si>
    <t>27/12/2003</t>
  </si>
  <si>
    <t>26/12/2003</t>
  </si>
  <si>
    <t>25/12/2003</t>
  </si>
  <si>
    <t>24/12/2003</t>
  </si>
  <si>
    <t>23/12/2003</t>
  </si>
  <si>
    <t>22/12/2003</t>
  </si>
  <si>
    <t>21/12/2003</t>
  </si>
  <si>
    <t>20/12/2003</t>
  </si>
  <si>
    <t>19/12/2003</t>
  </si>
  <si>
    <t>18/12/2003</t>
  </si>
  <si>
    <t>17/12/2003</t>
  </si>
  <si>
    <t>16/12/2003</t>
  </si>
  <si>
    <t>15/12/2003</t>
  </si>
  <si>
    <t>14/12/2003</t>
  </si>
  <si>
    <t>13/12/2003</t>
  </si>
  <si>
    <t>12/12/2003</t>
  </si>
  <si>
    <t>11/12/2003</t>
  </si>
  <si>
    <t>10/12/2003</t>
  </si>
  <si>
    <t>09/12/2003</t>
  </si>
  <si>
    <t>08/12/2003</t>
  </si>
  <si>
    <t>07/12/2003</t>
  </si>
  <si>
    <t>06/12/2003</t>
  </si>
  <si>
    <t>05/12/2003</t>
  </si>
  <si>
    <t>04/12/2003</t>
  </si>
  <si>
    <t>03/12/2003</t>
  </si>
  <si>
    <t>02/12/2003</t>
  </si>
  <si>
    <t>01/12/2003</t>
  </si>
  <si>
    <t>30/11/2003</t>
  </si>
  <si>
    <t>29/11/2003</t>
  </si>
  <si>
    <t>28/11/2003</t>
  </si>
  <si>
    <t>27/11/2003</t>
  </si>
  <si>
    <t>26/11/2003</t>
  </si>
  <si>
    <t>25/11/2003</t>
  </si>
  <si>
    <t>24/11/2003</t>
  </si>
  <si>
    <t>23/11/2003</t>
  </si>
  <si>
    <t>22/11/2003</t>
  </si>
  <si>
    <t>21/11/2003</t>
  </si>
  <si>
    <t>20/11/2003</t>
  </si>
  <si>
    <t>19/11/2003</t>
  </si>
  <si>
    <t>18/11/2003</t>
  </si>
  <si>
    <t>17/11/2003</t>
  </si>
  <si>
    <t>16/11/2003</t>
  </si>
  <si>
    <t>15/11/2003</t>
  </si>
  <si>
    <t>14/11/2003</t>
  </si>
  <si>
    <t>13/11/2003</t>
  </si>
  <si>
    <t>12/11/2003</t>
  </si>
  <si>
    <t>11/11/2003</t>
  </si>
  <si>
    <t>10/11/2003</t>
  </si>
  <si>
    <t>09/11/2003</t>
  </si>
  <si>
    <t>08/11/2003</t>
  </si>
  <si>
    <t>07/11/2003</t>
  </si>
  <si>
    <t>06/11/2003</t>
  </si>
  <si>
    <t>05/11/2003</t>
  </si>
  <si>
    <t>04/11/2003</t>
  </si>
  <si>
    <t>03/11/2003</t>
  </si>
  <si>
    <t>02/11/2003</t>
  </si>
  <si>
    <t>01/11/2003</t>
  </si>
  <si>
    <t>31/10/2003</t>
  </si>
  <si>
    <t>30/10/2003</t>
  </si>
  <si>
    <t>29/10/2003</t>
  </si>
  <si>
    <t>28/10/2003</t>
  </si>
  <si>
    <t>27/10/2003</t>
  </si>
  <si>
    <t>26/10/2003</t>
  </si>
  <si>
    <t>25/10/2003</t>
  </si>
  <si>
    <t>24/10/2003</t>
  </si>
  <si>
    <t>23/10/2003</t>
  </si>
  <si>
    <t>22/10/2003</t>
  </si>
  <si>
    <t>21/10/2003</t>
  </si>
  <si>
    <t>20/10/2003</t>
  </si>
  <si>
    <t>19/10/2003</t>
  </si>
  <si>
    <t>18/10/2003</t>
  </si>
  <si>
    <t>17/10/2003</t>
  </si>
  <si>
    <t>16/10/2003</t>
  </si>
  <si>
    <t>15/10/2003</t>
  </si>
  <si>
    <t>14/10/2003</t>
  </si>
  <si>
    <t>13/10/2003</t>
  </si>
  <si>
    <t>12/10/2003</t>
  </si>
  <si>
    <t>11/10/2003</t>
  </si>
  <si>
    <t>10/10/2003</t>
  </si>
  <si>
    <t>09/10/2003</t>
  </si>
  <si>
    <t>08/10/2003</t>
  </si>
  <si>
    <t>07/10/2003</t>
  </si>
  <si>
    <t>06/10/2003</t>
  </si>
  <si>
    <t>05/10/2003</t>
  </si>
  <si>
    <t>04/10/2003</t>
  </si>
  <si>
    <t>03/10/2003</t>
  </si>
  <si>
    <t>02/10/2003</t>
  </si>
  <si>
    <t>01/10/2003</t>
  </si>
  <si>
    <t>30/09/2003</t>
  </si>
  <si>
    <t>29/09/2003</t>
  </si>
  <si>
    <t>28/09/2003</t>
  </si>
  <si>
    <t>27/09/2003</t>
  </si>
  <si>
    <t>26/09/2003</t>
  </si>
  <si>
    <t>25/09/2003</t>
  </si>
  <si>
    <t>24/09/2003</t>
  </si>
  <si>
    <t>23/09/2003</t>
  </si>
  <si>
    <t>22/09/2003</t>
  </si>
  <si>
    <t>21/09/2003</t>
  </si>
  <si>
    <t>20/09/2003</t>
  </si>
  <si>
    <t>19/09/2003</t>
  </si>
  <si>
    <t>18/09/2003</t>
  </si>
  <si>
    <t>17/09/2003</t>
  </si>
  <si>
    <t>16/09/2003</t>
  </si>
  <si>
    <t>15/09/2003</t>
  </si>
  <si>
    <t>14/09/2003</t>
  </si>
  <si>
    <t>13/09/2003</t>
  </si>
  <si>
    <t>12/09/2003</t>
  </si>
  <si>
    <t>11/09/2003</t>
  </si>
  <si>
    <t>10/09/2003</t>
  </si>
  <si>
    <t>09/09/2003</t>
  </si>
  <si>
    <t>08/09/2003</t>
  </si>
  <si>
    <t>07/09/2003</t>
  </si>
  <si>
    <t>06/09/2003</t>
  </si>
  <si>
    <t>05/09/2003</t>
  </si>
  <si>
    <t>04/09/2003</t>
  </si>
  <si>
    <t>03/09/2003</t>
  </si>
  <si>
    <t>02/09/2003</t>
  </si>
  <si>
    <t>01/09/2003</t>
  </si>
  <si>
    <t>31/08/2003</t>
  </si>
  <si>
    <t>30/08/2003</t>
  </si>
  <si>
    <t>29/08/2003</t>
  </si>
  <si>
    <t>28/08/2003</t>
  </si>
  <si>
    <t>27/08/2003</t>
  </si>
  <si>
    <t>26/08/2003</t>
  </si>
  <si>
    <t>25/08/2003</t>
  </si>
  <si>
    <t>24/08/2003</t>
  </si>
  <si>
    <t>23/08/2003</t>
  </si>
  <si>
    <t>22/08/2003</t>
  </si>
  <si>
    <t>21/08/2003</t>
  </si>
  <si>
    <t>20/08/2003</t>
  </si>
  <si>
    <t>19/08/2003</t>
  </si>
  <si>
    <t>18/08/2003</t>
  </si>
  <si>
    <t>17/08/2003</t>
  </si>
  <si>
    <t>16/08/2003</t>
  </si>
  <si>
    <t>15/08/2003</t>
  </si>
  <si>
    <t>14/08/2003</t>
  </si>
  <si>
    <t>13/08/2003</t>
  </si>
  <si>
    <t>12/08/2003</t>
  </si>
  <si>
    <t>11/08/2003</t>
  </si>
  <si>
    <t>10/08/2003</t>
  </si>
  <si>
    <t>09/08/2003</t>
  </si>
  <si>
    <t>08/08/2003</t>
  </si>
  <si>
    <t>07/08/2003</t>
  </si>
  <si>
    <t>06/08/2003</t>
  </si>
  <si>
    <t>05/08/2003</t>
  </si>
  <si>
    <t>04/08/2003</t>
  </si>
  <si>
    <t>03/08/2003</t>
  </si>
  <si>
    <t>02/08/2003</t>
  </si>
  <si>
    <t>01/08/2003</t>
  </si>
  <si>
    <t>31/07/2003</t>
  </si>
  <si>
    <t>30/07/2003</t>
  </si>
  <si>
    <t>29/07/2003</t>
  </si>
  <si>
    <t>28/07/2003</t>
  </si>
  <si>
    <t>27/07/2003</t>
  </si>
  <si>
    <t>26/07/2003</t>
  </si>
  <si>
    <t>25/07/2003</t>
  </si>
  <si>
    <t>24/07/2003</t>
  </si>
  <si>
    <t>23/07/2003</t>
  </si>
  <si>
    <t>22/07/2003</t>
  </si>
  <si>
    <t>21/07/2003</t>
  </si>
  <si>
    <t>20/07/2003</t>
  </si>
  <si>
    <t>19/07/2003</t>
  </si>
  <si>
    <t>18/07/2003</t>
  </si>
  <si>
    <t>17/07/2003</t>
  </si>
  <si>
    <t>16/07/2003</t>
  </si>
  <si>
    <t>15/07/2003</t>
  </si>
  <si>
    <t>14/07/2003</t>
  </si>
  <si>
    <t>13/07/2003</t>
  </si>
  <si>
    <t>12/07/2003</t>
  </si>
  <si>
    <t>11/07/2003</t>
  </si>
  <si>
    <t>10/07/2003</t>
  </si>
  <si>
    <t>09/07/2003</t>
  </si>
  <si>
    <t>08/07/2003</t>
  </si>
  <si>
    <t>07/07/2003</t>
  </si>
  <si>
    <t>06/07/2003</t>
  </si>
  <si>
    <t>05/07/2003</t>
  </si>
  <si>
    <t>04/07/2003</t>
  </si>
  <si>
    <t>03/07/2003</t>
  </si>
  <si>
    <t>02/07/2003</t>
  </si>
  <si>
    <t>01/07/2003</t>
  </si>
  <si>
    <t>30/06/2003</t>
  </si>
  <si>
    <t>29/06/2003</t>
  </si>
  <si>
    <t>28/06/2003</t>
  </si>
  <si>
    <t>27/06/2003</t>
  </si>
  <si>
    <t>26/06/2003</t>
  </si>
  <si>
    <t>25/06/2003</t>
  </si>
  <si>
    <t>24/06/2003</t>
  </si>
  <si>
    <t>23/06/2003</t>
  </si>
  <si>
    <t>22/06/2003</t>
  </si>
  <si>
    <t>21/06/2003</t>
  </si>
  <si>
    <t>20/06/2003</t>
  </si>
  <si>
    <t>19/06/2003</t>
  </si>
  <si>
    <t>18/06/2003</t>
  </si>
  <si>
    <t>17/06/2003</t>
  </si>
  <si>
    <t>16/06/2003</t>
  </si>
  <si>
    <t>15/06/2003</t>
  </si>
  <si>
    <t>14/06/2003</t>
  </si>
  <si>
    <t>13/06/2003</t>
  </si>
  <si>
    <t>12/06/2003</t>
  </si>
  <si>
    <t>11/06/2003</t>
  </si>
  <si>
    <t>10/06/2003</t>
  </si>
  <si>
    <t>09/06/2003</t>
  </si>
  <si>
    <t>08/06/2003</t>
  </si>
  <si>
    <t>07/06/2003</t>
  </si>
  <si>
    <t>06/06/2003</t>
  </si>
  <si>
    <t>05/06/2003</t>
  </si>
  <si>
    <t>04/06/2003</t>
  </si>
  <si>
    <t>03/06/2003</t>
  </si>
  <si>
    <t>02/06/2003</t>
  </si>
  <si>
    <t>01/06/2003</t>
  </si>
  <si>
    <t>31/05/2003</t>
  </si>
  <si>
    <t>30/05/2003</t>
  </si>
  <si>
    <t>29/05/2003</t>
  </si>
  <si>
    <t>28/05/2003</t>
  </si>
  <si>
    <t>27/05/2003</t>
  </si>
  <si>
    <t>26/05/2003</t>
  </si>
  <si>
    <t>25/05/2003</t>
  </si>
  <si>
    <t>24/05/2003</t>
  </si>
  <si>
    <t>23/05/2003</t>
  </si>
  <si>
    <t>22/05/2003</t>
  </si>
  <si>
    <t>21/05/2003</t>
  </si>
  <si>
    <t>20/05/2003</t>
  </si>
  <si>
    <t>19/05/2003</t>
  </si>
  <si>
    <t>18/05/2003</t>
  </si>
  <si>
    <t>17/05/2003</t>
  </si>
  <si>
    <t>16/05/2003</t>
  </si>
  <si>
    <t>15/05/2003</t>
  </si>
  <si>
    <t>14/05/2003</t>
  </si>
  <si>
    <t>13/05/2003</t>
  </si>
  <si>
    <t>12/05/2003</t>
  </si>
  <si>
    <t>11/05/2003</t>
  </si>
  <si>
    <t>10/05/2003</t>
  </si>
  <si>
    <t>09/05/2003</t>
  </si>
  <si>
    <t>08/05/2003</t>
  </si>
  <si>
    <t>07/05/2003</t>
  </si>
  <si>
    <t>06/05/2003</t>
  </si>
  <si>
    <t>05/05/2003</t>
  </si>
  <si>
    <t>04/05/2003</t>
  </si>
  <si>
    <t>03/05/2003</t>
  </si>
  <si>
    <t>02/05/2003</t>
  </si>
  <si>
    <t>01/05/2003</t>
  </si>
  <si>
    <t>30/04/2003</t>
  </si>
  <si>
    <t>29/04/2003</t>
  </si>
  <si>
    <t>28/04/2003</t>
  </si>
  <si>
    <t>27/04/2003</t>
  </si>
  <si>
    <t>26/04/2003</t>
  </si>
  <si>
    <t>25/04/2003</t>
  </si>
  <si>
    <t>24/04/2003</t>
  </si>
  <si>
    <t>23/04/2003</t>
  </si>
  <si>
    <t>22/04/2003</t>
  </si>
  <si>
    <t>21/04/2003</t>
  </si>
  <si>
    <t>20/04/2003</t>
  </si>
  <si>
    <t>19/04/2003</t>
  </si>
  <si>
    <t>18/04/2003</t>
  </si>
  <si>
    <t>17/04/2003</t>
  </si>
  <si>
    <t>16/04/2003</t>
  </si>
  <si>
    <t>15/04/2003</t>
  </si>
  <si>
    <t>14/04/2003</t>
  </si>
  <si>
    <t>13/04/2003</t>
  </si>
  <si>
    <t>12/04/2003</t>
  </si>
  <si>
    <t>11/04/2003</t>
  </si>
  <si>
    <t>10/04/2003</t>
  </si>
  <si>
    <t>09/04/2003</t>
  </si>
  <si>
    <t>08/04/2003</t>
  </si>
  <si>
    <t>07/04/2003</t>
  </si>
  <si>
    <t>06/04/2003</t>
  </si>
  <si>
    <t>05/04/2003</t>
  </si>
  <si>
    <t>04/04/2003</t>
  </si>
  <si>
    <t>03/04/2003</t>
  </si>
  <si>
    <t>02/04/2003</t>
  </si>
  <si>
    <t>01/04/2003</t>
  </si>
  <si>
    <t>31/03/2003</t>
  </si>
  <si>
    <t>30/03/2003</t>
  </si>
  <si>
    <t>29/03/2003</t>
  </si>
  <si>
    <t>28/03/2003</t>
  </si>
  <si>
    <t>27/03/2003</t>
  </si>
  <si>
    <t>26/03/2003</t>
  </si>
  <si>
    <t>25/03/2003</t>
  </si>
  <si>
    <t>24/03/2003</t>
  </si>
  <si>
    <t>23/03/2003</t>
  </si>
  <si>
    <t>22/03/2003</t>
  </si>
  <si>
    <t>21/03/2003</t>
  </si>
  <si>
    <t>20/03/2003</t>
  </si>
  <si>
    <t>19/03/2003</t>
  </si>
  <si>
    <t>18/03/2003</t>
  </si>
  <si>
    <t>17/03/2003</t>
  </si>
  <si>
    <t>16/03/2003</t>
  </si>
  <si>
    <t>15/03/2003</t>
  </si>
  <si>
    <t>14/03/2003</t>
  </si>
  <si>
    <t>13/03/2003</t>
  </si>
  <si>
    <t>12/03/2003</t>
  </si>
  <si>
    <t>11/03/2003</t>
  </si>
  <si>
    <t>10/03/2003</t>
  </si>
  <si>
    <t>09/03/2003</t>
  </si>
  <si>
    <t>08/03/2003</t>
  </si>
  <si>
    <t>07/03/2003</t>
  </si>
  <si>
    <t>06/03/2003</t>
  </si>
  <si>
    <t>05/03/2003</t>
  </si>
  <si>
    <t>04/03/2003</t>
  </si>
  <si>
    <t>03/03/2003</t>
  </si>
  <si>
    <t>02/03/2003</t>
  </si>
  <si>
    <t>01/03/2003</t>
  </si>
  <si>
    <t>28/02/2003</t>
  </si>
  <si>
    <t>27/02/2003</t>
  </si>
  <si>
    <t>26/02/2003</t>
  </si>
  <si>
    <t>25/02/2003</t>
  </si>
  <si>
    <t>24/02/2003</t>
  </si>
  <si>
    <t>23/02/2003</t>
  </si>
  <si>
    <t>22/02/2003</t>
  </si>
  <si>
    <t>21/02/2003</t>
  </si>
  <si>
    <t>20/02/2003</t>
  </si>
  <si>
    <t>19/02/2003</t>
  </si>
  <si>
    <t>18/02/2003</t>
  </si>
  <si>
    <t>17/02/2003</t>
  </si>
  <si>
    <t>16/02/2003</t>
  </si>
  <si>
    <t>15/02/2003</t>
  </si>
  <si>
    <t>14/02/2003</t>
  </si>
  <si>
    <t>13/02/2003</t>
  </si>
  <si>
    <t>12/02/2003</t>
  </si>
  <si>
    <t>11/02/2003</t>
  </si>
  <si>
    <t>10/02/2003</t>
  </si>
  <si>
    <t>09/02/2003</t>
  </si>
  <si>
    <t>08/02/2003</t>
  </si>
  <si>
    <t>07/02/2003</t>
  </si>
  <si>
    <t>06/02/2003</t>
  </si>
  <si>
    <t>05/02/2003</t>
  </si>
  <si>
    <t>04/02/2003</t>
  </si>
  <si>
    <t>03/02/2003</t>
  </si>
  <si>
    <t>02/02/2003</t>
  </si>
  <si>
    <t>01/02/2003</t>
  </si>
  <si>
    <t>31/01/2003</t>
  </si>
  <si>
    <t>30/01/2003</t>
  </si>
  <si>
    <t>29/01/2003</t>
  </si>
  <si>
    <t>28/01/2003</t>
  </si>
  <si>
    <t>27/01/2003</t>
  </si>
  <si>
    <t>26/01/2003</t>
  </si>
  <si>
    <t>25/01/2003</t>
  </si>
  <si>
    <t>24/01/2003</t>
  </si>
  <si>
    <t>23/01/2003</t>
  </si>
  <si>
    <t>22/01/2003</t>
  </si>
  <si>
    <t>21/01/2003</t>
  </si>
  <si>
    <t>20/01/2003</t>
  </si>
  <si>
    <t>19/01/2003</t>
  </si>
  <si>
    <t>18/01/2003</t>
  </si>
  <si>
    <t>17/01/2003</t>
  </si>
  <si>
    <t>16/01/2003</t>
  </si>
  <si>
    <t>15/01/2003</t>
  </si>
  <si>
    <t>14/01/2003</t>
  </si>
  <si>
    <t>13/01/2003</t>
  </si>
  <si>
    <t>12/01/2003</t>
  </si>
  <si>
    <t>11/01/2003</t>
  </si>
  <si>
    <t>10/01/2003</t>
  </si>
  <si>
    <t>09/01/2003</t>
  </si>
  <si>
    <t>08/01/2003</t>
  </si>
  <si>
    <t>07/01/2003</t>
  </si>
  <si>
    <t>06/01/2003</t>
  </si>
  <si>
    <t>05/01/2003</t>
  </si>
  <si>
    <t>04/01/2003</t>
  </si>
  <si>
    <t>03/01/2003</t>
  </si>
  <si>
    <t>02/01/2003</t>
  </si>
  <si>
    <t>01/01/2003</t>
  </si>
  <si>
    <t>31/12/2002</t>
  </si>
  <si>
    <t>30/12/2002</t>
  </si>
  <si>
    <t>29/12/2002</t>
  </si>
  <si>
    <t>28/12/2002</t>
  </si>
  <si>
    <t>27/12/2002</t>
  </si>
  <si>
    <t>26/12/2002</t>
  </si>
  <si>
    <t>25/12/2002</t>
  </si>
  <si>
    <t>24/12/2002</t>
  </si>
  <si>
    <t>23/12/2002</t>
  </si>
  <si>
    <t>22/12/2002</t>
  </si>
  <si>
    <t>21/12/2002</t>
  </si>
  <si>
    <t>20/12/2002</t>
  </si>
  <si>
    <t>19/12/2002</t>
  </si>
  <si>
    <t>18/12/2002</t>
  </si>
  <si>
    <t>17/12/2002</t>
  </si>
  <si>
    <t>16/12/2002</t>
  </si>
  <si>
    <t>15/12/2002</t>
  </si>
  <si>
    <t>14/12/2002</t>
  </si>
  <si>
    <t>13/12/2002</t>
  </si>
  <si>
    <t>12/12/2002</t>
  </si>
  <si>
    <t>11/12/2002</t>
  </si>
  <si>
    <t>10/12/2002</t>
  </si>
  <si>
    <t>09/12/2002</t>
  </si>
  <si>
    <t>08/12/2002</t>
  </si>
  <si>
    <t>07/12/2002</t>
  </si>
  <si>
    <t>06/12/2002</t>
  </si>
  <si>
    <t>05/12/2002</t>
  </si>
  <si>
    <t>04/12/2002</t>
  </si>
  <si>
    <t>03/12/2002</t>
  </si>
  <si>
    <t>02/12/2002</t>
  </si>
  <si>
    <t>01/12/2002</t>
  </si>
  <si>
    <t>30/11/2002</t>
  </si>
  <si>
    <t>29/11/2002</t>
  </si>
  <si>
    <t>28/11/2002</t>
  </si>
  <si>
    <t>27/11/2002</t>
  </si>
  <si>
    <t>26/11/2002</t>
  </si>
  <si>
    <t>25/11/2002</t>
  </si>
  <si>
    <t>24/11/2002</t>
  </si>
  <si>
    <t>23/11/2002</t>
  </si>
  <si>
    <t>22/11/2002</t>
  </si>
  <si>
    <t>21/11/2002</t>
  </si>
  <si>
    <t>20/11/2002</t>
  </si>
  <si>
    <t>19/11/2002</t>
  </si>
  <si>
    <t>18/11/2002</t>
  </si>
  <si>
    <t>17/11/2002</t>
  </si>
  <si>
    <t>16/11/2002</t>
  </si>
  <si>
    <t>15/11/2002</t>
  </si>
  <si>
    <t>14/11/2002</t>
  </si>
  <si>
    <t>13/11/2002</t>
  </si>
  <si>
    <t>12/11/2002</t>
  </si>
  <si>
    <t>11/11/2002</t>
  </si>
  <si>
    <t>10/11/2002</t>
  </si>
  <si>
    <t>09/11/2002</t>
  </si>
  <si>
    <t>08/11/2002</t>
  </si>
  <si>
    <t>07/11/2002</t>
  </si>
  <si>
    <t>06/11/2002</t>
  </si>
  <si>
    <t>05/11/2002</t>
  </si>
  <si>
    <t>04/11/2002</t>
  </si>
  <si>
    <t>03/11/2002</t>
  </si>
  <si>
    <t>02/11/2002</t>
  </si>
  <si>
    <t>01/11/2002</t>
  </si>
  <si>
    <t>31/10/2002</t>
  </si>
  <si>
    <t>30/10/2002</t>
  </si>
  <si>
    <t>29/10/2002</t>
  </si>
  <si>
    <t>28/10/2002</t>
  </si>
  <si>
    <t>27/10/2002</t>
  </si>
  <si>
    <t>26/10/2002</t>
  </si>
  <si>
    <t>25/10/2002</t>
  </si>
  <si>
    <t>24/10/2002</t>
  </si>
  <si>
    <t>23/10/2002</t>
  </si>
  <si>
    <t>22/10/2002</t>
  </si>
  <si>
    <t>21/10/2002</t>
  </si>
  <si>
    <t>20/10/2002</t>
  </si>
  <si>
    <t>19/10/2002</t>
  </si>
  <si>
    <t>18/10/2002</t>
  </si>
  <si>
    <t>17/10/2002</t>
  </si>
  <si>
    <t>16/10/2002</t>
  </si>
  <si>
    <t>15/10/2002</t>
  </si>
  <si>
    <t>14/10/2002</t>
  </si>
  <si>
    <t>13/10/2002</t>
  </si>
  <si>
    <t>12/10/2002</t>
  </si>
  <si>
    <t>11/10/2002</t>
  </si>
  <si>
    <t>10/10/2002</t>
  </si>
  <si>
    <t>09/10/2002</t>
  </si>
  <si>
    <t>08/10/2002</t>
  </si>
  <si>
    <t>07/10/2002</t>
  </si>
  <si>
    <t>06/10/2002</t>
  </si>
  <si>
    <t>05/10/2002</t>
  </si>
  <si>
    <t>04/10/2002</t>
  </si>
  <si>
    <t>03/10/2002</t>
  </si>
  <si>
    <t>02/10/2002</t>
  </si>
  <si>
    <t>01/10/2002</t>
  </si>
  <si>
    <t>30/09/2002</t>
  </si>
  <si>
    <t>29/09/2002</t>
  </si>
  <si>
    <t>28/09/2002</t>
  </si>
  <si>
    <t>27/09/2002</t>
  </si>
  <si>
    <t>26/09/2002</t>
  </si>
  <si>
    <t>25/09/2002</t>
  </si>
  <si>
    <t>24/09/2002</t>
  </si>
  <si>
    <t>23/09/2002</t>
  </si>
  <si>
    <t>22/09/2002</t>
  </si>
  <si>
    <t>21/09/2002</t>
  </si>
  <si>
    <t>20/09/2002</t>
  </si>
  <si>
    <t>19/09/2002</t>
  </si>
  <si>
    <t>18/09/2002</t>
  </si>
  <si>
    <t>17/09/2002</t>
  </si>
  <si>
    <t>16/09/2002</t>
  </si>
  <si>
    <t>15/09/2002</t>
  </si>
  <si>
    <t>14/09/2002</t>
  </si>
  <si>
    <t>13/09/2002</t>
  </si>
  <si>
    <t>12/09/2002</t>
  </si>
  <si>
    <t>11/09/2002</t>
  </si>
  <si>
    <t>10/09/2002</t>
  </si>
  <si>
    <t>09/09/2002</t>
  </si>
  <si>
    <t>08/09/2002</t>
  </si>
  <si>
    <t>07/09/2002</t>
  </si>
  <si>
    <t>06/09/2002</t>
  </si>
  <si>
    <t>05/09/2002</t>
  </si>
  <si>
    <t>04/09/2002</t>
  </si>
  <si>
    <t>03/09/2002</t>
  </si>
  <si>
    <t>02/09/2002</t>
  </si>
  <si>
    <t>01/09/2002</t>
  </si>
  <si>
    <t>31/08/2002</t>
  </si>
  <si>
    <t>30/08/2002</t>
  </si>
  <si>
    <t>29/08/2002</t>
  </si>
  <si>
    <t>28/08/2002</t>
  </si>
  <si>
    <t>27/08/2002</t>
  </si>
  <si>
    <t>26/08/2002</t>
  </si>
  <si>
    <t>25/08/2002</t>
  </si>
  <si>
    <t>24/08/2002</t>
  </si>
  <si>
    <t>23/08/2002</t>
  </si>
  <si>
    <t>22/08/2002</t>
  </si>
  <si>
    <t>21/08/2002</t>
  </si>
  <si>
    <t>20/08/2002</t>
  </si>
  <si>
    <t>19/08/2002</t>
  </si>
  <si>
    <t>18/08/2002</t>
  </si>
  <si>
    <t>17/08/2002</t>
  </si>
  <si>
    <t>16/08/2002</t>
  </si>
  <si>
    <t>15/08/2002</t>
  </si>
  <si>
    <t>14/08/2002</t>
  </si>
  <si>
    <t>13/08/2002</t>
  </si>
  <si>
    <t>12/08/2002</t>
  </si>
  <si>
    <t>11/08/2002</t>
  </si>
  <si>
    <t>10/08/2002</t>
  </si>
  <si>
    <t>09/08/2002</t>
  </si>
  <si>
    <t>08/08/2002</t>
  </si>
  <si>
    <t>07/08/2002</t>
  </si>
  <si>
    <t>06/08/2002</t>
  </si>
  <si>
    <t>05/08/2002</t>
  </si>
  <si>
    <t>04/08/2002</t>
  </si>
  <si>
    <t>03/08/2002</t>
  </si>
  <si>
    <t>02/08/2002</t>
  </si>
  <si>
    <t>01/08/2002</t>
  </si>
  <si>
    <t>31/07/2002</t>
  </si>
  <si>
    <t>30/07/2002</t>
  </si>
  <si>
    <t>29/07/2002</t>
  </si>
  <si>
    <t>28/07/2002</t>
  </si>
  <si>
    <t>27/07/2002</t>
  </si>
  <si>
    <t>26/07/2002</t>
  </si>
  <si>
    <t>25/07/2002</t>
  </si>
  <si>
    <t>24/07/2002</t>
  </si>
  <si>
    <t>23/07/2002</t>
  </si>
  <si>
    <t>22/07/2002</t>
  </si>
  <si>
    <t>21/07/2002</t>
  </si>
  <si>
    <t>20/07/2002</t>
  </si>
  <si>
    <t>19/07/2002</t>
  </si>
  <si>
    <t>18/07/2002</t>
  </si>
  <si>
    <t>17/07/2002</t>
  </si>
  <si>
    <t>16/07/2002</t>
  </si>
  <si>
    <t>15/07/2002</t>
  </si>
  <si>
    <t>14/07/2002</t>
  </si>
  <si>
    <t>13/07/2002</t>
  </si>
  <si>
    <t>12/07/2002</t>
  </si>
  <si>
    <t>11/07/2002</t>
  </si>
  <si>
    <t>10/07/2002</t>
  </si>
  <si>
    <t>09/07/2002</t>
  </si>
  <si>
    <t>08/07/2002</t>
  </si>
  <si>
    <t>07/07/2002</t>
  </si>
  <si>
    <t>06/07/2002</t>
  </si>
  <si>
    <t>05/07/2002</t>
  </si>
  <si>
    <t>04/07/2002</t>
  </si>
  <si>
    <t>03/07/2002</t>
  </si>
  <si>
    <t>02/07/2002</t>
  </si>
  <si>
    <t>01/07/2002</t>
  </si>
  <si>
    <t>30/06/2002</t>
  </si>
  <si>
    <t>29/06/2002</t>
  </si>
  <si>
    <t>28/06/2002</t>
  </si>
  <si>
    <t>27/06/2002</t>
  </si>
  <si>
    <t>26/06/2002</t>
  </si>
  <si>
    <t>25/06/2002</t>
  </si>
  <si>
    <t>24/06/2002</t>
  </si>
  <si>
    <t>23/06/2002</t>
  </si>
  <si>
    <t>22/06/2002</t>
  </si>
  <si>
    <t>21/06/2002</t>
  </si>
  <si>
    <t>20/06/2002</t>
  </si>
  <si>
    <t>19/06/2002</t>
  </si>
  <si>
    <t>18/06/2002</t>
  </si>
  <si>
    <t>17/06/2002</t>
  </si>
  <si>
    <t>16/06/2002</t>
  </si>
  <si>
    <t>15/06/2002</t>
  </si>
  <si>
    <t>14/06/2002</t>
  </si>
  <si>
    <t>13/06/2002</t>
  </si>
  <si>
    <t>12/06/2002</t>
  </si>
  <si>
    <t>11/06/2002</t>
  </si>
  <si>
    <t>10/06/2002</t>
  </si>
  <si>
    <t>09/06/2002</t>
  </si>
  <si>
    <t>08/06/2002</t>
  </si>
  <si>
    <t>07/06/2002</t>
  </si>
  <si>
    <t>06/06/2002</t>
  </si>
  <si>
    <t>05/06/2002</t>
  </si>
  <si>
    <t>04/06/2002</t>
  </si>
  <si>
    <t>03/06/2002</t>
  </si>
  <si>
    <t>02/06/2002</t>
  </si>
  <si>
    <t>01/06/2002</t>
  </si>
  <si>
    <t>31/05/2002</t>
  </si>
  <si>
    <t>30/05/2002</t>
  </si>
  <si>
    <t>29/05/2002</t>
  </si>
  <si>
    <t>28/05/2002</t>
  </si>
  <si>
    <t>27/05/2002</t>
  </si>
  <si>
    <t>26/05/2002</t>
  </si>
  <si>
    <t>25/05/2002</t>
  </si>
  <si>
    <t>24/05/2002</t>
  </si>
  <si>
    <t>23/05/2002</t>
  </si>
  <si>
    <t>22/05/2002</t>
  </si>
  <si>
    <t>21/05/2002</t>
  </si>
  <si>
    <t>20/05/2002</t>
  </si>
  <si>
    <t>19/05/2002</t>
  </si>
  <si>
    <t>18/05/2002</t>
  </si>
  <si>
    <t>17/05/2002</t>
  </si>
  <si>
    <t>16/05/2002</t>
  </si>
  <si>
    <t>15/05/2002</t>
  </si>
  <si>
    <t>14/05/2002</t>
  </si>
  <si>
    <t>13/05/2002</t>
  </si>
  <si>
    <t>12/05/2002</t>
  </si>
  <si>
    <t>11/05/2002</t>
  </si>
  <si>
    <t>10/05/2002</t>
  </si>
  <si>
    <t>09/05/2002</t>
  </si>
  <si>
    <t>08/05/2002</t>
  </si>
  <si>
    <t>07/05/2002</t>
  </si>
  <si>
    <t>06/05/2002</t>
  </si>
  <si>
    <t>05/05/2002</t>
  </si>
  <si>
    <t>04/05/2002</t>
  </si>
  <si>
    <t>03/05/2002</t>
  </si>
  <si>
    <t>02/05/2002</t>
  </si>
  <si>
    <t>01/05/2002</t>
  </si>
  <si>
    <t>30/04/2002</t>
  </si>
  <si>
    <t>29/04/2002</t>
  </si>
  <si>
    <t>28/04/2002</t>
  </si>
  <si>
    <t>27/04/2002</t>
  </si>
  <si>
    <t>26/04/2002</t>
  </si>
  <si>
    <t>25/04/2002</t>
  </si>
  <si>
    <t>24/04/2002</t>
  </si>
  <si>
    <t>23/04/2002</t>
  </si>
  <si>
    <t>22/04/2002</t>
  </si>
  <si>
    <t>21/04/2002</t>
  </si>
  <si>
    <t>20/04/2002</t>
  </si>
  <si>
    <t>19/04/2002</t>
  </si>
  <si>
    <t>18/04/2002</t>
  </si>
  <si>
    <t>17/04/2002</t>
  </si>
  <si>
    <t>16/04/2002</t>
  </si>
  <si>
    <t>15/04/2002</t>
  </si>
  <si>
    <t>14/04/2002</t>
  </si>
  <si>
    <t>13/04/2002</t>
  </si>
  <si>
    <t>12/04/2002</t>
  </si>
  <si>
    <t>11/04/2002</t>
  </si>
  <si>
    <t>10/04/2002</t>
  </si>
  <si>
    <t>09/04/2002</t>
  </si>
  <si>
    <t>08/04/2002</t>
  </si>
  <si>
    <t>07/04/2002</t>
  </si>
  <si>
    <t>06/04/2002</t>
  </si>
  <si>
    <t>05/04/2002</t>
  </si>
  <si>
    <t>04/04/2002</t>
  </si>
  <si>
    <t>03/04/2002</t>
  </si>
  <si>
    <t>02/04/2002</t>
  </si>
  <si>
    <t>01/04/2002</t>
  </si>
  <si>
    <t>31/03/2002</t>
  </si>
  <si>
    <t>30/03/2002</t>
  </si>
  <si>
    <t>29/03/2002</t>
  </si>
  <si>
    <t>28/03/2002</t>
  </si>
  <si>
    <t>27/03/2002</t>
  </si>
  <si>
    <t>26/03/2002</t>
  </si>
  <si>
    <t>25/03/2002</t>
  </si>
  <si>
    <t>24/03/2002</t>
  </si>
  <si>
    <t>23/03/2002</t>
  </si>
  <si>
    <t>22/03/2002</t>
  </si>
  <si>
    <t>21/03/2002</t>
  </si>
  <si>
    <t>20/03/2002</t>
  </si>
  <si>
    <t>19/03/2002</t>
  </si>
  <si>
    <t>18/03/2002</t>
  </si>
  <si>
    <t>17/03/2002</t>
  </si>
  <si>
    <t>16/03/2002</t>
  </si>
  <si>
    <t>15/03/2002</t>
  </si>
  <si>
    <t>14/03/2002</t>
  </si>
  <si>
    <t>13/03/2002</t>
  </si>
  <si>
    <t>12/03/2002</t>
  </si>
  <si>
    <t>11/03/2002</t>
  </si>
  <si>
    <t>10/03/2002</t>
  </si>
  <si>
    <t>09/03/2002</t>
  </si>
  <si>
    <t>08/03/2002</t>
  </si>
  <si>
    <t>07/03/2002</t>
  </si>
  <si>
    <t>06/03/2002</t>
  </si>
  <si>
    <t>05/03/2002</t>
  </si>
  <si>
    <t>04/03/2002</t>
  </si>
  <si>
    <t>03/03/2002</t>
  </si>
  <si>
    <t>02/03/2002</t>
  </si>
  <si>
    <t>01/03/2002</t>
  </si>
  <si>
    <t>28/02/2002</t>
  </si>
  <si>
    <t>27/02/2002</t>
  </si>
  <si>
    <t>26/02/2002</t>
  </si>
  <si>
    <t>25/02/2002</t>
  </si>
  <si>
    <t>24/02/2002</t>
  </si>
  <si>
    <t>23/02/2002</t>
  </si>
  <si>
    <t>22/02/2002</t>
  </si>
  <si>
    <t>21/02/2002</t>
  </si>
  <si>
    <t>20/02/2002</t>
  </si>
  <si>
    <t>19/02/2002</t>
  </si>
  <si>
    <t>18/02/2002</t>
  </si>
  <si>
    <t>17/02/2002</t>
  </si>
  <si>
    <t>16/02/2002</t>
  </si>
  <si>
    <t>15/02/2002</t>
  </si>
  <si>
    <t>14/02/2002</t>
  </si>
  <si>
    <t>13/02/2002</t>
  </si>
  <si>
    <t>12/02/2002</t>
  </si>
  <si>
    <t>11/02/2002</t>
  </si>
  <si>
    <t>10/02/2002</t>
  </si>
  <si>
    <t>09/02/2002</t>
  </si>
  <si>
    <t>08/02/2002</t>
  </si>
  <si>
    <t>07/02/2002</t>
  </si>
  <si>
    <t>06/02/2002</t>
  </si>
  <si>
    <t>05/02/2002</t>
  </si>
  <si>
    <t>04/02/2002</t>
  </si>
  <si>
    <t>03/02/2002</t>
  </si>
  <si>
    <t>02/02/2002</t>
  </si>
  <si>
    <t>01/02/2002</t>
  </si>
  <si>
    <t>31/01/2002</t>
  </si>
  <si>
    <t>30/01/2002</t>
  </si>
  <si>
    <t>29/01/2002</t>
  </si>
  <si>
    <t>28/01/2002</t>
  </si>
  <si>
    <t>27/01/2002</t>
  </si>
  <si>
    <t>26/01/2002</t>
  </si>
  <si>
    <t>25/01/2002</t>
  </si>
  <si>
    <t>24/01/2002</t>
  </si>
  <si>
    <t>23/01/2002</t>
  </si>
  <si>
    <t>22/01/2002</t>
  </si>
  <si>
    <t>21/01/2002</t>
  </si>
  <si>
    <t>20/01/2002</t>
  </si>
  <si>
    <t>19/01/2002</t>
  </si>
  <si>
    <t>18/01/2002</t>
  </si>
  <si>
    <t>17/01/2002</t>
  </si>
  <si>
    <t>16/01/2002</t>
  </si>
  <si>
    <t>15/01/2002</t>
  </si>
  <si>
    <t>14/01/2002</t>
  </si>
  <si>
    <t>13/01/2002</t>
  </si>
  <si>
    <t>12/01/2002</t>
  </si>
  <si>
    <t>11/01/2002</t>
  </si>
  <si>
    <t>10/01/2002</t>
  </si>
  <si>
    <t>09/01/2002</t>
  </si>
  <si>
    <t>08/01/2002</t>
  </si>
  <si>
    <t>07/01/2002</t>
  </si>
  <si>
    <t>06/01/2002</t>
  </si>
  <si>
    <t>05/01/2002</t>
  </si>
  <si>
    <t>04/01/2002</t>
  </si>
  <si>
    <t>03/01/2002</t>
  </si>
  <si>
    <t>02/01/2002</t>
  </si>
  <si>
    <t>01/01/2002</t>
  </si>
  <si>
    <t>31/12/2001</t>
  </si>
  <si>
    <t>30/12/2001</t>
  </si>
  <si>
    <t>29/12/2001</t>
  </si>
  <si>
    <t>28/12/2001</t>
  </si>
  <si>
    <t>27/12/2001</t>
  </si>
  <si>
    <t>26/12/2001</t>
  </si>
  <si>
    <t>25/12/2001</t>
  </si>
  <si>
    <t>24/12/2001</t>
  </si>
  <si>
    <t>23/12/2001</t>
  </si>
  <si>
    <t>22/12/2001</t>
  </si>
  <si>
    <t>21/12/2001</t>
  </si>
  <si>
    <t>20/12/2001</t>
  </si>
  <si>
    <t>19/12/2001</t>
  </si>
  <si>
    <t>18/12/2001</t>
  </si>
  <si>
    <t>17/12/2001</t>
  </si>
  <si>
    <t>16/12/2001</t>
  </si>
  <si>
    <t>15/12/2001</t>
  </si>
  <si>
    <t>14/12/2001</t>
  </si>
  <si>
    <t>13/12/2001</t>
  </si>
  <si>
    <t>12/12/2001</t>
  </si>
  <si>
    <t>11/12/2001</t>
  </si>
  <si>
    <t>10/12/2001</t>
  </si>
  <si>
    <t>09/12/2001</t>
  </si>
  <si>
    <t>08/12/2001</t>
  </si>
  <si>
    <t>07/12/2001</t>
  </si>
  <si>
    <t>06/12/2001</t>
  </si>
  <si>
    <t>05/12/2001</t>
  </si>
  <si>
    <t>04/12/2001</t>
  </si>
  <si>
    <t>03/12/2001</t>
  </si>
  <si>
    <t>02/12/2001</t>
  </si>
  <si>
    <t>01/12/2001</t>
  </si>
  <si>
    <t>30/11/2001</t>
  </si>
  <si>
    <t>29/11/2001</t>
  </si>
  <si>
    <t>28/11/2001</t>
  </si>
  <si>
    <t>27/11/2001</t>
  </si>
  <si>
    <t>26/11/2001</t>
  </si>
  <si>
    <t>25/11/2001</t>
  </si>
  <si>
    <t>24/11/2001</t>
  </si>
  <si>
    <t>23/11/2001</t>
  </si>
  <si>
    <t>22/11/2001</t>
  </si>
  <si>
    <t>21/11/2001</t>
  </si>
  <si>
    <t>20/11/2001</t>
  </si>
  <si>
    <t>19/11/2001</t>
  </si>
  <si>
    <t>18/11/2001</t>
  </si>
  <si>
    <t>17/11/2001</t>
  </si>
  <si>
    <t>16/11/2001</t>
  </si>
  <si>
    <t>15/11/2001</t>
  </si>
  <si>
    <t>14/11/2001</t>
  </si>
  <si>
    <t>13/11/2001</t>
  </si>
  <si>
    <t>12/11/2001</t>
  </si>
  <si>
    <t>11/11/2001</t>
  </si>
  <si>
    <t>10/11/2001</t>
  </si>
  <si>
    <t>09/11/2001</t>
  </si>
  <si>
    <t>08/11/2001</t>
  </si>
  <si>
    <t>07/11/2001</t>
  </si>
  <si>
    <t>06/11/2001</t>
  </si>
  <si>
    <t>05/11/2001</t>
  </si>
  <si>
    <t>04/11/2001</t>
  </si>
  <si>
    <t>03/11/2001</t>
  </si>
  <si>
    <t>02/11/2001</t>
  </si>
  <si>
    <t>01/11/2001</t>
  </si>
  <si>
    <t>31/10/2001</t>
  </si>
  <si>
    <t>30/10/2001</t>
  </si>
  <si>
    <t>29/10/2001</t>
  </si>
  <si>
    <t>28/10/2001</t>
  </si>
  <si>
    <t>27/10/2001</t>
  </si>
  <si>
    <t>26/10/2001</t>
  </si>
  <si>
    <t>25/10/2001</t>
  </si>
  <si>
    <t>24/10/2001</t>
  </si>
  <si>
    <t>23/10/2001</t>
  </si>
  <si>
    <t>22/10/2001</t>
  </si>
  <si>
    <t>21/10/2001</t>
  </si>
  <si>
    <t>20/10/2001</t>
  </si>
  <si>
    <t>19/10/2001</t>
  </si>
  <si>
    <t>18/10/2001</t>
  </si>
  <si>
    <t>17/10/2001</t>
  </si>
  <si>
    <t>16/10/2001</t>
  </si>
  <si>
    <t>15/10/2001</t>
  </si>
  <si>
    <t>14/10/2001</t>
  </si>
  <si>
    <t>13/10/2001</t>
  </si>
  <si>
    <t>12/10/2001</t>
  </si>
  <si>
    <t>11/10/2001</t>
  </si>
  <si>
    <t>10/10/2001</t>
  </si>
  <si>
    <t>09/10/2001</t>
  </si>
  <si>
    <t>08/10/2001</t>
  </si>
  <si>
    <t>07/10/2001</t>
  </si>
  <si>
    <t>06/10/2001</t>
  </si>
  <si>
    <t>05/10/2001</t>
  </si>
  <si>
    <t>04/10/2001</t>
  </si>
  <si>
    <t>03/10/2001</t>
  </si>
  <si>
    <t>02/10/2001</t>
  </si>
  <si>
    <t>01/10/2001</t>
  </si>
  <si>
    <t>30/09/2001</t>
  </si>
  <si>
    <t>29/09/2001</t>
  </si>
  <si>
    <t>28/09/2001</t>
  </si>
  <si>
    <t>27/09/2001</t>
  </si>
  <si>
    <t>26/09/2001</t>
  </si>
  <si>
    <t>25/09/2001</t>
  </si>
  <si>
    <t>24/09/2001</t>
  </si>
  <si>
    <t>23/09/2001</t>
  </si>
  <si>
    <t>22/09/2001</t>
  </si>
  <si>
    <t>21/09/2001</t>
  </si>
  <si>
    <t>20/09/2001</t>
  </si>
  <si>
    <t>19/09/2001</t>
  </si>
  <si>
    <t>18/09/2001</t>
  </si>
  <si>
    <t>17/09/2001</t>
  </si>
  <si>
    <t>16/09/2001</t>
  </si>
  <si>
    <t>15/09/2001</t>
  </si>
  <si>
    <t>14/09/2001</t>
  </si>
  <si>
    <t>13/09/2001</t>
  </si>
  <si>
    <t>12/09/2001</t>
  </si>
  <si>
    <t>11/09/2001</t>
  </si>
  <si>
    <t>10/09/2001</t>
  </si>
  <si>
    <t>09/09/2001</t>
  </si>
  <si>
    <t>08/09/2001</t>
  </si>
  <si>
    <t>07/09/2001</t>
  </si>
  <si>
    <t>06/09/2001</t>
  </si>
  <si>
    <t>05/09/2001</t>
  </si>
  <si>
    <t>04/09/2001</t>
  </si>
  <si>
    <t>03/09/2001</t>
  </si>
  <si>
    <t>02/09/2001</t>
  </si>
  <si>
    <t>01/09/2001</t>
  </si>
  <si>
    <t>31/08/2001</t>
  </si>
  <si>
    <t>30/08/2001</t>
  </si>
  <si>
    <t>29/08/2001</t>
  </si>
  <si>
    <t>28/08/2001</t>
  </si>
  <si>
    <t>27/08/2001</t>
  </si>
  <si>
    <t>26/08/2001</t>
  </si>
  <si>
    <t>25/08/2001</t>
  </si>
  <si>
    <t>24/08/2001</t>
  </si>
  <si>
    <t>23/08/2001</t>
  </si>
  <si>
    <t>22/08/2001</t>
  </si>
  <si>
    <t>21/08/2001</t>
  </si>
  <si>
    <t>20/08/2001</t>
  </si>
  <si>
    <t>19/08/2001</t>
  </si>
  <si>
    <t>18/08/2001</t>
  </si>
  <si>
    <t>17/08/2001</t>
  </si>
  <si>
    <t>16/08/2001</t>
  </si>
  <si>
    <t>15/08/2001</t>
  </si>
  <si>
    <t>14/08/2001</t>
  </si>
  <si>
    <t>13/08/2001</t>
  </si>
  <si>
    <t>12/08/2001</t>
  </si>
  <si>
    <t>11/08/2001</t>
  </si>
  <si>
    <t>10/08/2001</t>
  </si>
  <si>
    <t>09/08/2001</t>
  </si>
  <si>
    <t>08/08/2001</t>
  </si>
  <si>
    <t>07/08/2001</t>
  </si>
  <si>
    <t>06/08/2001</t>
  </si>
  <si>
    <t>05/08/2001</t>
  </si>
  <si>
    <t>04/08/2001</t>
  </si>
  <si>
    <t>03/08/2001</t>
  </si>
  <si>
    <t>02/08/2001</t>
  </si>
  <si>
    <t>01/08/2001</t>
  </si>
  <si>
    <t>31/07/2001</t>
  </si>
  <si>
    <t>30/07/2001</t>
  </si>
  <si>
    <t>29/07/2001</t>
  </si>
  <si>
    <t>28/07/2001</t>
  </si>
  <si>
    <t>27/07/2001</t>
  </si>
  <si>
    <t>26/07/2001</t>
  </si>
  <si>
    <t>25/07/2001</t>
  </si>
  <si>
    <t>24/07/2001</t>
  </si>
  <si>
    <t>23/07/2001</t>
  </si>
  <si>
    <t>22/07/2001</t>
  </si>
  <si>
    <t>21/07/2001</t>
  </si>
  <si>
    <t>20/07/2001</t>
  </si>
  <si>
    <t>19/07/2001</t>
  </si>
  <si>
    <t>18/07/2001</t>
  </si>
  <si>
    <t>17/07/2001</t>
  </si>
  <si>
    <t>16/07/2001</t>
  </si>
  <si>
    <t>15/07/2001</t>
  </si>
  <si>
    <t>14/07/2001</t>
  </si>
  <si>
    <t>13/07/2001</t>
  </si>
  <si>
    <t>12/07/2001</t>
  </si>
  <si>
    <t>11/07/2001</t>
  </si>
  <si>
    <t>10/07/2001</t>
  </si>
  <si>
    <t>09/07/2001</t>
  </si>
  <si>
    <t>08/07/2001</t>
  </si>
  <si>
    <t>07/07/2001</t>
  </si>
  <si>
    <t>06/07/2001</t>
  </si>
  <si>
    <t>05/07/2001</t>
  </si>
  <si>
    <t>04/07/2001</t>
  </si>
  <si>
    <t>03/07/2001</t>
  </si>
  <si>
    <t>02/07/2001</t>
  </si>
  <si>
    <t>01/07/2001</t>
  </si>
  <si>
    <t>30/06/2001</t>
  </si>
  <si>
    <t>29/06/2001</t>
  </si>
  <si>
    <t>28/06/2001</t>
  </si>
  <si>
    <t>27/06/2001</t>
  </si>
  <si>
    <t>26/06/2001</t>
  </si>
  <si>
    <t>25/06/2001</t>
  </si>
  <si>
    <t>24/06/2001</t>
  </si>
  <si>
    <t>23/06/2001</t>
  </si>
  <si>
    <t>22/06/2001</t>
  </si>
  <si>
    <t>21/06/2001</t>
  </si>
  <si>
    <t>20/06/2001</t>
  </si>
  <si>
    <t>19/06/2001</t>
  </si>
  <si>
    <t>18/06/2001</t>
  </si>
  <si>
    <t>17/06/2001</t>
  </si>
  <si>
    <t>16/06/2001</t>
  </si>
  <si>
    <t>15/06/2001</t>
  </si>
  <si>
    <t>14/06/2001</t>
  </si>
  <si>
    <t>13/06/2001</t>
  </si>
  <si>
    <t>12/06/2001</t>
  </si>
  <si>
    <t>11/06/2001</t>
  </si>
  <si>
    <t>10/06/2001</t>
  </si>
  <si>
    <t>09/06/2001</t>
  </si>
  <si>
    <t>08/06/2001</t>
  </si>
  <si>
    <t>07/06/2001</t>
  </si>
  <si>
    <t>06/06/2001</t>
  </si>
  <si>
    <t>05/06/2001</t>
  </si>
  <si>
    <t>04/06/2001</t>
  </si>
  <si>
    <t>03/06/2001</t>
  </si>
  <si>
    <t>02/06/2001</t>
  </si>
  <si>
    <t>01/06/2001</t>
  </si>
  <si>
    <t>31/05/2001</t>
  </si>
  <si>
    <t>30/05/2001</t>
  </si>
  <si>
    <t>29/05/2001</t>
  </si>
  <si>
    <t>28/05/2001</t>
  </si>
  <si>
    <t>27/05/2001</t>
  </si>
  <si>
    <t>26/05/2001</t>
  </si>
  <si>
    <t>25/05/2001</t>
  </si>
  <si>
    <t>24/05/2001</t>
  </si>
  <si>
    <t>23/05/2001</t>
  </si>
  <si>
    <t>22/05/2001</t>
  </si>
  <si>
    <t>21/05/2001</t>
  </si>
  <si>
    <t>20/05/2001</t>
  </si>
  <si>
    <t>19/05/2001</t>
  </si>
  <si>
    <t>18/05/2001</t>
  </si>
  <si>
    <t>17/05/2001</t>
  </si>
  <si>
    <t>16/05/2001</t>
  </si>
  <si>
    <t>15/05/2001</t>
  </si>
  <si>
    <t>14/05/2001</t>
  </si>
  <si>
    <t>13/05/2001</t>
  </si>
  <si>
    <t>12/05/2001</t>
  </si>
  <si>
    <t>11/05/2001</t>
  </si>
  <si>
    <t>10/05/2001</t>
  </si>
  <si>
    <t>09/05/2001</t>
  </si>
  <si>
    <t>08/05/2001</t>
  </si>
  <si>
    <t>07/05/2001</t>
  </si>
  <si>
    <t>06/05/2001</t>
  </si>
  <si>
    <t>05/05/2001</t>
  </si>
  <si>
    <t>04/05/2001</t>
  </si>
  <si>
    <t>03/05/2001</t>
  </si>
  <si>
    <t>02/05/2001</t>
  </si>
  <si>
    <t>01/05/2001</t>
  </si>
  <si>
    <t>30/04/2001</t>
  </si>
  <si>
    <t>29/04/2001</t>
  </si>
  <si>
    <t>28/04/2001</t>
  </si>
  <si>
    <t>27/04/2001</t>
  </si>
  <si>
    <t>26/04/2001</t>
  </si>
  <si>
    <t>25/04/2001</t>
  </si>
  <si>
    <t>24/04/2001</t>
  </si>
  <si>
    <t>23/04/2001</t>
  </si>
  <si>
    <t>22/04/2001</t>
  </si>
  <si>
    <t>21/04/2001</t>
  </si>
  <si>
    <t>20/04/2001</t>
  </si>
  <si>
    <t>19/04/2001</t>
  </si>
  <si>
    <t>18/04/2001</t>
  </si>
  <si>
    <t>17/04/2001</t>
  </si>
  <si>
    <t>16/04/2001</t>
  </si>
  <si>
    <t>15/04/2001</t>
  </si>
  <si>
    <t>14/04/2001</t>
  </si>
  <si>
    <t>13/04/2001</t>
  </si>
  <si>
    <t>12/04/2001</t>
  </si>
  <si>
    <t>11/04/2001</t>
  </si>
  <si>
    <t>10/04/2001</t>
  </si>
  <si>
    <t>09/04/2001</t>
  </si>
  <si>
    <t>08/04/2001</t>
  </si>
  <si>
    <t>07/04/2001</t>
  </si>
  <si>
    <t>06/04/2001</t>
  </si>
  <si>
    <t>05/04/2001</t>
  </si>
  <si>
    <t>04/04/2001</t>
  </si>
  <si>
    <t>03/04/2001</t>
  </si>
  <si>
    <t>02/04/2001</t>
  </si>
  <si>
    <t>01/04/2001</t>
  </si>
  <si>
    <t>31/03/2001</t>
  </si>
  <si>
    <t>30/03/2001</t>
  </si>
  <si>
    <t>29/03/2001</t>
  </si>
  <si>
    <t>28/03/2001</t>
  </si>
  <si>
    <t>27/03/2001</t>
  </si>
  <si>
    <t>26/03/2001</t>
  </si>
  <si>
    <t>25/03/2001</t>
  </si>
  <si>
    <t>24/03/2001</t>
  </si>
  <si>
    <t>23/03/2001</t>
  </si>
  <si>
    <t>22/03/2001</t>
  </si>
  <si>
    <t>21/03/2001</t>
  </si>
  <si>
    <t>20/03/2001</t>
  </si>
  <si>
    <t>19/03/2001</t>
  </si>
  <si>
    <t>18/03/2001</t>
  </si>
  <si>
    <t>17/03/2001</t>
  </si>
  <si>
    <t>16/03/2001</t>
  </si>
  <si>
    <t>15/03/2001</t>
  </si>
  <si>
    <t>14/03/2001</t>
  </si>
  <si>
    <t>13/03/2001</t>
  </si>
  <si>
    <t>12/03/2001</t>
  </si>
  <si>
    <t>11/03/2001</t>
  </si>
  <si>
    <t>10/03/2001</t>
  </si>
  <si>
    <t>09/03/2001</t>
  </si>
  <si>
    <t>08/03/2001</t>
  </si>
  <si>
    <t>07/03/2001</t>
  </si>
  <si>
    <t>06/03/2001</t>
  </si>
  <si>
    <t>05/03/2001</t>
  </si>
  <si>
    <t>04/03/2001</t>
  </si>
  <si>
    <t>03/03/2001</t>
  </si>
  <si>
    <t>02/03/2001</t>
  </si>
  <si>
    <t>01/03/2001</t>
  </si>
  <si>
    <t>28/02/2001</t>
  </si>
  <si>
    <t>27/02/2001</t>
  </si>
  <si>
    <t>26/02/2001</t>
  </si>
  <si>
    <t>25/02/2001</t>
  </si>
  <si>
    <t>24/02/2001</t>
  </si>
  <si>
    <t>23/02/2001</t>
  </si>
  <si>
    <t>22/02/2001</t>
  </si>
  <si>
    <t>21/02/2001</t>
  </si>
  <si>
    <t>20/02/2001</t>
  </si>
  <si>
    <t>19/02/2001</t>
  </si>
  <si>
    <t>18/02/2001</t>
  </si>
  <si>
    <t>17/02/2001</t>
  </si>
  <si>
    <t>16/02/2001</t>
  </si>
  <si>
    <t>15/02/2001</t>
  </si>
  <si>
    <t>14/02/2001</t>
  </si>
  <si>
    <t>13/02/2001</t>
  </si>
  <si>
    <t>12/02/2001</t>
  </si>
  <si>
    <t>11/02/2001</t>
  </si>
  <si>
    <t>10/02/2001</t>
  </si>
  <si>
    <t>09/02/2001</t>
  </si>
  <si>
    <t>08/02/2001</t>
  </si>
  <si>
    <t>07/02/2001</t>
  </si>
  <si>
    <t>06/02/2001</t>
  </si>
  <si>
    <t>05/02/2001</t>
  </si>
  <si>
    <t>04/02/2001</t>
  </si>
  <si>
    <t>03/02/2001</t>
  </si>
  <si>
    <t>02/02/2001</t>
  </si>
  <si>
    <t>01/02/2001</t>
  </si>
  <si>
    <t>31/01/2001</t>
  </si>
  <si>
    <t>30/01/2001</t>
  </si>
  <si>
    <t>29/01/2001</t>
  </si>
  <si>
    <t>28/01/2001</t>
  </si>
  <si>
    <t>27/01/2001</t>
  </si>
  <si>
    <t>26/01/2001</t>
  </si>
  <si>
    <t>25/01/2001</t>
  </si>
  <si>
    <t>24/01/2001</t>
  </si>
  <si>
    <t>23/01/2001</t>
  </si>
  <si>
    <t>22/01/2001</t>
  </si>
  <si>
    <t>21/01/2001</t>
  </si>
  <si>
    <t>20/01/2001</t>
  </si>
  <si>
    <t>19/01/2001</t>
  </si>
  <si>
    <t>18/01/2001</t>
  </si>
  <si>
    <t>17/01/2001</t>
  </si>
  <si>
    <t>16/01/2001</t>
  </si>
  <si>
    <t>15/01/2001</t>
  </si>
  <si>
    <t>14/01/2001</t>
  </si>
  <si>
    <t>13/01/2001</t>
  </si>
  <si>
    <t>12/01/2001</t>
  </si>
  <si>
    <t>11/01/2001</t>
  </si>
  <si>
    <t>10/01/2001</t>
  </si>
  <si>
    <t>09/01/2001</t>
  </si>
  <si>
    <t>08/01/2001</t>
  </si>
  <si>
    <t>07/01/2001</t>
  </si>
  <si>
    <t>06/01/2001</t>
  </si>
  <si>
    <t>05/01/2001</t>
  </si>
  <si>
    <t>04/01/2001</t>
  </si>
  <si>
    <t>03/01/2001</t>
  </si>
  <si>
    <t>02/01/2001</t>
  </si>
  <si>
    <t>01/01/2001</t>
  </si>
  <si>
    <t>31/12/2000</t>
  </si>
  <si>
    <t>30/12/2000</t>
  </si>
  <si>
    <t>29/12/2000</t>
  </si>
  <si>
    <t>28/12/2000</t>
  </si>
  <si>
    <t>27/12/2000</t>
  </si>
  <si>
    <t>26/12/2000</t>
  </si>
  <si>
    <t>25/12/2000</t>
  </si>
  <si>
    <t>24/12/2000</t>
  </si>
  <si>
    <t>23/12/2000</t>
  </si>
  <si>
    <t>22/12/2000</t>
  </si>
  <si>
    <t>21/12/2000</t>
  </si>
  <si>
    <t>20/12/2000</t>
  </si>
  <si>
    <t>19/12/2000</t>
  </si>
  <si>
    <t>18/12/2000</t>
  </si>
  <si>
    <t>17/12/2000</t>
  </si>
  <si>
    <t>16/12/2000</t>
  </si>
  <si>
    <t>15/12/2000</t>
  </si>
  <si>
    <t>14/12/2000</t>
  </si>
  <si>
    <t>13/12/2000</t>
  </si>
  <si>
    <t>12/12/2000</t>
  </si>
  <si>
    <t>11/12/2000</t>
  </si>
  <si>
    <t>10/12/2000</t>
  </si>
  <si>
    <t>09/12/2000</t>
  </si>
  <si>
    <t>08/12/2000</t>
  </si>
  <si>
    <t>07/12/2000</t>
  </si>
  <si>
    <t>06/12/2000</t>
  </si>
  <si>
    <t>05/12/2000</t>
  </si>
  <si>
    <t>04/12/2000</t>
  </si>
  <si>
    <t>03/12/2000</t>
  </si>
  <si>
    <t>02/12/2000</t>
  </si>
  <si>
    <t>01/12/2000</t>
  </si>
  <si>
    <t>30/11/2000</t>
  </si>
  <si>
    <t>29/11/2000</t>
  </si>
  <si>
    <t>28/11/2000</t>
  </si>
  <si>
    <t>27/11/2000</t>
  </si>
  <si>
    <t>26/11/2000</t>
  </si>
  <si>
    <t>25/11/2000</t>
  </si>
  <si>
    <t>24/11/2000</t>
  </si>
  <si>
    <t>23/11/2000</t>
  </si>
  <si>
    <t>22/11/2000</t>
  </si>
  <si>
    <t>21/11/2000</t>
  </si>
  <si>
    <t>20/11/2000</t>
  </si>
  <si>
    <t>19/11/2000</t>
  </si>
  <si>
    <t>18/11/2000</t>
  </si>
  <si>
    <t>17/11/2000</t>
  </si>
  <si>
    <t>16/11/2000</t>
  </si>
  <si>
    <t>15/11/2000</t>
  </si>
  <si>
    <t>14/11/2000</t>
  </si>
  <si>
    <t>13/11/2000</t>
  </si>
  <si>
    <t>12/11/2000</t>
  </si>
  <si>
    <t>11/11/2000</t>
  </si>
  <si>
    <t>10/11/2000</t>
  </si>
  <si>
    <t>09/11/2000</t>
  </si>
  <si>
    <t>08/11/2000</t>
  </si>
  <si>
    <t>07/11/2000</t>
  </si>
  <si>
    <t>06/11/2000</t>
  </si>
  <si>
    <t>05/11/2000</t>
  </si>
  <si>
    <t>04/11/2000</t>
  </si>
  <si>
    <t>03/11/2000</t>
  </si>
  <si>
    <t>02/11/2000</t>
  </si>
  <si>
    <t>01/11/2000</t>
  </si>
  <si>
    <t>31/10/2000</t>
  </si>
  <si>
    <t>30/10/2000</t>
  </si>
  <si>
    <t>29/10/2000</t>
  </si>
  <si>
    <t>28/10/2000</t>
  </si>
  <si>
    <t>27/10/2000</t>
  </si>
  <si>
    <t>26/10/2000</t>
  </si>
  <si>
    <t>25/10/2000</t>
  </si>
  <si>
    <t>24/10/2000</t>
  </si>
  <si>
    <t>23/10/2000</t>
  </si>
  <si>
    <t>22/10/2000</t>
  </si>
  <si>
    <t>21/10/2000</t>
  </si>
  <si>
    <t>20/10/2000</t>
  </si>
  <si>
    <t>19/10/2000</t>
  </si>
  <si>
    <t>18/10/2000</t>
  </si>
  <si>
    <t>17/10/2000</t>
  </si>
  <si>
    <t>16/10/2000</t>
  </si>
  <si>
    <t>15/10/2000</t>
  </si>
  <si>
    <t>14/10/2000</t>
  </si>
  <si>
    <t>13/10/2000</t>
  </si>
  <si>
    <t>12/10/2000</t>
  </si>
  <si>
    <t>11/10/2000</t>
  </si>
  <si>
    <t>10/10/2000</t>
  </si>
  <si>
    <t>09/10/2000</t>
  </si>
  <si>
    <t>08/10/2000</t>
  </si>
  <si>
    <t>07/10/2000</t>
  </si>
  <si>
    <t>06/10/2000</t>
  </si>
  <si>
    <t>05/10/2000</t>
  </si>
  <si>
    <t>04/10/2000</t>
  </si>
  <si>
    <t>03/10/2000</t>
  </si>
  <si>
    <t>02/10/2000</t>
  </si>
  <si>
    <t>01/10/2000</t>
  </si>
  <si>
    <t>30/09/2000</t>
  </si>
  <si>
    <t>29/09/2000</t>
  </si>
  <si>
    <t>28/09/2000</t>
  </si>
  <si>
    <t>27/09/2000</t>
  </si>
  <si>
    <t>26/09/2000</t>
  </si>
  <si>
    <t>25/09/2000</t>
  </si>
  <si>
    <t>24/09/2000</t>
  </si>
  <si>
    <t>23/09/2000</t>
  </si>
  <si>
    <t>22/09/2000</t>
  </si>
  <si>
    <t>21/09/2000</t>
  </si>
  <si>
    <t>20/09/2000</t>
  </si>
  <si>
    <t>19/09/2000</t>
  </si>
  <si>
    <t>18/09/2000</t>
  </si>
  <si>
    <t>17/09/2000</t>
  </si>
  <si>
    <t>16/09/2000</t>
  </si>
  <si>
    <t>15/09/2000</t>
  </si>
  <si>
    <t>14/09/2000</t>
  </si>
  <si>
    <t>13/09/2000</t>
  </si>
  <si>
    <t>12/09/2000</t>
  </si>
  <si>
    <t>11/09/2000</t>
  </si>
  <si>
    <t>10/09/2000</t>
  </si>
  <si>
    <t>09/09/2000</t>
  </si>
  <si>
    <t>08/09/2000</t>
  </si>
  <si>
    <t>07/09/2000</t>
  </si>
  <si>
    <t>06/09/2000</t>
  </si>
  <si>
    <t>05/09/2000</t>
  </si>
  <si>
    <t>04/09/2000</t>
  </si>
  <si>
    <t>03/09/2000</t>
  </si>
  <si>
    <t>02/09/2000</t>
  </si>
  <si>
    <t>01/09/2000</t>
  </si>
  <si>
    <t>31/08/2000</t>
  </si>
  <si>
    <t>30/08/2000</t>
  </si>
  <si>
    <t>29/08/2000</t>
  </si>
  <si>
    <t>28/08/2000</t>
  </si>
  <si>
    <t>27/08/2000</t>
  </si>
  <si>
    <t>26/08/2000</t>
  </si>
  <si>
    <t>25/08/2000</t>
  </si>
  <si>
    <t>24/08/2000</t>
  </si>
  <si>
    <t>23/08/2000</t>
  </si>
  <si>
    <t>22/08/2000</t>
  </si>
  <si>
    <t>21/08/2000</t>
  </si>
  <si>
    <t>20/08/2000</t>
  </si>
  <si>
    <t>19/08/2000</t>
  </si>
  <si>
    <t>18/08/2000</t>
  </si>
  <si>
    <t>17/08/2000</t>
  </si>
  <si>
    <t>16/08/2000</t>
  </si>
  <si>
    <t>15/08/2000</t>
  </si>
  <si>
    <t>14/08/2000</t>
  </si>
  <si>
    <t>13/08/2000</t>
  </si>
  <si>
    <t>12/08/2000</t>
  </si>
  <si>
    <t>11/08/2000</t>
  </si>
  <si>
    <t>10/08/2000</t>
  </si>
  <si>
    <t>09/08/2000</t>
  </si>
  <si>
    <t>08/08/2000</t>
  </si>
  <si>
    <t>07/08/2000</t>
  </si>
  <si>
    <t>06/08/2000</t>
  </si>
  <si>
    <t>05/08/2000</t>
  </si>
  <si>
    <t>04/08/2000</t>
  </si>
  <si>
    <t>03/08/2000</t>
  </si>
  <si>
    <t>02/08/2000</t>
  </si>
  <si>
    <t>01/08/2000</t>
  </si>
  <si>
    <t>31/07/2000</t>
  </si>
  <si>
    <t>30/07/2000</t>
  </si>
  <si>
    <t>29/07/2000</t>
  </si>
  <si>
    <t>28/07/2000</t>
  </si>
  <si>
    <t>27/07/2000</t>
  </si>
  <si>
    <t>26/07/2000</t>
  </si>
  <si>
    <t>25/07/2000</t>
  </si>
  <si>
    <t>24/07/2000</t>
  </si>
  <si>
    <t>23/07/2000</t>
  </si>
  <si>
    <t>22/07/2000</t>
  </si>
  <si>
    <t>21/07/2000</t>
  </si>
  <si>
    <t>20/07/2000</t>
  </si>
  <si>
    <t>19/07/2000</t>
  </si>
  <si>
    <t>18/07/2000</t>
  </si>
  <si>
    <t>17/07/2000</t>
  </si>
  <si>
    <t>16/07/2000</t>
  </si>
  <si>
    <t>15/07/2000</t>
  </si>
  <si>
    <t>14/07/2000</t>
  </si>
  <si>
    <t>13/07/2000</t>
  </si>
  <si>
    <t>12/07/2000</t>
  </si>
  <si>
    <t>11/07/2000</t>
  </si>
  <si>
    <t>10/07/2000</t>
  </si>
  <si>
    <t>09/07/2000</t>
  </si>
  <si>
    <t>08/07/2000</t>
  </si>
  <si>
    <t>07/07/2000</t>
  </si>
  <si>
    <t>06/07/2000</t>
  </si>
  <si>
    <t>05/07/2000</t>
  </si>
  <si>
    <t>04/07/2000</t>
  </si>
  <si>
    <t>03/07/2000</t>
  </si>
  <si>
    <t>02/07/2000</t>
  </si>
  <si>
    <t>01/07/2000</t>
  </si>
  <si>
    <t>30/06/2000</t>
  </si>
  <si>
    <t>29/06/2000</t>
  </si>
  <si>
    <t>28/06/2000</t>
  </si>
  <si>
    <t>27/06/2000</t>
  </si>
  <si>
    <t>26/06/2000</t>
  </si>
  <si>
    <t>25/06/2000</t>
  </si>
  <si>
    <t>24/06/2000</t>
  </si>
  <si>
    <t>23/06/2000</t>
  </si>
  <si>
    <t>22/06/2000</t>
  </si>
  <si>
    <t>21/06/2000</t>
  </si>
  <si>
    <t>20/06/2000</t>
  </si>
  <si>
    <t>19/06/2000</t>
  </si>
  <si>
    <t>18/06/2000</t>
  </si>
  <si>
    <t>17/06/2000</t>
  </si>
  <si>
    <t>16/06/2000</t>
  </si>
  <si>
    <t>15/06/2000</t>
  </si>
  <si>
    <t>14/06/2000</t>
  </si>
  <si>
    <t>13/06/2000</t>
  </si>
  <si>
    <t>12/06/2000</t>
  </si>
  <si>
    <t>11/06/2000</t>
  </si>
  <si>
    <t>10/06/2000</t>
  </si>
  <si>
    <t>09/06/2000</t>
  </si>
  <si>
    <t>08/06/2000</t>
  </si>
  <si>
    <t>07/06/2000</t>
  </si>
  <si>
    <t>06/06/2000</t>
  </si>
  <si>
    <t>05/06/2000</t>
  </si>
  <si>
    <t>04/06/2000</t>
  </si>
  <si>
    <t>03/06/2000</t>
  </si>
  <si>
    <t>02/06/2000</t>
  </si>
  <si>
    <t>01/06/2000</t>
  </si>
  <si>
    <t>31/05/2000</t>
  </si>
  <si>
    <t>30/05/2000</t>
  </si>
  <si>
    <t>29/05/2000</t>
  </si>
  <si>
    <t>28/05/2000</t>
  </si>
  <si>
    <t>27/05/2000</t>
  </si>
  <si>
    <t>26/05/2000</t>
  </si>
  <si>
    <t>25/05/2000</t>
  </si>
  <si>
    <t>24/05/2000</t>
  </si>
  <si>
    <t>23/05/2000</t>
  </si>
  <si>
    <t>22/05/2000</t>
  </si>
  <si>
    <t>21/05/2000</t>
  </si>
  <si>
    <t>20/05/2000</t>
  </si>
  <si>
    <t>19/05/2000</t>
  </si>
  <si>
    <t>18/05/2000</t>
  </si>
  <si>
    <t>17/05/2000</t>
  </si>
  <si>
    <t>16/05/2000</t>
  </si>
  <si>
    <t>15/05/2000</t>
  </si>
  <si>
    <t>14/05/2000</t>
  </si>
  <si>
    <t>13/05/2000</t>
  </si>
  <si>
    <t>12/05/2000</t>
  </si>
  <si>
    <t>11/05/2000</t>
  </si>
  <si>
    <t>10/05/2000</t>
  </si>
  <si>
    <t>09/05/2000</t>
  </si>
  <si>
    <t>08/05/2000</t>
  </si>
  <si>
    <t>07/05/2000</t>
  </si>
  <si>
    <t>06/05/2000</t>
  </si>
  <si>
    <t>05/05/2000</t>
  </si>
  <si>
    <t>04/05/2000</t>
  </si>
  <si>
    <t>03/05/2000</t>
  </si>
  <si>
    <t>02/05/2000</t>
  </si>
  <si>
    <t>01/05/2000</t>
  </si>
  <si>
    <t>30/04/2000</t>
  </si>
  <si>
    <t>29/04/2000</t>
  </si>
  <si>
    <t>28/04/2000</t>
  </si>
  <si>
    <t>27/04/2000</t>
  </si>
  <si>
    <t>26/04/2000</t>
  </si>
  <si>
    <t>25/04/2000</t>
  </si>
  <si>
    <t>24/04/2000</t>
  </si>
  <si>
    <t>23/04/2000</t>
  </si>
  <si>
    <t>22/04/2000</t>
  </si>
  <si>
    <t>21/04/2000</t>
  </si>
  <si>
    <t>20/04/2000</t>
  </si>
  <si>
    <t>19/04/2000</t>
  </si>
  <si>
    <t>18/04/2000</t>
  </si>
  <si>
    <t>17/04/2000</t>
  </si>
  <si>
    <t>16/04/2000</t>
  </si>
  <si>
    <t>15/04/2000</t>
  </si>
  <si>
    <t>14/04/2000</t>
  </si>
  <si>
    <t>13/04/2000</t>
  </si>
  <si>
    <t>12/04/2000</t>
  </si>
  <si>
    <t>11/04/2000</t>
  </si>
  <si>
    <t>10/04/2000</t>
  </si>
  <si>
    <t>09/04/2000</t>
  </si>
  <si>
    <t>08/04/2000</t>
  </si>
  <si>
    <t>07/04/2000</t>
  </si>
  <si>
    <t>06/04/2000</t>
  </si>
  <si>
    <t>05/04/2000</t>
  </si>
  <si>
    <t>04/04/2000</t>
  </si>
  <si>
    <t>03/04/2000</t>
  </si>
  <si>
    <t>02/04/2000</t>
  </si>
  <si>
    <t>01/04/2000</t>
  </si>
  <si>
    <t>31/03/2000</t>
  </si>
  <si>
    <t>30/03/2000</t>
  </si>
  <si>
    <t>29/03/2000</t>
  </si>
  <si>
    <t>28/03/2000</t>
  </si>
  <si>
    <t>27/03/2000</t>
  </si>
  <si>
    <t>26/03/2000</t>
  </si>
  <si>
    <t>25/03/2000</t>
  </si>
  <si>
    <t>24/03/2000</t>
  </si>
  <si>
    <t>23/03/2000</t>
  </si>
  <si>
    <t>22/03/2000</t>
  </si>
  <si>
    <t>21/03/2000</t>
  </si>
  <si>
    <t>20/03/2000</t>
  </si>
  <si>
    <t>19/03/2000</t>
  </si>
  <si>
    <t>18/03/2000</t>
  </si>
  <si>
    <t>17/03/2000</t>
  </si>
  <si>
    <t>16/03/2000</t>
  </si>
  <si>
    <t>15/03/2000</t>
  </si>
  <si>
    <t>14/03/2000</t>
  </si>
  <si>
    <t>13/03/2000</t>
  </si>
  <si>
    <t>12/03/2000</t>
  </si>
  <si>
    <t>11/03/2000</t>
  </si>
  <si>
    <t>10/03/2000</t>
  </si>
  <si>
    <t>09/03/2000</t>
  </si>
  <si>
    <t>08/03/2000</t>
  </si>
  <si>
    <t>07/03/2000</t>
  </si>
  <si>
    <t>06/03/2000</t>
  </si>
  <si>
    <t>05/03/2000</t>
  </si>
  <si>
    <t>04/03/2000</t>
  </si>
  <si>
    <t>03/03/2000</t>
  </si>
  <si>
    <t>02/03/2000</t>
  </si>
  <si>
    <t>01/03/2000</t>
  </si>
  <si>
    <t>29/02/2000</t>
  </si>
  <si>
    <t>28/02/2000</t>
  </si>
  <si>
    <t>27/02/2000</t>
  </si>
  <si>
    <t>26/02/2000</t>
  </si>
  <si>
    <t>25/02/2000</t>
  </si>
  <si>
    <t>24/02/2000</t>
  </si>
  <si>
    <t>23/02/2000</t>
  </si>
  <si>
    <t>22/02/2000</t>
  </si>
  <si>
    <t>21/02/2000</t>
  </si>
  <si>
    <t>20/02/2000</t>
  </si>
  <si>
    <t>19/02/2000</t>
  </si>
  <si>
    <t>18/02/2000</t>
  </si>
  <si>
    <t>17/02/2000</t>
  </si>
  <si>
    <t>16/02/2000</t>
  </si>
  <si>
    <t>15/02/2000</t>
  </si>
  <si>
    <t>14/02/2000</t>
  </si>
  <si>
    <t>13/02/2000</t>
  </si>
  <si>
    <t>12/02/2000</t>
  </si>
  <si>
    <t>11/02/2000</t>
  </si>
  <si>
    <t>10/02/2000</t>
  </si>
  <si>
    <t>09/02/2000</t>
  </si>
  <si>
    <t>08/02/2000</t>
  </si>
  <si>
    <t>07/02/2000</t>
  </si>
  <si>
    <t>06/02/2000</t>
  </si>
  <si>
    <t>05/02/2000</t>
  </si>
  <si>
    <t>04/02/2000</t>
  </si>
  <si>
    <t>03/02/2000</t>
  </si>
  <si>
    <t>02/02/2000</t>
  </si>
  <si>
    <t>01/02/2000</t>
  </si>
  <si>
    <t>31/01/2000</t>
  </si>
  <si>
    <t>30/01/2000</t>
  </si>
  <si>
    <t>29/01/2000</t>
  </si>
  <si>
    <t>28/01/2000</t>
  </si>
  <si>
    <t>27/01/2000</t>
  </si>
  <si>
    <t>26/01/2000</t>
  </si>
  <si>
    <t>25/01/2000</t>
  </si>
  <si>
    <t>24/01/2000</t>
  </si>
  <si>
    <t>23/01/2000</t>
  </si>
  <si>
    <t>22/01/2000</t>
  </si>
  <si>
    <t>21/01/2000</t>
  </si>
  <si>
    <t>20/01/2000</t>
  </si>
  <si>
    <t>19/01/2000</t>
  </si>
  <si>
    <t>18/01/2000</t>
  </si>
  <si>
    <t>17/01/2000</t>
  </si>
  <si>
    <t>16/01/2000</t>
  </si>
  <si>
    <t>15/01/2000</t>
  </si>
  <si>
    <t>14/01/2000</t>
  </si>
  <si>
    <t>13/01/2000</t>
  </si>
  <si>
    <t>12/01/2000</t>
  </si>
  <si>
    <t>11/01/2000</t>
  </si>
  <si>
    <t>10/01/2000</t>
  </si>
  <si>
    <t>09/01/2000</t>
  </si>
  <si>
    <t>08/01/2000</t>
  </si>
  <si>
    <t>07/01/2000</t>
  </si>
  <si>
    <t>06/01/2000</t>
  </si>
  <si>
    <t>05/01/2000</t>
  </si>
  <si>
    <t>04/01/2000</t>
  </si>
  <si>
    <t>03/01/2000</t>
  </si>
  <si>
    <t>02/01/2000</t>
  </si>
  <si>
    <t>01/01/2000</t>
  </si>
  <si>
    <t>31/12/1999</t>
  </si>
  <si>
    <t>30/12/1999</t>
  </si>
  <si>
    <t>29/12/1999</t>
  </si>
  <si>
    <t>28/12/1999</t>
  </si>
  <si>
    <t>27/12/1999</t>
  </si>
  <si>
    <t>26/12/1999</t>
  </si>
  <si>
    <t>25/12/1999</t>
  </si>
  <si>
    <t>24/12/1999</t>
  </si>
  <si>
    <t>23/12/1999</t>
  </si>
  <si>
    <t>22/12/1999</t>
  </si>
  <si>
    <t>21/12/1999</t>
  </si>
  <si>
    <t>20/12/1999</t>
  </si>
  <si>
    <t>19/12/1999</t>
  </si>
  <si>
    <t>18/12/1999</t>
  </si>
  <si>
    <t>17/12/1999</t>
  </si>
  <si>
    <t>16/12/1999</t>
  </si>
  <si>
    <t>15/12/1999</t>
  </si>
  <si>
    <t>14/12/1999</t>
  </si>
  <si>
    <t>13/12/1999</t>
  </si>
  <si>
    <t>12/12/1999</t>
  </si>
  <si>
    <t>11/12/1999</t>
  </si>
  <si>
    <t>10/12/1999</t>
  </si>
  <si>
    <t>09/12/1999</t>
  </si>
  <si>
    <t>08/12/1999</t>
  </si>
  <si>
    <t>07/12/1999</t>
  </si>
  <si>
    <t>06/12/1999</t>
  </si>
  <si>
    <t>05/12/1999</t>
  </si>
  <si>
    <t>04/12/1999</t>
  </si>
  <si>
    <t>03/12/1999</t>
  </si>
  <si>
    <t>02/12/1999</t>
  </si>
  <si>
    <t>01/12/1999</t>
  </si>
  <si>
    <t>30/11/1999</t>
  </si>
  <si>
    <t>29/11/1999</t>
  </si>
  <si>
    <t>28/11/1999</t>
  </si>
  <si>
    <t>27/11/1999</t>
  </si>
  <si>
    <t>26/11/1999</t>
  </si>
  <si>
    <t>25/11/1999</t>
  </si>
  <si>
    <t>24/11/1999</t>
  </si>
  <si>
    <t>23/11/1999</t>
  </si>
  <si>
    <t>22/11/1999</t>
  </si>
  <si>
    <t>21/11/1999</t>
  </si>
  <si>
    <t>20/11/1999</t>
  </si>
  <si>
    <t>19/11/1999</t>
  </si>
  <si>
    <t>18/11/1999</t>
  </si>
  <si>
    <t>17/11/1999</t>
  </si>
  <si>
    <t>16/11/1999</t>
  </si>
  <si>
    <t>15/11/1999</t>
  </si>
  <si>
    <t>14/11/1999</t>
  </si>
  <si>
    <t>13/11/1999</t>
  </si>
  <si>
    <t>12/11/1999</t>
  </si>
  <si>
    <t>11/11/1999</t>
  </si>
  <si>
    <t>10/11/1999</t>
  </si>
  <si>
    <t>09/11/1999</t>
  </si>
  <si>
    <t>08/11/1999</t>
  </si>
  <si>
    <t>07/11/1999</t>
  </si>
  <si>
    <t>06/11/1999</t>
  </si>
  <si>
    <t>05/11/1999</t>
  </si>
  <si>
    <t>04/11/1999</t>
  </si>
  <si>
    <t>03/11/1999</t>
  </si>
  <si>
    <t>02/11/1999</t>
  </si>
  <si>
    <t>01/11/1999</t>
  </si>
  <si>
    <t>31/10/1999</t>
  </si>
  <si>
    <t>30/10/1999</t>
  </si>
  <si>
    <t>29/10/1999</t>
  </si>
  <si>
    <t>28/10/1999</t>
  </si>
  <si>
    <t>27/10/1999</t>
  </si>
  <si>
    <t>26/10/1999</t>
  </si>
  <si>
    <t>25/10/1999</t>
  </si>
  <si>
    <t>24/10/1999</t>
  </si>
  <si>
    <t>23/10/1999</t>
  </si>
  <si>
    <t>22/10/1999</t>
  </si>
  <si>
    <t>21/10/1999</t>
  </si>
  <si>
    <t>20/10/1999</t>
  </si>
  <si>
    <t>19/10/1999</t>
  </si>
  <si>
    <t>18/10/1999</t>
  </si>
  <si>
    <t>17/10/1999</t>
  </si>
  <si>
    <t>16/10/1999</t>
  </si>
  <si>
    <t>15/10/1999</t>
  </si>
  <si>
    <t>14/10/1999</t>
  </si>
  <si>
    <t>13/10/1999</t>
  </si>
  <si>
    <t>12/10/1999</t>
  </si>
  <si>
    <t>11/10/1999</t>
  </si>
  <si>
    <t>10/10/1999</t>
  </si>
  <si>
    <t>09/10/1999</t>
  </si>
  <si>
    <t>08/10/1999</t>
  </si>
  <si>
    <t>07/10/1999</t>
  </si>
  <si>
    <t>06/10/1999</t>
  </si>
  <si>
    <t>05/10/1999</t>
  </si>
  <si>
    <t>04/10/1999</t>
  </si>
  <si>
    <t>03/10/1999</t>
  </si>
  <si>
    <t>02/10/1999</t>
  </si>
  <si>
    <t>01/10/1999</t>
  </si>
  <si>
    <t>30/09/1999</t>
  </si>
  <si>
    <t>29/09/1999</t>
  </si>
  <si>
    <t>28/09/1999</t>
  </si>
  <si>
    <t>27/09/1999</t>
  </si>
  <si>
    <t>26/09/1999</t>
  </si>
  <si>
    <t>25/09/1999</t>
  </si>
  <si>
    <t>24/09/1999</t>
  </si>
  <si>
    <t>23/09/1999</t>
  </si>
  <si>
    <t>22/09/1999</t>
  </si>
  <si>
    <t>21/09/1999</t>
  </si>
  <si>
    <t>20/09/1999</t>
  </si>
  <si>
    <t>19/09/1999</t>
  </si>
  <si>
    <t>18/09/1999</t>
  </si>
  <si>
    <t>17/09/1999</t>
  </si>
  <si>
    <t>16/09/1999</t>
  </si>
  <si>
    <t>15/09/1999</t>
  </si>
  <si>
    <t>14/09/1999</t>
  </si>
  <si>
    <t>13/09/1999</t>
  </si>
  <si>
    <t>12/09/1999</t>
  </si>
  <si>
    <t>11/09/1999</t>
  </si>
  <si>
    <t>10/09/1999</t>
  </si>
  <si>
    <t>09/09/1999</t>
  </si>
  <si>
    <t>08/09/1999</t>
  </si>
  <si>
    <t>07/09/1999</t>
  </si>
  <si>
    <t>06/09/1999</t>
  </si>
  <si>
    <t>05/09/1999</t>
  </si>
  <si>
    <t>04/09/1999</t>
  </si>
  <si>
    <t>03/09/1999</t>
  </si>
  <si>
    <t>02/09/1999</t>
  </si>
  <si>
    <t>01/09/1999</t>
  </si>
  <si>
    <t>31/08/1999</t>
  </si>
  <si>
    <t>30/08/1999</t>
  </si>
  <si>
    <t>29/08/1999</t>
  </si>
  <si>
    <t>28/08/1999</t>
  </si>
  <si>
    <t>27/08/1999</t>
  </si>
  <si>
    <t>26/08/1999</t>
  </si>
  <si>
    <t>25/08/1999</t>
  </si>
  <si>
    <t>24/08/1999</t>
  </si>
  <si>
    <t>23/08/1999</t>
  </si>
  <si>
    <t>22/08/1999</t>
  </si>
  <si>
    <t>21/08/1999</t>
  </si>
  <si>
    <t>20/08/1999</t>
  </si>
  <si>
    <t>19/08/1999</t>
  </si>
  <si>
    <t>18/08/1999</t>
  </si>
  <si>
    <t>17/08/1999</t>
  </si>
  <si>
    <t>16/08/1999</t>
  </si>
  <si>
    <t>15/08/1999</t>
  </si>
  <si>
    <t>14/08/1999</t>
  </si>
  <si>
    <t>13/08/1999</t>
  </si>
  <si>
    <t>12/08/1999</t>
  </si>
  <si>
    <t>11/08/1999</t>
  </si>
  <si>
    <t>10/08/1999</t>
  </si>
  <si>
    <t>09/08/1999</t>
  </si>
  <si>
    <t>08/08/1999</t>
  </si>
  <si>
    <t>07/08/1999</t>
  </si>
  <si>
    <t>06/08/1999</t>
  </si>
  <si>
    <t>05/08/1999</t>
  </si>
  <si>
    <t>04/08/1999</t>
  </si>
  <si>
    <t>03/08/1999</t>
  </si>
  <si>
    <t>02/08/1999</t>
  </si>
  <si>
    <t>01/08/1999</t>
  </si>
  <si>
    <t>31/07/1999</t>
  </si>
  <si>
    <t>30/07/1999</t>
  </si>
  <si>
    <t>29/07/1999</t>
  </si>
  <si>
    <t>28/07/1999</t>
  </si>
  <si>
    <t>27/07/1999</t>
  </si>
  <si>
    <t>26/07/1999</t>
  </si>
  <si>
    <t>25/07/1999</t>
  </si>
  <si>
    <t>24/07/1999</t>
  </si>
  <si>
    <t>23/07/1999</t>
  </si>
  <si>
    <t>22/07/1999</t>
  </si>
  <si>
    <t>21/07/1999</t>
  </si>
  <si>
    <t>20/07/1999</t>
  </si>
  <si>
    <t>19/07/1999</t>
  </si>
  <si>
    <t>18/07/1999</t>
  </si>
  <si>
    <t>17/07/1999</t>
  </si>
  <si>
    <t>16/07/1999</t>
  </si>
  <si>
    <t>15/07/1999</t>
  </si>
  <si>
    <t>14/07/1999</t>
  </si>
  <si>
    <t>13/07/1999</t>
  </si>
  <si>
    <t>12/07/1999</t>
  </si>
  <si>
    <t>11/07/1999</t>
  </si>
  <si>
    <t>10/07/1999</t>
  </si>
  <si>
    <t>09/07/1999</t>
  </si>
  <si>
    <t>08/07/1999</t>
  </si>
  <si>
    <t>07/07/1999</t>
  </si>
  <si>
    <t>06/07/1999</t>
  </si>
  <si>
    <t>05/07/1999</t>
  </si>
  <si>
    <t>04/07/1999</t>
  </si>
  <si>
    <t>03/07/1999</t>
  </si>
  <si>
    <t>02/07/1999</t>
  </si>
  <si>
    <t>01/07/1999</t>
  </si>
  <si>
    <t>30/06/1999</t>
  </si>
  <si>
    <t>29/06/1999</t>
  </si>
  <si>
    <t>28/06/1999</t>
  </si>
  <si>
    <t>27/06/1999</t>
  </si>
  <si>
    <t>26/06/1999</t>
  </si>
  <si>
    <t>25/06/1999</t>
  </si>
  <si>
    <t>24/06/1999</t>
  </si>
  <si>
    <t>23/06/1999</t>
  </si>
  <si>
    <t>22/06/1999</t>
  </si>
  <si>
    <t>21/06/1999</t>
  </si>
  <si>
    <t>20/06/1999</t>
  </si>
  <si>
    <t>19/06/1999</t>
  </si>
  <si>
    <t>18/06/1999</t>
  </si>
  <si>
    <t>17/06/1999</t>
  </si>
  <si>
    <t>16/06/1999</t>
  </si>
  <si>
    <t>15/06/1999</t>
  </si>
  <si>
    <t>14/06/1999</t>
  </si>
  <si>
    <t>13/06/1999</t>
  </si>
  <si>
    <t>12/06/1999</t>
  </si>
  <si>
    <t>11/06/1999</t>
  </si>
  <si>
    <t>10/06/1999</t>
  </si>
  <si>
    <t>09/06/1999</t>
  </si>
  <si>
    <t>08/06/1999</t>
  </si>
  <si>
    <t>07/06/1999</t>
  </si>
  <si>
    <t>06/06/1999</t>
  </si>
  <si>
    <t>05/06/1999</t>
  </si>
  <si>
    <t>04/06/1999</t>
  </si>
  <si>
    <t>03/06/1999</t>
  </si>
  <si>
    <t>02/06/1999</t>
  </si>
  <si>
    <t>01/06/1999</t>
  </si>
  <si>
    <t>31/05/1999</t>
  </si>
  <si>
    <t>30/05/1999</t>
  </si>
  <si>
    <t>29/05/1999</t>
  </si>
  <si>
    <t>28/05/1999</t>
  </si>
  <si>
    <t>27/05/1999</t>
  </si>
  <si>
    <t>26/05/1999</t>
  </si>
  <si>
    <t>25/05/1999</t>
  </si>
  <si>
    <t>24/05/1999</t>
  </si>
  <si>
    <t>23/05/1999</t>
  </si>
  <si>
    <t>22/05/1999</t>
  </si>
  <si>
    <t>21/05/1999</t>
  </si>
  <si>
    <t>20/05/1999</t>
  </si>
  <si>
    <t>19/05/1999</t>
  </si>
  <si>
    <t>18/05/1999</t>
  </si>
  <si>
    <t>17/05/1999</t>
  </si>
  <si>
    <t>16/05/1999</t>
  </si>
  <si>
    <t>15/05/1999</t>
  </si>
  <si>
    <t>14/05/1999</t>
  </si>
  <si>
    <t>13/05/1999</t>
  </si>
  <si>
    <t>12/05/1999</t>
  </si>
  <si>
    <t>11/05/1999</t>
  </si>
  <si>
    <t>10/05/1999</t>
  </si>
  <si>
    <t>09/05/1999</t>
  </si>
  <si>
    <t>08/05/1999</t>
  </si>
  <si>
    <t>07/05/1999</t>
  </si>
  <si>
    <t>06/05/1999</t>
  </si>
  <si>
    <t>05/05/1999</t>
  </si>
  <si>
    <t>04/05/1999</t>
  </si>
  <si>
    <t>03/05/1999</t>
  </si>
  <si>
    <t>02/05/1999</t>
  </si>
  <si>
    <t>01/05/1999</t>
  </si>
  <si>
    <t>30/04/1999</t>
  </si>
  <si>
    <t>29/04/1999</t>
  </si>
  <si>
    <t>28/04/1999</t>
  </si>
  <si>
    <t>27/04/1999</t>
  </si>
  <si>
    <t>26/04/1999</t>
  </si>
  <si>
    <t>25/04/1999</t>
  </si>
  <si>
    <t>24/04/1999</t>
  </si>
  <si>
    <t>23/04/1999</t>
  </si>
  <si>
    <t>22/04/1999</t>
  </si>
  <si>
    <t>21/04/1999</t>
  </si>
  <si>
    <t>20/04/1999</t>
  </si>
  <si>
    <t>19/04/1999</t>
  </si>
  <si>
    <t>18/04/1999</t>
  </si>
  <si>
    <t>17/04/1999</t>
  </si>
  <si>
    <t>16/04/1999</t>
  </si>
  <si>
    <t>15/04/1999</t>
  </si>
  <si>
    <t>14/04/1999</t>
  </si>
  <si>
    <t>13/04/1999</t>
  </si>
  <si>
    <t>12/04/1999</t>
  </si>
  <si>
    <t>11/04/1999</t>
  </si>
  <si>
    <t>10/04/1999</t>
  </si>
  <si>
    <t>09/04/1999</t>
  </si>
  <si>
    <t>08/04/1999</t>
  </si>
  <si>
    <t>07/04/1999</t>
  </si>
  <si>
    <t>06/04/1999</t>
  </si>
  <si>
    <t>05/04/1999</t>
  </si>
  <si>
    <t>04/04/1999</t>
  </si>
  <si>
    <t>03/04/1999</t>
  </si>
  <si>
    <t>02/04/1999</t>
  </si>
  <si>
    <t>01/04/1999</t>
  </si>
  <si>
    <t>31/03/1999</t>
  </si>
  <si>
    <t>30/03/1999</t>
  </si>
  <si>
    <t>29/03/1999</t>
  </si>
  <si>
    <t>28/03/1999</t>
  </si>
  <si>
    <t>27/03/1999</t>
  </si>
  <si>
    <t>26/03/1999</t>
  </si>
  <si>
    <t>25/03/1999</t>
  </si>
  <si>
    <t>24/03/1999</t>
  </si>
  <si>
    <t>23/03/1999</t>
  </si>
  <si>
    <t>22/03/1999</t>
  </si>
  <si>
    <t>21/03/1999</t>
  </si>
  <si>
    <t>20/03/1999</t>
  </si>
  <si>
    <t>19/03/1999</t>
  </si>
  <si>
    <t>18/03/1999</t>
  </si>
  <si>
    <t>17/03/1999</t>
  </si>
  <si>
    <t>16/03/1999</t>
  </si>
  <si>
    <t>15/03/1999</t>
  </si>
  <si>
    <t>14/03/1999</t>
  </si>
  <si>
    <t>13/03/1999</t>
  </si>
  <si>
    <t>12/03/1999</t>
  </si>
  <si>
    <t>11/03/1999</t>
  </si>
  <si>
    <t>10/03/1999</t>
  </si>
  <si>
    <t>09/03/1999</t>
  </si>
  <si>
    <t>08/03/1999</t>
  </si>
  <si>
    <t>07/03/1999</t>
  </si>
  <si>
    <t>06/03/1999</t>
  </si>
  <si>
    <t>05/03/1999</t>
  </si>
  <si>
    <t>04/03/1999</t>
  </si>
  <si>
    <t>03/03/1999</t>
  </si>
  <si>
    <t>02/03/1999</t>
  </si>
  <si>
    <t>01/03/1999</t>
  </si>
  <si>
    <t>28/02/1999</t>
  </si>
  <si>
    <t>27/02/1999</t>
  </si>
  <si>
    <t>26/02/1999</t>
  </si>
  <si>
    <t>25/02/1999</t>
  </si>
  <si>
    <t>24/02/1999</t>
  </si>
  <si>
    <t>23/02/1999</t>
  </si>
  <si>
    <t>22/02/1999</t>
  </si>
  <si>
    <t>21/02/1999</t>
  </si>
  <si>
    <t>20/02/1999</t>
  </si>
  <si>
    <t>19/02/1999</t>
  </si>
  <si>
    <t>18/02/1999</t>
  </si>
  <si>
    <t>17/02/1999</t>
  </si>
  <si>
    <t>16/02/1999</t>
  </si>
  <si>
    <t>15/02/1999</t>
  </si>
  <si>
    <t>14/02/1999</t>
  </si>
  <si>
    <t>13/02/1999</t>
  </si>
  <si>
    <t>12/02/1999</t>
  </si>
  <si>
    <t>11/02/1999</t>
  </si>
  <si>
    <t>10/02/1999</t>
  </si>
  <si>
    <t>09/02/1999</t>
  </si>
  <si>
    <t>08/02/1999</t>
  </si>
  <si>
    <t>07/02/1999</t>
  </si>
  <si>
    <t>06/02/1999</t>
  </si>
  <si>
    <t>05/02/1999</t>
  </si>
  <si>
    <t>04/02/1999</t>
  </si>
  <si>
    <t>03/02/1999</t>
  </si>
  <si>
    <t>02/02/1999</t>
  </si>
  <si>
    <t>01/02/1999</t>
  </si>
  <si>
    <t>31/01/1999</t>
  </si>
  <si>
    <t>30/01/1999</t>
  </si>
  <si>
    <t>29/01/1999</t>
  </si>
  <si>
    <t>28/01/1999</t>
  </si>
  <si>
    <t>27/01/1999</t>
  </si>
  <si>
    <t>26/01/1999</t>
  </si>
  <si>
    <t>25/01/1999</t>
  </si>
  <si>
    <t>24/01/1999</t>
  </si>
  <si>
    <t>23/01/1999</t>
  </si>
  <si>
    <t>22/01/1999</t>
  </si>
  <si>
    <t>21/01/1999</t>
  </si>
  <si>
    <t>20/01/1999</t>
  </si>
  <si>
    <t>19/01/1999</t>
  </si>
  <si>
    <t>18/01/1999</t>
  </si>
  <si>
    <t>17/01/1999</t>
  </si>
  <si>
    <t>16/01/1999</t>
  </si>
  <si>
    <t>15/01/1999</t>
  </si>
  <si>
    <t>14/01/1999</t>
  </si>
  <si>
    <t>13/01/1999</t>
  </si>
  <si>
    <t>12/01/1999</t>
  </si>
  <si>
    <t>11/01/1999</t>
  </si>
  <si>
    <t>10/01/1999</t>
  </si>
  <si>
    <t>09/01/1999</t>
  </si>
  <si>
    <t>08/01/1999</t>
  </si>
  <si>
    <t>07/01/1999</t>
  </si>
  <si>
    <t>06/01/1999</t>
  </si>
  <si>
    <t>05/01/1999</t>
  </si>
  <si>
    <t>04/01/1999</t>
  </si>
  <si>
    <t>03/01/1999</t>
  </si>
  <si>
    <t>02/01/1999</t>
  </si>
  <si>
    <t>01/01/1999</t>
  </si>
  <si>
    <t>31/12/1998</t>
  </si>
  <si>
    <t>30/12/1998</t>
  </si>
  <si>
    <t>29/12/1998</t>
  </si>
  <si>
    <t>28/12/1998</t>
  </si>
  <si>
    <t>27/12/1998</t>
  </si>
  <si>
    <t>26/12/1998</t>
  </si>
  <si>
    <t>25/12/1998</t>
  </si>
  <si>
    <t>24/12/1998</t>
  </si>
  <si>
    <t>23/12/1998</t>
  </si>
  <si>
    <t>22/12/1998</t>
  </si>
  <si>
    <t>21/12/1998</t>
  </si>
  <si>
    <t>20/12/1998</t>
  </si>
  <si>
    <t>19/12/1998</t>
  </si>
  <si>
    <t>18/12/1998</t>
  </si>
  <si>
    <t>17/12/1998</t>
  </si>
  <si>
    <t>16/12/1998</t>
  </si>
  <si>
    <t>15/12/1998</t>
  </si>
  <si>
    <t>14/12/1998</t>
  </si>
  <si>
    <t>13/12/1998</t>
  </si>
  <si>
    <t>12/12/1998</t>
  </si>
  <si>
    <t>11/12/1998</t>
  </si>
  <si>
    <t>10/12/1998</t>
  </si>
  <si>
    <t>09/12/1998</t>
  </si>
  <si>
    <t>08/12/1998</t>
  </si>
  <si>
    <t>07/12/1998</t>
  </si>
  <si>
    <t>06/12/1998</t>
  </si>
  <si>
    <t>05/12/1998</t>
  </si>
  <si>
    <t>04/12/1998</t>
  </si>
  <si>
    <t>03/12/1998</t>
  </si>
  <si>
    <t>02/12/1998</t>
  </si>
  <si>
    <t>01/12/1998</t>
  </si>
  <si>
    <t>30/11/1998</t>
  </si>
  <si>
    <t>29/11/1998</t>
  </si>
  <si>
    <t>28/11/1998</t>
  </si>
  <si>
    <t>27/11/1998</t>
  </si>
  <si>
    <t>26/11/1998</t>
  </si>
  <si>
    <t>25/11/1998</t>
  </si>
  <si>
    <t>24/11/1998</t>
  </si>
  <si>
    <t>23/11/1998</t>
  </si>
  <si>
    <t>22/11/1998</t>
  </si>
  <si>
    <t>21/11/1998</t>
  </si>
  <si>
    <t>20/11/1998</t>
  </si>
  <si>
    <t>19/11/1998</t>
  </si>
  <si>
    <t>18/11/1998</t>
  </si>
  <si>
    <t>17/11/1998</t>
  </si>
  <si>
    <t>16/11/1998</t>
  </si>
  <si>
    <t>15/11/1998</t>
  </si>
  <si>
    <t>14/11/1998</t>
  </si>
  <si>
    <t>13/11/1998</t>
  </si>
  <si>
    <t>12/11/1998</t>
  </si>
  <si>
    <t>11/11/1998</t>
  </si>
  <si>
    <t>10/11/1998</t>
  </si>
  <si>
    <t>09/11/1998</t>
  </si>
  <si>
    <t>08/11/1998</t>
  </si>
  <si>
    <t>07/11/1998</t>
  </si>
  <si>
    <t>06/11/1998</t>
  </si>
  <si>
    <t>05/11/1998</t>
  </si>
  <si>
    <t>04/11/1998</t>
  </si>
  <si>
    <t>03/11/1998</t>
  </si>
  <si>
    <t>02/11/1998</t>
  </si>
  <si>
    <t>01/11/1998</t>
  </si>
  <si>
    <t>31/10/1998</t>
  </si>
  <si>
    <t>30/10/1998</t>
  </si>
  <si>
    <t>29/10/1998</t>
  </si>
  <si>
    <t>28/10/1998</t>
  </si>
  <si>
    <t>27/10/1998</t>
  </si>
  <si>
    <t>26/10/1998</t>
  </si>
  <si>
    <t>25/10/1998</t>
  </si>
  <si>
    <t>24/10/1998</t>
  </si>
  <si>
    <t>23/10/1998</t>
  </si>
  <si>
    <t>22/10/1998</t>
  </si>
  <si>
    <t>21/10/1998</t>
  </si>
  <si>
    <t>20/10/1998</t>
  </si>
  <si>
    <t>19/10/1998</t>
  </si>
  <si>
    <t>18/10/1998</t>
  </si>
  <si>
    <t>17/10/1998</t>
  </si>
  <si>
    <t>16/10/1998</t>
  </si>
  <si>
    <t>15/10/1998</t>
  </si>
  <si>
    <t>14/10/1998</t>
  </si>
  <si>
    <t>13/10/1998</t>
  </si>
  <si>
    <t>12/10/1998</t>
  </si>
  <si>
    <t>11/10/1998</t>
  </si>
  <si>
    <t>10/10/1998</t>
  </si>
  <si>
    <t>09/10/1998</t>
  </si>
  <si>
    <t>08/10/1998</t>
  </si>
  <si>
    <t>07/10/1998</t>
  </si>
  <si>
    <t>06/10/1998</t>
  </si>
  <si>
    <t>05/10/1998</t>
  </si>
  <si>
    <t>04/10/1998</t>
  </si>
  <si>
    <t>03/10/1998</t>
  </si>
  <si>
    <t>02/10/1998</t>
  </si>
  <si>
    <t>01/10/1998</t>
  </si>
  <si>
    <t>30/09/1998</t>
  </si>
  <si>
    <t>29/09/1998</t>
  </si>
  <si>
    <t>28/09/1998</t>
  </si>
  <si>
    <t>27/09/1998</t>
  </si>
  <si>
    <t>26/09/1998</t>
  </si>
  <si>
    <t>25/09/1998</t>
  </si>
  <si>
    <t>24/09/1998</t>
  </si>
  <si>
    <t>23/09/1998</t>
  </si>
  <si>
    <t>22/09/1998</t>
  </si>
  <si>
    <t>21/09/1998</t>
  </si>
  <si>
    <t>20/09/1998</t>
  </si>
  <si>
    <t>19/09/1998</t>
  </si>
  <si>
    <t>18/09/1998</t>
  </si>
  <si>
    <t>17/09/1998</t>
  </si>
  <si>
    <t>16/09/1998</t>
  </si>
  <si>
    <t>15/09/1998</t>
  </si>
  <si>
    <t>14/09/1998</t>
  </si>
  <si>
    <t>13/09/1998</t>
  </si>
  <si>
    <t>12/09/1998</t>
  </si>
  <si>
    <t>11/09/1998</t>
  </si>
  <si>
    <t>10/09/1998</t>
  </si>
  <si>
    <t>09/09/1998</t>
  </si>
  <si>
    <t>08/09/1998</t>
  </si>
  <si>
    <t>07/09/1998</t>
  </si>
  <si>
    <t>06/09/1998</t>
  </si>
  <si>
    <t>05/09/1998</t>
  </si>
  <si>
    <t>04/09/1998</t>
  </si>
  <si>
    <t>03/09/1998</t>
  </si>
  <si>
    <t>02/09/1998</t>
  </si>
  <si>
    <t>01/09/1998</t>
  </si>
  <si>
    <t>31/08/1998</t>
  </si>
  <si>
    <t>30/08/1998</t>
  </si>
  <si>
    <t>29/08/1998</t>
  </si>
  <si>
    <t>28/08/1998</t>
  </si>
  <si>
    <t>27/08/1998</t>
  </si>
  <si>
    <t>26/08/1998</t>
  </si>
  <si>
    <t>25/08/1998</t>
  </si>
  <si>
    <t>24/08/1998</t>
  </si>
  <si>
    <t>23/08/1998</t>
  </si>
  <si>
    <t>22/08/1998</t>
  </si>
  <si>
    <t>21/08/1998</t>
  </si>
  <si>
    <t>20/08/1998</t>
  </si>
  <si>
    <t>19/08/1998</t>
  </si>
  <si>
    <t>18/08/1998</t>
  </si>
  <si>
    <t>17/08/1998</t>
  </si>
  <si>
    <t>16/08/1998</t>
  </si>
  <si>
    <t>15/08/1998</t>
  </si>
  <si>
    <t>14/08/1998</t>
  </si>
  <si>
    <t>13/08/1998</t>
  </si>
  <si>
    <t>12/08/1998</t>
  </si>
  <si>
    <t>11/08/1998</t>
  </si>
  <si>
    <t>10/08/1998</t>
  </si>
  <si>
    <t>09/08/1998</t>
  </si>
  <si>
    <t>08/08/1998</t>
  </si>
  <si>
    <t>07/08/1998</t>
  </si>
  <si>
    <t>06/08/1998</t>
  </si>
  <si>
    <t>05/08/1998</t>
  </si>
  <si>
    <t>04/08/1998</t>
  </si>
  <si>
    <t>03/08/1998</t>
  </si>
  <si>
    <t>02/08/1998</t>
  </si>
  <si>
    <t>01/08/1998</t>
  </si>
  <si>
    <t>31/07/1998</t>
  </si>
  <si>
    <t>30/07/1998</t>
  </si>
  <si>
    <t>29/07/1998</t>
  </si>
  <si>
    <t>28/07/1998</t>
  </si>
  <si>
    <t>27/07/1998</t>
  </si>
  <si>
    <t>26/07/1998</t>
  </si>
  <si>
    <t>25/07/1998</t>
  </si>
  <si>
    <t>24/07/1998</t>
  </si>
  <si>
    <t>23/07/1998</t>
  </si>
  <si>
    <t>22/07/1998</t>
  </si>
  <si>
    <t>21/07/1998</t>
  </si>
  <si>
    <t>20/07/1998</t>
  </si>
  <si>
    <t>19/07/1998</t>
  </si>
  <si>
    <t>18/07/1998</t>
  </si>
  <si>
    <t>17/07/1998</t>
  </si>
  <si>
    <t>16/07/1998</t>
  </si>
  <si>
    <t>15/07/1998</t>
  </si>
  <si>
    <t>14/07/1998</t>
  </si>
  <si>
    <t>13/07/1998</t>
  </si>
  <si>
    <t>12/07/1998</t>
  </si>
  <si>
    <t>11/07/1998</t>
  </si>
  <si>
    <t>10/07/1998</t>
  </si>
  <si>
    <t>09/07/1998</t>
  </si>
  <si>
    <t>08/07/1998</t>
  </si>
  <si>
    <t>07/07/1998</t>
  </si>
  <si>
    <t>06/07/1998</t>
  </si>
  <si>
    <t>05/07/1998</t>
  </si>
  <si>
    <t>04/07/1998</t>
  </si>
  <si>
    <t>03/07/1998</t>
  </si>
  <si>
    <t>02/07/1998</t>
  </si>
  <si>
    <t>01/07/1998</t>
  </si>
  <si>
    <t>30/06/1998</t>
  </si>
  <si>
    <t>29/06/1998</t>
  </si>
  <si>
    <t>28/06/1998</t>
  </si>
  <si>
    <t>27/06/1998</t>
  </si>
  <si>
    <t>26/06/1998</t>
  </si>
  <si>
    <t>25/06/1998</t>
  </si>
  <si>
    <t>24/06/1998</t>
  </si>
  <si>
    <t>23/06/1998</t>
  </si>
  <si>
    <t>22/06/1998</t>
  </si>
  <si>
    <t>21/06/1998</t>
  </si>
  <si>
    <t>20/06/1998</t>
  </si>
  <si>
    <t>19/06/1998</t>
  </si>
  <si>
    <t>18/06/1998</t>
  </si>
  <si>
    <t>17/06/1998</t>
  </si>
  <si>
    <t>16/06/1998</t>
  </si>
  <si>
    <t>15/06/1998</t>
  </si>
  <si>
    <t>14/06/1998</t>
  </si>
  <si>
    <t>13/06/1998</t>
  </si>
  <si>
    <t>12/06/1998</t>
  </si>
  <si>
    <t>11/06/1998</t>
  </si>
  <si>
    <t>10/06/1998</t>
  </si>
  <si>
    <t>09/06/1998</t>
  </si>
  <si>
    <t>08/06/1998</t>
  </si>
  <si>
    <t>07/06/1998</t>
  </si>
  <si>
    <t>06/06/1998</t>
  </si>
  <si>
    <t>05/06/1998</t>
  </si>
  <si>
    <t>04/06/1998</t>
  </si>
  <si>
    <t>03/06/1998</t>
  </si>
  <si>
    <t>02/06/1998</t>
  </si>
  <si>
    <t>01/06/1998</t>
  </si>
  <si>
    <t>31/05/1998</t>
  </si>
  <si>
    <t>30/05/1998</t>
  </si>
  <si>
    <t>29/05/1998</t>
  </si>
  <si>
    <t>28/05/1998</t>
  </si>
  <si>
    <t>27/05/1998</t>
  </si>
  <si>
    <t>26/05/1998</t>
  </si>
  <si>
    <t>25/05/1998</t>
  </si>
  <si>
    <t>24/05/1998</t>
  </si>
  <si>
    <t>23/05/1998</t>
  </si>
  <si>
    <t>22/05/1998</t>
  </si>
  <si>
    <t>21/05/1998</t>
  </si>
  <si>
    <t>20/05/1998</t>
  </si>
  <si>
    <t>19/05/1998</t>
  </si>
  <si>
    <t>18/05/1998</t>
  </si>
  <si>
    <t>17/05/1998</t>
  </si>
  <si>
    <t>16/05/1998</t>
  </si>
  <si>
    <t>15/05/1998</t>
  </si>
  <si>
    <t>14/05/1998</t>
  </si>
  <si>
    <t>13/05/1998</t>
  </si>
  <si>
    <t>12/05/1998</t>
  </si>
  <si>
    <t>11/05/1998</t>
  </si>
  <si>
    <t>10/05/1998</t>
  </si>
  <si>
    <t>09/05/1998</t>
  </si>
  <si>
    <t>08/05/1998</t>
  </si>
  <si>
    <t>07/05/1998</t>
  </si>
  <si>
    <t>06/05/1998</t>
  </si>
  <si>
    <t>05/05/1998</t>
  </si>
  <si>
    <t>04/05/1998</t>
  </si>
  <si>
    <t>03/05/1998</t>
  </si>
  <si>
    <t>02/05/1998</t>
  </si>
  <si>
    <t>01/05/1998</t>
  </si>
  <si>
    <t>30/04/1998</t>
  </si>
  <si>
    <t>29/04/1998</t>
  </si>
  <si>
    <t>28/04/1998</t>
  </si>
  <si>
    <t>27/04/1998</t>
  </si>
  <si>
    <t>26/04/1998</t>
  </si>
  <si>
    <t>25/04/1998</t>
  </si>
  <si>
    <t>24/04/1998</t>
  </si>
  <si>
    <t>23/04/1998</t>
  </si>
  <si>
    <t>22/04/1998</t>
  </si>
  <si>
    <t>21/04/1998</t>
  </si>
  <si>
    <t>20/04/1998</t>
  </si>
  <si>
    <t>19/04/1998</t>
  </si>
  <si>
    <t>18/04/1998</t>
  </si>
  <si>
    <t>17/04/1998</t>
  </si>
  <si>
    <t>16/04/1998</t>
  </si>
  <si>
    <t>15/04/1998</t>
  </si>
  <si>
    <t>14/04/1998</t>
  </si>
  <si>
    <t>13/04/1998</t>
  </si>
  <si>
    <t>12/04/1998</t>
  </si>
  <si>
    <t>11/04/1998</t>
  </si>
  <si>
    <t>10/04/1998</t>
  </si>
  <si>
    <t>09/04/1998</t>
  </si>
  <si>
    <t>08/04/1998</t>
  </si>
  <si>
    <t>07/04/1998</t>
  </si>
  <si>
    <t>06/04/1998</t>
  </si>
  <si>
    <t>05/04/1998</t>
  </si>
  <si>
    <t>04/04/1998</t>
  </si>
  <si>
    <t>03/04/1998</t>
  </si>
  <si>
    <t>02/04/1998</t>
  </si>
  <si>
    <t>01/04/1998</t>
  </si>
  <si>
    <t>31/03/1998</t>
  </si>
  <si>
    <t>30/03/1998</t>
  </si>
  <si>
    <t>29/03/1998</t>
  </si>
  <si>
    <t>28/03/1998</t>
  </si>
  <si>
    <t>27/03/1998</t>
  </si>
  <si>
    <t>26/03/1998</t>
  </si>
  <si>
    <t>25/03/1998</t>
  </si>
  <si>
    <t>24/03/1998</t>
  </si>
  <si>
    <t>23/03/1998</t>
  </si>
  <si>
    <t>22/03/1998</t>
  </si>
  <si>
    <t>21/03/1998</t>
  </si>
  <si>
    <t>20/03/1998</t>
  </si>
  <si>
    <t>19/03/1998</t>
  </si>
  <si>
    <t>18/03/1998</t>
  </si>
  <si>
    <t>17/03/1998</t>
  </si>
  <si>
    <t>16/03/1998</t>
  </si>
  <si>
    <t>15/03/1998</t>
  </si>
  <si>
    <t>14/03/1998</t>
  </si>
  <si>
    <t>13/03/1998</t>
  </si>
  <si>
    <t>12/03/1998</t>
  </si>
  <si>
    <t>11/03/1998</t>
  </si>
  <si>
    <t>10/03/1998</t>
  </si>
  <si>
    <t>09/03/1998</t>
  </si>
  <si>
    <t>08/03/1998</t>
  </si>
  <si>
    <t>07/03/1998</t>
  </si>
  <si>
    <t>06/03/1998</t>
  </si>
  <si>
    <t>05/03/1998</t>
  </si>
  <si>
    <t>04/03/1998</t>
  </si>
  <si>
    <t>03/03/1998</t>
  </si>
  <si>
    <t>02/03/1998</t>
  </si>
  <si>
    <t>01/03/1998</t>
  </si>
  <si>
    <t>28/02/1998</t>
  </si>
  <si>
    <t>27/02/1998</t>
  </si>
  <si>
    <t>26/02/1998</t>
  </si>
  <si>
    <t>25/02/1998</t>
  </si>
  <si>
    <t>24/02/1998</t>
  </si>
  <si>
    <t>23/02/1998</t>
  </si>
  <si>
    <t>22/02/1998</t>
  </si>
  <si>
    <t>21/02/1998</t>
  </si>
  <si>
    <t>20/02/1998</t>
  </si>
  <si>
    <t>19/02/1998</t>
  </si>
  <si>
    <t>18/02/1998</t>
  </si>
  <si>
    <t>17/02/1998</t>
  </si>
  <si>
    <t>16/02/1998</t>
  </si>
  <si>
    <t>15/02/1998</t>
  </si>
  <si>
    <t>14/02/1998</t>
  </si>
  <si>
    <t>13/02/1998</t>
  </si>
  <si>
    <t>12/02/1998</t>
  </si>
  <si>
    <t>11/02/1998</t>
  </si>
  <si>
    <t>10/02/1998</t>
  </si>
  <si>
    <t>09/02/1998</t>
  </si>
  <si>
    <t>08/02/1998</t>
  </si>
  <si>
    <t>07/02/1998</t>
  </si>
  <si>
    <t>06/02/1998</t>
  </si>
  <si>
    <t>05/02/1998</t>
  </si>
  <si>
    <t>04/02/1998</t>
  </si>
  <si>
    <t>03/02/1998</t>
  </si>
  <si>
    <t>02/02/1998</t>
  </si>
  <si>
    <t>01/02/1998</t>
  </si>
  <si>
    <t>31/01/1998</t>
  </si>
  <si>
    <t>30/01/1998</t>
  </si>
  <si>
    <t>29/01/1998</t>
  </si>
  <si>
    <t>28/01/1998</t>
  </si>
  <si>
    <t>27/01/1998</t>
  </si>
  <si>
    <t>26/01/1998</t>
  </si>
  <si>
    <t>25/01/1998</t>
  </si>
  <si>
    <t>24/01/1998</t>
  </si>
  <si>
    <t>23/01/1998</t>
  </si>
  <si>
    <t>22/01/1998</t>
  </si>
  <si>
    <t>21/01/1998</t>
  </si>
  <si>
    <t>20/01/1998</t>
  </si>
  <si>
    <t>19/01/1998</t>
  </si>
  <si>
    <t>18/01/1998</t>
  </si>
  <si>
    <t>17/01/1998</t>
  </si>
  <si>
    <t>16/01/1998</t>
  </si>
  <si>
    <t>15/01/1998</t>
  </si>
  <si>
    <t>14/01/1998</t>
  </si>
  <si>
    <t>13/01/1998</t>
  </si>
  <si>
    <t>12/01/1998</t>
  </si>
  <si>
    <t>11/01/1998</t>
  </si>
  <si>
    <t>10/01/1998</t>
  </si>
  <si>
    <t>09/01/1998</t>
  </si>
  <si>
    <t>08/01/1998</t>
  </si>
  <si>
    <t>07/01/1998</t>
  </si>
  <si>
    <t>06/01/1998</t>
  </si>
  <si>
    <t>05/01/1998</t>
  </si>
  <si>
    <t>04/01/1998</t>
  </si>
  <si>
    <t>03/01/1998</t>
  </si>
  <si>
    <t>02/01/1998</t>
  </si>
  <si>
    <t>01/01/1998</t>
  </si>
  <si>
    <t>31/12/1997</t>
  </si>
  <si>
    <t>30/12/1997</t>
  </si>
  <si>
    <t>29/12/1997</t>
  </si>
  <si>
    <t>28/12/1997</t>
  </si>
  <si>
    <t>27/12/1997</t>
  </si>
  <si>
    <t>26/12/1997</t>
  </si>
  <si>
    <t>25/12/1997</t>
  </si>
  <si>
    <t>24/12/1997</t>
  </si>
  <si>
    <t>23/12/1997</t>
  </si>
  <si>
    <t>22/12/1997</t>
  </si>
  <si>
    <t>21/12/1997</t>
  </si>
  <si>
    <t>20/12/1997</t>
  </si>
  <si>
    <t>19/12/1997</t>
  </si>
  <si>
    <t>18/12/1997</t>
  </si>
  <si>
    <t>17/12/1997</t>
  </si>
  <si>
    <t>16/12/1997</t>
  </si>
  <si>
    <t>15/12/1997</t>
  </si>
  <si>
    <t>14/12/1997</t>
  </si>
  <si>
    <t>13/12/1997</t>
  </si>
  <si>
    <t>12/12/1997</t>
  </si>
  <si>
    <t>11/12/1997</t>
  </si>
  <si>
    <t>10/12/1997</t>
  </si>
  <si>
    <t>09/12/1997</t>
  </si>
  <si>
    <t>08/12/1997</t>
  </si>
  <si>
    <t>07/12/1997</t>
  </si>
  <si>
    <t>06/12/1997</t>
  </si>
  <si>
    <t>05/12/1997</t>
  </si>
  <si>
    <t>04/12/1997</t>
  </si>
  <si>
    <t>03/12/1997</t>
  </si>
  <si>
    <t>02/12/1997</t>
  </si>
  <si>
    <t>01/12/1997</t>
  </si>
  <si>
    <t>30/11/1997</t>
  </si>
  <si>
    <t>29/11/1997</t>
  </si>
  <si>
    <t>28/11/1997</t>
  </si>
  <si>
    <t>27/11/1997</t>
  </si>
  <si>
    <t>26/11/1997</t>
  </si>
  <si>
    <t>25/11/1997</t>
  </si>
  <si>
    <t>24/11/1997</t>
  </si>
  <si>
    <t>23/11/1997</t>
  </si>
  <si>
    <t>22/11/1997</t>
  </si>
  <si>
    <t>21/11/1997</t>
  </si>
  <si>
    <t>20/11/1997</t>
  </si>
  <si>
    <t>19/11/1997</t>
  </si>
  <si>
    <t>18/11/1997</t>
  </si>
  <si>
    <t>17/11/1997</t>
  </si>
  <si>
    <t>16/11/1997</t>
  </si>
  <si>
    <t>15/11/1997</t>
  </si>
  <si>
    <t>14/11/1997</t>
  </si>
  <si>
    <t>13/11/1997</t>
  </si>
  <si>
    <t>12/11/1997</t>
  </si>
  <si>
    <t>11/11/1997</t>
  </si>
  <si>
    <t>10/11/1997</t>
  </si>
  <si>
    <t>09/11/1997</t>
  </si>
  <si>
    <t>08/11/1997</t>
  </si>
  <si>
    <t>07/11/1997</t>
  </si>
  <si>
    <t>06/11/1997</t>
  </si>
  <si>
    <t>05/11/1997</t>
  </si>
  <si>
    <t>04/11/1997</t>
  </si>
  <si>
    <t>03/11/1997</t>
  </si>
  <si>
    <t>02/11/1997</t>
  </si>
  <si>
    <t>01/11/1997</t>
  </si>
  <si>
    <t>31/10/1997</t>
  </si>
  <si>
    <t>30/10/1997</t>
  </si>
  <si>
    <t>29/10/1997</t>
  </si>
  <si>
    <t>28/10/1997</t>
  </si>
  <si>
    <t>27/10/1997</t>
  </si>
  <si>
    <t>26/10/1997</t>
  </si>
  <si>
    <t>25/10/1997</t>
  </si>
  <si>
    <t>24/10/1997</t>
  </si>
  <si>
    <t>23/10/1997</t>
  </si>
  <si>
    <t>22/10/1997</t>
  </si>
  <si>
    <t>21/10/1997</t>
  </si>
  <si>
    <t>20/10/1997</t>
  </si>
  <si>
    <t>19/10/1997</t>
  </si>
  <si>
    <t>18/10/1997</t>
  </si>
  <si>
    <t>17/10/1997</t>
  </si>
  <si>
    <t>16/10/1997</t>
  </si>
  <si>
    <t>15/10/1997</t>
  </si>
  <si>
    <t>14/10/1997</t>
  </si>
  <si>
    <t>13/10/1997</t>
  </si>
  <si>
    <t>12/10/1997</t>
  </si>
  <si>
    <t>11/10/1997</t>
  </si>
  <si>
    <t>10/10/1997</t>
  </si>
  <si>
    <t>09/10/1997</t>
  </si>
  <si>
    <t>08/10/1997</t>
  </si>
  <si>
    <t>07/10/1997</t>
  </si>
  <si>
    <t>06/10/1997</t>
  </si>
  <si>
    <t>05/10/1997</t>
  </si>
  <si>
    <t>04/10/1997</t>
  </si>
  <si>
    <t>03/10/1997</t>
  </si>
  <si>
    <t>02/10/1997</t>
  </si>
  <si>
    <t>01/10/1997</t>
  </si>
  <si>
    <t>30/09/1997</t>
  </si>
  <si>
    <t>29/09/1997</t>
  </si>
  <si>
    <t>28/09/1997</t>
  </si>
  <si>
    <t>27/09/1997</t>
  </si>
  <si>
    <t>26/09/1997</t>
  </si>
  <si>
    <t>25/09/1997</t>
  </si>
  <si>
    <t>24/09/1997</t>
  </si>
  <si>
    <t>23/09/1997</t>
  </si>
  <si>
    <t>22/09/1997</t>
  </si>
  <si>
    <t>21/09/1997</t>
  </si>
  <si>
    <t>20/09/1997</t>
  </si>
  <si>
    <t>19/09/1997</t>
  </si>
  <si>
    <t>18/09/1997</t>
  </si>
  <si>
    <t>17/09/1997</t>
  </si>
  <si>
    <t>16/09/1997</t>
  </si>
  <si>
    <t>15/09/1997</t>
  </si>
  <si>
    <t>14/09/1997</t>
  </si>
  <si>
    <t>13/09/1997</t>
  </si>
  <si>
    <t>12/09/1997</t>
  </si>
  <si>
    <t>11/09/1997</t>
  </si>
  <si>
    <t>10/09/1997</t>
  </si>
  <si>
    <t>09/09/1997</t>
  </si>
  <si>
    <t>08/09/1997</t>
  </si>
  <si>
    <t>07/09/1997</t>
  </si>
  <si>
    <t>06/09/1997</t>
  </si>
  <si>
    <t>05/09/1997</t>
  </si>
  <si>
    <t>04/09/1997</t>
  </si>
  <si>
    <t>03/09/1997</t>
  </si>
  <si>
    <t>02/09/1997</t>
  </si>
  <si>
    <t>01/09/1997</t>
  </si>
  <si>
    <t>31/08/1997</t>
  </si>
  <si>
    <t>30/08/1997</t>
  </si>
  <si>
    <t>29/08/1997</t>
  </si>
  <si>
    <t>28/08/1997</t>
  </si>
  <si>
    <t>27/08/1997</t>
  </si>
  <si>
    <t>26/08/1997</t>
  </si>
  <si>
    <t>25/08/1997</t>
  </si>
  <si>
    <t>24/08/1997</t>
  </si>
  <si>
    <t>23/08/1997</t>
  </si>
  <si>
    <t>22/08/1997</t>
  </si>
  <si>
    <t>21/08/1997</t>
  </si>
  <si>
    <t>20/08/1997</t>
  </si>
  <si>
    <t>19/08/1997</t>
  </si>
  <si>
    <t>18/08/1997</t>
  </si>
  <si>
    <t>17/08/1997</t>
  </si>
  <si>
    <t>16/08/1997</t>
  </si>
  <si>
    <t>15/08/1997</t>
  </si>
  <si>
    <t>14/08/1997</t>
  </si>
  <si>
    <t>13/08/1997</t>
  </si>
  <si>
    <t>12/08/1997</t>
  </si>
  <si>
    <t>11/08/1997</t>
  </si>
  <si>
    <t>10/08/1997</t>
  </si>
  <si>
    <t>09/08/1997</t>
  </si>
  <si>
    <t>08/08/1997</t>
  </si>
  <si>
    <t>07/08/1997</t>
  </si>
  <si>
    <t>06/08/1997</t>
  </si>
  <si>
    <t>05/08/1997</t>
  </si>
  <si>
    <t>04/08/1997</t>
  </si>
  <si>
    <t>03/08/1997</t>
  </si>
  <si>
    <t>02/08/1997</t>
  </si>
  <si>
    <t>01/08/1997</t>
  </si>
  <si>
    <t>31/07/1997</t>
  </si>
  <si>
    <t>30/07/1997</t>
  </si>
  <si>
    <t>29/07/1997</t>
  </si>
  <si>
    <t>28/07/1997</t>
  </si>
  <si>
    <t>27/07/1997</t>
  </si>
  <si>
    <t>26/07/1997</t>
  </si>
  <si>
    <t>25/07/1997</t>
  </si>
  <si>
    <t>24/07/1997</t>
  </si>
  <si>
    <t>23/07/1997</t>
  </si>
  <si>
    <t>22/07/1997</t>
  </si>
  <si>
    <t>21/07/1997</t>
  </si>
  <si>
    <t>20/07/1997</t>
  </si>
  <si>
    <t>19/07/1997</t>
  </si>
  <si>
    <t>18/07/1997</t>
  </si>
  <si>
    <t>17/07/1997</t>
  </si>
  <si>
    <t>16/07/1997</t>
  </si>
  <si>
    <t>15/07/1997</t>
  </si>
  <si>
    <t>14/07/1997</t>
  </si>
  <si>
    <t>13/07/1997</t>
  </si>
  <si>
    <t>12/07/1997</t>
  </si>
  <si>
    <t>11/07/1997</t>
  </si>
  <si>
    <t>10/07/1997</t>
  </si>
  <si>
    <t>09/07/1997</t>
  </si>
  <si>
    <t>08/07/1997</t>
  </si>
  <si>
    <t>07/07/1997</t>
  </si>
  <si>
    <t>06/07/1997</t>
  </si>
  <si>
    <t>05/07/1997</t>
  </si>
  <si>
    <t>04/07/1997</t>
  </si>
  <si>
    <t>03/07/1997</t>
  </si>
  <si>
    <t>02/07/1997</t>
  </si>
  <si>
    <t>01/07/1997</t>
  </si>
  <si>
    <t>30/06/1997</t>
  </si>
  <si>
    <t>29/06/1997</t>
  </si>
  <si>
    <t>28/06/1997</t>
  </si>
  <si>
    <t>27/06/1997</t>
  </si>
  <si>
    <t>26/06/1997</t>
  </si>
  <si>
    <t>25/06/1997</t>
  </si>
  <si>
    <t>24/06/1997</t>
  </si>
  <si>
    <t>23/06/1997</t>
  </si>
  <si>
    <t>22/06/1997</t>
  </si>
  <si>
    <t>21/06/1997</t>
  </si>
  <si>
    <t>20/06/1997</t>
  </si>
  <si>
    <t>19/06/1997</t>
  </si>
  <si>
    <t>18/06/1997</t>
  </si>
  <si>
    <t>17/06/1997</t>
  </si>
  <si>
    <t>16/06/1997</t>
  </si>
  <si>
    <t>15/06/1997</t>
  </si>
  <si>
    <t>14/06/1997</t>
  </si>
  <si>
    <t>13/06/1997</t>
  </si>
  <si>
    <t>12/06/1997</t>
  </si>
  <si>
    <t>11/06/1997</t>
  </si>
  <si>
    <t>10/06/1997</t>
  </si>
  <si>
    <t>09/06/1997</t>
  </si>
  <si>
    <t>08/06/1997</t>
  </si>
  <si>
    <t>07/06/1997</t>
  </si>
  <si>
    <t>06/06/1997</t>
  </si>
  <si>
    <t>05/06/1997</t>
  </si>
  <si>
    <t>04/06/1997</t>
  </si>
  <si>
    <t>03/06/1997</t>
  </si>
  <si>
    <t>02/06/1997</t>
  </si>
  <si>
    <t>01/06/1997</t>
  </si>
  <si>
    <t>31/05/1997</t>
  </si>
  <si>
    <t>30/05/1997</t>
  </si>
  <si>
    <t>29/05/1997</t>
  </si>
  <si>
    <t>28/05/1997</t>
  </si>
  <si>
    <t>27/05/1997</t>
  </si>
  <si>
    <t>26/05/1997</t>
  </si>
  <si>
    <t>25/05/1997</t>
  </si>
  <si>
    <t>24/05/1997</t>
  </si>
  <si>
    <t>23/05/1997</t>
  </si>
  <si>
    <t>22/05/1997</t>
  </si>
  <si>
    <t>21/05/1997</t>
  </si>
  <si>
    <t>20/05/1997</t>
  </si>
  <si>
    <t>19/05/1997</t>
  </si>
  <si>
    <t>18/05/1997</t>
  </si>
  <si>
    <t>17/05/1997</t>
  </si>
  <si>
    <t>16/05/1997</t>
  </si>
  <si>
    <t>15/05/1997</t>
  </si>
  <si>
    <t>14/05/1997</t>
  </si>
  <si>
    <t>13/05/1997</t>
  </si>
  <si>
    <t>12/05/1997</t>
  </si>
  <si>
    <t>11/05/1997</t>
  </si>
  <si>
    <t>10/05/1997</t>
  </si>
  <si>
    <t>09/05/1997</t>
  </si>
  <si>
    <t>08/05/1997</t>
  </si>
  <si>
    <t>07/05/1997</t>
  </si>
  <si>
    <t>06/05/1997</t>
  </si>
  <si>
    <t>05/05/1997</t>
  </si>
  <si>
    <t>04/05/1997</t>
  </si>
  <si>
    <t>03/05/1997</t>
  </si>
  <si>
    <t>02/05/1997</t>
  </si>
  <si>
    <t>01/05/1997</t>
  </si>
  <si>
    <t>30/04/1997</t>
  </si>
  <si>
    <t>29/04/1997</t>
  </si>
  <si>
    <t>28/04/1997</t>
  </si>
  <si>
    <t>27/04/1997</t>
  </si>
  <si>
    <t>26/04/1997</t>
  </si>
  <si>
    <t>25/04/1997</t>
  </si>
  <si>
    <t>24/04/1997</t>
  </si>
  <si>
    <t>23/04/1997</t>
  </si>
  <si>
    <t>22/04/1997</t>
  </si>
  <si>
    <t>21/04/1997</t>
  </si>
  <si>
    <t>20/04/1997</t>
  </si>
  <si>
    <t>19/04/1997</t>
  </si>
  <si>
    <t>18/04/1997</t>
  </si>
  <si>
    <t>17/04/1997</t>
  </si>
  <si>
    <t>16/04/1997</t>
  </si>
  <si>
    <t>15/04/1997</t>
  </si>
  <si>
    <t>14/04/1997</t>
  </si>
  <si>
    <t>13/04/1997</t>
  </si>
  <si>
    <t>12/04/1997</t>
  </si>
  <si>
    <t>11/04/1997</t>
  </si>
  <si>
    <t>10/04/1997</t>
  </si>
  <si>
    <t>09/04/1997</t>
  </si>
  <si>
    <t>08/04/1997</t>
  </si>
  <si>
    <t>07/04/1997</t>
  </si>
  <si>
    <t>06/04/1997</t>
  </si>
  <si>
    <t>05/04/1997</t>
  </si>
  <si>
    <t>04/04/1997</t>
  </si>
  <si>
    <t>03/04/1997</t>
  </si>
  <si>
    <t>02/04/1997</t>
  </si>
  <si>
    <t>01/04/1997</t>
  </si>
  <si>
    <t>31/03/1997</t>
  </si>
  <si>
    <t>30/03/1997</t>
  </si>
  <si>
    <t>29/03/1997</t>
  </si>
  <si>
    <t>28/03/1997</t>
  </si>
  <si>
    <t>27/03/1997</t>
  </si>
  <si>
    <t>26/03/1997</t>
  </si>
  <si>
    <t>25/03/1997</t>
  </si>
  <si>
    <t>24/03/1997</t>
  </si>
  <si>
    <t>23/03/1997</t>
  </si>
  <si>
    <t>22/03/1997</t>
  </si>
  <si>
    <t>21/03/1997</t>
  </si>
  <si>
    <t>20/03/1997</t>
  </si>
  <si>
    <t>19/03/1997</t>
  </si>
  <si>
    <t>18/03/1997</t>
  </si>
  <si>
    <t>17/03/1997</t>
  </si>
  <si>
    <t>16/03/1997</t>
  </si>
  <si>
    <t>15/03/1997</t>
  </si>
  <si>
    <t>14/03/1997</t>
  </si>
  <si>
    <t>13/03/1997</t>
  </si>
  <si>
    <t>12/03/1997</t>
  </si>
  <si>
    <t>11/03/1997</t>
  </si>
  <si>
    <t>10/03/1997</t>
  </si>
  <si>
    <t>09/03/1997</t>
  </si>
  <si>
    <t>08/03/1997</t>
  </si>
  <si>
    <t>07/03/1997</t>
  </si>
  <si>
    <t>06/03/1997</t>
  </si>
  <si>
    <t>05/03/1997</t>
  </si>
  <si>
    <t>04/03/1997</t>
  </si>
  <si>
    <t>03/03/1997</t>
  </si>
  <si>
    <t>02/03/1997</t>
  </si>
  <si>
    <t>01/03/1997</t>
  </si>
  <si>
    <t>28/02/1997</t>
  </si>
  <si>
    <t>27/02/1997</t>
  </si>
  <si>
    <t>26/02/1997</t>
  </si>
  <si>
    <t>25/02/1997</t>
  </si>
  <si>
    <t>24/02/1997</t>
  </si>
  <si>
    <t>23/02/1997</t>
  </si>
  <si>
    <t>22/02/1997</t>
  </si>
  <si>
    <t>21/02/1997</t>
  </si>
  <si>
    <t>20/02/1997</t>
  </si>
  <si>
    <t>19/02/1997</t>
  </si>
  <si>
    <t>18/02/1997</t>
  </si>
  <si>
    <t>17/02/1997</t>
  </si>
  <si>
    <t>16/02/1997</t>
  </si>
  <si>
    <t>15/02/1997</t>
  </si>
  <si>
    <t>14/02/1997</t>
  </si>
  <si>
    <t>13/02/1997</t>
  </si>
  <si>
    <t>12/02/1997</t>
  </si>
  <si>
    <t>11/02/1997</t>
  </si>
  <si>
    <t>10/02/1997</t>
  </si>
  <si>
    <t>09/02/1997</t>
  </si>
  <si>
    <t>08/02/1997</t>
  </si>
  <si>
    <t>07/02/1997</t>
  </si>
  <si>
    <t>06/02/1997</t>
  </si>
  <si>
    <t>05/02/1997</t>
  </si>
  <si>
    <t>04/02/1997</t>
  </si>
  <si>
    <t>03/02/1997</t>
  </si>
  <si>
    <t>02/02/1997</t>
  </si>
  <si>
    <t>01/02/1997</t>
  </si>
  <si>
    <t>31/01/1997</t>
  </si>
  <si>
    <t>30/01/1997</t>
  </si>
  <si>
    <t>29/01/1997</t>
  </si>
  <si>
    <t>28/01/1997</t>
  </si>
  <si>
    <t>27/01/1997</t>
  </si>
  <si>
    <t>26/01/1997</t>
  </si>
  <si>
    <t>25/01/1997</t>
  </si>
  <si>
    <t>24/01/1997</t>
  </si>
  <si>
    <t>23/01/1997</t>
  </si>
  <si>
    <t>22/01/1997</t>
  </si>
  <si>
    <t>21/01/1997</t>
  </si>
  <si>
    <t>20/01/1997</t>
  </si>
  <si>
    <t>19/01/1997</t>
  </si>
  <si>
    <t>18/01/1997</t>
  </si>
  <si>
    <t>17/01/1997</t>
  </si>
  <si>
    <t>16/01/1997</t>
  </si>
  <si>
    <t>15/01/1997</t>
  </si>
  <si>
    <t>14/01/1997</t>
  </si>
  <si>
    <t>13/01/1997</t>
  </si>
  <si>
    <t>12/01/1997</t>
  </si>
  <si>
    <t>11/01/1997</t>
  </si>
  <si>
    <t>10/01/1997</t>
  </si>
  <si>
    <t>09/01/1997</t>
  </si>
  <si>
    <t>08/01/1997</t>
  </si>
  <si>
    <t>07/01/1997</t>
  </si>
  <si>
    <t>06/01/1997</t>
  </si>
  <si>
    <t>05/01/1997</t>
  </si>
  <si>
    <t>04/01/1997</t>
  </si>
  <si>
    <t>03/01/1997</t>
  </si>
  <si>
    <t>02/01/1997</t>
  </si>
  <si>
    <t>01/01/1997</t>
  </si>
  <si>
    <t>31/12/1996</t>
  </si>
  <si>
    <t>30/12/1996</t>
  </si>
  <si>
    <t>29/12/1996</t>
  </si>
  <si>
    <t>28/12/1996</t>
  </si>
  <si>
    <t>27/12/1996</t>
  </si>
  <si>
    <t>26/12/1996</t>
  </si>
  <si>
    <t>25/12/1996</t>
  </si>
  <si>
    <t>24/12/1996</t>
  </si>
  <si>
    <t>23/12/1996</t>
  </si>
  <si>
    <t>22/12/1996</t>
  </si>
  <si>
    <t>21/12/1996</t>
  </si>
  <si>
    <t>20/12/1996</t>
  </si>
  <si>
    <t>19/12/1996</t>
  </si>
  <si>
    <t>18/12/1996</t>
  </si>
  <si>
    <t>17/12/1996</t>
  </si>
  <si>
    <t>16/12/1996</t>
  </si>
  <si>
    <t>15/12/1996</t>
  </si>
  <si>
    <t>14/12/1996</t>
  </si>
  <si>
    <t>13/12/1996</t>
  </si>
  <si>
    <t>12/12/1996</t>
  </si>
  <si>
    <t>11/12/1996</t>
  </si>
  <si>
    <t>10/12/1996</t>
  </si>
  <si>
    <t>09/12/1996</t>
  </si>
  <si>
    <t>08/12/1996</t>
  </si>
  <si>
    <t>07/12/1996</t>
  </si>
  <si>
    <t>06/12/1996</t>
  </si>
  <si>
    <t>05/12/1996</t>
  </si>
  <si>
    <t>04/12/1996</t>
  </si>
  <si>
    <t>03/12/1996</t>
  </si>
  <si>
    <t>02/12/1996</t>
  </si>
  <si>
    <t>01/12/1996</t>
  </si>
  <si>
    <t>30/11/1996</t>
  </si>
  <si>
    <t>29/11/1996</t>
  </si>
  <si>
    <t>28/11/1996</t>
  </si>
  <si>
    <t>27/11/1996</t>
  </si>
  <si>
    <t>26/11/1996</t>
  </si>
  <si>
    <t>25/11/1996</t>
  </si>
  <si>
    <t>24/11/1996</t>
  </si>
  <si>
    <t>23/11/1996</t>
  </si>
  <si>
    <t>22/11/1996</t>
  </si>
  <si>
    <t>21/11/1996</t>
  </si>
  <si>
    <t>20/11/1996</t>
  </si>
  <si>
    <t>19/11/1996</t>
  </si>
  <si>
    <t>18/11/1996</t>
  </si>
  <si>
    <t>17/11/1996</t>
  </si>
  <si>
    <t>16/11/1996</t>
  </si>
  <si>
    <t>15/11/1996</t>
  </si>
  <si>
    <t>14/11/1996</t>
  </si>
  <si>
    <t>13/11/1996</t>
  </si>
  <si>
    <t>12/11/1996</t>
  </si>
  <si>
    <t>11/11/1996</t>
  </si>
  <si>
    <t>10/11/1996</t>
  </si>
  <si>
    <t>09/11/1996</t>
  </si>
  <si>
    <t>08/11/1996</t>
  </si>
  <si>
    <t>07/11/1996</t>
  </si>
  <si>
    <t>06/11/1996</t>
  </si>
  <si>
    <t>05/11/1996</t>
  </si>
  <si>
    <t>04/11/1996</t>
  </si>
  <si>
    <t>03/11/1996</t>
  </si>
  <si>
    <t>02/11/1996</t>
  </si>
  <si>
    <t>01/11/1996</t>
  </si>
  <si>
    <t>31/10/1996</t>
  </si>
  <si>
    <t>30/10/1996</t>
  </si>
  <si>
    <t>29/10/1996</t>
  </si>
  <si>
    <t>28/10/1996</t>
  </si>
  <si>
    <t>27/10/1996</t>
  </si>
  <si>
    <t>26/10/1996</t>
  </si>
  <si>
    <t>25/10/1996</t>
  </si>
  <si>
    <t>24/10/1996</t>
  </si>
  <si>
    <t>23/10/1996</t>
  </si>
  <si>
    <t>22/10/1996</t>
  </si>
  <si>
    <t>21/10/1996</t>
  </si>
  <si>
    <t>20/10/1996</t>
  </si>
  <si>
    <t>19/10/1996</t>
  </si>
  <si>
    <t>18/10/1996</t>
  </si>
  <si>
    <t>17/10/1996</t>
  </si>
  <si>
    <t>16/10/1996</t>
  </si>
  <si>
    <t>15/10/1996</t>
  </si>
  <si>
    <t>14/10/1996</t>
  </si>
  <si>
    <t>13/10/1996</t>
  </si>
  <si>
    <t>12/10/1996</t>
  </si>
  <si>
    <t>11/10/1996</t>
  </si>
  <si>
    <t>10/10/1996</t>
  </si>
  <si>
    <t>09/10/1996</t>
  </si>
  <si>
    <t>08/10/1996</t>
  </si>
  <si>
    <t>07/10/1996</t>
  </si>
  <si>
    <t>06/10/1996</t>
  </si>
  <si>
    <t>05/10/1996</t>
  </si>
  <si>
    <t>04/10/1996</t>
  </si>
  <si>
    <t>03/10/1996</t>
  </si>
  <si>
    <t>02/10/1996</t>
  </si>
  <si>
    <t>01/10/1996</t>
  </si>
  <si>
    <t>30/09/1996</t>
  </si>
  <si>
    <t>29/09/1996</t>
  </si>
  <si>
    <t>28/09/1996</t>
  </si>
  <si>
    <t>27/09/1996</t>
  </si>
  <si>
    <t>26/09/1996</t>
  </si>
  <si>
    <t>25/09/1996</t>
  </si>
  <si>
    <t>24/09/1996</t>
  </si>
  <si>
    <t>23/09/1996</t>
  </si>
  <si>
    <t>22/09/1996</t>
  </si>
  <si>
    <t>21/09/1996</t>
  </si>
  <si>
    <t>20/09/1996</t>
  </si>
  <si>
    <t>19/09/1996</t>
  </si>
  <si>
    <t>18/09/1996</t>
  </si>
  <si>
    <t>17/09/1996</t>
  </si>
  <si>
    <t>16/09/1996</t>
  </si>
  <si>
    <t>15/09/1996</t>
  </si>
  <si>
    <t>14/09/1996</t>
  </si>
  <si>
    <t>13/09/1996</t>
  </si>
  <si>
    <t>12/09/1996</t>
  </si>
  <si>
    <t>11/09/1996</t>
  </si>
  <si>
    <t>10/09/1996</t>
  </si>
  <si>
    <t>09/09/1996</t>
  </si>
  <si>
    <t>08/09/1996</t>
  </si>
  <si>
    <t>07/09/1996</t>
  </si>
  <si>
    <t>06/09/1996</t>
  </si>
  <si>
    <t>05/09/1996</t>
  </si>
  <si>
    <t>04/09/1996</t>
  </si>
  <si>
    <t>03/09/1996</t>
  </si>
  <si>
    <t>02/09/1996</t>
  </si>
  <si>
    <t>01/09/1996</t>
  </si>
  <si>
    <t>31/08/1996</t>
  </si>
  <si>
    <t>30/08/1996</t>
  </si>
  <si>
    <t>29/08/1996</t>
  </si>
  <si>
    <t>28/08/1996</t>
  </si>
  <si>
    <t>27/08/1996</t>
  </si>
  <si>
    <t>26/08/1996</t>
  </si>
  <si>
    <t>25/08/1996</t>
  </si>
  <si>
    <t>24/08/1996</t>
  </si>
  <si>
    <t>23/08/1996</t>
  </si>
  <si>
    <t>22/08/1996</t>
  </si>
  <si>
    <t>21/08/1996</t>
  </si>
  <si>
    <t>20/08/1996</t>
  </si>
  <si>
    <t>19/08/1996</t>
  </si>
  <si>
    <t>18/08/1996</t>
  </si>
  <si>
    <t>17/08/1996</t>
  </si>
  <si>
    <t>16/08/1996</t>
  </si>
  <si>
    <t>15/08/1996</t>
  </si>
  <si>
    <t>14/08/1996</t>
  </si>
  <si>
    <t>13/08/1996</t>
  </si>
  <si>
    <t>12/08/1996</t>
  </si>
  <si>
    <t>11/08/1996</t>
  </si>
  <si>
    <t>10/08/1996</t>
  </si>
  <si>
    <t>09/08/1996</t>
  </si>
  <si>
    <t>08/08/1996</t>
  </si>
  <si>
    <t>07/08/1996</t>
  </si>
  <si>
    <t>06/08/1996</t>
  </si>
  <si>
    <t>05/08/1996</t>
  </si>
  <si>
    <t>04/08/1996</t>
  </si>
  <si>
    <t>03/08/1996</t>
  </si>
  <si>
    <t>02/08/1996</t>
  </si>
  <si>
    <t>01/08/1996</t>
  </si>
  <si>
    <t>31/07/1996</t>
  </si>
  <si>
    <t>30/07/1996</t>
  </si>
  <si>
    <t>29/07/1996</t>
  </si>
  <si>
    <t>28/07/1996</t>
  </si>
  <si>
    <t>27/07/1996</t>
  </si>
  <si>
    <t>26/07/1996</t>
  </si>
  <si>
    <t>25/07/1996</t>
  </si>
  <si>
    <t>24/07/1996</t>
  </si>
  <si>
    <t>23/07/1996</t>
  </si>
  <si>
    <t>22/07/1996</t>
  </si>
  <si>
    <t>21/07/1996</t>
  </si>
  <si>
    <t>20/07/1996</t>
  </si>
  <si>
    <t>19/07/1996</t>
  </si>
  <si>
    <t>18/07/1996</t>
  </si>
  <si>
    <t>17/07/1996</t>
  </si>
  <si>
    <t>16/07/1996</t>
  </si>
  <si>
    <t>15/07/1996</t>
  </si>
  <si>
    <t>14/07/1996</t>
  </si>
  <si>
    <t>13/07/1996</t>
  </si>
  <si>
    <t>12/07/1996</t>
  </si>
  <si>
    <t>11/07/1996</t>
  </si>
  <si>
    <t>10/07/1996</t>
  </si>
  <si>
    <t>09/07/1996</t>
  </si>
  <si>
    <t>08/07/1996</t>
  </si>
  <si>
    <t>07/07/1996</t>
  </si>
  <si>
    <t>06/07/1996</t>
  </si>
  <si>
    <t>05/07/1996</t>
  </si>
  <si>
    <t>04/07/1996</t>
  </si>
  <si>
    <t>03/07/1996</t>
  </si>
  <si>
    <t>02/07/1996</t>
  </si>
  <si>
    <t>01/07/1996</t>
  </si>
  <si>
    <t>30/06/1996</t>
  </si>
  <si>
    <t>29/06/1996</t>
  </si>
  <si>
    <t>28/06/1996</t>
  </si>
  <si>
    <t>27/06/1996</t>
  </si>
  <si>
    <t>26/06/1996</t>
  </si>
  <si>
    <t>25/06/1996</t>
  </si>
  <si>
    <t>24/06/1996</t>
  </si>
  <si>
    <t>23/06/1996</t>
  </si>
  <si>
    <t>22/06/1996</t>
  </si>
  <si>
    <t>21/06/1996</t>
  </si>
  <si>
    <t>20/06/1996</t>
  </si>
  <si>
    <t>19/06/1996</t>
  </si>
  <si>
    <t>18/06/1996</t>
  </si>
  <si>
    <t>17/06/1996</t>
  </si>
  <si>
    <t>16/06/1996</t>
  </si>
  <si>
    <t>15/06/1996</t>
  </si>
  <si>
    <t>14/06/1996</t>
  </si>
  <si>
    <t>13/06/1996</t>
  </si>
  <si>
    <t>12/06/1996</t>
  </si>
  <si>
    <t>11/06/1996</t>
  </si>
  <si>
    <t>10/06/1996</t>
  </si>
  <si>
    <t>09/06/1996</t>
  </si>
  <si>
    <t>08/06/1996</t>
  </si>
  <si>
    <t>07/06/1996</t>
  </si>
  <si>
    <t>06/06/1996</t>
  </si>
  <si>
    <t>05/06/1996</t>
  </si>
  <si>
    <t>04/06/1996</t>
  </si>
  <si>
    <t>03/06/1996</t>
  </si>
  <si>
    <t>02/06/1996</t>
  </si>
  <si>
    <t>01/06/1996</t>
  </si>
  <si>
    <t>31/05/1996</t>
  </si>
  <si>
    <t>30/05/1996</t>
  </si>
  <si>
    <t>29/05/1996</t>
  </si>
  <si>
    <t>28/05/1996</t>
  </si>
  <si>
    <t>27/05/1996</t>
  </si>
  <si>
    <t>26/05/1996</t>
  </si>
  <si>
    <t>25/05/1996</t>
  </si>
  <si>
    <t>24/05/1996</t>
  </si>
  <si>
    <t>23/05/1996</t>
  </si>
  <si>
    <t>22/05/1996</t>
  </si>
  <si>
    <t>21/05/1996</t>
  </si>
  <si>
    <t>20/05/1996</t>
  </si>
  <si>
    <t>19/05/1996</t>
  </si>
  <si>
    <t>18/05/1996</t>
  </si>
  <si>
    <t>17/05/1996</t>
  </si>
  <si>
    <t>16/05/1996</t>
  </si>
  <si>
    <t>15/05/1996</t>
  </si>
  <si>
    <t>14/05/1996</t>
  </si>
  <si>
    <t>13/05/1996</t>
  </si>
  <si>
    <t>12/05/1996</t>
  </si>
  <si>
    <t>11/05/1996</t>
  </si>
  <si>
    <t>10/05/1996</t>
  </si>
  <si>
    <t>09/05/1996</t>
  </si>
  <si>
    <t>08/05/1996</t>
  </si>
  <si>
    <t>07/05/1996</t>
  </si>
  <si>
    <t>06/05/1996</t>
  </si>
  <si>
    <t>05/05/1996</t>
  </si>
  <si>
    <t>04/05/1996</t>
  </si>
  <si>
    <t>03/05/1996</t>
  </si>
  <si>
    <t>02/05/1996</t>
  </si>
  <si>
    <t>01/05/1996</t>
  </si>
  <si>
    <t>30/04/1996</t>
  </si>
  <si>
    <t>29/04/1996</t>
  </si>
  <si>
    <t>28/04/1996</t>
  </si>
  <si>
    <t>27/04/1996</t>
  </si>
  <si>
    <t>26/04/1996</t>
  </si>
  <si>
    <t>25/04/1996</t>
  </si>
  <si>
    <t>24/04/1996</t>
  </si>
  <si>
    <t>23/04/1996</t>
  </si>
  <si>
    <t>22/04/1996</t>
  </si>
  <si>
    <t>21/04/1996</t>
  </si>
  <si>
    <t>20/04/1996</t>
  </si>
  <si>
    <t>19/04/1996</t>
  </si>
  <si>
    <t>18/04/1996</t>
  </si>
  <si>
    <t>17/04/1996</t>
  </si>
  <si>
    <t>16/04/1996</t>
  </si>
  <si>
    <t>15/04/1996</t>
  </si>
  <si>
    <t>14/04/1996</t>
  </si>
  <si>
    <t>13/04/1996</t>
  </si>
  <si>
    <t>12/04/1996</t>
  </si>
  <si>
    <t>11/04/1996</t>
  </si>
  <si>
    <t>10/04/1996</t>
  </si>
  <si>
    <t>09/04/1996</t>
  </si>
  <si>
    <t>08/04/1996</t>
  </si>
  <si>
    <t>07/04/1996</t>
  </si>
  <si>
    <t>06/04/1996</t>
  </si>
  <si>
    <t>05/04/1996</t>
  </si>
  <si>
    <t>04/04/1996</t>
  </si>
  <si>
    <t>03/04/1996</t>
  </si>
  <si>
    <t>02/04/1996</t>
  </si>
  <si>
    <t>01/04/1996</t>
  </si>
  <si>
    <t>31/03/1996</t>
  </si>
  <si>
    <t>30/03/1996</t>
  </si>
  <si>
    <t>29/03/1996</t>
  </si>
  <si>
    <t>28/03/1996</t>
  </si>
  <si>
    <t>27/03/1996</t>
  </si>
  <si>
    <t>26/03/1996</t>
  </si>
  <si>
    <t>25/03/1996</t>
  </si>
  <si>
    <t>24/03/1996</t>
  </si>
  <si>
    <t>23/03/1996</t>
  </si>
  <si>
    <t>22/03/1996</t>
  </si>
  <si>
    <t>21/03/1996</t>
  </si>
  <si>
    <t>20/03/1996</t>
  </si>
  <si>
    <t>19/03/1996</t>
  </si>
  <si>
    <t>18/03/1996</t>
  </si>
  <si>
    <t>17/03/1996</t>
  </si>
  <si>
    <t>16/03/1996</t>
  </si>
  <si>
    <t>15/03/1996</t>
  </si>
  <si>
    <t>14/03/1996</t>
  </si>
  <si>
    <t>13/03/1996</t>
  </si>
  <si>
    <t>12/03/1996</t>
  </si>
  <si>
    <t>11/03/1996</t>
  </si>
  <si>
    <t>10/03/1996</t>
  </si>
  <si>
    <t>09/03/1996</t>
  </si>
  <si>
    <t>08/03/1996</t>
  </si>
  <si>
    <t>07/03/1996</t>
  </si>
  <si>
    <t>06/03/1996</t>
  </si>
  <si>
    <t>05/03/1996</t>
  </si>
  <si>
    <t>04/03/1996</t>
  </si>
  <si>
    <t>03/03/1996</t>
  </si>
  <si>
    <t>02/03/1996</t>
  </si>
  <si>
    <t>01/03/1996</t>
  </si>
  <si>
    <t>29/02/1996</t>
  </si>
  <si>
    <t>28/02/1996</t>
  </si>
  <si>
    <t>27/02/1996</t>
  </si>
  <si>
    <t>26/02/1996</t>
  </si>
  <si>
    <t>25/02/1996</t>
  </si>
  <si>
    <t>24/02/1996</t>
  </si>
  <si>
    <t>23/02/1996</t>
  </si>
  <si>
    <t>22/02/1996</t>
  </si>
  <si>
    <t>21/02/1996</t>
  </si>
  <si>
    <t>20/02/1996</t>
  </si>
  <si>
    <t>19/02/1996</t>
  </si>
  <si>
    <t>18/02/1996</t>
  </si>
  <si>
    <t>17/02/1996</t>
  </si>
  <si>
    <t>16/02/1996</t>
  </si>
  <si>
    <t>15/02/1996</t>
  </si>
  <si>
    <t>14/02/1996</t>
  </si>
  <si>
    <t>13/02/1996</t>
  </si>
  <si>
    <t>12/02/1996</t>
  </si>
  <si>
    <t>11/02/1996</t>
  </si>
  <si>
    <t>10/02/1996</t>
  </si>
  <si>
    <t>09/02/1996</t>
  </si>
  <si>
    <t>08/02/1996</t>
  </si>
  <si>
    <t>07/02/1996</t>
  </si>
  <si>
    <t>06/02/1996</t>
  </si>
  <si>
    <t>05/02/1996</t>
  </si>
  <si>
    <t>04/02/1996</t>
  </si>
  <si>
    <t>03/02/1996</t>
  </si>
  <si>
    <t>02/02/1996</t>
  </si>
  <si>
    <t>01/02/1996</t>
  </si>
  <si>
    <t>31/01/1996</t>
  </si>
  <si>
    <t>30/01/1996</t>
  </si>
  <si>
    <t>29/01/1996</t>
  </si>
  <si>
    <t>28/01/1996</t>
  </si>
  <si>
    <t>27/01/1996</t>
  </si>
  <si>
    <t>26/01/1996</t>
  </si>
  <si>
    <t>25/01/1996</t>
  </si>
  <si>
    <t>24/01/1996</t>
  </si>
  <si>
    <t>23/01/1996</t>
  </si>
  <si>
    <t>22/01/1996</t>
  </si>
  <si>
    <t>21/01/1996</t>
  </si>
  <si>
    <t>20/01/1996</t>
  </si>
  <si>
    <t>19/01/1996</t>
  </si>
  <si>
    <t>18/01/1996</t>
  </si>
  <si>
    <t>17/01/1996</t>
  </si>
  <si>
    <t>16/01/1996</t>
  </si>
  <si>
    <t>15/01/1996</t>
  </si>
  <si>
    <t>14/01/1996</t>
  </si>
  <si>
    <t>13/01/1996</t>
  </si>
  <si>
    <t>12/01/1996</t>
  </si>
  <si>
    <t>11/01/1996</t>
  </si>
  <si>
    <t>10/01/1996</t>
  </si>
  <si>
    <t>09/01/1996</t>
  </si>
  <si>
    <t>08/01/1996</t>
  </si>
  <si>
    <t>07/01/1996</t>
  </si>
  <si>
    <t>06/01/1996</t>
  </si>
  <si>
    <t>05/01/1996</t>
  </si>
  <si>
    <t>04/01/1996</t>
  </si>
  <si>
    <t>03/01/1996</t>
  </si>
  <si>
    <t>02/01/1996</t>
  </si>
  <si>
    <t>01/01/1996</t>
  </si>
  <si>
    <t>31/12/1995</t>
  </si>
  <si>
    <t>30/12/1995</t>
  </si>
  <si>
    <t>29/12/1995</t>
  </si>
  <si>
    <t>28/12/1995</t>
  </si>
  <si>
    <t>27/12/1995</t>
  </si>
  <si>
    <t>26/12/1995</t>
  </si>
  <si>
    <t>25/12/1995</t>
  </si>
  <si>
    <t>24/12/1995</t>
  </si>
  <si>
    <t>23/12/1995</t>
  </si>
  <si>
    <t>22/12/1995</t>
  </si>
  <si>
    <t>21/12/1995</t>
  </si>
  <si>
    <t>20/12/1995</t>
  </si>
  <si>
    <t>19/12/1995</t>
  </si>
  <si>
    <t>18/12/1995</t>
  </si>
  <si>
    <t>17/12/1995</t>
  </si>
  <si>
    <t>16/12/1995</t>
  </si>
  <si>
    <t>15/12/1995</t>
  </si>
  <si>
    <t>14/12/1995</t>
  </si>
  <si>
    <t>13/12/1995</t>
  </si>
  <si>
    <t>12/12/1995</t>
  </si>
  <si>
    <t>11/12/1995</t>
  </si>
  <si>
    <t>10/12/1995</t>
  </si>
  <si>
    <t>09/12/1995</t>
  </si>
  <si>
    <t>08/12/1995</t>
  </si>
  <si>
    <t>07/12/1995</t>
  </si>
  <si>
    <t>06/12/1995</t>
  </si>
  <si>
    <t>05/12/1995</t>
  </si>
  <si>
    <t>04/12/1995</t>
  </si>
  <si>
    <t>03/12/1995</t>
  </si>
  <si>
    <t>02/12/1995</t>
  </si>
  <si>
    <t>01/12/1995</t>
  </si>
  <si>
    <t>30/11/1995</t>
  </si>
  <si>
    <t>29/11/1995</t>
  </si>
  <si>
    <t>28/11/1995</t>
  </si>
  <si>
    <t>27/11/1995</t>
  </si>
  <si>
    <t>26/11/1995</t>
  </si>
  <si>
    <t>25/11/1995</t>
  </si>
  <si>
    <t>24/11/1995</t>
  </si>
  <si>
    <t>23/11/1995</t>
  </si>
  <si>
    <t>22/11/1995</t>
  </si>
  <si>
    <t>21/11/1995</t>
  </si>
  <si>
    <t>20/11/1995</t>
  </si>
  <si>
    <t>19/11/1995</t>
  </si>
  <si>
    <t>18/11/1995</t>
  </si>
  <si>
    <t>17/11/1995</t>
  </si>
  <si>
    <t>16/11/1995</t>
  </si>
  <si>
    <t>15/11/1995</t>
  </si>
  <si>
    <t>14/11/1995</t>
  </si>
  <si>
    <t>13/11/1995</t>
  </si>
  <si>
    <t>12/11/1995</t>
  </si>
  <si>
    <t>11/11/1995</t>
  </si>
  <si>
    <t>10/11/1995</t>
  </si>
  <si>
    <t>09/11/1995</t>
  </si>
  <si>
    <t>08/11/1995</t>
  </si>
  <si>
    <t>07/11/1995</t>
  </si>
  <si>
    <t>06/11/1995</t>
  </si>
  <si>
    <t>05/11/1995</t>
  </si>
  <si>
    <t>04/11/1995</t>
  </si>
  <si>
    <t>03/11/1995</t>
  </si>
  <si>
    <t>02/11/1995</t>
  </si>
  <si>
    <t>01/11/1995</t>
  </si>
  <si>
    <t>31/10/1995</t>
  </si>
  <si>
    <t>30/10/1995</t>
  </si>
  <si>
    <t>29/10/1995</t>
  </si>
  <si>
    <t>28/10/1995</t>
  </si>
  <si>
    <t>27/10/1995</t>
  </si>
  <si>
    <t>26/10/1995</t>
  </si>
  <si>
    <t>25/10/1995</t>
  </si>
  <si>
    <t>24/10/1995</t>
  </si>
  <si>
    <t>23/10/1995</t>
  </si>
  <si>
    <t>22/10/1995</t>
  </si>
  <si>
    <t>21/10/1995</t>
  </si>
  <si>
    <t>20/10/1995</t>
  </si>
  <si>
    <t>19/10/1995</t>
  </si>
  <si>
    <t>18/10/1995</t>
  </si>
  <si>
    <t>17/10/1995</t>
  </si>
  <si>
    <t>16/10/1995</t>
  </si>
  <si>
    <t>15/10/1995</t>
  </si>
  <si>
    <t>14/10/1995</t>
  </si>
  <si>
    <t>13/10/1995</t>
  </si>
  <si>
    <t>12/10/1995</t>
  </si>
  <si>
    <t>11/10/1995</t>
  </si>
  <si>
    <t>10/10/1995</t>
  </si>
  <si>
    <t>09/10/1995</t>
  </si>
  <si>
    <t>08/10/1995</t>
  </si>
  <si>
    <t>07/10/1995</t>
  </si>
  <si>
    <t>06/10/1995</t>
  </si>
  <si>
    <t>05/10/1995</t>
  </si>
  <si>
    <t>04/10/1995</t>
  </si>
  <si>
    <t>03/10/1995</t>
  </si>
  <si>
    <t>02/10/1995</t>
  </si>
  <si>
    <t>01/10/1995</t>
  </si>
  <si>
    <t>30/09/1995</t>
  </si>
  <si>
    <t>29/09/1995</t>
  </si>
  <si>
    <t>28/09/1995</t>
  </si>
  <si>
    <t>27/09/1995</t>
  </si>
  <si>
    <t>26/09/1995</t>
  </si>
  <si>
    <t>25/09/1995</t>
  </si>
  <si>
    <t>24/09/1995</t>
  </si>
  <si>
    <t>23/09/1995</t>
  </si>
  <si>
    <t>22/09/1995</t>
  </si>
  <si>
    <t>21/09/1995</t>
  </si>
  <si>
    <t>20/09/1995</t>
  </si>
  <si>
    <t>19/09/1995</t>
  </si>
  <si>
    <t>18/09/1995</t>
  </si>
  <si>
    <t>17/09/1995</t>
  </si>
  <si>
    <t>16/09/1995</t>
  </si>
  <si>
    <t>15/09/1995</t>
  </si>
  <si>
    <t>14/09/1995</t>
  </si>
  <si>
    <t>13/09/1995</t>
  </si>
  <si>
    <t>12/09/1995</t>
  </si>
  <si>
    <t>11/09/1995</t>
  </si>
  <si>
    <t>10/09/1995</t>
  </si>
  <si>
    <t>09/09/1995</t>
  </si>
  <si>
    <t>08/09/1995</t>
  </si>
  <si>
    <t>07/09/1995</t>
  </si>
  <si>
    <t>06/09/1995</t>
  </si>
  <si>
    <t>05/09/1995</t>
  </si>
  <si>
    <t>04/09/1995</t>
  </si>
  <si>
    <t>03/09/1995</t>
  </si>
  <si>
    <t>02/09/1995</t>
  </si>
  <si>
    <t>01/09/1995</t>
  </si>
  <si>
    <t>31/08/1995</t>
  </si>
  <si>
    <t>30/08/1995</t>
  </si>
  <si>
    <t>29/08/1995</t>
  </si>
  <si>
    <t>28/08/1995</t>
  </si>
  <si>
    <t>27/08/1995</t>
  </si>
  <si>
    <t>26/08/1995</t>
  </si>
  <si>
    <t>25/08/1995</t>
  </si>
  <si>
    <t>24/08/1995</t>
  </si>
  <si>
    <t>23/08/1995</t>
  </si>
  <si>
    <t>22/08/1995</t>
  </si>
  <si>
    <t>21/08/1995</t>
  </si>
  <si>
    <t>20/08/1995</t>
  </si>
  <si>
    <t>19/08/1995</t>
  </si>
  <si>
    <t>18/08/1995</t>
  </si>
  <si>
    <t>17/08/1995</t>
  </si>
  <si>
    <t>16/08/1995</t>
  </si>
  <si>
    <t>15/08/1995</t>
  </si>
  <si>
    <t>14/08/1995</t>
  </si>
  <si>
    <t>13/08/1995</t>
  </si>
  <si>
    <t>12/08/1995</t>
  </si>
  <si>
    <t>11/08/1995</t>
  </si>
  <si>
    <t>10/08/1995</t>
  </si>
  <si>
    <t>09/08/1995</t>
  </si>
  <si>
    <t>08/08/1995</t>
  </si>
  <si>
    <t>07/08/1995</t>
  </si>
  <si>
    <t>06/08/1995</t>
  </si>
  <si>
    <t>05/08/1995</t>
  </si>
  <si>
    <t>04/08/1995</t>
  </si>
  <si>
    <t>03/08/1995</t>
  </si>
  <si>
    <t>02/08/1995</t>
  </si>
  <si>
    <t>01/08/1995</t>
  </si>
  <si>
    <t>31/07/1995</t>
  </si>
  <si>
    <t>30/07/1995</t>
  </si>
  <si>
    <t>29/07/1995</t>
  </si>
  <si>
    <t>28/07/1995</t>
  </si>
  <si>
    <t>27/07/1995</t>
  </si>
  <si>
    <t>26/07/1995</t>
  </si>
  <si>
    <t>25/07/1995</t>
  </si>
  <si>
    <t>24/07/1995</t>
  </si>
  <si>
    <t>23/07/1995</t>
  </si>
  <si>
    <t>22/07/1995</t>
  </si>
  <si>
    <t>21/07/1995</t>
  </si>
  <si>
    <t>20/07/1995</t>
  </si>
  <si>
    <t>19/07/1995</t>
  </si>
  <si>
    <t>18/07/1995</t>
  </si>
  <si>
    <t>17/07/1995</t>
  </si>
  <si>
    <t>16/07/1995</t>
  </si>
  <si>
    <t>15/07/1995</t>
  </si>
  <si>
    <t>14/07/1995</t>
  </si>
  <si>
    <t>13/07/1995</t>
  </si>
  <si>
    <t>12/07/1995</t>
  </si>
  <si>
    <t>11/07/1995</t>
  </si>
  <si>
    <t>10/07/1995</t>
  </si>
  <si>
    <t>09/07/1995</t>
  </si>
  <si>
    <t>08/07/1995</t>
  </si>
  <si>
    <t>07/07/1995</t>
  </si>
  <si>
    <t>06/07/1995</t>
  </si>
  <si>
    <t>05/07/1995</t>
  </si>
  <si>
    <t>04/07/1995</t>
  </si>
  <si>
    <t>03/07/1995</t>
  </si>
  <si>
    <t>02/07/1995</t>
  </si>
  <si>
    <t>01/07/1995</t>
  </si>
  <si>
    <t>30/06/1995</t>
  </si>
  <si>
    <t>29/06/1995</t>
  </si>
  <si>
    <t>28/06/1995</t>
  </si>
  <si>
    <t>27/06/1995</t>
  </si>
  <si>
    <t>26/06/1995</t>
  </si>
  <si>
    <t>25/06/1995</t>
  </si>
  <si>
    <t>24/06/1995</t>
  </si>
  <si>
    <t>23/06/1995</t>
  </si>
  <si>
    <t>22/06/1995</t>
  </si>
  <si>
    <t>21/06/1995</t>
  </si>
  <si>
    <t>20/06/1995</t>
  </si>
  <si>
    <t>19/06/1995</t>
  </si>
  <si>
    <t>18/06/1995</t>
  </si>
  <si>
    <t>17/06/1995</t>
  </si>
  <si>
    <t>16/06/1995</t>
  </si>
  <si>
    <t>15/06/1995</t>
  </si>
  <si>
    <t>14/06/1995</t>
  </si>
  <si>
    <t>13/06/1995</t>
  </si>
  <si>
    <t>12/06/1995</t>
  </si>
  <si>
    <t>11/06/1995</t>
  </si>
  <si>
    <t>10/06/1995</t>
  </si>
  <si>
    <t>09/06/1995</t>
  </si>
  <si>
    <t>08/06/1995</t>
  </si>
  <si>
    <t>07/06/1995</t>
  </si>
  <si>
    <t>06/06/1995</t>
  </si>
  <si>
    <t>05/06/1995</t>
  </si>
  <si>
    <t>04/06/1995</t>
  </si>
  <si>
    <t>03/06/1995</t>
  </si>
  <si>
    <t>02/06/1995</t>
  </si>
  <si>
    <t>01/06/1995</t>
  </si>
  <si>
    <t>31/05/1995</t>
  </si>
  <si>
    <t>30/05/1995</t>
  </si>
  <si>
    <t>29/05/1995</t>
  </si>
  <si>
    <t>28/05/1995</t>
  </si>
  <si>
    <t>27/05/1995</t>
  </si>
  <si>
    <t>26/05/1995</t>
  </si>
  <si>
    <t>25/05/1995</t>
  </si>
  <si>
    <t>24/05/1995</t>
  </si>
  <si>
    <t>23/05/1995</t>
  </si>
  <si>
    <t>22/05/1995</t>
  </si>
  <si>
    <t>21/05/1995</t>
  </si>
  <si>
    <t>20/05/1995</t>
  </si>
  <si>
    <t>19/05/1995</t>
  </si>
  <si>
    <t>18/05/1995</t>
  </si>
  <si>
    <t>17/05/1995</t>
  </si>
  <si>
    <t>16/05/1995</t>
  </si>
  <si>
    <t>15/05/1995</t>
  </si>
  <si>
    <t>14/05/1995</t>
  </si>
  <si>
    <t>13/05/1995</t>
  </si>
  <si>
    <t>12/05/1995</t>
  </si>
  <si>
    <t>11/05/1995</t>
  </si>
  <si>
    <t>10/05/1995</t>
  </si>
  <si>
    <t>09/05/1995</t>
  </si>
  <si>
    <t>08/05/1995</t>
  </si>
  <si>
    <t>07/05/1995</t>
  </si>
  <si>
    <t>06/05/1995</t>
  </si>
  <si>
    <t>05/05/1995</t>
  </si>
  <si>
    <t>04/05/1995</t>
  </si>
  <si>
    <t>03/05/1995</t>
  </si>
  <si>
    <t>02/05/1995</t>
  </si>
  <si>
    <t>01/05/1995</t>
  </si>
  <si>
    <t>30/04/1995</t>
  </si>
  <si>
    <t>29/04/1995</t>
  </si>
  <si>
    <t>28/04/1995</t>
  </si>
  <si>
    <t>27/04/1995</t>
  </si>
  <si>
    <t>26/04/1995</t>
  </si>
  <si>
    <t>25/04/1995</t>
  </si>
  <si>
    <t>24/04/1995</t>
  </si>
  <si>
    <t>23/04/1995</t>
  </si>
  <si>
    <t>22/04/1995</t>
  </si>
  <si>
    <t>21/04/1995</t>
  </si>
  <si>
    <t>20/04/1995</t>
  </si>
  <si>
    <t>19/04/1995</t>
  </si>
  <si>
    <t>18/04/1995</t>
  </si>
  <si>
    <t>17/04/1995</t>
  </si>
  <si>
    <t>16/04/1995</t>
  </si>
  <si>
    <t>15/04/1995</t>
  </si>
  <si>
    <t>14/04/1995</t>
  </si>
  <si>
    <t>13/04/1995</t>
  </si>
  <si>
    <t>12/04/1995</t>
  </si>
  <si>
    <t>11/04/1995</t>
  </si>
  <si>
    <t>10/04/1995</t>
  </si>
  <si>
    <t>09/04/1995</t>
  </si>
  <si>
    <t>08/04/1995</t>
  </si>
  <si>
    <t>07/04/1995</t>
  </si>
  <si>
    <t>06/04/1995</t>
  </si>
  <si>
    <t>05/04/1995</t>
  </si>
  <si>
    <t>04/04/1995</t>
  </si>
  <si>
    <t>03/04/1995</t>
  </si>
  <si>
    <t>02/04/1995</t>
  </si>
  <si>
    <t>01/04/1995</t>
  </si>
  <si>
    <t>31/03/1995</t>
  </si>
  <si>
    <t>30/03/1995</t>
  </si>
  <si>
    <t>29/03/1995</t>
  </si>
  <si>
    <t>28/03/1995</t>
  </si>
  <si>
    <t>27/03/1995</t>
  </si>
  <si>
    <t>26/03/1995</t>
  </si>
  <si>
    <t>25/03/1995</t>
  </si>
  <si>
    <t>24/03/1995</t>
  </si>
  <si>
    <t>23/03/1995</t>
  </si>
  <si>
    <t>22/03/1995</t>
  </si>
  <si>
    <t>21/03/1995</t>
  </si>
  <si>
    <t>20/03/1995</t>
  </si>
  <si>
    <t>19/03/1995</t>
  </si>
  <si>
    <t>18/03/1995</t>
  </si>
  <si>
    <t>17/03/1995</t>
  </si>
  <si>
    <t>16/03/1995</t>
  </si>
  <si>
    <t>15/03/1995</t>
  </si>
  <si>
    <t>14/03/1995</t>
  </si>
  <si>
    <t>13/03/1995</t>
  </si>
  <si>
    <t>12/03/1995</t>
  </si>
  <si>
    <t>11/03/1995</t>
  </si>
  <si>
    <t>10/03/1995</t>
  </si>
  <si>
    <t>09/03/1995</t>
  </si>
  <si>
    <t>08/03/1995</t>
  </si>
  <si>
    <t>07/03/1995</t>
  </si>
  <si>
    <t>06/03/1995</t>
  </si>
  <si>
    <t>05/03/1995</t>
  </si>
  <si>
    <t>04/03/1995</t>
  </si>
  <si>
    <t>03/03/1995</t>
  </si>
  <si>
    <t>02/03/1995</t>
  </si>
  <si>
    <t>01/03/1995</t>
  </si>
  <si>
    <t>28/02/1995</t>
  </si>
  <si>
    <t>27/02/1995</t>
  </si>
  <si>
    <t>26/02/1995</t>
  </si>
  <si>
    <t>25/02/1995</t>
  </si>
  <si>
    <t>24/02/1995</t>
  </si>
  <si>
    <t>23/02/1995</t>
  </si>
  <si>
    <t>22/02/1995</t>
  </si>
  <si>
    <t>21/02/1995</t>
  </si>
  <si>
    <t>20/02/1995</t>
  </si>
  <si>
    <t>19/02/1995</t>
  </si>
  <si>
    <t>18/02/1995</t>
  </si>
  <si>
    <t>17/02/1995</t>
  </si>
  <si>
    <t>16/02/1995</t>
  </si>
  <si>
    <t>15/02/1995</t>
  </si>
  <si>
    <t>14/02/1995</t>
  </si>
  <si>
    <t>13/02/1995</t>
  </si>
  <si>
    <t>12/02/1995</t>
  </si>
  <si>
    <t>11/02/1995</t>
  </si>
  <si>
    <t>10/02/1995</t>
  </si>
  <si>
    <t>09/02/1995</t>
  </si>
  <si>
    <t>08/02/1995</t>
  </si>
  <si>
    <t>07/02/1995</t>
  </si>
  <si>
    <t>06/02/1995</t>
  </si>
  <si>
    <t>05/02/1995</t>
  </si>
  <si>
    <t>04/02/1995</t>
  </si>
  <si>
    <t>03/02/1995</t>
  </si>
  <si>
    <t>02/02/1995</t>
  </si>
  <si>
    <t>01/02/1995</t>
  </si>
  <si>
    <t>31/01/1995</t>
  </si>
  <si>
    <t>30/01/1995</t>
  </si>
  <si>
    <t>29/01/1995</t>
  </si>
  <si>
    <t>28/01/1995</t>
  </si>
  <si>
    <t>27/01/1995</t>
  </si>
  <si>
    <t>26/01/1995</t>
  </si>
  <si>
    <t>25/01/1995</t>
  </si>
  <si>
    <t>24/01/1995</t>
  </si>
  <si>
    <t>23/01/1995</t>
  </si>
  <si>
    <t>22/01/1995</t>
  </si>
  <si>
    <t>21/01/1995</t>
  </si>
  <si>
    <t>20/01/1995</t>
  </si>
  <si>
    <t>19/01/1995</t>
  </si>
  <si>
    <t>18/01/1995</t>
  </si>
  <si>
    <t>17/01/1995</t>
  </si>
  <si>
    <t>16/01/1995</t>
  </si>
  <si>
    <t>15/01/1995</t>
  </si>
  <si>
    <t>14/01/1995</t>
  </si>
  <si>
    <t>13/01/1995</t>
  </si>
  <si>
    <t>12/01/1995</t>
  </si>
  <si>
    <t>11/01/1995</t>
  </si>
  <si>
    <t>10/01/1995</t>
  </si>
  <si>
    <t>09/01/1995</t>
  </si>
  <si>
    <t>08/01/1995</t>
  </si>
  <si>
    <t>07/01/1995</t>
  </si>
  <si>
    <t>06/01/1995</t>
  </si>
  <si>
    <t>05/01/1995</t>
  </si>
  <si>
    <t>04/01/1995</t>
  </si>
  <si>
    <t>03/01/1995</t>
  </si>
  <si>
    <t>02/01/1995</t>
  </si>
  <si>
    <t>01/01/1995</t>
  </si>
  <si>
    <t>31/12/1994</t>
  </si>
  <si>
    <t>30/12/1994</t>
  </si>
  <si>
    <t>29/12/1994</t>
  </si>
  <si>
    <t>28/12/1994</t>
  </si>
  <si>
    <t>27/12/1994</t>
  </si>
  <si>
    <t>26/12/1994</t>
  </si>
  <si>
    <t>25/12/1994</t>
  </si>
  <si>
    <t>24/12/1994</t>
  </si>
  <si>
    <t>23/12/1994</t>
  </si>
  <si>
    <t>22/12/1994</t>
  </si>
  <si>
    <t>21/12/1994</t>
  </si>
  <si>
    <t>20/12/1994</t>
  </si>
  <si>
    <t>19/12/1994</t>
  </si>
  <si>
    <t>18/12/1994</t>
  </si>
  <si>
    <t>17/12/1994</t>
  </si>
  <si>
    <t>16/12/1994</t>
  </si>
  <si>
    <t>15/12/1994</t>
  </si>
  <si>
    <t>14/12/1994</t>
  </si>
  <si>
    <t>13/12/1994</t>
  </si>
  <si>
    <t>12/12/1994</t>
  </si>
  <si>
    <t>11/12/1994</t>
  </si>
  <si>
    <t>10/12/1994</t>
  </si>
  <si>
    <t>09/12/1994</t>
  </si>
  <si>
    <t>08/12/1994</t>
  </si>
  <si>
    <t>07/12/1994</t>
  </si>
  <si>
    <t>06/12/1994</t>
  </si>
  <si>
    <t>05/12/1994</t>
  </si>
  <si>
    <t>04/12/1994</t>
  </si>
  <si>
    <t>03/12/1994</t>
  </si>
  <si>
    <t>02/12/1994</t>
  </si>
  <si>
    <t>01/12/1994</t>
  </si>
  <si>
    <t>30/11/1994</t>
  </si>
  <si>
    <t>29/11/1994</t>
  </si>
  <si>
    <t>28/11/1994</t>
  </si>
  <si>
    <t>27/11/1994</t>
  </si>
  <si>
    <t>26/11/1994</t>
  </si>
  <si>
    <t>25/11/1994</t>
  </si>
  <si>
    <t>24/11/1994</t>
  </si>
  <si>
    <t>23/11/1994</t>
  </si>
  <si>
    <t>22/11/1994</t>
  </si>
  <si>
    <t>21/11/1994</t>
  </si>
  <si>
    <t>20/11/1994</t>
  </si>
  <si>
    <t>19/11/1994</t>
  </si>
  <si>
    <t>18/11/1994</t>
  </si>
  <si>
    <t>17/11/1994</t>
  </si>
  <si>
    <t>16/11/1994</t>
  </si>
  <si>
    <t>15/11/1994</t>
  </si>
  <si>
    <t>14/11/1994</t>
  </si>
  <si>
    <t>13/11/1994</t>
  </si>
  <si>
    <t>12/11/1994</t>
  </si>
  <si>
    <t>11/11/1994</t>
  </si>
  <si>
    <t>10/11/1994</t>
  </si>
  <si>
    <t>09/11/1994</t>
  </si>
  <si>
    <t>08/11/1994</t>
  </si>
  <si>
    <t>07/11/1994</t>
  </si>
  <si>
    <t>06/11/1994</t>
  </si>
  <si>
    <t>05/11/1994</t>
  </si>
  <si>
    <t>04/11/1994</t>
  </si>
  <si>
    <t>03/11/1994</t>
  </si>
  <si>
    <t>02/11/1994</t>
  </si>
  <si>
    <t>01/11/1994</t>
  </si>
  <si>
    <t>31/10/1994</t>
  </si>
  <si>
    <t>30/10/1994</t>
  </si>
  <si>
    <t>29/10/1994</t>
  </si>
  <si>
    <t>28/10/1994</t>
  </si>
  <si>
    <t>27/10/1994</t>
  </si>
  <si>
    <t>26/10/1994</t>
  </si>
  <si>
    <t>25/10/1994</t>
  </si>
  <si>
    <t>24/10/1994</t>
  </si>
  <si>
    <t>23/10/1994</t>
  </si>
  <si>
    <t>22/10/1994</t>
  </si>
  <si>
    <t>21/10/1994</t>
  </si>
  <si>
    <t>20/10/1994</t>
  </si>
  <si>
    <t>19/10/1994</t>
  </si>
  <si>
    <t>18/10/1994</t>
  </si>
  <si>
    <t>17/10/1994</t>
  </si>
  <si>
    <t>16/10/1994</t>
  </si>
  <si>
    <t>15/10/1994</t>
  </si>
  <si>
    <t>14/10/1994</t>
  </si>
  <si>
    <t>13/10/1994</t>
  </si>
  <si>
    <t>12/10/1994</t>
  </si>
  <si>
    <t>11/10/1994</t>
  </si>
  <si>
    <t>10/10/1994</t>
  </si>
  <si>
    <t>09/10/1994</t>
  </si>
  <si>
    <t>08/10/1994</t>
  </si>
  <si>
    <t>07/10/1994</t>
  </si>
  <si>
    <t>06/10/1994</t>
  </si>
  <si>
    <t>05/10/1994</t>
  </si>
  <si>
    <t>04/10/1994</t>
  </si>
  <si>
    <t>03/10/1994</t>
  </si>
  <si>
    <t>02/10/1994</t>
  </si>
  <si>
    <t>01/10/1994</t>
  </si>
  <si>
    <t>30/09/1994</t>
  </si>
  <si>
    <t>29/09/1994</t>
  </si>
  <si>
    <t>28/09/1994</t>
  </si>
  <si>
    <t>27/09/1994</t>
  </si>
  <si>
    <t>26/09/1994</t>
  </si>
  <si>
    <t>25/09/1994</t>
  </si>
  <si>
    <t>24/09/1994</t>
  </si>
  <si>
    <t>23/09/1994</t>
  </si>
  <si>
    <t>22/09/1994</t>
  </si>
  <si>
    <t>21/09/1994</t>
  </si>
  <si>
    <t>20/09/1994</t>
  </si>
  <si>
    <t>19/09/1994</t>
  </si>
  <si>
    <t>18/09/1994</t>
  </si>
  <si>
    <t>17/09/1994</t>
  </si>
  <si>
    <t>16/09/1994</t>
  </si>
  <si>
    <t>15/09/1994</t>
  </si>
  <si>
    <t>14/09/1994</t>
  </si>
  <si>
    <t>13/09/1994</t>
  </si>
  <si>
    <t>12/09/1994</t>
  </si>
  <si>
    <t>11/09/1994</t>
  </si>
  <si>
    <t>10/09/1994</t>
  </si>
  <si>
    <t>09/09/1994</t>
  </si>
  <si>
    <t>08/09/1994</t>
  </si>
  <si>
    <t>07/09/1994</t>
  </si>
  <si>
    <t>06/09/1994</t>
  </si>
  <si>
    <t>05/09/1994</t>
  </si>
  <si>
    <t>04/09/1994</t>
  </si>
  <si>
    <t>03/09/1994</t>
  </si>
  <si>
    <t>02/09/1994</t>
  </si>
  <si>
    <t>01/09/1994</t>
  </si>
  <si>
    <t>31/08/1994</t>
  </si>
  <si>
    <t>30/08/1994</t>
  </si>
  <si>
    <t>29/08/1994</t>
  </si>
  <si>
    <t>28/08/1994</t>
  </si>
  <si>
    <t>27/08/1994</t>
  </si>
  <si>
    <t>26/08/1994</t>
  </si>
  <si>
    <t>25/08/1994</t>
  </si>
  <si>
    <t>24/08/1994</t>
  </si>
  <si>
    <t>23/08/1994</t>
  </si>
  <si>
    <t>22/08/1994</t>
  </si>
  <si>
    <t>21/08/1994</t>
  </si>
  <si>
    <t>20/08/1994</t>
  </si>
  <si>
    <t>19/08/1994</t>
  </si>
  <si>
    <t>18/08/1994</t>
  </si>
  <si>
    <t>17/08/1994</t>
  </si>
  <si>
    <t>16/08/1994</t>
  </si>
  <si>
    <t>15/08/1994</t>
  </si>
  <si>
    <t>14/08/1994</t>
  </si>
  <si>
    <t>13/08/1994</t>
  </si>
  <si>
    <t>12/08/1994</t>
  </si>
  <si>
    <t>11/08/1994</t>
  </si>
  <si>
    <t>10/08/1994</t>
  </si>
  <si>
    <t>09/08/1994</t>
  </si>
  <si>
    <t>08/08/1994</t>
  </si>
  <si>
    <t>07/08/1994</t>
  </si>
  <si>
    <t>06/08/1994</t>
  </si>
  <si>
    <t>05/08/1994</t>
  </si>
  <si>
    <t>04/08/1994</t>
  </si>
  <si>
    <t>03/08/1994</t>
  </si>
  <si>
    <t>02/08/1994</t>
  </si>
  <si>
    <t>01/08/1994</t>
  </si>
  <si>
    <t>31/07/1994</t>
  </si>
  <si>
    <t>30/07/1994</t>
  </si>
  <si>
    <t>29/07/1994</t>
  </si>
  <si>
    <t>28/07/1994</t>
  </si>
  <si>
    <t>27/07/1994</t>
  </si>
  <si>
    <t>26/07/1994</t>
  </si>
  <si>
    <t>25/07/1994</t>
  </si>
  <si>
    <t>24/07/1994</t>
  </si>
  <si>
    <t>23/07/1994</t>
  </si>
  <si>
    <t>22/07/1994</t>
  </si>
  <si>
    <t>21/07/1994</t>
  </si>
  <si>
    <t>20/07/1994</t>
  </si>
  <si>
    <t>19/07/1994</t>
  </si>
  <si>
    <t>18/07/1994</t>
  </si>
  <si>
    <t>17/07/1994</t>
  </si>
  <si>
    <t>16/07/1994</t>
  </si>
  <si>
    <t>15/07/1994</t>
  </si>
  <si>
    <t>14/07/1994</t>
  </si>
  <si>
    <t>13/07/1994</t>
  </si>
  <si>
    <t>12/07/1994</t>
  </si>
  <si>
    <t>11/07/1994</t>
  </si>
  <si>
    <t>10/07/1994</t>
  </si>
  <si>
    <t>09/07/1994</t>
  </si>
  <si>
    <t>08/07/1994</t>
  </si>
  <si>
    <t>07/07/1994</t>
  </si>
  <si>
    <t>06/07/1994</t>
  </si>
  <si>
    <t>05/07/1994</t>
  </si>
  <si>
    <t>04/07/1994</t>
  </si>
  <si>
    <t>03/07/1994</t>
  </si>
  <si>
    <t>02/07/1994</t>
  </si>
  <si>
    <t>01/07/1994</t>
  </si>
  <si>
    <t>30/06/1994</t>
  </si>
  <si>
    <t>29/06/1994</t>
  </si>
  <si>
    <t>28/06/1994</t>
  </si>
  <si>
    <t>27/06/1994</t>
  </si>
  <si>
    <t>26/06/1994</t>
  </si>
  <si>
    <t>25/06/1994</t>
  </si>
  <si>
    <t>24/06/1994</t>
  </si>
  <si>
    <t>23/06/1994</t>
  </si>
  <si>
    <t>22/06/1994</t>
  </si>
  <si>
    <t>21/06/1994</t>
  </si>
  <si>
    <t>20/06/1994</t>
  </si>
  <si>
    <t>19/06/1994</t>
  </si>
  <si>
    <t>18/06/1994</t>
  </si>
  <si>
    <t>17/06/1994</t>
  </si>
  <si>
    <t>16/06/1994</t>
  </si>
  <si>
    <t>15/06/1994</t>
  </si>
  <si>
    <t>14/06/1994</t>
  </si>
  <si>
    <t>13/06/1994</t>
  </si>
  <si>
    <t>12/06/1994</t>
  </si>
  <si>
    <t>11/06/1994</t>
  </si>
  <si>
    <t>10/06/1994</t>
  </si>
  <si>
    <t>09/06/1994</t>
  </si>
  <si>
    <t>08/06/1994</t>
  </si>
  <si>
    <t>07/06/1994</t>
  </si>
  <si>
    <t>06/06/1994</t>
  </si>
  <si>
    <t>05/06/1994</t>
  </si>
  <si>
    <t>04/06/1994</t>
  </si>
  <si>
    <t>03/06/1994</t>
  </si>
  <si>
    <t>02/06/1994</t>
  </si>
  <si>
    <t>01/06/1994</t>
  </si>
  <si>
    <t>31/05/1994</t>
  </si>
  <si>
    <t>30/05/1994</t>
  </si>
  <si>
    <t>29/05/1994</t>
  </si>
  <si>
    <t>28/05/1994</t>
  </si>
  <si>
    <t>27/05/1994</t>
  </si>
  <si>
    <t>26/05/1994</t>
  </si>
  <si>
    <t>25/05/1994</t>
  </si>
  <si>
    <t>24/05/1994</t>
  </si>
  <si>
    <t>23/05/1994</t>
  </si>
  <si>
    <t>22/05/1994</t>
  </si>
  <si>
    <t>21/05/1994</t>
  </si>
  <si>
    <t>20/05/1994</t>
  </si>
  <si>
    <t>19/05/1994</t>
  </si>
  <si>
    <t>18/05/1994</t>
  </si>
  <si>
    <t>17/05/1994</t>
  </si>
  <si>
    <t>16/05/1994</t>
  </si>
  <si>
    <t>15/05/1994</t>
  </si>
  <si>
    <t>14/05/1994</t>
  </si>
  <si>
    <t>13/05/1994</t>
  </si>
  <si>
    <t>12/05/1994</t>
  </si>
  <si>
    <t>11/05/1994</t>
  </si>
  <si>
    <t>10/05/1994</t>
  </si>
  <si>
    <t>09/05/1994</t>
  </si>
  <si>
    <t>08/05/1994</t>
  </si>
  <si>
    <t>07/05/1994</t>
  </si>
  <si>
    <t>06/05/1994</t>
  </si>
  <si>
    <t>05/05/1994</t>
  </si>
  <si>
    <t>04/05/1994</t>
  </si>
  <si>
    <t>03/05/1994</t>
  </si>
  <si>
    <t>02/05/1994</t>
  </si>
  <si>
    <t>01/05/1994</t>
  </si>
  <si>
    <t>30/04/1994</t>
  </si>
  <si>
    <t>29/04/1994</t>
  </si>
  <si>
    <t>28/04/1994</t>
  </si>
  <si>
    <t>27/04/1994</t>
  </si>
  <si>
    <t>26/04/1994</t>
  </si>
  <si>
    <t>25/04/1994</t>
  </si>
  <si>
    <t>24/04/1994</t>
  </si>
  <si>
    <t>23/04/1994</t>
  </si>
  <si>
    <t>22/04/1994</t>
  </si>
  <si>
    <t>21/04/1994</t>
  </si>
  <si>
    <t>20/04/1994</t>
  </si>
  <si>
    <t>19/04/1994</t>
  </si>
  <si>
    <t>18/04/1994</t>
  </si>
  <si>
    <t>17/04/1994</t>
  </si>
  <si>
    <t>16/04/1994</t>
  </si>
  <si>
    <t>15/04/1994</t>
  </si>
  <si>
    <t>14/04/1994</t>
  </si>
  <si>
    <t>13/04/1994</t>
  </si>
  <si>
    <t>12/04/1994</t>
  </si>
  <si>
    <t>11/04/1994</t>
  </si>
  <si>
    <t>10/04/1994</t>
  </si>
  <si>
    <t>09/04/1994</t>
  </si>
  <si>
    <t>08/04/1994</t>
  </si>
  <si>
    <t>07/04/1994</t>
  </si>
  <si>
    <t>06/04/1994</t>
  </si>
  <si>
    <t>05/04/1994</t>
  </si>
  <si>
    <t>04/04/1994</t>
  </si>
  <si>
    <t>03/04/1994</t>
  </si>
  <si>
    <t>02/04/1994</t>
  </si>
  <si>
    <t>01/04/1994</t>
  </si>
  <si>
    <t>31/03/1994</t>
  </si>
  <si>
    <t>30/03/1994</t>
  </si>
  <si>
    <t>29/03/1994</t>
  </si>
  <si>
    <t>28/03/1994</t>
  </si>
  <si>
    <t>27/03/1994</t>
  </si>
  <si>
    <t>26/03/1994</t>
  </si>
  <si>
    <t>25/03/1994</t>
  </si>
  <si>
    <t>24/03/1994</t>
  </si>
  <si>
    <t>23/03/1994</t>
  </si>
  <si>
    <t>22/03/1994</t>
  </si>
  <si>
    <t>21/03/1994</t>
  </si>
  <si>
    <t>20/03/1994</t>
  </si>
  <si>
    <t>19/03/1994</t>
  </si>
  <si>
    <t>18/03/1994</t>
  </si>
  <si>
    <t>17/03/1994</t>
  </si>
  <si>
    <t>16/03/1994</t>
  </si>
  <si>
    <t>15/03/1994</t>
  </si>
  <si>
    <t>14/03/1994</t>
  </si>
  <si>
    <t>13/03/1994</t>
  </si>
  <si>
    <t>12/03/1994</t>
  </si>
  <si>
    <t>11/03/1994</t>
  </si>
  <si>
    <t>10/03/1994</t>
  </si>
  <si>
    <t>09/03/1994</t>
  </si>
  <si>
    <t>08/03/1994</t>
  </si>
  <si>
    <t>07/03/1994</t>
  </si>
  <si>
    <t>06/03/1994</t>
  </si>
  <si>
    <t>05/03/1994</t>
  </si>
  <si>
    <t>04/03/1994</t>
  </si>
  <si>
    <t>03/03/1994</t>
  </si>
  <si>
    <t>02/03/1994</t>
  </si>
  <si>
    <t>01/03/1994</t>
  </si>
  <si>
    <t>28/02/1994</t>
  </si>
  <si>
    <t>27/02/1994</t>
  </si>
  <si>
    <t>26/02/1994</t>
  </si>
  <si>
    <t>25/02/1994</t>
  </si>
  <si>
    <t>24/02/1994</t>
  </si>
  <si>
    <t>23/02/1994</t>
  </si>
  <si>
    <t>22/02/1994</t>
  </si>
  <si>
    <t>21/02/1994</t>
  </si>
  <si>
    <t>20/02/1994</t>
  </si>
  <si>
    <t>19/02/1994</t>
  </si>
  <si>
    <t>18/02/1994</t>
  </si>
  <si>
    <t>17/02/1994</t>
  </si>
  <si>
    <t>16/02/1994</t>
  </si>
  <si>
    <t>15/02/1994</t>
  </si>
  <si>
    <t>14/02/1994</t>
  </si>
  <si>
    <t>13/02/1994</t>
  </si>
  <si>
    <t>12/02/1994</t>
  </si>
  <si>
    <t>11/02/1994</t>
  </si>
  <si>
    <t>10/02/1994</t>
  </si>
  <si>
    <t>09/02/1994</t>
  </si>
  <si>
    <t>08/02/1994</t>
  </si>
  <si>
    <t>07/02/1994</t>
  </si>
  <si>
    <t>06/02/1994</t>
  </si>
  <si>
    <t>05/02/1994</t>
  </si>
  <si>
    <t>04/02/1994</t>
  </si>
  <si>
    <t>03/02/1994</t>
  </si>
  <si>
    <t>02/02/1994</t>
  </si>
  <si>
    <t>01/02/1994</t>
  </si>
  <si>
    <t>31/01/1994</t>
  </si>
  <si>
    <t>30/01/1994</t>
  </si>
  <si>
    <t>29/01/1994</t>
  </si>
  <si>
    <t>28/01/1994</t>
  </si>
  <si>
    <t>27/01/1994</t>
  </si>
  <si>
    <t>26/01/1994</t>
  </si>
  <si>
    <t>25/01/1994</t>
  </si>
  <si>
    <t>24/01/1994</t>
  </si>
  <si>
    <t>23/01/1994</t>
  </si>
  <si>
    <t>22/01/1994</t>
  </si>
  <si>
    <t>21/01/1994</t>
  </si>
  <si>
    <t>20/01/1994</t>
  </si>
  <si>
    <t>19/01/1994</t>
  </si>
  <si>
    <t>18/01/1994</t>
  </si>
  <si>
    <t>17/01/1994</t>
  </si>
  <si>
    <t>16/01/1994</t>
  </si>
  <si>
    <t>15/01/1994</t>
  </si>
  <si>
    <t>14/01/1994</t>
  </si>
  <si>
    <t>13/01/1994</t>
  </si>
  <si>
    <t>12/01/1994</t>
  </si>
  <si>
    <t>11/01/1994</t>
  </si>
  <si>
    <t>10/01/1994</t>
  </si>
  <si>
    <t>09/01/1994</t>
  </si>
  <si>
    <t>08/01/1994</t>
  </si>
  <si>
    <t>07/01/1994</t>
  </si>
  <si>
    <t>06/01/1994</t>
  </si>
  <si>
    <t>05/01/1994</t>
  </si>
  <si>
    <t>04/01/1994</t>
  </si>
  <si>
    <t>03/01/1994</t>
  </si>
  <si>
    <t>02/01/1994</t>
  </si>
  <si>
    <t>01/01/1994</t>
  </si>
  <si>
    <t>31/12/1993</t>
  </si>
  <si>
    <t>30/12/1993</t>
  </si>
  <si>
    <t>29/12/1993</t>
  </si>
  <si>
    <t>28/12/1993</t>
  </si>
  <si>
    <t>27/12/1993</t>
  </si>
  <si>
    <t>26/12/1993</t>
  </si>
  <si>
    <t>25/12/1993</t>
  </si>
  <si>
    <t>24/12/1993</t>
  </si>
  <si>
    <t>23/12/1993</t>
  </si>
  <si>
    <t>22/12/1993</t>
  </si>
  <si>
    <t>21/12/1993</t>
  </si>
  <si>
    <t>20/12/1993</t>
  </si>
  <si>
    <t>19/12/1993</t>
  </si>
  <si>
    <t>18/12/1993</t>
  </si>
  <si>
    <t>17/12/1993</t>
  </si>
  <si>
    <t>16/12/1993</t>
  </si>
  <si>
    <t>15/12/1993</t>
  </si>
  <si>
    <t>14/12/1993</t>
  </si>
  <si>
    <t>13/12/1993</t>
  </si>
  <si>
    <t>12/12/1993</t>
  </si>
  <si>
    <t>11/12/1993</t>
  </si>
  <si>
    <t>10/12/1993</t>
  </si>
  <si>
    <t>09/12/1993</t>
  </si>
  <si>
    <t>08/12/1993</t>
  </si>
  <si>
    <t>07/12/1993</t>
  </si>
  <si>
    <t>06/12/1993</t>
  </si>
  <si>
    <t>05/12/1993</t>
  </si>
  <si>
    <t>04/12/1993</t>
  </si>
  <si>
    <t>03/12/1993</t>
  </si>
  <si>
    <t>02/12/1993</t>
  </si>
  <si>
    <t>01/12/1993</t>
  </si>
  <si>
    <t>30/11/1993</t>
  </si>
  <si>
    <t>29/11/1993</t>
  </si>
  <si>
    <t>28/11/1993</t>
  </si>
  <si>
    <t>27/11/1993</t>
  </si>
  <si>
    <t>26/11/1993</t>
  </si>
  <si>
    <t>25/11/1993</t>
  </si>
  <si>
    <t>24/11/1993</t>
  </si>
  <si>
    <t>23/11/1993</t>
  </si>
  <si>
    <t>22/11/1993</t>
  </si>
  <si>
    <t>21/11/1993</t>
  </si>
  <si>
    <t>20/11/1993</t>
  </si>
  <si>
    <t>19/11/1993</t>
  </si>
  <si>
    <t>18/11/1993</t>
  </si>
  <si>
    <t>17/11/1993</t>
  </si>
  <si>
    <t>16/11/1993</t>
  </si>
  <si>
    <t>15/11/1993</t>
  </si>
  <si>
    <t>14/11/1993</t>
  </si>
  <si>
    <t>13/11/1993</t>
  </si>
  <si>
    <t>12/11/1993</t>
  </si>
  <si>
    <t>11/11/1993</t>
  </si>
  <si>
    <t>10/11/1993</t>
  </si>
  <si>
    <t>09/11/1993</t>
  </si>
  <si>
    <t>08/11/1993</t>
  </si>
  <si>
    <t>07/11/1993</t>
  </si>
  <si>
    <t>06/11/1993</t>
  </si>
  <si>
    <t>05/11/1993</t>
  </si>
  <si>
    <t>04/11/1993</t>
  </si>
  <si>
    <t>03/11/1993</t>
  </si>
  <si>
    <t>02/11/1993</t>
  </si>
  <si>
    <t>01/11/1993</t>
  </si>
  <si>
    <t>31/10/1993</t>
  </si>
  <si>
    <t>30/10/1993</t>
  </si>
  <si>
    <t>29/10/1993</t>
  </si>
  <si>
    <t>28/10/1993</t>
  </si>
  <si>
    <t>27/10/1993</t>
  </si>
  <si>
    <t>26/10/1993</t>
  </si>
  <si>
    <t>25/10/1993</t>
  </si>
  <si>
    <t>24/10/1993</t>
  </si>
  <si>
    <t>23/10/1993</t>
  </si>
  <si>
    <t>22/10/1993</t>
  </si>
  <si>
    <t>21/10/1993</t>
  </si>
  <si>
    <t>20/10/1993</t>
  </si>
  <si>
    <t>19/10/1993</t>
  </si>
  <si>
    <t>18/10/1993</t>
  </si>
  <si>
    <t>17/10/1993</t>
  </si>
  <si>
    <t>16/10/1993</t>
  </si>
  <si>
    <t>15/10/1993</t>
  </si>
  <si>
    <t>14/10/1993</t>
  </si>
  <si>
    <t>13/10/1993</t>
  </si>
  <si>
    <t>12/10/1993</t>
  </si>
  <si>
    <t>11/10/1993</t>
  </si>
  <si>
    <t>10/10/1993</t>
  </si>
  <si>
    <t>09/10/1993</t>
  </si>
  <si>
    <t>08/10/1993</t>
  </si>
  <si>
    <t>07/10/1993</t>
  </si>
  <si>
    <t>06/10/1993</t>
  </si>
  <si>
    <t>05/10/1993</t>
  </si>
  <si>
    <t>04/10/1993</t>
  </si>
  <si>
    <t>03/10/1993</t>
  </si>
  <si>
    <t>02/10/1993</t>
  </si>
  <si>
    <t>01/10/1993</t>
  </si>
  <si>
    <t>30/09/1993</t>
  </si>
  <si>
    <t>29/09/1993</t>
  </si>
  <si>
    <t>28/09/1993</t>
  </si>
  <si>
    <t>27/09/1993</t>
  </si>
  <si>
    <t>26/09/1993</t>
  </si>
  <si>
    <t>25/09/1993</t>
  </si>
  <si>
    <t>24/09/1993</t>
  </si>
  <si>
    <t>23/09/1993</t>
  </si>
  <si>
    <t>22/09/1993</t>
  </si>
  <si>
    <t>21/09/1993</t>
  </si>
  <si>
    <t>20/09/1993</t>
  </si>
  <si>
    <t>19/09/1993</t>
  </si>
  <si>
    <t>18/09/1993</t>
  </si>
  <si>
    <t>17/09/1993</t>
  </si>
  <si>
    <t>16/09/1993</t>
  </si>
  <si>
    <t>15/09/1993</t>
  </si>
  <si>
    <t>14/09/1993</t>
  </si>
  <si>
    <t>13/09/1993</t>
  </si>
  <si>
    <t>12/09/1993</t>
  </si>
  <si>
    <t>11/09/1993</t>
  </si>
  <si>
    <t>10/09/1993</t>
  </si>
  <si>
    <t>09/09/1993</t>
  </si>
  <si>
    <t>08/09/1993</t>
  </si>
  <si>
    <t>07/09/1993</t>
  </si>
  <si>
    <t>06/09/1993</t>
  </si>
  <si>
    <t>05/09/1993</t>
  </si>
  <si>
    <t>04/09/1993</t>
  </si>
  <si>
    <t>03/09/1993</t>
  </si>
  <si>
    <t>02/09/1993</t>
  </si>
  <si>
    <t>01/09/1993</t>
  </si>
  <si>
    <t>31/08/1993</t>
  </si>
  <si>
    <t>30/08/1993</t>
  </si>
  <si>
    <t>29/08/1993</t>
  </si>
  <si>
    <t>28/08/1993</t>
  </si>
  <si>
    <t>27/08/1993</t>
  </si>
  <si>
    <t>26/08/1993</t>
  </si>
  <si>
    <t>25/08/1993</t>
  </si>
  <si>
    <t>24/08/1993</t>
  </si>
  <si>
    <t>23/08/1993</t>
  </si>
  <si>
    <t>22/08/1993</t>
  </si>
  <si>
    <t>21/08/1993</t>
  </si>
  <si>
    <t>20/08/1993</t>
  </si>
  <si>
    <t>19/08/1993</t>
  </si>
  <si>
    <t>18/08/1993</t>
  </si>
  <si>
    <t>17/08/1993</t>
  </si>
  <si>
    <t>16/08/1993</t>
  </si>
  <si>
    <t>15/08/1993</t>
  </si>
  <si>
    <t>14/08/1993</t>
  </si>
  <si>
    <t>13/08/1993</t>
  </si>
  <si>
    <t>12/08/1993</t>
  </si>
  <si>
    <t>11/08/1993</t>
  </si>
  <si>
    <t>10/08/1993</t>
  </si>
  <si>
    <t>09/08/1993</t>
  </si>
  <si>
    <t>08/08/1993</t>
  </si>
  <si>
    <t>07/08/1993</t>
  </si>
  <si>
    <t>06/08/1993</t>
  </si>
  <si>
    <t>05/08/1993</t>
  </si>
  <si>
    <t>04/08/1993</t>
  </si>
  <si>
    <t>03/08/1993</t>
  </si>
  <si>
    <t>02/08/1993</t>
  </si>
  <si>
    <t>01/08/1993</t>
  </si>
  <si>
    <t>31/07/1993</t>
  </si>
  <si>
    <t>30/07/1993</t>
  </si>
  <si>
    <t>29/07/1993</t>
  </si>
  <si>
    <t>28/07/1993</t>
  </si>
  <si>
    <t>27/07/1993</t>
  </si>
  <si>
    <t>26/07/1993</t>
  </si>
  <si>
    <t>25/07/1993</t>
  </si>
  <si>
    <t>24/07/1993</t>
  </si>
  <si>
    <t>23/07/1993</t>
  </si>
  <si>
    <t>22/07/1993</t>
  </si>
  <si>
    <t>21/07/1993</t>
  </si>
  <si>
    <t>20/07/1993</t>
  </si>
  <si>
    <t>19/07/1993</t>
  </si>
  <si>
    <t>18/07/1993</t>
  </si>
  <si>
    <t>17/07/1993</t>
  </si>
  <si>
    <t>16/07/1993</t>
  </si>
  <si>
    <t>15/07/1993</t>
  </si>
  <si>
    <t>14/07/1993</t>
  </si>
  <si>
    <t>13/07/1993</t>
  </si>
  <si>
    <t>12/07/1993</t>
  </si>
  <si>
    <t>11/07/1993</t>
  </si>
  <si>
    <t>10/07/1993</t>
  </si>
  <si>
    <t>09/07/1993</t>
  </si>
  <si>
    <t>08/07/1993</t>
  </si>
  <si>
    <t>07/07/1993</t>
  </si>
  <si>
    <t>06/07/1993</t>
  </si>
  <si>
    <t>05/07/1993</t>
  </si>
  <si>
    <t>04/07/1993</t>
  </si>
  <si>
    <t>03/07/1993</t>
  </si>
  <si>
    <t>02/07/1993</t>
  </si>
  <si>
    <t>01/07/1993</t>
  </si>
  <si>
    <t>30/06/1993</t>
  </si>
  <si>
    <t>29/06/1993</t>
  </si>
  <si>
    <t>28/06/1993</t>
  </si>
  <si>
    <t>27/06/1993</t>
  </si>
  <si>
    <t>26/06/1993</t>
  </si>
  <si>
    <t>25/06/1993</t>
  </si>
  <si>
    <t>24/06/1993</t>
  </si>
  <si>
    <t>23/06/1993</t>
  </si>
  <si>
    <t>22/06/1993</t>
  </si>
  <si>
    <t>21/06/1993</t>
  </si>
  <si>
    <t>20/06/1993</t>
  </si>
  <si>
    <t>19/06/1993</t>
  </si>
  <si>
    <t>18/06/1993</t>
  </si>
  <si>
    <t>17/06/1993</t>
  </si>
  <si>
    <t>16/06/1993</t>
  </si>
  <si>
    <t>15/06/1993</t>
  </si>
  <si>
    <t>14/06/1993</t>
  </si>
  <si>
    <t>13/06/1993</t>
  </si>
  <si>
    <t>12/06/1993</t>
  </si>
  <si>
    <t>11/06/1993</t>
  </si>
  <si>
    <t>10/06/1993</t>
  </si>
  <si>
    <t>09/06/1993</t>
  </si>
  <si>
    <t>08/06/1993</t>
  </si>
  <si>
    <t>07/06/1993</t>
  </si>
  <si>
    <t>06/06/1993</t>
  </si>
  <si>
    <t>05/06/1993</t>
  </si>
  <si>
    <t>04/06/1993</t>
  </si>
  <si>
    <t>03/06/1993</t>
  </si>
  <si>
    <t>02/06/1993</t>
  </si>
  <si>
    <t>01/06/1993</t>
  </si>
  <si>
    <t>31/05/1993</t>
  </si>
  <si>
    <t>30/05/1993</t>
  </si>
  <si>
    <t>29/05/1993</t>
  </si>
  <si>
    <t>28/05/1993</t>
  </si>
  <si>
    <t>27/05/1993</t>
  </si>
  <si>
    <t>26/05/1993</t>
  </si>
  <si>
    <t xml:space="preserve">Índice de ações - Ibovespa - fechamento - volatilidade - - - Instituto de Pesquisa Econômica Aplicada - GM366_IBVSPV366 - </t>
  </si>
  <si>
    <t>Índice de Confiança Empresarial</t>
  </si>
  <si>
    <t>Índice de Confiança do Consumidor</t>
  </si>
  <si>
    <t>Índice de Incerteza da Economia</t>
  </si>
  <si>
    <t>A</t>
  </si>
  <si>
    <t xml:space="preserve"> Rating BR da Moody's</t>
  </si>
  <si>
    <t xml:space="preserve"> Rating BR da S&amp;P</t>
  </si>
  <si>
    <t xml:space="preserve"> Rating BR da Fitch</t>
  </si>
  <si>
    <t>Moodys Ranking</t>
  </si>
  <si>
    <t>Aaa</t>
  </si>
  <si>
    <t>Aa1</t>
  </si>
  <si>
    <t>Aa2</t>
  </si>
  <si>
    <t>Aa3</t>
  </si>
  <si>
    <t>A1</t>
  </si>
  <si>
    <t>A2</t>
  </si>
  <si>
    <t>A3</t>
  </si>
  <si>
    <t>Baa1</t>
  </si>
  <si>
    <t>Baa2</t>
  </si>
  <si>
    <t>Baa3</t>
  </si>
  <si>
    <t>Ba1</t>
  </si>
  <si>
    <t>Ba2</t>
  </si>
  <si>
    <t>Ba3</t>
  </si>
  <si>
    <t>B1</t>
  </si>
  <si>
    <t>B2</t>
  </si>
  <si>
    <t>B3</t>
  </si>
  <si>
    <t>Caa1</t>
  </si>
  <si>
    <t>Caa2</t>
  </si>
  <si>
    <t>Caa3</t>
  </si>
  <si>
    <t>Ca</t>
  </si>
  <si>
    <t>C</t>
  </si>
  <si>
    <t>S&amp;P Rating</t>
  </si>
  <si>
    <t>Number</t>
  </si>
  <si>
    <t>AAA</t>
  </si>
  <si>
    <t>AA+</t>
  </si>
  <si>
    <t>AA</t>
  </si>
  <si>
    <t>AA-</t>
  </si>
  <si>
    <t>A+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</si>
  <si>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</si>
  <si>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</si>
  <si>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</si>
  <si>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</si>
  <si>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</si>
  <si>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</si>
  <si>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</si>
  <si>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</si>
  <si>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</si>
  <si>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</si>
  <si>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CCC+</t>
  </si>
  <si>
    <t>CCC</t>
  </si>
  <si>
    <t>CCC-</t>
  </si>
  <si>
    <t>CC</t>
  </si>
  <si>
    <t>Fitch</t>
  </si>
  <si>
    <t>Número</t>
  </si>
  <si>
    <t>grau de investimento</t>
  </si>
  <si>
    <t>Eixo Y (auxiliar)</t>
  </si>
  <si>
    <t>Data (X)</t>
  </si>
  <si>
    <t>Rótulo</t>
  </si>
  <si>
    <t>Piso do eixo</t>
  </si>
  <si>
    <t>Teto do eixo</t>
  </si>
  <si>
    <t>Última Alteração</t>
  </si>
  <si>
    <t>Agência</t>
  </si>
  <si>
    <t>Moeda Estrangeira</t>
  </si>
  <si>
    <t>Moeda Local</t>
  </si>
  <si>
    <t>Ação</t>
  </si>
  <si>
    <t>Moody's</t>
  </si>
  <si>
    <t>Manutenção da nota e revisão da perspectiva para estável</t>
  </si>
  <si>
    <t>Elevação da nota e manutenção da perspectiva positiva</t>
  </si>
  <si>
    <t>Manutenção da nota e revisão da perspectiva para positiva</t>
  </si>
  <si>
    <t>Manutenção da nota e manutenção da perspectiva estável</t>
  </si>
  <si>
    <t>Manutenção da nota e revisão da perspectiva para negativa</t>
  </si>
  <si>
    <t>Rebaixamento da nota e revisão da perspectiva para negativa</t>
  </si>
  <si>
    <t>Rebaixamento da nota e revisão da perspectiva para estável</t>
  </si>
  <si>
    <t>Elevação da nota e manutenção da perspectiva estável</t>
  </si>
  <si>
    <t>Manutenção da nota e manutenção da perspectiva positiva</t>
  </si>
  <si>
    <t>Elevação da nota e revisão da perspectiva para positiva</t>
  </si>
  <si>
    <t>Rebaixamento da nota e manutenção da perspectiva estável</t>
  </si>
  <si>
    <t>Nova avaliação</t>
  </si>
  <si>
    <t>Manutenção da nota e manutenção da perspectiva negativa</t>
  </si>
  <si>
    <t>Rebaixamento da nota e manutenção da perspectiva negativa</t>
  </si>
  <si>
    <t>Elevação da nota e revisão da perspectiva para estável</t>
  </si>
  <si>
    <t>Elevação da nota</t>
  </si>
  <si>
    <t>Rebaixamento da nota</t>
  </si>
  <si>
    <t>manutenção da nota</t>
  </si>
  <si>
    <t>Standard &amp; Poor's</t>
  </si>
  <si>
    <t>Nova avaliação, com perspectiva positiva</t>
  </si>
  <si>
    <t>Data (fim do mês)</t>
  </si>
  <si>
    <t>Moody's ME</t>
  </si>
  <si>
    <t>Moody's ML</t>
  </si>
  <si>
    <t>Moody's Persp.</t>
  </si>
  <si>
    <t>Fitch ME</t>
  </si>
  <si>
    <t>Fitch ML</t>
  </si>
  <si>
    <t>Fitch Persp.</t>
  </si>
  <si>
    <t>S&amp;P ME</t>
  </si>
  <si>
    <t>S&amp;P ML</t>
  </si>
  <si>
    <t>S&amp;P Persp.</t>
  </si>
  <si>
    <t>Moody's ME nº</t>
  </si>
  <si>
    <t>Moody's ML nº</t>
  </si>
  <si>
    <t>Fitch ME nº</t>
  </si>
  <si>
    <t>Fitch ML nº</t>
  </si>
  <si>
    <t>S&amp;P ME nº</t>
  </si>
  <si>
    <t>S&amp;P ML nº</t>
  </si>
  <si>
    <t>Moody's – Data evento</t>
  </si>
  <si>
    <t>Moody's Perspectiva</t>
  </si>
  <si>
    <t>Positiva</t>
  </si>
  <si>
    <t>Estável</t>
  </si>
  <si>
    <t>Negativa</t>
  </si>
  <si>
    <t>Fitch – Data evento</t>
  </si>
  <si>
    <t>Fitch Perspectiva</t>
  </si>
  <si>
    <t>S&amp;P – Data evento</t>
  </si>
  <si>
    <t>S&amp;P Perspectiva</t>
  </si>
  <si>
    <t>Nível</t>
  </si>
  <si>
    <t>Rótulo Moody's</t>
  </si>
  <si>
    <t>Rótulo S&amp;P/Fitch</t>
  </si>
  <si>
    <t>X Moody's</t>
  </si>
  <si>
    <t>X Fitch</t>
  </si>
  <si>
    <t>X S&amp;P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</si>
</sst>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[$$-409]#,##0"/>
    <numFmt numFmtId="167" formatCode="mmm\-yy"/>
    <numFmt numFmtId="168" formatCode="\+0.0&quot; p.p.&quot;;\-0.0&quot; p.p.&quot;;0.0&quot; p.p.&quot;"/>
    <numFmt numFmtId="169" formatCode="&quot;R$&quot;\ #,##0"/>
    <numFmt numFmtId="170" formatCode="#,##0.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indexed="8"/>
      <name val="Arial"/>
      <family val="2"/>
    </font>
    <font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/>
  </cellStyleXfs>
  <cellXfs count="54">
    <xf numFmtId="0" fontId="0" fillId="0" borderId="0" xfId="0"/>
    <xf numFmtId="0" fontId="0" fillId="0" borderId="1" xfId="0" applyBorder="1"/>
    <xf numFmtId="17" fontId="0" fillId="0" borderId="2" xfId="0" applyNumberFormat="1" applyBorder="1"/>
    <xf numFmtId="17" fontId="0" fillId="0" borderId="3" xfId="0" applyNumberFormat="1" applyBorder="1"/>
    <xf numFmtId="17" fontId="0" fillId="0" borderId="3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7" fontId="0" fillId="0" borderId="4" xfId="0" applyNumberFormat="1" applyBorder="1"/>
    <xf numFmtId="0" fontId="2" fillId="2" borderId="0" xfId="0" applyFont="1" applyFill="1"/>
    <xf numFmtId="0" fontId="2" fillId="2" borderId="5" xfId="0" applyFont="1" applyFill="1" applyBorder="1"/>
    <xf numFmtId="9" fontId="0" fillId="0" borderId="0" xfId="1" applyFont="1"/>
    <xf numFmtId="164" fontId="0" fillId="0" borderId="0" xfId="1" applyNumberFormat="1" applyFont="1" applyAlignment="1">
      <alignment horizontal="center"/>
    </xf>
    <xf numFmtId="17" fontId="0" fillId="0" borderId="0" xfId="0" applyNumberFormat="1"/>
    <xf numFmtId="17" fontId="0" fillId="0" borderId="1" xfId="0" applyNumberFormat="1" applyBorder="1"/>
    <xf numFmtId="17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3" fillId="0" borderId="0" xfId="0" applyFont="1"/>
    <xf numFmtId="0" fontId="2" fillId="3" borderId="2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167" fontId="3" fillId="0" borderId="0" xfId="0" applyNumberFormat="1" applyFont="1"/>
    <xf numFmtId="10" fontId="0" fillId="0" borderId="0" xfId="1" applyNumberFormat="1" applyFont="1" applyAlignment="1">
      <alignment horizontal="center"/>
    </xf>
    <xf numFmtId="168" fontId="0" fillId="0" borderId="0" xfId="0" applyNumberFormat="1"/>
    <xf numFmtId="10" fontId="0" fillId="0" borderId="0" xfId="0" applyNumberFormat="1" applyAlignment="1">
      <alignment horizontal="center"/>
    </xf>
    <xf numFmtId="0" fontId="0" fillId="4" borderId="0" xfId="0" applyFill="1"/>
    <xf numFmtId="17" fontId="0" fillId="4" borderId="0" xfId="0" applyNumberFormat="1" applyFill="1"/>
    <xf numFmtId="169" fontId="0" fillId="0" borderId="0" xfId="0" applyNumberFormat="1" applyAlignment="1">
      <alignment horizontal="center"/>
    </xf>
    <xf numFmtId="169" fontId="0" fillId="0" borderId="0" xfId="0" applyNumberFormat="1"/>
    <xf numFmtId="10" fontId="0" fillId="0" borderId="0" xfId="1" applyNumberFormat="1" applyFont="1"/>
    <xf numFmtId="0" fontId="5" fillId="0" borderId="0" xfId="2"/>
    <xf numFmtId="170" fontId="5" fillId="0" borderId="0" xfId="2" applyNumberFormat="1"/>
    <xf numFmtId="17" fontId="5" fillId="0" borderId="0" xfId="2" applyNumberFormat="1"/>
    <xf numFmtId="167" fontId="5" fillId="0" borderId="0" xfId="2" applyNumberFormat="1"/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5" borderId="0" xfId="0" applyFill="1" applyAlignment="1">
      <alignment horizontal="right" vertical="center" wrapText="1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right"/>
    </xf>
    <xf numFmtId="0" fontId="6" fillId="0" borderId="0" xfId="0" applyFont="1"/>
    <xf numFmtId="0" fontId="3" fillId="6" borderId="0" xfId="0" applyFont="1" applyFill="1"/>
    <xf numFmtId="15" fontId="0" fillId="0" borderId="0" xfId="0" applyNumberFormat="1"/>
    <xf numFmtId="14" fontId="0" fillId="0" borderId="0" xfId="0" applyNumberFormat="1"/>
    <xf numFmtId="0" fontId="3" fillId="6" borderId="0" xfId="0" applyFont="1" applyFill="1" applyAlignment="1">
      <alignment wrapText="1"/>
    </xf>
    <xf numFmtId="0" fontId="7" fillId="0" borderId="0" xfId="0" applyFont="1"/>
    <xf numFmtId="167" fontId="7" fillId="0" borderId="0" xfId="0" applyNumberFormat="1" applyFont="1"/>
  </cellXfs>
  <cellStyles count="3">
    <cellStyle name="Normal" xfId="0" builtinId="0"/>
    <cellStyle name="Normal 2" xfId="2" xr:uid="{DA293D0C-449E-49AD-9972-E7053C1F18C1}"/>
    <cellStyle name="Porcentagem" xfId="1" builtinId="5"/>
  </cellStyles>
  <dxfs count="32">
    <dxf>
      <numFmt numFmtId="22" formatCode="mmm/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$-409]#,##0"/>
      <alignment horizontal="center" vertical="bottom" textRotation="0" wrapText="0" indent="0" justifyLastLine="0" shrinkToFit="0" readingOrder="0"/>
    </dxf>
    <dxf>
      <numFmt numFmtId="166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22" formatCode="mmm/yy"/>
    </dxf>
    <dxf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/yy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right style="thin">
          <color rgb="FF156082"/>
        </right>
        <top style="thin">
          <color rgb="FF15608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'Outros Indicadores'!$B$1</c:f>
              <c:strCache>
                <c:ptCount val="1"/>
                <c:pt idx="0">
                  <c:v>Selic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'Outros Indicadores'!$A$2:$A$385</c:f>
              <c:strCache>
                <c:ptCount val="381"/>
                <c:pt idx="0">
                  <c:v>jan/95</c:v>
                </c:pt>
                <c:pt idx="1">
                  <c:v>fev/95</c:v>
                </c:pt>
                <c:pt idx="2">
                  <c:v>mar/95</c:v>
                </c:pt>
                <c:pt idx="3">
                  <c:v>abr/95</c:v>
                </c:pt>
                <c:pt idx="4">
                  <c:v>mai/95</c:v>
                </c:pt>
                <c:pt idx="5">
                  <c:v>jun/95</c:v>
                </c:pt>
                <c:pt idx="6">
                  <c:v>jul/95</c:v>
                </c:pt>
                <c:pt idx="7">
                  <c:v>ago/95</c:v>
                </c:pt>
                <c:pt idx="8">
                  <c:v>set/95</c:v>
                </c:pt>
                <c:pt idx="9">
                  <c:v>out/95</c:v>
                </c:pt>
                <c:pt idx="10">
                  <c:v>nov/95</c:v>
                </c:pt>
                <c:pt idx="11">
                  <c:v>dez/95</c:v>
                </c:pt>
                <c:pt idx="12">
                  <c:v>jan/96</c:v>
                </c:pt>
                <c:pt idx="13">
                  <c:v>fev/96</c:v>
                </c:pt>
                <c:pt idx="14">
                  <c:v>mar/96</c:v>
                </c:pt>
                <c:pt idx="15">
                  <c:v>abr/96</c:v>
                </c:pt>
                <c:pt idx="16">
                  <c:v>mai/96</c:v>
                </c:pt>
                <c:pt idx="17">
                  <c:v>jun/96</c:v>
                </c:pt>
                <c:pt idx="18">
                  <c:v>jul/96</c:v>
                </c:pt>
                <c:pt idx="19">
                  <c:v>ago/96</c:v>
                </c:pt>
                <c:pt idx="20">
                  <c:v>set/96</c:v>
                </c:pt>
                <c:pt idx="21">
                  <c:v>out/96</c:v>
                </c:pt>
                <c:pt idx="22">
                  <c:v>nov/96</c:v>
                </c:pt>
                <c:pt idx="23">
                  <c:v>dez/96</c:v>
                </c:pt>
                <c:pt idx="24">
                  <c:v>jan/97</c:v>
                </c:pt>
                <c:pt idx="25">
                  <c:v>fev/97</c:v>
                </c:pt>
                <c:pt idx="26">
                  <c:v>mar/97</c:v>
                </c:pt>
                <c:pt idx="27">
                  <c:v>abr/97</c:v>
                </c:pt>
                <c:pt idx="28">
                  <c:v>mai/97</c:v>
                </c:pt>
                <c:pt idx="29">
                  <c:v>jun/97</c:v>
                </c:pt>
                <c:pt idx="30">
                  <c:v>jul/97</c:v>
                </c:pt>
                <c:pt idx="31">
                  <c:v>ago/97</c:v>
                </c:pt>
                <c:pt idx="32">
                  <c:v>set/97</c:v>
                </c:pt>
                <c:pt idx="33">
                  <c:v>out/97</c:v>
                </c:pt>
                <c:pt idx="34">
                  <c:v>nov/97</c:v>
                </c:pt>
                <c:pt idx="35">
                  <c:v>dez/97</c:v>
                </c:pt>
                <c:pt idx="36">
                  <c:v>jan/98</c:v>
                </c:pt>
                <c:pt idx="37">
                  <c:v>fev/98</c:v>
                </c:pt>
                <c:pt idx="38">
                  <c:v>mar/98</c:v>
                </c:pt>
                <c:pt idx="39">
                  <c:v>abr/98</c:v>
                </c:pt>
                <c:pt idx="40">
                  <c:v>mai/98</c:v>
                </c:pt>
                <c:pt idx="41">
                  <c:v>jun/98</c:v>
                </c:pt>
                <c:pt idx="42">
                  <c:v>jul/98</c:v>
                </c:pt>
                <c:pt idx="43">
                  <c:v>ago/98</c:v>
                </c:pt>
                <c:pt idx="44">
                  <c:v>set/98</c:v>
                </c:pt>
                <c:pt idx="45">
                  <c:v>out/98</c:v>
                </c:pt>
                <c:pt idx="46">
                  <c:v>nov/98</c:v>
                </c:pt>
                <c:pt idx="47">
                  <c:v>dez/98</c:v>
                </c:pt>
                <c:pt idx="48">
                  <c:v>jan/99</c:v>
                </c:pt>
                <c:pt idx="49">
                  <c:v>fev/99</c:v>
                </c:pt>
                <c:pt idx="50">
                  <c:v>mar/99</c:v>
                </c:pt>
                <c:pt idx="51">
                  <c:v>abr/99</c:v>
                </c:pt>
                <c:pt idx="52">
                  <c:v>mai/99</c:v>
                </c:pt>
                <c:pt idx="53">
                  <c:v>jun/99</c:v>
                </c:pt>
                <c:pt idx="54">
                  <c:v>jul/99</c:v>
                </c:pt>
                <c:pt idx="55">
                  <c:v>ago/99</c:v>
                </c:pt>
                <c:pt idx="56">
                  <c:v>set/99</c:v>
                </c:pt>
                <c:pt idx="57">
                  <c:v>out/99</c:v>
                </c:pt>
                <c:pt idx="58">
                  <c:v>nov/99</c:v>
                </c:pt>
                <c:pt idx="59">
                  <c:v>dez/99</c:v>
                </c:pt>
                <c:pt idx="60">
                  <c:v>jan/00</c:v>
                </c:pt>
                <c:pt idx="61">
                  <c:v>fev/00</c:v>
                </c:pt>
                <c:pt idx="62">
                  <c:v>mar/00</c:v>
                </c:pt>
                <c:pt idx="63">
                  <c:v>abr/00</c:v>
                </c:pt>
                <c:pt idx="64">
                  <c:v>mai/00</c:v>
                </c:pt>
                <c:pt idx="65">
                  <c:v>jun/00</c:v>
                </c:pt>
                <c:pt idx="66">
                  <c:v>jul/00</c:v>
                </c:pt>
                <c:pt idx="67">
                  <c:v>ago/00</c:v>
                </c:pt>
                <c:pt idx="68">
                  <c:v>set/00</c:v>
                </c:pt>
                <c:pt idx="69">
                  <c:v>out/00</c:v>
                </c:pt>
                <c:pt idx="70">
                  <c:v>nov/00</c:v>
                </c:pt>
                <c:pt idx="71">
                  <c:v>dez/00</c:v>
                </c:pt>
                <c:pt idx="72">
                  <c:v>jan/01</c:v>
                </c:pt>
                <c:pt idx="73">
                  <c:v>fev/01</c:v>
                </c:pt>
                <c:pt idx="74">
                  <c:v>mar/01</c:v>
                </c:pt>
                <c:pt idx="75">
                  <c:v>abr/01</c:v>
                </c:pt>
                <c:pt idx="76">
                  <c:v>mai/01</c:v>
                </c:pt>
                <c:pt idx="77">
                  <c:v>jun/01</c:v>
                </c:pt>
                <c:pt idx="78">
                  <c:v>jul/01</c:v>
                </c:pt>
                <c:pt idx="79">
                  <c:v>ago/01</c:v>
                </c:pt>
                <c:pt idx="80">
                  <c:v>set/01</c:v>
                </c:pt>
                <c:pt idx="81">
                  <c:v>out/01</c:v>
                </c:pt>
                <c:pt idx="82">
                  <c:v>nov/01</c:v>
                </c:pt>
                <c:pt idx="83">
                  <c:v>dez/01</c:v>
                </c:pt>
                <c:pt idx="84">
                  <c:v>jan/02</c:v>
                </c:pt>
                <c:pt idx="85">
                  <c:v>fev/02</c:v>
                </c:pt>
                <c:pt idx="86">
                  <c:v>mar/02</c:v>
                </c:pt>
                <c:pt idx="87">
                  <c:v>abr/02</c:v>
                </c:pt>
                <c:pt idx="88">
                  <c:v>mai/02</c:v>
                </c:pt>
                <c:pt idx="89">
                  <c:v>jun/02</c:v>
                </c:pt>
                <c:pt idx="90">
                  <c:v>jul/02</c:v>
                </c:pt>
                <c:pt idx="91">
                  <c:v>ago/02</c:v>
                </c:pt>
                <c:pt idx="92">
                  <c:v>set/02</c:v>
                </c:pt>
                <c:pt idx="93">
                  <c:v>out/02</c:v>
                </c:pt>
                <c:pt idx="94">
                  <c:v>nov/02</c:v>
                </c:pt>
                <c:pt idx="95">
                  <c:v>dez/02</c:v>
                </c:pt>
                <c:pt idx="96">
                  <c:v>jan/03</c:v>
                </c:pt>
                <c:pt idx="97">
                  <c:v>fev/03</c:v>
                </c:pt>
                <c:pt idx="98">
                  <c:v>mar/03</c:v>
                </c:pt>
                <c:pt idx="99">
                  <c:v>abr/03</c:v>
                </c:pt>
                <c:pt idx="100">
                  <c:v>mai/03</c:v>
                </c:pt>
                <c:pt idx="101">
                  <c:v>jun/03</c:v>
                </c:pt>
                <c:pt idx="102">
                  <c:v>jul/03</c:v>
                </c:pt>
                <c:pt idx="103">
                  <c:v>ago/03</c:v>
                </c:pt>
                <c:pt idx="104">
                  <c:v>set/03</c:v>
                </c:pt>
                <c:pt idx="105">
                  <c:v>out/03</c:v>
                </c:pt>
                <c:pt idx="106">
                  <c:v>nov/03</c:v>
                </c:pt>
                <c:pt idx="107">
                  <c:v>dez/03</c:v>
                </c:pt>
                <c:pt idx="108">
                  <c:v>jan/04</c:v>
                </c:pt>
                <c:pt idx="109">
                  <c:v>fev/04</c:v>
                </c:pt>
                <c:pt idx="110">
                  <c:v>mar/04</c:v>
                </c:pt>
                <c:pt idx="111">
                  <c:v>abr/04</c:v>
                </c:pt>
                <c:pt idx="112">
                  <c:v>mai/04</c:v>
                </c:pt>
                <c:pt idx="113">
                  <c:v>jun/04</c:v>
                </c:pt>
                <c:pt idx="114">
                  <c:v>jul/04</c:v>
                </c:pt>
                <c:pt idx="115">
                  <c:v>ago/04</c:v>
                </c:pt>
                <c:pt idx="116">
                  <c:v>set/04</c:v>
                </c:pt>
                <c:pt idx="117">
                  <c:v>out/04</c:v>
                </c:pt>
                <c:pt idx="118">
                  <c:v>nov/04</c:v>
                </c:pt>
                <c:pt idx="119">
                  <c:v>dez/04</c:v>
                </c:pt>
                <c:pt idx="120">
                  <c:v>jan/05</c:v>
                </c:pt>
                <c:pt idx="121">
                  <c:v>fev/05</c:v>
                </c:pt>
                <c:pt idx="122">
                  <c:v>mar/05</c:v>
                </c:pt>
                <c:pt idx="123">
                  <c:v>abr/05</c:v>
                </c:pt>
                <c:pt idx="124">
                  <c:v>mai/05</c:v>
                </c:pt>
                <c:pt idx="125">
                  <c:v>jun/05</c:v>
                </c:pt>
                <c:pt idx="126">
                  <c:v>jul/05</c:v>
                </c:pt>
                <c:pt idx="127">
                  <c:v>ago/05</c:v>
                </c:pt>
                <c:pt idx="128">
                  <c:v>set/05</c:v>
                </c:pt>
                <c:pt idx="129">
                  <c:v>out/05</c:v>
                </c:pt>
                <c:pt idx="130">
                  <c:v>nov/05</c:v>
                </c:pt>
                <c:pt idx="131">
                  <c:v>dez/05</c:v>
                </c:pt>
                <c:pt idx="132">
                  <c:v>jan/06</c:v>
                </c:pt>
                <c:pt idx="133">
                  <c:v>fev/06</c:v>
                </c:pt>
                <c:pt idx="134">
                  <c:v>mar/06</c:v>
                </c:pt>
                <c:pt idx="135">
                  <c:v>abr/06</c:v>
                </c:pt>
                <c:pt idx="136">
                  <c:v>mai/06</c:v>
                </c:pt>
                <c:pt idx="137">
                  <c:v>jun/06</c:v>
                </c:pt>
                <c:pt idx="138">
                  <c:v>jul/06</c:v>
                </c:pt>
                <c:pt idx="139">
                  <c:v>ago/06</c:v>
                </c:pt>
                <c:pt idx="140">
                  <c:v>set/06</c:v>
                </c:pt>
                <c:pt idx="141">
                  <c:v>out/06</c:v>
                </c:pt>
                <c:pt idx="142">
                  <c:v>nov/06</c:v>
                </c:pt>
                <c:pt idx="143">
                  <c:v>dez/06</c:v>
                </c:pt>
                <c:pt idx="144">
                  <c:v>jan/07</c:v>
                </c:pt>
                <c:pt idx="145">
                  <c:v>fev/07</c:v>
                </c:pt>
                <c:pt idx="146">
                  <c:v>mar/07</c:v>
                </c:pt>
                <c:pt idx="147">
                  <c:v>abr/07</c:v>
                </c:pt>
                <c:pt idx="148">
                  <c:v>mai/07</c:v>
                </c:pt>
                <c:pt idx="149">
                  <c:v>jun/07</c:v>
                </c:pt>
                <c:pt idx="150">
                  <c:v>jul/07</c:v>
                </c:pt>
                <c:pt idx="151">
                  <c:v>ago/07</c:v>
                </c:pt>
                <c:pt idx="152">
                  <c:v>set/07</c:v>
                </c:pt>
                <c:pt idx="153">
                  <c:v>out/07</c:v>
                </c:pt>
                <c:pt idx="154">
                  <c:v>nov/07</c:v>
                </c:pt>
                <c:pt idx="155">
                  <c:v>dez/07</c:v>
                </c:pt>
                <c:pt idx="156">
                  <c:v>jan/08</c:v>
                </c:pt>
                <c:pt idx="157">
                  <c:v>fev/08</c:v>
                </c:pt>
                <c:pt idx="158">
                  <c:v>mar/08</c:v>
                </c:pt>
                <c:pt idx="159">
                  <c:v>abr/08</c:v>
                </c:pt>
                <c:pt idx="160">
                  <c:v>mai/08</c:v>
                </c:pt>
                <c:pt idx="161">
                  <c:v>jun/08</c:v>
                </c:pt>
                <c:pt idx="162">
                  <c:v>jul/08</c:v>
                </c:pt>
                <c:pt idx="163">
                  <c:v>ago/08</c:v>
                </c:pt>
                <c:pt idx="164">
                  <c:v>set/08</c:v>
                </c:pt>
                <c:pt idx="165">
                  <c:v>out/08</c:v>
                </c:pt>
                <c:pt idx="166">
                  <c:v>nov/08</c:v>
                </c:pt>
                <c:pt idx="167">
                  <c:v>dez/08</c:v>
                </c:pt>
                <c:pt idx="168">
                  <c:v>jan/09</c:v>
                </c:pt>
                <c:pt idx="169">
                  <c:v>fev/09</c:v>
                </c:pt>
                <c:pt idx="170">
                  <c:v>mar/09</c:v>
                </c:pt>
                <c:pt idx="171">
                  <c:v>abr/09</c:v>
                </c:pt>
                <c:pt idx="172">
                  <c:v>mai/09</c:v>
                </c:pt>
                <c:pt idx="173">
                  <c:v>jun/09</c:v>
                </c:pt>
                <c:pt idx="174">
                  <c:v>jul/09</c:v>
                </c:pt>
                <c:pt idx="175">
                  <c:v>ago/09</c:v>
                </c:pt>
                <c:pt idx="176">
                  <c:v>set/09</c:v>
                </c:pt>
                <c:pt idx="177">
                  <c:v>out/09</c:v>
                </c:pt>
                <c:pt idx="178">
                  <c:v>nov/09</c:v>
                </c:pt>
                <c:pt idx="179">
                  <c:v>dez/09</c:v>
                </c:pt>
                <c:pt idx="180">
                  <c:v>jan/10</c:v>
                </c:pt>
                <c:pt idx="181">
                  <c:v>fev/10</c:v>
                </c:pt>
                <c:pt idx="182">
                  <c:v>mar/10</c:v>
                </c:pt>
                <c:pt idx="183">
                  <c:v>abr/10</c:v>
                </c:pt>
                <c:pt idx="184">
                  <c:v>mai/10</c:v>
                </c:pt>
                <c:pt idx="185">
                  <c:v>jun/10</c:v>
                </c:pt>
                <c:pt idx="186">
                  <c:v>jul/10</c:v>
                </c:pt>
                <c:pt idx="187">
                  <c:v>ago/10</c:v>
                </c:pt>
                <c:pt idx="188">
                  <c:v>set/10</c:v>
                </c:pt>
                <c:pt idx="189">
                  <c:v>out/10</c:v>
                </c:pt>
                <c:pt idx="190">
                  <c:v>nov/10</c:v>
                </c:pt>
                <c:pt idx="191">
                  <c:v>dez/10</c:v>
                </c:pt>
                <c:pt idx="192">
                  <c:v>jan/11</c:v>
                </c:pt>
                <c:pt idx="193">
                  <c:v>fev/11</c:v>
                </c:pt>
                <c:pt idx="194">
                  <c:v>mar/11</c:v>
                </c:pt>
                <c:pt idx="195">
                  <c:v>abr/11</c:v>
                </c:pt>
                <c:pt idx="196">
                  <c:v>mai/11</c:v>
                </c:pt>
                <c:pt idx="197">
                  <c:v>jun/11</c:v>
                </c:pt>
                <c:pt idx="198">
                  <c:v>jul/11</c:v>
                </c:pt>
                <c:pt idx="199">
                  <c:v>ago/11</c:v>
                </c:pt>
                <c:pt idx="200">
                  <c:v>set/11</c:v>
                </c:pt>
                <c:pt idx="201">
                  <c:v>out/11</c:v>
                </c:pt>
                <c:pt idx="202">
                  <c:v>nov/11</c:v>
                </c:pt>
                <c:pt idx="203">
                  <c:v>dez/11</c:v>
                </c:pt>
                <c:pt idx="204">
                  <c:v>jan/12</c:v>
                </c:pt>
                <c:pt idx="205">
                  <c:v>fev/12</c:v>
                </c:pt>
                <c:pt idx="206">
                  <c:v>mar/12</c:v>
                </c:pt>
                <c:pt idx="207">
                  <c:v>abr/12</c:v>
                </c:pt>
                <c:pt idx="208">
                  <c:v>mai/12</c:v>
                </c:pt>
                <c:pt idx="209">
                  <c:v>jun/12</c:v>
                </c:pt>
                <c:pt idx="210">
                  <c:v>jul/12</c:v>
                </c:pt>
                <c:pt idx="211">
                  <c:v>ago/12</c:v>
                </c:pt>
                <c:pt idx="212">
                  <c:v>set/12</c:v>
                </c:pt>
                <c:pt idx="213">
                  <c:v>out/12</c:v>
                </c:pt>
                <c:pt idx="214">
                  <c:v>nov/12</c:v>
                </c:pt>
                <c:pt idx="215">
                  <c:v>dez/12</c:v>
                </c:pt>
                <c:pt idx="216">
                  <c:v>jan/13</c:v>
                </c:pt>
                <c:pt idx="217">
                  <c:v>fev/13</c:v>
                </c:pt>
                <c:pt idx="218">
                  <c:v>mar/13</c:v>
                </c:pt>
                <c:pt idx="219">
                  <c:v>abr/13</c:v>
                </c:pt>
                <c:pt idx="220">
                  <c:v>mai/13</c:v>
                </c:pt>
                <c:pt idx="221">
                  <c:v>jun/13</c:v>
                </c:pt>
                <c:pt idx="222">
                  <c:v>jul/13</c:v>
                </c:pt>
                <c:pt idx="223">
                  <c:v>ago/13</c:v>
                </c:pt>
                <c:pt idx="224">
                  <c:v>set/13</c:v>
                </c:pt>
                <c:pt idx="225">
                  <c:v>out/13</c:v>
                </c:pt>
                <c:pt idx="226">
                  <c:v>nov/13</c:v>
                </c:pt>
                <c:pt idx="227">
                  <c:v>dez/13</c:v>
                </c:pt>
                <c:pt idx="228">
                  <c:v>jan/14</c:v>
                </c:pt>
                <c:pt idx="229">
                  <c:v>fev/14</c:v>
                </c:pt>
                <c:pt idx="230">
                  <c:v>mar/14</c:v>
                </c:pt>
                <c:pt idx="231">
                  <c:v>abr/14</c:v>
                </c:pt>
                <c:pt idx="232">
                  <c:v>mai/14</c:v>
                </c:pt>
                <c:pt idx="233">
                  <c:v>jun/14</c:v>
                </c:pt>
                <c:pt idx="234">
                  <c:v>jul/14</c:v>
                </c:pt>
                <c:pt idx="235">
                  <c:v>ago/14</c:v>
                </c:pt>
                <c:pt idx="236">
                  <c:v>set/14</c:v>
                </c:pt>
                <c:pt idx="237">
                  <c:v>out/14</c:v>
                </c:pt>
                <c:pt idx="238">
                  <c:v>nov/14</c:v>
                </c:pt>
                <c:pt idx="239">
                  <c:v>dez/14</c:v>
                </c:pt>
                <c:pt idx="240">
                  <c:v>jan/15</c:v>
                </c:pt>
                <c:pt idx="241">
                  <c:v>fev/15</c:v>
                </c:pt>
                <c:pt idx="242">
                  <c:v>mar/15</c:v>
                </c:pt>
                <c:pt idx="243">
                  <c:v>abr/15</c:v>
                </c:pt>
                <c:pt idx="244">
                  <c:v>mai/15</c:v>
                </c:pt>
                <c:pt idx="245">
                  <c:v>jun/15</c:v>
                </c:pt>
                <c:pt idx="246">
                  <c:v>jul/15</c:v>
                </c:pt>
                <c:pt idx="247">
                  <c:v>ago/15</c:v>
                </c:pt>
                <c:pt idx="248">
                  <c:v>set/15</c:v>
                </c:pt>
                <c:pt idx="249">
                  <c:v>out/15</c:v>
                </c:pt>
                <c:pt idx="250">
                  <c:v>nov/15</c:v>
                </c:pt>
                <c:pt idx="251">
                  <c:v>dez/15</c:v>
                </c:pt>
                <c:pt idx="252">
                  <c:v>jan/16</c:v>
                </c:pt>
                <c:pt idx="253">
                  <c:v>fev/16</c:v>
                </c:pt>
                <c:pt idx="254">
                  <c:v>mar/16</c:v>
                </c:pt>
                <c:pt idx="255">
                  <c:v>abr/16</c:v>
                </c:pt>
                <c:pt idx="256">
                  <c:v>mai/16</c:v>
                </c:pt>
                <c:pt idx="257">
                  <c:v>jun/16</c:v>
                </c:pt>
                <c:pt idx="258">
                  <c:v>jul/16</c:v>
                </c:pt>
                <c:pt idx="259">
                  <c:v>ago/16</c:v>
                </c:pt>
                <c:pt idx="260">
                  <c:v>set/16</c:v>
                </c:pt>
                <c:pt idx="261">
                  <c:v>out/16</c:v>
                </c:pt>
                <c:pt idx="262">
                  <c:v>nov/16</c:v>
                </c:pt>
                <c:pt idx="263">
                  <c:v>dez/16</c:v>
                </c:pt>
                <c:pt idx="264">
                  <c:v>jan/17</c:v>
                </c:pt>
                <c:pt idx="265">
                  <c:v>fev/17</c:v>
                </c:pt>
                <c:pt idx="266">
                  <c:v>mar/17</c:v>
                </c:pt>
                <c:pt idx="267">
                  <c:v>abr/17</c:v>
                </c:pt>
                <c:pt idx="268">
                  <c:v>mai/17</c:v>
                </c:pt>
                <c:pt idx="269">
                  <c:v>jun/17</c:v>
                </c:pt>
                <c:pt idx="270">
                  <c:v>jul/17</c:v>
                </c:pt>
                <c:pt idx="271">
                  <c:v>ago/17</c:v>
                </c:pt>
                <c:pt idx="272">
                  <c:v>set/17</c:v>
                </c:pt>
                <c:pt idx="273">
                  <c:v>out/17</c:v>
                </c:pt>
                <c:pt idx="274">
                  <c:v>nov/17</c:v>
                </c:pt>
                <c:pt idx="275">
                  <c:v>dez/17</c:v>
                </c:pt>
                <c:pt idx="276">
                  <c:v>jan/18</c:v>
                </c:pt>
                <c:pt idx="277">
                  <c:v>fev/18</c:v>
                </c:pt>
                <c:pt idx="278">
                  <c:v>mar/18</c:v>
                </c:pt>
                <c:pt idx="279">
                  <c:v>abr/18</c:v>
                </c:pt>
                <c:pt idx="280">
                  <c:v>mai/18</c:v>
                </c:pt>
                <c:pt idx="281">
                  <c:v>jun/18</c:v>
                </c:pt>
                <c:pt idx="282">
                  <c:v>jul/18</c:v>
                </c:pt>
                <c:pt idx="283">
                  <c:v>ago/18</c:v>
                </c:pt>
                <c:pt idx="284">
                  <c:v>set/18</c:v>
                </c:pt>
                <c:pt idx="285">
                  <c:v>out/18</c:v>
                </c:pt>
                <c:pt idx="286">
                  <c:v>nov/18</c:v>
                </c:pt>
                <c:pt idx="287">
                  <c:v>dez/18</c:v>
                </c:pt>
                <c:pt idx="288">
                  <c:v>jan/19</c:v>
                </c:pt>
                <c:pt idx="289">
                  <c:v>fev/19</c:v>
                </c:pt>
                <c:pt idx="290">
                  <c:v>mar/19</c:v>
                </c:pt>
                <c:pt idx="291">
                  <c:v>abr/19</c:v>
                </c:pt>
                <c:pt idx="292">
                  <c:v>mai/19</c:v>
                </c:pt>
                <c:pt idx="293">
                  <c:v>jun/19</c:v>
                </c:pt>
                <c:pt idx="294">
                  <c:v>jul/19</c:v>
                </c:pt>
                <c:pt idx="295">
                  <c:v>ago/19</c:v>
                </c:pt>
                <c:pt idx="296">
                  <c:v>set/19</c:v>
                </c:pt>
                <c:pt idx="297">
                  <c:v>out/19</c:v>
                </c:pt>
                <c:pt idx="298">
                  <c:v>nov/19</c:v>
                </c:pt>
                <c:pt idx="299">
                  <c:v>dez/19</c:v>
                </c:pt>
                <c:pt idx="300">
                  <c:v>jan/20</c:v>
                </c:pt>
                <c:pt idx="301">
                  <c:v>fev/20</c:v>
                </c:pt>
                <c:pt idx="302">
                  <c:v>mar/20</c:v>
                </c:pt>
                <c:pt idx="303">
                  <c:v>abr/20</c:v>
                </c:pt>
                <c:pt idx="304">
                  <c:v>mai/20</c:v>
                </c:pt>
                <c:pt idx="305">
                  <c:v>jun/20</c:v>
                </c:pt>
                <c:pt idx="306">
                  <c:v>jul/20</c:v>
                </c:pt>
                <c:pt idx="307">
                  <c:v>ago/20</c:v>
                </c:pt>
                <c:pt idx="308">
                  <c:v>set/20</c:v>
                </c:pt>
                <c:pt idx="309">
                  <c:v>out/20</c:v>
                </c:pt>
                <c:pt idx="310">
                  <c:v>nov/20</c:v>
                </c:pt>
                <c:pt idx="311">
                  <c:v>dez/20</c:v>
                </c:pt>
                <c:pt idx="312">
                  <c:v>jan/21</c:v>
                </c:pt>
                <c:pt idx="313">
                  <c:v>fev/21</c:v>
                </c:pt>
                <c:pt idx="314">
                  <c:v>mar/21</c:v>
                </c:pt>
                <c:pt idx="315">
                  <c:v>abr/21</c:v>
                </c:pt>
                <c:pt idx="316">
                  <c:v>mai/21</c:v>
                </c:pt>
                <c:pt idx="317">
                  <c:v>jun/21</c:v>
                </c:pt>
                <c:pt idx="318">
                  <c:v>jul/21</c:v>
                </c:pt>
                <c:pt idx="319">
                  <c:v>ago/21</c:v>
                </c:pt>
                <c:pt idx="320">
                  <c:v>set/21</c:v>
                </c:pt>
                <c:pt idx="321">
                  <c:v>out/21</c:v>
                </c:pt>
                <c:pt idx="322">
                  <c:v>nov/21</c:v>
                </c:pt>
                <c:pt idx="323">
                  <c:v>dez/21</c:v>
                </c:pt>
                <c:pt idx="324">
                  <c:v>jan/22</c:v>
                </c:pt>
                <c:pt idx="325">
                  <c:v>fev/22</c:v>
                </c:pt>
                <c:pt idx="326">
                  <c:v>mar/22</c:v>
                </c:pt>
                <c:pt idx="327">
                  <c:v>abr/22</c:v>
                </c:pt>
                <c:pt idx="328">
                  <c:v>mai/22</c:v>
                </c:pt>
                <c:pt idx="329">
                  <c:v>jun/22</c:v>
                </c:pt>
                <c:pt idx="330">
                  <c:v>jul/22</c:v>
                </c:pt>
                <c:pt idx="331">
                  <c:v>ago/22</c:v>
                </c:pt>
                <c:pt idx="332">
                  <c:v>set/22</c:v>
                </c:pt>
                <c:pt idx="333">
                  <c:v>out/22</c:v>
                </c:pt>
                <c:pt idx="334">
                  <c:v>nov/22</c:v>
                </c:pt>
                <c:pt idx="335">
                  <c:v>dez/22</c:v>
                </c:pt>
                <c:pt idx="336">
                  <c:v>jan/23</c:v>
                </c:pt>
                <c:pt idx="337">
                  <c:v>fev/23</c:v>
                </c:pt>
                <c:pt idx="338">
                  <c:v>mar/23</c:v>
                </c:pt>
                <c:pt idx="339">
                  <c:v>abr/23</c:v>
                </c:pt>
                <c:pt idx="340">
                  <c:v>mai/23</c:v>
                </c:pt>
                <c:pt idx="341">
                  <c:v>jun/23</c:v>
                </c:pt>
                <c:pt idx="342">
                  <c:v>jul/23</c:v>
                </c:pt>
                <c:pt idx="343">
                  <c:v>ago/23</c:v>
                </c:pt>
                <c:pt idx="344">
                  <c:v>set/23</c:v>
                </c:pt>
                <c:pt idx="345">
                  <c:v>out/23</c:v>
                </c:pt>
                <c:pt idx="346">
                  <c:v>nov/23</c:v>
                </c:pt>
                <c:pt idx="347">
                  <c:v>dez/23</c:v>
                </c:pt>
                <c:pt idx="348">
                  <c:v>jan/24</c:v>
                </c:pt>
                <c:pt idx="349">
                  <c:v>fev/24</c:v>
                </c:pt>
                <c:pt idx="350">
                  <c:v>mar/24</c:v>
                </c:pt>
                <c:pt idx="351">
                  <c:v>abr/24</c:v>
                </c:pt>
                <c:pt idx="352">
                  <c:v>mai/24</c:v>
                </c:pt>
                <c:pt idx="353">
                  <c:v>jun/24</c:v>
                </c:pt>
                <c:pt idx="354">
                  <c:v>jul/24</c:v>
                </c:pt>
                <c:pt idx="355">
                  <c:v>ago/24</c:v>
                </c:pt>
                <c:pt idx="356">
                  <c:v>set/24</c:v>
                </c:pt>
                <c:pt idx="357">
                  <c:v>out/24</c:v>
                </c:pt>
                <c:pt idx="358">
                  <c:v>nov/24</c:v>
                </c:pt>
                <c:pt idx="359">
                  <c:v>dez/24</c:v>
                </c:pt>
                <c:pt idx="360">
                  <c:v>jan/25</c:v>
                </c:pt>
                <c:pt idx="361">
                  <c:v>fev/25</c:v>
                </c:pt>
                <c:pt idx="362">
                  <c:v>mar/25</c:v>
                </c:pt>
                <c:pt idx="363">
                  <c:v>abr/25</c:v>
                </c:pt>
                <c:pt idx="364">
                  <c:v>mai/25</c:v>
                </c:pt>
                <c:pt idx="365">
                  <c:v>jun/25</c:v>
                </c:pt>
                <c:pt idx="366">
                  <c:v>jul/25</c:v>
                </c:pt>
                <c:pt idx="367">
                  <c:v>ago/25</c:v>
                </c:pt>
                <c:pt idx="368">
                  <c:v>set/25</c:v>
                </c:pt>
                <c:pt idx="369">
                  <c:v>out/25</c:v>
                </c:pt>
                <c:pt idx="370">
                  <c:v>nov/25</c:v>
                </c:pt>
                <c:pt idx="371">
                  <c:v>dez/25</c:v>
                </c:pt>
                <c:pt idx="372">
                  <c:v>jan/26</c:v>
                </c:pt>
                <c:pt idx="373">
                  <c:v>fev/26</c:v>
                </c:pt>
                <c:pt idx="374">
                  <c:v>mar/26</c:v>
                </c:pt>
                <c:pt idx="375">
                  <c:v>abr/26</c:v>
                </c:pt>
                <c:pt idx="376">
                  <c:v>mai/26</c:v>
                </c:pt>
                <c:pt idx="377">
                  <c:v>jun/26</c:v>
                </c:pt>
                <c:pt idx="378">
                  <c:v>jul/26</c:v>
                </c:pt>
                <c:pt idx="379">
                  <c:v>ago/26</c:v>
                </c:pt>
                <c:pt idx="380">
                  <c:v>set/26</c:v>
                </c:pt>
              </c:strCache>
            </c:strRef>
          </c:cat>
          <c:val>
            <c:numRef>
              <c:f>'Outros Indicadores'!$B$2:$B$385</c:f>
              <c:numCache>
                <c:formatCode>0.0%</c:formatCode>
                <c:ptCount val="384"/>
                <c:pt idx="0">
                  <c:v>0.46250000000000002</c:v>
                </c:pt>
                <c:pt idx="1">
                  <c:v>0.56540000000000001</c:v>
                </c:pt>
                <c:pt idx="2">
                  <c:v>0.57979999999999998</c:v>
                </c:pt>
                <c:pt idx="3">
                  <c:v>0.85470000000000002</c:v>
                </c:pt>
                <c:pt idx="4">
                  <c:v>0.61049999999999993</c:v>
                </c:pt>
                <c:pt idx="5">
                  <c:v>0.60840000000000005</c:v>
                </c:pt>
                <c:pt idx="6">
                  <c:v>0.60530000000000006</c:v>
                </c:pt>
                <c:pt idx="7">
                  <c:v>0.5111</c:v>
                </c:pt>
                <c:pt idx="8">
                  <c:v>0.51</c:v>
                </c:pt>
                <c:pt idx="9">
                  <c:v>0.44109999999999999</c:v>
                </c:pt>
                <c:pt idx="10">
                  <c:v>0.42930000000000001</c:v>
                </c:pt>
                <c:pt idx="11">
                  <c:v>0.41220000000000001</c:v>
                </c:pt>
                <c:pt idx="12">
                  <c:v>0.33829999999999999</c:v>
                </c:pt>
                <c:pt idx="13">
                  <c:v>0.36109999999999998</c:v>
                </c:pt>
                <c:pt idx="14">
                  <c:v>0.30159999999999998</c:v>
                </c:pt>
                <c:pt idx="15">
                  <c:v>0.29420000000000002</c:v>
                </c:pt>
                <c:pt idx="16">
                  <c:v>0.25640000000000002</c:v>
                </c:pt>
                <c:pt idx="17">
                  <c:v>0.29649999999999999</c:v>
                </c:pt>
                <c:pt idx="18">
                  <c:v>0.23280000000000001</c:v>
                </c:pt>
                <c:pt idx="19">
                  <c:v>0.25009999999999999</c:v>
                </c:pt>
                <c:pt idx="20">
                  <c:v>0.254</c:v>
                </c:pt>
                <c:pt idx="21">
                  <c:v>0.23480000000000001</c:v>
                </c:pt>
                <c:pt idx="22">
                  <c:v>0.25269999999999998</c:v>
                </c:pt>
                <c:pt idx="23">
                  <c:v>0.2394</c:v>
                </c:pt>
                <c:pt idx="24">
                  <c:v>0.21729999999999999</c:v>
                </c:pt>
                <c:pt idx="25">
                  <c:v>0.26140000000000002</c:v>
                </c:pt>
                <c:pt idx="26">
                  <c:v>0.24109999999999998</c:v>
                </c:pt>
                <c:pt idx="27">
                  <c:v>0.21840000000000001</c:v>
                </c:pt>
                <c:pt idx="28">
                  <c:v>0.21909999999999999</c:v>
                </c:pt>
                <c:pt idx="29">
                  <c:v>0.21079999999999999</c:v>
                </c:pt>
                <c:pt idx="30">
                  <c:v>0.19039999999999999</c:v>
                </c:pt>
                <c:pt idx="31">
                  <c:v>0.20780000000000001</c:v>
                </c:pt>
                <c:pt idx="32">
                  <c:v>0.1981</c:v>
                </c:pt>
                <c:pt idx="33">
                  <c:v>0.1993</c:v>
                </c:pt>
                <c:pt idx="34">
                  <c:v>0.45899999999999996</c:v>
                </c:pt>
                <c:pt idx="35">
                  <c:v>0.3987</c:v>
                </c:pt>
                <c:pt idx="36">
                  <c:v>0.37189999999999995</c:v>
                </c:pt>
                <c:pt idx="37">
                  <c:v>0.34320000000000001</c:v>
                </c:pt>
                <c:pt idx="38">
                  <c:v>0.28320000000000001</c:v>
                </c:pt>
                <c:pt idx="39">
                  <c:v>0.25159999999999999</c:v>
                </c:pt>
                <c:pt idx="40">
                  <c:v>0.22600000000000001</c:v>
                </c:pt>
                <c:pt idx="41">
                  <c:v>0.2102</c:v>
                </c:pt>
                <c:pt idx="42">
                  <c:v>0.20329999999999998</c:v>
                </c:pt>
                <c:pt idx="43">
                  <c:v>0.1923</c:v>
                </c:pt>
                <c:pt idx="44">
                  <c:v>0.34289999999999998</c:v>
                </c:pt>
                <c:pt idx="45">
                  <c:v>0.41600000000000004</c:v>
                </c:pt>
                <c:pt idx="46">
                  <c:v>0.38729999999999998</c:v>
                </c:pt>
                <c:pt idx="47">
                  <c:v>0.31240000000000001</c:v>
                </c:pt>
                <c:pt idx="48">
                  <c:v>0.31190000000000001</c:v>
                </c:pt>
                <c:pt idx="49">
                  <c:v>0.38969999999999999</c:v>
                </c:pt>
                <c:pt idx="50">
                  <c:v>0.4325</c:v>
                </c:pt>
                <c:pt idx="51">
                  <c:v>0.36119999999999997</c:v>
                </c:pt>
                <c:pt idx="52">
                  <c:v>0.27110000000000001</c:v>
                </c:pt>
                <c:pt idx="53">
                  <c:v>0.22010000000000002</c:v>
                </c:pt>
                <c:pt idx="54">
                  <c:v>0.20739999999999997</c:v>
                </c:pt>
                <c:pt idx="55">
                  <c:v>0.19510000000000002</c:v>
                </c:pt>
                <c:pt idx="56">
                  <c:v>0.1938</c:v>
                </c:pt>
                <c:pt idx="57">
                  <c:v>0.18909999999999999</c:v>
                </c:pt>
                <c:pt idx="58">
                  <c:v>0.1895</c:v>
                </c:pt>
                <c:pt idx="59">
                  <c:v>0.18989999999999999</c:v>
                </c:pt>
                <c:pt idx="60">
                  <c:v>0.18940000000000001</c:v>
                </c:pt>
                <c:pt idx="61">
                  <c:v>0.18870000000000001</c:v>
                </c:pt>
                <c:pt idx="62">
                  <c:v>0.1885</c:v>
                </c:pt>
                <c:pt idx="63">
                  <c:v>0.1862</c:v>
                </c:pt>
                <c:pt idx="64">
                  <c:v>0.18510000000000001</c:v>
                </c:pt>
                <c:pt idx="65">
                  <c:v>0.1804</c:v>
                </c:pt>
                <c:pt idx="66">
                  <c:v>0.16850000000000001</c:v>
                </c:pt>
                <c:pt idx="67">
                  <c:v>0.16519999999999999</c:v>
                </c:pt>
                <c:pt idx="68">
                  <c:v>0.1656</c:v>
                </c:pt>
                <c:pt idx="69">
                  <c:v>0.16600000000000001</c:v>
                </c:pt>
                <c:pt idx="70">
                  <c:v>0.16510000000000002</c:v>
                </c:pt>
                <c:pt idx="71">
                  <c:v>0.16190000000000002</c:v>
                </c:pt>
                <c:pt idx="72">
                  <c:v>0.15490000000000001</c:v>
                </c:pt>
                <c:pt idx="73">
                  <c:v>0.152</c:v>
                </c:pt>
                <c:pt idx="74">
                  <c:v>0.15390000000000001</c:v>
                </c:pt>
                <c:pt idx="75">
                  <c:v>0.16020000000000001</c:v>
                </c:pt>
                <c:pt idx="76">
                  <c:v>0.1643</c:v>
                </c:pt>
                <c:pt idx="77">
                  <c:v>0.17280000000000001</c:v>
                </c:pt>
                <c:pt idx="78">
                  <c:v>0.1857</c:v>
                </c:pt>
                <c:pt idx="79">
                  <c:v>0.19</c:v>
                </c:pt>
                <c:pt idx="80">
                  <c:v>0.19059999999999999</c:v>
                </c:pt>
                <c:pt idx="81">
                  <c:v>0.19059999999999999</c:v>
                </c:pt>
                <c:pt idx="82">
                  <c:v>0.1905</c:v>
                </c:pt>
                <c:pt idx="83">
                  <c:v>0.1905</c:v>
                </c:pt>
                <c:pt idx="84">
                  <c:v>0.1905</c:v>
                </c:pt>
                <c:pt idx="85">
                  <c:v>0.18969999999999998</c:v>
                </c:pt>
                <c:pt idx="86">
                  <c:v>0.18719999999999998</c:v>
                </c:pt>
                <c:pt idx="87">
                  <c:v>0.18379999999999999</c:v>
                </c:pt>
                <c:pt idx="88">
                  <c:v>0.1837</c:v>
                </c:pt>
                <c:pt idx="89">
                  <c:v>0.18100000000000002</c:v>
                </c:pt>
                <c:pt idx="90">
                  <c:v>0.18170000000000003</c:v>
                </c:pt>
                <c:pt idx="91">
                  <c:v>0.1784</c:v>
                </c:pt>
                <c:pt idx="92">
                  <c:v>0.1789</c:v>
                </c:pt>
                <c:pt idx="93">
                  <c:v>0.19589999999999999</c:v>
                </c:pt>
                <c:pt idx="94">
                  <c:v>0.21249999999999999</c:v>
                </c:pt>
                <c:pt idx="95">
                  <c:v>0.2303</c:v>
                </c:pt>
                <c:pt idx="96">
                  <c:v>0.25059999999999999</c:v>
                </c:pt>
                <c:pt idx="97">
                  <c:v>0.25679999999999997</c:v>
                </c:pt>
                <c:pt idx="98">
                  <c:v>0.26319999999999999</c:v>
                </c:pt>
                <c:pt idx="99">
                  <c:v>0.26319999999999999</c:v>
                </c:pt>
                <c:pt idx="100">
                  <c:v>0.2631</c:v>
                </c:pt>
                <c:pt idx="101">
                  <c:v>0.26090000000000002</c:v>
                </c:pt>
                <c:pt idx="102">
                  <c:v>0.25359999999999999</c:v>
                </c:pt>
                <c:pt idx="103">
                  <c:v>0.23499999999999999</c:v>
                </c:pt>
                <c:pt idx="104">
                  <c:v>0.2102</c:v>
                </c:pt>
                <c:pt idx="105">
                  <c:v>0.19539999999999999</c:v>
                </c:pt>
                <c:pt idx="106">
                  <c:v>0.18309999999999998</c:v>
                </c:pt>
                <c:pt idx="107">
                  <c:v>0.1691</c:v>
                </c:pt>
                <c:pt idx="108">
                  <c:v>0.16320000000000001</c:v>
                </c:pt>
                <c:pt idx="109">
                  <c:v>0.16300000000000001</c:v>
                </c:pt>
                <c:pt idx="110">
                  <c:v>0.16190000000000002</c:v>
                </c:pt>
                <c:pt idx="111">
                  <c:v>0.15960000000000002</c:v>
                </c:pt>
                <c:pt idx="112">
                  <c:v>0.15770000000000001</c:v>
                </c:pt>
                <c:pt idx="113">
                  <c:v>0.158</c:v>
                </c:pt>
                <c:pt idx="114">
                  <c:v>0.15770000000000001</c:v>
                </c:pt>
                <c:pt idx="115">
                  <c:v>0.15859999999999999</c:v>
                </c:pt>
                <c:pt idx="116">
                  <c:v>0.16089999999999999</c:v>
                </c:pt>
                <c:pt idx="117">
                  <c:v>0.1641</c:v>
                </c:pt>
                <c:pt idx="118">
                  <c:v>0.1696</c:v>
                </c:pt>
                <c:pt idx="119">
                  <c:v>0.17499999999999999</c:v>
                </c:pt>
                <c:pt idx="120">
                  <c:v>0.17929999999999999</c:v>
                </c:pt>
                <c:pt idx="121">
                  <c:v>0.18469999999999998</c:v>
                </c:pt>
                <c:pt idx="122">
                  <c:v>0.18969999999999998</c:v>
                </c:pt>
                <c:pt idx="123">
                  <c:v>0.19320000000000001</c:v>
                </c:pt>
                <c:pt idx="124">
                  <c:v>0.1961</c:v>
                </c:pt>
                <c:pt idx="125">
                  <c:v>0.19750000000000001</c:v>
                </c:pt>
                <c:pt idx="126">
                  <c:v>0.19719999999999999</c:v>
                </c:pt>
                <c:pt idx="127">
                  <c:v>0.19750000000000001</c:v>
                </c:pt>
                <c:pt idx="128">
                  <c:v>0.1961</c:v>
                </c:pt>
                <c:pt idx="129">
                  <c:v>0.1925</c:v>
                </c:pt>
                <c:pt idx="130">
                  <c:v>0.18870000000000001</c:v>
                </c:pt>
                <c:pt idx="131">
                  <c:v>0.18239999999999998</c:v>
                </c:pt>
                <c:pt idx="132">
                  <c:v>0.17649999999999999</c:v>
                </c:pt>
                <c:pt idx="133">
                  <c:v>0.17280000000000001</c:v>
                </c:pt>
                <c:pt idx="134">
                  <c:v>0.16739999999999999</c:v>
                </c:pt>
                <c:pt idx="135">
                  <c:v>0.16190000000000002</c:v>
                </c:pt>
                <c:pt idx="136">
                  <c:v>0.157</c:v>
                </c:pt>
                <c:pt idx="137">
                  <c:v>0.15179999999999999</c:v>
                </c:pt>
                <c:pt idx="138">
                  <c:v>0.14980000000000002</c:v>
                </c:pt>
                <c:pt idx="139">
                  <c:v>0.14660000000000001</c:v>
                </c:pt>
                <c:pt idx="140">
                  <c:v>0.14169999999999999</c:v>
                </c:pt>
                <c:pt idx="141">
                  <c:v>0.13949999999999999</c:v>
                </c:pt>
                <c:pt idx="142">
                  <c:v>0.13650000000000001</c:v>
                </c:pt>
                <c:pt idx="143">
                  <c:v>0.13189999999999999</c:v>
                </c:pt>
                <c:pt idx="144">
                  <c:v>0.1313</c:v>
                </c:pt>
                <c:pt idx="145">
                  <c:v>0.1293</c:v>
                </c:pt>
                <c:pt idx="146">
                  <c:v>0.12740000000000001</c:v>
                </c:pt>
                <c:pt idx="147">
                  <c:v>0.1258</c:v>
                </c:pt>
                <c:pt idx="148">
                  <c:v>0.12429999999999999</c:v>
                </c:pt>
                <c:pt idx="149">
                  <c:v>0.12029999999999999</c:v>
                </c:pt>
                <c:pt idx="150">
                  <c:v>0.1173</c:v>
                </c:pt>
                <c:pt idx="151">
                  <c:v>0.1143</c:v>
                </c:pt>
                <c:pt idx="152">
                  <c:v>0.11220000000000001</c:v>
                </c:pt>
                <c:pt idx="153">
                  <c:v>0.1118</c:v>
                </c:pt>
                <c:pt idx="154">
                  <c:v>0.1118</c:v>
                </c:pt>
                <c:pt idx="155">
                  <c:v>0.1118</c:v>
                </c:pt>
                <c:pt idx="156">
                  <c:v>0.1118</c:v>
                </c:pt>
                <c:pt idx="157">
                  <c:v>0.1118</c:v>
                </c:pt>
                <c:pt idx="158">
                  <c:v>0.1118</c:v>
                </c:pt>
                <c:pt idx="159">
                  <c:v>0.1137</c:v>
                </c:pt>
                <c:pt idx="160">
                  <c:v>0.11630000000000001</c:v>
                </c:pt>
                <c:pt idx="161">
                  <c:v>0.12089999999999999</c:v>
                </c:pt>
                <c:pt idx="162">
                  <c:v>0.12359999999999999</c:v>
                </c:pt>
                <c:pt idx="163">
                  <c:v>0.12920000000000001</c:v>
                </c:pt>
                <c:pt idx="164">
                  <c:v>0.13390000000000002</c:v>
                </c:pt>
                <c:pt idx="165">
                  <c:v>0.1366</c:v>
                </c:pt>
                <c:pt idx="166">
                  <c:v>0.13639999999999999</c:v>
                </c:pt>
                <c:pt idx="167">
                  <c:v>0.1366</c:v>
                </c:pt>
                <c:pt idx="168">
                  <c:v>0.13320000000000001</c:v>
                </c:pt>
                <c:pt idx="169">
                  <c:v>0.12659999999999999</c:v>
                </c:pt>
                <c:pt idx="170">
                  <c:v>0.11699999999999999</c:v>
                </c:pt>
                <c:pt idx="171">
                  <c:v>0.11109999999999999</c:v>
                </c:pt>
                <c:pt idx="172">
                  <c:v>0.1016</c:v>
                </c:pt>
                <c:pt idx="173">
                  <c:v>9.5399999999999985E-2</c:v>
                </c:pt>
                <c:pt idx="174">
                  <c:v>9.01E-2</c:v>
                </c:pt>
                <c:pt idx="175">
                  <c:v>8.6500000000000007E-2</c:v>
                </c:pt>
                <c:pt idx="176">
                  <c:v>8.6500000000000007E-2</c:v>
                </c:pt>
                <c:pt idx="177">
                  <c:v>8.6500000000000007E-2</c:v>
                </c:pt>
                <c:pt idx="178">
                  <c:v>8.6500000000000007E-2</c:v>
                </c:pt>
                <c:pt idx="179">
                  <c:v>8.6500000000000007E-2</c:v>
                </c:pt>
                <c:pt idx="180">
                  <c:v>8.6500000000000007E-2</c:v>
                </c:pt>
                <c:pt idx="181">
                  <c:v>8.6500000000000007E-2</c:v>
                </c:pt>
                <c:pt idx="182">
                  <c:v>8.6500000000000007E-2</c:v>
                </c:pt>
                <c:pt idx="183">
                  <c:v>8.72E-2</c:v>
                </c:pt>
                <c:pt idx="184">
                  <c:v>9.4E-2</c:v>
                </c:pt>
                <c:pt idx="185">
                  <c:v>9.9399999999999988E-2</c:v>
                </c:pt>
                <c:pt idx="186">
                  <c:v>0.1032</c:v>
                </c:pt>
                <c:pt idx="187">
                  <c:v>0.1066</c:v>
                </c:pt>
                <c:pt idx="188">
                  <c:v>0.1066</c:v>
                </c:pt>
                <c:pt idx="189">
                  <c:v>0.1066</c:v>
                </c:pt>
                <c:pt idx="190">
                  <c:v>0.1066</c:v>
                </c:pt>
                <c:pt idx="191">
                  <c:v>0.1066</c:v>
                </c:pt>
                <c:pt idx="192">
                  <c:v>0.1085</c:v>
                </c:pt>
                <c:pt idx="193">
                  <c:v>0.11169999999999999</c:v>
                </c:pt>
                <c:pt idx="194">
                  <c:v>0.1162</c:v>
                </c:pt>
                <c:pt idx="195">
                  <c:v>0.1174</c:v>
                </c:pt>
                <c:pt idx="196">
                  <c:v>0.1192</c:v>
                </c:pt>
                <c:pt idx="197">
                  <c:v>0.121</c:v>
                </c:pt>
                <c:pt idx="198">
                  <c:v>0.1225</c:v>
                </c:pt>
                <c:pt idx="199">
                  <c:v>0.1242</c:v>
                </c:pt>
                <c:pt idx="200">
                  <c:v>0.1191</c:v>
                </c:pt>
                <c:pt idx="201">
                  <c:v>0.11699999999999999</c:v>
                </c:pt>
                <c:pt idx="202">
                  <c:v>0.114</c:v>
                </c:pt>
                <c:pt idx="203">
                  <c:v>0.109</c:v>
                </c:pt>
                <c:pt idx="204">
                  <c:v>0.107</c:v>
                </c:pt>
                <c:pt idx="205">
                  <c:v>0.10400000000000001</c:v>
                </c:pt>
                <c:pt idx="206">
                  <c:v>9.820000000000001E-2</c:v>
                </c:pt>
                <c:pt idx="207">
                  <c:v>9.35E-2</c:v>
                </c:pt>
                <c:pt idx="208">
                  <c:v>8.8699999999999987E-2</c:v>
                </c:pt>
                <c:pt idx="209">
                  <c:v>8.3900000000000002E-2</c:v>
                </c:pt>
                <c:pt idx="210">
                  <c:v>8.0700000000000008E-2</c:v>
                </c:pt>
                <c:pt idx="211">
                  <c:v>7.85E-2</c:v>
                </c:pt>
                <c:pt idx="212">
                  <c:v>7.3899999999999993E-2</c:v>
                </c:pt>
                <c:pt idx="213">
                  <c:v>7.2300000000000003E-2</c:v>
                </c:pt>
                <c:pt idx="214">
                  <c:v>7.1399999999999991E-2</c:v>
                </c:pt>
                <c:pt idx="215">
                  <c:v>7.1599999999999997E-2</c:v>
                </c:pt>
                <c:pt idx="216">
                  <c:v>7.1099999999999997E-2</c:v>
                </c:pt>
                <c:pt idx="217">
                  <c:v>7.1199999999999999E-2</c:v>
                </c:pt>
                <c:pt idx="218">
                  <c:v>7.1500000000000008E-2</c:v>
                </c:pt>
                <c:pt idx="219">
                  <c:v>7.2599999999999998E-2</c:v>
                </c:pt>
                <c:pt idx="220">
                  <c:v>7.4200000000000002E-2</c:v>
                </c:pt>
                <c:pt idx="221">
                  <c:v>7.9000000000000001E-2</c:v>
                </c:pt>
                <c:pt idx="222">
                  <c:v>8.2299999999999998E-2</c:v>
                </c:pt>
                <c:pt idx="223">
                  <c:v>8.4499999999999992E-2</c:v>
                </c:pt>
                <c:pt idx="224">
                  <c:v>8.900000000000001E-2</c:v>
                </c:pt>
                <c:pt idx="225">
                  <c:v>9.2499999999999999E-2</c:v>
                </c:pt>
                <c:pt idx="226">
                  <c:v>9.4499999999999987E-2</c:v>
                </c:pt>
                <c:pt idx="227">
                  <c:v>9.9000000000000005E-2</c:v>
                </c:pt>
                <c:pt idx="228">
                  <c:v>0.1017</c:v>
                </c:pt>
                <c:pt idx="229">
                  <c:v>0.1043</c:v>
                </c:pt>
                <c:pt idx="230">
                  <c:v>0.1065</c:v>
                </c:pt>
                <c:pt idx="231">
                  <c:v>0.10869999999999999</c:v>
                </c:pt>
                <c:pt idx="232">
                  <c:v>0.109</c:v>
                </c:pt>
                <c:pt idx="233">
                  <c:v>0.109</c:v>
                </c:pt>
                <c:pt idx="234">
                  <c:v>0.109</c:v>
                </c:pt>
                <c:pt idx="235">
                  <c:v>0.109</c:v>
                </c:pt>
                <c:pt idx="236">
                  <c:v>0.109</c:v>
                </c:pt>
                <c:pt idx="237">
                  <c:v>0.10920000000000001</c:v>
                </c:pt>
                <c:pt idx="238">
                  <c:v>0.1115</c:v>
                </c:pt>
                <c:pt idx="239">
                  <c:v>0.1158</c:v>
                </c:pt>
                <c:pt idx="240">
                  <c:v>0.1182</c:v>
                </c:pt>
                <c:pt idx="241">
                  <c:v>0.1215</c:v>
                </c:pt>
                <c:pt idx="242">
                  <c:v>0.1258</c:v>
                </c:pt>
                <c:pt idx="243">
                  <c:v>0.1268</c:v>
                </c:pt>
                <c:pt idx="244">
                  <c:v>0.13150000000000001</c:v>
                </c:pt>
                <c:pt idx="245">
                  <c:v>0.1358</c:v>
                </c:pt>
                <c:pt idx="246">
                  <c:v>0.13689999999999999</c:v>
                </c:pt>
                <c:pt idx="247">
                  <c:v>0.14150000000000001</c:v>
                </c:pt>
                <c:pt idx="248">
                  <c:v>0.14150000000000001</c:v>
                </c:pt>
                <c:pt idx="249">
                  <c:v>0.14150000000000001</c:v>
                </c:pt>
                <c:pt idx="250">
                  <c:v>0.14150000000000001</c:v>
                </c:pt>
                <c:pt idx="251">
                  <c:v>0.14150000000000001</c:v>
                </c:pt>
                <c:pt idx="252">
                  <c:v>0.14150000000000001</c:v>
                </c:pt>
                <c:pt idx="253">
                  <c:v>0.14150000000000001</c:v>
                </c:pt>
                <c:pt idx="254">
                  <c:v>0.14150000000000001</c:v>
                </c:pt>
                <c:pt idx="255">
                  <c:v>0.14150000000000001</c:v>
                </c:pt>
                <c:pt idx="256">
                  <c:v>0.14150000000000001</c:v>
                </c:pt>
                <c:pt idx="257">
                  <c:v>0.14150000000000001</c:v>
                </c:pt>
                <c:pt idx="258">
                  <c:v>0.14150000000000001</c:v>
                </c:pt>
                <c:pt idx="259">
                  <c:v>0.14150000000000001</c:v>
                </c:pt>
                <c:pt idx="260">
                  <c:v>0.14150000000000001</c:v>
                </c:pt>
                <c:pt idx="261">
                  <c:v>0.14050000000000001</c:v>
                </c:pt>
                <c:pt idx="262">
                  <c:v>0.13900000000000001</c:v>
                </c:pt>
                <c:pt idx="263">
                  <c:v>0.13650000000000001</c:v>
                </c:pt>
                <c:pt idx="264">
                  <c:v>0.13170000000000001</c:v>
                </c:pt>
                <c:pt idx="265">
                  <c:v>0.12820000000000001</c:v>
                </c:pt>
                <c:pt idx="266">
                  <c:v>0.1215</c:v>
                </c:pt>
                <c:pt idx="267">
                  <c:v>0.1159</c:v>
                </c:pt>
                <c:pt idx="268">
                  <c:v>0.1115</c:v>
                </c:pt>
                <c:pt idx="269">
                  <c:v>0.10150000000000001</c:v>
                </c:pt>
                <c:pt idx="270">
                  <c:v>0.10009999999999999</c:v>
                </c:pt>
                <c:pt idx="271">
                  <c:v>9.1499999999999998E-2</c:v>
                </c:pt>
                <c:pt idx="272">
                  <c:v>8.3499999999999991E-2</c:v>
                </c:pt>
                <c:pt idx="273">
                  <c:v>8.0100000000000005E-2</c:v>
                </c:pt>
                <c:pt idx="274">
                  <c:v>7.400000000000001E-2</c:v>
                </c:pt>
                <c:pt idx="275">
                  <c:v>7.0000000000000007E-2</c:v>
                </c:pt>
                <c:pt idx="276">
                  <c:v>6.9000000000000006E-2</c:v>
                </c:pt>
                <c:pt idx="277">
                  <c:v>6.7199999999999996E-2</c:v>
                </c:pt>
                <c:pt idx="278">
                  <c:v>6.5799999999999997E-2</c:v>
                </c:pt>
                <c:pt idx="279">
                  <c:v>6.4000000000000001E-2</c:v>
                </c:pt>
                <c:pt idx="280">
                  <c:v>6.4000000000000001E-2</c:v>
                </c:pt>
                <c:pt idx="281">
                  <c:v>6.4000000000000001E-2</c:v>
                </c:pt>
                <c:pt idx="282">
                  <c:v>6.4000000000000001E-2</c:v>
                </c:pt>
                <c:pt idx="283">
                  <c:v>6.4000000000000001E-2</c:v>
                </c:pt>
                <c:pt idx="284">
                  <c:v>6.4000000000000001E-2</c:v>
                </c:pt>
                <c:pt idx="285">
                  <c:v>6.4000000000000001E-2</c:v>
                </c:pt>
                <c:pt idx="286">
                  <c:v>6.4000000000000001E-2</c:v>
                </c:pt>
                <c:pt idx="287">
                  <c:v>6.4000000000000001E-2</c:v>
                </c:pt>
                <c:pt idx="288">
                  <c:v>6.4000000000000001E-2</c:v>
                </c:pt>
                <c:pt idx="289">
                  <c:v>6.4000000000000001E-2</c:v>
                </c:pt>
                <c:pt idx="290">
                  <c:v>6.4000000000000001E-2</c:v>
                </c:pt>
                <c:pt idx="291">
                  <c:v>6.4000000000000001E-2</c:v>
                </c:pt>
                <c:pt idx="292">
                  <c:v>6.4000000000000001E-2</c:v>
                </c:pt>
                <c:pt idx="293">
                  <c:v>6.4000000000000001E-2</c:v>
                </c:pt>
                <c:pt idx="294">
                  <c:v>6.4000000000000001E-2</c:v>
                </c:pt>
                <c:pt idx="295">
                  <c:v>5.9000000000000004E-2</c:v>
                </c:pt>
                <c:pt idx="296">
                  <c:v>5.7099999999999998E-2</c:v>
                </c:pt>
                <c:pt idx="297">
                  <c:v>5.3800000000000001E-2</c:v>
                </c:pt>
                <c:pt idx="298">
                  <c:v>4.9000000000000002E-2</c:v>
                </c:pt>
                <c:pt idx="299">
                  <c:v>4.5899999999999996E-2</c:v>
                </c:pt>
                <c:pt idx="300">
                  <c:v>4.4000000000000004E-2</c:v>
                </c:pt>
                <c:pt idx="301">
                  <c:v>4.1900000000000007E-2</c:v>
                </c:pt>
                <c:pt idx="302">
                  <c:v>3.95E-2</c:v>
                </c:pt>
                <c:pt idx="303">
                  <c:v>3.6499999999999998E-2</c:v>
                </c:pt>
                <c:pt idx="304">
                  <c:v>3.0099999999999998E-2</c:v>
                </c:pt>
                <c:pt idx="305">
                  <c:v>2.58E-2</c:v>
                </c:pt>
                <c:pt idx="306">
                  <c:v>2.1499999999999998E-2</c:v>
                </c:pt>
                <c:pt idx="307">
                  <c:v>1.9400000000000001E-2</c:v>
                </c:pt>
                <c:pt idx="308">
                  <c:v>1.9E-2</c:v>
                </c:pt>
                <c:pt idx="309">
                  <c:v>1.9E-2</c:v>
                </c:pt>
                <c:pt idx="310">
                  <c:v>1.9E-2</c:v>
                </c:pt>
                <c:pt idx="311">
                  <c:v>1.9E-2</c:v>
                </c:pt>
                <c:pt idx="312">
                  <c:v>1.9E-2</c:v>
                </c:pt>
                <c:pt idx="313">
                  <c:v>1.9E-2</c:v>
                </c:pt>
                <c:pt idx="314">
                  <c:v>2.23E-2</c:v>
                </c:pt>
                <c:pt idx="315">
                  <c:v>2.6499999999999999E-2</c:v>
                </c:pt>
                <c:pt idx="316">
                  <c:v>3.2899999999999999E-2</c:v>
                </c:pt>
                <c:pt idx="317">
                  <c:v>3.7599999999999995E-2</c:v>
                </c:pt>
                <c:pt idx="318">
                  <c:v>4.1500000000000002E-2</c:v>
                </c:pt>
                <c:pt idx="319">
                  <c:v>5.0099999999999999E-2</c:v>
                </c:pt>
                <c:pt idx="320">
                  <c:v>5.4299999999999994E-2</c:v>
                </c:pt>
                <c:pt idx="321">
                  <c:v>6.3E-2</c:v>
                </c:pt>
                <c:pt idx="322">
                  <c:v>7.6499999999999999E-2</c:v>
                </c:pt>
                <c:pt idx="323">
                  <c:v>8.7599999999999997E-2</c:v>
                </c:pt>
                <c:pt idx="324">
                  <c:v>9.1499999999999998E-2</c:v>
                </c:pt>
                <c:pt idx="325">
                  <c:v>0.10490000000000001</c:v>
                </c:pt>
                <c:pt idx="326">
                  <c:v>0.1115</c:v>
                </c:pt>
                <c:pt idx="327">
                  <c:v>0.11650000000000001</c:v>
                </c:pt>
                <c:pt idx="328">
                  <c:v>0.12509999999999999</c:v>
                </c:pt>
                <c:pt idx="329">
                  <c:v>0.12890000000000001</c:v>
                </c:pt>
                <c:pt idx="330">
                  <c:v>0.13150000000000001</c:v>
                </c:pt>
                <c:pt idx="331">
                  <c:v>0.1358</c:v>
                </c:pt>
                <c:pt idx="332">
                  <c:v>0.13650000000000001</c:v>
                </c:pt>
                <c:pt idx="333">
                  <c:v>0.13650000000000001</c:v>
                </c:pt>
                <c:pt idx="334">
                  <c:v>0.13650000000000001</c:v>
                </c:pt>
                <c:pt idx="335">
                  <c:v>0.13650000000000001</c:v>
                </c:pt>
                <c:pt idx="336">
                  <c:v>0.13650000000000001</c:v>
                </c:pt>
                <c:pt idx="337">
                  <c:v>0.13650000000000001</c:v>
                </c:pt>
                <c:pt idx="338">
                  <c:v>0.13650000000000001</c:v>
                </c:pt>
                <c:pt idx="339">
                  <c:v>0.13650000000000001</c:v>
                </c:pt>
                <c:pt idx="340">
                  <c:v>0.13650000000000001</c:v>
                </c:pt>
                <c:pt idx="341">
                  <c:v>0.13650000000000001</c:v>
                </c:pt>
                <c:pt idx="342">
                  <c:v>0.13650000000000001</c:v>
                </c:pt>
                <c:pt idx="343">
                  <c:v>0.13189999999999999</c:v>
                </c:pt>
                <c:pt idx="344">
                  <c:v>0.12970000000000001</c:v>
                </c:pt>
                <c:pt idx="345">
                  <c:v>0.1265</c:v>
                </c:pt>
                <c:pt idx="346">
                  <c:v>0.1217</c:v>
                </c:pt>
                <c:pt idx="347">
                  <c:v>0.11869999999999999</c:v>
                </c:pt>
                <c:pt idx="348">
                  <c:v>0.11650000000000001</c:v>
                </c:pt>
                <c:pt idx="349">
                  <c:v>0.1115</c:v>
                </c:pt>
                <c:pt idx="350">
                  <c:v>0.11</c:v>
                </c:pt>
                <c:pt idx="351">
                  <c:v>0.1065</c:v>
                </c:pt>
                <c:pt idx="352">
                  <c:v>0.10460000000000001</c:v>
                </c:pt>
                <c:pt idx="353">
                  <c:v>0.10400000000000001</c:v>
                </c:pt>
                <c:pt idx="354">
                  <c:v>0.10400000000000001</c:v>
                </c:pt>
                <c:pt idx="355">
                  <c:v>0.10400000000000001</c:v>
                </c:pt>
                <c:pt idx="356">
                  <c:v>0.105</c:v>
                </c:pt>
                <c:pt idx="357">
                  <c:v>0.1065</c:v>
                </c:pt>
                <c:pt idx="358">
                  <c:v>0.1104</c:v>
                </c:pt>
                <c:pt idx="359">
                  <c:v>0.1177</c:v>
                </c:pt>
                <c:pt idx="360">
                  <c:v>0.12240000000000001</c:v>
                </c:pt>
                <c:pt idx="361">
                  <c:v>0.13150000000000001</c:v>
                </c:pt>
                <c:pt idx="362">
                  <c:v>0.13570000000000002</c:v>
                </c:pt>
                <c:pt idx="363">
                  <c:v>0.14150000000000001</c:v>
                </c:pt>
                <c:pt idx="364">
                  <c:v>0.14550000000000002</c:v>
                </c:pt>
                <c:pt idx="365">
                  <c:v>0.1474</c:v>
                </c:pt>
                <c:pt idx="366">
                  <c:v>0.14899999999999999</c:v>
                </c:pt>
                <c:pt idx="367">
                  <c:v>0.14899999999999999</c:v>
                </c:pt>
                <c:pt idx="368">
                  <c:v>0.14899999999999999</c:v>
                </c:pt>
                <c:pt idx="369">
                  <c:v>0.14899999999999999</c:v>
                </c:pt>
                <c:pt idx="370">
                  <c:v>0.14899999999999999</c:v>
                </c:pt>
                <c:pt idx="371">
                  <c:v>0.14899999999999999</c:v>
                </c:pt>
                <c:pt idx="372">
                  <c:v>0.14899999999999999</c:v>
                </c:pt>
                <c:pt idx="373">
                  <c:v>0.14899999999999999</c:v>
                </c:pt>
                <c:pt idx="374">
                  <c:v>0.14800000000000002</c:v>
                </c:pt>
                <c:pt idx="375">
                  <c:v>0.1464</c:v>
                </c:pt>
                <c:pt idx="376">
                  <c:v>0.14400000000000002</c:v>
                </c:pt>
                <c:pt idx="377">
                  <c:v>0.1429</c:v>
                </c:pt>
                <c:pt idx="378">
                  <c:v>0.14150000000000001</c:v>
                </c:pt>
                <c:pt idx="379">
                  <c:v>0.1394</c:v>
                </c:pt>
                <c:pt idx="380">
                  <c:v>0.13850000000000001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E-451A-84B3-1EA36D894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692063"/>
        <c:axId val="1540472623"/>
      </c:lineChart>
      <c:dateAx>
        <c:axId val="152669206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472623"/>
        <c:crosses val="autoZero"/>
        <c:auto val="1"/>
        <c:lblOffset val="100"/>
        <c:baseTimeUnit val="months"/>
      </c:dateAx>
      <c:valAx>
        <c:axId val="154047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69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Presidentes!$B$1</c:f>
              <c:strCache>
                <c:ptCount val="1"/>
                <c:pt idx="0">
                  <c:v>FHC I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Presidentes!$B$2:$B$385</c:f>
              <c:numCache>
                <c:formatCode>0</c:formatCode>
                <c:ptCount val="38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8-455C-A6A9-172000DD1145}"/>
            </c:ext>
          </c:extLst>
        </c:ser>
        <c:ser>
          <c:idx val="1"/>
          <c:order val="1"/>
          <c:tx>
            <c:strRef>
              <c:f>Presidentes!$C$1</c:f>
              <c:strCache>
                <c:ptCount val="1"/>
                <c:pt idx="0">
                  <c:v>FHC II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Presidentes!$C$2:$C$385</c:f>
              <c:numCache>
                <c:formatCode>General</c:formatCode>
                <c:ptCount val="384"/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B8-455C-A6A9-172000DD1145}"/>
            </c:ext>
          </c:extLst>
        </c:ser>
        <c:ser>
          <c:idx val="2"/>
          <c:order val="2"/>
          <c:tx>
            <c:strRef>
              <c:f>Presidentes!$D$1</c:f>
              <c:strCache>
                <c:ptCount val="1"/>
                <c:pt idx="0">
                  <c:v>Lula 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Presidentes!$D$2:$D$385</c:f>
              <c:numCache>
                <c:formatCode>General</c:formatCode>
                <c:ptCount val="384"/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B8-455C-A6A9-172000DD1145}"/>
            </c:ext>
          </c:extLst>
        </c:ser>
        <c:ser>
          <c:idx val="3"/>
          <c:order val="3"/>
          <c:tx>
            <c:strRef>
              <c:f>Presidentes!$E$1</c:f>
              <c:strCache>
                <c:ptCount val="1"/>
                <c:pt idx="0">
                  <c:v>Lula II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Presidentes!$E$2:$E$385</c:f>
              <c:numCache>
                <c:formatCode>General</c:formatCode>
                <c:ptCount val="384"/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B8-455C-A6A9-172000DD1145}"/>
            </c:ext>
          </c:extLst>
        </c:ser>
        <c:ser>
          <c:idx val="4"/>
          <c:order val="4"/>
          <c:tx>
            <c:strRef>
              <c:f>Presidentes!$F$1</c:f>
              <c:strCache>
                <c:ptCount val="1"/>
                <c:pt idx="0">
                  <c:v>Dilma I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Presidentes!$F$2:$F$385</c:f>
              <c:numCache>
                <c:formatCode>General</c:formatCode>
                <c:ptCount val="384"/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B8-455C-A6A9-172000DD1145}"/>
            </c:ext>
          </c:extLst>
        </c:ser>
        <c:ser>
          <c:idx val="5"/>
          <c:order val="5"/>
          <c:tx>
            <c:strRef>
              <c:f>Presidentes!$G$1</c:f>
              <c:strCache>
                <c:ptCount val="1"/>
                <c:pt idx="0">
                  <c:v>Dilma II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Presidentes!$G$2:$G$385</c:f>
              <c:numCache>
                <c:formatCode>General</c:formatCode>
                <c:ptCount val="384"/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B8-455C-A6A9-172000DD1145}"/>
            </c:ext>
          </c:extLst>
        </c:ser>
        <c:ser>
          <c:idx val="6"/>
          <c:order val="6"/>
          <c:tx>
            <c:strRef>
              <c:f>Presidentes!$H$1</c:f>
              <c:strCache>
                <c:ptCount val="1"/>
                <c:pt idx="0">
                  <c:v>Temer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Presidentes!$H$2:$H$385</c:f>
              <c:numCache>
                <c:formatCode>General</c:formatCode>
                <c:ptCount val="384"/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B8-455C-A6A9-172000DD1145}"/>
            </c:ext>
          </c:extLst>
        </c:ser>
        <c:ser>
          <c:idx val="7"/>
          <c:order val="7"/>
          <c:tx>
            <c:strRef>
              <c:f>Presidentes!$I$1</c:f>
              <c:strCache>
                <c:ptCount val="1"/>
                <c:pt idx="0">
                  <c:v>Bolsonaro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Presidentes!$I$2:$I$385</c:f>
              <c:numCache>
                <c:formatCode>General</c:formatCode>
                <c:ptCount val="384"/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B8-455C-A6A9-172000DD1145}"/>
            </c:ext>
          </c:extLst>
        </c:ser>
        <c:ser>
          <c:idx val="8"/>
          <c:order val="8"/>
          <c:tx>
            <c:strRef>
              <c:f>Presidentes!$J$1</c:f>
              <c:strCache>
                <c:ptCount val="1"/>
                <c:pt idx="0">
                  <c:v>Lula III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Presidentes!$A$2:$A$385</c:f>
              <c:numCache>
                <c:formatCode>mmm\-yy</c:formatCode>
                <c:ptCount val="384"/>
                <c:pt idx="0">
                  <c:v>34700</c:v>
                </c:pt>
                <c:pt idx="1">
                  <c:v>34731</c:v>
                </c:pt>
                <c:pt idx="2">
                  <c:v>34759</c:v>
                </c:pt>
                <c:pt idx="3">
                  <c:v>34790</c:v>
                </c:pt>
                <c:pt idx="4">
                  <c:v>34820</c:v>
                </c:pt>
                <c:pt idx="5">
                  <c:v>34851</c:v>
                </c:pt>
                <c:pt idx="6">
                  <c:v>34881</c:v>
                </c:pt>
                <c:pt idx="7">
                  <c:v>34912</c:v>
                </c:pt>
                <c:pt idx="8">
                  <c:v>34943</c:v>
                </c:pt>
                <c:pt idx="9">
                  <c:v>34973</c:v>
                </c:pt>
                <c:pt idx="10">
                  <c:v>35004</c:v>
                </c:pt>
                <c:pt idx="11">
                  <c:v>35034</c:v>
                </c:pt>
                <c:pt idx="12">
                  <c:v>35065</c:v>
                </c:pt>
                <c:pt idx="13">
                  <c:v>35096</c:v>
                </c:pt>
                <c:pt idx="14">
                  <c:v>35125</c:v>
                </c:pt>
                <c:pt idx="15">
                  <c:v>35156</c:v>
                </c:pt>
                <c:pt idx="16">
                  <c:v>35186</c:v>
                </c:pt>
                <c:pt idx="17">
                  <c:v>35217</c:v>
                </c:pt>
                <c:pt idx="18">
                  <c:v>35247</c:v>
                </c:pt>
                <c:pt idx="19">
                  <c:v>35278</c:v>
                </c:pt>
                <c:pt idx="20">
                  <c:v>35309</c:v>
                </c:pt>
                <c:pt idx="21">
                  <c:v>35339</c:v>
                </c:pt>
                <c:pt idx="22">
                  <c:v>35370</c:v>
                </c:pt>
                <c:pt idx="23">
                  <c:v>35400</c:v>
                </c:pt>
                <c:pt idx="24">
                  <c:v>35431</c:v>
                </c:pt>
                <c:pt idx="25">
                  <c:v>35462</c:v>
                </c:pt>
                <c:pt idx="26">
                  <c:v>35490</c:v>
                </c:pt>
                <c:pt idx="27">
                  <c:v>35521</c:v>
                </c:pt>
                <c:pt idx="28">
                  <c:v>35551</c:v>
                </c:pt>
                <c:pt idx="29">
                  <c:v>35582</c:v>
                </c:pt>
                <c:pt idx="30">
                  <c:v>35612</c:v>
                </c:pt>
                <c:pt idx="31">
                  <c:v>35643</c:v>
                </c:pt>
                <c:pt idx="32">
                  <c:v>35674</c:v>
                </c:pt>
                <c:pt idx="33">
                  <c:v>35704</c:v>
                </c:pt>
                <c:pt idx="34">
                  <c:v>35735</c:v>
                </c:pt>
                <c:pt idx="35">
                  <c:v>35765</c:v>
                </c:pt>
                <c:pt idx="36">
                  <c:v>35796</c:v>
                </c:pt>
                <c:pt idx="37">
                  <c:v>35827</c:v>
                </c:pt>
                <c:pt idx="38">
                  <c:v>35855</c:v>
                </c:pt>
                <c:pt idx="39">
                  <c:v>35886</c:v>
                </c:pt>
                <c:pt idx="40">
                  <c:v>35916</c:v>
                </c:pt>
                <c:pt idx="41">
                  <c:v>35947</c:v>
                </c:pt>
                <c:pt idx="42">
                  <c:v>35977</c:v>
                </c:pt>
                <c:pt idx="43">
                  <c:v>36008</c:v>
                </c:pt>
                <c:pt idx="44">
                  <c:v>36039</c:v>
                </c:pt>
                <c:pt idx="45">
                  <c:v>36069</c:v>
                </c:pt>
                <c:pt idx="46">
                  <c:v>36100</c:v>
                </c:pt>
                <c:pt idx="47">
                  <c:v>36130</c:v>
                </c:pt>
                <c:pt idx="48">
                  <c:v>36161</c:v>
                </c:pt>
                <c:pt idx="49">
                  <c:v>36192</c:v>
                </c:pt>
                <c:pt idx="50">
                  <c:v>36220</c:v>
                </c:pt>
                <c:pt idx="51">
                  <c:v>36251</c:v>
                </c:pt>
                <c:pt idx="52">
                  <c:v>36281</c:v>
                </c:pt>
                <c:pt idx="53">
                  <c:v>36312</c:v>
                </c:pt>
                <c:pt idx="54">
                  <c:v>36342</c:v>
                </c:pt>
                <c:pt idx="55">
                  <c:v>36373</c:v>
                </c:pt>
                <c:pt idx="56">
                  <c:v>36404</c:v>
                </c:pt>
                <c:pt idx="57">
                  <c:v>36434</c:v>
                </c:pt>
                <c:pt idx="58">
                  <c:v>36465</c:v>
                </c:pt>
                <c:pt idx="59">
                  <c:v>36495</c:v>
                </c:pt>
                <c:pt idx="60">
                  <c:v>36526</c:v>
                </c:pt>
                <c:pt idx="61">
                  <c:v>36557</c:v>
                </c:pt>
                <c:pt idx="62">
                  <c:v>36586</c:v>
                </c:pt>
                <c:pt idx="63">
                  <c:v>36617</c:v>
                </c:pt>
                <c:pt idx="64">
                  <c:v>36647</c:v>
                </c:pt>
                <c:pt idx="65">
                  <c:v>36678</c:v>
                </c:pt>
                <c:pt idx="66">
                  <c:v>36708</c:v>
                </c:pt>
                <c:pt idx="67">
                  <c:v>36739</c:v>
                </c:pt>
                <c:pt idx="68">
                  <c:v>36770</c:v>
                </c:pt>
                <c:pt idx="69">
                  <c:v>36800</c:v>
                </c:pt>
                <c:pt idx="70">
                  <c:v>36831</c:v>
                </c:pt>
                <c:pt idx="71">
                  <c:v>36861</c:v>
                </c:pt>
                <c:pt idx="72">
                  <c:v>36892</c:v>
                </c:pt>
                <c:pt idx="73">
                  <c:v>36923</c:v>
                </c:pt>
                <c:pt idx="74">
                  <c:v>36951</c:v>
                </c:pt>
                <c:pt idx="75">
                  <c:v>36982</c:v>
                </c:pt>
                <c:pt idx="76">
                  <c:v>37012</c:v>
                </c:pt>
                <c:pt idx="77">
                  <c:v>37043</c:v>
                </c:pt>
                <c:pt idx="78">
                  <c:v>37073</c:v>
                </c:pt>
                <c:pt idx="79">
                  <c:v>37104</c:v>
                </c:pt>
                <c:pt idx="80">
                  <c:v>37135</c:v>
                </c:pt>
                <c:pt idx="81">
                  <c:v>37165</c:v>
                </c:pt>
                <c:pt idx="82">
                  <c:v>37196</c:v>
                </c:pt>
                <c:pt idx="83">
                  <c:v>37226</c:v>
                </c:pt>
                <c:pt idx="84">
                  <c:v>37257</c:v>
                </c:pt>
                <c:pt idx="85">
                  <c:v>37288</c:v>
                </c:pt>
                <c:pt idx="86">
                  <c:v>37316</c:v>
                </c:pt>
                <c:pt idx="87">
                  <c:v>37347</c:v>
                </c:pt>
                <c:pt idx="88">
                  <c:v>37377</c:v>
                </c:pt>
                <c:pt idx="89">
                  <c:v>37408</c:v>
                </c:pt>
                <c:pt idx="90">
                  <c:v>37438</c:v>
                </c:pt>
                <c:pt idx="91">
                  <c:v>37469</c:v>
                </c:pt>
                <c:pt idx="92">
                  <c:v>37500</c:v>
                </c:pt>
                <c:pt idx="93">
                  <c:v>37530</c:v>
                </c:pt>
                <c:pt idx="94">
                  <c:v>37561</c:v>
                </c:pt>
                <c:pt idx="95">
                  <c:v>37591</c:v>
                </c:pt>
                <c:pt idx="96">
                  <c:v>37622</c:v>
                </c:pt>
                <c:pt idx="97">
                  <c:v>37653</c:v>
                </c:pt>
                <c:pt idx="98">
                  <c:v>37681</c:v>
                </c:pt>
                <c:pt idx="99">
                  <c:v>37712</c:v>
                </c:pt>
                <c:pt idx="100">
                  <c:v>37742</c:v>
                </c:pt>
                <c:pt idx="101">
                  <c:v>37773</c:v>
                </c:pt>
                <c:pt idx="102">
                  <c:v>37803</c:v>
                </c:pt>
                <c:pt idx="103">
                  <c:v>37834</c:v>
                </c:pt>
                <c:pt idx="104">
                  <c:v>37865</c:v>
                </c:pt>
                <c:pt idx="105">
                  <c:v>37895</c:v>
                </c:pt>
                <c:pt idx="106">
                  <c:v>37926</c:v>
                </c:pt>
                <c:pt idx="107">
                  <c:v>37956</c:v>
                </c:pt>
                <c:pt idx="108">
                  <c:v>37987</c:v>
                </c:pt>
                <c:pt idx="109">
                  <c:v>38018</c:v>
                </c:pt>
                <c:pt idx="110">
                  <c:v>38047</c:v>
                </c:pt>
                <c:pt idx="111">
                  <c:v>38078</c:v>
                </c:pt>
                <c:pt idx="112">
                  <c:v>38108</c:v>
                </c:pt>
                <c:pt idx="113">
                  <c:v>38139</c:v>
                </c:pt>
                <c:pt idx="114">
                  <c:v>38169</c:v>
                </c:pt>
                <c:pt idx="115">
                  <c:v>38200</c:v>
                </c:pt>
                <c:pt idx="116">
                  <c:v>38231</c:v>
                </c:pt>
                <c:pt idx="117">
                  <c:v>38261</c:v>
                </c:pt>
                <c:pt idx="118">
                  <c:v>38292</c:v>
                </c:pt>
                <c:pt idx="119">
                  <c:v>38322</c:v>
                </c:pt>
                <c:pt idx="120">
                  <c:v>38353</c:v>
                </c:pt>
                <c:pt idx="121">
                  <c:v>38384</c:v>
                </c:pt>
                <c:pt idx="122">
                  <c:v>38412</c:v>
                </c:pt>
                <c:pt idx="123">
                  <c:v>38443</c:v>
                </c:pt>
                <c:pt idx="124">
                  <c:v>38473</c:v>
                </c:pt>
                <c:pt idx="125">
                  <c:v>38504</c:v>
                </c:pt>
                <c:pt idx="126">
                  <c:v>38534</c:v>
                </c:pt>
                <c:pt idx="127">
                  <c:v>38565</c:v>
                </c:pt>
                <c:pt idx="128">
                  <c:v>38596</c:v>
                </c:pt>
                <c:pt idx="129">
                  <c:v>38626</c:v>
                </c:pt>
                <c:pt idx="130">
                  <c:v>38657</c:v>
                </c:pt>
                <c:pt idx="131">
                  <c:v>38687</c:v>
                </c:pt>
                <c:pt idx="132">
                  <c:v>38718</c:v>
                </c:pt>
                <c:pt idx="133">
                  <c:v>38749</c:v>
                </c:pt>
                <c:pt idx="134">
                  <c:v>38777</c:v>
                </c:pt>
                <c:pt idx="135">
                  <c:v>38808</c:v>
                </c:pt>
                <c:pt idx="136">
                  <c:v>38838</c:v>
                </c:pt>
                <c:pt idx="137">
                  <c:v>38869</c:v>
                </c:pt>
                <c:pt idx="138">
                  <c:v>38899</c:v>
                </c:pt>
                <c:pt idx="139">
                  <c:v>38930</c:v>
                </c:pt>
                <c:pt idx="140">
                  <c:v>38961</c:v>
                </c:pt>
                <c:pt idx="141">
                  <c:v>38991</c:v>
                </c:pt>
                <c:pt idx="142">
                  <c:v>39022</c:v>
                </c:pt>
                <c:pt idx="143">
                  <c:v>39052</c:v>
                </c:pt>
                <c:pt idx="144">
                  <c:v>39083</c:v>
                </c:pt>
                <c:pt idx="145">
                  <c:v>39114</c:v>
                </c:pt>
                <c:pt idx="146">
                  <c:v>39142</c:v>
                </c:pt>
                <c:pt idx="147">
                  <c:v>39173</c:v>
                </c:pt>
                <c:pt idx="148">
                  <c:v>39203</c:v>
                </c:pt>
                <c:pt idx="149">
                  <c:v>39234</c:v>
                </c:pt>
                <c:pt idx="150">
                  <c:v>39264</c:v>
                </c:pt>
                <c:pt idx="151">
                  <c:v>39295</c:v>
                </c:pt>
                <c:pt idx="152">
                  <c:v>39326</c:v>
                </c:pt>
                <c:pt idx="153">
                  <c:v>39356</c:v>
                </c:pt>
                <c:pt idx="154">
                  <c:v>39387</c:v>
                </c:pt>
                <c:pt idx="155">
                  <c:v>39417</c:v>
                </c:pt>
                <c:pt idx="156">
                  <c:v>39448</c:v>
                </c:pt>
                <c:pt idx="157">
                  <c:v>39479</c:v>
                </c:pt>
                <c:pt idx="158">
                  <c:v>39508</c:v>
                </c:pt>
                <c:pt idx="159">
                  <c:v>39539</c:v>
                </c:pt>
                <c:pt idx="160">
                  <c:v>39569</c:v>
                </c:pt>
                <c:pt idx="161">
                  <c:v>39600</c:v>
                </c:pt>
                <c:pt idx="162">
                  <c:v>39630</c:v>
                </c:pt>
                <c:pt idx="163">
                  <c:v>39661</c:v>
                </c:pt>
                <c:pt idx="164">
                  <c:v>39692</c:v>
                </c:pt>
                <c:pt idx="165">
                  <c:v>39722</c:v>
                </c:pt>
                <c:pt idx="166">
                  <c:v>39753</c:v>
                </c:pt>
                <c:pt idx="167">
                  <c:v>39783</c:v>
                </c:pt>
                <c:pt idx="168">
                  <c:v>39814</c:v>
                </c:pt>
                <c:pt idx="169">
                  <c:v>39845</c:v>
                </c:pt>
                <c:pt idx="170">
                  <c:v>39873</c:v>
                </c:pt>
                <c:pt idx="171">
                  <c:v>39904</c:v>
                </c:pt>
                <c:pt idx="172">
                  <c:v>39934</c:v>
                </c:pt>
                <c:pt idx="173">
                  <c:v>39965</c:v>
                </c:pt>
                <c:pt idx="174">
                  <c:v>39995</c:v>
                </c:pt>
                <c:pt idx="175">
                  <c:v>40026</c:v>
                </c:pt>
                <c:pt idx="176">
                  <c:v>40057</c:v>
                </c:pt>
                <c:pt idx="177">
                  <c:v>40087</c:v>
                </c:pt>
                <c:pt idx="178">
                  <c:v>40118</c:v>
                </c:pt>
                <c:pt idx="179">
                  <c:v>40148</c:v>
                </c:pt>
                <c:pt idx="180">
                  <c:v>40179</c:v>
                </c:pt>
                <c:pt idx="181">
                  <c:v>40210</c:v>
                </c:pt>
                <c:pt idx="182">
                  <c:v>40238</c:v>
                </c:pt>
                <c:pt idx="183">
                  <c:v>40269</c:v>
                </c:pt>
                <c:pt idx="184">
                  <c:v>40299</c:v>
                </c:pt>
                <c:pt idx="185">
                  <c:v>40330</c:v>
                </c:pt>
                <c:pt idx="186">
                  <c:v>40360</c:v>
                </c:pt>
                <c:pt idx="187">
                  <c:v>40391</c:v>
                </c:pt>
                <c:pt idx="188">
                  <c:v>40422</c:v>
                </c:pt>
                <c:pt idx="189">
                  <c:v>40452</c:v>
                </c:pt>
                <c:pt idx="190">
                  <c:v>40483</c:v>
                </c:pt>
                <c:pt idx="191">
                  <c:v>40513</c:v>
                </c:pt>
                <c:pt idx="192">
                  <c:v>40544</c:v>
                </c:pt>
                <c:pt idx="193">
                  <c:v>40575</c:v>
                </c:pt>
                <c:pt idx="194">
                  <c:v>40603</c:v>
                </c:pt>
                <c:pt idx="195">
                  <c:v>40634</c:v>
                </c:pt>
                <c:pt idx="196">
                  <c:v>40664</c:v>
                </c:pt>
                <c:pt idx="197">
                  <c:v>40695</c:v>
                </c:pt>
                <c:pt idx="198">
                  <c:v>40725</c:v>
                </c:pt>
                <c:pt idx="199">
                  <c:v>40756</c:v>
                </c:pt>
                <c:pt idx="200">
                  <c:v>40787</c:v>
                </c:pt>
                <c:pt idx="201">
                  <c:v>40817</c:v>
                </c:pt>
                <c:pt idx="202">
                  <c:v>40848</c:v>
                </c:pt>
                <c:pt idx="203">
                  <c:v>40878</c:v>
                </c:pt>
                <c:pt idx="204">
                  <c:v>40909</c:v>
                </c:pt>
                <c:pt idx="205">
                  <c:v>40940</c:v>
                </c:pt>
                <c:pt idx="206">
                  <c:v>40969</c:v>
                </c:pt>
                <c:pt idx="207">
                  <c:v>41000</c:v>
                </c:pt>
                <c:pt idx="208">
                  <c:v>41030</c:v>
                </c:pt>
                <c:pt idx="209">
                  <c:v>41061</c:v>
                </c:pt>
                <c:pt idx="210">
                  <c:v>41091</c:v>
                </c:pt>
                <c:pt idx="211">
                  <c:v>41122</c:v>
                </c:pt>
                <c:pt idx="212">
                  <c:v>41153</c:v>
                </c:pt>
                <c:pt idx="213">
                  <c:v>41183</c:v>
                </c:pt>
                <c:pt idx="214">
                  <c:v>41214</c:v>
                </c:pt>
                <c:pt idx="215">
                  <c:v>41244</c:v>
                </c:pt>
                <c:pt idx="216">
                  <c:v>41275</c:v>
                </c:pt>
                <c:pt idx="217">
                  <c:v>41306</c:v>
                </c:pt>
                <c:pt idx="218">
                  <c:v>41334</c:v>
                </c:pt>
                <c:pt idx="219">
                  <c:v>41365</c:v>
                </c:pt>
                <c:pt idx="220">
                  <c:v>41395</c:v>
                </c:pt>
                <c:pt idx="221">
                  <c:v>41426</c:v>
                </c:pt>
                <c:pt idx="222">
                  <c:v>41456</c:v>
                </c:pt>
                <c:pt idx="223">
                  <c:v>41487</c:v>
                </c:pt>
                <c:pt idx="224">
                  <c:v>41518</c:v>
                </c:pt>
                <c:pt idx="225">
                  <c:v>41548</c:v>
                </c:pt>
                <c:pt idx="226">
                  <c:v>41579</c:v>
                </c:pt>
                <c:pt idx="227">
                  <c:v>41609</c:v>
                </c:pt>
                <c:pt idx="228">
                  <c:v>41640</c:v>
                </c:pt>
                <c:pt idx="229">
                  <c:v>41671</c:v>
                </c:pt>
                <c:pt idx="230">
                  <c:v>41699</c:v>
                </c:pt>
                <c:pt idx="231">
                  <c:v>41730</c:v>
                </c:pt>
                <c:pt idx="232">
                  <c:v>41760</c:v>
                </c:pt>
                <c:pt idx="233">
                  <c:v>41791</c:v>
                </c:pt>
                <c:pt idx="234">
                  <c:v>41821</c:v>
                </c:pt>
                <c:pt idx="235">
                  <c:v>41852</c:v>
                </c:pt>
                <c:pt idx="236">
                  <c:v>41883</c:v>
                </c:pt>
                <c:pt idx="237">
                  <c:v>41913</c:v>
                </c:pt>
                <c:pt idx="238">
                  <c:v>41944</c:v>
                </c:pt>
                <c:pt idx="239">
                  <c:v>41974</c:v>
                </c:pt>
                <c:pt idx="240">
                  <c:v>42005</c:v>
                </c:pt>
                <c:pt idx="241">
                  <c:v>42036</c:v>
                </c:pt>
                <c:pt idx="242">
                  <c:v>42064</c:v>
                </c:pt>
                <c:pt idx="243">
                  <c:v>42095</c:v>
                </c:pt>
                <c:pt idx="244">
                  <c:v>42125</c:v>
                </c:pt>
                <c:pt idx="245">
                  <c:v>42156</c:v>
                </c:pt>
                <c:pt idx="246">
                  <c:v>42186</c:v>
                </c:pt>
                <c:pt idx="247">
                  <c:v>42217</c:v>
                </c:pt>
                <c:pt idx="248">
                  <c:v>42248</c:v>
                </c:pt>
                <c:pt idx="249">
                  <c:v>42278</c:v>
                </c:pt>
                <c:pt idx="250">
                  <c:v>42309</c:v>
                </c:pt>
                <c:pt idx="251">
                  <c:v>42339</c:v>
                </c:pt>
                <c:pt idx="252">
                  <c:v>42370</c:v>
                </c:pt>
                <c:pt idx="253">
                  <c:v>42401</c:v>
                </c:pt>
                <c:pt idx="254">
                  <c:v>42430</c:v>
                </c:pt>
                <c:pt idx="255">
                  <c:v>42461</c:v>
                </c:pt>
                <c:pt idx="256">
                  <c:v>42491</c:v>
                </c:pt>
                <c:pt idx="257">
                  <c:v>42522</c:v>
                </c:pt>
                <c:pt idx="258">
                  <c:v>42552</c:v>
                </c:pt>
                <c:pt idx="259">
                  <c:v>42583</c:v>
                </c:pt>
                <c:pt idx="260">
                  <c:v>42614</c:v>
                </c:pt>
                <c:pt idx="261">
                  <c:v>42644</c:v>
                </c:pt>
                <c:pt idx="262">
                  <c:v>42675</c:v>
                </c:pt>
                <c:pt idx="263">
                  <c:v>42705</c:v>
                </c:pt>
                <c:pt idx="264">
                  <c:v>42736</c:v>
                </c:pt>
                <c:pt idx="265">
                  <c:v>42767</c:v>
                </c:pt>
                <c:pt idx="266">
                  <c:v>42795</c:v>
                </c:pt>
                <c:pt idx="267">
                  <c:v>42826</c:v>
                </c:pt>
                <c:pt idx="268">
                  <c:v>42856</c:v>
                </c:pt>
                <c:pt idx="269">
                  <c:v>42887</c:v>
                </c:pt>
                <c:pt idx="270">
                  <c:v>42917</c:v>
                </c:pt>
                <c:pt idx="271">
                  <c:v>42948</c:v>
                </c:pt>
                <c:pt idx="272">
                  <c:v>42979</c:v>
                </c:pt>
                <c:pt idx="273">
                  <c:v>43009</c:v>
                </c:pt>
                <c:pt idx="274">
                  <c:v>43040</c:v>
                </c:pt>
                <c:pt idx="275">
                  <c:v>43070</c:v>
                </c:pt>
                <c:pt idx="276">
                  <c:v>43101</c:v>
                </c:pt>
                <c:pt idx="277">
                  <c:v>43132</c:v>
                </c:pt>
                <c:pt idx="278">
                  <c:v>43160</c:v>
                </c:pt>
                <c:pt idx="279">
                  <c:v>43191</c:v>
                </c:pt>
                <c:pt idx="280">
                  <c:v>43221</c:v>
                </c:pt>
                <c:pt idx="281">
                  <c:v>43252</c:v>
                </c:pt>
                <c:pt idx="282">
                  <c:v>43282</c:v>
                </c:pt>
                <c:pt idx="283">
                  <c:v>43313</c:v>
                </c:pt>
                <c:pt idx="284">
                  <c:v>43344</c:v>
                </c:pt>
                <c:pt idx="285">
                  <c:v>43374</c:v>
                </c:pt>
                <c:pt idx="286">
                  <c:v>43405</c:v>
                </c:pt>
                <c:pt idx="287">
                  <c:v>43435</c:v>
                </c:pt>
                <c:pt idx="288">
                  <c:v>43466</c:v>
                </c:pt>
                <c:pt idx="289">
                  <c:v>43497</c:v>
                </c:pt>
                <c:pt idx="290">
                  <c:v>43525</c:v>
                </c:pt>
                <c:pt idx="291">
                  <c:v>43556</c:v>
                </c:pt>
                <c:pt idx="292">
                  <c:v>43586</c:v>
                </c:pt>
                <c:pt idx="293">
                  <c:v>43617</c:v>
                </c:pt>
                <c:pt idx="294">
                  <c:v>43647</c:v>
                </c:pt>
                <c:pt idx="295">
                  <c:v>43678</c:v>
                </c:pt>
                <c:pt idx="296">
                  <c:v>43709</c:v>
                </c:pt>
                <c:pt idx="297">
                  <c:v>43739</c:v>
                </c:pt>
                <c:pt idx="298">
                  <c:v>43770</c:v>
                </c:pt>
                <c:pt idx="299">
                  <c:v>43800</c:v>
                </c:pt>
                <c:pt idx="300">
                  <c:v>43831</c:v>
                </c:pt>
                <c:pt idx="301">
                  <c:v>43862</c:v>
                </c:pt>
                <c:pt idx="302">
                  <c:v>43891</c:v>
                </c:pt>
                <c:pt idx="303">
                  <c:v>43922</c:v>
                </c:pt>
                <c:pt idx="304">
                  <c:v>43952</c:v>
                </c:pt>
                <c:pt idx="305">
                  <c:v>43983</c:v>
                </c:pt>
                <c:pt idx="306">
                  <c:v>44013</c:v>
                </c:pt>
                <c:pt idx="307">
                  <c:v>44044</c:v>
                </c:pt>
                <c:pt idx="308">
                  <c:v>44075</c:v>
                </c:pt>
                <c:pt idx="309">
                  <c:v>44105</c:v>
                </c:pt>
                <c:pt idx="310">
                  <c:v>44136</c:v>
                </c:pt>
                <c:pt idx="311">
                  <c:v>44166</c:v>
                </c:pt>
                <c:pt idx="312">
                  <c:v>44197</c:v>
                </c:pt>
                <c:pt idx="313">
                  <c:v>44228</c:v>
                </c:pt>
                <c:pt idx="314">
                  <c:v>44256</c:v>
                </c:pt>
                <c:pt idx="315">
                  <c:v>44287</c:v>
                </c:pt>
                <c:pt idx="316">
                  <c:v>44317</c:v>
                </c:pt>
                <c:pt idx="317">
                  <c:v>44348</c:v>
                </c:pt>
                <c:pt idx="318">
                  <c:v>44378</c:v>
                </c:pt>
                <c:pt idx="319">
                  <c:v>44409</c:v>
                </c:pt>
                <c:pt idx="320">
                  <c:v>44440</c:v>
                </c:pt>
                <c:pt idx="321">
                  <c:v>44470</c:v>
                </c:pt>
                <c:pt idx="322">
                  <c:v>44501</c:v>
                </c:pt>
                <c:pt idx="323">
                  <c:v>44531</c:v>
                </c:pt>
                <c:pt idx="324">
                  <c:v>44562</c:v>
                </c:pt>
                <c:pt idx="325">
                  <c:v>44593</c:v>
                </c:pt>
                <c:pt idx="326">
                  <c:v>44621</c:v>
                </c:pt>
                <c:pt idx="327">
                  <c:v>44652</c:v>
                </c:pt>
                <c:pt idx="328">
                  <c:v>44682</c:v>
                </c:pt>
                <c:pt idx="329">
                  <c:v>44713</c:v>
                </c:pt>
                <c:pt idx="330">
                  <c:v>44743</c:v>
                </c:pt>
                <c:pt idx="331">
                  <c:v>44774</c:v>
                </c:pt>
                <c:pt idx="332">
                  <c:v>44805</c:v>
                </c:pt>
                <c:pt idx="333">
                  <c:v>44835</c:v>
                </c:pt>
                <c:pt idx="334">
                  <c:v>44866</c:v>
                </c:pt>
                <c:pt idx="335">
                  <c:v>44896</c:v>
                </c:pt>
                <c:pt idx="336">
                  <c:v>44927</c:v>
                </c:pt>
                <c:pt idx="337">
                  <c:v>44958</c:v>
                </c:pt>
                <c:pt idx="338">
                  <c:v>44986</c:v>
                </c:pt>
                <c:pt idx="339">
                  <c:v>45017</c:v>
                </c:pt>
                <c:pt idx="340">
                  <c:v>45047</c:v>
                </c:pt>
                <c:pt idx="341">
                  <c:v>45078</c:v>
                </c:pt>
                <c:pt idx="342">
                  <c:v>45108</c:v>
                </c:pt>
                <c:pt idx="343">
                  <c:v>45139</c:v>
                </c:pt>
                <c:pt idx="344">
                  <c:v>45170</c:v>
                </c:pt>
                <c:pt idx="345">
                  <c:v>45200</c:v>
                </c:pt>
                <c:pt idx="346">
                  <c:v>45231</c:v>
                </c:pt>
                <c:pt idx="347">
                  <c:v>45261</c:v>
                </c:pt>
                <c:pt idx="348">
                  <c:v>45292</c:v>
                </c:pt>
                <c:pt idx="349">
                  <c:v>45323</c:v>
                </c:pt>
                <c:pt idx="350">
                  <c:v>45352</c:v>
                </c:pt>
                <c:pt idx="351">
                  <c:v>45383</c:v>
                </c:pt>
                <c:pt idx="352">
                  <c:v>45413</c:v>
                </c:pt>
                <c:pt idx="353">
                  <c:v>45444</c:v>
                </c:pt>
                <c:pt idx="354">
                  <c:v>45474</c:v>
                </c:pt>
                <c:pt idx="355">
                  <c:v>45505</c:v>
                </c:pt>
                <c:pt idx="356">
                  <c:v>45536</c:v>
                </c:pt>
                <c:pt idx="357">
                  <c:v>45566</c:v>
                </c:pt>
                <c:pt idx="358">
                  <c:v>45597</c:v>
                </c:pt>
                <c:pt idx="359">
                  <c:v>45627</c:v>
                </c:pt>
                <c:pt idx="360">
                  <c:v>45658</c:v>
                </c:pt>
                <c:pt idx="361">
                  <c:v>45689</c:v>
                </c:pt>
                <c:pt idx="362">
                  <c:v>45717</c:v>
                </c:pt>
                <c:pt idx="363">
                  <c:v>45748</c:v>
                </c:pt>
                <c:pt idx="364">
                  <c:v>45778</c:v>
                </c:pt>
                <c:pt idx="365">
                  <c:v>45809</c:v>
                </c:pt>
                <c:pt idx="366">
                  <c:v>45839</c:v>
                </c:pt>
                <c:pt idx="367">
                  <c:v>45870</c:v>
                </c:pt>
                <c:pt idx="368">
                  <c:v>45901</c:v>
                </c:pt>
                <c:pt idx="369">
                  <c:v>45931</c:v>
                </c:pt>
                <c:pt idx="370">
                  <c:v>45962</c:v>
                </c:pt>
                <c:pt idx="371">
                  <c:v>45992</c:v>
                </c:pt>
                <c:pt idx="372">
                  <c:v>46023</c:v>
                </c:pt>
                <c:pt idx="373">
                  <c:v>46054</c:v>
                </c:pt>
                <c:pt idx="374">
                  <c:v>46082</c:v>
                </c:pt>
                <c:pt idx="375">
                  <c:v>46113</c:v>
                </c:pt>
                <c:pt idx="376">
                  <c:v>46143</c:v>
                </c:pt>
                <c:pt idx="377">
                  <c:v>46174</c:v>
                </c:pt>
                <c:pt idx="378">
                  <c:v>46204</c:v>
                </c:pt>
                <c:pt idx="379">
                  <c:v>46235</c:v>
                </c:pt>
                <c:pt idx="380">
                  <c:v>46266</c:v>
                </c:pt>
                <c:pt idx="381">
                  <c:v>46296</c:v>
                </c:pt>
                <c:pt idx="382">
                  <c:v>46327</c:v>
                </c:pt>
                <c:pt idx="383">
                  <c:v>46357</c:v>
                </c:pt>
              </c:numCache>
            </c:numRef>
          </c:cat>
          <c:val>
            <c:numRef>
              <c:f>Presidentes!$J$2:$J$385</c:f>
              <c:numCache>
                <c:formatCode>General</c:formatCode>
                <c:ptCount val="384"/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B8-455C-A6A9-172000DD1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6629423"/>
        <c:axId val="1540491823"/>
      </c:barChart>
      <c:dateAx>
        <c:axId val="15266294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491823"/>
        <c:crosses val="autoZero"/>
        <c:auto val="1"/>
        <c:lblOffset val="100"/>
        <c:baseTimeUnit val="months"/>
      </c:dateAx>
      <c:valAx>
        <c:axId val="154049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62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'Dívida Bruta'!$AA$1</c:f>
              <c:strCache>
                <c:ptCount val="1"/>
                <c:pt idx="0">
                  <c:v>FHC II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Bruta'!$AA$2:$AA$49</c:f>
              <c:numCache>
                <c:formatCode>0.0</c:formatCode>
                <c:ptCount val="48"/>
                <c:pt idx="0">
                  <c:v>114.80601255797311</c:v>
                </c:pt>
                <c:pt idx="1">
                  <c:v>117.37862527144573</c:v>
                </c:pt>
                <c:pt idx="2">
                  <c:v>115.15893536799553</c:v>
                </c:pt>
                <c:pt idx="3">
                  <c:v>119.12887423472981</c:v>
                </c:pt>
                <c:pt idx="4">
                  <c:v>111.05868520564874</c:v>
                </c:pt>
                <c:pt idx="5">
                  <c:v>114.36854399392647</c:v>
                </c:pt>
                <c:pt idx="6">
                  <c:v>115.29875239102574</c:v>
                </c:pt>
                <c:pt idx="7">
                  <c:v>119.32530752803127</c:v>
                </c:pt>
                <c:pt idx="8">
                  <c:v>121.81534268581214</c:v>
                </c:pt>
                <c:pt idx="9">
                  <c:v>124.78266791137793</c:v>
                </c:pt>
                <c:pt idx="10">
                  <c:v>126.62655420615425</c:v>
                </c:pt>
                <c:pt idx="11">
                  <c:v>122.48458928315614</c:v>
                </c:pt>
                <c:pt idx="12">
                  <c:v>123.9186603976723</c:v>
                </c:pt>
                <c:pt idx="13">
                  <c:v>124.3886062063486</c:v>
                </c:pt>
                <c:pt idx="14">
                  <c:v>126.28468328336189</c:v>
                </c:pt>
                <c:pt idx="15">
                  <c:v>127.58127830813514</c:v>
                </c:pt>
                <c:pt idx="16">
                  <c:v>136.85280392926541</c:v>
                </c:pt>
                <c:pt idx="17">
                  <c:v>138.59092027116489</c:v>
                </c:pt>
                <c:pt idx="18">
                  <c:v>141.77832478001935</c:v>
                </c:pt>
                <c:pt idx="19">
                  <c:v>142.74196099449</c:v>
                </c:pt>
                <c:pt idx="20">
                  <c:v>144.27968989713935</c:v>
                </c:pt>
                <c:pt idx="21">
                  <c:v>145.43354123923763</c:v>
                </c:pt>
                <c:pt idx="22">
                  <c:v>145.2629213206603</c:v>
                </c:pt>
                <c:pt idx="23">
                  <c:v>147.08384595893779</c:v>
                </c:pt>
                <c:pt idx="24">
                  <c:v>148.15016375094584</c:v>
                </c:pt>
                <c:pt idx="25">
                  <c:v>149.66216210886103</c:v>
                </c:pt>
                <c:pt idx="26">
                  <c:v>153.99768099693861</c:v>
                </c:pt>
                <c:pt idx="27">
                  <c:v>155.71214937670828</c:v>
                </c:pt>
                <c:pt idx="28">
                  <c:v>159.21111889274763</c:v>
                </c:pt>
                <c:pt idx="29">
                  <c:v>162.42882537292431</c:v>
                </c:pt>
                <c:pt idx="30">
                  <c:v>163.68011436533925</c:v>
                </c:pt>
                <c:pt idx="31">
                  <c:v>167.37896053569074</c:v>
                </c:pt>
                <c:pt idx="32">
                  <c:v>172.63442084639942</c:v>
                </c:pt>
                <c:pt idx="33">
                  <c:v>177.82952964871876</c:v>
                </c:pt>
                <c:pt idx="34">
                  <c:v>175.63612248993573</c:v>
                </c:pt>
                <c:pt idx="35">
                  <c:v>174.71353247976893</c:v>
                </c:pt>
                <c:pt idx="36">
                  <c:v>178.7287635738632</c:v>
                </c:pt>
                <c:pt idx="37">
                  <c:v>178.45913815158801</c:v>
                </c:pt>
                <c:pt idx="38">
                  <c:v>178.81708795314313</c:v>
                </c:pt>
                <c:pt idx="39">
                  <c:v>183.24273967528117</c:v>
                </c:pt>
                <c:pt idx="40">
                  <c:v>188.62929816650686</c:v>
                </c:pt>
                <c:pt idx="41">
                  <c:v>197.14518748292122</c:v>
                </c:pt>
                <c:pt idx="42">
                  <c:v>216.38520181487604</c:v>
                </c:pt>
                <c:pt idx="43">
                  <c:v>207.35086775852892</c:v>
                </c:pt>
                <c:pt idx="44">
                  <c:v>229.53875607341035</c:v>
                </c:pt>
                <c:pt idx="45">
                  <c:v>221.98392932535046</c:v>
                </c:pt>
                <c:pt idx="46">
                  <c:v>224.46174114318634</c:v>
                </c:pt>
                <c:pt idx="47">
                  <c:v>223.42286177141946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F4-4061-A3C9-AEC2768904D3}"/>
            </c:ext>
          </c:extLst>
        </c:ser>
        <c:ser>
          <c:idx val="1"/>
          <c:order val="1"/>
          <c:tx>
            <c:strRef>
              <c:f>'Dívida Bruta'!$AB$1</c:f>
              <c:strCache>
                <c:ptCount val="1"/>
                <c:pt idx="0">
                  <c:v>Lula 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Bruta'!$AB$2:$AB$49</c:f>
              <c:numCache>
                <c:formatCode>0.0</c:formatCode>
                <c:ptCount val="48"/>
                <c:pt idx="0">
                  <c:v>102.67157023793682</c:v>
                </c:pt>
                <c:pt idx="1">
                  <c:v>104.62642384454595</c:v>
                </c:pt>
                <c:pt idx="2">
                  <c:v>103.70540743598579</c:v>
                </c:pt>
                <c:pt idx="3">
                  <c:v>99.859035360447294</c:v>
                </c:pt>
                <c:pt idx="4">
                  <c:v>102.85896816969749</c:v>
                </c:pt>
                <c:pt idx="5">
                  <c:v>103.31501699841229</c:v>
                </c:pt>
                <c:pt idx="6">
                  <c:v>106.07118914669194</c:v>
                </c:pt>
                <c:pt idx="7">
                  <c:v>106.87469412408595</c:v>
                </c:pt>
                <c:pt idx="8">
                  <c:v>108.60738926651956</c:v>
                </c:pt>
                <c:pt idx="9">
                  <c:v>108.7144195762562</c:v>
                </c:pt>
                <c:pt idx="10">
                  <c:v>110.08545865419153</c:v>
                </c:pt>
                <c:pt idx="11">
                  <c:v>108.44520728522855</c:v>
                </c:pt>
                <c:pt idx="12">
                  <c:v>109.6592202038595</c:v>
                </c:pt>
                <c:pt idx="13">
                  <c:v>110.55320584085693</c:v>
                </c:pt>
                <c:pt idx="14">
                  <c:v>112.4943750255761</c:v>
                </c:pt>
                <c:pt idx="15">
                  <c:v>112.11263323443737</c:v>
                </c:pt>
                <c:pt idx="16">
                  <c:v>112.37935809071783</c:v>
                </c:pt>
                <c:pt idx="17">
                  <c:v>114.28966119373354</c:v>
                </c:pt>
                <c:pt idx="18">
                  <c:v>113.76493250860425</c:v>
                </c:pt>
                <c:pt idx="19">
                  <c:v>114.0279050280819</c:v>
                </c:pt>
                <c:pt idx="20">
                  <c:v>114.70236174955957</c:v>
                </c:pt>
                <c:pt idx="21">
                  <c:v>115.64258913393172</c:v>
                </c:pt>
                <c:pt idx="22">
                  <c:v>115.55426489841892</c:v>
                </c:pt>
                <c:pt idx="23">
                  <c:v>117.55386231884492</c:v>
                </c:pt>
                <c:pt idx="24">
                  <c:v>118.24404072246685</c:v>
                </c:pt>
                <c:pt idx="25">
                  <c:v>119.35902672768938</c:v>
                </c:pt>
                <c:pt idx="26">
                  <c:v>122.44832535265169</c:v>
                </c:pt>
                <c:pt idx="27">
                  <c:v>121.293678091907</c:v>
                </c:pt>
                <c:pt idx="28">
                  <c:v>122.08787328424819</c:v>
                </c:pt>
                <c:pt idx="29">
                  <c:v>123.42495773038051</c:v>
                </c:pt>
                <c:pt idx="30">
                  <c:v>123.97940940707926</c:v>
                </c:pt>
                <c:pt idx="31">
                  <c:v>124.64208832804877</c:v>
                </c:pt>
                <c:pt idx="32">
                  <c:v>125.54880154546493</c:v>
                </c:pt>
                <c:pt idx="33">
                  <c:v>125.90020687195072</c:v>
                </c:pt>
                <c:pt idx="34">
                  <c:v>128.17153049900412</c:v>
                </c:pt>
                <c:pt idx="35">
                  <c:v>128.30925388220774</c:v>
                </c:pt>
                <c:pt idx="36">
                  <c:v>128.72548786645572</c:v>
                </c:pt>
                <c:pt idx="37">
                  <c:v>130.23365274302265</c:v>
                </c:pt>
                <c:pt idx="38">
                  <c:v>131.57520715706121</c:v>
                </c:pt>
                <c:pt idx="39">
                  <c:v>126.90224144881192</c:v>
                </c:pt>
                <c:pt idx="40">
                  <c:v>126.32698641436934</c:v>
                </c:pt>
                <c:pt idx="41">
                  <c:v>129.37318215567629</c:v>
                </c:pt>
                <c:pt idx="42">
                  <c:v>128.12633915877959</c:v>
                </c:pt>
                <c:pt idx="43">
                  <c:v>129.94032610499039</c:v>
                </c:pt>
                <c:pt idx="44">
                  <c:v>133.39079884293506</c:v>
                </c:pt>
                <c:pt idx="45">
                  <c:v>133.66022298078295</c:v>
                </c:pt>
                <c:pt idx="46">
                  <c:v>135.92441443155624</c:v>
                </c:pt>
                <c:pt idx="47">
                  <c:v>137.38939433382492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4-4061-A3C9-AEC2768904D3}"/>
            </c:ext>
          </c:extLst>
        </c:ser>
        <c:ser>
          <c:idx val="2"/>
          <c:order val="2"/>
          <c:tx>
            <c:strRef>
              <c:f>'Dívida Bruta'!$AC$1</c:f>
              <c:strCache>
                <c:ptCount val="1"/>
                <c:pt idx="0">
                  <c:v>Lula II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Bruta'!$AC$2:$AC$49</c:f>
              <c:numCache>
                <c:formatCode>0.0</c:formatCode>
                <c:ptCount val="48"/>
                <c:pt idx="0">
                  <c:v>99.503128945892172</c:v>
                </c:pt>
                <c:pt idx="1">
                  <c:v>102.21773058074139</c:v>
                </c:pt>
                <c:pt idx="2">
                  <c:v>103.031782187285</c:v>
                </c:pt>
                <c:pt idx="3">
                  <c:v>102.94985931876661</c:v>
                </c:pt>
                <c:pt idx="4">
                  <c:v>104.65629716703806</c:v>
                </c:pt>
                <c:pt idx="5">
                  <c:v>106.34786296065961</c:v>
                </c:pt>
                <c:pt idx="6">
                  <c:v>103.9224241043034</c:v>
                </c:pt>
                <c:pt idx="7">
                  <c:v>105.80493916431465</c:v>
                </c:pt>
                <c:pt idx="8">
                  <c:v>106.32104983085317</c:v>
                </c:pt>
                <c:pt idx="9">
                  <c:v>107.83250494292793</c:v>
                </c:pt>
                <c:pt idx="10">
                  <c:v>109.50160589021766</c:v>
                </c:pt>
                <c:pt idx="11">
                  <c:v>110.14857881610091</c:v>
                </c:pt>
                <c:pt idx="12">
                  <c:v>108.16670984753725</c:v>
                </c:pt>
                <c:pt idx="13">
                  <c:v>110.41881101353898</c:v>
                </c:pt>
                <c:pt idx="14">
                  <c:v>111.45221000672375</c:v>
                </c:pt>
                <c:pt idx="15">
                  <c:v>108.96640852074414</c:v>
                </c:pt>
                <c:pt idx="16">
                  <c:v>110.43785338556977</c:v>
                </c:pt>
                <c:pt idx="17">
                  <c:v>114.34525959297315</c:v>
                </c:pt>
                <c:pt idx="18">
                  <c:v>109.76235191662991</c:v>
                </c:pt>
                <c:pt idx="19">
                  <c:v>111.48482213278342</c:v>
                </c:pt>
                <c:pt idx="20">
                  <c:v>112.85956587606417</c:v>
                </c:pt>
                <c:pt idx="21">
                  <c:v>113.89302204969061</c:v>
                </c:pt>
                <c:pt idx="22">
                  <c:v>115.96738006142155</c:v>
                </c:pt>
                <c:pt idx="23">
                  <c:v>122.71587232560809</c:v>
                </c:pt>
                <c:pt idx="24">
                  <c:v>117.68051958595242</c:v>
                </c:pt>
                <c:pt idx="25">
                  <c:v>119.85223211820782</c:v>
                </c:pt>
                <c:pt idx="26">
                  <c:v>121.98078112672272</c:v>
                </c:pt>
                <c:pt idx="27">
                  <c:v>120.47034177058374</c:v>
                </c:pt>
                <c:pt idx="28">
                  <c:v>120.69038431720119</c:v>
                </c:pt>
                <c:pt idx="29">
                  <c:v>125.17464480955203</c:v>
                </c:pt>
                <c:pt idx="30">
                  <c:v>126.1918643076509</c:v>
                </c:pt>
                <c:pt idx="31">
                  <c:v>129.94980148299851</c:v>
                </c:pt>
                <c:pt idx="32">
                  <c:v>130.89376448311521</c:v>
                </c:pt>
                <c:pt idx="33">
                  <c:v>130.98025214981433</c:v>
                </c:pt>
                <c:pt idx="34">
                  <c:v>132.4212050622603</c:v>
                </c:pt>
                <c:pt idx="35">
                  <c:v>138.55200335660757</c:v>
                </c:pt>
                <c:pt idx="36">
                  <c:v>133.67048463688101</c:v>
                </c:pt>
                <c:pt idx="37">
                  <c:v>136.21395548943354</c:v>
                </c:pt>
                <c:pt idx="38">
                  <c:v>140.15679750875222</c:v>
                </c:pt>
                <c:pt idx="39">
                  <c:v>145.66416708469424</c:v>
                </c:pt>
                <c:pt idx="40">
                  <c:v>148.43784832285203</c:v>
                </c:pt>
                <c:pt idx="41">
                  <c:v>148.50920630167531</c:v>
                </c:pt>
                <c:pt idx="42">
                  <c:v>147.83488570522752</c:v>
                </c:pt>
                <c:pt idx="43">
                  <c:v>148.60722257337866</c:v>
                </c:pt>
                <c:pt idx="44">
                  <c:v>150.10919665424254</c:v>
                </c:pt>
                <c:pt idx="45">
                  <c:v>151.69903779965134</c:v>
                </c:pt>
                <c:pt idx="46">
                  <c:v>153.45167615984067</c:v>
                </c:pt>
                <c:pt idx="47">
                  <c:v>155.86866066302866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F4-4061-A3C9-AEC2768904D3}"/>
            </c:ext>
          </c:extLst>
        </c:ser>
        <c:ser>
          <c:idx val="3"/>
          <c:order val="3"/>
          <c:tx>
            <c:strRef>
              <c:f>'Dívida Bruta'!$AD$1</c:f>
              <c:strCache>
                <c:ptCount val="1"/>
                <c:pt idx="0">
                  <c:v>Dilma 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Bruta'!$AD$2:$AD$49</c:f>
              <c:numCache>
                <c:formatCode>0.0</c:formatCode>
                <c:ptCount val="48"/>
                <c:pt idx="0">
                  <c:v>96.984262581939987</c:v>
                </c:pt>
                <c:pt idx="1">
                  <c:v>98.893977297416569</c:v>
                </c:pt>
                <c:pt idx="2">
                  <c:v>99.922875320370423</c:v>
                </c:pt>
                <c:pt idx="3">
                  <c:v>102.0259357285955</c:v>
                </c:pt>
                <c:pt idx="4">
                  <c:v>102.45476789164252</c:v>
                </c:pt>
                <c:pt idx="5">
                  <c:v>104.70126506007458</c:v>
                </c:pt>
                <c:pt idx="6">
                  <c:v>101.39213655465136</c:v>
                </c:pt>
                <c:pt idx="7">
                  <c:v>103.28106034697345</c:v>
                </c:pt>
                <c:pt idx="8">
                  <c:v>105.65129813223396</c:v>
                </c:pt>
                <c:pt idx="9">
                  <c:v>106.20179923923523</c:v>
                </c:pt>
                <c:pt idx="10">
                  <c:v>107.82847381227832</c:v>
                </c:pt>
                <c:pt idx="11">
                  <c:v>109.37751629834843</c:v>
                </c:pt>
                <c:pt idx="12">
                  <c:v>108.16046866466998</c:v>
                </c:pt>
                <c:pt idx="13">
                  <c:v>112.10517453679088</c:v>
                </c:pt>
                <c:pt idx="14">
                  <c:v>111.05963676806336</c:v>
                </c:pt>
                <c:pt idx="15">
                  <c:v>113.44248760345329</c:v>
                </c:pt>
                <c:pt idx="16">
                  <c:v>115.66214617972764</c:v>
                </c:pt>
                <c:pt idx="17">
                  <c:v>118.02295303077373</c:v>
                </c:pt>
                <c:pt idx="18">
                  <c:v>113.66733912909855</c:v>
                </c:pt>
                <c:pt idx="19">
                  <c:v>114.00961938802222</c:v>
                </c:pt>
                <c:pt idx="20">
                  <c:v>115.93318207840558</c:v>
                </c:pt>
                <c:pt idx="21">
                  <c:v>117.39803575239129</c:v>
                </c:pt>
                <c:pt idx="22">
                  <c:v>119.27039440554343</c:v>
                </c:pt>
                <c:pt idx="23">
                  <c:v>122.2797494553615</c:v>
                </c:pt>
                <c:pt idx="24">
                  <c:v>118.27499103793328</c:v>
                </c:pt>
                <c:pt idx="25">
                  <c:v>119.53286249833941</c:v>
                </c:pt>
                <c:pt idx="26">
                  <c:v>120.1343096108928</c:v>
                </c:pt>
                <c:pt idx="27">
                  <c:v>120.3424166942045</c:v>
                </c:pt>
                <c:pt idx="28">
                  <c:v>120.33622888019984</c:v>
                </c:pt>
                <c:pt idx="29">
                  <c:v>122.43341556409995</c:v>
                </c:pt>
                <c:pt idx="30">
                  <c:v>121.29268801286634</c:v>
                </c:pt>
                <c:pt idx="31">
                  <c:v>122.94440402451932</c:v>
                </c:pt>
                <c:pt idx="32">
                  <c:v>123.52388217152377</c:v>
                </c:pt>
                <c:pt idx="33">
                  <c:v>125.32645149929806</c:v>
                </c:pt>
                <c:pt idx="34">
                  <c:v>128.1071327746522</c:v>
                </c:pt>
                <c:pt idx="35">
                  <c:v>130.96803387321174</c:v>
                </c:pt>
                <c:pt idx="36">
                  <c:v>127.94720589407009</c:v>
                </c:pt>
                <c:pt idx="37">
                  <c:v>129.3996451940755</c:v>
                </c:pt>
                <c:pt idx="38">
                  <c:v>130.39300162028232</c:v>
                </c:pt>
                <c:pt idx="39">
                  <c:v>129.59890912779647</c:v>
                </c:pt>
                <c:pt idx="40">
                  <c:v>132.78022085780532</c:v>
                </c:pt>
                <c:pt idx="41">
                  <c:v>136.29768026635136</c:v>
                </c:pt>
                <c:pt idx="42">
                  <c:v>133.90473157141665</c:v>
                </c:pt>
                <c:pt idx="43">
                  <c:v>134.98315395254039</c:v>
                </c:pt>
                <c:pt idx="44">
                  <c:v>136.02024303863712</c:v>
                </c:pt>
                <c:pt idx="45">
                  <c:v>135.32798402610788</c:v>
                </c:pt>
                <c:pt idx="46">
                  <c:v>139.32431313389083</c:v>
                </c:pt>
                <c:pt idx="47">
                  <c:v>146.77411103037204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F4-4061-A3C9-AEC2768904D3}"/>
            </c:ext>
          </c:extLst>
        </c:ser>
        <c:ser>
          <c:idx val="4"/>
          <c:order val="4"/>
          <c:tx>
            <c:strRef>
              <c:f>'Dívida Bruta'!$AE$1</c:f>
              <c:strCache>
                <c:ptCount val="1"/>
                <c:pt idx="0">
                  <c:v>Dilma II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Bruta'!$AE$2:$AE$49</c:f>
              <c:numCache>
                <c:formatCode>0.0</c:formatCode>
                <c:ptCount val="48"/>
                <c:pt idx="0">
                  <c:v>97.248538751298582</c:v>
                </c:pt>
                <c:pt idx="1">
                  <c:v>100.33763204650077</c:v>
                </c:pt>
                <c:pt idx="2">
                  <c:v>104.99598114324085</c:v>
                </c:pt>
                <c:pt idx="3">
                  <c:v>104.92679579305153</c:v>
                </c:pt>
                <c:pt idx="4">
                  <c:v>106.18639142806329</c:v>
                </c:pt>
                <c:pt idx="5">
                  <c:v>108.91254955953215</c:v>
                </c:pt>
                <c:pt idx="6">
                  <c:v>109.35986738964836</c:v>
                </c:pt>
                <c:pt idx="7">
                  <c:v>112.72449702816013</c:v>
                </c:pt>
                <c:pt idx="8">
                  <c:v>116.50816650807006</c:v>
                </c:pt>
                <c:pt idx="9">
                  <c:v>113.88604266264518</c:v>
                </c:pt>
                <c:pt idx="10">
                  <c:v>116.23668034851991</c:v>
                </c:pt>
                <c:pt idx="11">
                  <c:v>120.77979972338386</c:v>
                </c:pt>
                <c:pt idx="12">
                  <c:v>118.84059240871267</c:v>
                </c:pt>
                <c:pt idx="13">
                  <c:v>121.09801773554179</c:v>
                </c:pt>
                <c:pt idx="14">
                  <c:v>123.10092599888807</c:v>
                </c:pt>
                <c:pt idx="15">
                  <c:v>120.84509075252252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1F4-4061-A3C9-AEC2768904D3}"/>
            </c:ext>
          </c:extLst>
        </c:ser>
        <c:ser>
          <c:idx val="5"/>
          <c:order val="5"/>
          <c:tx>
            <c:strRef>
              <c:f>'Dívida Bruta'!$AF$1</c:f>
              <c:strCache>
                <c:ptCount val="1"/>
                <c:pt idx="0">
                  <c:v>Temer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Bruta'!$AF$2:$AF$49</c:f>
              <c:numCache>
                <c:formatCode>0.0</c:formatCode>
                <c:ptCount val="48"/>
                <c:pt idx="0">
                  <c:v>102.2145675201768</c:v>
                </c:pt>
                <c:pt idx="1">
                  <c:v>104.18338475568329</c:v>
                </c:pt>
                <c:pt idx="2">
                  <c:v>103.91462306546167</c:v>
                </c:pt>
                <c:pt idx="3">
                  <c:v>103.59585328243872</c:v>
                </c:pt>
                <c:pt idx="4">
                  <c:v>106.70506251293956</c:v>
                </c:pt>
                <c:pt idx="5">
                  <c:v>106.58646058536182</c:v>
                </c:pt>
                <c:pt idx="6">
                  <c:v>108.3454617678441</c:v>
                </c:pt>
                <c:pt idx="7">
                  <c:v>112.79935161472301</c:v>
                </c:pt>
                <c:pt idx="8">
                  <c:v>112.19391577135832</c:v>
                </c:pt>
                <c:pt idx="9">
                  <c:v>114.63275944037451</c:v>
                </c:pt>
                <c:pt idx="10">
                  <c:v>117.41290464192524</c:v>
                </c:pt>
                <c:pt idx="11">
                  <c:v>117.99681243463291</c:v>
                </c:pt>
                <c:pt idx="12">
                  <c:v>117.70223019050302</c:v>
                </c:pt>
                <c:pt idx="13">
                  <c:v>120.2920878932882</c:v>
                </c:pt>
                <c:pt idx="14">
                  <c:v>118.76693111455108</c:v>
                </c:pt>
                <c:pt idx="15">
                  <c:v>121.8626467654525</c:v>
                </c:pt>
                <c:pt idx="16">
                  <c:v>122.97216415636755</c:v>
                </c:pt>
                <c:pt idx="17">
                  <c:v>123.11235153530087</c:v>
                </c:pt>
                <c:pt idx="18">
                  <c:v>124.65170348355217</c:v>
                </c:pt>
                <c:pt idx="19">
                  <c:v>126.63364433140259</c:v>
                </c:pt>
                <c:pt idx="20">
                  <c:v>125.90125115675188</c:v>
                </c:pt>
                <c:pt idx="21">
                  <c:v>127.44564925386344</c:v>
                </c:pt>
                <c:pt idx="22">
                  <c:v>129.98890479355603</c:v>
                </c:pt>
                <c:pt idx="23">
                  <c:v>131.19913531215866</c:v>
                </c:pt>
                <c:pt idx="24">
                  <c:v>133.13557576498073</c:v>
                </c:pt>
                <c:pt idx="25">
                  <c:v>134.57148514746933</c:v>
                </c:pt>
                <c:pt idx="26">
                  <c:v>133.83048279760092</c:v>
                </c:pt>
                <c:pt idx="27">
                  <c:v>134.88079985024319</c:v>
                </c:pt>
                <c:pt idx="28">
                  <c:v>135.49474238417756</c:v>
                </c:pt>
                <c:pt idx="29">
                  <c:v>134.48465322839004</c:v>
                </c:pt>
                <c:pt idx="30">
                  <c:v>136.40872952426446</c:v>
                </c:pt>
                <c:pt idx="31">
                  <c:v>137.9918328891743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F4-4061-A3C9-AEC2768904D3}"/>
            </c:ext>
          </c:extLst>
        </c:ser>
        <c:ser>
          <c:idx val="6"/>
          <c:order val="6"/>
          <c:tx>
            <c:strRef>
              <c:f>'Dívida Bruta'!$AG$1</c:f>
              <c:strCache>
                <c:ptCount val="1"/>
                <c:pt idx="0">
                  <c:v>Bolsonaro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Bruta'!$AG$2:$AG$49</c:f>
              <c:numCache>
                <c:formatCode>0.0</c:formatCode>
                <c:ptCount val="48"/>
                <c:pt idx="0">
                  <c:v>98.675768379151677</c:v>
                </c:pt>
                <c:pt idx="1">
                  <c:v>100.33611878206543</c:v>
                </c:pt>
                <c:pt idx="2">
                  <c:v>101.17911711139841</c:v>
                </c:pt>
                <c:pt idx="3">
                  <c:v>101.03907223610098</c:v>
                </c:pt>
                <c:pt idx="4">
                  <c:v>100.77708466487084</c:v>
                </c:pt>
                <c:pt idx="5">
                  <c:v>102.37137623424827</c:v>
                </c:pt>
                <c:pt idx="6">
                  <c:v>101.80535258316125</c:v>
                </c:pt>
                <c:pt idx="7">
                  <c:v>103.94621430564028</c:v>
                </c:pt>
                <c:pt idx="8">
                  <c:v>105.56059427719056</c:v>
                </c:pt>
                <c:pt idx="9">
                  <c:v>104.78164952830106</c:v>
                </c:pt>
                <c:pt idx="10">
                  <c:v>107.18667837903783</c:v>
                </c:pt>
                <c:pt idx="11">
                  <c:v>108.41028863279907</c:v>
                </c:pt>
                <c:pt idx="12">
                  <c:v>108.2177563798937</c:v>
                </c:pt>
                <c:pt idx="13">
                  <c:v>109.44679430661445</c:v>
                </c:pt>
                <c:pt idx="14">
                  <c:v>108.12052981349912</c:v>
                </c:pt>
                <c:pt idx="15">
                  <c:v>108.62084307050974</c:v>
                </c:pt>
                <c:pt idx="16">
                  <c:v>110.17030956220511</c:v>
                </c:pt>
                <c:pt idx="17">
                  <c:v>112.82859175714979</c:v>
                </c:pt>
                <c:pt idx="18">
                  <c:v>110.97538053420345</c:v>
                </c:pt>
                <c:pt idx="19">
                  <c:v>112.16070724432858</c:v>
                </c:pt>
                <c:pt idx="20">
                  <c:v>114.255232581386</c:v>
                </c:pt>
                <c:pt idx="21">
                  <c:v>116.87697814546284</c:v>
                </c:pt>
                <c:pt idx="22">
                  <c:v>119.16892752904178</c:v>
                </c:pt>
                <c:pt idx="23">
                  <c:v>123.03556526787941</c:v>
                </c:pt>
                <c:pt idx="24">
                  <c:v>123.4187504909772</c:v>
                </c:pt>
                <c:pt idx="25">
                  <c:v>126.46676937923195</c:v>
                </c:pt>
                <c:pt idx="26">
                  <c:v>127.5227219830584</c:v>
                </c:pt>
                <c:pt idx="27">
                  <c:v>125.10760169234274</c:v>
                </c:pt>
                <c:pt idx="28">
                  <c:v>126.43542077446456</c:v>
                </c:pt>
                <c:pt idx="29">
                  <c:v>129.1705196397069</c:v>
                </c:pt>
                <c:pt idx="30">
                  <c:v>129.91937346671281</c:v>
                </c:pt>
                <c:pt idx="31">
                  <c:v>131.46633368675896</c:v>
                </c:pt>
                <c:pt idx="32">
                  <c:v>131.10131868050377</c:v>
                </c:pt>
                <c:pt idx="33">
                  <c:v>130.43582272102225</c:v>
                </c:pt>
                <c:pt idx="34">
                  <c:v>132.68330691823175</c:v>
                </c:pt>
                <c:pt idx="35">
                  <c:v>134.97832169332793</c:v>
                </c:pt>
                <c:pt idx="36">
                  <c:v>134.64066246866236</c:v>
                </c:pt>
                <c:pt idx="37">
                  <c:v>136.61107009981865</c:v>
                </c:pt>
                <c:pt idx="38">
                  <c:v>134.08029956941959</c:v>
                </c:pt>
                <c:pt idx="39">
                  <c:v>134.94704567309765</c:v>
                </c:pt>
                <c:pt idx="40">
                  <c:v>136.8688686506884</c:v>
                </c:pt>
                <c:pt idx="41">
                  <c:v>139.90688114581164</c:v>
                </c:pt>
                <c:pt idx="42">
                  <c:v>138.92844360688903</c:v>
                </c:pt>
                <c:pt idx="43">
                  <c:v>138.39588041693827</c:v>
                </c:pt>
                <c:pt idx="44">
                  <c:v>137.19307245363919</c:v>
                </c:pt>
                <c:pt idx="45">
                  <c:v>138.07751756410244</c:v>
                </c:pt>
                <c:pt idx="46">
                  <c:v>140.59176003965672</c:v>
                </c:pt>
                <c:pt idx="47">
                  <c:v>142.48736383204013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1F4-4061-A3C9-AEC2768904D3}"/>
            </c:ext>
          </c:extLst>
        </c:ser>
        <c:ser>
          <c:idx val="7"/>
          <c:order val="7"/>
          <c:tx>
            <c:strRef>
              <c:f>'Dívida Bruta'!$AH$1</c:f>
              <c:strCache>
                <c:ptCount val="1"/>
                <c:pt idx="0">
                  <c:v>Lula III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Bruta'!$AH$2:$AH$49</c:f>
              <c:numCache>
                <c:formatCode>0.0</c:formatCode>
                <c:ptCount val="48"/>
                <c:pt idx="0">
                  <c:v>97.727670794763426</c:v>
                </c:pt>
                <c:pt idx="1">
                  <c:v>99.12893797746095</c:v>
                </c:pt>
                <c:pt idx="2">
                  <c:v>99.810961603364291</c:v>
                </c:pt>
                <c:pt idx="3">
                  <c:v>101.68450477103681</c:v>
                </c:pt>
                <c:pt idx="4">
                  <c:v>101.62746842317151</c:v>
                </c:pt>
                <c:pt idx="5">
                  <c:v>103.87684449655437</c:v>
                </c:pt>
                <c:pt idx="6">
                  <c:v>103.14071830087579</c:v>
                </c:pt>
                <c:pt idx="7">
                  <c:v>104.7609136208102</c:v>
                </c:pt>
                <c:pt idx="8">
                  <c:v>102.77064362313945</c:v>
                </c:pt>
                <c:pt idx="9">
                  <c:v>103.94569408212516</c:v>
                </c:pt>
                <c:pt idx="10">
                  <c:v>105.99490072917324</c:v>
                </c:pt>
                <c:pt idx="11">
                  <c:v>108.64819251955325</c:v>
                </c:pt>
                <c:pt idx="12">
                  <c:v>108.31522277125413</c:v>
                </c:pt>
                <c:pt idx="13">
                  <c:v>110.14572501976184</c:v>
                </c:pt>
                <c:pt idx="14">
                  <c:v>110.99510318137251</c:v>
                </c:pt>
                <c:pt idx="15">
                  <c:v>112.15044170569104</c:v>
                </c:pt>
                <c:pt idx="16">
                  <c:v>114.79055501500403</c:v>
                </c:pt>
                <c:pt idx="17">
                  <c:v>117.03835581667694</c:v>
                </c:pt>
                <c:pt idx="18">
                  <c:v>118.08084753948573</c:v>
                </c:pt>
                <c:pt idx="19">
                  <c:v>116.6595301547415</c:v>
                </c:pt>
                <c:pt idx="20">
                  <c:v>115.69749146324587</c:v>
                </c:pt>
                <c:pt idx="21">
                  <c:v>117.54698136182904</c:v>
                </c:pt>
                <c:pt idx="22">
                  <c:v>119.39586824148482</c:v>
                </c:pt>
                <c:pt idx="23">
                  <c:v>121.16204732854213</c:v>
                </c:pt>
                <c:pt idx="24">
                  <c:v>121.52145015504524</c:v>
                </c:pt>
                <c:pt idx="25">
                  <c:v>124.51161488797329</c:v>
                </c:pt>
                <c:pt idx="26">
                  <c:v>125.00027450244194</c:v>
                </c:pt>
                <c:pt idx="27">
                  <c:v>126.46535720913535</c:v>
                </c:pt>
                <c:pt idx="28">
                  <c:v>127.2081638900773</c:v>
                </c:pt>
                <c:pt idx="29">
                  <c:v>130.19140454267938</c:v>
                </c:pt>
                <c:pt idx="30">
                  <c:v>130.93668263204387</c:v>
                </c:pt>
                <c:pt idx="31">
                  <c:v>133.56217645543634</c:v>
                </c:pt>
                <c:pt idx="32">
                  <c:v>133.48537144042933</c:v>
                </c:pt>
                <c:pt idx="33">
                  <c:v>134.92025521453527</c:v>
                </c:pt>
                <c:pt idx="34">
                  <c:v>138.03389876928142</c:v>
                </c:pt>
                <c:pt idx="35">
                  <c:v>140.51686856095725</c:v>
                </c:pt>
                <c:pt idx="36">
                  <c:v>140.31148341093632</c:v>
                </c:pt>
                <c:pt idx="37">
                  <c:v>142.77619846519229</c:v>
                </c:pt>
                <c:pt idx="38">
                  <c:v>140.66851080145304</c:v>
                </c:pt>
                <c:pt idx="39">
                  <c:v>142.94061957738748</c:v>
                </c:pt>
                <c:pt idx="40">
                  <c:v>145.99455799411143</c:v>
                </c:pt>
                <c:pt idx="41">
                  <c:v>149.31612748638963</c:v>
                </c:pt>
                <c:pt idx="42">
                  <c:v>149.54171483421194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1F4-4061-A3C9-AEC276890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96384"/>
        <c:axId val="2007073583"/>
      </c:lineChart>
      <c:catAx>
        <c:axId val="14496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073583"/>
        <c:crosses val="autoZero"/>
        <c:auto val="1"/>
        <c:lblAlgn val="ctr"/>
        <c:lblOffset val="100"/>
        <c:noMultiLvlLbl val="0"/>
      </c:catAx>
      <c:valAx>
        <c:axId val="2007073583"/>
        <c:scaling>
          <c:orientation val="minMax"/>
          <c:min val="9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9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'Dívida Bruta'!$AN$1</c:f>
              <c:strCache>
                <c:ptCount val="1"/>
                <c:pt idx="0">
                  <c:v>FHC II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Bruta'!$AN$2:$AN$49</c:f>
              <c:numCache>
                <c:formatCode>\+0.0" p.p.";\-0.0" p.p.";0.0" p.p."</c:formatCode>
                <c:ptCount val="48"/>
                <c:pt idx="0">
                  <c:v>7.3990042116346189</c:v>
                </c:pt>
                <c:pt idx="1">
                  <c:v>8.3986704756561341</c:v>
                </c:pt>
                <c:pt idx="2">
                  <c:v>6.8114129949711888</c:v>
                </c:pt>
                <c:pt idx="3">
                  <c:v>8.4089712405908674</c:v>
                </c:pt>
                <c:pt idx="4">
                  <c:v>4.1975080102198747</c:v>
                </c:pt>
                <c:pt idx="5">
                  <c:v>5.4928322163936283</c:v>
                </c:pt>
                <c:pt idx="6">
                  <c:v>5.7152775348823459</c:v>
                </c:pt>
                <c:pt idx="7">
                  <c:v>7.3516433447944447</c:v>
                </c:pt>
                <c:pt idx="8">
                  <c:v>8.2296191968616039</c:v>
                </c:pt>
                <c:pt idx="9">
                  <c:v>9.1746851736894897</c:v>
                </c:pt>
                <c:pt idx="10">
                  <c:v>9.3083882476634798</c:v>
                </c:pt>
                <c:pt idx="11">
                  <c:v>6.5118309073724401</c:v>
                </c:pt>
                <c:pt idx="12">
                  <c:v>6.5686940191046812</c:v>
                </c:pt>
                <c:pt idx="13">
                  <c:v>6.2251915530023627</c:v>
                </c:pt>
                <c:pt idx="14">
                  <c:v>6.895615731781124</c:v>
                </c:pt>
                <c:pt idx="15">
                  <c:v>7.2968105611511564</c:v>
                </c:pt>
                <c:pt idx="16">
                  <c:v>10.979785575977575</c:v>
                </c:pt>
                <c:pt idx="17">
                  <c:v>11.162450807604973</c:v>
                </c:pt>
                <c:pt idx="18">
                  <c:v>11.913699284149459</c:v>
                </c:pt>
                <c:pt idx="19">
                  <c:v>11.640903064918472</c:v>
                </c:pt>
                <c:pt idx="20">
                  <c:v>11.791286337664186</c:v>
                </c:pt>
                <c:pt idx="21">
                  <c:v>11.701747088225945</c:v>
                </c:pt>
                <c:pt idx="22">
                  <c:v>11.205120984403516</c:v>
                </c:pt>
                <c:pt idx="23">
                  <c:v>11.61032905973045</c:v>
                </c:pt>
                <c:pt idx="24">
                  <c:v>11.545463369847775</c:v>
                </c:pt>
                <c:pt idx="25">
                  <c:v>11.671595709767868</c:v>
                </c:pt>
                <c:pt idx="26">
                  <c:v>12.659272615610584</c:v>
                </c:pt>
                <c:pt idx="27">
                  <c:v>12.53537080960221</c:v>
                </c:pt>
                <c:pt idx="28">
                  <c:v>13.316434329726402</c:v>
                </c:pt>
                <c:pt idx="29">
                  <c:v>14.491320627828564</c:v>
                </c:pt>
                <c:pt idx="30">
                  <c:v>14.614066061809272</c:v>
                </c:pt>
                <c:pt idx="31">
                  <c:v>15.676925838568268</c:v>
                </c:pt>
                <c:pt idx="32">
                  <c:v>17.312576663987866</c:v>
                </c:pt>
                <c:pt idx="33">
                  <c:v>18.860951007849604</c:v>
                </c:pt>
                <c:pt idx="34">
                  <c:v>17.469500766077228</c:v>
                </c:pt>
                <c:pt idx="35">
                  <c:v>16.743343757353934</c:v>
                </c:pt>
                <c:pt idx="36">
                  <c:v>17.779225183838911</c:v>
                </c:pt>
                <c:pt idx="37">
                  <c:v>17.17300833849329</c:v>
                </c:pt>
                <c:pt idx="38">
                  <c:v>16.797224614050187</c:v>
                </c:pt>
                <c:pt idx="39">
                  <c:v>17.813582781515301</c:v>
                </c:pt>
                <c:pt idx="40">
                  <c:v>19.189877327154591</c:v>
                </c:pt>
                <c:pt idx="41">
                  <c:v>21.370203265386923</c:v>
                </c:pt>
                <c:pt idx="42">
                  <c:v>27.488066191363401</c:v>
                </c:pt>
                <c:pt idx="43">
                  <c:v>23.451986338214269</c:v>
                </c:pt>
                <c:pt idx="44">
                  <c:v>30.436827652575193</c:v>
                </c:pt>
                <c:pt idx="45">
                  <c:v>26.854331334857207</c:v>
                </c:pt>
                <c:pt idx="46">
                  <c:v>26.756405908511439</c:v>
                </c:pt>
                <c:pt idx="47">
                  <c:v>25.507749118251599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49-4852-BB9D-955AD3310F7F}"/>
            </c:ext>
          </c:extLst>
        </c:ser>
        <c:ser>
          <c:idx val="1"/>
          <c:order val="1"/>
          <c:tx>
            <c:strRef>
              <c:f>'Dívida Bruta'!$AO$1</c:f>
              <c:strCache>
                <c:ptCount val="1"/>
                <c:pt idx="0">
                  <c:v>Lula 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Bruta'!$AO$2:$AO$49</c:f>
              <c:numCache>
                <c:formatCode>\+0.0" p.p.";\-0.0" p.p.";0.0" p.p."</c:formatCode>
                <c:ptCount val="48"/>
                <c:pt idx="0">
                  <c:v>1.3391610796084641</c:v>
                </c:pt>
                <c:pt idx="1">
                  <c:v>1.7817643121333937</c:v>
                </c:pt>
                <c:pt idx="2">
                  <c:v>1.0880691689507671E-2</c:v>
                </c:pt>
                <c:pt idx="3">
                  <c:v>-3.7775866554669357</c:v>
                </c:pt>
                <c:pt idx="4">
                  <c:v>-2.3827380974250523</c:v>
                </c:pt>
                <c:pt idx="5">
                  <c:v>-2.7290731370597454</c:v>
                </c:pt>
                <c:pt idx="6">
                  <c:v>-1.6016355782758396</c:v>
                </c:pt>
                <c:pt idx="7">
                  <c:v>-1.8003246864352507</c:v>
                </c:pt>
                <c:pt idx="8">
                  <c:v>-1.7463249067636633</c:v>
                </c:pt>
                <c:pt idx="9">
                  <c:v>-2.7902760979808927</c:v>
                </c:pt>
                <c:pt idx="10">
                  <c:v>-2.6871312573871431</c:v>
                </c:pt>
                <c:pt idx="11">
                  <c:v>-4.5814255074868582</c:v>
                </c:pt>
                <c:pt idx="12">
                  <c:v>-4.4787465796072734</c:v>
                </c:pt>
                <c:pt idx="13">
                  <c:v>-4.3201249173393741</c:v>
                </c:pt>
                <c:pt idx="14">
                  <c:v>-3.9088710480805755</c:v>
                </c:pt>
                <c:pt idx="15">
                  <c:v>-4.8844011854261122</c:v>
                </c:pt>
                <c:pt idx="16">
                  <c:v>-5.5086726941838364</c:v>
                </c:pt>
                <c:pt idx="17">
                  <c:v>-5.2762514223841928</c:v>
                </c:pt>
                <c:pt idx="18">
                  <c:v>-6.4993423262269756</c:v>
                </c:pt>
                <c:pt idx="19">
                  <c:v>-7.2199889244733972</c:v>
                </c:pt>
                <c:pt idx="20">
                  <c:v>-7.493328397769794</c:v>
                </c:pt>
                <c:pt idx="21">
                  <c:v>-7.5118564924010478</c:v>
                </c:pt>
                <c:pt idx="22">
                  <c:v>-8.3882102314510103</c:v>
                </c:pt>
                <c:pt idx="23">
                  <c:v>-8.0700674877264298</c:v>
                </c:pt>
                <c:pt idx="24">
                  <c:v>-8.3349259486816489</c:v>
                </c:pt>
                <c:pt idx="25">
                  <c:v>-8.3237343486693085</c:v>
                </c:pt>
                <c:pt idx="26">
                  <c:v>-7.1715112925574198</c:v>
                </c:pt>
                <c:pt idx="27">
                  <c:v>-8.4534056826686577</c:v>
                </c:pt>
                <c:pt idx="28">
                  <c:v>-8.6090477098664344</c:v>
                </c:pt>
                <c:pt idx="29">
                  <c:v>-8.4292663660330511</c:v>
                </c:pt>
                <c:pt idx="30">
                  <c:v>-8.565060192121221</c:v>
                </c:pt>
                <c:pt idx="31">
                  <c:v>-8.8072784620522917</c:v>
                </c:pt>
                <c:pt idx="32">
                  <c:v>-8.8149105632496791</c:v>
                </c:pt>
                <c:pt idx="33">
                  <c:v>-9.2137031382337202</c:v>
                </c:pt>
                <c:pt idx="34">
                  <c:v>-8.5897971916927833</c:v>
                </c:pt>
                <c:pt idx="35">
                  <c:v>-9.1265898591341159</c:v>
                </c:pt>
                <c:pt idx="36">
                  <c:v>-9.5246062173148349</c:v>
                </c:pt>
                <c:pt idx="37">
                  <c:v>-9.2639503167042054</c:v>
                </c:pt>
                <c:pt idx="38">
                  <c:v>-9.1058402322414906</c:v>
                </c:pt>
                <c:pt idx="39">
                  <c:v>-11.793273440622054</c:v>
                </c:pt>
                <c:pt idx="40">
                  <c:v>-12.669200956724469</c:v>
                </c:pt>
                <c:pt idx="41">
                  <c:v>-11.572978201336326</c:v>
                </c:pt>
                <c:pt idx="42">
                  <c:v>-12.802655542914898</c:v>
                </c:pt>
                <c:pt idx="43">
                  <c:v>-12.51886449487486</c:v>
                </c:pt>
                <c:pt idx="44">
                  <c:v>-11.419618817508336</c:v>
                </c:pt>
                <c:pt idx="45">
                  <c:v>-12.004535453083953</c:v>
                </c:pt>
                <c:pt idx="46">
                  <c:v>-11.589440126792494</c:v>
                </c:pt>
                <c:pt idx="47">
                  <c:v>-11.496267950483908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49-4852-BB9D-955AD3310F7F}"/>
            </c:ext>
          </c:extLst>
        </c:ser>
        <c:ser>
          <c:idx val="2"/>
          <c:order val="2"/>
          <c:tx>
            <c:strRef>
              <c:f>'Dívida Bruta'!$AP$1</c:f>
              <c:strCache>
                <c:ptCount val="1"/>
                <c:pt idx="0">
                  <c:v>Lula II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Bruta'!$AP$2:$AP$49</c:f>
              <c:numCache>
                <c:formatCode>\+0.0" p.p.";\-0.0" p.p.";0.0" p.p."</c:formatCode>
                <c:ptCount val="48"/>
                <c:pt idx="0">
                  <c:v>-0.97987239658968717</c:v>
                </c:pt>
                <c:pt idx="1">
                  <c:v>0.1028999099919381</c:v>
                </c:pt>
                <c:pt idx="2">
                  <c:v>-0.10659930551711883</c:v>
                </c:pt>
                <c:pt idx="3">
                  <c:v>-0.93480355167006035</c:v>
                </c:pt>
                <c:pt idx="4">
                  <c:v>-0.61180882745965892</c:v>
                </c:pt>
                <c:pt idx="5">
                  <c:v>-0.32313008657619546</c:v>
                </c:pt>
                <c:pt idx="6">
                  <c:v>-2.4509417366380681</c:v>
                </c:pt>
                <c:pt idx="7">
                  <c:v>-1.9296556367254691</c:v>
                </c:pt>
                <c:pt idx="8">
                  <c:v>-2.1341965824810294</c:v>
                </c:pt>
                <c:pt idx="9">
                  <c:v>-1.8772115550294344</c:v>
                </c:pt>
                <c:pt idx="10">
                  <c:v>-1.4324730874525238</c:v>
                </c:pt>
                <c:pt idx="11">
                  <c:v>-1.5741609990893579</c:v>
                </c:pt>
                <c:pt idx="12">
                  <c:v>-3.2977158067443946</c:v>
                </c:pt>
                <c:pt idx="13">
                  <c:v>-2.7071401723888111</c:v>
                </c:pt>
                <c:pt idx="14">
                  <c:v>-2.6640812502031652</c:v>
                </c:pt>
                <c:pt idx="15">
                  <c:v>-4.7772518654748408</c:v>
                </c:pt>
                <c:pt idx="16">
                  <c:v>-4.566806561545067</c:v>
                </c:pt>
                <c:pt idx="17">
                  <c:v>-3.222936636420326</c:v>
                </c:pt>
                <c:pt idx="18">
                  <c:v>-6.4918912192684193</c:v>
                </c:pt>
                <c:pt idx="19">
                  <c:v>-6.2673026304563955</c:v>
                </c:pt>
                <c:pt idx="20">
                  <c:v>-6.4422462292601734</c:v>
                </c:pt>
                <c:pt idx="21">
                  <c:v>-6.6620951864631017</c:v>
                </c:pt>
                <c:pt idx="22">
                  <c:v>-6.1579438153423265</c:v>
                </c:pt>
                <c:pt idx="23">
                  <c:v>-3.1787465689179339</c:v>
                </c:pt>
                <c:pt idx="24">
                  <c:v>-5.9246147720950599</c:v>
                </c:pt>
                <c:pt idx="25">
                  <c:v>-5.0424203743501872</c:v>
                </c:pt>
                <c:pt idx="26">
                  <c:v>-4.3997985817513801</c:v>
                </c:pt>
                <c:pt idx="27">
                  <c:v>-5.3376376702626853</c:v>
                </c:pt>
                <c:pt idx="28">
                  <c:v>-5.472080903138421</c:v>
                </c:pt>
                <c:pt idx="29">
                  <c:v>-3.4834502811613821</c:v>
                </c:pt>
                <c:pt idx="30">
                  <c:v>-3.1826007244698751</c:v>
                </c:pt>
                <c:pt idx="31">
                  <c:v>-1.6286956563794308</c:v>
                </c:pt>
                <c:pt idx="32">
                  <c:v>-1.4877812332212415</c:v>
                </c:pt>
                <c:pt idx="33">
                  <c:v>-1.9165153952396041</c:v>
                </c:pt>
                <c:pt idx="34">
                  <c:v>-1.9173184066046067</c:v>
                </c:pt>
                <c:pt idx="35">
                  <c:v>0.10275425632492174</c:v>
                </c:pt>
                <c:pt idx="36">
                  <c:v>-2.909833603831824</c:v>
                </c:pt>
                <c:pt idx="37">
                  <c:v>-2.488460624112987</c:v>
                </c:pt>
                <c:pt idx="38">
                  <c:v>-1.6097318641638103</c:v>
                </c:pt>
                <c:pt idx="39">
                  <c:v>-3.3458556006948914E-2</c:v>
                </c:pt>
                <c:pt idx="40">
                  <c:v>0.32308858423881759</c:v>
                </c:pt>
                <c:pt idx="41">
                  <c:v>-0.45927451058734858</c:v>
                </c:pt>
                <c:pt idx="42">
                  <c:v>-1.580041237682972</c:v>
                </c:pt>
                <c:pt idx="43">
                  <c:v>-2.1042272972085052</c:v>
                </c:pt>
                <c:pt idx="44">
                  <c:v>-2.277309481711931</c:v>
                </c:pt>
                <c:pt idx="45">
                  <c:v>-2.3116880133647211</c:v>
                </c:pt>
                <c:pt idx="46">
                  <c:v>-2.4202024440424297</c:v>
                </c:pt>
                <c:pt idx="47">
                  <c:v>-2.1656205068046885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49-4852-BB9D-955AD3310F7F}"/>
            </c:ext>
          </c:extLst>
        </c:ser>
        <c:ser>
          <c:idx val="3"/>
          <c:order val="3"/>
          <c:tx>
            <c:strRef>
              <c:f>'Dívida Bruta'!$AQ$1</c:f>
              <c:strCache>
                <c:ptCount val="1"/>
                <c:pt idx="0">
                  <c:v>Dilma 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Bruta'!$AQ$2:$AQ$49</c:f>
              <c:numCache>
                <c:formatCode>\+0.0" p.p.";\-0.0" p.p.";0.0" p.p."</c:formatCode>
                <c:ptCount val="48"/>
                <c:pt idx="0">
                  <c:v>-2.5486449481687101</c:v>
                </c:pt>
                <c:pt idx="1">
                  <c:v>-2.1210324046494256</c:v>
                </c:pt>
                <c:pt idx="2">
                  <c:v>-2.0696684151187306</c:v>
                </c:pt>
                <c:pt idx="3">
                  <c:v>-1.4515228417050219</c:v>
                </c:pt>
                <c:pt idx="4">
                  <c:v>-1.9747525016159617</c:v>
                </c:pt>
                <c:pt idx="5">
                  <c:v>-1.3514368286654976</c:v>
                </c:pt>
                <c:pt idx="6">
                  <c:v>-3.8238371384239689</c:v>
                </c:pt>
                <c:pt idx="7">
                  <c:v>-3.3303943302612882</c:v>
                </c:pt>
                <c:pt idx="8">
                  <c:v>-2.4473754124898939</c:v>
                </c:pt>
                <c:pt idx="9">
                  <c:v>-2.5945518467300532</c:v>
                </c:pt>
                <c:pt idx="10">
                  <c:v>-2.1415609049584616</c:v>
                </c:pt>
                <c:pt idx="11">
                  <c:v>-1.7994922873968977</c:v>
                </c:pt>
                <c:pt idx="12">
                  <c:v>-2.9713975464952469</c:v>
                </c:pt>
                <c:pt idx="13">
                  <c:v>-1.2906326934876033</c:v>
                </c:pt>
                <c:pt idx="14">
                  <c:v>-2.4159012274056924</c:v>
                </c:pt>
                <c:pt idx="15">
                  <c:v>-1.5523223900571148</c:v>
                </c:pt>
                <c:pt idx="16">
                  <c:v>-0.8188014820213807</c:v>
                </c:pt>
                <c:pt idx="17">
                  <c:v>6.1603493804129883E-3</c:v>
                </c:pt>
                <c:pt idx="18">
                  <c:v>-2.8398469811233285</c:v>
                </c:pt>
                <c:pt idx="19">
                  <c:v>-3.221863988829643</c:v>
                </c:pt>
                <c:pt idx="20">
                  <c:v>-2.6395230859381336</c:v>
                </c:pt>
                <c:pt idx="21">
                  <c:v>-2.4910026855013645</c:v>
                </c:pt>
                <c:pt idx="22">
                  <c:v>-1.9812893907543816</c:v>
                </c:pt>
                <c:pt idx="23">
                  <c:v>-0.81894690576076457</c:v>
                </c:pt>
                <c:pt idx="24">
                  <c:v>-3.3851402898703142</c:v>
                </c:pt>
                <c:pt idx="25">
                  <c:v>-3.1300948302970255</c:v>
                </c:pt>
                <c:pt idx="26">
                  <c:v>-3.2777660351478555</c:v>
                </c:pt>
                <c:pt idx="27">
                  <c:v>-3.8955947507468669</c:v>
                </c:pt>
                <c:pt idx="28">
                  <c:v>-4.3580602921757583</c:v>
                </c:pt>
                <c:pt idx="29">
                  <c:v>-3.8051117076203567</c:v>
                </c:pt>
                <c:pt idx="30">
                  <c:v>-4.8465742292734042</c:v>
                </c:pt>
                <c:pt idx="31">
                  <c:v>-4.4598404994595668</c:v>
                </c:pt>
                <c:pt idx="32">
                  <c:v>-4.6925599450338034</c:v>
                </c:pt>
                <c:pt idx="33">
                  <c:v>-4.3460017854880739</c:v>
                </c:pt>
                <c:pt idx="34">
                  <c:v>-3.5488133016007395</c:v>
                </c:pt>
                <c:pt idx="35">
                  <c:v>-2.838519981349541</c:v>
                </c:pt>
                <c:pt idx="36">
                  <c:v>-4.6937037368775965</c:v>
                </c:pt>
                <c:pt idx="37">
                  <c:v>-4.6553454563559526</c:v>
                </c:pt>
                <c:pt idx="38">
                  <c:v>-4.664417735797322</c:v>
                </c:pt>
                <c:pt idx="39">
                  <c:v>-5.3624181777607083</c:v>
                </c:pt>
                <c:pt idx="40">
                  <c:v>-4.3824308303567534</c:v>
                </c:pt>
                <c:pt idx="41">
                  <c:v>-3.128630089003237</c:v>
                </c:pt>
                <c:pt idx="42">
                  <c:v>-4.526064153290033</c:v>
                </c:pt>
                <c:pt idx="43">
                  <c:v>-4.3702102498797029</c:v>
                </c:pt>
                <c:pt idx="44">
                  <c:v>-4.3738468178220247</c:v>
                </c:pt>
                <c:pt idx="45">
                  <c:v>-5.0053721638500299</c:v>
                </c:pt>
                <c:pt idx="46">
                  <c:v>-3.5996173761897565</c:v>
                </c:pt>
                <c:pt idx="47">
                  <c:v>-0.81605266009913136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49-4852-BB9D-955AD3310F7F}"/>
            </c:ext>
          </c:extLst>
        </c:ser>
        <c:ser>
          <c:idx val="4"/>
          <c:order val="4"/>
          <c:tx>
            <c:strRef>
              <c:f>'Dívida Bruta'!$AR$1</c:f>
              <c:strCache>
                <c:ptCount val="1"/>
                <c:pt idx="0">
                  <c:v>Dilma II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Bruta'!$AR$2:$AR$49</c:f>
              <c:numCache>
                <c:formatCode>\+0.0" p.p.";\-0.0" p.p.";0.0" p.p."</c:formatCode>
                <c:ptCount val="48"/>
                <c:pt idx="0">
                  <c:v>-1.9098735860428873</c:v>
                </c:pt>
                <c:pt idx="1">
                  <c:v>-0.14224503651254494</c:v>
                </c:pt>
                <c:pt idx="2">
                  <c:v>2.296703620635876</c:v>
                </c:pt>
                <c:pt idx="3">
                  <c:v>2.0669178198283289</c:v>
                </c:pt>
                <c:pt idx="4">
                  <c:v>2.7163943396640633</c:v>
                </c:pt>
                <c:pt idx="5">
                  <c:v>4.0338340168217695</c:v>
                </c:pt>
                <c:pt idx="6">
                  <c:v>4.0791211258233373</c:v>
                </c:pt>
                <c:pt idx="7">
                  <c:v>5.9030373037929351</c:v>
                </c:pt>
                <c:pt idx="8">
                  <c:v>8.0685119987687788</c:v>
                </c:pt>
                <c:pt idx="9">
                  <c:v>6.369449077980482</c:v>
                </c:pt>
                <c:pt idx="10">
                  <c:v>7.5943760692191553</c:v>
                </c:pt>
                <c:pt idx="11">
                  <c:v>10.11252735940278</c:v>
                </c:pt>
                <c:pt idx="12">
                  <c:v>8.8607581308859036</c:v>
                </c:pt>
                <c:pt idx="13">
                  <c:v>9.9307884264075774</c:v>
                </c:pt>
                <c:pt idx="14">
                  <c:v>10.962745335484946</c:v>
                </c:pt>
                <c:pt idx="15">
                  <c:v>9.3568394999391185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849-4852-BB9D-955AD3310F7F}"/>
            </c:ext>
          </c:extLst>
        </c:ser>
        <c:ser>
          <c:idx val="5"/>
          <c:order val="5"/>
          <c:tx>
            <c:strRef>
              <c:f>'Dívida Bruta'!$AS$1</c:f>
              <c:strCache>
                <c:ptCount val="1"/>
                <c:pt idx="0">
                  <c:v>Temer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Bruta'!$AS$2:$AS$49</c:f>
              <c:numCache>
                <c:formatCode>\+0.0" p.p.";\-0.0" p.p.";0.0" p.p."</c:formatCode>
                <c:ptCount val="48"/>
                <c:pt idx="0">
                  <c:v>1.2807898424486819</c:v>
                </c:pt>
                <c:pt idx="1">
                  <c:v>2.2971152264105843</c:v>
                </c:pt>
                <c:pt idx="2">
                  <c:v>1.9290130252536453</c:v>
                </c:pt>
                <c:pt idx="3">
                  <c:v>1.3632366982059607</c:v>
                </c:pt>
                <c:pt idx="4">
                  <c:v>3.23441881496217</c:v>
                </c:pt>
                <c:pt idx="5">
                  <c:v>2.9327350356557647</c:v>
                </c:pt>
                <c:pt idx="6">
                  <c:v>3.7697284242353635</c:v>
                </c:pt>
                <c:pt idx="7">
                  <c:v>6.4481897599408917</c:v>
                </c:pt>
                <c:pt idx="8">
                  <c:v>5.6486570236062956</c:v>
                </c:pt>
                <c:pt idx="9">
                  <c:v>7.0563432571465912</c:v>
                </c:pt>
                <c:pt idx="10">
                  <c:v>8.5320991527627843</c:v>
                </c:pt>
                <c:pt idx="11">
                  <c:v>8.7100903773182026</c:v>
                </c:pt>
                <c:pt idx="12">
                  <c:v>8.0963010842835086</c:v>
                </c:pt>
                <c:pt idx="13">
                  <c:v>9.5731853243003826</c:v>
                </c:pt>
                <c:pt idx="14">
                  <c:v>8.2275822278253798</c:v>
                </c:pt>
                <c:pt idx="15">
                  <c:v>9.9694750340405864</c:v>
                </c:pt>
                <c:pt idx="16">
                  <c:v>10.462142018296083</c:v>
                </c:pt>
                <c:pt idx="17">
                  <c:v>10.190577592531424</c:v>
                </c:pt>
                <c:pt idx="18">
                  <c:v>10.849073636862261</c:v>
                </c:pt>
                <c:pt idx="19">
                  <c:v>11.770963983320726</c:v>
                </c:pt>
                <c:pt idx="20">
                  <c:v>10.813911552799649</c:v>
                </c:pt>
                <c:pt idx="21">
                  <c:v>11.448735704713997</c:v>
                </c:pt>
                <c:pt idx="22">
                  <c:v>12.737838804054579</c:v>
                </c:pt>
                <c:pt idx="23">
                  <c:v>12.896439414340776</c:v>
                </c:pt>
                <c:pt idx="24">
                  <c:v>13.980454983558888</c:v>
                </c:pt>
                <c:pt idx="25">
                  <c:v>14.368725125380822</c:v>
                </c:pt>
                <c:pt idx="26">
                  <c:v>13.352379996496245</c:v>
                </c:pt>
                <c:pt idx="27">
                  <c:v>13.482640759104857</c:v>
                </c:pt>
                <c:pt idx="28">
                  <c:v>13.470505299685742</c:v>
                </c:pt>
                <c:pt idx="29">
                  <c:v>12.314011833246042</c:v>
                </c:pt>
                <c:pt idx="30">
                  <c:v>13.101170509780957</c:v>
                </c:pt>
                <c:pt idx="31">
                  <c:v>13.803057088773096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849-4852-BB9D-955AD3310F7F}"/>
            </c:ext>
          </c:extLst>
        </c:ser>
        <c:ser>
          <c:idx val="6"/>
          <c:order val="6"/>
          <c:tx>
            <c:strRef>
              <c:f>'Dívida Bruta'!$AT$1</c:f>
              <c:strCache>
                <c:ptCount val="1"/>
                <c:pt idx="0">
                  <c:v>Bolsonaro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Bruta'!$AT$2:$AT$49</c:f>
              <c:numCache>
                <c:formatCode>\+0.0" p.p.";\-0.0" p.p.";0.0" p.p."</c:formatCode>
                <c:ptCount val="48"/>
                <c:pt idx="0">
                  <c:v>-1.4212495076768583</c:v>
                </c:pt>
                <c:pt idx="1">
                  <c:v>-0.4656956407041557</c:v>
                </c:pt>
                <c:pt idx="2">
                  <c:v>8.5219078573217644E-2</c:v>
                </c:pt>
                <c:pt idx="3">
                  <c:v>-0.33733216645249753</c:v>
                </c:pt>
                <c:pt idx="4">
                  <c:v>-1.1933668514829909</c:v>
                </c:pt>
                <c:pt idx="5">
                  <c:v>-2.4091328257069833E-2</c:v>
                </c:pt>
                <c:pt idx="6">
                  <c:v>-0.96003622593846538</c:v>
                </c:pt>
                <c:pt idx="7">
                  <c:v>0.42913128316192095</c:v>
                </c:pt>
                <c:pt idx="8">
                  <c:v>1.2636172080800145</c:v>
                </c:pt>
                <c:pt idx="9">
                  <c:v>0.20141070579492437</c:v>
                </c:pt>
                <c:pt idx="10">
                  <c:v>1.79312816576922</c:v>
                </c:pt>
                <c:pt idx="11">
                  <c:v>2.3414350288974983</c:v>
                </c:pt>
                <c:pt idx="12">
                  <c:v>1.7592433698844778</c:v>
                </c:pt>
                <c:pt idx="13">
                  <c:v>2.2608961012737461</c:v>
                </c:pt>
                <c:pt idx="14">
                  <c:v>0.82793897415855966</c:v>
                </c:pt>
                <c:pt idx="15">
                  <c:v>1.7289285898769546</c:v>
                </c:pt>
                <c:pt idx="16">
                  <c:v>3.4338811306986794</c:v>
                </c:pt>
                <c:pt idx="17">
                  <c:v>5.4462658092436218</c:v>
                </c:pt>
                <c:pt idx="18">
                  <c:v>3.8240062063454205</c:v>
                </c:pt>
                <c:pt idx="19">
                  <c:v>4.6859071960008496</c:v>
                </c:pt>
                <c:pt idx="20">
                  <c:v>5.9916230761879241</c:v>
                </c:pt>
                <c:pt idx="21">
                  <c:v>7.7594410025097149</c:v>
                </c:pt>
                <c:pt idx="22">
                  <c:v>9.0490334059658455</c:v>
                </c:pt>
                <c:pt idx="23">
                  <c:v>11.229793113627595</c:v>
                </c:pt>
                <c:pt idx="24">
                  <c:v>10.714331473888695</c:v>
                </c:pt>
                <c:pt idx="25">
                  <c:v>11.949173138811364</c:v>
                </c:pt>
                <c:pt idx="26">
                  <c:v>11.095467595175279</c:v>
                </c:pt>
                <c:pt idx="27">
                  <c:v>7.3019037498394219</c:v>
                </c:pt>
                <c:pt idx="28">
                  <c:v>6.5350700861130262</c:v>
                </c:pt>
                <c:pt idx="29">
                  <c:v>7.0895329177230737</c:v>
                </c:pt>
                <c:pt idx="30">
                  <c:v>6.2964152533604434</c:v>
                </c:pt>
                <c:pt idx="31">
                  <c:v>5.9862484768431923</c:v>
                </c:pt>
                <c:pt idx="32">
                  <c:v>4.5416064929137301</c:v>
                </c:pt>
                <c:pt idx="33">
                  <c:v>3.0955841011063856</c:v>
                </c:pt>
                <c:pt idx="34">
                  <c:v>3.526620020657012</c:v>
                </c:pt>
                <c:pt idx="35">
                  <c:v>4.157226701036965</c:v>
                </c:pt>
                <c:pt idx="36">
                  <c:v>3.5074716299195341</c:v>
                </c:pt>
                <c:pt idx="37">
                  <c:v>4.341635505951313</c:v>
                </c:pt>
                <c:pt idx="38">
                  <c:v>1.9974417699292313</c:v>
                </c:pt>
                <c:pt idx="39">
                  <c:v>1.6721820466508275</c:v>
                </c:pt>
                <c:pt idx="40">
                  <c:v>1.8664951240513261</c:v>
                </c:pt>
                <c:pt idx="41">
                  <c:v>2.7735260384006755</c:v>
                </c:pt>
                <c:pt idx="42">
                  <c:v>1.2259714411051559</c:v>
                </c:pt>
                <c:pt idx="43">
                  <c:v>-4.3114143738987032E-2</c:v>
                </c:pt>
                <c:pt idx="44">
                  <c:v>-1.6011391073980197</c:v>
                </c:pt>
                <c:pt idx="45">
                  <c:v>-1.9731476973912199</c:v>
                </c:pt>
                <c:pt idx="46">
                  <c:v>-1.2527726255874616</c:v>
                </c:pt>
                <c:pt idx="47">
                  <c:v>-0.83821644261832251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849-4852-BB9D-955AD3310F7F}"/>
            </c:ext>
          </c:extLst>
        </c:ser>
        <c:ser>
          <c:idx val="7"/>
          <c:order val="7"/>
          <c:tx>
            <c:strRef>
              <c:f>'Dívida Bruta'!$AU$1</c:f>
              <c:strCache>
                <c:ptCount val="1"/>
                <c:pt idx="0">
                  <c:v>Lula III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Bruta'!$AU$2:$AU$49</c:f>
              <c:numCache>
                <c:formatCode>\+0.0" p.p.";\-0.0" p.p.";0.0" p.p."</c:formatCode>
                <c:ptCount val="48"/>
                <c:pt idx="0">
                  <c:v>-2.6150073285657438</c:v>
                </c:pt>
                <c:pt idx="1">
                  <c:v>-2.065326719067484</c:v>
                </c:pt>
                <c:pt idx="2">
                  <c:v>-2.277167170078942</c:v>
                </c:pt>
                <c:pt idx="3">
                  <c:v>-1.3660648380299678</c:v>
                </c:pt>
                <c:pt idx="4">
                  <c:v>-1.9641486178864409</c:v>
                </c:pt>
                <c:pt idx="5">
                  <c:v>-0.64290952954904057</c:v>
                </c:pt>
                <c:pt idx="6">
                  <c:v>-1.6412093198858835</c:v>
                </c:pt>
                <c:pt idx="7">
                  <c:v>-0.80893002034527761</c:v>
                </c:pt>
                <c:pt idx="8">
                  <c:v>-2.8235059986589151</c:v>
                </c:pt>
                <c:pt idx="9">
                  <c:v>-2.4521098406051878</c:v>
                </c:pt>
                <c:pt idx="10">
                  <c:v>-1.4605312589346942</c:v>
                </c:pt>
                <c:pt idx="11">
                  <c:v>6.1683442112048237E-2</c:v>
                </c:pt>
                <c:pt idx="12">
                  <c:v>-0.81597176847792996</c:v>
                </c:pt>
                <c:pt idx="13">
                  <c:v>3.8044731202457882E-2</c:v>
                </c:pt>
                <c:pt idx="14">
                  <c:v>0.45856221682892828</c:v>
                </c:pt>
                <c:pt idx="15">
                  <c:v>0.71278816473411277</c:v>
                </c:pt>
                <c:pt idx="16">
                  <c:v>2.2882644476951652</c:v>
                </c:pt>
                <c:pt idx="17">
                  <c:v>3.4269910217521904</c:v>
                </c:pt>
                <c:pt idx="18">
                  <c:v>3.4577587161039869</c:v>
                </c:pt>
                <c:pt idx="19">
                  <c:v>1.8692059428048413</c:v>
                </c:pt>
                <c:pt idx="20">
                  <c:v>0.58785222852599794</c:v>
                </c:pt>
                <c:pt idx="21">
                  <c:v>1.2632606243982769</c:v>
                </c:pt>
                <c:pt idx="22">
                  <c:v>2.177824382630289</c:v>
                </c:pt>
                <c:pt idx="23">
                  <c:v>3.0890603101489278</c:v>
                </c:pt>
                <c:pt idx="24">
                  <c:v>2.8672592548695697</c:v>
                </c:pt>
                <c:pt idx="25">
                  <c:v>4.319028104407252</c:v>
                </c:pt>
                <c:pt idx="26">
                  <c:v>3.9077759913867527</c:v>
                </c:pt>
                <c:pt idx="27">
                  <c:v>4.2417977612941531</c:v>
                </c:pt>
                <c:pt idx="28">
                  <c:v>4.0605548228724082</c:v>
                </c:pt>
                <c:pt idx="29">
                  <c:v>5.5811218497443189</c:v>
                </c:pt>
                <c:pt idx="30">
                  <c:v>5.5396048734129399</c:v>
                </c:pt>
                <c:pt idx="31">
                  <c:v>6.8805986506363386</c:v>
                </c:pt>
                <c:pt idx="32">
                  <c:v>6.2354817006631702</c:v>
                </c:pt>
                <c:pt idx="33">
                  <c:v>6.7369488243400388</c:v>
                </c:pt>
                <c:pt idx="34">
                  <c:v>8.3540387364518409</c:v>
                </c:pt>
                <c:pt idx="35">
                  <c:v>9.3903496853885002</c:v>
                </c:pt>
                <c:pt idx="36">
                  <c:v>8.7476608670444591</c:v>
                </c:pt>
                <c:pt idx="37">
                  <c:v>9.9697898662408306</c:v>
                </c:pt>
                <c:pt idx="38">
                  <c:v>7.8605733155923341</c:v>
                </c:pt>
                <c:pt idx="39">
                  <c:v>8.8208112740662532</c:v>
                </c:pt>
                <c:pt idx="40">
                  <c:v>10.303386705434381</c:v>
                </c:pt>
                <c:pt idx="41">
                  <c:v>11.838938105295382</c:v>
                </c:pt>
                <c:pt idx="42">
                  <c:v>11.489823045833692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849-4852-BB9D-955AD3310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8952879"/>
        <c:axId val="2007023183"/>
      </c:lineChart>
      <c:catAx>
        <c:axId val="202895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023183"/>
        <c:crosses val="autoZero"/>
        <c:auto val="1"/>
        <c:lblAlgn val="ctr"/>
        <c:lblOffset val="100"/>
        <c:noMultiLvlLbl val="0"/>
      </c:catAx>
      <c:valAx>
        <c:axId val="200702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+0.0&quot; p.p.&quot;;\-0.0&quot; p.p.&quot;;0.0&quot; p.p.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895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'Dívida Líquida GF e BC'!$G$1</c:f>
              <c:strCache>
                <c:ptCount val="1"/>
                <c:pt idx="0">
                  <c:v>FHC 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BC'!$G$2:$G$49</c:f>
              <c:numCache>
                <c:formatCode>General</c:formatCode>
                <c:ptCount val="48"/>
                <c:pt idx="0">
                  <c:v>99.147019550487485</c:v>
                </c:pt>
                <c:pt idx="1">
                  <c:v>103.75395242223085</c:v>
                </c:pt>
                <c:pt idx="2">
                  <c:v>108.29393125758604</c:v>
                </c:pt>
                <c:pt idx="3">
                  <c:v>109.31172982162855</c:v>
                </c:pt>
                <c:pt idx="4">
                  <c:v>107.36157199814508</c:v>
                </c:pt>
                <c:pt idx="5">
                  <c:v>115.21329979353308</c:v>
                </c:pt>
                <c:pt idx="6">
                  <c:v>119.33291725024876</c:v>
                </c:pt>
                <c:pt idx="7">
                  <c:v>119.17279260151822</c:v>
                </c:pt>
                <c:pt idx="8">
                  <c:v>122.72945237886566</c:v>
                </c:pt>
                <c:pt idx="9">
                  <c:v>127.00094674344103</c:v>
                </c:pt>
                <c:pt idx="10">
                  <c:v>130.48993859154407</c:v>
                </c:pt>
                <c:pt idx="11">
                  <c:v>137.32002495283371</c:v>
                </c:pt>
                <c:pt idx="12">
                  <c:v>139.96320565840591</c:v>
                </c:pt>
                <c:pt idx="13">
                  <c:v>142.87886559691086</c:v>
                </c:pt>
                <c:pt idx="14">
                  <c:v>139.211157507396</c:v>
                </c:pt>
                <c:pt idx="15">
                  <c:v>145.4290883390766</c:v>
                </c:pt>
                <c:pt idx="16">
                  <c:v>158.90405902769916</c:v>
                </c:pt>
                <c:pt idx="17">
                  <c:v>170.74149620702644</c:v>
                </c:pt>
                <c:pt idx="18">
                  <c:v>175.37270143588154</c:v>
                </c:pt>
                <c:pt idx="19">
                  <c:v>178.8098525112548</c:v>
                </c:pt>
                <c:pt idx="20">
                  <c:v>180.95924719846417</c:v>
                </c:pt>
                <c:pt idx="21">
                  <c:v>185.15831941115684</c:v>
                </c:pt>
                <c:pt idx="22">
                  <c:v>189.72858553066766</c:v>
                </c:pt>
                <c:pt idx="23">
                  <c:v>195.04962390757302</c:v>
                </c:pt>
                <c:pt idx="24">
                  <c:v>199.4483734710731</c:v>
                </c:pt>
                <c:pt idx="25">
                  <c:v>201.20959271501192</c:v>
                </c:pt>
                <c:pt idx="26">
                  <c:v>202.16880649721477</c:v>
                </c:pt>
                <c:pt idx="27">
                  <c:v>204.59860918482391</c:v>
                </c:pt>
                <c:pt idx="28">
                  <c:v>204.21840807664955</c:v>
                </c:pt>
                <c:pt idx="29">
                  <c:v>197.86362246550942</c:v>
                </c:pt>
                <c:pt idx="30">
                  <c:v>201.32483324905849</c:v>
                </c:pt>
                <c:pt idx="31">
                  <c:v>200.88016913488786</c:v>
                </c:pt>
                <c:pt idx="32">
                  <c:v>217.48817254213137</c:v>
                </c:pt>
                <c:pt idx="33">
                  <c:v>226.91889463260404</c:v>
                </c:pt>
                <c:pt idx="34">
                  <c:v>233.798148465715</c:v>
                </c:pt>
                <c:pt idx="35">
                  <c:v>254.78656806034235</c:v>
                </c:pt>
                <c:pt idx="36">
                  <c:v>264.01402814651675</c:v>
                </c:pt>
                <c:pt idx="37">
                  <c:v>269.44122391006391</c:v>
                </c:pt>
                <c:pt idx="38">
                  <c:v>269.64746299946472</c:v>
                </c:pt>
                <c:pt idx="39">
                  <c:v>277.06360982808684</c:v>
                </c:pt>
                <c:pt idx="40">
                  <c:v>283.11325940542434</c:v>
                </c:pt>
                <c:pt idx="41">
                  <c:v>297.40502984603751</c:v>
                </c:pt>
                <c:pt idx="42">
                  <c:v>302.47514247858425</c:v>
                </c:pt>
                <c:pt idx="43">
                  <c:v>297.10353922256451</c:v>
                </c:pt>
                <c:pt idx="44">
                  <c:v>306.07644334326039</c:v>
                </c:pt>
                <c:pt idx="45">
                  <c:v>316.00227291334045</c:v>
                </c:pt>
                <c:pt idx="46">
                  <c:v>343.00470819933275</c:v>
                </c:pt>
                <c:pt idx="47">
                  <c:v>351.27742013095821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E-4FC7-A2A8-F23A8DE5EC47}"/>
            </c:ext>
          </c:extLst>
        </c:ser>
        <c:ser>
          <c:idx val="1"/>
          <c:order val="1"/>
          <c:tx>
            <c:strRef>
              <c:f>'Dívida Líquida GF e BC'!$H$1</c:f>
              <c:strCache>
                <c:ptCount val="1"/>
                <c:pt idx="0">
                  <c:v>FHC II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BC'!$H$2:$H$49</c:f>
              <c:numCache>
                <c:formatCode>General</c:formatCode>
                <c:ptCount val="48"/>
                <c:pt idx="0">
                  <c:v>132.10536843573598</c:v>
                </c:pt>
                <c:pt idx="1">
                  <c:v>137.42671589215166</c:v>
                </c:pt>
                <c:pt idx="2">
                  <c:v>125.46754683554224</c:v>
                </c:pt>
                <c:pt idx="3">
                  <c:v>124.16636232965307</c:v>
                </c:pt>
                <c:pt idx="4">
                  <c:v>128.89498985029218</c:v>
                </c:pt>
                <c:pt idx="5">
                  <c:v>130.6707282217572</c:v>
                </c:pt>
                <c:pt idx="6">
                  <c:v>132.3551827851131</c:v>
                </c:pt>
                <c:pt idx="7">
                  <c:v>137.35572025739521</c:v>
                </c:pt>
                <c:pt idx="8">
                  <c:v>136.50782854539077</c:v>
                </c:pt>
                <c:pt idx="9">
                  <c:v>139.07420464263632</c:v>
                </c:pt>
                <c:pt idx="10">
                  <c:v>137.67548383531573</c:v>
                </c:pt>
                <c:pt idx="11">
                  <c:v>136.73402524710104</c:v>
                </c:pt>
                <c:pt idx="12">
                  <c:v>139.14515271347398</c:v>
                </c:pt>
                <c:pt idx="13">
                  <c:v>139.87511617487161</c:v>
                </c:pt>
                <c:pt idx="14">
                  <c:v>139.20029226730887</c:v>
                </c:pt>
                <c:pt idx="15">
                  <c:v>142.5269689581435</c:v>
                </c:pt>
                <c:pt idx="16">
                  <c:v>144.40890026425649</c:v>
                </c:pt>
                <c:pt idx="17">
                  <c:v>144.54071717914482</c:v>
                </c:pt>
                <c:pt idx="18">
                  <c:v>145.12458157804457</c:v>
                </c:pt>
                <c:pt idx="19">
                  <c:v>143.07289464583343</c:v>
                </c:pt>
                <c:pt idx="20">
                  <c:v>143.57095373526803</c:v>
                </c:pt>
                <c:pt idx="21">
                  <c:v>148.00203002805321</c:v>
                </c:pt>
                <c:pt idx="22">
                  <c:v>150.68771372955001</c:v>
                </c:pt>
                <c:pt idx="23">
                  <c:v>152.62264853714575</c:v>
                </c:pt>
                <c:pt idx="24">
                  <c:v>145.98317517177279</c:v>
                </c:pt>
                <c:pt idx="25">
                  <c:v>149.84904509379476</c:v>
                </c:pt>
                <c:pt idx="26">
                  <c:v>153.51795282818088</c:v>
                </c:pt>
                <c:pt idx="27">
                  <c:v>155.96404409884406</c:v>
                </c:pt>
                <c:pt idx="28">
                  <c:v>162.09783085180837</c:v>
                </c:pt>
                <c:pt idx="29">
                  <c:v>163.6107526281011</c:v>
                </c:pt>
                <c:pt idx="30">
                  <c:v>170.90621026521035</c:v>
                </c:pt>
                <c:pt idx="31">
                  <c:v>176.60529739253732</c:v>
                </c:pt>
                <c:pt idx="32">
                  <c:v>180.9407572366124</c:v>
                </c:pt>
                <c:pt idx="33">
                  <c:v>181.13509043673798</c:v>
                </c:pt>
                <c:pt idx="34">
                  <c:v>175.48179871520344</c:v>
                </c:pt>
                <c:pt idx="35">
                  <c:v>178.04989143751743</c:v>
                </c:pt>
                <c:pt idx="36">
                  <c:v>184.65367456784077</c:v>
                </c:pt>
                <c:pt idx="37">
                  <c:v>182.96680289261275</c:v>
                </c:pt>
                <c:pt idx="38">
                  <c:v>182.77732121220197</c:v>
                </c:pt>
                <c:pt idx="39">
                  <c:v>185.03599767092464</c:v>
                </c:pt>
                <c:pt idx="40">
                  <c:v>193.32240199173481</c:v>
                </c:pt>
                <c:pt idx="41">
                  <c:v>208.33917865068432</c:v>
                </c:pt>
                <c:pt idx="42">
                  <c:v>231.62290598766617</c:v>
                </c:pt>
                <c:pt idx="43">
                  <c:v>218.26074834302449</c:v>
                </c:pt>
                <c:pt idx="44">
                  <c:v>254.10464079425873</c:v>
                </c:pt>
                <c:pt idx="45">
                  <c:v>245.86931579821731</c:v>
                </c:pt>
                <c:pt idx="46">
                  <c:v>244.41874167144977</c:v>
                </c:pt>
                <c:pt idx="47">
                  <c:v>242.50196763283981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DE-4FC7-A2A8-F23A8DE5EC47}"/>
            </c:ext>
          </c:extLst>
        </c:ser>
        <c:ser>
          <c:idx val="2"/>
          <c:order val="2"/>
          <c:tx>
            <c:strRef>
              <c:f>'Dívida Líquida GF e BC'!$I$1</c:f>
              <c:strCache>
                <c:ptCount val="1"/>
                <c:pt idx="0">
                  <c:v>Lula I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BC'!$I$2:$I$49</c:f>
              <c:numCache>
                <c:formatCode>General</c:formatCode>
                <c:ptCount val="48"/>
                <c:pt idx="0">
                  <c:v>100.63897928783332</c:v>
                </c:pt>
                <c:pt idx="1">
                  <c:v>102.53407626234331</c:v>
                </c:pt>
                <c:pt idx="2">
                  <c:v>99.657879564748484</c:v>
                </c:pt>
                <c:pt idx="3">
                  <c:v>91.057731305605884</c:v>
                </c:pt>
                <c:pt idx="4">
                  <c:v>93.808433382578315</c:v>
                </c:pt>
                <c:pt idx="5">
                  <c:v>94.007317598264663</c:v>
                </c:pt>
                <c:pt idx="6">
                  <c:v>97.470894951511241</c:v>
                </c:pt>
                <c:pt idx="7">
                  <c:v>100.01037749807509</c:v>
                </c:pt>
                <c:pt idx="8">
                  <c:v>100.06018413960966</c:v>
                </c:pt>
                <c:pt idx="9">
                  <c:v>99.407585722859267</c:v>
                </c:pt>
                <c:pt idx="10">
                  <c:v>101.73564725150895</c:v>
                </c:pt>
                <c:pt idx="11">
                  <c:v>103.19512467280126</c:v>
                </c:pt>
                <c:pt idx="12">
                  <c:v>104.02537087876478</c:v>
                </c:pt>
                <c:pt idx="13">
                  <c:v>104.00363162506522</c:v>
                </c:pt>
                <c:pt idx="14">
                  <c:v>103.55678226379311</c:v>
                </c:pt>
                <c:pt idx="15">
                  <c:v>104.00269016132235</c:v>
                </c:pt>
                <c:pt idx="16">
                  <c:v>106.57992219444075</c:v>
                </c:pt>
                <c:pt idx="17">
                  <c:v>106.31902975314289</c:v>
                </c:pt>
                <c:pt idx="18">
                  <c:v>105.78606142244975</c:v>
                </c:pt>
                <c:pt idx="19">
                  <c:v>105.64344749615402</c:v>
                </c:pt>
                <c:pt idx="20">
                  <c:v>104.8479320303119</c:v>
                </c:pt>
                <c:pt idx="21">
                  <c:v>105.72297621937479</c:v>
                </c:pt>
                <c:pt idx="22">
                  <c:v>105.34272828561132</c:v>
                </c:pt>
                <c:pt idx="23">
                  <c:v>107.24800305376606</c:v>
                </c:pt>
                <c:pt idx="24">
                  <c:v>107.6327514695126</c:v>
                </c:pt>
                <c:pt idx="25">
                  <c:v>108.33156541420253</c:v>
                </c:pt>
                <c:pt idx="26">
                  <c:v>109.43441886599197</c:v>
                </c:pt>
                <c:pt idx="27">
                  <c:v>107.45475776369697</c:v>
                </c:pt>
                <c:pt idx="28">
                  <c:v>108.08087751267848</c:v>
                </c:pt>
                <c:pt idx="29">
                  <c:v>110.03481062189353</c:v>
                </c:pt>
                <c:pt idx="30">
                  <c:v>111.46147054282983</c:v>
                </c:pt>
                <c:pt idx="31">
                  <c:v>112.77648498877075</c:v>
                </c:pt>
                <c:pt idx="32">
                  <c:v>113.75846733411454</c:v>
                </c:pt>
                <c:pt idx="33">
                  <c:v>114.77754299431332</c:v>
                </c:pt>
                <c:pt idx="34">
                  <c:v>116.06969663220947</c:v>
                </c:pt>
                <c:pt idx="35">
                  <c:v>118.43607109919922</c:v>
                </c:pt>
                <c:pt idx="36">
                  <c:v>120.2460743725688</c:v>
                </c:pt>
                <c:pt idx="37">
                  <c:v>121.35139025130698</c:v>
                </c:pt>
                <c:pt idx="38">
                  <c:v>122.30866095647509</c:v>
                </c:pt>
                <c:pt idx="39">
                  <c:v>121.58914015866729</c:v>
                </c:pt>
                <c:pt idx="40">
                  <c:v>122.23295871278512</c:v>
                </c:pt>
                <c:pt idx="41">
                  <c:v>123.48096697313093</c:v>
                </c:pt>
                <c:pt idx="42">
                  <c:v>124.52911745869265</c:v>
                </c:pt>
                <c:pt idx="43">
                  <c:v>125.71991218282969</c:v>
                </c:pt>
                <c:pt idx="44">
                  <c:v>127.04984561956</c:v>
                </c:pt>
                <c:pt idx="45">
                  <c:v>127.57559427848233</c:v>
                </c:pt>
                <c:pt idx="46">
                  <c:v>128.70695732077391</c:v>
                </c:pt>
                <c:pt idx="47">
                  <c:v>131.19865701623536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DE-4FC7-A2A8-F23A8DE5EC47}"/>
            </c:ext>
          </c:extLst>
        </c:ser>
        <c:ser>
          <c:idx val="3"/>
          <c:order val="3"/>
          <c:tx>
            <c:strRef>
              <c:f>'Dívida Líquida GF e BC'!$J$1</c:f>
              <c:strCache>
                <c:ptCount val="1"/>
                <c:pt idx="0">
                  <c:v>Lula II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BC'!$J$2:$J$49</c:f>
              <c:numCache>
                <c:formatCode>General</c:formatCode>
                <c:ptCount val="48"/>
                <c:pt idx="0">
                  <c:v>99.921081802840192</c:v>
                </c:pt>
                <c:pt idx="1">
                  <c:v>101.04031139553869</c:v>
                </c:pt>
                <c:pt idx="2">
                  <c:v>102.76580094033177</c:v>
                </c:pt>
                <c:pt idx="3">
                  <c:v>102.46227819444603</c:v>
                </c:pt>
                <c:pt idx="4">
                  <c:v>104.96885783672595</c:v>
                </c:pt>
                <c:pt idx="5">
                  <c:v>105.31537732786802</c:v>
                </c:pt>
                <c:pt idx="6">
                  <c:v>106.76250857773992</c:v>
                </c:pt>
                <c:pt idx="7">
                  <c:v>105.93317302525246</c:v>
                </c:pt>
                <c:pt idx="8">
                  <c:v>108.5577657338025</c:v>
                </c:pt>
                <c:pt idx="9">
                  <c:v>109.95853927021568</c:v>
                </c:pt>
                <c:pt idx="10">
                  <c:v>109.03383403650457</c:v>
                </c:pt>
                <c:pt idx="11">
                  <c:v>110.9922456089555</c:v>
                </c:pt>
                <c:pt idx="12">
                  <c:v>109.01776037256215</c:v>
                </c:pt>
                <c:pt idx="13">
                  <c:v>110.96608768134072</c:v>
                </c:pt>
                <c:pt idx="14">
                  <c:v>109.05987508451346</c:v>
                </c:pt>
                <c:pt idx="15">
                  <c:v>110.20056295741716</c:v>
                </c:pt>
                <c:pt idx="16">
                  <c:v>112.40044100034373</c:v>
                </c:pt>
                <c:pt idx="17">
                  <c:v>113.24958628696703</c:v>
                </c:pt>
                <c:pt idx="18">
                  <c:v>114.20497377629361</c:v>
                </c:pt>
                <c:pt idx="19">
                  <c:v>112.58891751925808</c:v>
                </c:pt>
                <c:pt idx="20">
                  <c:v>106.30998200217155</c:v>
                </c:pt>
                <c:pt idx="21">
                  <c:v>100.92419558426674</c:v>
                </c:pt>
                <c:pt idx="22">
                  <c:v>95.786295860771261</c:v>
                </c:pt>
                <c:pt idx="23">
                  <c:v>98.98435699663338</c:v>
                </c:pt>
                <c:pt idx="24">
                  <c:v>101.91458036117102</c:v>
                </c:pt>
                <c:pt idx="25">
                  <c:v>102.16464699613702</c:v>
                </c:pt>
                <c:pt idx="26">
                  <c:v>103.58241428362285</c:v>
                </c:pt>
                <c:pt idx="27">
                  <c:v>107.24058014252459</c:v>
                </c:pt>
                <c:pt idx="28">
                  <c:v>112.73180011934761</c:v>
                </c:pt>
                <c:pt idx="29">
                  <c:v>114.95919923226947</c:v>
                </c:pt>
                <c:pt idx="30">
                  <c:v>118.44310303502625</c:v>
                </c:pt>
                <c:pt idx="31">
                  <c:v>119.34937798576421</c:v>
                </c:pt>
                <c:pt idx="32">
                  <c:v>124.51451065743575</c:v>
                </c:pt>
                <c:pt idx="33">
                  <c:v>125.22188777742114</c:v>
                </c:pt>
                <c:pt idx="34">
                  <c:v>124.96774258783509</c:v>
                </c:pt>
                <c:pt idx="35">
                  <c:v>126.73762463782944</c:v>
                </c:pt>
                <c:pt idx="36">
                  <c:v>122.84547260323004</c:v>
                </c:pt>
                <c:pt idx="37">
                  <c:v>125.96192187473576</c:v>
                </c:pt>
                <c:pt idx="38">
                  <c:v>128.84884406341564</c:v>
                </c:pt>
                <c:pt idx="39">
                  <c:v>129.30722956899629</c:v>
                </c:pt>
                <c:pt idx="40">
                  <c:v>128.9126005293721</c:v>
                </c:pt>
                <c:pt idx="41">
                  <c:v>129.94797715922425</c:v>
                </c:pt>
                <c:pt idx="42">
                  <c:v>132.7025440667372</c:v>
                </c:pt>
                <c:pt idx="43">
                  <c:v>133.97780521518968</c:v>
                </c:pt>
                <c:pt idx="44">
                  <c:v>133.29490621825045</c:v>
                </c:pt>
                <c:pt idx="45">
                  <c:v>133.10101926083479</c:v>
                </c:pt>
                <c:pt idx="46">
                  <c:v>134.41299011899801</c:v>
                </c:pt>
                <c:pt idx="47">
                  <c:v>136.05829617694408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DE-4FC7-A2A8-F23A8DE5EC47}"/>
            </c:ext>
          </c:extLst>
        </c:ser>
        <c:ser>
          <c:idx val="4"/>
          <c:order val="4"/>
          <c:tx>
            <c:strRef>
              <c:f>'Dívida Líquida GF e BC'!$K$1</c:f>
              <c:strCache>
                <c:ptCount val="1"/>
                <c:pt idx="0">
                  <c:v>Dilma I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BC'!$K$2:$K$49</c:f>
              <c:numCache>
                <c:formatCode>General</c:formatCode>
                <c:ptCount val="48"/>
                <c:pt idx="0">
                  <c:v>99.959557165748436</c:v>
                </c:pt>
                <c:pt idx="1">
                  <c:v>101.35557911635443</c:v>
                </c:pt>
                <c:pt idx="2">
                  <c:v>102.70390533260266</c:v>
                </c:pt>
                <c:pt idx="3">
                  <c:v>103.67998426717011</c:v>
                </c:pt>
                <c:pt idx="4">
                  <c:v>104.78564448794876</c:v>
                </c:pt>
                <c:pt idx="5">
                  <c:v>105.96970914821748</c:v>
                </c:pt>
                <c:pt idx="6">
                  <c:v>106.35768186804343</c:v>
                </c:pt>
                <c:pt idx="7">
                  <c:v>106.72387790763032</c:v>
                </c:pt>
                <c:pt idx="8">
                  <c:v>99.115729535569287</c:v>
                </c:pt>
                <c:pt idx="9">
                  <c:v>104.4381755343268</c:v>
                </c:pt>
                <c:pt idx="10">
                  <c:v>101.42153445874719</c:v>
                </c:pt>
                <c:pt idx="11">
                  <c:v>100.80660619832986</c:v>
                </c:pt>
                <c:pt idx="12">
                  <c:v>105.04966663329731</c:v>
                </c:pt>
                <c:pt idx="13">
                  <c:v>107.1128934628386</c:v>
                </c:pt>
                <c:pt idx="14">
                  <c:v>104.36333711237967</c:v>
                </c:pt>
                <c:pt idx="15">
                  <c:v>101.6037120065054</c:v>
                </c:pt>
                <c:pt idx="16">
                  <c:v>98.476061903587336</c:v>
                </c:pt>
                <c:pt idx="17">
                  <c:v>98.97277818078328</c:v>
                </c:pt>
                <c:pt idx="18">
                  <c:v>98.584679601514651</c:v>
                </c:pt>
                <c:pt idx="19">
                  <c:v>99.690723393928167</c:v>
                </c:pt>
                <c:pt idx="20">
                  <c:v>100.03843607535978</c:v>
                </c:pt>
                <c:pt idx="21">
                  <c:v>100.22268830615349</c:v>
                </c:pt>
                <c:pt idx="22">
                  <c:v>99.393393446067336</c:v>
                </c:pt>
                <c:pt idx="23">
                  <c:v>100.10866963991955</c:v>
                </c:pt>
                <c:pt idx="24">
                  <c:v>101.37939951421056</c:v>
                </c:pt>
                <c:pt idx="25">
                  <c:v>104.42306640789702</c:v>
                </c:pt>
                <c:pt idx="26">
                  <c:v>104.44164366119209</c:v>
                </c:pt>
                <c:pt idx="27">
                  <c:v>105.0275852932962</c:v>
                </c:pt>
                <c:pt idx="28">
                  <c:v>102.57347998901791</c:v>
                </c:pt>
                <c:pt idx="29">
                  <c:v>101.93851910063884</c:v>
                </c:pt>
                <c:pt idx="30">
                  <c:v>100.27468523702105</c:v>
                </c:pt>
                <c:pt idx="31">
                  <c:v>99.572817069353349</c:v>
                </c:pt>
                <c:pt idx="32">
                  <c:v>105.85024256610708</c:v>
                </c:pt>
                <c:pt idx="33">
                  <c:v>106.9666537803912</c:v>
                </c:pt>
                <c:pt idx="34">
                  <c:v>102.0513500932429</c:v>
                </c:pt>
                <c:pt idx="35">
                  <c:v>102.4213968324455</c:v>
                </c:pt>
                <c:pt idx="36">
                  <c:v>100.92811849582627</c:v>
                </c:pt>
                <c:pt idx="37">
                  <c:v>104.86898341669993</c:v>
                </c:pt>
                <c:pt idx="38">
                  <c:v>107.98772147241407</c:v>
                </c:pt>
                <c:pt idx="39">
                  <c:v>108.01925425723063</c:v>
                </c:pt>
                <c:pt idx="40">
                  <c:v>110.44265285414556</c:v>
                </c:pt>
                <c:pt idx="41">
                  <c:v>113.5016456321909</c:v>
                </c:pt>
                <c:pt idx="42">
                  <c:v>114.80187256475715</c:v>
                </c:pt>
                <c:pt idx="43">
                  <c:v>118.55355176446051</c:v>
                </c:pt>
                <c:pt idx="44">
                  <c:v>118.11271608093514</c:v>
                </c:pt>
                <c:pt idx="45">
                  <c:v>119.60754668401425</c:v>
                </c:pt>
                <c:pt idx="46">
                  <c:v>119.13421628993176</c:v>
                </c:pt>
                <c:pt idx="47">
                  <c:v>119.93401808728052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DE-4FC7-A2A8-F23A8DE5EC47}"/>
            </c:ext>
          </c:extLst>
        </c:ser>
        <c:ser>
          <c:idx val="5"/>
          <c:order val="5"/>
          <c:tx>
            <c:strRef>
              <c:f>'Dívida Líquida GF e BC'!$L$1</c:f>
              <c:strCache>
                <c:ptCount val="1"/>
                <c:pt idx="0">
                  <c:v>Dilma II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BC'!$L$2:$L$49</c:f>
              <c:numCache>
                <c:formatCode>General</c:formatCode>
                <c:ptCount val="48"/>
                <c:pt idx="0">
                  <c:v>100.55987793179592</c:v>
                </c:pt>
                <c:pt idx="1">
                  <c:v>99.036263280166722</c:v>
                </c:pt>
                <c:pt idx="2">
                  <c:v>94.972288943233295</c:v>
                </c:pt>
                <c:pt idx="3">
                  <c:v>99.1450400114242</c:v>
                </c:pt>
                <c:pt idx="4">
                  <c:v>98.549924535236954</c:v>
                </c:pt>
                <c:pt idx="5">
                  <c:v>103.13802954823301</c:v>
                </c:pt>
                <c:pt idx="6">
                  <c:v>100.28766542360952</c:v>
                </c:pt>
                <c:pt idx="7">
                  <c:v>97.157621353067412</c:v>
                </c:pt>
                <c:pt idx="8">
                  <c:v>93.618207448818282</c:v>
                </c:pt>
                <c:pt idx="9">
                  <c:v>98.558490517511771</c:v>
                </c:pt>
                <c:pt idx="10">
                  <c:v>102.22147943916895</c:v>
                </c:pt>
                <c:pt idx="11">
                  <c:v>109.35154989476877</c:v>
                </c:pt>
                <c:pt idx="12">
                  <c:v>107.60832294657665</c:v>
                </c:pt>
                <c:pt idx="13">
                  <c:v>116.56039990286169</c:v>
                </c:pt>
                <c:pt idx="14">
                  <c:v>127.75110575296034</c:v>
                </c:pt>
                <c:pt idx="15">
                  <c:v>131.22349927863354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DE-4FC7-A2A8-F23A8DE5EC47}"/>
            </c:ext>
          </c:extLst>
        </c:ser>
        <c:ser>
          <c:idx val="6"/>
          <c:order val="6"/>
          <c:tx>
            <c:strRef>
              <c:f>'Dívida Líquida GF e BC'!$M$1</c:f>
              <c:strCache>
                <c:ptCount val="1"/>
                <c:pt idx="0">
                  <c:v>Temer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BC'!$M$2:$M$49</c:f>
              <c:numCache>
                <c:formatCode>General</c:formatCode>
                <c:ptCount val="48"/>
                <c:pt idx="0">
                  <c:v>100.82489251407691</c:v>
                </c:pt>
                <c:pt idx="1">
                  <c:v>110.85116637129067</c:v>
                </c:pt>
                <c:pt idx="2">
                  <c:v>115.51609618073356</c:v>
                </c:pt>
                <c:pt idx="3">
                  <c:v>116.53264776382161</c:v>
                </c:pt>
                <c:pt idx="4">
                  <c:v>120.44816296001274</c:v>
                </c:pt>
                <c:pt idx="5">
                  <c:v>121.79285786023753</c:v>
                </c:pt>
                <c:pt idx="6">
                  <c:v>122.42065709446696</c:v>
                </c:pt>
                <c:pt idx="7">
                  <c:v>132.65850911353078</c:v>
                </c:pt>
                <c:pt idx="8">
                  <c:v>135.37723616316126</c:v>
                </c:pt>
                <c:pt idx="9">
                  <c:v>139.24114158895358</c:v>
                </c:pt>
                <c:pt idx="10">
                  <c:v>141.44445830324057</c:v>
                </c:pt>
                <c:pt idx="11">
                  <c:v>141.5328197646551</c:v>
                </c:pt>
                <c:pt idx="12">
                  <c:v>144.45984997871503</c:v>
                </c:pt>
                <c:pt idx="13">
                  <c:v>146.52032729968792</c:v>
                </c:pt>
                <c:pt idx="14">
                  <c:v>152.63770704076714</c:v>
                </c:pt>
                <c:pt idx="15">
                  <c:v>155.01970088661537</c:v>
                </c:pt>
                <c:pt idx="16">
                  <c:v>158.04858415514607</c:v>
                </c:pt>
                <c:pt idx="17">
                  <c:v>157.44452801752672</c:v>
                </c:pt>
                <c:pt idx="18">
                  <c:v>159.42670306974389</c:v>
                </c:pt>
                <c:pt idx="19">
                  <c:v>160.83783979748426</c:v>
                </c:pt>
                <c:pt idx="20">
                  <c:v>163.12729021331248</c:v>
                </c:pt>
                <c:pt idx="21">
                  <c:v>164.19506059811505</c:v>
                </c:pt>
                <c:pt idx="22">
                  <c:v>165.69211079016699</c:v>
                </c:pt>
                <c:pt idx="23">
                  <c:v>163.77633758003179</c:v>
                </c:pt>
                <c:pt idx="24">
                  <c:v>160.96001941540331</c:v>
                </c:pt>
                <c:pt idx="25">
                  <c:v>161.87796564979604</c:v>
                </c:pt>
                <c:pt idx="26">
                  <c:v>165.93401441262895</c:v>
                </c:pt>
                <c:pt idx="27">
                  <c:v>161.80106223652771</c:v>
                </c:pt>
                <c:pt idx="28">
                  <c:v>167.26090500517094</c:v>
                </c:pt>
                <c:pt idx="29">
                  <c:v>173.89361066790042</c:v>
                </c:pt>
                <c:pt idx="30">
                  <c:v>172.93991618646911</c:v>
                </c:pt>
                <c:pt idx="31">
                  <c:v>175.40926487630767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DE-4FC7-A2A8-F23A8DE5EC47}"/>
            </c:ext>
          </c:extLst>
        </c:ser>
        <c:ser>
          <c:idx val="7"/>
          <c:order val="7"/>
          <c:tx>
            <c:strRef>
              <c:f>'Dívida Líquida GF e BC'!$N$1</c:f>
              <c:strCache>
                <c:ptCount val="1"/>
                <c:pt idx="0">
                  <c:v>Bolsonaro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BC'!$N$2:$N$49</c:f>
              <c:numCache>
                <c:formatCode>General</c:formatCode>
                <c:ptCount val="48"/>
                <c:pt idx="0">
                  <c:v>102.06426390309362</c:v>
                </c:pt>
                <c:pt idx="1">
                  <c:v>102.65411794435823</c:v>
                </c:pt>
                <c:pt idx="2">
                  <c:v>102.34084759525571</c:v>
                </c:pt>
                <c:pt idx="3">
                  <c:v>102.61168826664712</c:v>
                </c:pt>
                <c:pt idx="4">
                  <c:v>103.95818167611287</c:v>
                </c:pt>
                <c:pt idx="5">
                  <c:v>105.7483212691121</c:v>
                </c:pt>
                <c:pt idx="6">
                  <c:v>107.81336492332471</c:v>
                </c:pt>
                <c:pt idx="7">
                  <c:v>105.06816517343125</c:v>
                </c:pt>
                <c:pt idx="8">
                  <c:v>106.53566293056127</c:v>
                </c:pt>
                <c:pt idx="9">
                  <c:v>108.67005124484554</c:v>
                </c:pt>
                <c:pt idx="10">
                  <c:v>107.98183784154617</c:v>
                </c:pt>
                <c:pt idx="11">
                  <c:v>111.37303045677118</c:v>
                </c:pt>
                <c:pt idx="12">
                  <c:v>107.83100683762129</c:v>
                </c:pt>
                <c:pt idx="13">
                  <c:v>106.62994189660114</c:v>
                </c:pt>
                <c:pt idx="14">
                  <c:v>100.70916681747585</c:v>
                </c:pt>
                <c:pt idx="15">
                  <c:v>101.86726258708723</c:v>
                </c:pt>
                <c:pt idx="16">
                  <c:v>106.60290642369647</c:v>
                </c:pt>
                <c:pt idx="17">
                  <c:v>113.59532982992906</c:v>
                </c:pt>
                <c:pt idx="18">
                  <c:v>119.48208568842446</c:v>
                </c:pt>
                <c:pt idx="19">
                  <c:v>120.87057710827652</c:v>
                </c:pt>
                <c:pt idx="20">
                  <c:v>123.14225299985725</c:v>
                </c:pt>
                <c:pt idx="21">
                  <c:v>123.15271650002398</c:v>
                </c:pt>
                <c:pt idx="22">
                  <c:v>128.61979366193324</c:v>
                </c:pt>
                <c:pt idx="23">
                  <c:v>132.1220260930053</c:v>
                </c:pt>
                <c:pt idx="24">
                  <c:v>129.73994504147672</c:v>
                </c:pt>
                <c:pt idx="25">
                  <c:v>131.29911620185871</c:v>
                </c:pt>
                <c:pt idx="26">
                  <c:v>131.16951324371092</c:v>
                </c:pt>
                <c:pt idx="27">
                  <c:v>133.02970596670804</c:v>
                </c:pt>
                <c:pt idx="28">
                  <c:v>136.10017084509843</c:v>
                </c:pt>
                <c:pt idx="29">
                  <c:v>142.02244572393985</c:v>
                </c:pt>
                <c:pt idx="30">
                  <c:v>142.62393162563257</c:v>
                </c:pt>
                <c:pt idx="31">
                  <c:v>144.57134141091569</c:v>
                </c:pt>
                <c:pt idx="32">
                  <c:v>143.62786860893323</c:v>
                </c:pt>
                <c:pt idx="33">
                  <c:v>142.51002934523683</c:v>
                </c:pt>
                <c:pt idx="34">
                  <c:v>144.24779860971643</c:v>
                </c:pt>
                <c:pt idx="35">
                  <c:v>145.80850539132769</c:v>
                </c:pt>
                <c:pt idx="36">
                  <c:v>146.78081161670684</c:v>
                </c:pt>
                <c:pt idx="37">
                  <c:v>150.81150254838406</c:v>
                </c:pt>
                <c:pt idx="38">
                  <c:v>157.09052568558985</c:v>
                </c:pt>
                <c:pt idx="39">
                  <c:v>158.03721265424986</c:v>
                </c:pt>
                <c:pt idx="40">
                  <c:v>162.35260356456257</c:v>
                </c:pt>
                <c:pt idx="41">
                  <c:v>160.59527322108329</c:v>
                </c:pt>
                <c:pt idx="42">
                  <c:v>161.06756648377853</c:v>
                </c:pt>
                <c:pt idx="43">
                  <c:v>165.30939013747266</c:v>
                </c:pt>
                <c:pt idx="44">
                  <c:v>166.59892010440268</c:v>
                </c:pt>
                <c:pt idx="45">
                  <c:v>168.42381488730143</c:v>
                </c:pt>
                <c:pt idx="46">
                  <c:v>169.23908321748178</c:v>
                </c:pt>
                <c:pt idx="47">
                  <c:v>171.45043387179521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DDE-4FC7-A2A8-F23A8DE5EC47}"/>
            </c:ext>
          </c:extLst>
        </c:ser>
        <c:ser>
          <c:idx val="8"/>
          <c:order val="8"/>
          <c:tx>
            <c:strRef>
              <c:f>'Dívida Líquida GF e BC'!$O$1</c:f>
              <c:strCache>
                <c:ptCount val="1"/>
                <c:pt idx="0">
                  <c:v>Lula III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'Dívida Líquida GF e BC'!$O$2:$O$49</c:f>
              <c:numCache>
                <c:formatCode>General</c:formatCode>
                <c:ptCount val="48"/>
                <c:pt idx="0">
                  <c:v>99.428468972812396</c:v>
                </c:pt>
                <c:pt idx="1">
                  <c:v>101.42995843978034</c:v>
                </c:pt>
                <c:pt idx="2">
                  <c:v>102.94595008677301</c:v>
                </c:pt>
                <c:pt idx="3">
                  <c:v>103.72840975826658</c:v>
                </c:pt>
                <c:pt idx="4">
                  <c:v>105.65520681461136</c:v>
                </c:pt>
                <c:pt idx="5">
                  <c:v>109.10143297993679</c:v>
                </c:pt>
                <c:pt idx="6">
                  <c:v>110.93513787593974</c:v>
                </c:pt>
                <c:pt idx="7">
                  <c:v>112.17790532179957</c:v>
                </c:pt>
                <c:pt idx="8">
                  <c:v>113.44848543974946</c:v>
                </c:pt>
                <c:pt idx="9">
                  <c:v>114.00713252680318</c:v>
                </c:pt>
                <c:pt idx="10">
                  <c:v>115.52098947782289</c:v>
                </c:pt>
                <c:pt idx="11">
                  <c:v>119.39314457678311</c:v>
                </c:pt>
                <c:pt idx="12">
                  <c:v>118.59193672422622</c:v>
                </c:pt>
                <c:pt idx="13">
                  <c:v>121.33857268554421</c:v>
                </c:pt>
                <c:pt idx="14">
                  <c:v>122.24942983515712</c:v>
                </c:pt>
                <c:pt idx="15">
                  <c:v>122.95384827193469</c:v>
                </c:pt>
                <c:pt idx="16">
                  <c:v>125.01832002837374</c:v>
                </c:pt>
                <c:pt idx="17">
                  <c:v>125.65724476865314</c:v>
                </c:pt>
                <c:pt idx="18">
                  <c:v>126.21228344920699</c:v>
                </c:pt>
                <c:pt idx="19">
                  <c:v>127.43870733347121</c:v>
                </c:pt>
                <c:pt idx="20">
                  <c:v>129.29782365877824</c:v>
                </c:pt>
                <c:pt idx="21">
                  <c:v>129.25185583535139</c:v>
                </c:pt>
                <c:pt idx="22">
                  <c:v>129.33427092810396</c:v>
                </c:pt>
                <c:pt idx="23">
                  <c:v>130.24915624796267</c:v>
                </c:pt>
                <c:pt idx="24">
                  <c:v>130.96140732006808</c:v>
                </c:pt>
                <c:pt idx="25">
                  <c:v>132.61448549140846</c:v>
                </c:pt>
                <c:pt idx="26">
                  <c:v>134.41650761598842</c:v>
                </c:pt>
                <c:pt idx="27">
                  <c:v>135.37337965152966</c:v>
                </c:pt>
                <c:pt idx="28">
                  <c:v>137.69639358595336</c:v>
                </c:pt>
                <c:pt idx="29">
                  <c:v>140.88938234027154</c:v>
                </c:pt>
                <c:pt idx="30">
                  <c:v>143.54641108782229</c:v>
                </c:pt>
                <c:pt idx="31">
                  <c:v>145.94772372894292</c:v>
                </c:pt>
                <c:pt idx="32">
                  <c:v>148.24805818061427</c:v>
                </c:pt>
                <c:pt idx="33">
                  <c:v>149.13282940875015</c:v>
                </c:pt>
                <c:pt idx="34">
                  <c:v>151.22093245010058</c:v>
                </c:pt>
                <c:pt idx="35">
                  <c:v>151.84170583781014</c:v>
                </c:pt>
                <c:pt idx="36">
                  <c:v>152.36028817420618</c:v>
                </c:pt>
                <c:pt idx="37">
                  <c:v>154.76062537639578</c:v>
                </c:pt>
                <c:pt idx="38">
                  <c:v>159.17006772908087</c:v>
                </c:pt>
                <c:pt idx="39">
                  <c:v>161.46126002604595</c:v>
                </c:pt>
                <c:pt idx="40">
                  <c:v>164.28116639289897</c:v>
                </c:pt>
                <c:pt idx="41">
                  <c:v>167.07317440436339</c:v>
                </c:pt>
                <c:pt idx="42">
                  <c:v>169.59019790830732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DDE-4FC7-A2A8-F23A8DE5E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88960"/>
        <c:axId val="2007004463"/>
      </c:lineChart>
      <c:catAx>
        <c:axId val="14488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7004463"/>
        <c:crosses val="autoZero"/>
        <c:auto val="1"/>
        <c:lblAlgn val="ctr"/>
        <c:lblOffset val="100"/>
        <c:noMultiLvlLbl val="0"/>
      </c:catAx>
      <c:valAx>
        <c:axId val="200700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48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Rating Soberano do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Moody's</c:v>
          </c:tx>
          <c:spPr>
            <a:ln w="28575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'Agências de Rating Soberano'!$A$2:$A$387</c:f>
              <c:numCache>
                <c:formatCode>mmm\-yy</c:formatCode>
                <c:ptCount val="386"/>
                <c:pt idx="0">
                  <c:v>34608</c:v>
                </c:pt>
                <c:pt idx="1">
                  <c:v>34609</c:v>
                </c:pt>
                <c:pt idx="2">
                  <c:v>34639</c:v>
                </c:pt>
                <c:pt idx="3">
                  <c:v>34669</c:v>
                </c:pt>
                <c:pt idx="4">
                  <c:v>34700</c:v>
                </c:pt>
                <c:pt idx="5">
                  <c:v>34731</c:v>
                </c:pt>
                <c:pt idx="6">
                  <c:v>34759</c:v>
                </c:pt>
                <c:pt idx="7">
                  <c:v>34790</c:v>
                </c:pt>
                <c:pt idx="8">
                  <c:v>34820</c:v>
                </c:pt>
                <c:pt idx="9">
                  <c:v>34851</c:v>
                </c:pt>
                <c:pt idx="10">
                  <c:v>34881</c:v>
                </c:pt>
                <c:pt idx="11">
                  <c:v>34912</c:v>
                </c:pt>
                <c:pt idx="12">
                  <c:v>34943</c:v>
                </c:pt>
                <c:pt idx="13">
                  <c:v>34973</c:v>
                </c:pt>
                <c:pt idx="14">
                  <c:v>35004</c:v>
                </c:pt>
                <c:pt idx="15">
                  <c:v>35034</c:v>
                </c:pt>
                <c:pt idx="16">
                  <c:v>35065</c:v>
                </c:pt>
                <c:pt idx="17">
                  <c:v>35096</c:v>
                </c:pt>
                <c:pt idx="18">
                  <c:v>35125</c:v>
                </c:pt>
                <c:pt idx="19">
                  <c:v>35156</c:v>
                </c:pt>
                <c:pt idx="20">
                  <c:v>35186</c:v>
                </c:pt>
                <c:pt idx="21">
                  <c:v>35217</c:v>
                </c:pt>
                <c:pt idx="22">
                  <c:v>35247</c:v>
                </c:pt>
                <c:pt idx="23">
                  <c:v>35278</c:v>
                </c:pt>
                <c:pt idx="24">
                  <c:v>35309</c:v>
                </c:pt>
                <c:pt idx="25">
                  <c:v>35339</c:v>
                </c:pt>
                <c:pt idx="26">
                  <c:v>35370</c:v>
                </c:pt>
                <c:pt idx="27">
                  <c:v>35400</c:v>
                </c:pt>
                <c:pt idx="28">
                  <c:v>35431</c:v>
                </c:pt>
                <c:pt idx="29">
                  <c:v>35462</c:v>
                </c:pt>
                <c:pt idx="30">
                  <c:v>35490</c:v>
                </c:pt>
                <c:pt idx="31">
                  <c:v>35521</c:v>
                </c:pt>
                <c:pt idx="32">
                  <c:v>35551</c:v>
                </c:pt>
                <c:pt idx="33">
                  <c:v>35582</c:v>
                </c:pt>
                <c:pt idx="34">
                  <c:v>35612</c:v>
                </c:pt>
                <c:pt idx="35">
                  <c:v>35643</c:v>
                </c:pt>
                <c:pt idx="36">
                  <c:v>35674</c:v>
                </c:pt>
                <c:pt idx="37">
                  <c:v>35704</c:v>
                </c:pt>
                <c:pt idx="38">
                  <c:v>35735</c:v>
                </c:pt>
                <c:pt idx="39">
                  <c:v>35765</c:v>
                </c:pt>
                <c:pt idx="40">
                  <c:v>35796</c:v>
                </c:pt>
                <c:pt idx="41">
                  <c:v>35827</c:v>
                </c:pt>
                <c:pt idx="42">
                  <c:v>35855</c:v>
                </c:pt>
                <c:pt idx="43">
                  <c:v>35886</c:v>
                </c:pt>
                <c:pt idx="44">
                  <c:v>35916</c:v>
                </c:pt>
                <c:pt idx="45">
                  <c:v>35947</c:v>
                </c:pt>
                <c:pt idx="46">
                  <c:v>35977</c:v>
                </c:pt>
                <c:pt idx="47">
                  <c:v>36008</c:v>
                </c:pt>
                <c:pt idx="48">
                  <c:v>36039</c:v>
                </c:pt>
                <c:pt idx="49">
                  <c:v>36069</c:v>
                </c:pt>
                <c:pt idx="50">
                  <c:v>36100</c:v>
                </c:pt>
                <c:pt idx="51">
                  <c:v>36130</c:v>
                </c:pt>
                <c:pt idx="52">
                  <c:v>36161</c:v>
                </c:pt>
                <c:pt idx="53">
                  <c:v>36192</c:v>
                </c:pt>
                <c:pt idx="54">
                  <c:v>36220</c:v>
                </c:pt>
                <c:pt idx="55">
                  <c:v>36251</c:v>
                </c:pt>
                <c:pt idx="56">
                  <c:v>36281</c:v>
                </c:pt>
                <c:pt idx="57">
                  <c:v>36312</c:v>
                </c:pt>
                <c:pt idx="58">
                  <c:v>36342</c:v>
                </c:pt>
                <c:pt idx="59">
                  <c:v>36373</c:v>
                </c:pt>
                <c:pt idx="60">
                  <c:v>36404</c:v>
                </c:pt>
                <c:pt idx="61">
                  <c:v>36434</c:v>
                </c:pt>
                <c:pt idx="62">
                  <c:v>36465</c:v>
                </c:pt>
                <c:pt idx="63">
                  <c:v>36495</c:v>
                </c:pt>
                <c:pt idx="64">
                  <c:v>36526</c:v>
                </c:pt>
                <c:pt idx="65">
                  <c:v>36557</c:v>
                </c:pt>
                <c:pt idx="66">
                  <c:v>36586</c:v>
                </c:pt>
                <c:pt idx="67">
                  <c:v>36617</c:v>
                </c:pt>
                <c:pt idx="68">
                  <c:v>36647</c:v>
                </c:pt>
                <c:pt idx="69">
                  <c:v>36678</c:v>
                </c:pt>
                <c:pt idx="70">
                  <c:v>36708</c:v>
                </c:pt>
                <c:pt idx="71">
                  <c:v>36739</c:v>
                </c:pt>
                <c:pt idx="72">
                  <c:v>36770</c:v>
                </c:pt>
                <c:pt idx="73">
                  <c:v>36800</c:v>
                </c:pt>
                <c:pt idx="74">
                  <c:v>36831</c:v>
                </c:pt>
                <c:pt idx="75">
                  <c:v>36861</c:v>
                </c:pt>
                <c:pt idx="76">
                  <c:v>36892</c:v>
                </c:pt>
                <c:pt idx="77">
                  <c:v>36923</c:v>
                </c:pt>
                <c:pt idx="78">
                  <c:v>36951</c:v>
                </c:pt>
                <c:pt idx="79">
                  <c:v>36982</c:v>
                </c:pt>
                <c:pt idx="80">
                  <c:v>37012</c:v>
                </c:pt>
                <c:pt idx="81">
                  <c:v>37043</c:v>
                </c:pt>
                <c:pt idx="82">
                  <c:v>37073</c:v>
                </c:pt>
                <c:pt idx="83">
                  <c:v>37104</c:v>
                </c:pt>
                <c:pt idx="84">
                  <c:v>37135</c:v>
                </c:pt>
                <c:pt idx="85">
                  <c:v>37165</c:v>
                </c:pt>
                <c:pt idx="86">
                  <c:v>37196</c:v>
                </c:pt>
                <c:pt idx="87">
                  <c:v>37226</c:v>
                </c:pt>
                <c:pt idx="88">
                  <c:v>37257</c:v>
                </c:pt>
                <c:pt idx="89">
                  <c:v>37288</c:v>
                </c:pt>
                <c:pt idx="90">
                  <c:v>37316</c:v>
                </c:pt>
                <c:pt idx="91">
                  <c:v>37347</c:v>
                </c:pt>
                <c:pt idx="92">
                  <c:v>37377</c:v>
                </c:pt>
                <c:pt idx="93">
                  <c:v>37408</c:v>
                </c:pt>
                <c:pt idx="94">
                  <c:v>37438</c:v>
                </c:pt>
                <c:pt idx="95">
                  <c:v>37469</c:v>
                </c:pt>
                <c:pt idx="96">
                  <c:v>37500</c:v>
                </c:pt>
                <c:pt idx="97">
                  <c:v>37530</c:v>
                </c:pt>
                <c:pt idx="98">
                  <c:v>37561</c:v>
                </c:pt>
                <c:pt idx="99">
                  <c:v>37591</c:v>
                </c:pt>
                <c:pt idx="100">
                  <c:v>37622</c:v>
                </c:pt>
                <c:pt idx="101">
                  <c:v>37653</c:v>
                </c:pt>
                <c:pt idx="102">
                  <c:v>37681</c:v>
                </c:pt>
                <c:pt idx="103">
                  <c:v>37712</c:v>
                </c:pt>
                <c:pt idx="104">
                  <c:v>37742</c:v>
                </c:pt>
                <c:pt idx="105">
                  <c:v>37773</c:v>
                </c:pt>
                <c:pt idx="106">
                  <c:v>37803</c:v>
                </c:pt>
                <c:pt idx="107">
                  <c:v>37834</c:v>
                </c:pt>
                <c:pt idx="108">
                  <c:v>37865</c:v>
                </c:pt>
                <c:pt idx="109">
                  <c:v>37895</c:v>
                </c:pt>
                <c:pt idx="110">
                  <c:v>37926</c:v>
                </c:pt>
                <c:pt idx="111">
                  <c:v>37956</c:v>
                </c:pt>
                <c:pt idx="112">
                  <c:v>37987</c:v>
                </c:pt>
                <c:pt idx="113">
                  <c:v>38018</c:v>
                </c:pt>
                <c:pt idx="114">
                  <c:v>38047</c:v>
                </c:pt>
                <c:pt idx="115">
                  <c:v>38078</c:v>
                </c:pt>
                <c:pt idx="116">
                  <c:v>38108</c:v>
                </c:pt>
                <c:pt idx="117">
                  <c:v>38139</c:v>
                </c:pt>
                <c:pt idx="118">
                  <c:v>38169</c:v>
                </c:pt>
                <c:pt idx="119">
                  <c:v>38200</c:v>
                </c:pt>
                <c:pt idx="120">
                  <c:v>38231</c:v>
                </c:pt>
                <c:pt idx="121">
                  <c:v>38261</c:v>
                </c:pt>
                <c:pt idx="122">
                  <c:v>38292</c:v>
                </c:pt>
                <c:pt idx="123">
                  <c:v>38322</c:v>
                </c:pt>
                <c:pt idx="124">
                  <c:v>38353</c:v>
                </c:pt>
                <c:pt idx="125">
                  <c:v>38384</c:v>
                </c:pt>
                <c:pt idx="126">
                  <c:v>38412</c:v>
                </c:pt>
                <c:pt idx="127">
                  <c:v>38443</c:v>
                </c:pt>
                <c:pt idx="128">
                  <c:v>38473</c:v>
                </c:pt>
                <c:pt idx="129">
                  <c:v>38504</c:v>
                </c:pt>
                <c:pt idx="130">
                  <c:v>38534</c:v>
                </c:pt>
                <c:pt idx="131">
                  <c:v>38565</c:v>
                </c:pt>
                <c:pt idx="132">
                  <c:v>38596</c:v>
                </c:pt>
                <c:pt idx="133">
                  <c:v>38626</c:v>
                </c:pt>
                <c:pt idx="134">
                  <c:v>38657</c:v>
                </c:pt>
                <c:pt idx="135">
                  <c:v>38687</c:v>
                </c:pt>
                <c:pt idx="136">
                  <c:v>38718</c:v>
                </c:pt>
                <c:pt idx="137">
                  <c:v>38749</c:v>
                </c:pt>
                <c:pt idx="138">
                  <c:v>38777</c:v>
                </c:pt>
                <c:pt idx="139">
                  <c:v>38808</c:v>
                </c:pt>
                <c:pt idx="140">
                  <c:v>38838</c:v>
                </c:pt>
                <c:pt idx="141">
                  <c:v>38869</c:v>
                </c:pt>
                <c:pt idx="142">
                  <c:v>38899</c:v>
                </c:pt>
                <c:pt idx="143">
                  <c:v>38930</c:v>
                </c:pt>
                <c:pt idx="144">
                  <c:v>38961</c:v>
                </c:pt>
                <c:pt idx="145">
                  <c:v>38991</c:v>
                </c:pt>
                <c:pt idx="146">
                  <c:v>39022</c:v>
                </c:pt>
                <c:pt idx="147">
                  <c:v>39052</c:v>
                </c:pt>
                <c:pt idx="148">
                  <c:v>39083</c:v>
                </c:pt>
                <c:pt idx="149">
                  <c:v>39114</c:v>
                </c:pt>
                <c:pt idx="150">
                  <c:v>39142</c:v>
                </c:pt>
                <c:pt idx="151">
                  <c:v>39173</c:v>
                </c:pt>
                <c:pt idx="152">
                  <c:v>39203</c:v>
                </c:pt>
                <c:pt idx="153">
                  <c:v>39234</c:v>
                </c:pt>
                <c:pt idx="154">
                  <c:v>39264</c:v>
                </c:pt>
                <c:pt idx="155">
                  <c:v>39295</c:v>
                </c:pt>
                <c:pt idx="156">
                  <c:v>39326</c:v>
                </c:pt>
                <c:pt idx="157">
                  <c:v>39356</c:v>
                </c:pt>
                <c:pt idx="158">
                  <c:v>39387</c:v>
                </c:pt>
                <c:pt idx="159">
                  <c:v>39417</c:v>
                </c:pt>
                <c:pt idx="160">
                  <c:v>39448</c:v>
                </c:pt>
                <c:pt idx="161">
                  <c:v>39479</c:v>
                </c:pt>
                <c:pt idx="162">
                  <c:v>39508</c:v>
                </c:pt>
                <c:pt idx="163">
                  <c:v>39539</c:v>
                </c:pt>
                <c:pt idx="164">
                  <c:v>39569</c:v>
                </c:pt>
                <c:pt idx="165">
                  <c:v>39600</c:v>
                </c:pt>
                <c:pt idx="166">
                  <c:v>39630</c:v>
                </c:pt>
                <c:pt idx="167">
                  <c:v>39661</c:v>
                </c:pt>
                <c:pt idx="168">
                  <c:v>39692</c:v>
                </c:pt>
                <c:pt idx="169">
                  <c:v>39722</c:v>
                </c:pt>
                <c:pt idx="170">
                  <c:v>39753</c:v>
                </c:pt>
                <c:pt idx="171">
                  <c:v>39783</c:v>
                </c:pt>
                <c:pt idx="172">
                  <c:v>39814</c:v>
                </c:pt>
                <c:pt idx="173">
                  <c:v>39845</c:v>
                </c:pt>
                <c:pt idx="174">
                  <c:v>39873</c:v>
                </c:pt>
                <c:pt idx="175">
                  <c:v>39904</c:v>
                </c:pt>
                <c:pt idx="176">
                  <c:v>39934</c:v>
                </c:pt>
                <c:pt idx="177">
                  <c:v>39965</c:v>
                </c:pt>
                <c:pt idx="178">
                  <c:v>39995</c:v>
                </c:pt>
                <c:pt idx="179">
                  <c:v>40026</c:v>
                </c:pt>
                <c:pt idx="180">
                  <c:v>40057</c:v>
                </c:pt>
                <c:pt idx="181">
                  <c:v>40087</c:v>
                </c:pt>
                <c:pt idx="182">
                  <c:v>40118</c:v>
                </c:pt>
                <c:pt idx="183">
                  <c:v>40148</c:v>
                </c:pt>
                <c:pt idx="184">
                  <c:v>40179</c:v>
                </c:pt>
                <c:pt idx="185">
                  <c:v>40210</c:v>
                </c:pt>
                <c:pt idx="186">
                  <c:v>40238</c:v>
                </c:pt>
                <c:pt idx="187">
                  <c:v>40269</c:v>
                </c:pt>
                <c:pt idx="188">
                  <c:v>40299</c:v>
                </c:pt>
                <c:pt idx="189">
                  <c:v>40330</c:v>
                </c:pt>
                <c:pt idx="190">
                  <c:v>40360</c:v>
                </c:pt>
                <c:pt idx="191">
                  <c:v>40391</c:v>
                </c:pt>
                <c:pt idx="192">
                  <c:v>40422</c:v>
                </c:pt>
                <c:pt idx="193">
                  <c:v>40452</c:v>
                </c:pt>
                <c:pt idx="194">
                  <c:v>40483</c:v>
                </c:pt>
                <c:pt idx="195">
                  <c:v>40513</c:v>
                </c:pt>
                <c:pt idx="196">
                  <c:v>40544</c:v>
                </c:pt>
                <c:pt idx="197">
                  <c:v>40575</c:v>
                </c:pt>
                <c:pt idx="198">
                  <c:v>40603</c:v>
                </c:pt>
                <c:pt idx="199">
                  <c:v>40634</c:v>
                </c:pt>
                <c:pt idx="200">
                  <c:v>40664</c:v>
                </c:pt>
                <c:pt idx="201">
                  <c:v>40695</c:v>
                </c:pt>
                <c:pt idx="202">
                  <c:v>40725</c:v>
                </c:pt>
                <c:pt idx="203">
                  <c:v>40756</c:v>
                </c:pt>
                <c:pt idx="204">
                  <c:v>40787</c:v>
                </c:pt>
                <c:pt idx="205">
                  <c:v>40817</c:v>
                </c:pt>
                <c:pt idx="206">
                  <c:v>40848</c:v>
                </c:pt>
                <c:pt idx="207">
                  <c:v>40878</c:v>
                </c:pt>
                <c:pt idx="208">
                  <c:v>40909</c:v>
                </c:pt>
                <c:pt idx="209">
                  <c:v>40940</c:v>
                </c:pt>
                <c:pt idx="210">
                  <c:v>40969</c:v>
                </c:pt>
                <c:pt idx="211">
                  <c:v>41000</c:v>
                </c:pt>
                <c:pt idx="212">
                  <c:v>41030</c:v>
                </c:pt>
                <c:pt idx="213">
                  <c:v>41061</c:v>
                </c:pt>
                <c:pt idx="214">
                  <c:v>41091</c:v>
                </c:pt>
                <c:pt idx="215">
                  <c:v>41122</c:v>
                </c:pt>
                <c:pt idx="216">
                  <c:v>41153</c:v>
                </c:pt>
                <c:pt idx="217">
                  <c:v>41183</c:v>
                </c:pt>
                <c:pt idx="218">
                  <c:v>41214</c:v>
                </c:pt>
                <c:pt idx="219">
                  <c:v>41244</c:v>
                </c:pt>
                <c:pt idx="220">
                  <c:v>41275</c:v>
                </c:pt>
                <c:pt idx="221">
                  <c:v>41306</c:v>
                </c:pt>
                <c:pt idx="222">
                  <c:v>41334</c:v>
                </c:pt>
                <c:pt idx="223">
                  <c:v>41365</c:v>
                </c:pt>
                <c:pt idx="224">
                  <c:v>41395</c:v>
                </c:pt>
                <c:pt idx="225">
                  <c:v>41426</c:v>
                </c:pt>
                <c:pt idx="226">
                  <c:v>41456</c:v>
                </c:pt>
                <c:pt idx="227">
                  <c:v>41487</c:v>
                </c:pt>
                <c:pt idx="228">
                  <c:v>41518</c:v>
                </c:pt>
                <c:pt idx="229">
                  <c:v>41548</c:v>
                </c:pt>
                <c:pt idx="230">
                  <c:v>41579</c:v>
                </c:pt>
                <c:pt idx="231">
                  <c:v>41609</c:v>
                </c:pt>
                <c:pt idx="232">
                  <c:v>41640</c:v>
                </c:pt>
                <c:pt idx="233">
                  <c:v>41671</c:v>
                </c:pt>
                <c:pt idx="234">
                  <c:v>41699</c:v>
                </c:pt>
                <c:pt idx="235">
                  <c:v>41730</c:v>
                </c:pt>
                <c:pt idx="236">
                  <c:v>41760</c:v>
                </c:pt>
                <c:pt idx="237">
                  <c:v>41791</c:v>
                </c:pt>
                <c:pt idx="238">
                  <c:v>41821</c:v>
                </c:pt>
                <c:pt idx="239">
                  <c:v>41852</c:v>
                </c:pt>
                <c:pt idx="240">
                  <c:v>41883</c:v>
                </c:pt>
                <c:pt idx="241">
                  <c:v>41913</c:v>
                </c:pt>
                <c:pt idx="242">
                  <c:v>41944</c:v>
                </c:pt>
                <c:pt idx="243">
                  <c:v>41974</c:v>
                </c:pt>
                <c:pt idx="244">
                  <c:v>42005</c:v>
                </c:pt>
                <c:pt idx="245">
                  <c:v>42036</c:v>
                </c:pt>
                <c:pt idx="246">
                  <c:v>42064</c:v>
                </c:pt>
                <c:pt idx="247">
                  <c:v>42095</c:v>
                </c:pt>
                <c:pt idx="248">
                  <c:v>42125</c:v>
                </c:pt>
                <c:pt idx="249">
                  <c:v>42156</c:v>
                </c:pt>
                <c:pt idx="250">
                  <c:v>42186</c:v>
                </c:pt>
                <c:pt idx="251">
                  <c:v>42217</c:v>
                </c:pt>
                <c:pt idx="252">
                  <c:v>42248</c:v>
                </c:pt>
                <c:pt idx="253">
                  <c:v>42278</c:v>
                </c:pt>
                <c:pt idx="254">
                  <c:v>42309</c:v>
                </c:pt>
                <c:pt idx="255">
                  <c:v>42339</c:v>
                </c:pt>
                <c:pt idx="256">
                  <c:v>42370</c:v>
                </c:pt>
                <c:pt idx="257">
                  <c:v>42401</c:v>
                </c:pt>
                <c:pt idx="258">
                  <c:v>42430</c:v>
                </c:pt>
                <c:pt idx="259">
                  <c:v>42461</c:v>
                </c:pt>
                <c:pt idx="260">
                  <c:v>42491</c:v>
                </c:pt>
                <c:pt idx="261">
                  <c:v>42522</c:v>
                </c:pt>
                <c:pt idx="262">
                  <c:v>42552</c:v>
                </c:pt>
                <c:pt idx="263">
                  <c:v>42583</c:v>
                </c:pt>
                <c:pt idx="264">
                  <c:v>42614</c:v>
                </c:pt>
                <c:pt idx="265">
                  <c:v>42644</c:v>
                </c:pt>
                <c:pt idx="266">
                  <c:v>42675</c:v>
                </c:pt>
                <c:pt idx="267">
                  <c:v>42705</c:v>
                </c:pt>
                <c:pt idx="268">
                  <c:v>42736</c:v>
                </c:pt>
                <c:pt idx="269">
                  <c:v>42767</c:v>
                </c:pt>
                <c:pt idx="270">
                  <c:v>42795</c:v>
                </c:pt>
                <c:pt idx="271">
                  <c:v>42826</c:v>
                </c:pt>
                <c:pt idx="272">
                  <c:v>42856</c:v>
                </c:pt>
                <c:pt idx="273">
                  <c:v>42887</c:v>
                </c:pt>
                <c:pt idx="274">
                  <c:v>42917</c:v>
                </c:pt>
                <c:pt idx="275">
                  <c:v>42948</c:v>
                </c:pt>
                <c:pt idx="276">
                  <c:v>42979</c:v>
                </c:pt>
                <c:pt idx="277">
                  <c:v>43009</c:v>
                </c:pt>
                <c:pt idx="278">
                  <c:v>43040</c:v>
                </c:pt>
                <c:pt idx="279">
                  <c:v>43070</c:v>
                </c:pt>
                <c:pt idx="280">
                  <c:v>43101</c:v>
                </c:pt>
                <c:pt idx="281">
                  <c:v>43132</c:v>
                </c:pt>
                <c:pt idx="282">
                  <c:v>43160</c:v>
                </c:pt>
                <c:pt idx="283">
                  <c:v>43191</c:v>
                </c:pt>
                <c:pt idx="284">
                  <c:v>43221</c:v>
                </c:pt>
                <c:pt idx="285">
                  <c:v>43252</c:v>
                </c:pt>
                <c:pt idx="286">
                  <c:v>43282</c:v>
                </c:pt>
                <c:pt idx="287">
                  <c:v>43313</c:v>
                </c:pt>
                <c:pt idx="288">
                  <c:v>43344</c:v>
                </c:pt>
                <c:pt idx="289">
                  <c:v>43374</c:v>
                </c:pt>
                <c:pt idx="290">
                  <c:v>43405</c:v>
                </c:pt>
                <c:pt idx="291">
                  <c:v>43435</c:v>
                </c:pt>
                <c:pt idx="292">
                  <c:v>43466</c:v>
                </c:pt>
                <c:pt idx="293">
                  <c:v>43497</c:v>
                </c:pt>
                <c:pt idx="294">
                  <c:v>43525</c:v>
                </c:pt>
                <c:pt idx="295">
                  <c:v>43556</c:v>
                </c:pt>
                <c:pt idx="296">
                  <c:v>43586</c:v>
                </c:pt>
                <c:pt idx="297">
                  <c:v>43617</c:v>
                </c:pt>
                <c:pt idx="298">
                  <c:v>43647</c:v>
                </c:pt>
                <c:pt idx="299">
                  <c:v>43678</c:v>
                </c:pt>
                <c:pt idx="300">
                  <c:v>43709</c:v>
                </c:pt>
                <c:pt idx="301">
                  <c:v>43739</c:v>
                </c:pt>
                <c:pt idx="302">
                  <c:v>43770</c:v>
                </c:pt>
                <c:pt idx="303">
                  <c:v>43800</c:v>
                </c:pt>
                <c:pt idx="304">
                  <c:v>43831</c:v>
                </c:pt>
                <c:pt idx="305">
                  <c:v>43862</c:v>
                </c:pt>
                <c:pt idx="306">
                  <c:v>43891</c:v>
                </c:pt>
                <c:pt idx="307">
                  <c:v>43922</c:v>
                </c:pt>
                <c:pt idx="308">
                  <c:v>43952</c:v>
                </c:pt>
                <c:pt idx="309">
                  <c:v>43983</c:v>
                </c:pt>
                <c:pt idx="310">
                  <c:v>44013</c:v>
                </c:pt>
                <c:pt idx="311">
                  <c:v>44044</c:v>
                </c:pt>
                <c:pt idx="312">
                  <c:v>44075</c:v>
                </c:pt>
                <c:pt idx="313">
                  <c:v>44105</c:v>
                </c:pt>
                <c:pt idx="314">
                  <c:v>44136</c:v>
                </c:pt>
                <c:pt idx="315">
                  <c:v>44166</c:v>
                </c:pt>
                <c:pt idx="316">
                  <c:v>44197</c:v>
                </c:pt>
                <c:pt idx="317">
                  <c:v>44228</c:v>
                </c:pt>
                <c:pt idx="318">
                  <c:v>44256</c:v>
                </c:pt>
                <c:pt idx="319">
                  <c:v>44287</c:v>
                </c:pt>
                <c:pt idx="320">
                  <c:v>44317</c:v>
                </c:pt>
                <c:pt idx="321">
                  <c:v>44348</c:v>
                </c:pt>
                <c:pt idx="322">
                  <c:v>44378</c:v>
                </c:pt>
                <c:pt idx="323">
                  <c:v>44409</c:v>
                </c:pt>
                <c:pt idx="324">
                  <c:v>44440</c:v>
                </c:pt>
                <c:pt idx="325">
                  <c:v>44470</c:v>
                </c:pt>
                <c:pt idx="326">
                  <c:v>44501</c:v>
                </c:pt>
                <c:pt idx="327">
                  <c:v>44531</c:v>
                </c:pt>
                <c:pt idx="328">
                  <c:v>44562</c:v>
                </c:pt>
                <c:pt idx="329">
                  <c:v>44593</c:v>
                </c:pt>
                <c:pt idx="330">
                  <c:v>44621</c:v>
                </c:pt>
                <c:pt idx="331">
                  <c:v>44652</c:v>
                </c:pt>
                <c:pt idx="332">
                  <c:v>44682</c:v>
                </c:pt>
                <c:pt idx="333">
                  <c:v>44713</c:v>
                </c:pt>
                <c:pt idx="334">
                  <c:v>44743</c:v>
                </c:pt>
                <c:pt idx="335">
                  <c:v>44774</c:v>
                </c:pt>
                <c:pt idx="336">
                  <c:v>44805</c:v>
                </c:pt>
                <c:pt idx="337">
                  <c:v>44835</c:v>
                </c:pt>
                <c:pt idx="338">
                  <c:v>44866</c:v>
                </c:pt>
                <c:pt idx="339">
                  <c:v>44896</c:v>
                </c:pt>
                <c:pt idx="340">
                  <c:v>44927</c:v>
                </c:pt>
                <c:pt idx="341">
                  <c:v>44958</c:v>
                </c:pt>
                <c:pt idx="342">
                  <c:v>44986</c:v>
                </c:pt>
                <c:pt idx="343">
                  <c:v>45017</c:v>
                </c:pt>
                <c:pt idx="344">
                  <c:v>45047</c:v>
                </c:pt>
                <c:pt idx="345">
                  <c:v>45078</c:v>
                </c:pt>
                <c:pt idx="346">
                  <c:v>45108</c:v>
                </c:pt>
                <c:pt idx="347">
                  <c:v>45139</c:v>
                </c:pt>
                <c:pt idx="348">
                  <c:v>45170</c:v>
                </c:pt>
                <c:pt idx="349">
                  <c:v>45200</c:v>
                </c:pt>
                <c:pt idx="350">
                  <c:v>45231</c:v>
                </c:pt>
                <c:pt idx="351">
                  <c:v>45261</c:v>
                </c:pt>
                <c:pt idx="352">
                  <c:v>45292</c:v>
                </c:pt>
                <c:pt idx="353">
                  <c:v>45323</c:v>
                </c:pt>
                <c:pt idx="354">
                  <c:v>45352</c:v>
                </c:pt>
                <c:pt idx="355">
                  <c:v>45383</c:v>
                </c:pt>
                <c:pt idx="356">
                  <c:v>45413</c:v>
                </c:pt>
                <c:pt idx="357">
                  <c:v>45444</c:v>
                </c:pt>
                <c:pt idx="358">
                  <c:v>45474</c:v>
                </c:pt>
                <c:pt idx="359">
                  <c:v>45505</c:v>
                </c:pt>
                <c:pt idx="360">
                  <c:v>45536</c:v>
                </c:pt>
                <c:pt idx="361">
                  <c:v>45536</c:v>
                </c:pt>
                <c:pt idx="362">
                  <c:v>45566</c:v>
                </c:pt>
                <c:pt idx="363">
                  <c:v>45597</c:v>
                </c:pt>
                <c:pt idx="364">
                  <c:v>45627</c:v>
                </c:pt>
                <c:pt idx="365">
                  <c:v>45658</c:v>
                </c:pt>
                <c:pt idx="366">
                  <c:v>45689</c:v>
                </c:pt>
                <c:pt idx="367">
                  <c:v>45717</c:v>
                </c:pt>
                <c:pt idx="368">
                  <c:v>45748</c:v>
                </c:pt>
                <c:pt idx="369">
                  <c:v>45778</c:v>
                </c:pt>
                <c:pt idx="370">
                  <c:v>45809</c:v>
                </c:pt>
                <c:pt idx="371">
                  <c:v>45839</c:v>
                </c:pt>
                <c:pt idx="372">
                  <c:v>45870</c:v>
                </c:pt>
                <c:pt idx="373">
                  <c:v>45901</c:v>
                </c:pt>
                <c:pt idx="374">
                  <c:v>45931</c:v>
                </c:pt>
                <c:pt idx="375">
                  <c:v>45962</c:v>
                </c:pt>
                <c:pt idx="376">
                  <c:v>45992</c:v>
                </c:pt>
                <c:pt idx="377">
                  <c:v>46023</c:v>
                </c:pt>
                <c:pt idx="378">
                  <c:v>46054</c:v>
                </c:pt>
                <c:pt idx="379">
                  <c:v>46082</c:v>
                </c:pt>
                <c:pt idx="380">
                  <c:v>46113</c:v>
                </c:pt>
                <c:pt idx="381">
                  <c:v>46143</c:v>
                </c:pt>
                <c:pt idx="382">
                  <c:v>46174</c:v>
                </c:pt>
                <c:pt idx="383">
                  <c:v>46204</c:v>
                </c:pt>
                <c:pt idx="384">
                  <c:v>46235</c:v>
                </c:pt>
                <c:pt idx="385">
                  <c:v>46266</c:v>
                </c:pt>
              </c:numCache>
            </c:numRef>
          </c:xVal>
          <c:yVal>
            <c:numRef>
              <c:f>'Agências de Rating Soberano'!$B$2:$B$387</c:f>
              <c:numCache>
                <c:formatCode>General</c:formatCode>
                <c:ptCount val="386"/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  <c:pt idx="116">
                  <c:v>7</c:v>
                </c:pt>
                <c:pt idx="117">
                  <c:v>7</c:v>
                </c:pt>
                <c:pt idx="118">
                  <c:v>7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10</c:v>
                </c:pt>
                <c:pt idx="153">
                  <c:v>10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  <c:pt idx="169">
                  <c:v>11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12</c:v>
                </c:pt>
                <c:pt idx="251">
                  <c:v>12</c:v>
                </c:pt>
                <c:pt idx="252">
                  <c:v>12</c:v>
                </c:pt>
                <c:pt idx="253">
                  <c:v>12</c:v>
                </c:pt>
                <c:pt idx="254">
                  <c:v>12</c:v>
                </c:pt>
                <c:pt idx="255">
                  <c:v>12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</c:v>
                </c:pt>
                <c:pt idx="369">
                  <c:v>11</c:v>
                </c:pt>
                <c:pt idx="370">
                  <c:v>11</c:v>
                </c:pt>
                <c:pt idx="371">
                  <c:v>11</c:v>
                </c:pt>
                <c:pt idx="372">
                  <c:v>11</c:v>
                </c:pt>
                <c:pt idx="373">
                  <c:v>11</c:v>
                </c:pt>
                <c:pt idx="374">
                  <c:v>11</c:v>
                </c:pt>
                <c:pt idx="375">
                  <c:v>11</c:v>
                </c:pt>
                <c:pt idx="376">
                  <c:v>11</c:v>
                </c:pt>
                <c:pt idx="377">
                  <c:v>11</c:v>
                </c:pt>
                <c:pt idx="378">
                  <c:v>11</c:v>
                </c:pt>
                <c:pt idx="379">
                  <c:v>11</c:v>
                </c:pt>
                <c:pt idx="380">
                  <c:v>11</c:v>
                </c:pt>
                <c:pt idx="381">
                  <c:v>11</c:v>
                </c:pt>
                <c:pt idx="382">
                  <c:v>11</c:v>
                </c:pt>
                <c:pt idx="383">
                  <c:v>11</c:v>
                </c:pt>
                <c:pt idx="384">
                  <c:v>11</c:v>
                </c:pt>
                <c:pt idx="385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E8-4844-A343-31BF0A98BCB5}"/>
            </c:ext>
          </c:extLst>
        </c:ser>
        <c:ser>
          <c:idx val="1"/>
          <c:order val="1"/>
          <c:tx>
            <c:v>S&amp;P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'Agências de Rating Soberano'!$A$2:$A$387</c:f>
              <c:numCache>
                <c:formatCode>mmm\-yy</c:formatCode>
                <c:ptCount val="386"/>
                <c:pt idx="0">
                  <c:v>34608</c:v>
                </c:pt>
                <c:pt idx="1">
                  <c:v>34609</c:v>
                </c:pt>
                <c:pt idx="2">
                  <c:v>34639</c:v>
                </c:pt>
                <c:pt idx="3">
                  <c:v>34669</c:v>
                </c:pt>
                <c:pt idx="4">
                  <c:v>34700</c:v>
                </c:pt>
                <c:pt idx="5">
                  <c:v>34731</c:v>
                </c:pt>
                <c:pt idx="6">
                  <c:v>34759</c:v>
                </c:pt>
                <c:pt idx="7">
                  <c:v>34790</c:v>
                </c:pt>
                <c:pt idx="8">
                  <c:v>34820</c:v>
                </c:pt>
                <c:pt idx="9">
                  <c:v>34851</c:v>
                </c:pt>
                <c:pt idx="10">
                  <c:v>34881</c:v>
                </c:pt>
                <c:pt idx="11">
                  <c:v>34912</c:v>
                </c:pt>
                <c:pt idx="12">
                  <c:v>34943</c:v>
                </c:pt>
                <c:pt idx="13">
                  <c:v>34973</c:v>
                </c:pt>
                <c:pt idx="14">
                  <c:v>35004</c:v>
                </c:pt>
                <c:pt idx="15">
                  <c:v>35034</c:v>
                </c:pt>
                <c:pt idx="16">
                  <c:v>35065</c:v>
                </c:pt>
                <c:pt idx="17">
                  <c:v>35096</c:v>
                </c:pt>
                <c:pt idx="18">
                  <c:v>35125</c:v>
                </c:pt>
                <c:pt idx="19">
                  <c:v>35156</c:v>
                </c:pt>
                <c:pt idx="20">
                  <c:v>35186</c:v>
                </c:pt>
                <c:pt idx="21">
                  <c:v>35217</c:v>
                </c:pt>
                <c:pt idx="22">
                  <c:v>35247</c:v>
                </c:pt>
                <c:pt idx="23">
                  <c:v>35278</c:v>
                </c:pt>
                <c:pt idx="24">
                  <c:v>35309</c:v>
                </c:pt>
                <c:pt idx="25">
                  <c:v>35339</c:v>
                </c:pt>
                <c:pt idx="26">
                  <c:v>35370</c:v>
                </c:pt>
                <c:pt idx="27">
                  <c:v>35400</c:v>
                </c:pt>
                <c:pt idx="28">
                  <c:v>35431</c:v>
                </c:pt>
                <c:pt idx="29">
                  <c:v>35462</c:v>
                </c:pt>
                <c:pt idx="30">
                  <c:v>35490</c:v>
                </c:pt>
                <c:pt idx="31">
                  <c:v>35521</c:v>
                </c:pt>
                <c:pt idx="32">
                  <c:v>35551</c:v>
                </c:pt>
                <c:pt idx="33">
                  <c:v>35582</c:v>
                </c:pt>
                <c:pt idx="34">
                  <c:v>35612</c:v>
                </c:pt>
                <c:pt idx="35">
                  <c:v>35643</c:v>
                </c:pt>
                <c:pt idx="36">
                  <c:v>35674</c:v>
                </c:pt>
                <c:pt idx="37">
                  <c:v>35704</c:v>
                </c:pt>
                <c:pt idx="38">
                  <c:v>35735</c:v>
                </c:pt>
                <c:pt idx="39">
                  <c:v>35765</c:v>
                </c:pt>
                <c:pt idx="40">
                  <c:v>35796</c:v>
                </c:pt>
                <c:pt idx="41">
                  <c:v>35827</c:v>
                </c:pt>
                <c:pt idx="42">
                  <c:v>35855</c:v>
                </c:pt>
                <c:pt idx="43">
                  <c:v>35886</c:v>
                </c:pt>
                <c:pt idx="44">
                  <c:v>35916</c:v>
                </c:pt>
                <c:pt idx="45">
                  <c:v>35947</c:v>
                </c:pt>
                <c:pt idx="46">
                  <c:v>35977</c:v>
                </c:pt>
                <c:pt idx="47">
                  <c:v>36008</c:v>
                </c:pt>
                <c:pt idx="48">
                  <c:v>36039</c:v>
                </c:pt>
                <c:pt idx="49">
                  <c:v>36069</c:v>
                </c:pt>
                <c:pt idx="50">
                  <c:v>36100</c:v>
                </c:pt>
                <c:pt idx="51">
                  <c:v>36130</c:v>
                </c:pt>
                <c:pt idx="52">
                  <c:v>36161</c:v>
                </c:pt>
                <c:pt idx="53">
                  <c:v>36192</c:v>
                </c:pt>
                <c:pt idx="54">
                  <c:v>36220</c:v>
                </c:pt>
                <c:pt idx="55">
                  <c:v>36251</c:v>
                </c:pt>
                <c:pt idx="56">
                  <c:v>36281</c:v>
                </c:pt>
                <c:pt idx="57">
                  <c:v>36312</c:v>
                </c:pt>
                <c:pt idx="58">
                  <c:v>36342</c:v>
                </c:pt>
                <c:pt idx="59">
                  <c:v>36373</c:v>
                </c:pt>
                <c:pt idx="60">
                  <c:v>36404</c:v>
                </c:pt>
                <c:pt idx="61">
                  <c:v>36434</c:v>
                </c:pt>
                <c:pt idx="62">
                  <c:v>36465</c:v>
                </c:pt>
                <c:pt idx="63">
                  <c:v>36495</c:v>
                </c:pt>
                <c:pt idx="64">
                  <c:v>36526</c:v>
                </c:pt>
                <c:pt idx="65">
                  <c:v>36557</c:v>
                </c:pt>
                <c:pt idx="66">
                  <c:v>36586</c:v>
                </c:pt>
                <c:pt idx="67">
                  <c:v>36617</c:v>
                </c:pt>
                <c:pt idx="68">
                  <c:v>36647</c:v>
                </c:pt>
                <c:pt idx="69">
                  <c:v>36678</c:v>
                </c:pt>
                <c:pt idx="70">
                  <c:v>36708</c:v>
                </c:pt>
                <c:pt idx="71">
                  <c:v>36739</c:v>
                </c:pt>
                <c:pt idx="72">
                  <c:v>36770</c:v>
                </c:pt>
                <c:pt idx="73">
                  <c:v>36800</c:v>
                </c:pt>
                <c:pt idx="74">
                  <c:v>36831</c:v>
                </c:pt>
                <c:pt idx="75">
                  <c:v>36861</c:v>
                </c:pt>
                <c:pt idx="76">
                  <c:v>36892</c:v>
                </c:pt>
                <c:pt idx="77">
                  <c:v>36923</c:v>
                </c:pt>
                <c:pt idx="78">
                  <c:v>36951</c:v>
                </c:pt>
                <c:pt idx="79">
                  <c:v>36982</c:v>
                </c:pt>
                <c:pt idx="80">
                  <c:v>37012</c:v>
                </c:pt>
                <c:pt idx="81">
                  <c:v>37043</c:v>
                </c:pt>
                <c:pt idx="82">
                  <c:v>37073</c:v>
                </c:pt>
                <c:pt idx="83">
                  <c:v>37104</c:v>
                </c:pt>
                <c:pt idx="84">
                  <c:v>37135</c:v>
                </c:pt>
                <c:pt idx="85">
                  <c:v>37165</c:v>
                </c:pt>
                <c:pt idx="86">
                  <c:v>37196</c:v>
                </c:pt>
                <c:pt idx="87">
                  <c:v>37226</c:v>
                </c:pt>
                <c:pt idx="88">
                  <c:v>37257</c:v>
                </c:pt>
                <c:pt idx="89">
                  <c:v>37288</c:v>
                </c:pt>
                <c:pt idx="90">
                  <c:v>37316</c:v>
                </c:pt>
                <c:pt idx="91">
                  <c:v>37347</c:v>
                </c:pt>
                <c:pt idx="92">
                  <c:v>37377</c:v>
                </c:pt>
                <c:pt idx="93">
                  <c:v>37408</c:v>
                </c:pt>
                <c:pt idx="94">
                  <c:v>37438</c:v>
                </c:pt>
                <c:pt idx="95">
                  <c:v>37469</c:v>
                </c:pt>
                <c:pt idx="96">
                  <c:v>37500</c:v>
                </c:pt>
                <c:pt idx="97">
                  <c:v>37530</c:v>
                </c:pt>
                <c:pt idx="98">
                  <c:v>37561</c:v>
                </c:pt>
                <c:pt idx="99">
                  <c:v>37591</c:v>
                </c:pt>
                <c:pt idx="100">
                  <c:v>37622</c:v>
                </c:pt>
                <c:pt idx="101">
                  <c:v>37653</c:v>
                </c:pt>
                <c:pt idx="102">
                  <c:v>37681</c:v>
                </c:pt>
                <c:pt idx="103">
                  <c:v>37712</c:v>
                </c:pt>
                <c:pt idx="104">
                  <c:v>37742</c:v>
                </c:pt>
                <c:pt idx="105">
                  <c:v>37773</c:v>
                </c:pt>
                <c:pt idx="106">
                  <c:v>37803</c:v>
                </c:pt>
                <c:pt idx="107">
                  <c:v>37834</c:v>
                </c:pt>
                <c:pt idx="108">
                  <c:v>37865</c:v>
                </c:pt>
                <c:pt idx="109">
                  <c:v>37895</c:v>
                </c:pt>
                <c:pt idx="110">
                  <c:v>37926</c:v>
                </c:pt>
                <c:pt idx="111">
                  <c:v>37956</c:v>
                </c:pt>
                <c:pt idx="112">
                  <c:v>37987</c:v>
                </c:pt>
                <c:pt idx="113">
                  <c:v>38018</c:v>
                </c:pt>
                <c:pt idx="114">
                  <c:v>38047</c:v>
                </c:pt>
                <c:pt idx="115">
                  <c:v>38078</c:v>
                </c:pt>
                <c:pt idx="116">
                  <c:v>38108</c:v>
                </c:pt>
                <c:pt idx="117">
                  <c:v>38139</c:v>
                </c:pt>
                <c:pt idx="118">
                  <c:v>38169</c:v>
                </c:pt>
                <c:pt idx="119">
                  <c:v>38200</c:v>
                </c:pt>
                <c:pt idx="120">
                  <c:v>38231</c:v>
                </c:pt>
                <c:pt idx="121">
                  <c:v>38261</c:v>
                </c:pt>
                <c:pt idx="122">
                  <c:v>38292</c:v>
                </c:pt>
                <c:pt idx="123">
                  <c:v>38322</c:v>
                </c:pt>
                <c:pt idx="124">
                  <c:v>38353</c:v>
                </c:pt>
                <c:pt idx="125">
                  <c:v>38384</c:v>
                </c:pt>
                <c:pt idx="126">
                  <c:v>38412</c:v>
                </c:pt>
                <c:pt idx="127">
                  <c:v>38443</c:v>
                </c:pt>
                <c:pt idx="128">
                  <c:v>38473</c:v>
                </c:pt>
                <c:pt idx="129">
                  <c:v>38504</c:v>
                </c:pt>
                <c:pt idx="130">
                  <c:v>38534</c:v>
                </c:pt>
                <c:pt idx="131">
                  <c:v>38565</c:v>
                </c:pt>
                <c:pt idx="132">
                  <c:v>38596</c:v>
                </c:pt>
                <c:pt idx="133">
                  <c:v>38626</c:v>
                </c:pt>
                <c:pt idx="134">
                  <c:v>38657</c:v>
                </c:pt>
                <c:pt idx="135">
                  <c:v>38687</c:v>
                </c:pt>
                <c:pt idx="136">
                  <c:v>38718</c:v>
                </c:pt>
                <c:pt idx="137">
                  <c:v>38749</c:v>
                </c:pt>
                <c:pt idx="138">
                  <c:v>38777</c:v>
                </c:pt>
                <c:pt idx="139">
                  <c:v>38808</c:v>
                </c:pt>
                <c:pt idx="140">
                  <c:v>38838</c:v>
                </c:pt>
                <c:pt idx="141">
                  <c:v>38869</c:v>
                </c:pt>
                <c:pt idx="142">
                  <c:v>38899</c:v>
                </c:pt>
                <c:pt idx="143">
                  <c:v>38930</c:v>
                </c:pt>
                <c:pt idx="144">
                  <c:v>38961</c:v>
                </c:pt>
                <c:pt idx="145">
                  <c:v>38991</c:v>
                </c:pt>
                <c:pt idx="146">
                  <c:v>39022</c:v>
                </c:pt>
                <c:pt idx="147">
                  <c:v>39052</c:v>
                </c:pt>
                <c:pt idx="148">
                  <c:v>39083</c:v>
                </c:pt>
                <c:pt idx="149">
                  <c:v>39114</c:v>
                </c:pt>
                <c:pt idx="150">
                  <c:v>39142</c:v>
                </c:pt>
                <c:pt idx="151">
                  <c:v>39173</c:v>
                </c:pt>
                <c:pt idx="152">
                  <c:v>39203</c:v>
                </c:pt>
                <c:pt idx="153">
                  <c:v>39234</c:v>
                </c:pt>
                <c:pt idx="154">
                  <c:v>39264</c:v>
                </c:pt>
                <c:pt idx="155">
                  <c:v>39295</c:v>
                </c:pt>
                <c:pt idx="156">
                  <c:v>39326</c:v>
                </c:pt>
                <c:pt idx="157">
                  <c:v>39356</c:v>
                </c:pt>
                <c:pt idx="158">
                  <c:v>39387</c:v>
                </c:pt>
                <c:pt idx="159">
                  <c:v>39417</c:v>
                </c:pt>
                <c:pt idx="160">
                  <c:v>39448</c:v>
                </c:pt>
                <c:pt idx="161">
                  <c:v>39479</c:v>
                </c:pt>
                <c:pt idx="162">
                  <c:v>39508</c:v>
                </c:pt>
                <c:pt idx="163">
                  <c:v>39539</c:v>
                </c:pt>
                <c:pt idx="164">
                  <c:v>39569</c:v>
                </c:pt>
                <c:pt idx="165">
                  <c:v>39600</c:v>
                </c:pt>
                <c:pt idx="166">
                  <c:v>39630</c:v>
                </c:pt>
                <c:pt idx="167">
                  <c:v>39661</c:v>
                </c:pt>
                <c:pt idx="168">
                  <c:v>39692</c:v>
                </c:pt>
                <c:pt idx="169">
                  <c:v>39722</c:v>
                </c:pt>
                <c:pt idx="170">
                  <c:v>39753</c:v>
                </c:pt>
                <c:pt idx="171">
                  <c:v>39783</c:v>
                </c:pt>
                <c:pt idx="172">
                  <c:v>39814</c:v>
                </c:pt>
                <c:pt idx="173">
                  <c:v>39845</c:v>
                </c:pt>
                <c:pt idx="174">
                  <c:v>39873</c:v>
                </c:pt>
                <c:pt idx="175">
                  <c:v>39904</c:v>
                </c:pt>
                <c:pt idx="176">
                  <c:v>39934</c:v>
                </c:pt>
                <c:pt idx="177">
                  <c:v>39965</c:v>
                </c:pt>
                <c:pt idx="178">
                  <c:v>39995</c:v>
                </c:pt>
                <c:pt idx="179">
                  <c:v>40026</c:v>
                </c:pt>
                <c:pt idx="180">
                  <c:v>40057</c:v>
                </c:pt>
                <c:pt idx="181">
                  <c:v>40087</c:v>
                </c:pt>
                <c:pt idx="182">
                  <c:v>40118</c:v>
                </c:pt>
                <c:pt idx="183">
                  <c:v>40148</c:v>
                </c:pt>
                <c:pt idx="184">
                  <c:v>40179</c:v>
                </c:pt>
                <c:pt idx="185">
                  <c:v>40210</c:v>
                </c:pt>
                <c:pt idx="186">
                  <c:v>40238</c:v>
                </c:pt>
                <c:pt idx="187">
                  <c:v>40269</c:v>
                </c:pt>
                <c:pt idx="188">
                  <c:v>40299</c:v>
                </c:pt>
                <c:pt idx="189">
                  <c:v>40330</c:v>
                </c:pt>
                <c:pt idx="190">
                  <c:v>40360</c:v>
                </c:pt>
                <c:pt idx="191">
                  <c:v>40391</c:v>
                </c:pt>
                <c:pt idx="192">
                  <c:v>40422</c:v>
                </c:pt>
                <c:pt idx="193">
                  <c:v>40452</c:v>
                </c:pt>
                <c:pt idx="194">
                  <c:v>40483</c:v>
                </c:pt>
                <c:pt idx="195">
                  <c:v>40513</c:v>
                </c:pt>
                <c:pt idx="196">
                  <c:v>40544</c:v>
                </c:pt>
                <c:pt idx="197">
                  <c:v>40575</c:v>
                </c:pt>
                <c:pt idx="198">
                  <c:v>40603</c:v>
                </c:pt>
                <c:pt idx="199">
                  <c:v>40634</c:v>
                </c:pt>
                <c:pt idx="200">
                  <c:v>40664</c:v>
                </c:pt>
                <c:pt idx="201">
                  <c:v>40695</c:v>
                </c:pt>
                <c:pt idx="202">
                  <c:v>40725</c:v>
                </c:pt>
                <c:pt idx="203">
                  <c:v>40756</c:v>
                </c:pt>
                <c:pt idx="204">
                  <c:v>40787</c:v>
                </c:pt>
                <c:pt idx="205">
                  <c:v>40817</c:v>
                </c:pt>
                <c:pt idx="206">
                  <c:v>40848</c:v>
                </c:pt>
                <c:pt idx="207">
                  <c:v>40878</c:v>
                </c:pt>
                <c:pt idx="208">
                  <c:v>40909</c:v>
                </c:pt>
                <c:pt idx="209">
                  <c:v>40940</c:v>
                </c:pt>
                <c:pt idx="210">
                  <c:v>40969</c:v>
                </c:pt>
                <c:pt idx="211">
                  <c:v>41000</c:v>
                </c:pt>
                <c:pt idx="212">
                  <c:v>41030</c:v>
                </c:pt>
                <c:pt idx="213">
                  <c:v>41061</c:v>
                </c:pt>
                <c:pt idx="214">
                  <c:v>41091</c:v>
                </c:pt>
                <c:pt idx="215">
                  <c:v>41122</c:v>
                </c:pt>
                <c:pt idx="216">
                  <c:v>41153</c:v>
                </c:pt>
                <c:pt idx="217">
                  <c:v>41183</c:v>
                </c:pt>
                <c:pt idx="218">
                  <c:v>41214</c:v>
                </c:pt>
                <c:pt idx="219">
                  <c:v>41244</c:v>
                </c:pt>
                <c:pt idx="220">
                  <c:v>41275</c:v>
                </c:pt>
                <c:pt idx="221">
                  <c:v>41306</c:v>
                </c:pt>
                <c:pt idx="222">
                  <c:v>41334</c:v>
                </c:pt>
                <c:pt idx="223">
                  <c:v>41365</c:v>
                </c:pt>
                <c:pt idx="224">
                  <c:v>41395</c:v>
                </c:pt>
                <c:pt idx="225">
                  <c:v>41426</c:v>
                </c:pt>
                <c:pt idx="226">
                  <c:v>41456</c:v>
                </c:pt>
                <c:pt idx="227">
                  <c:v>41487</c:v>
                </c:pt>
                <c:pt idx="228">
                  <c:v>41518</c:v>
                </c:pt>
                <c:pt idx="229">
                  <c:v>41548</c:v>
                </c:pt>
                <c:pt idx="230">
                  <c:v>41579</c:v>
                </c:pt>
                <c:pt idx="231">
                  <c:v>41609</c:v>
                </c:pt>
                <c:pt idx="232">
                  <c:v>41640</c:v>
                </c:pt>
                <c:pt idx="233">
                  <c:v>41671</c:v>
                </c:pt>
                <c:pt idx="234">
                  <c:v>41699</c:v>
                </c:pt>
                <c:pt idx="235">
                  <c:v>41730</c:v>
                </c:pt>
                <c:pt idx="236">
                  <c:v>41760</c:v>
                </c:pt>
                <c:pt idx="237">
                  <c:v>41791</c:v>
                </c:pt>
                <c:pt idx="238">
                  <c:v>41821</c:v>
                </c:pt>
                <c:pt idx="239">
                  <c:v>41852</c:v>
                </c:pt>
                <c:pt idx="240">
                  <c:v>41883</c:v>
                </c:pt>
                <c:pt idx="241">
                  <c:v>41913</c:v>
                </c:pt>
                <c:pt idx="242">
                  <c:v>41944</c:v>
                </c:pt>
                <c:pt idx="243">
                  <c:v>41974</c:v>
                </c:pt>
                <c:pt idx="244">
                  <c:v>42005</c:v>
                </c:pt>
                <c:pt idx="245">
                  <c:v>42036</c:v>
                </c:pt>
                <c:pt idx="246">
                  <c:v>42064</c:v>
                </c:pt>
                <c:pt idx="247">
                  <c:v>42095</c:v>
                </c:pt>
                <c:pt idx="248">
                  <c:v>42125</c:v>
                </c:pt>
                <c:pt idx="249">
                  <c:v>42156</c:v>
                </c:pt>
                <c:pt idx="250">
                  <c:v>42186</c:v>
                </c:pt>
                <c:pt idx="251">
                  <c:v>42217</c:v>
                </c:pt>
                <c:pt idx="252">
                  <c:v>42248</c:v>
                </c:pt>
                <c:pt idx="253">
                  <c:v>42278</c:v>
                </c:pt>
                <c:pt idx="254">
                  <c:v>42309</c:v>
                </c:pt>
                <c:pt idx="255">
                  <c:v>42339</c:v>
                </c:pt>
                <c:pt idx="256">
                  <c:v>42370</c:v>
                </c:pt>
                <c:pt idx="257">
                  <c:v>42401</c:v>
                </c:pt>
                <c:pt idx="258">
                  <c:v>42430</c:v>
                </c:pt>
                <c:pt idx="259">
                  <c:v>42461</c:v>
                </c:pt>
                <c:pt idx="260">
                  <c:v>42491</c:v>
                </c:pt>
                <c:pt idx="261">
                  <c:v>42522</c:v>
                </c:pt>
                <c:pt idx="262">
                  <c:v>42552</c:v>
                </c:pt>
                <c:pt idx="263">
                  <c:v>42583</c:v>
                </c:pt>
                <c:pt idx="264">
                  <c:v>42614</c:v>
                </c:pt>
                <c:pt idx="265">
                  <c:v>42644</c:v>
                </c:pt>
                <c:pt idx="266">
                  <c:v>42675</c:v>
                </c:pt>
                <c:pt idx="267">
                  <c:v>42705</c:v>
                </c:pt>
                <c:pt idx="268">
                  <c:v>42736</c:v>
                </c:pt>
                <c:pt idx="269">
                  <c:v>42767</c:v>
                </c:pt>
                <c:pt idx="270">
                  <c:v>42795</c:v>
                </c:pt>
                <c:pt idx="271">
                  <c:v>42826</c:v>
                </c:pt>
                <c:pt idx="272">
                  <c:v>42856</c:v>
                </c:pt>
                <c:pt idx="273">
                  <c:v>42887</c:v>
                </c:pt>
                <c:pt idx="274">
                  <c:v>42917</c:v>
                </c:pt>
                <c:pt idx="275">
                  <c:v>42948</c:v>
                </c:pt>
                <c:pt idx="276">
                  <c:v>42979</c:v>
                </c:pt>
                <c:pt idx="277">
                  <c:v>43009</c:v>
                </c:pt>
                <c:pt idx="278">
                  <c:v>43040</c:v>
                </c:pt>
                <c:pt idx="279">
                  <c:v>43070</c:v>
                </c:pt>
                <c:pt idx="280">
                  <c:v>43101</c:v>
                </c:pt>
                <c:pt idx="281">
                  <c:v>43132</c:v>
                </c:pt>
                <c:pt idx="282">
                  <c:v>43160</c:v>
                </c:pt>
                <c:pt idx="283">
                  <c:v>43191</c:v>
                </c:pt>
                <c:pt idx="284">
                  <c:v>43221</c:v>
                </c:pt>
                <c:pt idx="285">
                  <c:v>43252</c:v>
                </c:pt>
                <c:pt idx="286">
                  <c:v>43282</c:v>
                </c:pt>
                <c:pt idx="287">
                  <c:v>43313</c:v>
                </c:pt>
                <c:pt idx="288">
                  <c:v>43344</c:v>
                </c:pt>
                <c:pt idx="289">
                  <c:v>43374</c:v>
                </c:pt>
                <c:pt idx="290">
                  <c:v>43405</c:v>
                </c:pt>
                <c:pt idx="291">
                  <c:v>43435</c:v>
                </c:pt>
                <c:pt idx="292">
                  <c:v>43466</c:v>
                </c:pt>
                <c:pt idx="293">
                  <c:v>43497</c:v>
                </c:pt>
                <c:pt idx="294">
                  <c:v>43525</c:v>
                </c:pt>
                <c:pt idx="295">
                  <c:v>43556</c:v>
                </c:pt>
                <c:pt idx="296">
                  <c:v>43586</c:v>
                </c:pt>
                <c:pt idx="297">
                  <c:v>43617</c:v>
                </c:pt>
                <c:pt idx="298">
                  <c:v>43647</c:v>
                </c:pt>
                <c:pt idx="299">
                  <c:v>43678</c:v>
                </c:pt>
                <c:pt idx="300">
                  <c:v>43709</c:v>
                </c:pt>
                <c:pt idx="301">
                  <c:v>43739</c:v>
                </c:pt>
                <c:pt idx="302">
                  <c:v>43770</c:v>
                </c:pt>
                <c:pt idx="303">
                  <c:v>43800</c:v>
                </c:pt>
                <c:pt idx="304">
                  <c:v>43831</c:v>
                </c:pt>
                <c:pt idx="305">
                  <c:v>43862</c:v>
                </c:pt>
                <c:pt idx="306">
                  <c:v>43891</c:v>
                </c:pt>
                <c:pt idx="307">
                  <c:v>43922</c:v>
                </c:pt>
                <c:pt idx="308">
                  <c:v>43952</c:v>
                </c:pt>
                <c:pt idx="309">
                  <c:v>43983</c:v>
                </c:pt>
                <c:pt idx="310">
                  <c:v>44013</c:v>
                </c:pt>
                <c:pt idx="311">
                  <c:v>44044</c:v>
                </c:pt>
                <c:pt idx="312">
                  <c:v>44075</c:v>
                </c:pt>
                <c:pt idx="313">
                  <c:v>44105</c:v>
                </c:pt>
                <c:pt idx="314">
                  <c:v>44136</c:v>
                </c:pt>
                <c:pt idx="315">
                  <c:v>44166</c:v>
                </c:pt>
                <c:pt idx="316">
                  <c:v>44197</c:v>
                </c:pt>
                <c:pt idx="317">
                  <c:v>44228</c:v>
                </c:pt>
                <c:pt idx="318">
                  <c:v>44256</c:v>
                </c:pt>
                <c:pt idx="319">
                  <c:v>44287</c:v>
                </c:pt>
                <c:pt idx="320">
                  <c:v>44317</c:v>
                </c:pt>
                <c:pt idx="321">
                  <c:v>44348</c:v>
                </c:pt>
                <c:pt idx="322">
                  <c:v>44378</c:v>
                </c:pt>
                <c:pt idx="323">
                  <c:v>44409</c:v>
                </c:pt>
                <c:pt idx="324">
                  <c:v>44440</c:v>
                </c:pt>
                <c:pt idx="325">
                  <c:v>44470</c:v>
                </c:pt>
                <c:pt idx="326">
                  <c:v>44501</c:v>
                </c:pt>
                <c:pt idx="327">
                  <c:v>44531</c:v>
                </c:pt>
                <c:pt idx="328">
                  <c:v>44562</c:v>
                </c:pt>
                <c:pt idx="329">
                  <c:v>44593</c:v>
                </c:pt>
                <c:pt idx="330">
                  <c:v>44621</c:v>
                </c:pt>
                <c:pt idx="331">
                  <c:v>44652</c:v>
                </c:pt>
                <c:pt idx="332">
                  <c:v>44682</c:v>
                </c:pt>
                <c:pt idx="333">
                  <c:v>44713</c:v>
                </c:pt>
                <c:pt idx="334">
                  <c:v>44743</c:v>
                </c:pt>
                <c:pt idx="335">
                  <c:v>44774</c:v>
                </c:pt>
                <c:pt idx="336">
                  <c:v>44805</c:v>
                </c:pt>
                <c:pt idx="337">
                  <c:v>44835</c:v>
                </c:pt>
                <c:pt idx="338">
                  <c:v>44866</c:v>
                </c:pt>
                <c:pt idx="339">
                  <c:v>44896</c:v>
                </c:pt>
                <c:pt idx="340">
                  <c:v>44927</c:v>
                </c:pt>
                <c:pt idx="341">
                  <c:v>44958</c:v>
                </c:pt>
                <c:pt idx="342">
                  <c:v>44986</c:v>
                </c:pt>
                <c:pt idx="343">
                  <c:v>45017</c:v>
                </c:pt>
                <c:pt idx="344">
                  <c:v>45047</c:v>
                </c:pt>
                <c:pt idx="345">
                  <c:v>45078</c:v>
                </c:pt>
                <c:pt idx="346">
                  <c:v>45108</c:v>
                </c:pt>
                <c:pt idx="347">
                  <c:v>45139</c:v>
                </c:pt>
                <c:pt idx="348">
                  <c:v>45170</c:v>
                </c:pt>
                <c:pt idx="349">
                  <c:v>45200</c:v>
                </c:pt>
                <c:pt idx="350">
                  <c:v>45231</c:v>
                </c:pt>
                <c:pt idx="351">
                  <c:v>45261</c:v>
                </c:pt>
                <c:pt idx="352">
                  <c:v>45292</c:v>
                </c:pt>
                <c:pt idx="353">
                  <c:v>45323</c:v>
                </c:pt>
                <c:pt idx="354">
                  <c:v>45352</c:v>
                </c:pt>
                <c:pt idx="355">
                  <c:v>45383</c:v>
                </c:pt>
                <c:pt idx="356">
                  <c:v>45413</c:v>
                </c:pt>
                <c:pt idx="357">
                  <c:v>45444</c:v>
                </c:pt>
                <c:pt idx="358">
                  <c:v>45474</c:v>
                </c:pt>
                <c:pt idx="359">
                  <c:v>45505</c:v>
                </c:pt>
                <c:pt idx="360">
                  <c:v>45536</c:v>
                </c:pt>
                <c:pt idx="361">
                  <c:v>45536</c:v>
                </c:pt>
                <c:pt idx="362">
                  <c:v>45566</c:v>
                </c:pt>
                <c:pt idx="363">
                  <c:v>45597</c:v>
                </c:pt>
                <c:pt idx="364">
                  <c:v>45627</c:v>
                </c:pt>
                <c:pt idx="365">
                  <c:v>45658</c:v>
                </c:pt>
                <c:pt idx="366">
                  <c:v>45689</c:v>
                </c:pt>
                <c:pt idx="367">
                  <c:v>45717</c:v>
                </c:pt>
                <c:pt idx="368">
                  <c:v>45748</c:v>
                </c:pt>
                <c:pt idx="369">
                  <c:v>45778</c:v>
                </c:pt>
                <c:pt idx="370">
                  <c:v>45809</c:v>
                </c:pt>
                <c:pt idx="371">
                  <c:v>45839</c:v>
                </c:pt>
                <c:pt idx="372">
                  <c:v>45870</c:v>
                </c:pt>
                <c:pt idx="373">
                  <c:v>45901</c:v>
                </c:pt>
                <c:pt idx="374">
                  <c:v>45931</c:v>
                </c:pt>
                <c:pt idx="375">
                  <c:v>45962</c:v>
                </c:pt>
                <c:pt idx="376">
                  <c:v>45992</c:v>
                </c:pt>
                <c:pt idx="377">
                  <c:v>46023</c:v>
                </c:pt>
                <c:pt idx="378">
                  <c:v>46054</c:v>
                </c:pt>
                <c:pt idx="379">
                  <c:v>46082</c:v>
                </c:pt>
                <c:pt idx="380">
                  <c:v>46113</c:v>
                </c:pt>
                <c:pt idx="381">
                  <c:v>46143</c:v>
                </c:pt>
                <c:pt idx="382">
                  <c:v>46174</c:v>
                </c:pt>
                <c:pt idx="383">
                  <c:v>46204</c:v>
                </c:pt>
                <c:pt idx="384">
                  <c:v>46235</c:v>
                </c:pt>
                <c:pt idx="385">
                  <c:v>46266</c:v>
                </c:pt>
              </c:numCache>
            </c:numRef>
          </c:xVal>
          <c:yVal>
            <c:numRef>
              <c:f>'Agências de Rating Soberano'!$C$2:$C$387</c:f>
              <c:numCache>
                <c:formatCode>General</c:formatCode>
                <c:ptCount val="386"/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8</c:v>
                </c:pt>
                <c:pt idx="53">
                  <c:v>8</c:v>
                </c:pt>
                <c:pt idx="54">
                  <c:v>8</c:v>
                </c:pt>
                <c:pt idx="55">
                  <c:v>8</c:v>
                </c:pt>
                <c:pt idx="56">
                  <c:v>8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10</c:v>
                </c:pt>
                <c:pt idx="138">
                  <c:v>10</c:v>
                </c:pt>
                <c:pt idx="139">
                  <c:v>10</c:v>
                </c:pt>
                <c:pt idx="140">
                  <c:v>10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12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12</c:v>
                </c:pt>
                <c:pt idx="200">
                  <c:v>12</c:v>
                </c:pt>
                <c:pt idx="201">
                  <c:v>12</c:v>
                </c:pt>
                <c:pt idx="202">
                  <c:v>12</c:v>
                </c:pt>
                <c:pt idx="203">
                  <c:v>12</c:v>
                </c:pt>
                <c:pt idx="204">
                  <c:v>12</c:v>
                </c:pt>
                <c:pt idx="205">
                  <c:v>12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12</c:v>
                </c:pt>
                <c:pt idx="251">
                  <c:v>12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9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9</c:v>
                </c:pt>
                <c:pt idx="304">
                  <c:v>9</c:v>
                </c:pt>
                <c:pt idx="305">
                  <c:v>9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9</c:v>
                </c:pt>
                <c:pt idx="310">
                  <c:v>9</c:v>
                </c:pt>
                <c:pt idx="311">
                  <c:v>9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9</c:v>
                </c:pt>
                <c:pt idx="321">
                  <c:v>9</c:v>
                </c:pt>
                <c:pt idx="322">
                  <c:v>9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9</c:v>
                </c:pt>
                <c:pt idx="347">
                  <c:v>9</c:v>
                </c:pt>
                <c:pt idx="348">
                  <c:v>9</c:v>
                </c:pt>
                <c:pt idx="349">
                  <c:v>9</c:v>
                </c:pt>
                <c:pt idx="350">
                  <c:v>9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E8-4844-A343-31BF0A98BCB5}"/>
            </c:ext>
          </c:extLst>
        </c:ser>
        <c:ser>
          <c:idx val="2"/>
          <c:order val="2"/>
          <c:tx>
            <c:v>Fitch</c:v>
          </c:tx>
          <c:spPr>
            <a:ln w="28575" cap="rnd">
              <a:solidFill>
                <a:srgbClr val="7F7F7F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'Agências de Rating Soberano'!$A$2:$A$387</c:f>
              <c:numCache>
                <c:formatCode>mmm\-yy</c:formatCode>
                <c:ptCount val="386"/>
                <c:pt idx="0">
                  <c:v>34608</c:v>
                </c:pt>
                <c:pt idx="1">
                  <c:v>34609</c:v>
                </c:pt>
                <c:pt idx="2">
                  <c:v>34639</c:v>
                </c:pt>
                <c:pt idx="3">
                  <c:v>34669</c:v>
                </c:pt>
                <c:pt idx="4">
                  <c:v>34700</c:v>
                </c:pt>
                <c:pt idx="5">
                  <c:v>34731</c:v>
                </c:pt>
                <c:pt idx="6">
                  <c:v>34759</c:v>
                </c:pt>
                <c:pt idx="7">
                  <c:v>34790</c:v>
                </c:pt>
                <c:pt idx="8">
                  <c:v>34820</c:v>
                </c:pt>
                <c:pt idx="9">
                  <c:v>34851</c:v>
                </c:pt>
                <c:pt idx="10">
                  <c:v>34881</c:v>
                </c:pt>
                <c:pt idx="11">
                  <c:v>34912</c:v>
                </c:pt>
                <c:pt idx="12">
                  <c:v>34943</c:v>
                </c:pt>
                <c:pt idx="13">
                  <c:v>34973</c:v>
                </c:pt>
                <c:pt idx="14">
                  <c:v>35004</c:v>
                </c:pt>
                <c:pt idx="15">
                  <c:v>35034</c:v>
                </c:pt>
                <c:pt idx="16">
                  <c:v>35065</c:v>
                </c:pt>
                <c:pt idx="17">
                  <c:v>35096</c:v>
                </c:pt>
                <c:pt idx="18">
                  <c:v>35125</c:v>
                </c:pt>
                <c:pt idx="19">
                  <c:v>35156</c:v>
                </c:pt>
                <c:pt idx="20">
                  <c:v>35186</c:v>
                </c:pt>
                <c:pt idx="21">
                  <c:v>35217</c:v>
                </c:pt>
                <c:pt idx="22">
                  <c:v>35247</c:v>
                </c:pt>
                <c:pt idx="23">
                  <c:v>35278</c:v>
                </c:pt>
                <c:pt idx="24">
                  <c:v>35309</c:v>
                </c:pt>
                <c:pt idx="25">
                  <c:v>35339</c:v>
                </c:pt>
                <c:pt idx="26">
                  <c:v>35370</c:v>
                </c:pt>
                <c:pt idx="27">
                  <c:v>35400</c:v>
                </c:pt>
                <c:pt idx="28">
                  <c:v>35431</c:v>
                </c:pt>
                <c:pt idx="29">
                  <c:v>35462</c:v>
                </c:pt>
                <c:pt idx="30">
                  <c:v>35490</c:v>
                </c:pt>
                <c:pt idx="31">
                  <c:v>35521</c:v>
                </c:pt>
                <c:pt idx="32">
                  <c:v>35551</c:v>
                </c:pt>
                <c:pt idx="33">
                  <c:v>35582</c:v>
                </c:pt>
                <c:pt idx="34">
                  <c:v>35612</c:v>
                </c:pt>
                <c:pt idx="35">
                  <c:v>35643</c:v>
                </c:pt>
                <c:pt idx="36">
                  <c:v>35674</c:v>
                </c:pt>
                <c:pt idx="37">
                  <c:v>35704</c:v>
                </c:pt>
                <c:pt idx="38">
                  <c:v>35735</c:v>
                </c:pt>
                <c:pt idx="39">
                  <c:v>35765</c:v>
                </c:pt>
                <c:pt idx="40">
                  <c:v>35796</c:v>
                </c:pt>
                <c:pt idx="41">
                  <c:v>35827</c:v>
                </c:pt>
                <c:pt idx="42">
                  <c:v>35855</c:v>
                </c:pt>
                <c:pt idx="43">
                  <c:v>35886</c:v>
                </c:pt>
                <c:pt idx="44">
                  <c:v>35916</c:v>
                </c:pt>
                <c:pt idx="45">
                  <c:v>35947</c:v>
                </c:pt>
                <c:pt idx="46">
                  <c:v>35977</c:v>
                </c:pt>
                <c:pt idx="47">
                  <c:v>36008</c:v>
                </c:pt>
                <c:pt idx="48">
                  <c:v>36039</c:v>
                </c:pt>
                <c:pt idx="49">
                  <c:v>36069</c:v>
                </c:pt>
                <c:pt idx="50">
                  <c:v>36100</c:v>
                </c:pt>
                <c:pt idx="51">
                  <c:v>36130</c:v>
                </c:pt>
                <c:pt idx="52">
                  <c:v>36161</c:v>
                </c:pt>
                <c:pt idx="53">
                  <c:v>36192</c:v>
                </c:pt>
                <c:pt idx="54">
                  <c:v>36220</c:v>
                </c:pt>
                <c:pt idx="55">
                  <c:v>36251</c:v>
                </c:pt>
                <c:pt idx="56">
                  <c:v>36281</c:v>
                </c:pt>
                <c:pt idx="57">
                  <c:v>36312</c:v>
                </c:pt>
                <c:pt idx="58">
                  <c:v>36342</c:v>
                </c:pt>
                <c:pt idx="59">
                  <c:v>36373</c:v>
                </c:pt>
                <c:pt idx="60">
                  <c:v>36404</c:v>
                </c:pt>
                <c:pt idx="61">
                  <c:v>36434</c:v>
                </c:pt>
                <c:pt idx="62">
                  <c:v>36465</c:v>
                </c:pt>
                <c:pt idx="63">
                  <c:v>36495</c:v>
                </c:pt>
                <c:pt idx="64">
                  <c:v>36526</c:v>
                </c:pt>
                <c:pt idx="65">
                  <c:v>36557</c:v>
                </c:pt>
                <c:pt idx="66">
                  <c:v>36586</c:v>
                </c:pt>
                <c:pt idx="67">
                  <c:v>36617</c:v>
                </c:pt>
                <c:pt idx="68">
                  <c:v>36647</c:v>
                </c:pt>
                <c:pt idx="69">
                  <c:v>36678</c:v>
                </c:pt>
                <c:pt idx="70">
                  <c:v>36708</c:v>
                </c:pt>
                <c:pt idx="71">
                  <c:v>36739</c:v>
                </c:pt>
                <c:pt idx="72">
                  <c:v>36770</c:v>
                </c:pt>
                <c:pt idx="73">
                  <c:v>36800</c:v>
                </c:pt>
                <c:pt idx="74">
                  <c:v>36831</c:v>
                </c:pt>
                <c:pt idx="75">
                  <c:v>36861</c:v>
                </c:pt>
                <c:pt idx="76">
                  <c:v>36892</c:v>
                </c:pt>
                <c:pt idx="77">
                  <c:v>36923</c:v>
                </c:pt>
                <c:pt idx="78">
                  <c:v>36951</c:v>
                </c:pt>
                <c:pt idx="79">
                  <c:v>36982</c:v>
                </c:pt>
                <c:pt idx="80">
                  <c:v>37012</c:v>
                </c:pt>
                <c:pt idx="81">
                  <c:v>37043</c:v>
                </c:pt>
                <c:pt idx="82">
                  <c:v>37073</c:v>
                </c:pt>
                <c:pt idx="83">
                  <c:v>37104</c:v>
                </c:pt>
                <c:pt idx="84">
                  <c:v>37135</c:v>
                </c:pt>
                <c:pt idx="85">
                  <c:v>37165</c:v>
                </c:pt>
                <c:pt idx="86">
                  <c:v>37196</c:v>
                </c:pt>
                <c:pt idx="87">
                  <c:v>37226</c:v>
                </c:pt>
                <c:pt idx="88">
                  <c:v>37257</c:v>
                </c:pt>
                <c:pt idx="89">
                  <c:v>37288</c:v>
                </c:pt>
                <c:pt idx="90">
                  <c:v>37316</c:v>
                </c:pt>
                <c:pt idx="91">
                  <c:v>37347</c:v>
                </c:pt>
                <c:pt idx="92">
                  <c:v>37377</c:v>
                </c:pt>
                <c:pt idx="93">
                  <c:v>37408</c:v>
                </c:pt>
                <c:pt idx="94">
                  <c:v>37438</c:v>
                </c:pt>
                <c:pt idx="95">
                  <c:v>37469</c:v>
                </c:pt>
                <c:pt idx="96">
                  <c:v>37500</c:v>
                </c:pt>
                <c:pt idx="97">
                  <c:v>37530</c:v>
                </c:pt>
                <c:pt idx="98">
                  <c:v>37561</c:v>
                </c:pt>
                <c:pt idx="99">
                  <c:v>37591</c:v>
                </c:pt>
                <c:pt idx="100">
                  <c:v>37622</c:v>
                </c:pt>
                <c:pt idx="101">
                  <c:v>37653</c:v>
                </c:pt>
                <c:pt idx="102">
                  <c:v>37681</c:v>
                </c:pt>
                <c:pt idx="103">
                  <c:v>37712</c:v>
                </c:pt>
                <c:pt idx="104">
                  <c:v>37742</c:v>
                </c:pt>
                <c:pt idx="105">
                  <c:v>37773</c:v>
                </c:pt>
                <c:pt idx="106">
                  <c:v>37803</c:v>
                </c:pt>
                <c:pt idx="107">
                  <c:v>37834</c:v>
                </c:pt>
                <c:pt idx="108">
                  <c:v>37865</c:v>
                </c:pt>
                <c:pt idx="109">
                  <c:v>37895</c:v>
                </c:pt>
                <c:pt idx="110">
                  <c:v>37926</c:v>
                </c:pt>
                <c:pt idx="111">
                  <c:v>37956</c:v>
                </c:pt>
                <c:pt idx="112">
                  <c:v>37987</c:v>
                </c:pt>
                <c:pt idx="113">
                  <c:v>38018</c:v>
                </c:pt>
                <c:pt idx="114">
                  <c:v>38047</c:v>
                </c:pt>
                <c:pt idx="115">
                  <c:v>38078</c:v>
                </c:pt>
                <c:pt idx="116">
                  <c:v>38108</c:v>
                </c:pt>
                <c:pt idx="117">
                  <c:v>38139</c:v>
                </c:pt>
                <c:pt idx="118">
                  <c:v>38169</c:v>
                </c:pt>
                <c:pt idx="119">
                  <c:v>38200</c:v>
                </c:pt>
                <c:pt idx="120">
                  <c:v>38231</c:v>
                </c:pt>
                <c:pt idx="121">
                  <c:v>38261</c:v>
                </c:pt>
                <c:pt idx="122">
                  <c:v>38292</c:v>
                </c:pt>
                <c:pt idx="123">
                  <c:v>38322</c:v>
                </c:pt>
                <c:pt idx="124">
                  <c:v>38353</c:v>
                </c:pt>
                <c:pt idx="125">
                  <c:v>38384</c:v>
                </c:pt>
                <c:pt idx="126">
                  <c:v>38412</c:v>
                </c:pt>
                <c:pt idx="127">
                  <c:v>38443</c:v>
                </c:pt>
                <c:pt idx="128">
                  <c:v>38473</c:v>
                </c:pt>
                <c:pt idx="129">
                  <c:v>38504</c:v>
                </c:pt>
                <c:pt idx="130">
                  <c:v>38534</c:v>
                </c:pt>
                <c:pt idx="131">
                  <c:v>38565</c:v>
                </c:pt>
                <c:pt idx="132">
                  <c:v>38596</c:v>
                </c:pt>
                <c:pt idx="133">
                  <c:v>38626</c:v>
                </c:pt>
                <c:pt idx="134">
                  <c:v>38657</c:v>
                </c:pt>
                <c:pt idx="135">
                  <c:v>38687</c:v>
                </c:pt>
                <c:pt idx="136">
                  <c:v>38718</c:v>
                </c:pt>
                <c:pt idx="137">
                  <c:v>38749</c:v>
                </c:pt>
                <c:pt idx="138">
                  <c:v>38777</c:v>
                </c:pt>
                <c:pt idx="139">
                  <c:v>38808</c:v>
                </c:pt>
                <c:pt idx="140">
                  <c:v>38838</c:v>
                </c:pt>
                <c:pt idx="141">
                  <c:v>38869</c:v>
                </c:pt>
                <c:pt idx="142">
                  <c:v>38899</c:v>
                </c:pt>
                <c:pt idx="143">
                  <c:v>38930</c:v>
                </c:pt>
                <c:pt idx="144">
                  <c:v>38961</c:v>
                </c:pt>
                <c:pt idx="145">
                  <c:v>38991</c:v>
                </c:pt>
                <c:pt idx="146">
                  <c:v>39022</c:v>
                </c:pt>
                <c:pt idx="147">
                  <c:v>39052</c:v>
                </c:pt>
                <c:pt idx="148">
                  <c:v>39083</c:v>
                </c:pt>
                <c:pt idx="149">
                  <c:v>39114</c:v>
                </c:pt>
                <c:pt idx="150">
                  <c:v>39142</c:v>
                </c:pt>
                <c:pt idx="151">
                  <c:v>39173</c:v>
                </c:pt>
                <c:pt idx="152">
                  <c:v>39203</c:v>
                </c:pt>
                <c:pt idx="153">
                  <c:v>39234</c:v>
                </c:pt>
                <c:pt idx="154">
                  <c:v>39264</c:v>
                </c:pt>
                <c:pt idx="155">
                  <c:v>39295</c:v>
                </c:pt>
                <c:pt idx="156">
                  <c:v>39326</c:v>
                </c:pt>
                <c:pt idx="157">
                  <c:v>39356</c:v>
                </c:pt>
                <c:pt idx="158">
                  <c:v>39387</c:v>
                </c:pt>
                <c:pt idx="159">
                  <c:v>39417</c:v>
                </c:pt>
                <c:pt idx="160">
                  <c:v>39448</c:v>
                </c:pt>
                <c:pt idx="161">
                  <c:v>39479</c:v>
                </c:pt>
                <c:pt idx="162">
                  <c:v>39508</c:v>
                </c:pt>
                <c:pt idx="163">
                  <c:v>39539</c:v>
                </c:pt>
                <c:pt idx="164">
                  <c:v>39569</c:v>
                </c:pt>
                <c:pt idx="165">
                  <c:v>39600</c:v>
                </c:pt>
                <c:pt idx="166">
                  <c:v>39630</c:v>
                </c:pt>
                <c:pt idx="167">
                  <c:v>39661</c:v>
                </c:pt>
                <c:pt idx="168">
                  <c:v>39692</c:v>
                </c:pt>
                <c:pt idx="169">
                  <c:v>39722</c:v>
                </c:pt>
                <c:pt idx="170">
                  <c:v>39753</c:v>
                </c:pt>
                <c:pt idx="171">
                  <c:v>39783</c:v>
                </c:pt>
                <c:pt idx="172">
                  <c:v>39814</c:v>
                </c:pt>
                <c:pt idx="173">
                  <c:v>39845</c:v>
                </c:pt>
                <c:pt idx="174">
                  <c:v>39873</c:v>
                </c:pt>
                <c:pt idx="175">
                  <c:v>39904</c:v>
                </c:pt>
                <c:pt idx="176">
                  <c:v>39934</c:v>
                </c:pt>
                <c:pt idx="177">
                  <c:v>39965</c:v>
                </c:pt>
                <c:pt idx="178">
                  <c:v>39995</c:v>
                </c:pt>
                <c:pt idx="179">
                  <c:v>40026</c:v>
                </c:pt>
                <c:pt idx="180">
                  <c:v>40057</c:v>
                </c:pt>
                <c:pt idx="181">
                  <c:v>40087</c:v>
                </c:pt>
                <c:pt idx="182">
                  <c:v>40118</c:v>
                </c:pt>
                <c:pt idx="183">
                  <c:v>40148</c:v>
                </c:pt>
                <c:pt idx="184">
                  <c:v>40179</c:v>
                </c:pt>
                <c:pt idx="185">
                  <c:v>40210</c:v>
                </c:pt>
                <c:pt idx="186">
                  <c:v>40238</c:v>
                </c:pt>
                <c:pt idx="187">
                  <c:v>40269</c:v>
                </c:pt>
                <c:pt idx="188">
                  <c:v>40299</c:v>
                </c:pt>
                <c:pt idx="189">
                  <c:v>40330</c:v>
                </c:pt>
                <c:pt idx="190">
                  <c:v>40360</c:v>
                </c:pt>
                <c:pt idx="191">
                  <c:v>40391</c:v>
                </c:pt>
                <c:pt idx="192">
                  <c:v>40422</c:v>
                </c:pt>
                <c:pt idx="193">
                  <c:v>40452</c:v>
                </c:pt>
                <c:pt idx="194">
                  <c:v>40483</c:v>
                </c:pt>
                <c:pt idx="195">
                  <c:v>40513</c:v>
                </c:pt>
                <c:pt idx="196">
                  <c:v>40544</c:v>
                </c:pt>
                <c:pt idx="197">
                  <c:v>40575</c:v>
                </c:pt>
                <c:pt idx="198">
                  <c:v>40603</c:v>
                </c:pt>
                <c:pt idx="199">
                  <c:v>40634</c:v>
                </c:pt>
                <c:pt idx="200">
                  <c:v>40664</c:v>
                </c:pt>
                <c:pt idx="201">
                  <c:v>40695</c:v>
                </c:pt>
                <c:pt idx="202">
                  <c:v>40725</c:v>
                </c:pt>
                <c:pt idx="203">
                  <c:v>40756</c:v>
                </c:pt>
                <c:pt idx="204">
                  <c:v>40787</c:v>
                </c:pt>
                <c:pt idx="205">
                  <c:v>40817</c:v>
                </c:pt>
                <c:pt idx="206">
                  <c:v>40848</c:v>
                </c:pt>
                <c:pt idx="207">
                  <c:v>40878</c:v>
                </c:pt>
                <c:pt idx="208">
                  <c:v>40909</c:v>
                </c:pt>
                <c:pt idx="209">
                  <c:v>40940</c:v>
                </c:pt>
                <c:pt idx="210">
                  <c:v>40969</c:v>
                </c:pt>
                <c:pt idx="211">
                  <c:v>41000</c:v>
                </c:pt>
                <c:pt idx="212">
                  <c:v>41030</c:v>
                </c:pt>
                <c:pt idx="213">
                  <c:v>41061</c:v>
                </c:pt>
                <c:pt idx="214">
                  <c:v>41091</c:v>
                </c:pt>
                <c:pt idx="215">
                  <c:v>41122</c:v>
                </c:pt>
                <c:pt idx="216">
                  <c:v>41153</c:v>
                </c:pt>
                <c:pt idx="217">
                  <c:v>41183</c:v>
                </c:pt>
                <c:pt idx="218">
                  <c:v>41214</c:v>
                </c:pt>
                <c:pt idx="219">
                  <c:v>41244</c:v>
                </c:pt>
                <c:pt idx="220">
                  <c:v>41275</c:v>
                </c:pt>
                <c:pt idx="221">
                  <c:v>41306</c:v>
                </c:pt>
                <c:pt idx="222">
                  <c:v>41334</c:v>
                </c:pt>
                <c:pt idx="223">
                  <c:v>41365</c:v>
                </c:pt>
                <c:pt idx="224">
                  <c:v>41395</c:v>
                </c:pt>
                <c:pt idx="225">
                  <c:v>41426</c:v>
                </c:pt>
                <c:pt idx="226">
                  <c:v>41456</c:v>
                </c:pt>
                <c:pt idx="227">
                  <c:v>41487</c:v>
                </c:pt>
                <c:pt idx="228">
                  <c:v>41518</c:v>
                </c:pt>
                <c:pt idx="229">
                  <c:v>41548</c:v>
                </c:pt>
                <c:pt idx="230">
                  <c:v>41579</c:v>
                </c:pt>
                <c:pt idx="231">
                  <c:v>41609</c:v>
                </c:pt>
                <c:pt idx="232">
                  <c:v>41640</c:v>
                </c:pt>
                <c:pt idx="233">
                  <c:v>41671</c:v>
                </c:pt>
                <c:pt idx="234">
                  <c:v>41699</c:v>
                </c:pt>
                <c:pt idx="235">
                  <c:v>41730</c:v>
                </c:pt>
                <c:pt idx="236">
                  <c:v>41760</c:v>
                </c:pt>
                <c:pt idx="237">
                  <c:v>41791</c:v>
                </c:pt>
                <c:pt idx="238">
                  <c:v>41821</c:v>
                </c:pt>
                <c:pt idx="239">
                  <c:v>41852</c:v>
                </c:pt>
                <c:pt idx="240">
                  <c:v>41883</c:v>
                </c:pt>
                <c:pt idx="241">
                  <c:v>41913</c:v>
                </c:pt>
                <c:pt idx="242">
                  <c:v>41944</c:v>
                </c:pt>
                <c:pt idx="243">
                  <c:v>41974</c:v>
                </c:pt>
                <c:pt idx="244">
                  <c:v>42005</c:v>
                </c:pt>
                <c:pt idx="245">
                  <c:v>42036</c:v>
                </c:pt>
                <c:pt idx="246">
                  <c:v>42064</c:v>
                </c:pt>
                <c:pt idx="247">
                  <c:v>42095</c:v>
                </c:pt>
                <c:pt idx="248">
                  <c:v>42125</c:v>
                </c:pt>
                <c:pt idx="249">
                  <c:v>42156</c:v>
                </c:pt>
                <c:pt idx="250">
                  <c:v>42186</c:v>
                </c:pt>
                <c:pt idx="251">
                  <c:v>42217</c:v>
                </c:pt>
                <c:pt idx="252">
                  <c:v>42248</c:v>
                </c:pt>
                <c:pt idx="253">
                  <c:v>42278</c:v>
                </c:pt>
                <c:pt idx="254">
                  <c:v>42309</c:v>
                </c:pt>
                <c:pt idx="255">
                  <c:v>42339</c:v>
                </c:pt>
                <c:pt idx="256">
                  <c:v>42370</c:v>
                </c:pt>
                <c:pt idx="257">
                  <c:v>42401</c:v>
                </c:pt>
                <c:pt idx="258">
                  <c:v>42430</c:v>
                </c:pt>
                <c:pt idx="259">
                  <c:v>42461</c:v>
                </c:pt>
                <c:pt idx="260">
                  <c:v>42491</c:v>
                </c:pt>
                <c:pt idx="261">
                  <c:v>42522</c:v>
                </c:pt>
                <c:pt idx="262">
                  <c:v>42552</c:v>
                </c:pt>
                <c:pt idx="263">
                  <c:v>42583</c:v>
                </c:pt>
                <c:pt idx="264">
                  <c:v>42614</c:v>
                </c:pt>
                <c:pt idx="265">
                  <c:v>42644</c:v>
                </c:pt>
                <c:pt idx="266">
                  <c:v>42675</c:v>
                </c:pt>
                <c:pt idx="267">
                  <c:v>42705</c:v>
                </c:pt>
                <c:pt idx="268">
                  <c:v>42736</c:v>
                </c:pt>
                <c:pt idx="269">
                  <c:v>42767</c:v>
                </c:pt>
                <c:pt idx="270">
                  <c:v>42795</c:v>
                </c:pt>
                <c:pt idx="271">
                  <c:v>42826</c:v>
                </c:pt>
                <c:pt idx="272">
                  <c:v>42856</c:v>
                </c:pt>
                <c:pt idx="273">
                  <c:v>42887</c:v>
                </c:pt>
                <c:pt idx="274">
                  <c:v>42917</c:v>
                </c:pt>
                <c:pt idx="275">
                  <c:v>42948</c:v>
                </c:pt>
                <c:pt idx="276">
                  <c:v>42979</c:v>
                </c:pt>
                <c:pt idx="277">
                  <c:v>43009</c:v>
                </c:pt>
                <c:pt idx="278">
                  <c:v>43040</c:v>
                </c:pt>
                <c:pt idx="279">
                  <c:v>43070</c:v>
                </c:pt>
                <c:pt idx="280">
                  <c:v>43101</c:v>
                </c:pt>
                <c:pt idx="281">
                  <c:v>43132</c:v>
                </c:pt>
                <c:pt idx="282">
                  <c:v>43160</c:v>
                </c:pt>
                <c:pt idx="283">
                  <c:v>43191</c:v>
                </c:pt>
                <c:pt idx="284">
                  <c:v>43221</c:v>
                </c:pt>
                <c:pt idx="285">
                  <c:v>43252</c:v>
                </c:pt>
                <c:pt idx="286">
                  <c:v>43282</c:v>
                </c:pt>
                <c:pt idx="287">
                  <c:v>43313</c:v>
                </c:pt>
                <c:pt idx="288">
                  <c:v>43344</c:v>
                </c:pt>
                <c:pt idx="289">
                  <c:v>43374</c:v>
                </c:pt>
                <c:pt idx="290">
                  <c:v>43405</c:v>
                </c:pt>
                <c:pt idx="291">
                  <c:v>43435</c:v>
                </c:pt>
                <c:pt idx="292">
                  <c:v>43466</c:v>
                </c:pt>
                <c:pt idx="293">
                  <c:v>43497</c:v>
                </c:pt>
                <c:pt idx="294">
                  <c:v>43525</c:v>
                </c:pt>
                <c:pt idx="295">
                  <c:v>43556</c:v>
                </c:pt>
                <c:pt idx="296">
                  <c:v>43586</c:v>
                </c:pt>
                <c:pt idx="297">
                  <c:v>43617</c:v>
                </c:pt>
                <c:pt idx="298">
                  <c:v>43647</c:v>
                </c:pt>
                <c:pt idx="299">
                  <c:v>43678</c:v>
                </c:pt>
                <c:pt idx="300">
                  <c:v>43709</c:v>
                </c:pt>
                <c:pt idx="301">
                  <c:v>43739</c:v>
                </c:pt>
                <c:pt idx="302">
                  <c:v>43770</c:v>
                </c:pt>
                <c:pt idx="303">
                  <c:v>43800</c:v>
                </c:pt>
                <c:pt idx="304">
                  <c:v>43831</c:v>
                </c:pt>
                <c:pt idx="305">
                  <c:v>43862</c:v>
                </c:pt>
                <c:pt idx="306">
                  <c:v>43891</c:v>
                </c:pt>
                <c:pt idx="307">
                  <c:v>43922</c:v>
                </c:pt>
                <c:pt idx="308">
                  <c:v>43952</c:v>
                </c:pt>
                <c:pt idx="309">
                  <c:v>43983</c:v>
                </c:pt>
                <c:pt idx="310">
                  <c:v>44013</c:v>
                </c:pt>
                <c:pt idx="311">
                  <c:v>44044</c:v>
                </c:pt>
                <c:pt idx="312">
                  <c:v>44075</c:v>
                </c:pt>
                <c:pt idx="313">
                  <c:v>44105</c:v>
                </c:pt>
                <c:pt idx="314">
                  <c:v>44136</c:v>
                </c:pt>
                <c:pt idx="315">
                  <c:v>44166</c:v>
                </c:pt>
                <c:pt idx="316">
                  <c:v>44197</c:v>
                </c:pt>
                <c:pt idx="317">
                  <c:v>44228</c:v>
                </c:pt>
                <c:pt idx="318">
                  <c:v>44256</c:v>
                </c:pt>
                <c:pt idx="319">
                  <c:v>44287</c:v>
                </c:pt>
                <c:pt idx="320">
                  <c:v>44317</c:v>
                </c:pt>
                <c:pt idx="321">
                  <c:v>44348</c:v>
                </c:pt>
                <c:pt idx="322">
                  <c:v>44378</c:v>
                </c:pt>
                <c:pt idx="323">
                  <c:v>44409</c:v>
                </c:pt>
                <c:pt idx="324">
                  <c:v>44440</c:v>
                </c:pt>
                <c:pt idx="325">
                  <c:v>44470</c:v>
                </c:pt>
                <c:pt idx="326">
                  <c:v>44501</c:v>
                </c:pt>
                <c:pt idx="327">
                  <c:v>44531</c:v>
                </c:pt>
                <c:pt idx="328">
                  <c:v>44562</c:v>
                </c:pt>
                <c:pt idx="329">
                  <c:v>44593</c:v>
                </c:pt>
                <c:pt idx="330">
                  <c:v>44621</c:v>
                </c:pt>
                <c:pt idx="331">
                  <c:v>44652</c:v>
                </c:pt>
                <c:pt idx="332">
                  <c:v>44682</c:v>
                </c:pt>
                <c:pt idx="333">
                  <c:v>44713</c:v>
                </c:pt>
                <c:pt idx="334">
                  <c:v>44743</c:v>
                </c:pt>
                <c:pt idx="335">
                  <c:v>44774</c:v>
                </c:pt>
                <c:pt idx="336">
                  <c:v>44805</c:v>
                </c:pt>
                <c:pt idx="337">
                  <c:v>44835</c:v>
                </c:pt>
                <c:pt idx="338">
                  <c:v>44866</c:v>
                </c:pt>
                <c:pt idx="339">
                  <c:v>44896</c:v>
                </c:pt>
                <c:pt idx="340">
                  <c:v>44927</c:v>
                </c:pt>
                <c:pt idx="341">
                  <c:v>44958</c:v>
                </c:pt>
                <c:pt idx="342">
                  <c:v>44986</c:v>
                </c:pt>
                <c:pt idx="343">
                  <c:v>45017</c:v>
                </c:pt>
                <c:pt idx="344">
                  <c:v>45047</c:v>
                </c:pt>
                <c:pt idx="345">
                  <c:v>45078</c:v>
                </c:pt>
                <c:pt idx="346">
                  <c:v>45108</c:v>
                </c:pt>
                <c:pt idx="347">
                  <c:v>45139</c:v>
                </c:pt>
                <c:pt idx="348">
                  <c:v>45170</c:v>
                </c:pt>
                <c:pt idx="349">
                  <c:v>45200</c:v>
                </c:pt>
                <c:pt idx="350">
                  <c:v>45231</c:v>
                </c:pt>
                <c:pt idx="351">
                  <c:v>45261</c:v>
                </c:pt>
                <c:pt idx="352">
                  <c:v>45292</c:v>
                </c:pt>
                <c:pt idx="353">
                  <c:v>45323</c:v>
                </c:pt>
                <c:pt idx="354">
                  <c:v>45352</c:v>
                </c:pt>
                <c:pt idx="355">
                  <c:v>45383</c:v>
                </c:pt>
                <c:pt idx="356">
                  <c:v>45413</c:v>
                </c:pt>
                <c:pt idx="357">
                  <c:v>45444</c:v>
                </c:pt>
                <c:pt idx="358">
                  <c:v>45474</c:v>
                </c:pt>
                <c:pt idx="359">
                  <c:v>45505</c:v>
                </c:pt>
                <c:pt idx="360">
                  <c:v>45536</c:v>
                </c:pt>
                <c:pt idx="361">
                  <c:v>45536</c:v>
                </c:pt>
                <c:pt idx="362">
                  <c:v>45566</c:v>
                </c:pt>
                <c:pt idx="363">
                  <c:v>45597</c:v>
                </c:pt>
                <c:pt idx="364">
                  <c:v>45627</c:v>
                </c:pt>
                <c:pt idx="365">
                  <c:v>45658</c:v>
                </c:pt>
                <c:pt idx="366">
                  <c:v>45689</c:v>
                </c:pt>
                <c:pt idx="367">
                  <c:v>45717</c:v>
                </c:pt>
                <c:pt idx="368">
                  <c:v>45748</c:v>
                </c:pt>
                <c:pt idx="369">
                  <c:v>45778</c:v>
                </c:pt>
                <c:pt idx="370">
                  <c:v>45809</c:v>
                </c:pt>
                <c:pt idx="371">
                  <c:v>45839</c:v>
                </c:pt>
                <c:pt idx="372">
                  <c:v>45870</c:v>
                </c:pt>
                <c:pt idx="373">
                  <c:v>45901</c:v>
                </c:pt>
                <c:pt idx="374">
                  <c:v>45931</c:v>
                </c:pt>
                <c:pt idx="375">
                  <c:v>45962</c:v>
                </c:pt>
                <c:pt idx="376">
                  <c:v>45992</c:v>
                </c:pt>
                <c:pt idx="377">
                  <c:v>46023</c:v>
                </c:pt>
                <c:pt idx="378">
                  <c:v>46054</c:v>
                </c:pt>
                <c:pt idx="379">
                  <c:v>46082</c:v>
                </c:pt>
                <c:pt idx="380">
                  <c:v>46113</c:v>
                </c:pt>
                <c:pt idx="381">
                  <c:v>46143</c:v>
                </c:pt>
                <c:pt idx="382">
                  <c:v>46174</c:v>
                </c:pt>
                <c:pt idx="383">
                  <c:v>46204</c:v>
                </c:pt>
                <c:pt idx="384">
                  <c:v>46235</c:v>
                </c:pt>
                <c:pt idx="385">
                  <c:v>46266</c:v>
                </c:pt>
              </c:numCache>
            </c:numRef>
          </c:xVal>
          <c:yVal>
            <c:numRef>
              <c:f>'Agências de Rating Soberano'!$D$2:$D$387</c:f>
              <c:numCache>
                <c:formatCode>General</c:formatCode>
                <c:ptCount val="386"/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  <c:pt idx="50">
                  <c:v>8</c:v>
                </c:pt>
                <c:pt idx="51">
                  <c:v>8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8</c:v>
                </c:pt>
                <c:pt idx="94">
                  <c:v>8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9</c:v>
                </c:pt>
                <c:pt idx="121">
                  <c:v>9</c:v>
                </c:pt>
                <c:pt idx="122">
                  <c:v>9</c:v>
                </c:pt>
                <c:pt idx="123">
                  <c:v>9</c:v>
                </c:pt>
                <c:pt idx="124">
                  <c:v>9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10</c:v>
                </c:pt>
                <c:pt idx="142">
                  <c:v>10</c:v>
                </c:pt>
                <c:pt idx="143">
                  <c:v>10</c:v>
                </c:pt>
                <c:pt idx="144">
                  <c:v>10</c:v>
                </c:pt>
                <c:pt idx="145">
                  <c:v>10</c:v>
                </c:pt>
                <c:pt idx="146">
                  <c:v>10</c:v>
                </c:pt>
                <c:pt idx="147">
                  <c:v>10</c:v>
                </c:pt>
                <c:pt idx="148">
                  <c:v>10</c:v>
                </c:pt>
                <c:pt idx="149">
                  <c:v>10</c:v>
                </c:pt>
                <c:pt idx="150">
                  <c:v>10</c:v>
                </c:pt>
                <c:pt idx="151">
                  <c:v>10</c:v>
                </c:pt>
                <c:pt idx="152">
                  <c:v>11</c:v>
                </c:pt>
                <c:pt idx="153">
                  <c:v>11</c:v>
                </c:pt>
                <c:pt idx="154">
                  <c:v>11</c:v>
                </c:pt>
                <c:pt idx="155">
                  <c:v>11</c:v>
                </c:pt>
                <c:pt idx="156">
                  <c:v>11</c:v>
                </c:pt>
                <c:pt idx="157">
                  <c:v>11</c:v>
                </c:pt>
                <c:pt idx="158">
                  <c:v>11</c:v>
                </c:pt>
                <c:pt idx="159">
                  <c:v>11</c:v>
                </c:pt>
                <c:pt idx="160">
                  <c:v>11</c:v>
                </c:pt>
                <c:pt idx="161">
                  <c:v>11</c:v>
                </c:pt>
                <c:pt idx="162">
                  <c:v>11</c:v>
                </c:pt>
                <c:pt idx="163">
                  <c:v>11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12</c:v>
                </c:pt>
                <c:pt idx="168">
                  <c:v>12</c:v>
                </c:pt>
                <c:pt idx="169">
                  <c:v>12</c:v>
                </c:pt>
                <c:pt idx="170">
                  <c:v>12</c:v>
                </c:pt>
                <c:pt idx="171">
                  <c:v>12</c:v>
                </c:pt>
                <c:pt idx="172">
                  <c:v>12</c:v>
                </c:pt>
                <c:pt idx="173">
                  <c:v>12</c:v>
                </c:pt>
                <c:pt idx="174">
                  <c:v>12</c:v>
                </c:pt>
                <c:pt idx="175">
                  <c:v>12</c:v>
                </c:pt>
                <c:pt idx="176">
                  <c:v>12</c:v>
                </c:pt>
                <c:pt idx="177">
                  <c:v>12</c:v>
                </c:pt>
                <c:pt idx="178">
                  <c:v>12</c:v>
                </c:pt>
                <c:pt idx="179">
                  <c:v>12</c:v>
                </c:pt>
                <c:pt idx="180">
                  <c:v>12</c:v>
                </c:pt>
                <c:pt idx="181">
                  <c:v>12</c:v>
                </c:pt>
                <c:pt idx="182">
                  <c:v>12</c:v>
                </c:pt>
                <c:pt idx="183">
                  <c:v>12</c:v>
                </c:pt>
                <c:pt idx="184">
                  <c:v>12</c:v>
                </c:pt>
                <c:pt idx="185">
                  <c:v>12</c:v>
                </c:pt>
                <c:pt idx="186">
                  <c:v>12</c:v>
                </c:pt>
                <c:pt idx="187">
                  <c:v>12</c:v>
                </c:pt>
                <c:pt idx="188">
                  <c:v>12</c:v>
                </c:pt>
                <c:pt idx="189">
                  <c:v>12</c:v>
                </c:pt>
                <c:pt idx="190">
                  <c:v>12</c:v>
                </c:pt>
                <c:pt idx="191">
                  <c:v>12</c:v>
                </c:pt>
                <c:pt idx="192">
                  <c:v>12</c:v>
                </c:pt>
                <c:pt idx="193">
                  <c:v>12</c:v>
                </c:pt>
                <c:pt idx="194">
                  <c:v>12</c:v>
                </c:pt>
                <c:pt idx="195">
                  <c:v>12</c:v>
                </c:pt>
                <c:pt idx="196">
                  <c:v>12</c:v>
                </c:pt>
                <c:pt idx="197">
                  <c:v>12</c:v>
                </c:pt>
                <c:pt idx="198">
                  <c:v>12</c:v>
                </c:pt>
                <c:pt idx="199">
                  <c:v>13</c:v>
                </c:pt>
                <c:pt idx="200">
                  <c:v>13</c:v>
                </c:pt>
                <c:pt idx="201">
                  <c:v>13</c:v>
                </c:pt>
                <c:pt idx="202">
                  <c:v>13</c:v>
                </c:pt>
                <c:pt idx="203">
                  <c:v>13</c:v>
                </c:pt>
                <c:pt idx="204">
                  <c:v>13</c:v>
                </c:pt>
                <c:pt idx="205">
                  <c:v>13</c:v>
                </c:pt>
                <c:pt idx="206">
                  <c:v>13</c:v>
                </c:pt>
                <c:pt idx="207">
                  <c:v>13</c:v>
                </c:pt>
                <c:pt idx="208">
                  <c:v>13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13</c:v>
                </c:pt>
                <c:pt idx="221">
                  <c:v>13</c:v>
                </c:pt>
                <c:pt idx="222">
                  <c:v>13</c:v>
                </c:pt>
                <c:pt idx="223">
                  <c:v>13</c:v>
                </c:pt>
                <c:pt idx="224">
                  <c:v>13</c:v>
                </c:pt>
                <c:pt idx="225">
                  <c:v>13</c:v>
                </c:pt>
                <c:pt idx="226">
                  <c:v>13</c:v>
                </c:pt>
                <c:pt idx="227">
                  <c:v>13</c:v>
                </c:pt>
                <c:pt idx="228">
                  <c:v>13</c:v>
                </c:pt>
                <c:pt idx="229">
                  <c:v>13</c:v>
                </c:pt>
                <c:pt idx="230">
                  <c:v>13</c:v>
                </c:pt>
                <c:pt idx="231">
                  <c:v>13</c:v>
                </c:pt>
                <c:pt idx="232">
                  <c:v>13</c:v>
                </c:pt>
                <c:pt idx="233">
                  <c:v>13</c:v>
                </c:pt>
                <c:pt idx="234">
                  <c:v>13</c:v>
                </c:pt>
                <c:pt idx="235">
                  <c:v>13</c:v>
                </c:pt>
                <c:pt idx="236">
                  <c:v>13</c:v>
                </c:pt>
                <c:pt idx="237">
                  <c:v>13</c:v>
                </c:pt>
                <c:pt idx="238">
                  <c:v>13</c:v>
                </c:pt>
                <c:pt idx="239">
                  <c:v>13</c:v>
                </c:pt>
                <c:pt idx="240">
                  <c:v>13</c:v>
                </c:pt>
                <c:pt idx="241">
                  <c:v>13</c:v>
                </c:pt>
                <c:pt idx="242">
                  <c:v>13</c:v>
                </c:pt>
                <c:pt idx="243">
                  <c:v>13</c:v>
                </c:pt>
                <c:pt idx="244">
                  <c:v>13</c:v>
                </c:pt>
                <c:pt idx="245">
                  <c:v>13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12</c:v>
                </c:pt>
                <c:pt idx="254">
                  <c:v>12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9</c:v>
                </c:pt>
                <c:pt idx="282">
                  <c:v>9</c:v>
                </c:pt>
                <c:pt idx="283">
                  <c:v>9</c:v>
                </c:pt>
                <c:pt idx="284">
                  <c:v>9</c:v>
                </c:pt>
                <c:pt idx="285">
                  <c:v>9</c:v>
                </c:pt>
                <c:pt idx="286">
                  <c:v>9</c:v>
                </c:pt>
                <c:pt idx="287">
                  <c:v>9</c:v>
                </c:pt>
                <c:pt idx="288">
                  <c:v>9</c:v>
                </c:pt>
                <c:pt idx="289">
                  <c:v>9</c:v>
                </c:pt>
                <c:pt idx="290">
                  <c:v>9</c:v>
                </c:pt>
                <c:pt idx="291">
                  <c:v>9</c:v>
                </c:pt>
                <c:pt idx="292">
                  <c:v>9</c:v>
                </c:pt>
                <c:pt idx="293">
                  <c:v>9</c:v>
                </c:pt>
                <c:pt idx="294">
                  <c:v>9</c:v>
                </c:pt>
                <c:pt idx="295">
                  <c:v>9</c:v>
                </c:pt>
                <c:pt idx="296">
                  <c:v>9</c:v>
                </c:pt>
                <c:pt idx="297">
                  <c:v>9</c:v>
                </c:pt>
                <c:pt idx="298">
                  <c:v>9</c:v>
                </c:pt>
                <c:pt idx="299">
                  <c:v>9</c:v>
                </c:pt>
                <c:pt idx="300">
                  <c:v>9</c:v>
                </c:pt>
                <c:pt idx="301">
                  <c:v>9</c:v>
                </c:pt>
                <c:pt idx="302">
                  <c:v>9</c:v>
                </c:pt>
                <c:pt idx="303">
                  <c:v>9</c:v>
                </c:pt>
                <c:pt idx="304">
                  <c:v>9</c:v>
                </c:pt>
                <c:pt idx="305">
                  <c:v>9</c:v>
                </c:pt>
                <c:pt idx="306">
                  <c:v>9</c:v>
                </c:pt>
                <c:pt idx="307">
                  <c:v>9</c:v>
                </c:pt>
                <c:pt idx="308">
                  <c:v>9</c:v>
                </c:pt>
                <c:pt idx="309">
                  <c:v>9</c:v>
                </c:pt>
                <c:pt idx="310">
                  <c:v>9</c:v>
                </c:pt>
                <c:pt idx="311">
                  <c:v>9</c:v>
                </c:pt>
                <c:pt idx="312">
                  <c:v>9</c:v>
                </c:pt>
                <c:pt idx="313">
                  <c:v>9</c:v>
                </c:pt>
                <c:pt idx="314">
                  <c:v>9</c:v>
                </c:pt>
                <c:pt idx="315">
                  <c:v>9</c:v>
                </c:pt>
                <c:pt idx="316">
                  <c:v>9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9</c:v>
                </c:pt>
                <c:pt idx="321">
                  <c:v>9</c:v>
                </c:pt>
                <c:pt idx="322">
                  <c:v>9</c:v>
                </c:pt>
                <c:pt idx="323">
                  <c:v>9</c:v>
                </c:pt>
                <c:pt idx="324">
                  <c:v>9</c:v>
                </c:pt>
                <c:pt idx="325">
                  <c:v>9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9</c:v>
                </c:pt>
                <c:pt idx="331">
                  <c:v>9</c:v>
                </c:pt>
                <c:pt idx="332">
                  <c:v>9</c:v>
                </c:pt>
                <c:pt idx="333">
                  <c:v>9</c:v>
                </c:pt>
                <c:pt idx="334">
                  <c:v>9</c:v>
                </c:pt>
                <c:pt idx="335">
                  <c:v>9</c:v>
                </c:pt>
                <c:pt idx="336">
                  <c:v>9</c:v>
                </c:pt>
                <c:pt idx="337">
                  <c:v>9</c:v>
                </c:pt>
                <c:pt idx="338">
                  <c:v>9</c:v>
                </c:pt>
                <c:pt idx="339">
                  <c:v>9</c:v>
                </c:pt>
                <c:pt idx="340">
                  <c:v>9</c:v>
                </c:pt>
                <c:pt idx="341">
                  <c:v>9</c:v>
                </c:pt>
                <c:pt idx="342">
                  <c:v>9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E8-4844-A343-31BF0A98BCB5}"/>
            </c:ext>
          </c:extLst>
        </c:ser>
        <c:ser>
          <c:idx val="3"/>
          <c:order val="3"/>
          <c:tx>
            <c:v>Rótulos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'Agências de Rating Soberano'!$S$2</c:f>
                  <c:strCache>
                    <c:ptCount val="1"/>
                    <c:pt idx="0">
                      <c:v>B3 / 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{C95B6632-6B15-47F4-83A4-A9907805B37B}</c15:txfldGUID>
                      <c15:f>'Agências de Rating Soberano'!$S$2</c15:f>
                      <c15:dlblFieldTableCache>
                        <c:ptCount val="1"/>
                        <c:pt idx="0">
                          <c:v>B3 / 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72E8-4844-A343-31BF0A98BCB5}"/>
                </c:ext>
              </c:extLst>
            </c:dLbl>
            <c:dLbl>
              <c:idx val="1"/>
              <c:tx>
                <c:strRef>
                  <c:f>'Agências de Rating Soberano'!$S$3</c:f>
                  <c:strCache>
                    <c:ptCount val="1"/>
                    <c:pt idx="0">
                      <c:v>B2 / 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{505B168B-E01C-4D95-8546-B89B94A01238}</c15:txfldGUID>
                      <c15:f>'Agências de Rating Soberano'!$S$3</c15:f>
                      <c15:dlblFieldTableCache>
                        <c:ptCount val="1"/>
                        <c:pt idx="0">
                          <c:v>B2 / 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72E8-4844-A343-31BF0A98BCB5}"/>
                </c:ext>
              </c:extLst>
            </c:dLbl>
            <c:dLbl>
              <c:idx val="2"/>
              <c:tx>
                <c:strRef>
                  <c:f>'Agências de Rating Soberano'!$S$4</c:f>
                  <c:strCache>
                    <c:ptCount val="1"/>
                    <c:pt idx="0">
                      <c:v>B1 / 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{403DE8B4-9705-4BEF-8DA8-345687B7BA0B}</c15:txfldGUID>
                      <c15:f>'Agências de Rating Soberano'!$S$4</c15:f>
                      <c15:dlblFieldTableCache>
                        <c:ptCount val="1"/>
                        <c:pt idx="0">
                          <c:v>B1 / 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72E8-4844-A343-31BF0A98BCB5}"/>
                </c:ext>
              </c:extLst>
            </c:dLbl>
            <c:dLbl>
              <c:idx val="3"/>
              <c:tx>
                <c:strRef>
                  <c:f>'Agências de Rating Soberano'!$S$5</c:f>
                  <c:strCache>
                    <c:ptCount val="1"/>
                    <c:pt idx="0">
                      <c:v>Ba3 / BB-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{0B1978DB-7CC1-4517-A19E-803856BE773B}</c15:txfldGUID>
                      <c15:f>'Agências de Rating Soberano'!$S$5</c15:f>
                      <c15:dlblFieldTableCache>
                        <c:ptCount val="1"/>
                        <c:pt idx="0">
                          <c:v>Ba3 / BB-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72E8-4844-A343-31BF0A98BCB5}"/>
                </c:ext>
              </c:extLst>
            </c:dLbl>
            <c:dLbl>
              <c:idx val="4"/>
              <c:tx>
                <c:strRef>
                  <c:f>'Agências de Rating Soberano'!$S$6</c:f>
                  <c:strCache>
                    <c:ptCount val="1"/>
                    <c:pt idx="0">
                      <c:v>Ba2 / BB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{51114B0F-461B-475A-A89B-BD30F1AFFDAC}</c15:txfldGUID>
                      <c15:f>'Agências de Rating Soberano'!$S$6</c15:f>
                      <c15:dlblFieldTableCache>
                        <c:ptCount val="1"/>
                        <c:pt idx="0">
                          <c:v>Ba2 / BB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72E8-4844-A343-31BF0A98BCB5}"/>
                </c:ext>
              </c:extLst>
            </c:dLbl>
            <c:dLbl>
              <c:idx val="5"/>
              <c:tx>
                <c:strRef>
                  <c:f>'Agências de Rating Soberano'!$S$7</c:f>
                  <c:strCache>
                    <c:ptCount val="1"/>
                    <c:pt idx="0">
                      <c:v>Ba1 / BB+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{204D1B4A-E1E0-4310-B04F-06BC84689B05}</c15:txfldGUID>
                      <c15:f>'Agências de Rating Soberano'!$S$7</c15:f>
                      <c15:dlblFieldTableCache>
                        <c:ptCount val="1"/>
                        <c:pt idx="0">
                          <c:v>Ba1 / BB+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72E8-4844-A343-31BF0A98BCB5}"/>
                </c:ext>
              </c:extLst>
            </c:dLbl>
            <c:dLbl>
              <c:idx val="6"/>
              <c:tx>
                <c:strRef>
                  <c:f>'Agências de Rating Soberano'!$S$8</c:f>
                  <c:strCache>
                    <c:ptCount val="1"/>
                    <c:pt idx="0">
                      <c:v>Baa3 / BBB-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{19978FBD-0F0A-4EE5-8FDA-F495BF784AC9}</c15:txfldGUID>
                      <c15:f>'Agências de Rating Soberano'!$S$8</c15:f>
                      <c15:dlblFieldTableCache>
                        <c:ptCount val="1"/>
                        <c:pt idx="0">
                          <c:v>Baa3 / BBB-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72E8-4844-A343-31BF0A98BCB5}"/>
                </c:ext>
              </c:extLst>
            </c:dLbl>
            <c:dLbl>
              <c:idx val="7"/>
              <c:tx>
                <c:strRef>
                  <c:f>'Agências de Rating Soberano'!$S$9</c:f>
                  <c:strCache>
                    <c:ptCount val="1"/>
                    <c:pt idx="0">
                      <c:v>Baa2 / BBB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{29AF1EE9-ED7B-4CB9-A9FC-67EA094E5141}</c15:txfldGUID>
                      <c15:f>'Agências de Rating Soberano'!$S$9</c15:f>
                      <c15:dlblFieldTableCache>
                        <c:ptCount val="1"/>
                        <c:pt idx="0">
                          <c:v>Baa2 / BBB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72E8-4844-A343-31BF0A98BCB5}"/>
                </c:ext>
              </c:extLst>
            </c:dLbl>
            <c:dLbl>
              <c:idx val="8"/>
              <c:tx>
                <c:strRef>
                  <c:f>'Agências de Rating Soberano'!$S$10</c:f>
                  <c:strCache>
                    <c:ptCount val="1"/>
                    <c:pt idx="0">
                      <c:v>Baa1 / BBB+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{D44469A5-DFFD-49B0-BFA4-C8F4E610B008}</c15:txfldGUID>
                      <c15:f>'Agências de Rating Soberano'!$S$10</c15:f>
                      <c15:dlblFieldTableCache>
                        <c:ptCount val="1"/>
                        <c:pt idx="0">
                          <c:v>Baa1 / BBB+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72E8-4844-A343-31BF0A98B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'Agências de Rating Soberano'!$R$2:$R$10</c:f>
              <c:numCache>
                <c:formatCode>mmm\-yy</c:formatCode>
                <c:ptCount val="9"/>
                <c:pt idx="0">
                  <c:v>34608</c:v>
                </c:pt>
                <c:pt idx="1">
                  <c:v>34608</c:v>
                </c:pt>
                <c:pt idx="2">
                  <c:v>34608</c:v>
                </c:pt>
                <c:pt idx="3">
                  <c:v>34608</c:v>
                </c:pt>
                <c:pt idx="4">
                  <c:v>34608</c:v>
                </c:pt>
                <c:pt idx="5">
                  <c:v>34608</c:v>
                </c:pt>
                <c:pt idx="6">
                  <c:v>34608</c:v>
                </c:pt>
                <c:pt idx="7">
                  <c:v>34608</c:v>
                </c:pt>
                <c:pt idx="8">
                  <c:v>34608</c:v>
                </c:pt>
              </c:numCache>
            </c:numRef>
          </c:xVal>
          <c:yVal>
            <c:numRef>
              <c:f>'Agências de Rating Soberano'!$Q$2:$Q$10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  <c:pt idx="7">
                  <c:v>13</c:v>
                </c:pt>
                <c:pt idx="8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E8-4844-A343-31BF0A98B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431135"/>
        <c:axId val="752761743"/>
      </c:scatterChart>
      <c:valAx>
        <c:axId val="1747431135"/>
        <c:scaling>
          <c:orientation val="minMax"/>
          <c:max val="46266"/>
          <c:min val="346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2761743"/>
        <c:crosses val="autoZero"/>
        <c:crossBetween val="midCat"/>
        <c:majorUnit val="730"/>
      </c:valAx>
      <c:valAx>
        <c:axId val="752761743"/>
        <c:scaling>
          <c:orientation val="minMax"/>
          <c:max val="14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743113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Moody's – Rating Soberano do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Moeda estrangeira</c:v>
          </c:tx>
          <c:spPr>
            <a:ln w="3175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'Base Rating 2'!$A$2:$A$480</c:f>
              <c:numCache>
                <c:formatCode>mmm\-yy</c:formatCode>
                <c:ptCount val="479"/>
                <c:pt idx="0">
                  <c:v>31746</c:v>
                </c:pt>
                <c:pt idx="1">
                  <c:v>31777</c:v>
                </c:pt>
                <c:pt idx="2">
                  <c:v>31808</c:v>
                </c:pt>
                <c:pt idx="3">
                  <c:v>31836</c:v>
                </c:pt>
                <c:pt idx="4">
                  <c:v>31867</c:v>
                </c:pt>
                <c:pt idx="5">
                  <c:v>31897</c:v>
                </c:pt>
                <c:pt idx="6">
                  <c:v>31928</c:v>
                </c:pt>
                <c:pt idx="7">
                  <c:v>31958</c:v>
                </c:pt>
                <c:pt idx="8">
                  <c:v>31989</c:v>
                </c:pt>
                <c:pt idx="9">
                  <c:v>32020</c:v>
                </c:pt>
                <c:pt idx="10">
                  <c:v>32050</c:v>
                </c:pt>
                <c:pt idx="11">
                  <c:v>32081</c:v>
                </c:pt>
                <c:pt idx="12">
                  <c:v>32111</c:v>
                </c:pt>
                <c:pt idx="13">
                  <c:v>32142</c:v>
                </c:pt>
                <c:pt idx="14">
                  <c:v>32173</c:v>
                </c:pt>
                <c:pt idx="15">
                  <c:v>32202</c:v>
                </c:pt>
                <c:pt idx="16">
                  <c:v>32233</c:v>
                </c:pt>
                <c:pt idx="17">
                  <c:v>32263</c:v>
                </c:pt>
                <c:pt idx="18">
                  <c:v>32294</c:v>
                </c:pt>
                <c:pt idx="19">
                  <c:v>32324</c:v>
                </c:pt>
                <c:pt idx="20">
                  <c:v>32355</c:v>
                </c:pt>
                <c:pt idx="21">
                  <c:v>32386</c:v>
                </c:pt>
                <c:pt idx="22">
                  <c:v>32416</c:v>
                </c:pt>
                <c:pt idx="23">
                  <c:v>32447</c:v>
                </c:pt>
                <c:pt idx="24">
                  <c:v>32477</c:v>
                </c:pt>
                <c:pt idx="25">
                  <c:v>32508</c:v>
                </c:pt>
                <c:pt idx="26">
                  <c:v>32539</c:v>
                </c:pt>
                <c:pt idx="27">
                  <c:v>32567</c:v>
                </c:pt>
                <c:pt idx="28">
                  <c:v>32598</c:v>
                </c:pt>
                <c:pt idx="29">
                  <c:v>32628</c:v>
                </c:pt>
                <c:pt idx="30">
                  <c:v>32659</c:v>
                </c:pt>
                <c:pt idx="31">
                  <c:v>32689</c:v>
                </c:pt>
                <c:pt idx="32">
                  <c:v>32720</c:v>
                </c:pt>
                <c:pt idx="33">
                  <c:v>32751</c:v>
                </c:pt>
                <c:pt idx="34">
                  <c:v>32781</c:v>
                </c:pt>
                <c:pt idx="35">
                  <c:v>32812</c:v>
                </c:pt>
                <c:pt idx="36">
                  <c:v>32842</c:v>
                </c:pt>
                <c:pt idx="37">
                  <c:v>32873</c:v>
                </c:pt>
                <c:pt idx="38">
                  <c:v>32904</c:v>
                </c:pt>
                <c:pt idx="39">
                  <c:v>32932</c:v>
                </c:pt>
                <c:pt idx="40">
                  <c:v>32963</c:v>
                </c:pt>
                <c:pt idx="41">
                  <c:v>32993</c:v>
                </c:pt>
                <c:pt idx="42">
                  <c:v>33024</c:v>
                </c:pt>
                <c:pt idx="43">
                  <c:v>33054</c:v>
                </c:pt>
                <c:pt idx="44">
                  <c:v>33085</c:v>
                </c:pt>
                <c:pt idx="45">
                  <c:v>33116</c:v>
                </c:pt>
                <c:pt idx="46">
                  <c:v>33146</c:v>
                </c:pt>
                <c:pt idx="47">
                  <c:v>33177</c:v>
                </c:pt>
                <c:pt idx="48">
                  <c:v>33207</c:v>
                </c:pt>
                <c:pt idx="49">
                  <c:v>33238</c:v>
                </c:pt>
                <c:pt idx="50">
                  <c:v>33269</c:v>
                </c:pt>
                <c:pt idx="51">
                  <c:v>33297</c:v>
                </c:pt>
                <c:pt idx="52">
                  <c:v>33328</c:v>
                </c:pt>
                <c:pt idx="53">
                  <c:v>33358</c:v>
                </c:pt>
                <c:pt idx="54">
                  <c:v>33389</c:v>
                </c:pt>
                <c:pt idx="55">
                  <c:v>33419</c:v>
                </c:pt>
                <c:pt idx="56">
                  <c:v>33450</c:v>
                </c:pt>
                <c:pt idx="57">
                  <c:v>33481</c:v>
                </c:pt>
                <c:pt idx="58">
                  <c:v>33511</c:v>
                </c:pt>
                <c:pt idx="59">
                  <c:v>33542</c:v>
                </c:pt>
                <c:pt idx="60">
                  <c:v>33572</c:v>
                </c:pt>
                <c:pt idx="61">
                  <c:v>33603</c:v>
                </c:pt>
                <c:pt idx="62">
                  <c:v>33634</c:v>
                </c:pt>
                <c:pt idx="63">
                  <c:v>33663</c:v>
                </c:pt>
                <c:pt idx="64">
                  <c:v>33694</c:v>
                </c:pt>
                <c:pt idx="65">
                  <c:v>33724</c:v>
                </c:pt>
                <c:pt idx="66">
                  <c:v>33755</c:v>
                </c:pt>
                <c:pt idx="67">
                  <c:v>33785</c:v>
                </c:pt>
                <c:pt idx="68">
                  <c:v>33816</c:v>
                </c:pt>
                <c:pt idx="69">
                  <c:v>33847</c:v>
                </c:pt>
                <c:pt idx="70">
                  <c:v>33877</c:v>
                </c:pt>
                <c:pt idx="71">
                  <c:v>33908</c:v>
                </c:pt>
                <c:pt idx="72">
                  <c:v>33938</c:v>
                </c:pt>
                <c:pt idx="73">
                  <c:v>33969</c:v>
                </c:pt>
                <c:pt idx="74">
                  <c:v>34000</c:v>
                </c:pt>
                <c:pt idx="75">
                  <c:v>34028</c:v>
                </c:pt>
                <c:pt idx="76">
                  <c:v>34059</c:v>
                </c:pt>
                <c:pt idx="77">
                  <c:v>34089</c:v>
                </c:pt>
                <c:pt idx="78">
                  <c:v>34120</c:v>
                </c:pt>
                <c:pt idx="79">
                  <c:v>34150</c:v>
                </c:pt>
                <c:pt idx="80">
                  <c:v>34181</c:v>
                </c:pt>
                <c:pt idx="81">
                  <c:v>34212</c:v>
                </c:pt>
                <c:pt idx="82">
                  <c:v>34242</c:v>
                </c:pt>
                <c:pt idx="83">
                  <c:v>34273</c:v>
                </c:pt>
                <c:pt idx="84">
                  <c:v>34303</c:v>
                </c:pt>
                <c:pt idx="85">
                  <c:v>34334</c:v>
                </c:pt>
                <c:pt idx="86">
                  <c:v>34365</c:v>
                </c:pt>
                <c:pt idx="87">
                  <c:v>34393</c:v>
                </c:pt>
                <c:pt idx="88">
                  <c:v>34424</c:v>
                </c:pt>
                <c:pt idx="89">
                  <c:v>34454</c:v>
                </c:pt>
                <c:pt idx="90">
                  <c:v>34485</c:v>
                </c:pt>
                <c:pt idx="91">
                  <c:v>34515</c:v>
                </c:pt>
                <c:pt idx="92">
                  <c:v>34546</c:v>
                </c:pt>
                <c:pt idx="93">
                  <c:v>34577</c:v>
                </c:pt>
                <c:pt idx="94">
                  <c:v>34607</c:v>
                </c:pt>
                <c:pt idx="95">
                  <c:v>34638</c:v>
                </c:pt>
                <c:pt idx="96">
                  <c:v>34668</c:v>
                </c:pt>
                <c:pt idx="97">
                  <c:v>34699</c:v>
                </c:pt>
                <c:pt idx="98">
                  <c:v>34730</c:v>
                </c:pt>
                <c:pt idx="99">
                  <c:v>34758</c:v>
                </c:pt>
                <c:pt idx="100">
                  <c:v>34789</c:v>
                </c:pt>
                <c:pt idx="101">
                  <c:v>34819</c:v>
                </c:pt>
                <c:pt idx="102">
                  <c:v>34850</c:v>
                </c:pt>
                <c:pt idx="103">
                  <c:v>34880</c:v>
                </c:pt>
                <c:pt idx="104">
                  <c:v>34911</c:v>
                </c:pt>
                <c:pt idx="105">
                  <c:v>34942</c:v>
                </c:pt>
                <c:pt idx="106">
                  <c:v>34972</c:v>
                </c:pt>
                <c:pt idx="107">
                  <c:v>35003</c:v>
                </c:pt>
                <c:pt idx="108">
                  <c:v>35033</c:v>
                </c:pt>
                <c:pt idx="109">
                  <c:v>35064</c:v>
                </c:pt>
                <c:pt idx="110">
                  <c:v>35095</c:v>
                </c:pt>
                <c:pt idx="111">
                  <c:v>35124</c:v>
                </c:pt>
                <c:pt idx="112">
                  <c:v>35155</c:v>
                </c:pt>
                <c:pt idx="113">
                  <c:v>35185</c:v>
                </c:pt>
                <c:pt idx="114">
                  <c:v>35216</c:v>
                </c:pt>
                <c:pt idx="115">
                  <c:v>35246</c:v>
                </c:pt>
                <c:pt idx="116">
                  <c:v>35277</c:v>
                </c:pt>
                <c:pt idx="117">
                  <c:v>35308</c:v>
                </c:pt>
                <c:pt idx="118">
                  <c:v>35338</c:v>
                </c:pt>
                <c:pt idx="119">
                  <c:v>35369</c:v>
                </c:pt>
                <c:pt idx="120">
                  <c:v>35399</c:v>
                </c:pt>
                <c:pt idx="121">
                  <c:v>35430</c:v>
                </c:pt>
                <c:pt idx="122">
                  <c:v>35461</c:v>
                </c:pt>
                <c:pt idx="123">
                  <c:v>35489</c:v>
                </c:pt>
                <c:pt idx="124">
                  <c:v>35520</c:v>
                </c:pt>
                <c:pt idx="125">
                  <c:v>35550</c:v>
                </c:pt>
                <c:pt idx="126">
                  <c:v>35581</c:v>
                </c:pt>
                <c:pt idx="127">
                  <c:v>35611</c:v>
                </c:pt>
                <c:pt idx="128">
                  <c:v>35642</c:v>
                </c:pt>
                <c:pt idx="129">
                  <c:v>35673</c:v>
                </c:pt>
                <c:pt idx="130">
                  <c:v>35703</c:v>
                </c:pt>
                <c:pt idx="131">
                  <c:v>35734</c:v>
                </c:pt>
                <c:pt idx="132">
                  <c:v>35764</c:v>
                </c:pt>
                <c:pt idx="133">
                  <c:v>35795</c:v>
                </c:pt>
                <c:pt idx="134">
                  <c:v>35826</c:v>
                </c:pt>
                <c:pt idx="135">
                  <c:v>35854</c:v>
                </c:pt>
                <c:pt idx="136">
                  <c:v>35885</c:v>
                </c:pt>
                <c:pt idx="137">
                  <c:v>35915</c:v>
                </c:pt>
                <c:pt idx="138">
                  <c:v>35946</c:v>
                </c:pt>
                <c:pt idx="139">
                  <c:v>35976</c:v>
                </c:pt>
                <c:pt idx="140">
                  <c:v>36007</c:v>
                </c:pt>
                <c:pt idx="141">
                  <c:v>36038</c:v>
                </c:pt>
                <c:pt idx="142">
                  <c:v>36068</c:v>
                </c:pt>
                <c:pt idx="143">
                  <c:v>36099</c:v>
                </c:pt>
                <c:pt idx="144">
                  <c:v>36129</c:v>
                </c:pt>
                <c:pt idx="145">
                  <c:v>36160</c:v>
                </c:pt>
                <c:pt idx="146">
                  <c:v>36191</c:v>
                </c:pt>
                <c:pt idx="147">
                  <c:v>36219</c:v>
                </c:pt>
                <c:pt idx="148">
                  <c:v>36250</c:v>
                </c:pt>
                <c:pt idx="149">
                  <c:v>36280</c:v>
                </c:pt>
                <c:pt idx="150">
                  <c:v>36311</c:v>
                </c:pt>
                <c:pt idx="151">
                  <c:v>36341</c:v>
                </c:pt>
                <c:pt idx="152">
                  <c:v>36372</c:v>
                </c:pt>
                <c:pt idx="153">
                  <c:v>36403</c:v>
                </c:pt>
                <c:pt idx="154">
                  <c:v>36433</c:v>
                </c:pt>
                <c:pt idx="155">
                  <c:v>36464</c:v>
                </c:pt>
                <c:pt idx="156">
                  <c:v>36494</c:v>
                </c:pt>
                <c:pt idx="157">
                  <c:v>36525</c:v>
                </c:pt>
                <c:pt idx="158">
                  <c:v>36556</c:v>
                </c:pt>
                <c:pt idx="159">
                  <c:v>36585</c:v>
                </c:pt>
                <c:pt idx="160">
                  <c:v>36616</c:v>
                </c:pt>
                <c:pt idx="161">
                  <c:v>36646</c:v>
                </c:pt>
                <c:pt idx="162">
                  <c:v>36677</c:v>
                </c:pt>
                <c:pt idx="163">
                  <c:v>36707</c:v>
                </c:pt>
                <c:pt idx="164">
                  <c:v>36738</c:v>
                </c:pt>
                <c:pt idx="165">
                  <c:v>36769</c:v>
                </c:pt>
                <c:pt idx="166">
                  <c:v>36799</c:v>
                </c:pt>
                <c:pt idx="167">
                  <c:v>36830</c:v>
                </c:pt>
                <c:pt idx="168">
                  <c:v>36860</c:v>
                </c:pt>
                <c:pt idx="169">
                  <c:v>36891</c:v>
                </c:pt>
                <c:pt idx="170">
                  <c:v>36922</c:v>
                </c:pt>
                <c:pt idx="171">
                  <c:v>36950</c:v>
                </c:pt>
                <c:pt idx="172">
                  <c:v>36981</c:v>
                </c:pt>
                <c:pt idx="173">
                  <c:v>37011</c:v>
                </c:pt>
                <c:pt idx="174">
                  <c:v>37042</c:v>
                </c:pt>
                <c:pt idx="175">
                  <c:v>37072</c:v>
                </c:pt>
                <c:pt idx="176">
                  <c:v>37103</c:v>
                </c:pt>
                <c:pt idx="177">
                  <c:v>37134</c:v>
                </c:pt>
                <c:pt idx="178">
                  <c:v>37164</c:v>
                </c:pt>
                <c:pt idx="179">
                  <c:v>37195</c:v>
                </c:pt>
                <c:pt idx="180">
                  <c:v>37225</c:v>
                </c:pt>
                <c:pt idx="181">
                  <c:v>37256</c:v>
                </c:pt>
                <c:pt idx="182">
                  <c:v>37287</c:v>
                </c:pt>
                <c:pt idx="183">
                  <c:v>37315</c:v>
                </c:pt>
                <c:pt idx="184">
                  <c:v>37346</c:v>
                </c:pt>
                <c:pt idx="185">
                  <c:v>37376</c:v>
                </c:pt>
                <c:pt idx="186">
                  <c:v>37407</c:v>
                </c:pt>
                <c:pt idx="187">
                  <c:v>37437</c:v>
                </c:pt>
                <c:pt idx="188">
                  <c:v>37468</c:v>
                </c:pt>
                <c:pt idx="189">
                  <c:v>37499</c:v>
                </c:pt>
                <c:pt idx="190">
                  <c:v>37529</c:v>
                </c:pt>
                <c:pt idx="191">
                  <c:v>37560</c:v>
                </c:pt>
                <c:pt idx="192">
                  <c:v>37590</c:v>
                </c:pt>
                <c:pt idx="193">
                  <c:v>37621</c:v>
                </c:pt>
                <c:pt idx="194">
                  <c:v>37652</c:v>
                </c:pt>
                <c:pt idx="195">
                  <c:v>37680</c:v>
                </c:pt>
                <c:pt idx="196">
                  <c:v>37711</c:v>
                </c:pt>
                <c:pt idx="197">
                  <c:v>37741</c:v>
                </c:pt>
                <c:pt idx="198">
                  <c:v>37772</c:v>
                </c:pt>
                <c:pt idx="199">
                  <c:v>37802</c:v>
                </c:pt>
                <c:pt idx="200">
                  <c:v>37833</c:v>
                </c:pt>
                <c:pt idx="201">
                  <c:v>37864</c:v>
                </c:pt>
                <c:pt idx="202">
                  <c:v>37894</c:v>
                </c:pt>
                <c:pt idx="203">
                  <c:v>37925</c:v>
                </c:pt>
                <c:pt idx="204">
                  <c:v>37955</c:v>
                </c:pt>
                <c:pt idx="205">
                  <c:v>37986</c:v>
                </c:pt>
                <c:pt idx="206">
                  <c:v>38017</c:v>
                </c:pt>
                <c:pt idx="207">
                  <c:v>38046</c:v>
                </c:pt>
                <c:pt idx="208">
                  <c:v>38077</c:v>
                </c:pt>
                <c:pt idx="209">
                  <c:v>38107</c:v>
                </c:pt>
                <c:pt idx="210">
                  <c:v>38138</c:v>
                </c:pt>
                <c:pt idx="211">
                  <c:v>38168</c:v>
                </c:pt>
                <c:pt idx="212">
                  <c:v>38199</c:v>
                </c:pt>
                <c:pt idx="213">
                  <c:v>38230</c:v>
                </c:pt>
                <c:pt idx="214">
                  <c:v>38260</c:v>
                </c:pt>
                <c:pt idx="215">
                  <c:v>38291</c:v>
                </c:pt>
                <c:pt idx="216">
                  <c:v>38321</c:v>
                </c:pt>
                <c:pt idx="217">
                  <c:v>38352</c:v>
                </c:pt>
                <c:pt idx="218">
                  <c:v>38383</c:v>
                </c:pt>
                <c:pt idx="219">
                  <c:v>38411</c:v>
                </c:pt>
                <c:pt idx="220">
                  <c:v>38442</c:v>
                </c:pt>
                <c:pt idx="221">
                  <c:v>38472</c:v>
                </c:pt>
                <c:pt idx="222">
                  <c:v>38503</c:v>
                </c:pt>
                <c:pt idx="223">
                  <c:v>38533</c:v>
                </c:pt>
                <c:pt idx="224">
                  <c:v>38564</c:v>
                </c:pt>
                <c:pt idx="225">
                  <c:v>38595</c:v>
                </c:pt>
                <c:pt idx="226">
                  <c:v>38625</c:v>
                </c:pt>
                <c:pt idx="227">
                  <c:v>38656</c:v>
                </c:pt>
                <c:pt idx="228">
                  <c:v>38686</c:v>
                </c:pt>
                <c:pt idx="229">
                  <c:v>38717</c:v>
                </c:pt>
                <c:pt idx="230">
                  <c:v>38748</c:v>
                </c:pt>
                <c:pt idx="231">
                  <c:v>38776</c:v>
                </c:pt>
                <c:pt idx="232">
                  <c:v>38807</c:v>
                </c:pt>
                <c:pt idx="233">
                  <c:v>38837</c:v>
                </c:pt>
                <c:pt idx="234">
                  <c:v>38868</c:v>
                </c:pt>
                <c:pt idx="235">
                  <c:v>38898</c:v>
                </c:pt>
                <c:pt idx="236">
                  <c:v>38929</c:v>
                </c:pt>
                <c:pt idx="237">
                  <c:v>38960</c:v>
                </c:pt>
                <c:pt idx="238">
                  <c:v>38990</c:v>
                </c:pt>
                <c:pt idx="239">
                  <c:v>39021</c:v>
                </c:pt>
                <c:pt idx="240">
                  <c:v>39051</c:v>
                </c:pt>
                <c:pt idx="241">
                  <c:v>39082</c:v>
                </c:pt>
                <c:pt idx="242">
                  <c:v>39113</c:v>
                </c:pt>
                <c:pt idx="243">
                  <c:v>39141</c:v>
                </c:pt>
                <c:pt idx="244">
                  <c:v>39172</c:v>
                </c:pt>
                <c:pt idx="245">
                  <c:v>39202</c:v>
                </c:pt>
                <c:pt idx="246">
                  <c:v>39233</c:v>
                </c:pt>
                <c:pt idx="247">
                  <c:v>39263</c:v>
                </c:pt>
                <c:pt idx="248">
                  <c:v>39294</c:v>
                </c:pt>
                <c:pt idx="249">
                  <c:v>39325</c:v>
                </c:pt>
                <c:pt idx="250">
                  <c:v>39355</c:v>
                </c:pt>
                <c:pt idx="251">
                  <c:v>39386</c:v>
                </c:pt>
                <c:pt idx="252">
                  <c:v>39416</c:v>
                </c:pt>
                <c:pt idx="253">
                  <c:v>39447</c:v>
                </c:pt>
                <c:pt idx="254">
                  <c:v>39478</c:v>
                </c:pt>
                <c:pt idx="255">
                  <c:v>39507</c:v>
                </c:pt>
                <c:pt idx="256">
                  <c:v>39538</c:v>
                </c:pt>
                <c:pt idx="257">
                  <c:v>39568</c:v>
                </c:pt>
                <c:pt idx="258">
                  <c:v>39599</c:v>
                </c:pt>
                <c:pt idx="259">
                  <c:v>39629</c:v>
                </c:pt>
                <c:pt idx="260">
                  <c:v>39660</c:v>
                </c:pt>
                <c:pt idx="261">
                  <c:v>39691</c:v>
                </c:pt>
                <c:pt idx="262">
                  <c:v>39721</c:v>
                </c:pt>
                <c:pt idx="263">
                  <c:v>39752</c:v>
                </c:pt>
                <c:pt idx="264">
                  <c:v>39782</c:v>
                </c:pt>
                <c:pt idx="265">
                  <c:v>39813</c:v>
                </c:pt>
                <c:pt idx="266">
                  <c:v>39844</c:v>
                </c:pt>
                <c:pt idx="267">
                  <c:v>39872</c:v>
                </c:pt>
                <c:pt idx="268">
                  <c:v>39903</c:v>
                </c:pt>
                <c:pt idx="269">
                  <c:v>39933</c:v>
                </c:pt>
                <c:pt idx="270">
                  <c:v>39964</c:v>
                </c:pt>
                <c:pt idx="271">
                  <c:v>39994</c:v>
                </c:pt>
                <c:pt idx="272">
                  <c:v>40025</c:v>
                </c:pt>
                <c:pt idx="273">
                  <c:v>40056</c:v>
                </c:pt>
                <c:pt idx="274">
                  <c:v>40086</c:v>
                </c:pt>
                <c:pt idx="275">
                  <c:v>40117</c:v>
                </c:pt>
                <c:pt idx="276">
                  <c:v>40147</c:v>
                </c:pt>
                <c:pt idx="277">
                  <c:v>40178</c:v>
                </c:pt>
                <c:pt idx="278">
                  <c:v>40209</c:v>
                </c:pt>
                <c:pt idx="279">
                  <c:v>40237</c:v>
                </c:pt>
                <c:pt idx="280">
                  <c:v>40268</c:v>
                </c:pt>
                <c:pt idx="281">
                  <c:v>40298</c:v>
                </c:pt>
                <c:pt idx="282">
                  <c:v>40329</c:v>
                </c:pt>
                <c:pt idx="283">
                  <c:v>40359</c:v>
                </c:pt>
                <c:pt idx="284">
                  <c:v>40390</c:v>
                </c:pt>
                <c:pt idx="285">
                  <c:v>40421</c:v>
                </c:pt>
                <c:pt idx="286">
                  <c:v>40451</c:v>
                </c:pt>
                <c:pt idx="287">
                  <c:v>40482</c:v>
                </c:pt>
                <c:pt idx="288">
                  <c:v>40512</c:v>
                </c:pt>
                <c:pt idx="289">
                  <c:v>40543</c:v>
                </c:pt>
                <c:pt idx="290">
                  <c:v>40574</c:v>
                </c:pt>
                <c:pt idx="291">
                  <c:v>40602</c:v>
                </c:pt>
                <c:pt idx="292">
                  <c:v>40633</c:v>
                </c:pt>
                <c:pt idx="293">
                  <c:v>40663</c:v>
                </c:pt>
                <c:pt idx="294">
                  <c:v>40694</c:v>
                </c:pt>
                <c:pt idx="295">
                  <c:v>40724</c:v>
                </c:pt>
                <c:pt idx="296">
                  <c:v>40755</c:v>
                </c:pt>
                <c:pt idx="297">
                  <c:v>40786</c:v>
                </c:pt>
                <c:pt idx="298">
                  <c:v>40816</c:v>
                </c:pt>
                <c:pt idx="299">
                  <c:v>40847</c:v>
                </c:pt>
                <c:pt idx="300">
                  <c:v>40877</c:v>
                </c:pt>
                <c:pt idx="301">
                  <c:v>40908</c:v>
                </c:pt>
                <c:pt idx="302">
                  <c:v>40939</c:v>
                </c:pt>
                <c:pt idx="303">
                  <c:v>40968</c:v>
                </c:pt>
                <c:pt idx="304">
                  <c:v>40999</c:v>
                </c:pt>
                <c:pt idx="305">
                  <c:v>41029</c:v>
                </c:pt>
                <c:pt idx="306">
                  <c:v>41060</c:v>
                </c:pt>
                <c:pt idx="307">
                  <c:v>41090</c:v>
                </c:pt>
                <c:pt idx="308">
                  <c:v>41121</c:v>
                </c:pt>
                <c:pt idx="309">
                  <c:v>41152</c:v>
                </c:pt>
                <c:pt idx="310">
                  <c:v>41182</c:v>
                </c:pt>
                <c:pt idx="311">
                  <c:v>41213</c:v>
                </c:pt>
                <c:pt idx="312">
                  <c:v>41243</c:v>
                </c:pt>
                <c:pt idx="313">
                  <c:v>41274</c:v>
                </c:pt>
                <c:pt idx="314">
                  <c:v>41305</c:v>
                </c:pt>
                <c:pt idx="315">
                  <c:v>41333</c:v>
                </c:pt>
                <c:pt idx="316">
                  <c:v>41364</c:v>
                </c:pt>
                <c:pt idx="317">
                  <c:v>41394</c:v>
                </c:pt>
                <c:pt idx="318">
                  <c:v>41425</c:v>
                </c:pt>
                <c:pt idx="319">
                  <c:v>41455</c:v>
                </c:pt>
                <c:pt idx="320">
                  <c:v>41486</c:v>
                </c:pt>
                <c:pt idx="321">
                  <c:v>41517</c:v>
                </c:pt>
                <c:pt idx="322">
                  <c:v>41547</c:v>
                </c:pt>
                <c:pt idx="323">
                  <c:v>41578</c:v>
                </c:pt>
                <c:pt idx="324">
                  <c:v>41608</c:v>
                </c:pt>
                <c:pt idx="325">
                  <c:v>41639</c:v>
                </c:pt>
                <c:pt idx="326">
                  <c:v>41670</c:v>
                </c:pt>
                <c:pt idx="327">
                  <c:v>41698</c:v>
                </c:pt>
                <c:pt idx="328">
                  <c:v>41729</c:v>
                </c:pt>
                <c:pt idx="329">
                  <c:v>41759</c:v>
                </c:pt>
                <c:pt idx="330">
                  <c:v>41790</c:v>
                </c:pt>
                <c:pt idx="331">
                  <c:v>41820</c:v>
                </c:pt>
                <c:pt idx="332">
                  <c:v>41851</c:v>
                </c:pt>
                <c:pt idx="333">
                  <c:v>41882</c:v>
                </c:pt>
                <c:pt idx="334">
                  <c:v>41912</c:v>
                </c:pt>
                <c:pt idx="335">
                  <c:v>41943</c:v>
                </c:pt>
                <c:pt idx="336">
                  <c:v>41973</c:v>
                </c:pt>
                <c:pt idx="337">
                  <c:v>42004</c:v>
                </c:pt>
                <c:pt idx="338">
                  <c:v>42035</c:v>
                </c:pt>
                <c:pt idx="339">
                  <c:v>42063</c:v>
                </c:pt>
                <c:pt idx="340">
                  <c:v>42094</c:v>
                </c:pt>
                <c:pt idx="341">
                  <c:v>42124</c:v>
                </c:pt>
                <c:pt idx="342">
                  <c:v>42155</c:v>
                </c:pt>
                <c:pt idx="343">
                  <c:v>42185</c:v>
                </c:pt>
                <c:pt idx="344">
                  <c:v>42216</c:v>
                </c:pt>
                <c:pt idx="345">
                  <c:v>42247</c:v>
                </c:pt>
                <c:pt idx="346">
                  <c:v>42277</c:v>
                </c:pt>
                <c:pt idx="347">
                  <c:v>42308</c:v>
                </c:pt>
                <c:pt idx="348">
                  <c:v>42338</c:v>
                </c:pt>
                <c:pt idx="349">
                  <c:v>42369</c:v>
                </c:pt>
                <c:pt idx="350">
                  <c:v>42400</c:v>
                </c:pt>
                <c:pt idx="351">
                  <c:v>42429</c:v>
                </c:pt>
                <c:pt idx="352">
                  <c:v>42460</c:v>
                </c:pt>
                <c:pt idx="353">
                  <c:v>42490</c:v>
                </c:pt>
                <c:pt idx="354">
                  <c:v>42521</c:v>
                </c:pt>
                <c:pt idx="355">
                  <c:v>42551</c:v>
                </c:pt>
                <c:pt idx="356">
                  <c:v>42582</c:v>
                </c:pt>
                <c:pt idx="357">
                  <c:v>42613</c:v>
                </c:pt>
                <c:pt idx="358">
                  <c:v>42643</c:v>
                </c:pt>
                <c:pt idx="359">
                  <c:v>42674</c:v>
                </c:pt>
                <c:pt idx="360">
                  <c:v>42704</c:v>
                </c:pt>
                <c:pt idx="361">
                  <c:v>42735</c:v>
                </c:pt>
                <c:pt idx="362">
                  <c:v>42766</c:v>
                </c:pt>
                <c:pt idx="363">
                  <c:v>42794</c:v>
                </c:pt>
                <c:pt idx="364">
                  <c:v>42825</c:v>
                </c:pt>
                <c:pt idx="365">
                  <c:v>42855</c:v>
                </c:pt>
                <c:pt idx="366">
                  <c:v>42886</c:v>
                </c:pt>
                <c:pt idx="367">
                  <c:v>42916</c:v>
                </c:pt>
                <c:pt idx="368">
                  <c:v>42947</c:v>
                </c:pt>
                <c:pt idx="369">
                  <c:v>42978</c:v>
                </c:pt>
                <c:pt idx="370">
                  <c:v>43008</c:v>
                </c:pt>
                <c:pt idx="371">
                  <c:v>43039</c:v>
                </c:pt>
                <c:pt idx="372">
                  <c:v>43069</c:v>
                </c:pt>
                <c:pt idx="373">
                  <c:v>43100</c:v>
                </c:pt>
                <c:pt idx="374">
                  <c:v>43131</c:v>
                </c:pt>
                <c:pt idx="375">
                  <c:v>43159</c:v>
                </c:pt>
                <c:pt idx="376">
                  <c:v>43190</c:v>
                </c:pt>
                <c:pt idx="377">
                  <c:v>43220</c:v>
                </c:pt>
                <c:pt idx="378">
                  <c:v>43251</c:v>
                </c:pt>
                <c:pt idx="379">
                  <c:v>43281</c:v>
                </c:pt>
                <c:pt idx="380">
                  <c:v>43312</c:v>
                </c:pt>
                <c:pt idx="381">
                  <c:v>43343</c:v>
                </c:pt>
                <c:pt idx="382">
                  <c:v>43373</c:v>
                </c:pt>
                <c:pt idx="383">
                  <c:v>43404</c:v>
                </c:pt>
                <c:pt idx="384">
                  <c:v>43434</c:v>
                </c:pt>
                <c:pt idx="385">
                  <c:v>43465</c:v>
                </c:pt>
                <c:pt idx="386">
                  <c:v>43496</c:v>
                </c:pt>
                <c:pt idx="387">
                  <c:v>43524</c:v>
                </c:pt>
                <c:pt idx="388">
                  <c:v>43555</c:v>
                </c:pt>
                <c:pt idx="389">
                  <c:v>43585</c:v>
                </c:pt>
                <c:pt idx="390">
                  <c:v>43616</c:v>
                </c:pt>
                <c:pt idx="391">
                  <c:v>43646</c:v>
                </c:pt>
                <c:pt idx="392">
                  <c:v>43677</c:v>
                </c:pt>
                <c:pt idx="393">
                  <c:v>43708</c:v>
                </c:pt>
                <c:pt idx="394">
                  <c:v>43738</c:v>
                </c:pt>
                <c:pt idx="395">
                  <c:v>43769</c:v>
                </c:pt>
                <c:pt idx="396">
                  <c:v>43799</c:v>
                </c:pt>
                <c:pt idx="397">
                  <c:v>43830</c:v>
                </c:pt>
                <c:pt idx="398">
                  <c:v>43861</c:v>
                </c:pt>
                <c:pt idx="399">
                  <c:v>43890</c:v>
                </c:pt>
                <c:pt idx="400">
                  <c:v>43921</c:v>
                </c:pt>
                <c:pt idx="401">
                  <c:v>43951</c:v>
                </c:pt>
                <c:pt idx="402">
                  <c:v>43982</c:v>
                </c:pt>
                <c:pt idx="403">
                  <c:v>44012</c:v>
                </c:pt>
                <c:pt idx="404">
                  <c:v>44043</c:v>
                </c:pt>
                <c:pt idx="405">
                  <c:v>44074</c:v>
                </c:pt>
                <c:pt idx="406">
                  <c:v>44104</c:v>
                </c:pt>
                <c:pt idx="407">
                  <c:v>44135</c:v>
                </c:pt>
                <c:pt idx="408">
                  <c:v>44165</c:v>
                </c:pt>
                <c:pt idx="409">
                  <c:v>44196</c:v>
                </c:pt>
                <c:pt idx="410">
                  <c:v>44227</c:v>
                </c:pt>
                <c:pt idx="411">
                  <c:v>44255</c:v>
                </c:pt>
                <c:pt idx="412">
                  <c:v>44286</c:v>
                </c:pt>
                <c:pt idx="413">
                  <c:v>44316</c:v>
                </c:pt>
                <c:pt idx="414">
                  <c:v>44347</c:v>
                </c:pt>
                <c:pt idx="415">
                  <c:v>44377</c:v>
                </c:pt>
                <c:pt idx="416">
                  <c:v>44408</c:v>
                </c:pt>
                <c:pt idx="417">
                  <c:v>44439</c:v>
                </c:pt>
                <c:pt idx="418">
                  <c:v>44469</c:v>
                </c:pt>
                <c:pt idx="419">
                  <c:v>44500</c:v>
                </c:pt>
                <c:pt idx="420">
                  <c:v>44530</c:v>
                </c:pt>
                <c:pt idx="421">
                  <c:v>44561</c:v>
                </c:pt>
                <c:pt idx="422">
                  <c:v>44592</c:v>
                </c:pt>
                <c:pt idx="423">
                  <c:v>44620</c:v>
                </c:pt>
                <c:pt idx="424">
                  <c:v>44651</c:v>
                </c:pt>
                <c:pt idx="425">
                  <c:v>44681</c:v>
                </c:pt>
                <c:pt idx="426">
                  <c:v>44712</c:v>
                </c:pt>
                <c:pt idx="427">
                  <c:v>44742</c:v>
                </c:pt>
                <c:pt idx="428">
                  <c:v>44773</c:v>
                </c:pt>
                <c:pt idx="429">
                  <c:v>44804</c:v>
                </c:pt>
                <c:pt idx="430">
                  <c:v>44834</c:v>
                </c:pt>
                <c:pt idx="431">
                  <c:v>44865</c:v>
                </c:pt>
                <c:pt idx="432">
                  <c:v>44895</c:v>
                </c:pt>
                <c:pt idx="433">
                  <c:v>44926</c:v>
                </c:pt>
                <c:pt idx="434">
                  <c:v>44957</c:v>
                </c:pt>
                <c:pt idx="435">
                  <c:v>44985</c:v>
                </c:pt>
                <c:pt idx="436">
                  <c:v>45016</c:v>
                </c:pt>
                <c:pt idx="437">
                  <c:v>45046</c:v>
                </c:pt>
                <c:pt idx="438">
                  <c:v>45077</c:v>
                </c:pt>
                <c:pt idx="439">
                  <c:v>45107</c:v>
                </c:pt>
                <c:pt idx="440">
                  <c:v>45138</c:v>
                </c:pt>
                <c:pt idx="441">
                  <c:v>45169</c:v>
                </c:pt>
                <c:pt idx="442">
                  <c:v>45199</c:v>
                </c:pt>
                <c:pt idx="443">
                  <c:v>45230</c:v>
                </c:pt>
                <c:pt idx="444">
                  <c:v>45260</c:v>
                </c:pt>
                <c:pt idx="445">
                  <c:v>45291</c:v>
                </c:pt>
                <c:pt idx="446">
                  <c:v>45322</c:v>
                </c:pt>
                <c:pt idx="447">
                  <c:v>45351</c:v>
                </c:pt>
                <c:pt idx="448">
                  <c:v>45382</c:v>
                </c:pt>
                <c:pt idx="449">
                  <c:v>45412</c:v>
                </c:pt>
                <c:pt idx="450">
                  <c:v>45443</c:v>
                </c:pt>
                <c:pt idx="451">
                  <c:v>45473</c:v>
                </c:pt>
                <c:pt idx="452">
                  <c:v>45504</c:v>
                </c:pt>
                <c:pt idx="453">
                  <c:v>45535</c:v>
                </c:pt>
                <c:pt idx="454">
                  <c:v>45565</c:v>
                </c:pt>
                <c:pt idx="455">
                  <c:v>45596</c:v>
                </c:pt>
                <c:pt idx="456">
                  <c:v>45626</c:v>
                </c:pt>
                <c:pt idx="457">
                  <c:v>45657</c:v>
                </c:pt>
                <c:pt idx="458">
                  <c:v>45688</c:v>
                </c:pt>
                <c:pt idx="459">
                  <c:v>45716</c:v>
                </c:pt>
                <c:pt idx="460">
                  <c:v>45747</c:v>
                </c:pt>
                <c:pt idx="461">
                  <c:v>45777</c:v>
                </c:pt>
                <c:pt idx="462">
                  <c:v>45808</c:v>
                </c:pt>
                <c:pt idx="463">
                  <c:v>45838</c:v>
                </c:pt>
                <c:pt idx="464">
                  <c:v>45869</c:v>
                </c:pt>
                <c:pt idx="465">
                  <c:v>45900</c:v>
                </c:pt>
                <c:pt idx="466">
                  <c:v>45930</c:v>
                </c:pt>
                <c:pt idx="467">
                  <c:v>45961</c:v>
                </c:pt>
                <c:pt idx="468">
                  <c:v>45991</c:v>
                </c:pt>
                <c:pt idx="469">
                  <c:v>46022</c:v>
                </c:pt>
                <c:pt idx="470">
                  <c:v>46053</c:v>
                </c:pt>
                <c:pt idx="471">
                  <c:v>46081</c:v>
                </c:pt>
                <c:pt idx="472">
                  <c:v>46112</c:v>
                </c:pt>
                <c:pt idx="473">
                  <c:v>46142</c:v>
                </c:pt>
                <c:pt idx="474">
                  <c:v>46173</c:v>
                </c:pt>
                <c:pt idx="475">
                  <c:v>46203</c:v>
                </c:pt>
                <c:pt idx="476">
                  <c:v>46234</c:v>
                </c:pt>
                <c:pt idx="477">
                  <c:v>46265</c:v>
                </c:pt>
                <c:pt idx="478">
                  <c:v>46295</c:v>
                </c:pt>
              </c:numCache>
            </c:numRef>
          </c:xVal>
          <c:yVal>
            <c:numRef>
              <c:f>'Base Rating 2'!$L$2:$L$480</c:f>
              <c:numCache>
                <c:formatCode>General</c:formatCode>
                <c:ptCount val="479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12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98-463E-8378-9D7AC015876C}"/>
            </c:ext>
          </c:extLst>
        </c:ser>
        <c:ser>
          <c:idx val="1"/>
          <c:order val="1"/>
          <c:tx>
            <c:v>Moeda local</c:v>
          </c:tx>
          <c:spPr>
            <a:ln w="25400" cap="rnd">
              <a:solidFill>
                <a:srgbClr val="ED7D3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'Base Rating 2'!$A$2:$A$480</c:f>
              <c:numCache>
                <c:formatCode>mmm\-yy</c:formatCode>
                <c:ptCount val="479"/>
                <c:pt idx="0">
                  <c:v>31746</c:v>
                </c:pt>
                <c:pt idx="1">
                  <c:v>31777</c:v>
                </c:pt>
                <c:pt idx="2">
                  <c:v>31808</c:v>
                </c:pt>
                <c:pt idx="3">
                  <c:v>31836</c:v>
                </c:pt>
                <c:pt idx="4">
                  <c:v>31867</c:v>
                </c:pt>
                <c:pt idx="5">
                  <c:v>31897</c:v>
                </c:pt>
                <c:pt idx="6">
                  <c:v>31928</c:v>
                </c:pt>
                <c:pt idx="7">
                  <c:v>31958</c:v>
                </c:pt>
                <c:pt idx="8">
                  <c:v>31989</c:v>
                </c:pt>
                <c:pt idx="9">
                  <c:v>32020</c:v>
                </c:pt>
                <c:pt idx="10">
                  <c:v>32050</c:v>
                </c:pt>
                <c:pt idx="11">
                  <c:v>32081</c:v>
                </c:pt>
                <c:pt idx="12">
                  <c:v>32111</c:v>
                </c:pt>
                <c:pt idx="13">
                  <c:v>32142</c:v>
                </c:pt>
                <c:pt idx="14">
                  <c:v>32173</c:v>
                </c:pt>
                <c:pt idx="15">
                  <c:v>32202</c:v>
                </c:pt>
                <c:pt idx="16">
                  <c:v>32233</c:v>
                </c:pt>
                <c:pt idx="17">
                  <c:v>32263</c:v>
                </c:pt>
                <c:pt idx="18">
                  <c:v>32294</c:v>
                </c:pt>
                <c:pt idx="19">
                  <c:v>32324</c:v>
                </c:pt>
                <c:pt idx="20">
                  <c:v>32355</c:v>
                </c:pt>
                <c:pt idx="21">
                  <c:v>32386</c:v>
                </c:pt>
                <c:pt idx="22">
                  <c:v>32416</c:v>
                </c:pt>
                <c:pt idx="23">
                  <c:v>32447</c:v>
                </c:pt>
                <c:pt idx="24">
                  <c:v>32477</c:v>
                </c:pt>
                <c:pt idx="25">
                  <c:v>32508</c:v>
                </c:pt>
                <c:pt idx="26">
                  <c:v>32539</c:v>
                </c:pt>
                <c:pt idx="27">
                  <c:v>32567</c:v>
                </c:pt>
                <c:pt idx="28">
                  <c:v>32598</c:v>
                </c:pt>
                <c:pt idx="29">
                  <c:v>32628</c:v>
                </c:pt>
                <c:pt idx="30">
                  <c:v>32659</c:v>
                </c:pt>
                <c:pt idx="31">
                  <c:v>32689</c:v>
                </c:pt>
                <c:pt idx="32">
                  <c:v>32720</c:v>
                </c:pt>
                <c:pt idx="33">
                  <c:v>32751</c:v>
                </c:pt>
                <c:pt idx="34">
                  <c:v>32781</c:v>
                </c:pt>
                <c:pt idx="35">
                  <c:v>32812</c:v>
                </c:pt>
                <c:pt idx="36">
                  <c:v>32842</c:v>
                </c:pt>
                <c:pt idx="37">
                  <c:v>32873</c:v>
                </c:pt>
                <c:pt idx="38">
                  <c:v>32904</c:v>
                </c:pt>
                <c:pt idx="39">
                  <c:v>32932</c:v>
                </c:pt>
                <c:pt idx="40">
                  <c:v>32963</c:v>
                </c:pt>
                <c:pt idx="41">
                  <c:v>32993</c:v>
                </c:pt>
                <c:pt idx="42">
                  <c:v>33024</c:v>
                </c:pt>
                <c:pt idx="43">
                  <c:v>33054</c:v>
                </c:pt>
                <c:pt idx="44">
                  <c:v>33085</c:v>
                </c:pt>
                <c:pt idx="45">
                  <c:v>33116</c:v>
                </c:pt>
                <c:pt idx="46">
                  <c:v>33146</c:v>
                </c:pt>
                <c:pt idx="47">
                  <c:v>33177</c:v>
                </c:pt>
                <c:pt idx="48">
                  <c:v>33207</c:v>
                </c:pt>
                <c:pt idx="49">
                  <c:v>33238</c:v>
                </c:pt>
                <c:pt idx="50">
                  <c:v>33269</c:v>
                </c:pt>
                <c:pt idx="51">
                  <c:v>33297</c:v>
                </c:pt>
                <c:pt idx="52">
                  <c:v>33328</c:v>
                </c:pt>
                <c:pt idx="53">
                  <c:v>33358</c:v>
                </c:pt>
                <c:pt idx="54">
                  <c:v>33389</c:v>
                </c:pt>
                <c:pt idx="55">
                  <c:v>33419</c:v>
                </c:pt>
                <c:pt idx="56">
                  <c:v>33450</c:v>
                </c:pt>
                <c:pt idx="57">
                  <c:v>33481</c:v>
                </c:pt>
                <c:pt idx="58">
                  <c:v>33511</c:v>
                </c:pt>
                <c:pt idx="59">
                  <c:v>33542</c:v>
                </c:pt>
                <c:pt idx="60">
                  <c:v>33572</c:v>
                </c:pt>
                <c:pt idx="61">
                  <c:v>33603</c:v>
                </c:pt>
                <c:pt idx="62">
                  <c:v>33634</c:v>
                </c:pt>
                <c:pt idx="63">
                  <c:v>33663</c:v>
                </c:pt>
                <c:pt idx="64">
                  <c:v>33694</c:v>
                </c:pt>
                <c:pt idx="65">
                  <c:v>33724</c:v>
                </c:pt>
                <c:pt idx="66">
                  <c:v>33755</c:v>
                </c:pt>
                <c:pt idx="67">
                  <c:v>33785</c:v>
                </c:pt>
                <c:pt idx="68">
                  <c:v>33816</c:v>
                </c:pt>
                <c:pt idx="69">
                  <c:v>33847</c:v>
                </c:pt>
                <c:pt idx="70">
                  <c:v>33877</c:v>
                </c:pt>
                <c:pt idx="71">
                  <c:v>33908</c:v>
                </c:pt>
                <c:pt idx="72">
                  <c:v>33938</c:v>
                </c:pt>
                <c:pt idx="73">
                  <c:v>33969</c:v>
                </c:pt>
                <c:pt idx="74">
                  <c:v>34000</c:v>
                </c:pt>
                <c:pt idx="75">
                  <c:v>34028</c:v>
                </c:pt>
                <c:pt idx="76">
                  <c:v>34059</c:v>
                </c:pt>
                <c:pt idx="77">
                  <c:v>34089</c:v>
                </c:pt>
                <c:pt idx="78">
                  <c:v>34120</c:v>
                </c:pt>
                <c:pt idx="79">
                  <c:v>34150</c:v>
                </c:pt>
                <c:pt idx="80">
                  <c:v>34181</c:v>
                </c:pt>
                <c:pt idx="81">
                  <c:v>34212</c:v>
                </c:pt>
                <c:pt idx="82">
                  <c:v>34242</c:v>
                </c:pt>
                <c:pt idx="83">
                  <c:v>34273</c:v>
                </c:pt>
                <c:pt idx="84">
                  <c:v>34303</c:v>
                </c:pt>
                <c:pt idx="85">
                  <c:v>34334</c:v>
                </c:pt>
                <c:pt idx="86">
                  <c:v>34365</c:v>
                </c:pt>
                <c:pt idx="87">
                  <c:v>34393</c:v>
                </c:pt>
                <c:pt idx="88">
                  <c:v>34424</c:v>
                </c:pt>
                <c:pt idx="89">
                  <c:v>34454</c:v>
                </c:pt>
                <c:pt idx="90">
                  <c:v>34485</c:v>
                </c:pt>
                <c:pt idx="91">
                  <c:v>34515</c:v>
                </c:pt>
                <c:pt idx="92">
                  <c:v>34546</c:v>
                </c:pt>
                <c:pt idx="93">
                  <c:v>34577</c:v>
                </c:pt>
                <c:pt idx="94">
                  <c:v>34607</c:v>
                </c:pt>
                <c:pt idx="95">
                  <c:v>34638</c:v>
                </c:pt>
                <c:pt idx="96">
                  <c:v>34668</c:v>
                </c:pt>
                <c:pt idx="97">
                  <c:v>34699</c:v>
                </c:pt>
                <c:pt idx="98">
                  <c:v>34730</c:v>
                </c:pt>
                <c:pt idx="99">
                  <c:v>34758</c:v>
                </c:pt>
                <c:pt idx="100">
                  <c:v>34789</c:v>
                </c:pt>
                <c:pt idx="101">
                  <c:v>34819</c:v>
                </c:pt>
                <c:pt idx="102">
                  <c:v>34850</c:v>
                </c:pt>
                <c:pt idx="103">
                  <c:v>34880</c:v>
                </c:pt>
                <c:pt idx="104">
                  <c:v>34911</c:v>
                </c:pt>
                <c:pt idx="105">
                  <c:v>34942</c:v>
                </c:pt>
                <c:pt idx="106">
                  <c:v>34972</c:v>
                </c:pt>
                <c:pt idx="107">
                  <c:v>35003</c:v>
                </c:pt>
                <c:pt idx="108">
                  <c:v>35033</c:v>
                </c:pt>
                <c:pt idx="109">
                  <c:v>35064</c:v>
                </c:pt>
                <c:pt idx="110">
                  <c:v>35095</c:v>
                </c:pt>
                <c:pt idx="111">
                  <c:v>35124</c:v>
                </c:pt>
                <c:pt idx="112">
                  <c:v>35155</c:v>
                </c:pt>
                <c:pt idx="113">
                  <c:v>35185</c:v>
                </c:pt>
                <c:pt idx="114">
                  <c:v>35216</c:v>
                </c:pt>
                <c:pt idx="115">
                  <c:v>35246</c:v>
                </c:pt>
                <c:pt idx="116">
                  <c:v>35277</c:v>
                </c:pt>
                <c:pt idx="117">
                  <c:v>35308</c:v>
                </c:pt>
                <c:pt idx="118">
                  <c:v>35338</c:v>
                </c:pt>
                <c:pt idx="119">
                  <c:v>35369</c:v>
                </c:pt>
                <c:pt idx="120">
                  <c:v>35399</c:v>
                </c:pt>
                <c:pt idx="121">
                  <c:v>35430</c:v>
                </c:pt>
                <c:pt idx="122">
                  <c:v>35461</c:v>
                </c:pt>
                <c:pt idx="123">
                  <c:v>35489</c:v>
                </c:pt>
                <c:pt idx="124">
                  <c:v>35520</c:v>
                </c:pt>
                <c:pt idx="125">
                  <c:v>35550</c:v>
                </c:pt>
                <c:pt idx="126">
                  <c:v>35581</c:v>
                </c:pt>
                <c:pt idx="127">
                  <c:v>35611</c:v>
                </c:pt>
                <c:pt idx="128">
                  <c:v>35642</c:v>
                </c:pt>
                <c:pt idx="129">
                  <c:v>35673</c:v>
                </c:pt>
                <c:pt idx="130">
                  <c:v>35703</c:v>
                </c:pt>
                <c:pt idx="131">
                  <c:v>35734</c:v>
                </c:pt>
                <c:pt idx="132">
                  <c:v>35764</c:v>
                </c:pt>
                <c:pt idx="133">
                  <c:v>35795</c:v>
                </c:pt>
                <c:pt idx="134">
                  <c:v>35826</c:v>
                </c:pt>
                <c:pt idx="135">
                  <c:v>35854</c:v>
                </c:pt>
                <c:pt idx="136">
                  <c:v>35885</c:v>
                </c:pt>
                <c:pt idx="137">
                  <c:v>35915</c:v>
                </c:pt>
                <c:pt idx="138">
                  <c:v>35946</c:v>
                </c:pt>
                <c:pt idx="139">
                  <c:v>35976</c:v>
                </c:pt>
                <c:pt idx="140">
                  <c:v>36007</c:v>
                </c:pt>
                <c:pt idx="141">
                  <c:v>36038</c:v>
                </c:pt>
                <c:pt idx="142">
                  <c:v>36068</c:v>
                </c:pt>
                <c:pt idx="143">
                  <c:v>36099</c:v>
                </c:pt>
                <c:pt idx="144">
                  <c:v>36129</c:v>
                </c:pt>
                <c:pt idx="145">
                  <c:v>36160</c:v>
                </c:pt>
                <c:pt idx="146">
                  <c:v>36191</c:v>
                </c:pt>
                <c:pt idx="147">
                  <c:v>36219</c:v>
                </c:pt>
                <c:pt idx="148">
                  <c:v>36250</c:v>
                </c:pt>
                <c:pt idx="149">
                  <c:v>36280</c:v>
                </c:pt>
                <c:pt idx="150">
                  <c:v>36311</c:v>
                </c:pt>
                <c:pt idx="151">
                  <c:v>36341</c:v>
                </c:pt>
                <c:pt idx="152">
                  <c:v>36372</c:v>
                </c:pt>
                <c:pt idx="153">
                  <c:v>36403</c:v>
                </c:pt>
                <c:pt idx="154">
                  <c:v>36433</c:v>
                </c:pt>
                <c:pt idx="155">
                  <c:v>36464</c:v>
                </c:pt>
                <c:pt idx="156">
                  <c:v>36494</c:v>
                </c:pt>
                <c:pt idx="157">
                  <c:v>36525</c:v>
                </c:pt>
                <c:pt idx="158">
                  <c:v>36556</c:v>
                </c:pt>
                <c:pt idx="159">
                  <c:v>36585</c:v>
                </c:pt>
                <c:pt idx="160">
                  <c:v>36616</c:v>
                </c:pt>
                <c:pt idx="161">
                  <c:v>36646</c:v>
                </c:pt>
                <c:pt idx="162">
                  <c:v>36677</c:v>
                </c:pt>
                <c:pt idx="163">
                  <c:v>36707</c:v>
                </c:pt>
                <c:pt idx="164">
                  <c:v>36738</c:v>
                </c:pt>
                <c:pt idx="165">
                  <c:v>36769</c:v>
                </c:pt>
                <c:pt idx="166">
                  <c:v>36799</c:v>
                </c:pt>
                <c:pt idx="167">
                  <c:v>36830</c:v>
                </c:pt>
                <c:pt idx="168">
                  <c:v>36860</c:v>
                </c:pt>
                <c:pt idx="169">
                  <c:v>36891</c:v>
                </c:pt>
                <c:pt idx="170">
                  <c:v>36922</c:v>
                </c:pt>
                <c:pt idx="171">
                  <c:v>36950</c:v>
                </c:pt>
                <c:pt idx="172">
                  <c:v>36981</c:v>
                </c:pt>
                <c:pt idx="173">
                  <c:v>37011</c:v>
                </c:pt>
                <c:pt idx="174">
                  <c:v>37042</c:v>
                </c:pt>
                <c:pt idx="175">
                  <c:v>37072</c:v>
                </c:pt>
                <c:pt idx="176">
                  <c:v>37103</c:v>
                </c:pt>
                <c:pt idx="177">
                  <c:v>37134</c:v>
                </c:pt>
                <c:pt idx="178">
                  <c:v>37164</c:v>
                </c:pt>
                <c:pt idx="179">
                  <c:v>37195</c:v>
                </c:pt>
                <c:pt idx="180">
                  <c:v>37225</c:v>
                </c:pt>
                <c:pt idx="181">
                  <c:v>37256</c:v>
                </c:pt>
                <c:pt idx="182">
                  <c:v>37287</c:v>
                </c:pt>
                <c:pt idx="183">
                  <c:v>37315</c:v>
                </c:pt>
                <c:pt idx="184">
                  <c:v>37346</c:v>
                </c:pt>
                <c:pt idx="185">
                  <c:v>37376</c:v>
                </c:pt>
                <c:pt idx="186">
                  <c:v>37407</c:v>
                </c:pt>
                <c:pt idx="187">
                  <c:v>37437</c:v>
                </c:pt>
                <c:pt idx="188">
                  <c:v>37468</c:v>
                </c:pt>
                <c:pt idx="189">
                  <c:v>37499</c:v>
                </c:pt>
                <c:pt idx="190">
                  <c:v>37529</c:v>
                </c:pt>
                <c:pt idx="191">
                  <c:v>37560</c:v>
                </c:pt>
                <c:pt idx="192">
                  <c:v>37590</c:v>
                </c:pt>
                <c:pt idx="193">
                  <c:v>37621</c:v>
                </c:pt>
                <c:pt idx="194">
                  <c:v>37652</c:v>
                </c:pt>
                <c:pt idx="195">
                  <c:v>37680</c:v>
                </c:pt>
                <c:pt idx="196">
                  <c:v>37711</c:v>
                </c:pt>
                <c:pt idx="197">
                  <c:v>37741</c:v>
                </c:pt>
                <c:pt idx="198">
                  <c:v>37772</c:v>
                </c:pt>
                <c:pt idx="199">
                  <c:v>37802</c:v>
                </c:pt>
                <c:pt idx="200">
                  <c:v>37833</c:v>
                </c:pt>
                <c:pt idx="201">
                  <c:v>37864</c:v>
                </c:pt>
                <c:pt idx="202">
                  <c:v>37894</c:v>
                </c:pt>
                <c:pt idx="203">
                  <c:v>37925</c:v>
                </c:pt>
                <c:pt idx="204">
                  <c:v>37955</c:v>
                </c:pt>
                <c:pt idx="205">
                  <c:v>37986</c:v>
                </c:pt>
                <c:pt idx="206">
                  <c:v>38017</c:v>
                </c:pt>
                <c:pt idx="207">
                  <c:v>38046</c:v>
                </c:pt>
                <c:pt idx="208">
                  <c:v>38077</c:v>
                </c:pt>
                <c:pt idx="209">
                  <c:v>38107</c:v>
                </c:pt>
                <c:pt idx="210">
                  <c:v>38138</c:v>
                </c:pt>
                <c:pt idx="211">
                  <c:v>38168</c:v>
                </c:pt>
                <c:pt idx="212">
                  <c:v>38199</c:v>
                </c:pt>
                <c:pt idx="213">
                  <c:v>38230</c:v>
                </c:pt>
                <c:pt idx="214">
                  <c:v>38260</c:v>
                </c:pt>
                <c:pt idx="215">
                  <c:v>38291</c:v>
                </c:pt>
                <c:pt idx="216">
                  <c:v>38321</c:v>
                </c:pt>
                <c:pt idx="217">
                  <c:v>38352</c:v>
                </c:pt>
                <c:pt idx="218">
                  <c:v>38383</c:v>
                </c:pt>
                <c:pt idx="219">
                  <c:v>38411</c:v>
                </c:pt>
                <c:pt idx="220">
                  <c:v>38442</c:v>
                </c:pt>
                <c:pt idx="221">
                  <c:v>38472</c:v>
                </c:pt>
                <c:pt idx="222">
                  <c:v>38503</c:v>
                </c:pt>
                <c:pt idx="223">
                  <c:v>38533</c:v>
                </c:pt>
                <c:pt idx="224">
                  <c:v>38564</c:v>
                </c:pt>
                <c:pt idx="225">
                  <c:v>38595</c:v>
                </c:pt>
                <c:pt idx="226">
                  <c:v>38625</c:v>
                </c:pt>
                <c:pt idx="227">
                  <c:v>38656</c:v>
                </c:pt>
                <c:pt idx="228">
                  <c:v>38686</c:v>
                </c:pt>
                <c:pt idx="229">
                  <c:v>38717</c:v>
                </c:pt>
                <c:pt idx="230">
                  <c:v>38748</c:v>
                </c:pt>
                <c:pt idx="231">
                  <c:v>38776</c:v>
                </c:pt>
                <c:pt idx="232">
                  <c:v>38807</c:v>
                </c:pt>
                <c:pt idx="233">
                  <c:v>38837</c:v>
                </c:pt>
                <c:pt idx="234">
                  <c:v>38868</c:v>
                </c:pt>
                <c:pt idx="235">
                  <c:v>38898</c:v>
                </c:pt>
                <c:pt idx="236">
                  <c:v>38929</c:v>
                </c:pt>
                <c:pt idx="237">
                  <c:v>38960</c:v>
                </c:pt>
                <c:pt idx="238">
                  <c:v>38990</c:v>
                </c:pt>
                <c:pt idx="239">
                  <c:v>39021</c:v>
                </c:pt>
                <c:pt idx="240">
                  <c:v>39051</c:v>
                </c:pt>
                <c:pt idx="241">
                  <c:v>39082</c:v>
                </c:pt>
                <c:pt idx="242">
                  <c:v>39113</c:v>
                </c:pt>
                <c:pt idx="243">
                  <c:v>39141</c:v>
                </c:pt>
                <c:pt idx="244">
                  <c:v>39172</c:v>
                </c:pt>
                <c:pt idx="245">
                  <c:v>39202</c:v>
                </c:pt>
                <c:pt idx="246">
                  <c:v>39233</c:v>
                </c:pt>
                <c:pt idx="247">
                  <c:v>39263</c:v>
                </c:pt>
                <c:pt idx="248">
                  <c:v>39294</c:v>
                </c:pt>
                <c:pt idx="249">
                  <c:v>39325</c:v>
                </c:pt>
                <c:pt idx="250">
                  <c:v>39355</c:v>
                </c:pt>
                <c:pt idx="251">
                  <c:v>39386</c:v>
                </c:pt>
                <c:pt idx="252">
                  <c:v>39416</c:v>
                </c:pt>
                <c:pt idx="253">
                  <c:v>39447</c:v>
                </c:pt>
                <c:pt idx="254">
                  <c:v>39478</c:v>
                </c:pt>
                <c:pt idx="255">
                  <c:v>39507</c:v>
                </c:pt>
                <c:pt idx="256">
                  <c:v>39538</c:v>
                </c:pt>
                <c:pt idx="257">
                  <c:v>39568</c:v>
                </c:pt>
                <c:pt idx="258">
                  <c:v>39599</c:v>
                </c:pt>
                <c:pt idx="259">
                  <c:v>39629</c:v>
                </c:pt>
                <c:pt idx="260">
                  <c:v>39660</c:v>
                </c:pt>
                <c:pt idx="261">
                  <c:v>39691</c:v>
                </c:pt>
                <c:pt idx="262">
                  <c:v>39721</c:v>
                </c:pt>
                <c:pt idx="263">
                  <c:v>39752</c:v>
                </c:pt>
                <c:pt idx="264">
                  <c:v>39782</c:v>
                </c:pt>
                <c:pt idx="265">
                  <c:v>39813</c:v>
                </c:pt>
                <c:pt idx="266">
                  <c:v>39844</c:v>
                </c:pt>
                <c:pt idx="267">
                  <c:v>39872</c:v>
                </c:pt>
                <c:pt idx="268">
                  <c:v>39903</c:v>
                </c:pt>
                <c:pt idx="269">
                  <c:v>39933</c:v>
                </c:pt>
                <c:pt idx="270">
                  <c:v>39964</c:v>
                </c:pt>
                <c:pt idx="271">
                  <c:v>39994</c:v>
                </c:pt>
                <c:pt idx="272">
                  <c:v>40025</c:v>
                </c:pt>
                <c:pt idx="273">
                  <c:v>40056</c:v>
                </c:pt>
                <c:pt idx="274">
                  <c:v>40086</c:v>
                </c:pt>
                <c:pt idx="275">
                  <c:v>40117</c:v>
                </c:pt>
                <c:pt idx="276">
                  <c:v>40147</c:v>
                </c:pt>
                <c:pt idx="277">
                  <c:v>40178</c:v>
                </c:pt>
                <c:pt idx="278">
                  <c:v>40209</c:v>
                </c:pt>
                <c:pt idx="279">
                  <c:v>40237</c:v>
                </c:pt>
                <c:pt idx="280">
                  <c:v>40268</c:v>
                </c:pt>
                <c:pt idx="281">
                  <c:v>40298</c:v>
                </c:pt>
                <c:pt idx="282">
                  <c:v>40329</c:v>
                </c:pt>
                <c:pt idx="283">
                  <c:v>40359</c:v>
                </c:pt>
                <c:pt idx="284">
                  <c:v>40390</c:v>
                </c:pt>
                <c:pt idx="285">
                  <c:v>40421</c:v>
                </c:pt>
                <c:pt idx="286">
                  <c:v>40451</c:v>
                </c:pt>
                <c:pt idx="287">
                  <c:v>40482</c:v>
                </c:pt>
                <c:pt idx="288">
                  <c:v>40512</c:v>
                </c:pt>
                <c:pt idx="289">
                  <c:v>40543</c:v>
                </c:pt>
                <c:pt idx="290">
                  <c:v>40574</c:v>
                </c:pt>
                <c:pt idx="291">
                  <c:v>40602</c:v>
                </c:pt>
                <c:pt idx="292">
                  <c:v>40633</c:v>
                </c:pt>
                <c:pt idx="293">
                  <c:v>40663</c:v>
                </c:pt>
                <c:pt idx="294">
                  <c:v>40694</c:v>
                </c:pt>
                <c:pt idx="295">
                  <c:v>40724</c:v>
                </c:pt>
                <c:pt idx="296">
                  <c:v>40755</c:v>
                </c:pt>
                <c:pt idx="297">
                  <c:v>40786</c:v>
                </c:pt>
                <c:pt idx="298">
                  <c:v>40816</c:v>
                </c:pt>
                <c:pt idx="299">
                  <c:v>40847</c:v>
                </c:pt>
                <c:pt idx="300">
                  <c:v>40877</c:v>
                </c:pt>
                <c:pt idx="301">
                  <c:v>40908</c:v>
                </c:pt>
                <c:pt idx="302">
                  <c:v>40939</c:v>
                </c:pt>
                <c:pt idx="303">
                  <c:v>40968</c:v>
                </c:pt>
                <c:pt idx="304">
                  <c:v>40999</c:v>
                </c:pt>
                <c:pt idx="305">
                  <c:v>41029</c:v>
                </c:pt>
                <c:pt idx="306">
                  <c:v>41060</c:v>
                </c:pt>
                <c:pt idx="307">
                  <c:v>41090</c:v>
                </c:pt>
                <c:pt idx="308">
                  <c:v>41121</c:v>
                </c:pt>
                <c:pt idx="309">
                  <c:v>41152</c:v>
                </c:pt>
                <c:pt idx="310">
                  <c:v>41182</c:v>
                </c:pt>
                <c:pt idx="311">
                  <c:v>41213</c:v>
                </c:pt>
                <c:pt idx="312">
                  <c:v>41243</c:v>
                </c:pt>
                <c:pt idx="313">
                  <c:v>41274</c:v>
                </c:pt>
                <c:pt idx="314">
                  <c:v>41305</c:v>
                </c:pt>
                <c:pt idx="315">
                  <c:v>41333</c:v>
                </c:pt>
                <c:pt idx="316">
                  <c:v>41364</c:v>
                </c:pt>
                <c:pt idx="317">
                  <c:v>41394</c:v>
                </c:pt>
                <c:pt idx="318">
                  <c:v>41425</c:v>
                </c:pt>
                <c:pt idx="319">
                  <c:v>41455</c:v>
                </c:pt>
                <c:pt idx="320">
                  <c:v>41486</c:v>
                </c:pt>
                <c:pt idx="321">
                  <c:v>41517</c:v>
                </c:pt>
                <c:pt idx="322">
                  <c:v>41547</c:v>
                </c:pt>
                <c:pt idx="323">
                  <c:v>41578</c:v>
                </c:pt>
                <c:pt idx="324">
                  <c:v>41608</c:v>
                </c:pt>
                <c:pt idx="325">
                  <c:v>41639</c:v>
                </c:pt>
                <c:pt idx="326">
                  <c:v>41670</c:v>
                </c:pt>
                <c:pt idx="327">
                  <c:v>41698</c:v>
                </c:pt>
                <c:pt idx="328">
                  <c:v>41729</c:v>
                </c:pt>
                <c:pt idx="329">
                  <c:v>41759</c:v>
                </c:pt>
                <c:pt idx="330">
                  <c:v>41790</c:v>
                </c:pt>
                <c:pt idx="331">
                  <c:v>41820</c:v>
                </c:pt>
                <c:pt idx="332">
                  <c:v>41851</c:v>
                </c:pt>
                <c:pt idx="333">
                  <c:v>41882</c:v>
                </c:pt>
                <c:pt idx="334">
                  <c:v>41912</c:v>
                </c:pt>
                <c:pt idx="335">
                  <c:v>41943</c:v>
                </c:pt>
                <c:pt idx="336">
                  <c:v>41973</c:v>
                </c:pt>
                <c:pt idx="337">
                  <c:v>42004</c:v>
                </c:pt>
                <c:pt idx="338">
                  <c:v>42035</c:v>
                </c:pt>
                <c:pt idx="339">
                  <c:v>42063</c:v>
                </c:pt>
                <c:pt idx="340">
                  <c:v>42094</c:v>
                </c:pt>
                <c:pt idx="341">
                  <c:v>42124</c:v>
                </c:pt>
                <c:pt idx="342">
                  <c:v>42155</c:v>
                </c:pt>
                <c:pt idx="343">
                  <c:v>42185</c:v>
                </c:pt>
                <c:pt idx="344">
                  <c:v>42216</c:v>
                </c:pt>
                <c:pt idx="345">
                  <c:v>42247</c:v>
                </c:pt>
                <c:pt idx="346">
                  <c:v>42277</c:v>
                </c:pt>
                <c:pt idx="347">
                  <c:v>42308</c:v>
                </c:pt>
                <c:pt idx="348">
                  <c:v>42338</c:v>
                </c:pt>
                <c:pt idx="349">
                  <c:v>42369</c:v>
                </c:pt>
                <c:pt idx="350">
                  <c:v>42400</c:v>
                </c:pt>
                <c:pt idx="351">
                  <c:v>42429</c:v>
                </c:pt>
                <c:pt idx="352">
                  <c:v>42460</c:v>
                </c:pt>
                <c:pt idx="353">
                  <c:v>42490</c:v>
                </c:pt>
                <c:pt idx="354">
                  <c:v>42521</c:v>
                </c:pt>
                <c:pt idx="355">
                  <c:v>42551</c:v>
                </c:pt>
                <c:pt idx="356">
                  <c:v>42582</c:v>
                </c:pt>
                <c:pt idx="357">
                  <c:v>42613</c:v>
                </c:pt>
                <c:pt idx="358">
                  <c:v>42643</c:v>
                </c:pt>
                <c:pt idx="359">
                  <c:v>42674</c:v>
                </c:pt>
                <c:pt idx="360">
                  <c:v>42704</c:v>
                </c:pt>
                <c:pt idx="361">
                  <c:v>42735</c:v>
                </c:pt>
                <c:pt idx="362">
                  <c:v>42766</c:v>
                </c:pt>
                <c:pt idx="363">
                  <c:v>42794</c:v>
                </c:pt>
                <c:pt idx="364">
                  <c:v>42825</c:v>
                </c:pt>
                <c:pt idx="365">
                  <c:v>42855</c:v>
                </c:pt>
                <c:pt idx="366">
                  <c:v>42886</c:v>
                </c:pt>
                <c:pt idx="367">
                  <c:v>42916</c:v>
                </c:pt>
                <c:pt idx="368">
                  <c:v>42947</c:v>
                </c:pt>
                <c:pt idx="369">
                  <c:v>42978</c:v>
                </c:pt>
                <c:pt idx="370">
                  <c:v>43008</c:v>
                </c:pt>
                <c:pt idx="371">
                  <c:v>43039</c:v>
                </c:pt>
                <c:pt idx="372">
                  <c:v>43069</c:v>
                </c:pt>
                <c:pt idx="373">
                  <c:v>43100</c:v>
                </c:pt>
                <c:pt idx="374">
                  <c:v>43131</c:v>
                </c:pt>
                <c:pt idx="375">
                  <c:v>43159</c:v>
                </c:pt>
                <c:pt idx="376">
                  <c:v>43190</c:v>
                </c:pt>
                <c:pt idx="377">
                  <c:v>43220</c:v>
                </c:pt>
                <c:pt idx="378">
                  <c:v>43251</c:v>
                </c:pt>
                <c:pt idx="379">
                  <c:v>43281</c:v>
                </c:pt>
                <c:pt idx="380">
                  <c:v>43312</c:v>
                </c:pt>
                <c:pt idx="381">
                  <c:v>43343</c:v>
                </c:pt>
                <c:pt idx="382">
                  <c:v>43373</c:v>
                </c:pt>
                <c:pt idx="383">
                  <c:v>43404</c:v>
                </c:pt>
                <c:pt idx="384">
                  <c:v>43434</c:v>
                </c:pt>
                <c:pt idx="385">
                  <c:v>43465</c:v>
                </c:pt>
                <c:pt idx="386">
                  <c:v>43496</c:v>
                </c:pt>
                <c:pt idx="387">
                  <c:v>43524</c:v>
                </c:pt>
                <c:pt idx="388">
                  <c:v>43555</c:v>
                </c:pt>
                <c:pt idx="389">
                  <c:v>43585</c:v>
                </c:pt>
                <c:pt idx="390">
                  <c:v>43616</c:v>
                </c:pt>
                <c:pt idx="391">
                  <c:v>43646</c:v>
                </c:pt>
                <c:pt idx="392">
                  <c:v>43677</c:v>
                </c:pt>
                <c:pt idx="393">
                  <c:v>43708</c:v>
                </c:pt>
                <c:pt idx="394">
                  <c:v>43738</c:v>
                </c:pt>
                <c:pt idx="395">
                  <c:v>43769</c:v>
                </c:pt>
                <c:pt idx="396">
                  <c:v>43799</c:v>
                </c:pt>
                <c:pt idx="397">
                  <c:v>43830</c:v>
                </c:pt>
                <c:pt idx="398">
                  <c:v>43861</c:v>
                </c:pt>
                <c:pt idx="399">
                  <c:v>43890</c:v>
                </c:pt>
                <c:pt idx="400">
                  <c:v>43921</c:v>
                </c:pt>
                <c:pt idx="401">
                  <c:v>43951</c:v>
                </c:pt>
                <c:pt idx="402">
                  <c:v>43982</c:v>
                </c:pt>
                <c:pt idx="403">
                  <c:v>44012</c:v>
                </c:pt>
                <c:pt idx="404">
                  <c:v>44043</c:v>
                </c:pt>
                <c:pt idx="405">
                  <c:v>44074</c:v>
                </c:pt>
                <c:pt idx="406">
                  <c:v>44104</c:v>
                </c:pt>
                <c:pt idx="407">
                  <c:v>44135</c:v>
                </c:pt>
                <c:pt idx="408">
                  <c:v>44165</c:v>
                </c:pt>
                <c:pt idx="409">
                  <c:v>44196</c:v>
                </c:pt>
                <c:pt idx="410">
                  <c:v>44227</c:v>
                </c:pt>
                <c:pt idx="411">
                  <c:v>44255</c:v>
                </c:pt>
                <c:pt idx="412">
                  <c:v>44286</c:v>
                </c:pt>
                <c:pt idx="413">
                  <c:v>44316</c:v>
                </c:pt>
                <c:pt idx="414">
                  <c:v>44347</c:v>
                </c:pt>
                <c:pt idx="415">
                  <c:v>44377</c:v>
                </c:pt>
                <c:pt idx="416">
                  <c:v>44408</c:v>
                </c:pt>
                <c:pt idx="417">
                  <c:v>44439</c:v>
                </c:pt>
                <c:pt idx="418">
                  <c:v>44469</c:v>
                </c:pt>
                <c:pt idx="419">
                  <c:v>44500</c:v>
                </c:pt>
                <c:pt idx="420">
                  <c:v>44530</c:v>
                </c:pt>
                <c:pt idx="421">
                  <c:v>44561</c:v>
                </c:pt>
                <c:pt idx="422">
                  <c:v>44592</c:v>
                </c:pt>
                <c:pt idx="423">
                  <c:v>44620</c:v>
                </c:pt>
                <c:pt idx="424">
                  <c:v>44651</c:v>
                </c:pt>
                <c:pt idx="425">
                  <c:v>44681</c:v>
                </c:pt>
                <c:pt idx="426">
                  <c:v>44712</c:v>
                </c:pt>
                <c:pt idx="427">
                  <c:v>44742</c:v>
                </c:pt>
                <c:pt idx="428">
                  <c:v>44773</c:v>
                </c:pt>
                <c:pt idx="429">
                  <c:v>44804</c:v>
                </c:pt>
                <c:pt idx="430">
                  <c:v>44834</c:v>
                </c:pt>
                <c:pt idx="431">
                  <c:v>44865</c:v>
                </c:pt>
                <c:pt idx="432">
                  <c:v>44895</c:v>
                </c:pt>
                <c:pt idx="433">
                  <c:v>44926</c:v>
                </c:pt>
                <c:pt idx="434">
                  <c:v>44957</c:v>
                </c:pt>
                <c:pt idx="435">
                  <c:v>44985</c:v>
                </c:pt>
                <c:pt idx="436">
                  <c:v>45016</c:v>
                </c:pt>
                <c:pt idx="437">
                  <c:v>45046</c:v>
                </c:pt>
                <c:pt idx="438">
                  <c:v>45077</c:v>
                </c:pt>
                <c:pt idx="439">
                  <c:v>45107</c:v>
                </c:pt>
                <c:pt idx="440">
                  <c:v>45138</c:v>
                </c:pt>
                <c:pt idx="441">
                  <c:v>45169</c:v>
                </c:pt>
                <c:pt idx="442">
                  <c:v>45199</c:v>
                </c:pt>
                <c:pt idx="443">
                  <c:v>45230</c:v>
                </c:pt>
                <c:pt idx="444">
                  <c:v>45260</c:v>
                </c:pt>
                <c:pt idx="445">
                  <c:v>45291</c:v>
                </c:pt>
                <c:pt idx="446">
                  <c:v>45322</c:v>
                </c:pt>
                <c:pt idx="447">
                  <c:v>45351</c:v>
                </c:pt>
                <c:pt idx="448">
                  <c:v>45382</c:v>
                </c:pt>
                <c:pt idx="449">
                  <c:v>45412</c:v>
                </c:pt>
                <c:pt idx="450">
                  <c:v>45443</c:v>
                </c:pt>
                <c:pt idx="451">
                  <c:v>45473</c:v>
                </c:pt>
                <c:pt idx="452">
                  <c:v>45504</c:v>
                </c:pt>
                <c:pt idx="453">
                  <c:v>45535</c:v>
                </c:pt>
                <c:pt idx="454">
                  <c:v>45565</c:v>
                </c:pt>
                <c:pt idx="455">
                  <c:v>45596</c:v>
                </c:pt>
                <c:pt idx="456">
                  <c:v>45626</c:v>
                </c:pt>
                <c:pt idx="457">
                  <c:v>45657</c:v>
                </c:pt>
                <c:pt idx="458">
                  <c:v>45688</c:v>
                </c:pt>
                <c:pt idx="459">
                  <c:v>45716</c:v>
                </c:pt>
                <c:pt idx="460">
                  <c:v>45747</c:v>
                </c:pt>
                <c:pt idx="461">
                  <c:v>45777</c:v>
                </c:pt>
                <c:pt idx="462">
                  <c:v>45808</c:v>
                </c:pt>
                <c:pt idx="463">
                  <c:v>45838</c:v>
                </c:pt>
                <c:pt idx="464">
                  <c:v>45869</c:v>
                </c:pt>
                <c:pt idx="465">
                  <c:v>45900</c:v>
                </c:pt>
                <c:pt idx="466">
                  <c:v>45930</c:v>
                </c:pt>
                <c:pt idx="467">
                  <c:v>45961</c:v>
                </c:pt>
                <c:pt idx="468">
                  <c:v>45991</c:v>
                </c:pt>
                <c:pt idx="469">
                  <c:v>46022</c:v>
                </c:pt>
                <c:pt idx="470">
                  <c:v>46053</c:v>
                </c:pt>
                <c:pt idx="471">
                  <c:v>46081</c:v>
                </c:pt>
                <c:pt idx="472">
                  <c:v>46112</c:v>
                </c:pt>
                <c:pt idx="473">
                  <c:v>46142</c:v>
                </c:pt>
                <c:pt idx="474">
                  <c:v>46173</c:v>
                </c:pt>
                <c:pt idx="475">
                  <c:v>46203</c:v>
                </c:pt>
                <c:pt idx="476">
                  <c:v>46234</c:v>
                </c:pt>
                <c:pt idx="477">
                  <c:v>46265</c:v>
                </c:pt>
                <c:pt idx="478">
                  <c:v>46295</c:v>
                </c:pt>
              </c:numCache>
            </c:numRef>
          </c:xVal>
          <c:yVal>
            <c:numRef>
              <c:f>'Base Rating 2'!$M$2:$M$480</c:f>
              <c:numCache>
                <c:formatCode>General</c:formatCode>
                <c:ptCount val="4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9</c:v>
                </c:pt>
                <c:pt idx="236">
                  <c:v>9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13</c:v>
                </c:pt>
                <c:pt idx="348">
                  <c:v>13</c:v>
                </c:pt>
                <c:pt idx="349">
                  <c:v>13</c:v>
                </c:pt>
                <c:pt idx="350">
                  <c:v>13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10</c:v>
                </c:pt>
                <c:pt idx="377">
                  <c:v>10</c:v>
                </c:pt>
                <c:pt idx="378">
                  <c:v>10</c:v>
                </c:pt>
                <c:pt idx="379">
                  <c:v>10</c:v>
                </c:pt>
                <c:pt idx="380">
                  <c:v>10</c:v>
                </c:pt>
                <c:pt idx="381">
                  <c:v>10</c:v>
                </c:pt>
                <c:pt idx="382">
                  <c:v>10</c:v>
                </c:pt>
                <c:pt idx="383">
                  <c:v>10</c:v>
                </c:pt>
                <c:pt idx="384">
                  <c:v>10</c:v>
                </c:pt>
                <c:pt idx="385">
                  <c:v>10</c:v>
                </c:pt>
                <c:pt idx="386">
                  <c:v>10</c:v>
                </c:pt>
                <c:pt idx="387">
                  <c:v>10</c:v>
                </c:pt>
                <c:pt idx="388">
                  <c:v>10</c:v>
                </c:pt>
                <c:pt idx="389">
                  <c:v>10</c:v>
                </c:pt>
                <c:pt idx="390">
                  <c:v>10</c:v>
                </c:pt>
                <c:pt idx="391">
                  <c:v>10</c:v>
                </c:pt>
                <c:pt idx="392">
                  <c:v>10</c:v>
                </c:pt>
                <c:pt idx="393">
                  <c:v>10</c:v>
                </c:pt>
                <c:pt idx="394">
                  <c:v>10</c:v>
                </c:pt>
                <c:pt idx="395">
                  <c:v>10</c:v>
                </c:pt>
                <c:pt idx="396">
                  <c:v>10</c:v>
                </c:pt>
                <c:pt idx="397">
                  <c:v>10</c:v>
                </c:pt>
                <c:pt idx="398">
                  <c:v>10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10</c:v>
                </c:pt>
                <c:pt idx="406">
                  <c:v>10</c:v>
                </c:pt>
                <c:pt idx="407">
                  <c:v>10</c:v>
                </c:pt>
                <c:pt idx="408">
                  <c:v>10</c:v>
                </c:pt>
                <c:pt idx="409">
                  <c:v>10</c:v>
                </c:pt>
                <c:pt idx="410">
                  <c:v>10</c:v>
                </c:pt>
                <c:pt idx="411">
                  <c:v>10</c:v>
                </c:pt>
                <c:pt idx="412">
                  <c:v>10</c:v>
                </c:pt>
                <c:pt idx="413">
                  <c:v>10</c:v>
                </c:pt>
                <c:pt idx="414">
                  <c:v>10</c:v>
                </c:pt>
                <c:pt idx="415">
                  <c:v>10</c:v>
                </c:pt>
                <c:pt idx="416">
                  <c:v>10</c:v>
                </c:pt>
                <c:pt idx="417">
                  <c:v>10</c:v>
                </c:pt>
                <c:pt idx="418">
                  <c:v>10</c:v>
                </c:pt>
                <c:pt idx="419">
                  <c:v>10</c:v>
                </c:pt>
                <c:pt idx="420">
                  <c:v>10</c:v>
                </c:pt>
                <c:pt idx="421">
                  <c:v>10</c:v>
                </c:pt>
                <c:pt idx="422">
                  <c:v>10</c:v>
                </c:pt>
                <c:pt idx="423">
                  <c:v>10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10</c:v>
                </c:pt>
                <c:pt idx="428">
                  <c:v>10</c:v>
                </c:pt>
                <c:pt idx="429">
                  <c:v>10</c:v>
                </c:pt>
                <c:pt idx="430">
                  <c:v>10</c:v>
                </c:pt>
                <c:pt idx="431">
                  <c:v>10</c:v>
                </c:pt>
                <c:pt idx="432">
                  <c:v>10</c:v>
                </c:pt>
                <c:pt idx="433">
                  <c:v>10</c:v>
                </c:pt>
                <c:pt idx="434">
                  <c:v>10</c:v>
                </c:pt>
                <c:pt idx="435">
                  <c:v>10</c:v>
                </c:pt>
                <c:pt idx="436">
                  <c:v>10</c:v>
                </c:pt>
                <c:pt idx="437">
                  <c:v>10</c:v>
                </c:pt>
                <c:pt idx="438">
                  <c:v>10</c:v>
                </c:pt>
                <c:pt idx="439">
                  <c:v>10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</c:v>
                </c:pt>
                <c:pt idx="473">
                  <c:v>11</c:v>
                </c:pt>
                <c:pt idx="474">
                  <c:v>11</c:v>
                </c:pt>
                <c:pt idx="475">
                  <c:v>11</c:v>
                </c:pt>
                <c:pt idx="476">
                  <c:v>11</c:v>
                </c:pt>
                <c:pt idx="477">
                  <c:v>11</c:v>
                </c:pt>
                <c:pt idx="478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98-463E-8378-9D7AC015876C}"/>
            </c:ext>
          </c:extLst>
        </c:ser>
        <c:ser>
          <c:idx val="2"/>
          <c:order val="2"/>
          <c:tx>
            <c:v>Perspectiva positiva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'Base Rating 2'!$S$2:$S$34</c:f>
              <c:numCache>
                <c:formatCode>m/d/yyyy</c:formatCode>
                <c:ptCount val="33"/>
                <c:pt idx="0">
                  <c:v>45807</c:v>
                </c:pt>
                <c:pt idx="1">
                  <c:v>45566</c:v>
                </c:pt>
                <c:pt idx="2">
                  <c:v>45413</c:v>
                </c:pt>
                <c:pt idx="3">
                  <c:v>44663</c:v>
                </c:pt>
                <c:pt idx="4">
                  <c:v>43966</c:v>
                </c:pt>
                <c:pt idx="5">
                  <c:v>43199</c:v>
                </c:pt>
                <c:pt idx="6">
                  <c:v>42881</c:v>
                </c:pt>
                <c:pt idx="7">
                  <c:v>42809</c:v>
                </c:pt>
                <c:pt idx="8">
                  <c:v>42424</c:v>
                </c:pt>
                <c:pt idx="9">
                  <c:v>42227</c:v>
                </c:pt>
                <c:pt idx="10">
                  <c:v>41891</c:v>
                </c:pt>
                <c:pt idx="11">
                  <c:v>41549</c:v>
                </c:pt>
                <c:pt idx="12">
                  <c:v>40714</c:v>
                </c:pt>
                <c:pt idx="13">
                  <c:v>40078</c:v>
                </c:pt>
                <c:pt idx="14">
                  <c:v>40000</c:v>
                </c:pt>
                <c:pt idx="15">
                  <c:v>39295</c:v>
                </c:pt>
                <c:pt idx="16">
                  <c:v>39226</c:v>
                </c:pt>
                <c:pt idx="17">
                  <c:v>38960</c:v>
                </c:pt>
                <c:pt idx="18">
                  <c:v>38930</c:v>
                </c:pt>
                <c:pt idx="19">
                  <c:v>38636</c:v>
                </c:pt>
                <c:pt idx="20">
                  <c:v>38364</c:v>
                </c:pt>
                <c:pt idx="21">
                  <c:v>38239</c:v>
                </c:pt>
                <c:pt idx="22">
                  <c:v>37489</c:v>
                </c:pt>
                <c:pt idx="23">
                  <c:v>37427</c:v>
                </c:pt>
                <c:pt idx="24">
                  <c:v>37411</c:v>
                </c:pt>
                <c:pt idx="25">
                  <c:v>37314</c:v>
                </c:pt>
                <c:pt idx="26">
                  <c:v>36815</c:v>
                </c:pt>
                <c:pt idx="27">
                  <c:v>36041</c:v>
                </c:pt>
                <c:pt idx="28">
                  <c:v>35496</c:v>
                </c:pt>
                <c:pt idx="29">
                  <c:v>34668</c:v>
                </c:pt>
                <c:pt idx="30">
                  <c:v>34612</c:v>
                </c:pt>
                <c:pt idx="31">
                  <c:v>32598</c:v>
                </c:pt>
                <c:pt idx="32">
                  <c:v>31734</c:v>
                </c:pt>
              </c:numCache>
            </c:numRef>
          </c:xVal>
          <c:yVal>
            <c:numRef>
              <c:f>'Base Rating 2'!$V$2:$V$34</c:f>
              <c:numCache>
                <c:formatCode>General</c:formatCode>
                <c:ptCount val="33"/>
                <c:pt idx="0">
                  <c:v>#N/A</c:v>
                </c:pt>
                <c:pt idx="1">
                  <c:v>11</c:v>
                </c:pt>
                <c:pt idx="2">
                  <c:v>10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</c:v>
                </c:pt>
                <c:pt idx="13">
                  <c:v>12</c:v>
                </c:pt>
                <c:pt idx="14">
                  <c:v>11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9</c:v>
                </c:pt>
                <c:pt idx="20">
                  <c:v>8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8</c:v>
                </c:pt>
                <c:pt idx="26">
                  <c:v>8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7</c:v>
                </c:pt>
                <c:pt idx="31">
                  <c:v>#N/A</c:v>
                </c:pt>
                <c:pt idx="3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98-463E-8378-9D7AC015876C}"/>
            </c:ext>
          </c:extLst>
        </c:ser>
        <c:ser>
          <c:idx val="3"/>
          <c:order val="3"/>
          <c:tx>
            <c:v>Perspectiva estável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 w="9525">
                <a:solidFill>
                  <a:srgbClr val="A6A6A6"/>
                </a:solidFill>
                <a:prstDash val="solid"/>
              </a:ln>
              <a:effectLst/>
            </c:spPr>
          </c:marker>
          <c:xVal>
            <c:numRef>
              <c:f>'Base Rating 2'!$S$2:$S$34</c:f>
              <c:numCache>
                <c:formatCode>m/d/yyyy</c:formatCode>
                <c:ptCount val="33"/>
                <c:pt idx="0">
                  <c:v>45807</c:v>
                </c:pt>
                <c:pt idx="1">
                  <c:v>45566</c:v>
                </c:pt>
                <c:pt idx="2">
                  <c:v>45413</c:v>
                </c:pt>
                <c:pt idx="3">
                  <c:v>44663</c:v>
                </c:pt>
                <c:pt idx="4">
                  <c:v>43966</c:v>
                </c:pt>
                <c:pt idx="5">
                  <c:v>43199</c:v>
                </c:pt>
                <c:pt idx="6">
                  <c:v>42881</c:v>
                </c:pt>
                <c:pt idx="7">
                  <c:v>42809</c:v>
                </c:pt>
                <c:pt idx="8">
                  <c:v>42424</c:v>
                </c:pt>
                <c:pt idx="9">
                  <c:v>42227</c:v>
                </c:pt>
                <c:pt idx="10">
                  <c:v>41891</c:v>
                </c:pt>
                <c:pt idx="11">
                  <c:v>41549</c:v>
                </c:pt>
                <c:pt idx="12">
                  <c:v>40714</c:v>
                </c:pt>
                <c:pt idx="13">
                  <c:v>40078</c:v>
                </c:pt>
                <c:pt idx="14">
                  <c:v>40000</c:v>
                </c:pt>
                <c:pt idx="15">
                  <c:v>39295</c:v>
                </c:pt>
                <c:pt idx="16">
                  <c:v>39226</c:v>
                </c:pt>
                <c:pt idx="17">
                  <c:v>38960</c:v>
                </c:pt>
                <c:pt idx="18">
                  <c:v>38930</c:v>
                </c:pt>
                <c:pt idx="19">
                  <c:v>38636</c:v>
                </c:pt>
                <c:pt idx="20">
                  <c:v>38364</c:v>
                </c:pt>
                <c:pt idx="21">
                  <c:v>38239</c:v>
                </c:pt>
                <c:pt idx="22">
                  <c:v>37489</c:v>
                </c:pt>
                <c:pt idx="23">
                  <c:v>37427</c:v>
                </c:pt>
                <c:pt idx="24">
                  <c:v>37411</c:v>
                </c:pt>
                <c:pt idx="25">
                  <c:v>37314</c:v>
                </c:pt>
                <c:pt idx="26">
                  <c:v>36815</c:v>
                </c:pt>
                <c:pt idx="27">
                  <c:v>36041</c:v>
                </c:pt>
                <c:pt idx="28">
                  <c:v>35496</c:v>
                </c:pt>
                <c:pt idx="29">
                  <c:v>34668</c:v>
                </c:pt>
                <c:pt idx="30">
                  <c:v>34612</c:v>
                </c:pt>
                <c:pt idx="31">
                  <c:v>32598</c:v>
                </c:pt>
                <c:pt idx="32">
                  <c:v>31734</c:v>
                </c:pt>
              </c:numCache>
            </c:numRef>
          </c:xVal>
          <c:yVal>
            <c:numRef>
              <c:f>'Base Rating 2'!$W$2:$W$34</c:f>
              <c:numCache>
                <c:formatCode>General</c:formatCode>
                <c:ptCount val="33"/>
                <c:pt idx="0">
                  <c:v>11</c:v>
                </c:pt>
                <c:pt idx="1">
                  <c:v>#N/A</c:v>
                </c:pt>
                <c:pt idx="2">
                  <c:v>#N/A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#N/A</c:v>
                </c:pt>
                <c:pt idx="7">
                  <c:v>10</c:v>
                </c:pt>
                <c:pt idx="8">
                  <c:v>#N/A</c:v>
                </c:pt>
                <c:pt idx="9">
                  <c:v>12</c:v>
                </c:pt>
                <c:pt idx="10">
                  <c:v>#N/A</c:v>
                </c:pt>
                <c:pt idx="11">
                  <c:v>13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11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#N/A</c:v>
                </c:pt>
                <c:pt idx="20">
                  <c:v>#N/A</c:v>
                </c:pt>
                <c:pt idx="21">
                  <c:v>8</c:v>
                </c:pt>
                <c:pt idx="22">
                  <c:v>7</c:v>
                </c:pt>
                <c:pt idx="23">
                  <c:v>#N/A</c:v>
                </c:pt>
                <c:pt idx="24">
                  <c:v>8</c:v>
                </c:pt>
                <c:pt idx="25">
                  <c:v>#N/A</c:v>
                </c:pt>
                <c:pt idx="26">
                  <c:v>#N/A</c:v>
                </c:pt>
                <c:pt idx="27">
                  <c:v>7</c:v>
                </c:pt>
                <c:pt idx="28">
                  <c:v>8</c:v>
                </c:pt>
                <c:pt idx="29">
                  <c:v>8</c:v>
                </c:pt>
                <c:pt idx="30">
                  <c:v>#N/A</c:v>
                </c:pt>
                <c:pt idx="31">
                  <c:v>7</c:v>
                </c:pt>
                <c:pt idx="3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398-463E-8378-9D7AC015876C}"/>
            </c:ext>
          </c:extLst>
        </c:ser>
        <c:ser>
          <c:idx val="4"/>
          <c:order val="4"/>
          <c:tx>
            <c:v>Perspectiva negativa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'Base Rating 2'!$S$2:$S$34</c:f>
              <c:numCache>
                <c:formatCode>m/d/yyyy</c:formatCode>
                <c:ptCount val="33"/>
                <c:pt idx="0">
                  <c:v>45807</c:v>
                </c:pt>
                <c:pt idx="1">
                  <c:v>45566</c:v>
                </c:pt>
                <c:pt idx="2">
                  <c:v>45413</c:v>
                </c:pt>
                <c:pt idx="3">
                  <c:v>44663</c:v>
                </c:pt>
                <c:pt idx="4">
                  <c:v>43966</c:v>
                </c:pt>
                <c:pt idx="5">
                  <c:v>43199</c:v>
                </c:pt>
                <c:pt idx="6">
                  <c:v>42881</c:v>
                </c:pt>
                <c:pt idx="7">
                  <c:v>42809</c:v>
                </c:pt>
                <c:pt idx="8">
                  <c:v>42424</c:v>
                </c:pt>
                <c:pt idx="9">
                  <c:v>42227</c:v>
                </c:pt>
                <c:pt idx="10">
                  <c:v>41891</c:v>
                </c:pt>
                <c:pt idx="11">
                  <c:v>41549</c:v>
                </c:pt>
                <c:pt idx="12">
                  <c:v>40714</c:v>
                </c:pt>
                <c:pt idx="13">
                  <c:v>40078</c:v>
                </c:pt>
                <c:pt idx="14">
                  <c:v>40000</c:v>
                </c:pt>
                <c:pt idx="15">
                  <c:v>39295</c:v>
                </c:pt>
                <c:pt idx="16">
                  <c:v>39226</c:v>
                </c:pt>
                <c:pt idx="17">
                  <c:v>38960</c:v>
                </c:pt>
                <c:pt idx="18">
                  <c:v>38930</c:v>
                </c:pt>
                <c:pt idx="19">
                  <c:v>38636</c:v>
                </c:pt>
                <c:pt idx="20">
                  <c:v>38364</c:v>
                </c:pt>
                <c:pt idx="21">
                  <c:v>38239</c:v>
                </c:pt>
                <c:pt idx="22">
                  <c:v>37489</c:v>
                </c:pt>
                <c:pt idx="23">
                  <c:v>37427</c:v>
                </c:pt>
                <c:pt idx="24">
                  <c:v>37411</c:v>
                </c:pt>
                <c:pt idx="25">
                  <c:v>37314</c:v>
                </c:pt>
                <c:pt idx="26">
                  <c:v>36815</c:v>
                </c:pt>
                <c:pt idx="27">
                  <c:v>36041</c:v>
                </c:pt>
                <c:pt idx="28">
                  <c:v>35496</c:v>
                </c:pt>
                <c:pt idx="29">
                  <c:v>34668</c:v>
                </c:pt>
                <c:pt idx="30">
                  <c:v>34612</c:v>
                </c:pt>
                <c:pt idx="31">
                  <c:v>32598</c:v>
                </c:pt>
                <c:pt idx="32">
                  <c:v>31734</c:v>
                </c:pt>
              </c:numCache>
            </c:numRef>
          </c:xVal>
          <c:yVal>
            <c:numRef>
              <c:f>'Base Rating 2'!$X$2:$X$34</c:f>
              <c:numCache>
                <c:formatCode>General</c:formatCode>
                <c:ptCount val="3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10</c:v>
                </c:pt>
                <c:pt idx="7">
                  <c:v>#N/A</c:v>
                </c:pt>
                <c:pt idx="8">
                  <c:v>10</c:v>
                </c:pt>
                <c:pt idx="9">
                  <c:v>#N/A</c:v>
                </c:pt>
                <c:pt idx="10">
                  <c:v>13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8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398-463E-8378-9D7AC015876C}"/>
            </c:ext>
          </c:extLst>
        </c:ser>
        <c:ser>
          <c:idx val="5"/>
          <c:order val="5"/>
          <c:tx>
            <c:v>Rótulos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'Base Rating 2'!$AO$2</c:f>
                  <c:strCache>
                    <c:ptCount val="1"/>
                    <c:pt idx="0">
                      <c:v>Caa2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{7DE75B28-D7F5-4ED4-B6DF-902D26B2EC2D}</c15:txfldGUID>
                      <c15:f>'Base Rating 2'!$AO$2</c15:f>
                      <c15:dlblFieldTableCache>
                        <c:ptCount val="1"/>
                        <c:pt idx="0">
                          <c:v>Caa2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B398-463E-8378-9D7AC015876C}"/>
                </c:ext>
              </c:extLst>
            </c:dLbl>
            <c:dLbl>
              <c:idx val="1"/>
              <c:tx>
                <c:strRef>
                  <c:f>'Base Rating 2'!$AO$3</c:f>
                  <c:strCache>
                    <c:ptCount val="1"/>
                    <c:pt idx="0">
                      <c:v>Caa1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{40185E3D-86E5-41FA-8157-D4D891E3B67F}</c15:txfldGUID>
                      <c15:f>'Base Rating 2'!$AO$3</c15:f>
                      <c15:dlblFieldTableCache>
                        <c:ptCount val="1"/>
                        <c:pt idx="0">
                          <c:v>Caa1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B398-463E-8378-9D7AC015876C}"/>
                </c:ext>
              </c:extLst>
            </c:dLbl>
            <c:dLbl>
              <c:idx val="2"/>
              <c:tx>
                <c:strRef>
                  <c:f>'Base Rating 2'!$AO$4</c:f>
                  <c:strCache>
                    <c:ptCount val="1"/>
                    <c:pt idx="0">
                      <c:v>B3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{6AC607B5-55DF-4E43-B642-A8140A283A92}</c15:txfldGUID>
                      <c15:f>'Base Rating 2'!$AO$4</c15:f>
                      <c15:dlblFieldTableCache>
                        <c:ptCount val="1"/>
                        <c:pt idx="0">
                          <c:v>B3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B398-463E-8378-9D7AC015876C}"/>
                </c:ext>
              </c:extLst>
            </c:dLbl>
            <c:dLbl>
              <c:idx val="3"/>
              <c:tx>
                <c:strRef>
                  <c:f>'Base Rating 2'!$AO$5</c:f>
                  <c:strCache>
                    <c:ptCount val="1"/>
                    <c:pt idx="0">
                      <c:v>B2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{BECC4BF9-ED3D-4C22-A98A-03BE2FFA063C}</c15:txfldGUID>
                      <c15:f>'Base Rating 2'!$AO$5</c15:f>
                      <c15:dlblFieldTableCache>
                        <c:ptCount val="1"/>
                        <c:pt idx="0">
                          <c:v>B2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B398-463E-8378-9D7AC015876C}"/>
                </c:ext>
              </c:extLst>
            </c:dLbl>
            <c:dLbl>
              <c:idx val="4"/>
              <c:tx>
                <c:strRef>
                  <c:f>'Base Rating 2'!$AO$6</c:f>
                  <c:strCache>
                    <c:ptCount val="1"/>
                    <c:pt idx="0">
                      <c:v>B1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{8B176178-105A-4CAC-8E41-69C945350B52}</c15:txfldGUID>
                      <c15:f>'Base Rating 2'!$AO$6</c15:f>
                      <c15:dlblFieldTableCache>
                        <c:ptCount val="1"/>
                        <c:pt idx="0">
                          <c:v>B1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B398-463E-8378-9D7AC015876C}"/>
                </c:ext>
              </c:extLst>
            </c:dLbl>
            <c:dLbl>
              <c:idx val="5"/>
              <c:tx>
                <c:strRef>
                  <c:f>'Base Rating 2'!$AO$7</c:f>
                  <c:strCache>
                    <c:ptCount val="1"/>
                    <c:pt idx="0">
                      <c:v>Ba3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{D7C4620D-86A9-4FC8-8851-5BAE020D53C0}</c15:txfldGUID>
                      <c15:f>'Base Rating 2'!$AO$7</c15:f>
                      <c15:dlblFieldTableCache>
                        <c:ptCount val="1"/>
                        <c:pt idx="0">
                          <c:v>Ba3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B398-463E-8378-9D7AC015876C}"/>
                </c:ext>
              </c:extLst>
            </c:dLbl>
            <c:dLbl>
              <c:idx val="6"/>
              <c:tx>
                <c:strRef>
                  <c:f>'Base Rating 2'!$AO$8</c:f>
                  <c:strCache>
                    <c:ptCount val="1"/>
                    <c:pt idx="0">
                      <c:v>Ba2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{622A7CB9-E122-4358-9E18-DC305860C1EC}</c15:txfldGUID>
                      <c15:f>'Base Rating 2'!$AO$8</c15:f>
                      <c15:dlblFieldTableCache>
                        <c:ptCount val="1"/>
                        <c:pt idx="0">
                          <c:v>Ba2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B398-463E-8378-9D7AC015876C}"/>
                </c:ext>
              </c:extLst>
            </c:dLbl>
            <c:dLbl>
              <c:idx val="7"/>
              <c:tx>
                <c:strRef>
                  <c:f>'Base Rating 2'!$AO$9</c:f>
                  <c:strCache>
                    <c:ptCount val="1"/>
                    <c:pt idx="0">
                      <c:v>Ba1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{95D6829F-9594-4653-A5EB-F000E5710B0B}</c15:txfldGUID>
                      <c15:f>'Base Rating 2'!$AO$9</c15:f>
                      <c15:dlblFieldTableCache>
                        <c:ptCount val="1"/>
                        <c:pt idx="0">
                          <c:v>Ba1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B398-463E-8378-9D7AC015876C}"/>
                </c:ext>
              </c:extLst>
            </c:dLbl>
            <c:dLbl>
              <c:idx val="8"/>
              <c:tx>
                <c:strRef>
                  <c:f>'Base Rating 2'!$AO$10</c:f>
                  <c:strCache>
                    <c:ptCount val="1"/>
                    <c:pt idx="0">
                      <c:v>Baa3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{39355A79-AA7A-4A00-843B-3C99539B332F}</c15:txfldGUID>
                      <c15:f>'Base Rating 2'!$AO$10</c15:f>
                      <c15:dlblFieldTableCache>
                        <c:ptCount val="1"/>
                        <c:pt idx="0">
                          <c:v>Baa3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B398-463E-8378-9D7AC015876C}"/>
                </c:ext>
              </c:extLst>
            </c:dLbl>
            <c:dLbl>
              <c:idx val="9"/>
              <c:tx>
                <c:strRef>
                  <c:f>'Base Rating 2'!$AO$11</c:f>
                  <c:strCache>
                    <c:ptCount val="1"/>
                    <c:pt idx="0">
                      <c:v>Baa2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{EAB92C67-DE16-4C20-8C71-18BA5B2F8472}</c15:txfldGUID>
                      <c15:f>'Base Rating 2'!$AO$11</c15:f>
                      <c15:dlblFieldTableCache>
                        <c:ptCount val="1"/>
                        <c:pt idx="0">
                          <c:v>Baa2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B398-463E-8378-9D7AC015876C}"/>
                </c:ext>
              </c:extLst>
            </c:dLbl>
            <c:dLbl>
              <c:idx val="10"/>
              <c:tx>
                <c:strRef>
                  <c:f>'Base Rating 2'!$AO$12</c:f>
                  <c:strCache>
                    <c:ptCount val="1"/>
                    <c:pt idx="0">
                      <c:v>Baa1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{58F25806-DCFB-4D2B-9902-0A83ABFCE5F4}</c15:txfldGUID>
                      <c15:f>'Base Rating 2'!$AO$12</c15:f>
                      <c15:dlblFieldTableCache>
                        <c:ptCount val="1"/>
                        <c:pt idx="0">
                          <c:v>Baa1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B398-463E-8378-9D7AC015876C}"/>
                </c:ext>
              </c:extLst>
            </c:dLbl>
            <c:dLbl>
              <c:idx val="11"/>
              <c:tx>
                <c:strRef>
                  <c:f>'Base Rating 2'!$AO$13</c:f>
                  <c:strCache>
                    <c:ptCount val="1"/>
                    <c:pt idx="0">
                      <c:v>A3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{8F9B1D07-8048-41EB-ACDC-2AA0E677AB57}</c15:txfldGUID>
                      <c15:f>'Base Rating 2'!$AO$13</c15:f>
                      <c15:dlblFieldTableCache>
                        <c:ptCount val="1"/>
                        <c:pt idx="0">
                          <c:v>A3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B398-463E-8378-9D7AC015876C}"/>
                </c:ext>
              </c:extLst>
            </c:dLbl>
            <c:dLbl>
              <c:idx val="12"/>
              <c:tx>
                <c:strRef>
                  <c:f>'Base Rating 2'!$AO$14</c:f>
                  <c:strCache>
                    <c:ptCount val="1"/>
                    <c:pt idx="0">
                      <c:v>A2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{A3C8E243-652F-4D79-A934-E1E9257706D1}</c15:txfldGUID>
                      <c15:f>'Base Rating 2'!$AO$14</c15:f>
                      <c15:dlblFieldTableCache>
                        <c:ptCount val="1"/>
                        <c:pt idx="0">
                          <c:v>A2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B398-463E-8378-9D7AC01587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'Base Rating 2'!$AQ$2:$AQ$14</c:f>
              <c:numCache>
                <c:formatCode>mmm\-yy</c:formatCode>
                <c:ptCount val="13"/>
                <c:pt idx="0">
                  <c:v>31717</c:v>
                </c:pt>
                <c:pt idx="1">
                  <c:v>31717</c:v>
                </c:pt>
                <c:pt idx="2">
                  <c:v>31717</c:v>
                </c:pt>
                <c:pt idx="3">
                  <c:v>31717</c:v>
                </c:pt>
                <c:pt idx="4">
                  <c:v>31717</c:v>
                </c:pt>
                <c:pt idx="5">
                  <c:v>31717</c:v>
                </c:pt>
                <c:pt idx="6">
                  <c:v>31717</c:v>
                </c:pt>
                <c:pt idx="7">
                  <c:v>31717</c:v>
                </c:pt>
                <c:pt idx="8">
                  <c:v>31717</c:v>
                </c:pt>
                <c:pt idx="9">
                  <c:v>31717</c:v>
                </c:pt>
                <c:pt idx="10">
                  <c:v>31717</c:v>
                </c:pt>
                <c:pt idx="11">
                  <c:v>31717</c:v>
                </c:pt>
                <c:pt idx="12">
                  <c:v>31717</c:v>
                </c:pt>
              </c:numCache>
            </c:numRef>
          </c:xVal>
          <c:yVal>
            <c:numRef>
              <c:f>'Base Rating 2'!$AN$2:$AN$14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398-463E-8378-9D7AC0158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6654479"/>
        <c:axId val="1540393903"/>
      </c:scatterChart>
      <c:valAx>
        <c:axId val="1526654479"/>
        <c:scaling>
          <c:orientation val="minMax"/>
          <c:max val="46295"/>
          <c:min val="317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393903"/>
        <c:crosses val="autoZero"/>
        <c:crossBetween val="midCat"/>
        <c:majorUnit val="730"/>
      </c:valAx>
      <c:valAx>
        <c:axId val="1540393903"/>
        <c:scaling>
          <c:orientation val="minMax"/>
          <c:max val="16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665447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Fitch – Rating Soberano do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Moeda estrangeira</c:v>
          </c:tx>
          <c:spPr>
            <a:ln w="3175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'Base Rating 2'!$A$2:$A$480</c:f>
              <c:numCache>
                <c:formatCode>mmm\-yy</c:formatCode>
                <c:ptCount val="479"/>
                <c:pt idx="0">
                  <c:v>31746</c:v>
                </c:pt>
                <c:pt idx="1">
                  <c:v>31777</c:v>
                </c:pt>
                <c:pt idx="2">
                  <c:v>31808</c:v>
                </c:pt>
                <c:pt idx="3">
                  <c:v>31836</c:v>
                </c:pt>
                <c:pt idx="4">
                  <c:v>31867</c:v>
                </c:pt>
                <c:pt idx="5">
                  <c:v>31897</c:v>
                </c:pt>
                <c:pt idx="6">
                  <c:v>31928</c:v>
                </c:pt>
                <c:pt idx="7">
                  <c:v>31958</c:v>
                </c:pt>
                <c:pt idx="8">
                  <c:v>31989</c:v>
                </c:pt>
                <c:pt idx="9">
                  <c:v>32020</c:v>
                </c:pt>
                <c:pt idx="10">
                  <c:v>32050</c:v>
                </c:pt>
                <c:pt idx="11">
                  <c:v>32081</c:v>
                </c:pt>
                <c:pt idx="12">
                  <c:v>32111</c:v>
                </c:pt>
                <c:pt idx="13">
                  <c:v>32142</c:v>
                </c:pt>
                <c:pt idx="14">
                  <c:v>32173</c:v>
                </c:pt>
                <c:pt idx="15">
                  <c:v>32202</c:v>
                </c:pt>
                <c:pt idx="16">
                  <c:v>32233</c:v>
                </c:pt>
                <c:pt idx="17">
                  <c:v>32263</c:v>
                </c:pt>
                <c:pt idx="18">
                  <c:v>32294</c:v>
                </c:pt>
                <c:pt idx="19">
                  <c:v>32324</c:v>
                </c:pt>
                <c:pt idx="20">
                  <c:v>32355</c:v>
                </c:pt>
                <c:pt idx="21">
                  <c:v>32386</c:v>
                </c:pt>
                <c:pt idx="22">
                  <c:v>32416</c:v>
                </c:pt>
                <c:pt idx="23">
                  <c:v>32447</c:v>
                </c:pt>
                <c:pt idx="24">
                  <c:v>32477</c:v>
                </c:pt>
                <c:pt idx="25">
                  <c:v>32508</c:v>
                </c:pt>
                <c:pt idx="26">
                  <c:v>32539</c:v>
                </c:pt>
                <c:pt idx="27">
                  <c:v>32567</c:v>
                </c:pt>
                <c:pt idx="28">
                  <c:v>32598</c:v>
                </c:pt>
                <c:pt idx="29">
                  <c:v>32628</c:v>
                </c:pt>
                <c:pt idx="30">
                  <c:v>32659</c:v>
                </c:pt>
                <c:pt idx="31">
                  <c:v>32689</c:v>
                </c:pt>
                <c:pt idx="32">
                  <c:v>32720</c:v>
                </c:pt>
                <c:pt idx="33">
                  <c:v>32751</c:v>
                </c:pt>
                <c:pt idx="34">
                  <c:v>32781</c:v>
                </c:pt>
                <c:pt idx="35">
                  <c:v>32812</c:v>
                </c:pt>
                <c:pt idx="36">
                  <c:v>32842</c:v>
                </c:pt>
                <c:pt idx="37">
                  <c:v>32873</c:v>
                </c:pt>
                <c:pt idx="38">
                  <c:v>32904</c:v>
                </c:pt>
                <c:pt idx="39">
                  <c:v>32932</c:v>
                </c:pt>
                <c:pt idx="40">
                  <c:v>32963</c:v>
                </c:pt>
                <c:pt idx="41">
                  <c:v>32993</c:v>
                </c:pt>
                <c:pt idx="42">
                  <c:v>33024</c:v>
                </c:pt>
                <c:pt idx="43">
                  <c:v>33054</c:v>
                </c:pt>
                <c:pt idx="44">
                  <c:v>33085</c:v>
                </c:pt>
                <c:pt idx="45">
                  <c:v>33116</c:v>
                </c:pt>
                <c:pt idx="46">
                  <c:v>33146</c:v>
                </c:pt>
                <c:pt idx="47">
                  <c:v>33177</c:v>
                </c:pt>
                <c:pt idx="48">
                  <c:v>33207</c:v>
                </c:pt>
                <c:pt idx="49">
                  <c:v>33238</c:v>
                </c:pt>
                <c:pt idx="50">
                  <c:v>33269</c:v>
                </c:pt>
                <c:pt idx="51">
                  <c:v>33297</c:v>
                </c:pt>
                <c:pt idx="52">
                  <c:v>33328</c:v>
                </c:pt>
                <c:pt idx="53">
                  <c:v>33358</c:v>
                </c:pt>
                <c:pt idx="54">
                  <c:v>33389</c:v>
                </c:pt>
                <c:pt idx="55">
                  <c:v>33419</c:v>
                </c:pt>
                <c:pt idx="56">
                  <c:v>33450</c:v>
                </c:pt>
                <c:pt idx="57">
                  <c:v>33481</c:v>
                </c:pt>
                <c:pt idx="58">
                  <c:v>33511</c:v>
                </c:pt>
                <c:pt idx="59">
                  <c:v>33542</c:v>
                </c:pt>
                <c:pt idx="60">
                  <c:v>33572</c:v>
                </c:pt>
                <c:pt idx="61">
                  <c:v>33603</c:v>
                </c:pt>
                <c:pt idx="62">
                  <c:v>33634</c:v>
                </c:pt>
                <c:pt idx="63">
                  <c:v>33663</c:v>
                </c:pt>
                <c:pt idx="64">
                  <c:v>33694</c:v>
                </c:pt>
                <c:pt idx="65">
                  <c:v>33724</c:v>
                </c:pt>
                <c:pt idx="66">
                  <c:v>33755</c:v>
                </c:pt>
                <c:pt idx="67">
                  <c:v>33785</c:v>
                </c:pt>
                <c:pt idx="68">
                  <c:v>33816</c:v>
                </c:pt>
                <c:pt idx="69">
                  <c:v>33847</c:v>
                </c:pt>
                <c:pt idx="70">
                  <c:v>33877</c:v>
                </c:pt>
                <c:pt idx="71">
                  <c:v>33908</c:v>
                </c:pt>
                <c:pt idx="72">
                  <c:v>33938</c:v>
                </c:pt>
                <c:pt idx="73">
                  <c:v>33969</c:v>
                </c:pt>
                <c:pt idx="74">
                  <c:v>34000</c:v>
                </c:pt>
                <c:pt idx="75">
                  <c:v>34028</c:v>
                </c:pt>
                <c:pt idx="76">
                  <c:v>34059</c:v>
                </c:pt>
                <c:pt idx="77">
                  <c:v>34089</c:v>
                </c:pt>
                <c:pt idx="78">
                  <c:v>34120</c:v>
                </c:pt>
                <c:pt idx="79">
                  <c:v>34150</c:v>
                </c:pt>
                <c:pt idx="80">
                  <c:v>34181</c:v>
                </c:pt>
                <c:pt idx="81">
                  <c:v>34212</c:v>
                </c:pt>
                <c:pt idx="82">
                  <c:v>34242</c:v>
                </c:pt>
                <c:pt idx="83">
                  <c:v>34273</c:v>
                </c:pt>
                <c:pt idx="84">
                  <c:v>34303</c:v>
                </c:pt>
                <c:pt idx="85">
                  <c:v>34334</c:v>
                </c:pt>
                <c:pt idx="86">
                  <c:v>34365</c:v>
                </c:pt>
                <c:pt idx="87">
                  <c:v>34393</c:v>
                </c:pt>
                <c:pt idx="88">
                  <c:v>34424</c:v>
                </c:pt>
                <c:pt idx="89">
                  <c:v>34454</c:v>
                </c:pt>
                <c:pt idx="90">
                  <c:v>34485</c:v>
                </c:pt>
                <c:pt idx="91">
                  <c:v>34515</c:v>
                </c:pt>
                <c:pt idx="92">
                  <c:v>34546</c:v>
                </c:pt>
                <c:pt idx="93">
                  <c:v>34577</c:v>
                </c:pt>
                <c:pt idx="94">
                  <c:v>34607</c:v>
                </c:pt>
                <c:pt idx="95">
                  <c:v>34638</c:v>
                </c:pt>
                <c:pt idx="96">
                  <c:v>34668</c:v>
                </c:pt>
                <c:pt idx="97">
                  <c:v>34699</c:v>
                </c:pt>
                <c:pt idx="98">
                  <c:v>34730</c:v>
                </c:pt>
                <c:pt idx="99">
                  <c:v>34758</c:v>
                </c:pt>
                <c:pt idx="100">
                  <c:v>34789</c:v>
                </c:pt>
                <c:pt idx="101">
                  <c:v>34819</c:v>
                </c:pt>
                <c:pt idx="102">
                  <c:v>34850</c:v>
                </c:pt>
                <c:pt idx="103">
                  <c:v>34880</c:v>
                </c:pt>
                <c:pt idx="104">
                  <c:v>34911</c:v>
                </c:pt>
                <c:pt idx="105">
                  <c:v>34942</c:v>
                </c:pt>
                <c:pt idx="106">
                  <c:v>34972</c:v>
                </c:pt>
                <c:pt idx="107">
                  <c:v>35003</c:v>
                </c:pt>
                <c:pt idx="108">
                  <c:v>35033</c:v>
                </c:pt>
                <c:pt idx="109">
                  <c:v>35064</c:v>
                </c:pt>
                <c:pt idx="110">
                  <c:v>35095</c:v>
                </c:pt>
                <c:pt idx="111">
                  <c:v>35124</c:v>
                </c:pt>
                <c:pt idx="112">
                  <c:v>35155</c:v>
                </c:pt>
                <c:pt idx="113">
                  <c:v>35185</c:v>
                </c:pt>
                <c:pt idx="114">
                  <c:v>35216</c:v>
                </c:pt>
                <c:pt idx="115">
                  <c:v>35246</c:v>
                </c:pt>
                <c:pt idx="116">
                  <c:v>35277</c:v>
                </c:pt>
                <c:pt idx="117">
                  <c:v>35308</c:v>
                </c:pt>
                <c:pt idx="118">
                  <c:v>35338</c:v>
                </c:pt>
                <c:pt idx="119">
                  <c:v>35369</c:v>
                </c:pt>
                <c:pt idx="120">
                  <c:v>35399</c:v>
                </c:pt>
                <c:pt idx="121">
                  <c:v>35430</c:v>
                </c:pt>
                <c:pt idx="122">
                  <c:v>35461</c:v>
                </c:pt>
                <c:pt idx="123">
                  <c:v>35489</c:v>
                </c:pt>
                <c:pt idx="124">
                  <c:v>35520</c:v>
                </c:pt>
                <c:pt idx="125">
                  <c:v>35550</c:v>
                </c:pt>
                <c:pt idx="126">
                  <c:v>35581</c:v>
                </c:pt>
                <c:pt idx="127">
                  <c:v>35611</c:v>
                </c:pt>
                <c:pt idx="128">
                  <c:v>35642</c:v>
                </c:pt>
                <c:pt idx="129">
                  <c:v>35673</c:v>
                </c:pt>
                <c:pt idx="130">
                  <c:v>35703</c:v>
                </c:pt>
                <c:pt idx="131">
                  <c:v>35734</c:v>
                </c:pt>
                <c:pt idx="132">
                  <c:v>35764</c:v>
                </c:pt>
                <c:pt idx="133">
                  <c:v>35795</c:v>
                </c:pt>
                <c:pt idx="134">
                  <c:v>35826</c:v>
                </c:pt>
                <c:pt idx="135">
                  <c:v>35854</c:v>
                </c:pt>
                <c:pt idx="136">
                  <c:v>35885</c:v>
                </c:pt>
                <c:pt idx="137">
                  <c:v>35915</c:v>
                </c:pt>
                <c:pt idx="138">
                  <c:v>35946</c:v>
                </c:pt>
                <c:pt idx="139">
                  <c:v>35976</c:v>
                </c:pt>
                <c:pt idx="140">
                  <c:v>36007</c:v>
                </c:pt>
                <c:pt idx="141">
                  <c:v>36038</c:v>
                </c:pt>
                <c:pt idx="142">
                  <c:v>36068</c:v>
                </c:pt>
                <c:pt idx="143">
                  <c:v>36099</c:v>
                </c:pt>
                <c:pt idx="144">
                  <c:v>36129</c:v>
                </c:pt>
                <c:pt idx="145">
                  <c:v>36160</c:v>
                </c:pt>
                <c:pt idx="146">
                  <c:v>36191</c:v>
                </c:pt>
                <c:pt idx="147">
                  <c:v>36219</c:v>
                </c:pt>
                <c:pt idx="148">
                  <c:v>36250</c:v>
                </c:pt>
                <c:pt idx="149">
                  <c:v>36280</c:v>
                </c:pt>
                <c:pt idx="150">
                  <c:v>36311</c:v>
                </c:pt>
                <c:pt idx="151">
                  <c:v>36341</c:v>
                </c:pt>
                <c:pt idx="152">
                  <c:v>36372</c:v>
                </c:pt>
                <c:pt idx="153">
                  <c:v>36403</c:v>
                </c:pt>
                <c:pt idx="154">
                  <c:v>36433</c:v>
                </c:pt>
                <c:pt idx="155">
                  <c:v>36464</c:v>
                </c:pt>
                <c:pt idx="156">
                  <c:v>36494</c:v>
                </c:pt>
                <c:pt idx="157">
                  <c:v>36525</c:v>
                </c:pt>
                <c:pt idx="158">
                  <c:v>36556</c:v>
                </c:pt>
                <c:pt idx="159">
                  <c:v>36585</c:v>
                </c:pt>
                <c:pt idx="160">
                  <c:v>36616</c:v>
                </c:pt>
                <c:pt idx="161">
                  <c:v>36646</c:v>
                </c:pt>
                <c:pt idx="162">
                  <c:v>36677</c:v>
                </c:pt>
                <c:pt idx="163">
                  <c:v>36707</c:v>
                </c:pt>
                <c:pt idx="164">
                  <c:v>36738</c:v>
                </c:pt>
                <c:pt idx="165">
                  <c:v>36769</c:v>
                </c:pt>
                <c:pt idx="166">
                  <c:v>36799</c:v>
                </c:pt>
                <c:pt idx="167">
                  <c:v>36830</c:v>
                </c:pt>
                <c:pt idx="168">
                  <c:v>36860</c:v>
                </c:pt>
                <c:pt idx="169">
                  <c:v>36891</c:v>
                </c:pt>
                <c:pt idx="170">
                  <c:v>36922</c:v>
                </c:pt>
                <c:pt idx="171">
                  <c:v>36950</c:v>
                </c:pt>
                <c:pt idx="172">
                  <c:v>36981</c:v>
                </c:pt>
                <c:pt idx="173">
                  <c:v>37011</c:v>
                </c:pt>
                <c:pt idx="174">
                  <c:v>37042</c:v>
                </c:pt>
                <c:pt idx="175">
                  <c:v>37072</c:v>
                </c:pt>
                <c:pt idx="176">
                  <c:v>37103</c:v>
                </c:pt>
                <c:pt idx="177">
                  <c:v>37134</c:v>
                </c:pt>
                <c:pt idx="178">
                  <c:v>37164</c:v>
                </c:pt>
                <c:pt idx="179">
                  <c:v>37195</c:v>
                </c:pt>
                <c:pt idx="180">
                  <c:v>37225</c:v>
                </c:pt>
                <c:pt idx="181">
                  <c:v>37256</c:v>
                </c:pt>
                <c:pt idx="182">
                  <c:v>37287</c:v>
                </c:pt>
                <c:pt idx="183">
                  <c:v>37315</c:v>
                </c:pt>
                <c:pt idx="184">
                  <c:v>37346</c:v>
                </c:pt>
                <c:pt idx="185">
                  <c:v>37376</c:v>
                </c:pt>
                <c:pt idx="186">
                  <c:v>37407</c:v>
                </c:pt>
                <c:pt idx="187">
                  <c:v>37437</c:v>
                </c:pt>
                <c:pt idx="188">
                  <c:v>37468</c:v>
                </c:pt>
                <c:pt idx="189">
                  <c:v>37499</c:v>
                </c:pt>
                <c:pt idx="190">
                  <c:v>37529</c:v>
                </c:pt>
                <c:pt idx="191">
                  <c:v>37560</c:v>
                </c:pt>
                <c:pt idx="192">
                  <c:v>37590</c:v>
                </c:pt>
                <c:pt idx="193">
                  <c:v>37621</c:v>
                </c:pt>
                <c:pt idx="194">
                  <c:v>37652</c:v>
                </c:pt>
                <c:pt idx="195">
                  <c:v>37680</c:v>
                </c:pt>
                <c:pt idx="196">
                  <c:v>37711</c:v>
                </c:pt>
                <c:pt idx="197">
                  <c:v>37741</c:v>
                </c:pt>
                <c:pt idx="198">
                  <c:v>37772</c:v>
                </c:pt>
                <c:pt idx="199">
                  <c:v>37802</c:v>
                </c:pt>
                <c:pt idx="200">
                  <c:v>37833</c:v>
                </c:pt>
                <c:pt idx="201">
                  <c:v>37864</c:v>
                </c:pt>
                <c:pt idx="202">
                  <c:v>37894</c:v>
                </c:pt>
                <c:pt idx="203">
                  <c:v>37925</c:v>
                </c:pt>
                <c:pt idx="204">
                  <c:v>37955</c:v>
                </c:pt>
                <c:pt idx="205">
                  <c:v>37986</c:v>
                </c:pt>
                <c:pt idx="206">
                  <c:v>38017</c:v>
                </c:pt>
                <c:pt idx="207">
                  <c:v>38046</c:v>
                </c:pt>
                <c:pt idx="208">
                  <c:v>38077</c:v>
                </c:pt>
                <c:pt idx="209">
                  <c:v>38107</c:v>
                </c:pt>
                <c:pt idx="210">
                  <c:v>38138</c:v>
                </c:pt>
                <c:pt idx="211">
                  <c:v>38168</c:v>
                </c:pt>
                <c:pt idx="212">
                  <c:v>38199</c:v>
                </c:pt>
                <c:pt idx="213">
                  <c:v>38230</c:v>
                </c:pt>
                <c:pt idx="214">
                  <c:v>38260</c:v>
                </c:pt>
                <c:pt idx="215">
                  <c:v>38291</c:v>
                </c:pt>
                <c:pt idx="216">
                  <c:v>38321</c:v>
                </c:pt>
                <c:pt idx="217">
                  <c:v>38352</c:v>
                </c:pt>
                <c:pt idx="218">
                  <c:v>38383</c:v>
                </c:pt>
                <c:pt idx="219">
                  <c:v>38411</c:v>
                </c:pt>
                <c:pt idx="220">
                  <c:v>38442</c:v>
                </c:pt>
                <c:pt idx="221">
                  <c:v>38472</c:v>
                </c:pt>
                <c:pt idx="222">
                  <c:v>38503</c:v>
                </c:pt>
                <c:pt idx="223">
                  <c:v>38533</c:v>
                </c:pt>
                <c:pt idx="224">
                  <c:v>38564</c:v>
                </c:pt>
                <c:pt idx="225">
                  <c:v>38595</c:v>
                </c:pt>
                <c:pt idx="226">
                  <c:v>38625</c:v>
                </c:pt>
                <c:pt idx="227">
                  <c:v>38656</c:v>
                </c:pt>
                <c:pt idx="228">
                  <c:v>38686</c:v>
                </c:pt>
                <c:pt idx="229">
                  <c:v>38717</c:v>
                </c:pt>
                <c:pt idx="230">
                  <c:v>38748</c:v>
                </c:pt>
                <c:pt idx="231">
                  <c:v>38776</c:v>
                </c:pt>
                <c:pt idx="232">
                  <c:v>38807</c:v>
                </c:pt>
                <c:pt idx="233">
                  <c:v>38837</c:v>
                </c:pt>
                <c:pt idx="234">
                  <c:v>38868</c:v>
                </c:pt>
                <c:pt idx="235">
                  <c:v>38898</c:v>
                </c:pt>
                <c:pt idx="236">
                  <c:v>38929</c:v>
                </c:pt>
                <c:pt idx="237">
                  <c:v>38960</c:v>
                </c:pt>
                <c:pt idx="238">
                  <c:v>38990</c:v>
                </c:pt>
                <c:pt idx="239">
                  <c:v>39021</c:v>
                </c:pt>
                <c:pt idx="240">
                  <c:v>39051</c:v>
                </c:pt>
                <c:pt idx="241">
                  <c:v>39082</c:v>
                </c:pt>
                <c:pt idx="242">
                  <c:v>39113</c:v>
                </c:pt>
                <c:pt idx="243">
                  <c:v>39141</c:v>
                </c:pt>
                <c:pt idx="244">
                  <c:v>39172</c:v>
                </c:pt>
                <c:pt idx="245">
                  <c:v>39202</c:v>
                </c:pt>
                <c:pt idx="246">
                  <c:v>39233</c:v>
                </c:pt>
                <c:pt idx="247">
                  <c:v>39263</c:v>
                </c:pt>
                <c:pt idx="248">
                  <c:v>39294</c:v>
                </c:pt>
                <c:pt idx="249">
                  <c:v>39325</c:v>
                </c:pt>
                <c:pt idx="250">
                  <c:v>39355</c:v>
                </c:pt>
                <c:pt idx="251">
                  <c:v>39386</c:v>
                </c:pt>
                <c:pt idx="252">
                  <c:v>39416</c:v>
                </c:pt>
                <c:pt idx="253">
                  <c:v>39447</c:v>
                </c:pt>
                <c:pt idx="254">
                  <c:v>39478</c:v>
                </c:pt>
                <c:pt idx="255">
                  <c:v>39507</c:v>
                </c:pt>
                <c:pt idx="256">
                  <c:v>39538</c:v>
                </c:pt>
                <c:pt idx="257">
                  <c:v>39568</c:v>
                </c:pt>
                <c:pt idx="258">
                  <c:v>39599</c:v>
                </c:pt>
                <c:pt idx="259">
                  <c:v>39629</c:v>
                </c:pt>
                <c:pt idx="260">
                  <c:v>39660</c:v>
                </c:pt>
                <c:pt idx="261">
                  <c:v>39691</c:v>
                </c:pt>
                <c:pt idx="262">
                  <c:v>39721</c:v>
                </c:pt>
                <c:pt idx="263">
                  <c:v>39752</c:v>
                </c:pt>
                <c:pt idx="264">
                  <c:v>39782</c:v>
                </c:pt>
                <c:pt idx="265">
                  <c:v>39813</c:v>
                </c:pt>
                <c:pt idx="266">
                  <c:v>39844</c:v>
                </c:pt>
                <c:pt idx="267">
                  <c:v>39872</c:v>
                </c:pt>
                <c:pt idx="268">
                  <c:v>39903</c:v>
                </c:pt>
                <c:pt idx="269">
                  <c:v>39933</c:v>
                </c:pt>
                <c:pt idx="270">
                  <c:v>39964</c:v>
                </c:pt>
                <c:pt idx="271">
                  <c:v>39994</c:v>
                </c:pt>
                <c:pt idx="272">
                  <c:v>40025</c:v>
                </c:pt>
                <c:pt idx="273">
                  <c:v>40056</c:v>
                </c:pt>
                <c:pt idx="274">
                  <c:v>40086</c:v>
                </c:pt>
                <c:pt idx="275">
                  <c:v>40117</c:v>
                </c:pt>
                <c:pt idx="276">
                  <c:v>40147</c:v>
                </c:pt>
                <c:pt idx="277">
                  <c:v>40178</c:v>
                </c:pt>
                <c:pt idx="278">
                  <c:v>40209</c:v>
                </c:pt>
                <c:pt idx="279">
                  <c:v>40237</c:v>
                </c:pt>
                <c:pt idx="280">
                  <c:v>40268</c:v>
                </c:pt>
                <c:pt idx="281">
                  <c:v>40298</c:v>
                </c:pt>
                <c:pt idx="282">
                  <c:v>40329</c:v>
                </c:pt>
                <c:pt idx="283">
                  <c:v>40359</c:v>
                </c:pt>
                <c:pt idx="284">
                  <c:v>40390</c:v>
                </c:pt>
                <c:pt idx="285">
                  <c:v>40421</c:v>
                </c:pt>
                <c:pt idx="286">
                  <c:v>40451</c:v>
                </c:pt>
                <c:pt idx="287">
                  <c:v>40482</c:v>
                </c:pt>
                <c:pt idx="288">
                  <c:v>40512</c:v>
                </c:pt>
                <c:pt idx="289">
                  <c:v>40543</c:v>
                </c:pt>
                <c:pt idx="290">
                  <c:v>40574</c:v>
                </c:pt>
                <c:pt idx="291">
                  <c:v>40602</c:v>
                </c:pt>
                <c:pt idx="292">
                  <c:v>40633</c:v>
                </c:pt>
                <c:pt idx="293">
                  <c:v>40663</c:v>
                </c:pt>
                <c:pt idx="294">
                  <c:v>40694</c:v>
                </c:pt>
                <c:pt idx="295">
                  <c:v>40724</c:v>
                </c:pt>
                <c:pt idx="296">
                  <c:v>40755</c:v>
                </c:pt>
                <c:pt idx="297">
                  <c:v>40786</c:v>
                </c:pt>
                <c:pt idx="298">
                  <c:v>40816</c:v>
                </c:pt>
                <c:pt idx="299">
                  <c:v>40847</c:v>
                </c:pt>
                <c:pt idx="300">
                  <c:v>40877</c:v>
                </c:pt>
                <c:pt idx="301">
                  <c:v>40908</c:v>
                </c:pt>
                <c:pt idx="302">
                  <c:v>40939</c:v>
                </c:pt>
                <c:pt idx="303">
                  <c:v>40968</c:v>
                </c:pt>
                <c:pt idx="304">
                  <c:v>40999</c:v>
                </c:pt>
                <c:pt idx="305">
                  <c:v>41029</c:v>
                </c:pt>
                <c:pt idx="306">
                  <c:v>41060</c:v>
                </c:pt>
                <c:pt idx="307">
                  <c:v>41090</c:v>
                </c:pt>
                <c:pt idx="308">
                  <c:v>41121</c:v>
                </c:pt>
                <c:pt idx="309">
                  <c:v>41152</c:v>
                </c:pt>
                <c:pt idx="310">
                  <c:v>41182</c:v>
                </c:pt>
                <c:pt idx="311">
                  <c:v>41213</c:v>
                </c:pt>
                <c:pt idx="312">
                  <c:v>41243</c:v>
                </c:pt>
                <c:pt idx="313">
                  <c:v>41274</c:v>
                </c:pt>
                <c:pt idx="314">
                  <c:v>41305</c:v>
                </c:pt>
                <c:pt idx="315">
                  <c:v>41333</c:v>
                </c:pt>
                <c:pt idx="316">
                  <c:v>41364</c:v>
                </c:pt>
                <c:pt idx="317">
                  <c:v>41394</c:v>
                </c:pt>
                <c:pt idx="318">
                  <c:v>41425</c:v>
                </c:pt>
                <c:pt idx="319">
                  <c:v>41455</c:v>
                </c:pt>
                <c:pt idx="320">
                  <c:v>41486</c:v>
                </c:pt>
                <c:pt idx="321">
                  <c:v>41517</c:v>
                </c:pt>
                <c:pt idx="322">
                  <c:v>41547</c:v>
                </c:pt>
                <c:pt idx="323">
                  <c:v>41578</c:v>
                </c:pt>
                <c:pt idx="324">
                  <c:v>41608</c:v>
                </c:pt>
                <c:pt idx="325">
                  <c:v>41639</c:v>
                </c:pt>
                <c:pt idx="326">
                  <c:v>41670</c:v>
                </c:pt>
                <c:pt idx="327">
                  <c:v>41698</c:v>
                </c:pt>
                <c:pt idx="328">
                  <c:v>41729</c:v>
                </c:pt>
                <c:pt idx="329">
                  <c:v>41759</c:v>
                </c:pt>
                <c:pt idx="330">
                  <c:v>41790</c:v>
                </c:pt>
                <c:pt idx="331">
                  <c:v>41820</c:v>
                </c:pt>
                <c:pt idx="332">
                  <c:v>41851</c:v>
                </c:pt>
                <c:pt idx="333">
                  <c:v>41882</c:v>
                </c:pt>
                <c:pt idx="334">
                  <c:v>41912</c:v>
                </c:pt>
                <c:pt idx="335">
                  <c:v>41943</c:v>
                </c:pt>
                <c:pt idx="336">
                  <c:v>41973</c:v>
                </c:pt>
                <c:pt idx="337">
                  <c:v>42004</c:v>
                </c:pt>
                <c:pt idx="338">
                  <c:v>42035</c:v>
                </c:pt>
                <c:pt idx="339">
                  <c:v>42063</c:v>
                </c:pt>
                <c:pt idx="340">
                  <c:v>42094</c:v>
                </c:pt>
                <c:pt idx="341">
                  <c:v>42124</c:v>
                </c:pt>
                <c:pt idx="342">
                  <c:v>42155</c:v>
                </c:pt>
                <c:pt idx="343">
                  <c:v>42185</c:v>
                </c:pt>
                <c:pt idx="344">
                  <c:v>42216</c:v>
                </c:pt>
                <c:pt idx="345">
                  <c:v>42247</c:v>
                </c:pt>
                <c:pt idx="346">
                  <c:v>42277</c:v>
                </c:pt>
                <c:pt idx="347">
                  <c:v>42308</c:v>
                </c:pt>
                <c:pt idx="348">
                  <c:v>42338</c:v>
                </c:pt>
                <c:pt idx="349">
                  <c:v>42369</c:v>
                </c:pt>
                <c:pt idx="350">
                  <c:v>42400</c:v>
                </c:pt>
                <c:pt idx="351">
                  <c:v>42429</c:v>
                </c:pt>
                <c:pt idx="352">
                  <c:v>42460</c:v>
                </c:pt>
                <c:pt idx="353">
                  <c:v>42490</c:v>
                </c:pt>
                <c:pt idx="354">
                  <c:v>42521</c:v>
                </c:pt>
                <c:pt idx="355">
                  <c:v>42551</c:v>
                </c:pt>
                <c:pt idx="356">
                  <c:v>42582</c:v>
                </c:pt>
                <c:pt idx="357">
                  <c:v>42613</c:v>
                </c:pt>
                <c:pt idx="358">
                  <c:v>42643</c:v>
                </c:pt>
                <c:pt idx="359">
                  <c:v>42674</c:v>
                </c:pt>
                <c:pt idx="360">
                  <c:v>42704</c:v>
                </c:pt>
                <c:pt idx="361">
                  <c:v>42735</c:v>
                </c:pt>
                <c:pt idx="362">
                  <c:v>42766</c:v>
                </c:pt>
                <c:pt idx="363">
                  <c:v>42794</c:v>
                </c:pt>
                <c:pt idx="364">
                  <c:v>42825</c:v>
                </c:pt>
                <c:pt idx="365">
                  <c:v>42855</c:v>
                </c:pt>
                <c:pt idx="366">
                  <c:v>42886</c:v>
                </c:pt>
                <c:pt idx="367">
                  <c:v>42916</c:v>
                </c:pt>
                <c:pt idx="368">
                  <c:v>42947</c:v>
                </c:pt>
                <c:pt idx="369">
                  <c:v>42978</c:v>
                </c:pt>
                <c:pt idx="370">
                  <c:v>43008</c:v>
                </c:pt>
                <c:pt idx="371">
                  <c:v>43039</c:v>
                </c:pt>
                <c:pt idx="372">
                  <c:v>43069</c:v>
                </c:pt>
                <c:pt idx="373">
                  <c:v>43100</c:v>
                </c:pt>
                <c:pt idx="374">
                  <c:v>43131</c:v>
                </c:pt>
                <c:pt idx="375">
                  <c:v>43159</c:v>
                </c:pt>
                <c:pt idx="376">
                  <c:v>43190</c:v>
                </c:pt>
                <c:pt idx="377">
                  <c:v>43220</c:v>
                </c:pt>
                <c:pt idx="378">
                  <c:v>43251</c:v>
                </c:pt>
                <c:pt idx="379">
                  <c:v>43281</c:v>
                </c:pt>
                <c:pt idx="380">
                  <c:v>43312</c:v>
                </c:pt>
                <c:pt idx="381">
                  <c:v>43343</c:v>
                </c:pt>
                <c:pt idx="382">
                  <c:v>43373</c:v>
                </c:pt>
                <c:pt idx="383">
                  <c:v>43404</c:v>
                </c:pt>
                <c:pt idx="384">
                  <c:v>43434</c:v>
                </c:pt>
                <c:pt idx="385">
                  <c:v>43465</c:v>
                </c:pt>
                <c:pt idx="386">
                  <c:v>43496</c:v>
                </c:pt>
                <c:pt idx="387">
                  <c:v>43524</c:v>
                </c:pt>
                <c:pt idx="388">
                  <c:v>43555</c:v>
                </c:pt>
                <c:pt idx="389">
                  <c:v>43585</c:v>
                </c:pt>
                <c:pt idx="390">
                  <c:v>43616</c:v>
                </c:pt>
                <c:pt idx="391">
                  <c:v>43646</c:v>
                </c:pt>
                <c:pt idx="392">
                  <c:v>43677</c:v>
                </c:pt>
                <c:pt idx="393">
                  <c:v>43708</c:v>
                </c:pt>
                <c:pt idx="394">
                  <c:v>43738</c:v>
                </c:pt>
                <c:pt idx="395">
                  <c:v>43769</c:v>
                </c:pt>
                <c:pt idx="396">
                  <c:v>43799</c:v>
                </c:pt>
                <c:pt idx="397">
                  <c:v>43830</c:v>
                </c:pt>
                <c:pt idx="398">
                  <c:v>43861</c:v>
                </c:pt>
                <c:pt idx="399">
                  <c:v>43890</c:v>
                </c:pt>
                <c:pt idx="400">
                  <c:v>43921</c:v>
                </c:pt>
                <c:pt idx="401">
                  <c:v>43951</c:v>
                </c:pt>
                <c:pt idx="402">
                  <c:v>43982</c:v>
                </c:pt>
                <c:pt idx="403">
                  <c:v>44012</c:v>
                </c:pt>
                <c:pt idx="404">
                  <c:v>44043</c:v>
                </c:pt>
                <c:pt idx="405">
                  <c:v>44074</c:v>
                </c:pt>
                <c:pt idx="406">
                  <c:v>44104</c:v>
                </c:pt>
                <c:pt idx="407">
                  <c:v>44135</c:v>
                </c:pt>
                <c:pt idx="408">
                  <c:v>44165</c:v>
                </c:pt>
                <c:pt idx="409">
                  <c:v>44196</c:v>
                </c:pt>
                <c:pt idx="410">
                  <c:v>44227</c:v>
                </c:pt>
                <c:pt idx="411">
                  <c:v>44255</c:v>
                </c:pt>
                <c:pt idx="412">
                  <c:v>44286</c:v>
                </c:pt>
                <c:pt idx="413">
                  <c:v>44316</c:v>
                </c:pt>
                <c:pt idx="414">
                  <c:v>44347</c:v>
                </c:pt>
                <c:pt idx="415">
                  <c:v>44377</c:v>
                </c:pt>
                <c:pt idx="416">
                  <c:v>44408</c:v>
                </c:pt>
                <c:pt idx="417">
                  <c:v>44439</c:v>
                </c:pt>
                <c:pt idx="418">
                  <c:v>44469</c:v>
                </c:pt>
                <c:pt idx="419">
                  <c:v>44500</c:v>
                </c:pt>
                <c:pt idx="420">
                  <c:v>44530</c:v>
                </c:pt>
                <c:pt idx="421">
                  <c:v>44561</c:v>
                </c:pt>
                <c:pt idx="422">
                  <c:v>44592</c:v>
                </c:pt>
                <c:pt idx="423">
                  <c:v>44620</c:v>
                </c:pt>
                <c:pt idx="424">
                  <c:v>44651</c:v>
                </c:pt>
                <c:pt idx="425">
                  <c:v>44681</c:v>
                </c:pt>
                <c:pt idx="426">
                  <c:v>44712</c:v>
                </c:pt>
                <c:pt idx="427">
                  <c:v>44742</c:v>
                </c:pt>
                <c:pt idx="428">
                  <c:v>44773</c:v>
                </c:pt>
                <c:pt idx="429">
                  <c:v>44804</c:v>
                </c:pt>
                <c:pt idx="430">
                  <c:v>44834</c:v>
                </c:pt>
                <c:pt idx="431">
                  <c:v>44865</c:v>
                </c:pt>
                <c:pt idx="432">
                  <c:v>44895</c:v>
                </c:pt>
                <c:pt idx="433">
                  <c:v>44926</c:v>
                </c:pt>
                <c:pt idx="434">
                  <c:v>44957</c:v>
                </c:pt>
                <c:pt idx="435">
                  <c:v>44985</c:v>
                </c:pt>
                <c:pt idx="436">
                  <c:v>45016</c:v>
                </c:pt>
                <c:pt idx="437">
                  <c:v>45046</c:v>
                </c:pt>
                <c:pt idx="438">
                  <c:v>45077</c:v>
                </c:pt>
                <c:pt idx="439">
                  <c:v>45107</c:v>
                </c:pt>
                <c:pt idx="440">
                  <c:v>45138</c:v>
                </c:pt>
                <c:pt idx="441">
                  <c:v>45169</c:v>
                </c:pt>
                <c:pt idx="442">
                  <c:v>45199</c:v>
                </c:pt>
                <c:pt idx="443">
                  <c:v>45230</c:v>
                </c:pt>
                <c:pt idx="444">
                  <c:v>45260</c:v>
                </c:pt>
                <c:pt idx="445">
                  <c:v>45291</c:v>
                </c:pt>
                <c:pt idx="446">
                  <c:v>45322</c:v>
                </c:pt>
                <c:pt idx="447">
                  <c:v>45351</c:v>
                </c:pt>
                <c:pt idx="448">
                  <c:v>45382</c:v>
                </c:pt>
                <c:pt idx="449">
                  <c:v>45412</c:v>
                </c:pt>
                <c:pt idx="450">
                  <c:v>45443</c:v>
                </c:pt>
                <c:pt idx="451">
                  <c:v>45473</c:v>
                </c:pt>
                <c:pt idx="452">
                  <c:v>45504</c:v>
                </c:pt>
                <c:pt idx="453">
                  <c:v>45535</c:v>
                </c:pt>
                <c:pt idx="454">
                  <c:v>45565</c:v>
                </c:pt>
                <c:pt idx="455">
                  <c:v>45596</c:v>
                </c:pt>
                <c:pt idx="456">
                  <c:v>45626</c:v>
                </c:pt>
                <c:pt idx="457">
                  <c:v>45657</c:v>
                </c:pt>
                <c:pt idx="458">
                  <c:v>45688</c:v>
                </c:pt>
                <c:pt idx="459">
                  <c:v>45716</c:v>
                </c:pt>
                <c:pt idx="460">
                  <c:v>45747</c:v>
                </c:pt>
                <c:pt idx="461">
                  <c:v>45777</c:v>
                </c:pt>
                <c:pt idx="462">
                  <c:v>45808</c:v>
                </c:pt>
                <c:pt idx="463">
                  <c:v>45838</c:v>
                </c:pt>
                <c:pt idx="464">
                  <c:v>45869</c:v>
                </c:pt>
                <c:pt idx="465">
                  <c:v>45900</c:v>
                </c:pt>
                <c:pt idx="466">
                  <c:v>45930</c:v>
                </c:pt>
                <c:pt idx="467">
                  <c:v>45961</c:v>
                </c:pt>
                <c:pt idx="468">
                  <c:v>45991</c:v>
                </c:pt>
                <c:pt idx="469">
                  <c:v>46022</c:v>
                </c:pt>
                <c:pt idx="470">
                  <c:v>46053</c:v>
                </c:pt>
                <c:pt idx="471">
                  <c:v>46081</c:v>
                </c:pt>
                <c:pt idx="472">
                  <c:v>46112</c:v>
                </c:pt>
                <c:pt idx="473">
                  <c:v>46142</c:v>
                </c:pt>
                <c:pt idx="474">
                  <c:v>46173</c:v>
                </c:pt>
                <c:pt idx="475">
                  <c:v>46203</c:v>
                </c:pt>
                <c:pt idx="476">
                  <c:v>46234</c:v>
                </c:pt>
                <c:pt idx="477">
                  <c:v>46265</c:v>
                </c:pt>
                <c:pt idx="478">
                  <c:v>46295</c:v>
                </c:pt>
              </c:numCache>
            </c:numRef>
          </c:xVal>
          <c:yVal>
            <c:numRef>
              <c:f>'Base Rating 2'!$N$2:$N$480</c:f>
              <c:numCache>
                <c:formatCode>General</c:formatCode>
                <c:ptCount val="4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  <c:pt idx="169">
                  <c:v>9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8</c:v>
                </c:pt>
                <c:pt idx="188">
                  <c:v>8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12</c:v>
                </c:pt>
                <c:pt idx="348">
                  <c:v>12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C8-4E9B-9483-425D84D58B42}"/>
            </c:ext>
          </c:extLst>
        </c:ser>
        <c:ser>
          <c:idx val="1"/>
          <c:order val="1"/>
          <c:tx>
            <c:v>Moeda local</c:v>
          </c:tx>
          <c:spPr>
            <a:ln w="25400" cap="rnd">
              <a:solidFill>
                <a:srgbClr val="ED7D3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'Base Rating 2'!$A$2:$A$480</c:f>
              <c:numCache>
                <c:formatCode>mmm\-yy</c:formatCode>
                <c:ptCount val="479"/>
                <c:pt idx="0">
                  <c:v>31746</c:v>
                </c:pt>
                <c:pt idx="1">
                  <c:v>31777</c:v>
                </c:pt>
                <c:pt idx="2">
                  <c:v>31808</c:v>
                </c:pt>
                <c:pt idx="3">
                  <c:v>31836</c:v>
                </c:pt>
                <c:pt idx="4">
                  <c:v>31867</c:v>
                </c:pt>
                <c:pt idx="5">
                  <c:v>31897</c:v>
                </c:pt>
                <c:pt idx="6">
                  <c:v>31928</c:v>
                </c:pt>
                <c:pt idx="7">
                  <c:v>31958</c:v>
                </c:pt>
                <c:pt idx="8">
                  <c:v>31989</c:v>
                </c:pt>
                <c:pt idx="9">
                  <c:v>32020</c:v>
                </c:pt>
                <c:pt idx="10">
                  <c:v>32050</c:v>
                </c:pt>
                <c:pt idx="11">
                  <c:v>32081</c:v>
                </c:pt>
                <c:pt idx="12">
                  <c:v>32111</c:v>
                </c:pt>
                <c:pt idx="13">
                  <c:v>32142</c:v>
                </c:pt>
                <c:pt idx="14">
                  <c:v>32173</c:v>
                </c:pt>
                <c:pt idx="15">
                  <c:v>32202</c:v>
                </c:pt>
                <c:pt idx="16">
                  <c:v>32233</c:v>
                </c:pt>
                <c:pt idx="17">
                  <c:v>32263</c:v>
                </c:pt>
                <c:pt idx="18">
                  <c:v>32294</c:v>
                </c:pt>
                <c:pt idx="19">
                  <c:v>32324</c:v>
                </c:pt>
                <c:pt idx="20">
                  <c:v>32355</c:v>
                </c:pt>
                <c:pt idx="21">
                  <c:v>32386</c:v>
                </c:pt>
                <c:pt idx="22">
                  <c:v>32416</c:v>
                </c:pt>
                <c:pt idx="23">
                  <c:v>32447</c:v>
                </c:pt>
                <c:pt idx="24">
                  <c:v>32477</c:v>
                </c:pt>
                <c:pt idx="25">
                  <c:v>32508</c:v>
                </c:pt>
                <c:pt idx="26">
                  <c:v>32539</c:v>
                </c:pt>
                <c:pt idx="27">
                  <c:v>32567</c:v>
                </c:pt>
                <c:pt idx="28">
                  <c:v>32598</c:v>
                </c:pt>
                <c:pt idx="29">
                  <c:v>32628</c:v>
                </c:pt>
                <c:pt idx="30">
                  <c:v>32659</c:v>
                </c:pt>
                <c:pt idx="31">
                  <c:v>32689</c:v>
                </c:pt>
                <c:pt idx="32">
                  <c:v>32720</c:v>
                </c:pt>
                <c:pt idx="33">
                  <c:v>32751</c:v>
                </c:pt>
                <c:pt idx="34">
                  <c:v>32781</c:v>
                </c:pt>
                <c:pt idx="35">
                  <c:v>32812</c:v>
                </c:pt>
                <c:pt idx="36">
                  <c:v>32842</c:v>
                </c:pt>
                <c:pt idx="37">
                  <c:v>32873</c:v>
                </c:pt>
                <c:pt idx="38">
                  <c:v>32904</c:v>
                </c:pt>
                <c:pt idx="39">
                  <c:v>32932</c:v>
                </c:pt>
                <c:pt idx="40">
                  <c:v>32963</c:v>
                </c:pt>
                <c:pt idx="41">
                  <c:v>32993</c:v>
                </c:pt>
                <c:pt idx="42">
                  <c:v>33024</c:v>
                </c:pt>
                <c:pt idx="43">
                  <c:v>33054</c:v>
                </c:pt>
                <c:pt idx="44">
                  <c:v>33085</c:v>
                </c:pt>
                <c:pt idx="45">
                  <c:v>33116</c:v>
                </c:pt>
                <c:pt idx="46">
                  <c:v>33146</c:v>
                </c:pt>
                <c:pt idx="47">
                  <c:v>33177</c:v>
                </c:pt>
                <c:pt idx="48">
                  <c:v>33207</c:v>
                </c:pt>
                <c:pt idx="49">
                  <c:v>33238</c:v>
                </c:pt>
                <c:pt idx="50">
                  <c:v>33269</c:v>
                </c:pt>
                <c:pt idx="51">
                  <c:v>33297</c:v>
                </c:pt>
                <c:pt idx="52">
                  <c:v>33328</c:v>
                </c:pt>
                <c:pt idx="53">
                  <c:v>33358</c:v>
                </c:pt>
                <c:pt idx="54">
                  <c:v>33389</c:v>
                </c:pt>
                <c:pt idx="55">
                  <c:v>33419</c:v>
                </c:pt>
                <c:pt idx="56">
                  <c:v>33450</c:v>
                </c:pt>
                <c:pt idx="57">
                  <c:v>33481</c:v>
                </c:pt>
                <c:pt idx="58">
                  <c:v>33511</c:v>
                </c:pt>
                <c:pt idx="59">
                  <c:v>33542</c:v>
                </c:pt>
                <c:pt idx="60">
                  <c:v>33572</c:v>
                </c:pt>
                <c:pt idx="61">
                  <c:v>33603</c:v>
                </c:pt>
                <c:pt idx="62">
                  <c:v>33634</c:v>
                </c:pt>
                <c:pt idx="63">
                  <c:v>33663</c:v>
                </c:pt>
                <c:pt idx="64">
                  <c:v>33694</c:v>
                </c:pt>
                <c:pt idx="65">
                  <c:v>33724</c:v>
                </c:pt>
                <c:pt idx="66">
                  <c:v>33755</c:v>
                </c:pt>
                <c:pt idx="67">
                  <c:v>33785</c:v>
                </c:pt>
                <c:pt idx="68">
                  <c:v>33816</c:v>
                </c:pt>
                <c:pt idx="69">
                  <c:v>33847</c:v>
                </c:pt>
                <c:pt idx="70">
                  <c:v>33877</c:v>
                </c:pt>
                <c:pt idx="71">
                  <c:v>33908</c:v>
                </c:pt>
                <c:pt idx="72">
                  <c:v>33938</c:v>
                </c:pt>
                <c:pt idx="73">
                  <c:v>33969</c:v>
                </c:pt>
                <c:pt idx="74">
                  <c:v>34000</c:v>
                </c:pt>
                <c:pt idx="75">
                  <c:v>34028</c:v>
                </c:pt>
                <c:pt idx="76">
                  <c:v>34059</c:v>
                </c:pt>
                <c:pt idx="77">
                  <c:v>34089</c:v>
                </c:pt>
                <c:pt idx="78">
                  <c:v>34120</c:v>
                </c:pt>
                <c:pt idx="79">
                  <c:v>34150</c:v>
                </c:pt>
                <c:pt idx="80">
                  <c:v>34181</c:v>
                </c:pt>
                <c:pt idx="81">
                  <c:v>34212</c:v>
                </c:pt>
                <c:pt idx="82">
                  <c:v>34242</c:v>
                </c:pt>
                <c:pt idx="83">
                  <c:v>34273</c:v>
                </c:pt>
                <c:pt idx="84">
                  <c:v>34303</c:v>
                </c:pt>
                <c:pt idx="85">
                  <c:v>34334</c:v>
                </c:pt>
                <c:pt idx="86">
                  <c:v>34365</c:v>
                </c:pt>
                <c:pt idx="87">
                  <c:v>34393</c:v>
                </c:pt>
                <c:pt idx="88">
                  <c:v>34424</c:v>
                </c:pt>
                <c:pt idx="89">
                  <c:v>34454</c:v>
                </c:pt>
                <c:pt idx="90">
                  <c:v>34485</c:v>
                </c:pt>
                <c:pt idx="91">
                  <c:v>34515</c:v>
                </c:pt>
                <c:pt idx="92">
                  <c:v>34546</c:v>
                </c:pt>
                <c:pt idx="93">
                  <c:v>34577</c:v>
                </c:pt>
                <c:pt idx="94">
                  <c:v>34607</c:v>
                </c:pt>
                <c:pt idx="95">
                  <c:v>34638</c:v>
                </c:pt>
                <c:pt idx="96">
                  <c:v>34668</c:v>
                </c:pt>
                <c:pt idx="97">
                  <c:v>34699</c:v>
                </c:pt>
                <c:pt idx="98">
                  <c:v>34730</c:v>
                </c:pt>
                <c:pt idx="99">
                  <c:v>34758</c:v>
                </c:pt>
                <c:pt idx="100">
                  <c:v>34789</c:v>
                </c:pt>
                <c:pt idx="101">
                  <c:v>34819</c:v>
                </c:pt>
                <c:pt idx="102">
                  <c:v>34850</c:v>
                </c:pt>
                <c:pt idx="103">
                  <c:v>34880</c:v>
                </c:pt>
                <c:pt idx="104">
                  <c:v>34911</c:v>
                </c:pt>
                <c:pt idx="105">
                  <c:v>34942</c:v>
                </c:pt>
                <c:pt idx="106">
                  <c:v>34972</c:v>
                </c:pt>
                <c:pt idx="107">
                  <c:v>35003</c:v>
                </c:pt>
                <c:pt idx="108">
                  <c:v>35033</c:v>
                </c:pt>
                <c:pt idx="109">
                  <c:v>35064</c:v>
                </c:pt>
                <c:pt idx="110">
                  <c:v>35095</c:v>
                </c:pt>
                <c:pt idx="111">
                  <c:v>35124</c:v>
                </c:pt>
                <c:pt idx="112">
                  <c:v>35155</c:v>
                </c:pt>
                <c:pt idx="113">
                  <c:v>35185</c:v>
                </c:pt>
                <c:pt idx="114">
                  <c:v>35216</c:v>
                </c:pt>
                <c:pt idx="115">
                  <c:v>35246</c:v>
                </c:pt>
                <c:pt idx="116">
                  <c:v>35277</c:v>
                </c:pt>
                <c:pt idx="117">
                  <c:v>35308</c:v>
                </c:pt>
                <c:pt idx="118">
                  <c:v>35338</c:v>
                </c:pt>
                <c:pt idx="119">
                  <c:v>35369</c:v>
                </c:pt>
                <c:pt idx="120">
                  <c:v>35399</c:v>
                </c:pt>
                <c:pt idx="121">
                  <c:v>35430</c:v>
                </c:pt>
                <c:pt idx="122">
                  <c:v>35461</c:v>
                </c:pt>
                <c:pt idx="123">
                  <c:v>35489</c:v>
                </c:pt>
                <c:pt idx="124">
                  <c:v>35520</c:v>
                </c:pt>
                <c:pt idx="125">
                  <c:v>35550</c:v>
                </c:pt>
                <c:pt idx="126">
                  <c:v>35581</c:v>
                </c:pt>
                <c:pt idx="127">
                  <c:v>35611</c:v>
                </c:pt>
                <c:pt idx="128">
                  <c:v>35642</c:v>
                </c:pt>
                <c:pt idx="129">
                  <c:v>35673</c:v>
                </c:pt>
                <c:pt idx="130">
                  <c:v>35703</c:v>
                </c:pt>
                <c:pt idx="131">
                  <c:v>35734</c:v>
                </c:pt>
                <c:pt idx="132">
                  <c:v>35764</c:v>
                </c:pt>
                <c:pt idx="133">
                  <c:v>35795</c:v>
                </c:pt>
                <c:pt idx="134">
                  <c:v>35826</c:v>
                </c:pt>
                <c:pt idx="135">
                  <c:v>35854</c:v>
                </c:pt>
                <c:pt idx="136">
                  <c:v>35885</c:v>
                </c:pt>
                <c:pt idx="137">
                  <c:v>35915</c:v>
                </c:pt>
                <c:pt idx="138">
                  <c:v>35946</c:v>
                </c:pt>
                <c:pt idx="139">
                  <c:v>35976</c:v>
                </c:pt>
                <c:pt idx="140">
                  <c:v>36007</c:v>
                </c:pt>
                <c:pt idx="141">
                  <c:v>36038</c:v>
                </c:pt>
                <c:pt idx="142">
                  <c:v>36068</c:v>
                </c:pt>
                <c:pt idx="143">
                  <c:v>36099</c:v>
                </c:pt>
                <c:pt idx="144">
                  <c:v>36129</c:v>
                </c:pt>
                <c:pt idx="145">
                  <c:v>36160</c:v>
                </c:pt>
                <c:pt idx="146">
                  <c:v>36191</c:v>
                </c:pt>
                <c:pt idx="147">
                  <c:v>36219</c:v>
                </c:pt>
                <c:pt idx="148">
                  <c:v>36250</c:v>
                </c:pt>
                <c:pt idx="149">
                  <c:v>36280</c:v>
                </c:pt>
                <c:pt idx="150">
                  <c:v>36311</c:v>
                </c:pt>
                <c:pt idx="151">
                  <c:v>36341</c:v>
                </c:pt>
                <c:pt idx="152">
                  <c:v>36372</c:v>
                </c:pt>
                <c:pt idx="153">
                  <c:v>36403</c:v>
                </c:pt>
                <c:pt idx="154">
                  <c:v>36433</c:v>
                </c:pt>
                <c:pt idx="155">
                  <c:v>36464</c:v>
                </c:pt>
                <c:pt idx="156">
                  <c:v>36494</c:v>
                </c:pt>
                <c:pt idx="157">
                  <c:v>36525</c:v>
                </c:pt>
                <c:pt idx="158">
                  <c:v>36556</c:v>
                </c:pt>
                <c:pt idx="159">
                  <c:v>36585</c:v>
                </c:pt>
                <c:pt idx="160">
                  <c:v>36616</c:v>
                </c:pt>
                <c:pt idx="161">
                  <c:v>36646</c:v>
                </c:pt>
                <c:pt idx="162">
                  <c:v>36677</c:v>
                </c:pt>
                <c:pt idx="163">
                  <c:v>36707</c:v>
                </c:pt>
                <c:pt idx="164">
                  <c:v>36738</c:v>
                </c:pt>
                <c:pt idx="165">
                  <c:v>36769</c:v>
                </c:pt>
                <c:pt idx="166">
                  <c:v>36799</c:v>
                </c:pt>
                <c:pt idx="167">
                  <c:v>36830</c:v>
                </c:pt>
                <c:pt idx="168">
                  <c:v>36860</c:v>
                </c:pt>
                <c:pt idx="169">
                  <c:v>36891</c:v>
                </c:pt>
                <c:pt idx="170">
                  <c:v>36922</c:v>
                </c:pt>
                <c:pt idx="171">
                  <c:v>36950</c:v>
                </c:pt>
                <c:pt idx="172">
                  <c:v>36981</c:v>
                </c:pt>
                <c:pt idx="173">
                  <c:v>37011</c:v>
                </c:pt>
                <c:pt idx="174">
                  <c:v>37042</c:v>
                </c:pt>
                <c:pt idx="175">
                  <c:v>37072</c:v>
                </c:pt>
                <c:pt idx="176">
                  <c:v>37103</c:v>
                </c:pt>
                <c:pt idx="177">
                  <c:v>37134</c:v>
                </c:pt>
                <c:pt idx="178">
                  <c:v>37164</c:v>
                </c:pt>
                <c:pt idx="179">
                  <c:v>37195</c:v>
                </c:pt>
                <c:pt idx="180">
                  <c:v>37225</c:v>
                </c:pt>
                <c:pt idx="181">
                  <c:v>37256</c:v>
                </c:pt>
                <c:pt idx="182">
                  <c:v>37287</c:v>
                </c:pt>
                <c:pt idx="183">
                  <c:v>37315</c:v>
                </c:pt>
                <c:pt idx="184">
                  <c:v>37346</c:v>
                </c:pt>
                <c:pt idx="185">
                  <c:v>37376</c:v>
                </c:pt>
                <c:pt idx="186">
                  <c:v>37407</c:v>
                </c:pt>
                <c:pt idx="187">
                  <c:v>37437</c:v>
                </c:pt>
                <c:pt idx="188">
                  <c:v>37468</c:v>
                </c:pt>
                <c:pt idx="189">
                  <c:v>37499</c:v>
                </c:pt>
                <c:pt idx="190">
                  <c:v>37529</c:v>
                </c:pt>
                <c:pt idx="191">
                  <c:v>37560</c:v>
                </c:pt>
                <c:pt idx="192">
                  <c:v>37590</c:v>
                </c:pt>
                <c:pt idx="193">
                  <c:v>37621</c:v>
                </c:pt>
                <c:pt idx="194">
                  <c:v>37652</c:v>
                </c:pt>
                <c:pt idx="195">
                  <c:v>37680</c:v>
                </c:pt>
                <c:pt idx="196">
                  <c:v>37711</c:v>
                </c:pt>
                <c:pt idx="197">
                  <c:v>37741</c:v>
                </c:pt>
                <c:pt idx="198">
                  <c:v>37772</c:v>
                </c:pt>
                <c:pt idx="199">
                  <c:v>37802</c:v>
                </c:pt>
                <c:pt idx="200">
                  <c:v>37833</c:v>
                </c:pt>
                <c:pt idx="201">
                  <c:v>37864</c:v>
                </c:pt>
                <c:pt idx="202">
                  <c:v>37894</c:v>
                </c:pt>
                <c:pt idx="203">
                  <c:v>37925</c:v>
                </c:pt>
                <c:pt idx="204">
                  <c:v>37955</c:v>
                </c:pt>
                <c:pt idx="205">
                  <c:v>37986</c:v>
                </c:pt>
                <c:pt idx="206">
                  <c:v>38017</c:v>
                </c:pt>
                <c:pt idx="207">
                  <c:v>38046</c:v>
                </c:pt>
                <c:pt idx="208">
                  <c:v>38077</c:v>
                </c:pt>
                <c:pt idx="209">
                  <c:v>38107</c:v>
                </c:pt>
                <c:pt idx="210">
                  <c:v>38138</c:v>
                </c:pt>
                <c:pt idx="211">
                  <c:v>38168</c:v>
                </c:pt>
                <c:pt idx="212">
                  <c:v>38199</c:v>
                </c:pt>
                <c:pt idx="213">
                  <c:v>38230</c:v>
                </c:pt>
                <c:pt idx="214">
                  <c:v>38260</c:v>
                </c:pt>
                <c:pt idx="215">
                  <c:v>38291</c:v>
                </c:pt>
                <c:pt idx="216">
                  <c:v>38321</c:v>
                </c:pt>
                <c:pt idx="217">
                  <c:v>38352</c:v>
                </c:pt>
                <c:pt idx="218">
                  <c:v>38383</c:v>
                </c:pt>
                <c:pt idx="219">
                  <c:v>38411</c:v>
                </c:pt>
                <c:pt idx="220">
                  <c:v>38442</c:v>
                </c:pt>
                <c:pt idx="221">
                  <c:v>38472</c:v>
                </c:pt>
                <c:pt idx="222">
                  <c:v>38503</c:v>
                </c:pt>
                <c:pt idx="223">
                  <c:v>38533</c:v>
                </c:pt>
                <c:pt idx="224">
                  <c:v>38564</c:v>
                </c:pt>
                <c:pt idx="225">
                  <c:v>38595</c:v>
                </c:pt>
                <c:pt idx="226">
                  <c:v>38625</c:v>
                </c:pt>
                <c:pt idx="227">
                  <c:v>38656</c:v>
                </c:pt>
                <c:pt idx="228">
                  <c:v>38686</c:v>
                </c:pt>
                <c:pt idx="229">
                  <c:v>38717</c:v>
                </c:pt>
                <c:pt idx="230">
                  <c:v>38748</c:v>
                </c:pt>
                <c:pt idx="231">
                  <c:v>38776</c:v>
                </c:pt>
                <c:pt idx="232">
                  <c:v>38807</c:v>
                </c:pt>
                <c:pt idx="233">
                  <c:v>38837</c:v>
                </c:pt>
                <c:pt idx="234">
                  <c:v>38868</c:v>
                </c:pt>
                <c:pt idx="235">
                  <c:v>38898</c:v>
                </c:pt>
                <c:pt idx="236">
                  <c:v>38929</c:v>
                </c:pt>
                <c:pt idx="237">
                  <c:v>38960</c:v>
                </c:pt>
                <c:pt idx="238">
                  <c:v>38990</c:v>
                </c:pt>
                <c:pt idx="239">
                  <c:v>39021</c:v>
                </c:pt>
                <c:pt idx="240">
                  <c:v>39051</c:v>
                </c:pt>
                <c:pt idx="241">
                  <c:v>39082</c:v>
                </c:pt>
                <c:pt idx="242">
                  <c:v>39113</c:v>
                </c:pt>
                <c:pt idx="243">
                  <c:v>39141</c:v>
                </c:pt>
                <c:pt idx="244">
                  <c:v>39172</c:v>
                </c:pt>
                <c:pt idx="245">
                  <c:v>39202</c:v>
                </c:pt>
                <c:pt idx="246">
                  <c:v>39233</c:v>
                </c:pt>
                <c:pt idx="247">
                  <c:v>39263</c:v>
                </c:pt>
                <c:pt idx="248">
                  <c:v>39294</c:v>
                </c:pt>
                <c:pt idx="249">
                  <c:v>39325</c:v>
                </c:pt>
                <c:pt idx="250">
                  <c:v>39355</c:v>
                </c:pt>
                <c:pt idx="251">
                  <c:v>39386</c:v>
                </c:pt>
                <c:pt idx="252">
                  <c:v>39416</c:v>
                </c:pt>
                <c:pt idx="253">
                  <c:v>39447</c:v>
                </c:pt>
                <c:pt idx="254">
                  <c:v>39478</c:v>
                </c:pt>
                <c:pt idx="255">
                  <c:v>39507</c:v>
                </c:pt>
                <c:pt idx="256">
                  <c:v>39538</c:v>
                </c:pt>
                <c:pt idx="257">
                  <c:v>39568</c:v>
                </c:pt>
                <c:pt idx="258">
                  <c:v>39599</c:v>
                </c:pt>
                <c:pt idx="259">
                  <c:v>39629</c:v>
                </c:pt>
                <c:pt idx="260">
                  <c:v>39660</c:v>
                </c:pt>
                <c:pt idx="261">
                  <c:v>39691</c:v>
                </c:pt>
                <c:pt idx="262">
                  <c:v>39721</c:v>
                </c:pt>
                <c:pt idx="263">
                  <c:v>39752</c:v>
                </c:pt>
                <c:pt idx="264">
                  <c:v>39782</c:v>
                </c:pt>
                <c:pt idx="265">
                  <c:v>39813</c:v>
                </c:pt>
                <c:pt idx="266">
                  <c:v>39844</c:v>
                </c:pt>
                <c:pt idx="267">
                  <c:v>39872</c:v>
                </c:pt>
                <c:pt idx="268">
                  <c:v>39903</c:v>
                </c:pt>
                <c:pt idx="269">
                  <c:v>39933</c:v>
                </c:pt>
                <c:pt idx="270">
                  <c:v>39964</c:v>
                </c:pt>
                <c:pt idx="271">
                  <c:v>39994</c:v>
                </c:pt>
                <c:pt idx="272">
                  <c:v>40025</c:v>
                </c:pt>
                <c:pt idx="273">
                  <c:v>40056</c:v>
                </c:pt>
                <c:pt idx="274">
                  <c:v>40086</c:v>
                </c:pt>
                <c:pt idx="275">
                  <c:v>40117</c:v>
                </c:pt>
                <c:pt idx="276">
                  <c:v>40147</c:v>
                </c:pt>
                <c:pt idx="277">
                  <c:v>40178</c:v>
                </c:pt>
                <c:pt idx="278">
                  <c:v>40209</c:v>
                </c:pt>
                <c:pt idx="279">
                  <c:v>40237</c:v>
                </c:pt>
                <c:pt idx="280">
                  <c:v>40268</c:v>
                </c:pt>
                <c:pt idx="281">
                  <c:v>40298</c:v>
                </c:pt>
                <c:pt idx="282">
                  <c:v>40329</c:v>
                </c:pt>
                <c:pt idx="283">
                  <c:v>40359</c:v>
                </c:pt>
                <c:pt idx="284">
                  <c:v>40390</c:v>
                </c:pt>
                <c:pt idx="285">
                  <c:v>40421</c:v>
                </c:pt>
                <c:pt idx="286">
                  <c:v>40451</c:v>
                </c:pt>
                <c:pt idx="287">
                  <c:v>40482</c:v>
                </c:pt>
                <c:pt idx="288">
                  <c:v>40512</c:v>
                </c:pt>
                <c:pt idx="289">
                  <c:v>40543</c:v>
                </c:pt>
                <c:pt idx="290">
                  <c:v>40574</c:v>
                </c:pt>
                <c:pt idx="291">
                  <c:v>40602</c:v>
                </c:pt>
                <c:pt idx="292">
                  <c:v>40633</c:v>
                </c:pt>
                <c:pt idx="293">
                  <c:v>40663</c:v>
                </c:pt>
                <c:pt idx="294">
                  <c:v>40694</c:v>
                </c:pt>
                <c:pt idx="295">
                  <c:v>40724</c:v>
                </c:pt>
                <c:pt idx="296">
                  <c:v>40755</c:v>
                </c:pt>
                <c:pt idx="297">
                  <c:v>40786</c:v>
                </c:pt>
                <c:pt idx="298">
                  <c:v>40816</c:v>
                </c:pt>
                <c:pt idx="299">
                  <c:v>40847</c:v>
                </c:pt>
                <c:pt idx="300">
                  <c:v>40877</c:v>
                </c:pt>
                <c:pt idx="301">
                  <c:v>40908</c:v>
                </c:pt>
                <c:pt idx="302">
                  <c:v>40939</c:v>
                </c:pt>
                <c:pt idx="303">
                  <c:v>40968</c:v>
                </c:pt>
                <c:pt idx="304">
                  <c:v>40999</c:v>
                </c:pt>
                <c:pt idx="305">
                  <c:v>41029</c:v>
                </c:pt>
                <c:pt idx="306">
                  <c:v>41060</c:v>
                </c:pt>
                <c:pt idx="307">
                  <c:v>41090</c:v>
                </c:pt>
                <c:pt idx="308">
                  <c:v>41121</c:v>
                </c:pt>
                <c:pt idx="309">
                  <c:v>41152</c:v>
                </c:pt>
                <c:pt idx="310">
                  <c:v>41182</c:v>
                </c:pt>
                <c:pt idx="311">
                  <c:v>41213</c:v>
                </c:pt>
                <c:pt idx="312">
                  <c:v>41243</c:v>
                </c:pt>
                <c:pt idx="313">
                  <c:v>41274</c:v>
                </c:pt>
                <c:pt idx="314">
                  <c:v>41305</c:v>
                </c:pt>
                <c:pt idx="315">
                  <c:v>41333</c:v>
                </c:pt>
                <c:pt idx="316">
                  <c:v>41364</c:v>
                </c:pt>
                <c:pt idx="317">
                  <c:v>41394</c:v>
                </c:pt>
                <c:pt idx="318">
                  <c:v>41425</c:v>
                </c:pt>
                <c:pt idx="319">
                  <c:v>41455</c:v>
                </c:pt>
                <c:pt idx="320">
                  <c:v>41486</c:v>
                </c:pt>
                <c:pt idx="321">
                  <c:v>41517</c:v>
                </c:pt>
                <c:pt idx="322">
                  <c:v>41547</c:v>
                </c:pt>
                <c:pt idx="323">
                  <c:v>41578</c:v>
                </c:pt>
                <c:pt idx="324">
                  <c:v>41608</c:v>
                </c:pt>
                <c:pt idx="325">
                  <c:v>41639</c:v>
                </c:pt>
                <c:pt idx="326">
                  <c:v>41670</c:v>
                </c:pt>
                <c:pt idx="327">
                  <c:v>41698</c:v>
                </c:pt>
                <c:pt idx="328">
                  <c:v>41729</c:v>
                </c:pt>
                <c:pt idx="329">
                  <c:v>41759</c:v>
                </c:pt>
                <c:pt idx="330">
                  <c:v>41790</c:v>
                </c:pt>
                <c:pt idx="331">
                  <c:v>41820</c:v>
                </c:pt>
                <c:pt idx="332">
                  <c:v>41851</c:v>
                </c:pt>
                <c:pt idx="333">
                  <c:v>41882</c:v>
                </c:pt>
                <c:pt idx="334">
                  <c:v>41912</c:v>
                </c:pt>
                <c:pt idx="335">
                  <c:v>41943</c:v>
                </c:pt>
                <c:pt idx="336">
                  <c:v>41973</c:v>
                </c:pt>
                <c:pt idx="337">
                  <c:v>42004</c:v>
                </c:pt>
                <c:pt idx="338">
                  <c:v>42035</c:v>
                </c:pt>
                <c:pt idx="339">
                  <c:v>42063</c:v>
                </c:pt>
                <c:pt idx="340">
                  <c:v>42094</c:v>
                </c:pt>
                <c:pt idx="341">
                  <c:v>42124</c:v>
                </c:pt>
                <c:pt idx="342">
                  <c:v>42155</c:v>
                </c:pt>
                <c:pt idx="343">
                  <c:v>42185</c:v>
                </c:pt>
                <c:pt idx="344">
                  <c:v>42216</c:v>
                </c:pt>
                <c:pt idx="345">
                  <c:v>42247</c:v>
                </c:pt>
                <c:pt idx="346">
                  <c:v>42277</c:v>
                </c:pt>
                <c:pt idx="347">
                  <c:v>42308</c:v>
                </c:pt>
                <c:pt idx="348">
                  <c:v>42338</c:v>
                </c:pt>
                <c:pt idx="349">
                  <c:v>42369</c:v>
                </c:pt>
                <c:pt idx="350">
                  <c:v>42400</c:v>
                </c:pt>
                <c:pt idx="351">
                  <c:v>42429</c:v>
                </c:pt>
                <c:pt idx="352">
                  <c:v>42460</c:v>
                </c:pt>
                <c:pt idx="353">
                  <c:v>42490</c:v>
                </c:pt>
                <c:pt idx="354">
                  <c:v>42521</c:v>
                </c:pt>
                <c:pt idx="355">
                  <c:v>42551</c:v>
                </c:pt>
                <c:pt idx="356">
                  <c:v>42582</c:v>
                </c:pt>
                <c:pt idx="357">
                  <c:v>42613</c:v>
                </c:pt>
                <c:pt idx="358">
                  <c:v>42643</c:v>
                </c:pt>
                <c:pt idx="359">
                  <c:v>42674</c:v>
                </c:pt>
                <c:pt idx="360">
                  <c:v>42704</c:v>
                </c:pt>
                <c:pt idx="361">
                  <c:v>42735</c:v>
                </c:pt>
                <c:pt idx="362">
                  <c:v>42766</c:v>
                </c:pt>
                <c:pt idx="363">
                  <c:v>42794</c:v>
                </c:pt>
                <c:pt idx="364">
                  <c:v>42825</c:v>
                </c:pt>
                <c:pt idx="365">
                  <c:v>42855</c:v>
                </c:pt>
                <c:pt idx="366">
                  <c:v>42886</c:v>
                </c:pt>
                <c:pt idx="367">
                  <c:v>42916</c:v>
                </c:pt>
                <c:pt idx="368">
                  <c:v>42947</c:v>
                </c:pt>
                <c:pt idx="369">
                  <c:v>42978</c:v>
                </c:pt>
                <c:pt idx="370">
                  <c:v>43008</c:v>
                </c:pt>
                <c:pt idx="371">
                  <c:v>43039</c:v>
                </c:pt>
                <c:pt idx="372">
                  <c:v>43069</c:v>
                </c:pt>
                <c:pt idx="373">
                  <c:v>43100</c:v>
                </c:pt>
                <c:pt idx="374">
                  <c:v>43131</c:v>
                </c:pt>
                <c:pt idx="375">
                  <c:v>43159</c:v>
                </c:pt>
                <c:pt idx="376">
                  <c:v>43190</c:v>
                </c:pt>
                <c:pt idx="377">
                  <c:v>43220</c:v>
                </c:pt>
                <c:pt idx="378">
                  <c:v>43251</c:v>
                </c:pt>
                <c:pt idx="379">
                  <c:v>43281</c:v>
                </c:pt>
                <c:pt idx="380">
                  <c:v>43312</c:v>
                </c:pt>
                <c:pt idx="381">
                  <c:v>43343</c:v>
                </c:pt>
                <c:pt idx="382">
                  <c:v>43373</c:v>
                </c:pt>
                <c:pt idx="383">
                  <c:v>43404</c:v>
                </c:pt>
                <c:pt idx="384">
                  <c:v>43434</c:v>
                </c:pt>
                <c:pt idx="385">
                  <c:v>43465</c:v>
                </c:pt>
                <c:pt idx="386">
                  <c:v>43496</c:v>
                </c:pt>
                <c:pt idx="387">
                  <c:v>43524</c:v>
                </c:pt>
                <c:pt idx="388">
                  <c:v>43555</c:v>
                </c:pt>
                <c:pt idx="389">
                  <c:v>43585</c:v>
                </c:pt>
                <c:pt idx="390">
                  <c:v>43616</c:v>
                </c:pt>
                <c:pt idx="391">
                  <c:v>43646</c:v>
                </c:pt>
                <c:pt idx="392">
                  <c:v>43677</c:v>
                </c:pt>
                <c:pt idx="393">
                  <c:v>43708</c:v>
                </c:pt>
                <c:pt idx="394">
                  <c:v>43738</c:v>
                </c:pt>
                <c:pt idx="395">
                  <c:v>43769</c:v>
                </c:pt>
                <c:pt idx="396">
                  <c:v>43799</c:v>
                </c:pt>
                <c:pt idx="397">
                  <c:v>43830</c:v>
                </c:pt>
                <c:pt idx="398">
                  <c:v>43861</c:v>
                </c:pt>
                <c:pt idx="399">
                  <c:v>43890</c:v>
                </c:pt>
                <c:pt idx="400">
                  <c:v>43921</c:v>
                </c:pt>
                <c:pt idx="401">
                  <c:v>43951</c:v>
                </c:pt>
                <c:pt idx="402">
                  <c:v>43982</c:v>
                </c:pt>
                <c:pt idx="403">
                  <c:v>44012</c:v>
                </c:pt>
                <c:pt idx="404">
                  <c:v>44043</c:v>
                </c:pt>
                <c:pt idx="405">
                  <c:v>44074</c:v>
                </c:pt>
                <c:pt idx="406">
                  <c:v>44104</c:v>
                </c:pt>
                <c:pt idx="407">
                  <c:v>44135</c:v>
                </c:pt>
                <c:pt idx="408">
                  <c:v>44165</c:v>
                </c:pt>
                <c:pt idx="409">
                  <c:v>44196</c:v>
                </c:pt>
                <c:pt idx="410">
                  <c:v>44227</c:v>
                </c:pt>
                <c:pt idx="411">
                  <c:v>44255</c:v>
                </c:pt>
                <c:pt idx="412">
                  <c:v>44286</c:v>
                </c:pt>
                <c:pt idx="413">
                  <c:v>44316</c:v>
                </c:pt>
                <c:pt idx="414">
                  <c:v>44347</c:v>
                </c:pt>
                <c:pt idx="415">
                  <c:v>44377</c:v>
                </c:pt>
                <c:pt idx="416">
                  <c:v>44408</c:v>
                </c:pt>
                <c:pt idx="417">
                  <c:v>44439</c:v>
                </c:pt>
                <c:pt idx="418">
                  <c:v>44469</c:v>
                </c:pt>
                <c:pt idx="419">
                  <c:v>44500</c:v>
                </c:pt>
                <c:pt idx="420">
                  <c:v>44530</c:v>
                </c:pt>
                <c:pt idx="421">
                  <c:v>44561</c:v>
                </c:pt>
                <c:pt idx="422">
                  <c:v>44592</c:v>
                </c:pt>
                <c:pt idx="423">
                  <c:v>44620</c:v>
                </c:pt>
                <c:pt idx="424">
                  <c:v>44651</c:v>
                </c:pt>
                <c:pt idx="425">
                  <c:v>44681</c:v>
                </c:pt>
                <c:pt idx="426">
                  <c:v>44712</c:v>
                </c:pt>
                <c:pt idx="427">
                  <c:v>44742</c:v>
                </c:pt>
                <c:pt idx="428">
                  <c:v>44773</c:v>
                </c:pt>
                <c:pt idx="429">
                  <c:v>44804</c:v>
                </c:pt>
                <c:pt idx="430">
                  <c:v>44834</c:v>
                </c:pt>
                <c:pt idx="431">
                  <c:v>44865</c:v>
                </c:pt>
                <c:pt idx="432">
                  <c:v>44895</c:v>
                </c:pt>
                <c:pt idx="433">
                  <c:v>44926</c:v>
                </c:pt>
                <c:pt idx="434">
                  <c:v>44957</c:v>
                </c:pt>
                <c:pt idx="435">
                  <c:v>44985</c:v>
                </c:pt>
                <c:pt idx="436">
                  <c:v>45016</c:v>
                </c:pt>
                <c:pt idx="437">
                  <c:v>45046</c:v>
                </c:pt>
                <c:pt idx="438">
                  <c:v>45077</c:v>
                </c:pt>
                <c:pt idx="439">
                  <c:v>45107</c:v>
                </c:pt>
                <c:pt idx="440">
                  <c:v>45138</c:v>
                </c:pt>
                <c:pt idx="441">
                  <c:v>45169</c:v>
                </c:pt>
                <c:pt idx="442">
                  <c:v>45199</c:v>
                </c:pt>
                <c:pt idx="443">
                  <c:v>45230</c:v>
                </c:pt>
                <c:pt idx="444">
                  <c:v>45260</c:v>
                </c:pt>
                <c:pt idx="445">
                  <c:v>45291</c:v>
                </c:pt>
                <c:pt idx="446">
                  <c:v>45322</c:v>
                </c:pt>
                <c:pt idx="447">
                  <c:v>45351</c:v>
                </c:pt>
                <c:pt idx="448">
                  <c:v>45382</c:v>
                </c:pt>
                <c:pt idx="449">
                  <c:v>45412</c:v>
                </c:pt>
                <c:pt idx="450">
                  <c:v>45443</c:v>
                </c:pt>
                <c:pt idx="451">
                  <c:v>45473</c:v>
                </c:pt>
                <c:pt idx="452">
                  <c:v>45504</c:v>
                </c:pt>
                <c:pt idx="453">
                  <c:v>45535</c:v>
                </c:pt>
                <c:pt idx="454">
                  <c:v>45565</c:v>
                </c:pt>
                <c:pt idx="455">
                  <c:v>45596</c:v>
                </c:pt>
                <c:pt idx="456">
                  <c:v>45626</c:v>
                </c:pt>
                <c:pt idx="457">
                  <c:v>45657</c:v>
                </c:pt>
                <c:pt idx="458">
                  <c:v>45688</c:v>
                </c:pt>
                <c:pt idx="459">
                  <c:v>45716</c:v>
                </c:pt>
                <c:pt idx="460">
                  <c:v>45747</c:v>
                </c:pt>
                <c:pt idx="461">
                  <c:v>45777</c:v>
                </c:pt>
                <c:pt idx="462">
                  <c:v>45808</c:v>
                </c:pt>
                <c:pt idx="463">
                  <c:v>45838</c:v>
                </c:pt>
                <c:pt idx="464">
                  <c:v>45869</c:v>
                </c:pt>
                <c:pt idx="465">
                  <c:v>45900</c:v>
                </c:pt>
                <c:pt idx="466">
                  <c:v>45930</c:v>
                </c:pt>
                <c:pt idx="467">
                  <c:v>45961</c:v>
                </c:pt>
                <c:pt idx="468">
                  <c:v>45991</c:v>
                </c:pt>
                <c:pt idx="469">
                  <c:v>46022</c:v>
                </c:pt>
                <c:pt idx="470">
                  <c:v>46053</c:v>
                </c:pt>
                <c:pt idx="471">
                  <c:v>46081</c:v>
                </c:pt>
                <c:pt idx="472">
                  <c:v>46112</c:v>
                </c:pt>
                <c:pt idx="473">
                  <c:v>46142</c:v>
                </c:pt>
                <c:pt idx="474">
                  <c:v>46173</c:v>
                </c:pt>
                <c:pt idx="475">
                  <c:v>46203</c:v>
                </c:pt>
                <c:pt idx="476">
                  <c:v>46234</c:v>
                </c:pt>
                <c:pt idx="477">
                  <c:v>46265</c:v>
                </c:pt>
                <c:pt idx="478">
                  <c:v>46295</c:v>
                </c:pt>
              </c:numCache>
            </c:numRef>
          </c:xVal>
          <c:yVal>
            <c:numRef>
              <c:f>'Base Rating 2'!$O$2:$O$480</c:f>
              <c:numCache>
                <c:formatCode>General</c:formatCode>
                <c:ptCount val="4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#N/A</c:v>
                </c:pt>
                <c:pt idx="188">
                  <c:v>#N/A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9</c:v>
                </c:pt>
                <c:pt idx="215">
                  <c:v>9</c:v>
                </c:pt>
                <c:pt idx="216">
                  <c:v>9</c:v>
                </c:pt>
                <c:pt idx="217">
                  <c:v>9</c:v>
                </c:pt>
                <c:pt idx="218">
                  <c:v>9</c:v>
                </c:pt>
                <c:pt idx="219">
                  <c:v>9</c:v>
                </c:pt>
                <c:pt idx="220">
                  <c:v>9</c:v>
                </c:pt>
                <c:pt idx="221">
                  <c:v>9</c:v>
                </c:pt>
                <c:pt idx="222">
                  <c:v>9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9</c:v>
                </c:pt>
                <c:pt idx="227">
                  <c:v>9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9</c:v>
                </c:pt>
                <c:pt idx="232">
                  <c:v>9</c:v>
                </c:pt>
                <c:pt idx="233">
                  <c:v>9</c:v>
                </c:pt>
                <c:pt idx="234">
                  <c:v>9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13</c:v>
                </c:pt>
                <c:pt idx="329">
                  <c:v>13</c:v>
                </c:pt>
                <c:pt idx="330">
                  <c:v>13</c:v>
                </c:pt>
                <c:pt idx="331">
                  <c:v>13</c:v>
                </c:pt>
                <c:pt idx="332">
                  <c:v>13</c:v>
                </c:pt>
                <c:pt idx="333">
                  <c:v>13</c:v>
                </c:pt>
                <c:pt idx="334">
                  <c:v>13</c:v>
                </c:pt>
                <c:pt idx="335">
                  <c:v>13</c:v>
                </c:pt>
                <c:pt idx="336">
                  <c:v>13</c:v>
                </c:pt>
                <c:pt idx="337">
                  <c:v>13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</c:v>
                </c:pt>
                <c:pt idx="342">
                  <c:v>13</c:v>
                </c:pt>
                <c:pt idx="343">
                  <c:v>13</c:v>
                </c:pt>
                <c:pt idx="344">
                  <c:v>13</c:v>
                </c:pt>
                <c:pt idx="345">
                  <c:v>13</c:v>
                </c:pt>
                <c:pt idx="346">
                  <c:v>13</c:v>
                </c:pt>
                <c:pt idx="347">
                  <c:v>12</c:v>
                </c:pt>
                <c:pt idx="348">
                  <c:v>12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10</c:v>
                </c:pt>
                <c:pt idx="441">
                  <c:v>10</c:v>
                </c:pt>
                <c:pt idx="442">
                  <c:v>10</c:v>
                </c:pt>
                <c:pt idx="443">
                  <c:v>10</c:v>
                </c:pt>
                <c:pt idx="444">
                  <c:v>10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C8-4E9B-9483-425D84D58B42}"/>
            </c:ext>
          </c:extLst>
        </c:ser>
        <c:ser>
          <c:idx val="2"/>
          <c:order val="2"/>
          <c:tx>
            <c:v>Perspectiva positiva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'Base Rating 2'!$Z$2:$Z$44</c:f>
              <c:numCache>
                <c:formatCode>m/d/yyyy</c:formatCode>
                <c:ptCount val="43"/>
                <c:pt idx="0">
                  <c:v>46189</c:v>
                </c:pt>
                <c:pt idx="1">
                  <c:v>45833</c:v>
                </c:pt>
                <c:pt idx="2">
                  <c:v>45470</c:v>
                </c:pt>
                <c:pt idx="3">
                  <c:v>45275</c:v>
                </c:pt>
                <c:pt idx="4">
                  <c:v>45133</c:v>
                </c:pt>
                <c:pt idx="5">
                  <c:v>44915</c:v>
                </c:pt>
                <c:pt idx="6">
                  <c:v>44756</c:v>
                </c:pt>
                <c:pt idx="7">
                  <c:v>44544</c:v>
                </c:pt>
                <c:pt idx="8">
                  <c:v>44343</c:v>
                </c:pt>
                <c:pt idx="9">
                  <c:v>44153</c:v>
                </c:pt>
                <c:pt idx="10">
                  <c:v>43956</c:v>
                </c:pt>
                <c:pt idx="11">
                  <c:v>43783</c:v>
                </c:pt>
                <c:pt idx="12">
                  <c:v>43606</c:v>
                </c:pt>
                <c:pt idx="13">
                  <c:v>43313</c:v>
                </c:pt>
                <c:pt idx="14">
                  <c:v>43154</c:v>
                </c:pt>
                <c:pt idx="15">
                  <c:v>43049</c:v>
                </c:pt>
                <c:pt idx="16">
                  <c:v>42873</c:v>
                </c:pt>
                <c:pt idx="17">
                  <c:v>42684</c:v>
                </c:pt>
                <c:pt idx="18">
                  <c:v>42495</c:v>
                </c:pt>
                <c:pt idx="19">
                  <c:v>42354</c:v>
                </c:pt>
                <c:pt idx="20">
                  <c:v>42292</c:v>
                </c:pt>
                <c:pt idx="21">
                  <c:v>42103</c:v>
                </c:pt>
                <c:pt idx="22">
                  <c:v>40637</c:v>
                </c:pt>
                <c:pt idx="23">
                  <c:v>40359</c:v>
                </c:pt>
                <c:pt idx="24">
                  <c:v>39596</c:v>
                </c:pt>
                <c:pt idx="25">
                  <c:v>39212</c:v>
                </c:pt>
                <c:pt idx="26">
                  <c:v>39117</c:v>
                </c:pt>
                <c:pt idx="27">
                  <c:v>38896</c:v>
                </c:pt>
                <c:pt idx="28">
                  <c:v>38258</c:v>
                </c:pt>
                <c:pt idx="29">
                  <c:v>37931</c:v>
                </c:pt>
                <c:pt idx="30">
                  <c:v>37775</c:v>
                </c:pt>
                <c:pt idx="31">
                  <c:v>37550</c:v>
                </c:pt>
                <c:pt idx="32">
                  <c:v>37469</c:v>
                </c:pt>
                <c:pt idx="33">
                  <c:v>37427</c:v>
                </c:pt>
                <c:pt idx="34">
                  <c:v>37411</c:v>
                </c:pt>
                <c:pt idx="35">
                  <c:v>37089</c:v>
                </c:pt>
                <c:pt idx="36">
                  <c:v>36790</c:v>
                </c:pt>
                <c:pt idx="37">
                  <c:v>36665</c:v>
                </c:pt>
                <c:pt idx="38">
                  <c:v>36578</c:v>
                </c:pt>
                <c:pt idx="39">
                  <c:v>36186</c:v>
                </c:pt>
                <c:pt idx="40">
                  <c:v>35767</c:v>
                </c:pt>
                <c:pt idx="41">
                  <c:v>34998</c:v>
                </c:pt>
                <c:pt idx="42">
                  <c:v>34669</c:v>
                </c:pt>
              </c:numCache>
            </c:numRef>
          </c:xVal>
          <c:yVal>
            <c:numRef>
              <c:f>'Base Rating 2'!$AC$2:$AC$44</c:f>
              <c:numCache>
                <c:formatCode>General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12</c:v>
                </c:pt>
                <c:pt idx="24">
                  <c:v>#N/A</c:v>
                </c:pt>
                <c:pt idx="25">
                  <c:v>#N/A</c:v>
                </c:pt>
                <c:pt idx="26">
                  <c:v>10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7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C8-4E9B-9483-425D84D58B42}"/>
            </c:ext>
          </c:extLst>
        </c:ser>
        <c:ser>
          <c:idx val="3"/>
          <c:order val="3"/>
          <c:tx>
            <c:v>Perspectiva estável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 w="9525">
                <a:solidFill>
                  <a:srgbClr val="A6A6A6"/>
                </a:solidFill>
                <a:prstDash val="solid"/>
              </a:ln>
              <a:effectLst/>
            </c:spPr>
          </c:marker>
          <c:xVal>
            <c:numRef>
              <c:f>'Base Rating 2'!$Z$2:$Z$44</c:f>
              <c:numCache>
                <c:formatCode>m/d/yyyy</c:formatCode>
                <c:ptCount val="43"/>
                <c:pt idx="0">
                  <c:v>46189</c:v>
                </c:pt>
                <c:pt idx="1">
                  <c:v>45833</c:v>
                </c:pt>
                <c:pt idx="2">
                  <c:v>45470</c:v>
                </c:pt>
                <c:pt idx="3">
                  <c:v>45275</c:v>
                </c:pt>
                <c:pt idx="4">
                  <c:v>45133</c:v>
                </c:pt>
                <c:pt idx="5">
                  <c:v>44915</c:v>
                </c:pt>
                <c:pt idx="6">
                  <c:v>44756</c:v>
                </c:pt>
                <c:pt idx="7">
                  <c:v>44544</c:v>
                </c:pt>
                <c:pt idx="8">
                  <c:v>44343</c:v>
                </c:pt>
                <c:pt idx="9">
                  <c:v>44153</c:v>
                </c:pt>
                <c:pt idx="10">
                  <c:v>43956</c:v>
                </c:pt>
                <c:pt idx="11">
                  <c:v>43783</c:v>
                </c:pt>
                <c:pt idx="12">
                  <c:v>43606</c:v>
                </c:pt>
                <c:pt idx="13">
                  <c:v>43313</c:v>
                </c:pt>
                <c:pt idx="14">
                  <c:v>43154</c:v>
                </c:pt>
                <c:pt idx="15">
                  <c:v>43049</c:v>
                </c:pt>
                <c:pt idx="16">
                  <c:v>42873</c:v>
                </c:pt>
                <c:pt idx="17">
                  <c:v>42684</c:v>
                </c:pt>
                <c:pt idx="18">
                  <c:v>42495</c:v>
                </c:pt>
                <c:pt idx="19">
                  <c:v>42354</c:v>
                </c:pt>
                <c:pt idx="20">
                  <c:v>42292</c:v>
                </c:pt>
                <c:pt idx="21">
                  <c:v>42103</c:v>
                </c:pt>
                <c:pt idx="22">
                  <c:v>40637</c:v>
                </c:pt>
                <c:pt idx="23">
                  <c:v>40359</c:v>
                </c:pt>
                <c:pt idx="24">
                  <c:v>39596</c:v>
                </c:pt>
                <c:pt idx="25">
                  <c:v>39212</c:v>
                </c:pt>
                <c:pt idx="26">
                  <c:v>39117</c:v>
                </c:pt>
                <c:pt idx="27">
                  <c:v>38896</c:v>
                </c:pt>
                <c:pt idx="28">
                  <c:v>38258</c:v>
                </c:pt>
                <c:pt idx="29">
                  <c:v>37931</c:v>
                </c:pt>
                <c:pt idx="30">
                  <c:v>37775</c:v>
                </c:pt>
                <c:pt idx="31">
                  <c:v>37550</c:v>
                </c:pt>
                <c:pt idx="32">
                  <c:v>37469</c:v>
                </c:pt>
                <c:pt idx="33">
                  <c:v>37427</c:v>
                </c:pt>
                <c:pt idx="34">
                  <c:v>37411</c:v>
                </c:pt>
                <c:pt idx="35">
                  <c:v>37089</c:v>
                </c:pt>
                <c:pt idx="36">
                  <c:v>36790</c:v>
                </c:pt>
                <c:pt idx="37">
                  <c:v>36665</c:v>
                </c:pt>
                <c:pt idx="38">
                  <c:v>36578</c:v>
                </c:pt>
                <c:pt idx="39">
                  <c:v>36186</c:v>
                </c:pt>
                <c:pt idx="40">
                  <c:v>35767</c:v>
                </c:pt>
                <c:pt idx="41">
                  <c:v>34998</c:v>
                </c:pt>
                <c:pt idx="42">
                  <c:v>34669</c:v>
                </c:pt>
              </c:numCache>
            </c:numRef>
          </c:xVal>
          <c:yVal>
            <c:numRef>
              <c:f>'Base Rating 2'!$AD$2:$AD$44</c:f>
              <c:numCache>
                <c:formatCode>General</c:formatCode>
                <c:ptCount val="43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13</c:v>
                </c:pt>
                <c:pt idx="23">
                  <c:v>#N/A</c:v>
                </c:pt>
                <c:pt idx="24">
                  <c:v>12</c:v>
                </c:pt>
                <c:pt idx="25">
                  <c:v>11</c:v>
                </c:pt>
                <c:pt idx="26">
                  <c:v>#N/A</c:v>
                </c:pt>
                <c:pt idx="27">
                  <c:v>10</c:v>
                </c:pt>
                <c:pt idx="28">
                  <c:v>9</c:v>
                </c:pt>
                <c:pt idx="29">
                  <c:v>8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9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C8-4E9B-9483-425D84D58B42}"/>
            </c:ext>
          </c:extLst>
        </c:ser>
        <c:ser>
          <c:idx val="4"/>
          <c:order val="4"/>
          <c:tx>
            <c:v>Perspectiva negativa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'Base Rating 2'!$Z$2:$Z$44</c:f>
              <c:numCache>
                <c:formatCode>m/d/yyyy</c:formatCode>
                <c:ptCount val="43"/>
                <c:pt idx="0">
                  <c:v>46189</c:v>
                </c:pt>
                <c:pt idx="1">
                  <c:v>45833</c:v>
                </c:pt>
                <c:pt idx="2">
                  <c:v>45470</c:v>
                </c:pt>
                <c:pt idx="3">
                  <c:v>45275</c:v>
                </c:pt>
                <c:pt idx="4">
                  <c:v>45133</c:v>
                </c:pt>
                <c:pt idx="5">
                  <c:v>44915</c:v>
                </c:pt>
                <c:pt idx="6">
                  <c:v>44756</c:v>
                </c:pt>
                <c:pt idx="7">
                  <c:v>44544</c:v>
                </c:pt>
                <c:pt idx="8">
                  <c:v>44343</c:v>
                </c:pt>
                <c:pt idx="9">
                  <c:v>44153</c:v>
                </c:pt>
                <c:pt idx="10">
                  <c:v>43956</c:v>
                </c:pt>
                <c:pt idx="11">
                  <c:v>43783</c:v>
                </c:pt>
                <c:pt idx="12">
                  <c:v>43606</c:v>
                </c:pt>
                <c:pt idx="13">
                  <c:v>43313</c:v>
                </c:pt>
                <c:pt idx="14">
                  <c:v>43154</c:v>
                </c:pt>
                <c:pt idx="15">
                  <c:v>43049</c:v>
                </c:pt>
                <c:pt idx="16">
                  <c:v>42873</c:v>
                </c:pt>
                <c:pt idx="17">
                  <c:v>42684</c:v>
                </c:pt>
                <c:pt idx="18">
                  <c:v>42495</c:v>
                </c:pt>
                <c:pt idx="19">
                  <c:v>42354</c:v>
                </c:pt>
                <c:pt idx="20">
                  <c:v>42292</c:v>
                </c:pt>
                <c:pt idx="21">
                  <c:v>42103</c:v>
                </c:pt>
                <c:pt idx="22">
                  <c:v>40637</c:v>
                </c:pt>
                <c:pt idx="23">
                  <c:v>40359</c:v>
                </c:pt>
                <c:pt idx="24">
                  <c:v>39596</c:v>
                </c:pt>
                <c:pt idx="25">
                  <c:v>39212</c:v>
                </c:pt>
                <c:pt idx="26">
                  <c:v>39117</c:v>
                </c:pt>
                <c:pt idx="27">
                  <c:v>38896</c:v>
                </c:pt>
                <c:pt idx="28">
                  <c:v>38258</c:v>
                </c:pt>
                <c:pt idx="29">
                  <c:v>37931</c:v>
                </c:pt>
                <c:pt idx="30">
                  <c:v>37775</c:v>
                </c:pt>
                <c:pt idx="31">
                  <c:v>37550</c:v>
                </c:pt>
                <c:pt idx="32">
                  <c:v>37469</c:v>
                </c:pt>
                <c:pt idx="33">
                  <c:v>37427</c:v>
                </c:pt>
                <c:pt idx="34">
                  <c:v>37411</c:v>
                </c:pt>
                <c:pt idx="35">
                  <c:v>37089</c:v>
                </c:pt>
                <c:pt idx="36">
                  <c:v>36790</c:v>
                </c:pt>
                <c:pt idx="37">
                  <c:v>36665</c:v>
                </c:pt>
                <c:pt idx="38">
                  <c:v>36578</c:v>
                </c:pt>
                <c:pt idx="39">
                  <c:v>36186</c:v>
                </c:pt>
                <c:pt idx="40">
                  <c:v>35767</c:v>
                </c:pt>
                <c:pt idx="41">
                  <c:v>34998</c:v>
                </c:pt>
                <c:pt idx="42">
                  <c:v>34669</c:v>
                </c:pt>
              </c:numCache>
            </c:numRef>
          </c:xVal>
          <c:yVal>
            <c:numRef>
              <c:f>'Base Rating 2'!$AE$2:$AE$44</c:f>
              <c:numCache>
                <c:formatCode>General</c:formatCode>
                <c:ptCount val="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#N/A</c:v>
                </c:pt>
                <c:pt idx="35">
                  <c:v>9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C8-4E9B-9483-425D84D58B42}"/>
            </c:ext>
          </c:extLst>
        </c:ser>
        <c:ser>
          <c:idx val="5"/>
          <c:order val="5"/>
          <c:tx>
            <c:v>Rótulos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'Base Rating 2'!$AP$2</c:f>
                  <c:strCache>
                    <c:ptCount val="1"/>
                    <c:pt idx="0">
                      <c:v>CCC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{B7AECF9D-043C-42A6-AB1A-E7E7A7C7A5F6}</c15:txfldGUID>
                      <c15:f>'Base Rating 2'!$AP$2</c15:f>
                      <c15:dlblFieldTableCache>
                        <c:ptCount val="1"/>
                        <c:pt idx="0">
                          <c:v>CCC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5BC8-4E9B-9483-425D84D58B42}"/>
                </c:ext>
              </c:extLst>
            </c:dLbl>
            <c:dLbl>
              <c:idx val="1"/>
              <c:tx>
                <c:strRef>
                  <c:f>'Base Rating 2'!$AP$3</c:f>
                  <c:strCache>
                    <c:ptCount val="1"/>
                    <c:pt idx="0">
                      <c:v>CCC+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{E33CF423-BAA0-4CEC-86E9-C00D13C16935}</c15:txfldGUID>
                      <c15:f>'Base Rating 2'!$AP$3</c15:f>
                      <c15:dlblFieldTableCache>
                        <c:ptCount val="1"/>
                        <c:pt idx="0">
                          <c:v>CCC+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5BC8-4E9B-9483-425D84D58B42}"/>
                </c:ext>
              </c:extLst>
            </c:dLbl>
            <c:dLbl>
              <c:idx val="2"/>
              <c:tx>
                <c:strRef>
                  <c:f>'Base Rating 2'!$AP$4</c:f>
                  <c:strCache>
                    <c:ptCount val="1"/>
                    <c:pt idx="0">
                      <c:v>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{6BBDC082-BE66-4D5A-BED7-6326581C49C6}</c15:txfldGUID>
                      <c15:f>'Base Rating 2'!$AP$4</c15:f>
                      <c15:dlblFieldTableCache>
                        <c:ptCount val="1"/>
                        <c:pt idx="0">
                          <c:v>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5BC8-4E9B-9483-425D84D58B42}"/>
                </c:ext>
              </c:extLst>
            </c:dLbl>
            <c:dLbl>
              <c:idx val="3"/>
              <c:tx>
                <c:strRef>
                  <c:f>'Base Rating 2'!$AP$5</c:f>
                  <c:strCache>
                    <c:ptCount val="1"/>
                    <c:pt idx="0">
                      <c:v>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{7F80A8F8-5523-4976-9FA1-BD91F1FA28B8}</c15:txfldGUID>
                      <c15:f>'Base Rating 2'!$AP$5</c15:f>
                      <c15:dlblFieldTableCache>
                        <c:ptCount val="1"/>
                        <c:pt idx="0">
                          <c:v>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5BC8-4E9B-9483-425D84D58B42}"/>
                </c:ext>
              </c:extLst>
            </c:dLbl>
            <c:dLbl>
              <c:idx val="4"/>
              <c:tx>
                <c:strRef>
                  <c:f>'Base Rating 2'!$AP$6</c:f>
                  <c:strCache>
                    <c:ptCount val="1"/>
                    <c:pt idx="0">
                      <c:v>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{FD186740-49FB-49C2-84EA-033E402F0FA5}</c15:txfldGUID>
                      <c15:f>'Base Rating 2'!$AP$6</c15:f>
                      <c15:dlblFieldTableCache>
                        <c:ptCount val="1"/>
                        <c:pt idx="0">
                          <c:v>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5BC8-4E9B-9483-425D84D58B42}"/>
                </c:ext>
              </c:extLst>
            </c:dLbl>
            <c:dLbl>
              <c:idx val="5"/>
              <c:tx>
                <c:strRef>
                  <c:f>'Base Rating 2'!$AP$7</c:f>
                  <c:strCache>
                    <c:ptCount val="1"/>
                    <c:pt idx="0">
                      <c:v>BB-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{691FFCE5-0A6A-44C4-9099-C8BB7C0310B7}</c15:txfldGUID>
                      <c15:f>'Base Rating 2'!$AP$7</c15:f>
                      <c15:dlblFieldTableCache>
                        <c:ptCount val="1"/>
                        <c:pt idx="0">
                          <c:v>BB-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5BC8-4E9B-9483-425D84D58B42}"/>
                </c:ext>
              </c:extLst>
            </c:dLbl>
            <c:dLbl>
              <c:idx val="6"/>
              <c:tx>
                <c:strRef>
                  <c:f>'Base Rating 2'!$AP$8</c:f>
                  <c:strCache>
                    <c:ptCount val="1"/>
                    <c:pt idx="0">
                      <c:v>BB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{BDCBD6F8-9B9F-4B0E-BEBA-AD00C6E7CA13}</c15:txfldGUID>
                      <c15:f>'Base Rating 2'!$AP$8</c15:f>
                      <c15:dlblFieldTableCache>
                        <c:ptCount val="1"/>
                        <c:pt idx="0">
                          <c:v>BB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5BC8-4E9B-9483-425D84D58B42}"/>
                </c:ext>
              </c:extLst>
            </c:dLbl>
            <c:dLbl>
              <c:idx val="7"/>
              <c:tx>
                <c:strRef>
                  <c:f>'Base Rating 2'!$AP$9</c:f>
                  <c:strCache>
                    <c:ptCount val="1"/>
                    <c:pt idx="0">
                      <c:v>BB+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{60BF5EDC-BE10-4167-82D6-AE525A4DF266}</c15:txfldGUID>
                      <c15:f>'Base Rating 2'!$AP$9</c15:f>
                      <c15:dlblFieldTableCache>
                        <c:ptCount val="1"/>
                        <c:pt idx="0">
                          <c:v>BB+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5BC8-4E9B-9483-425D84D58B42}"/>
                </c:ext>
              </c:extLst>
            </c:dLbl>
            <c:dLbl>
              <c:idx val="8"/>
              <c:tx>
                <c:strRef>
                  <c:f>'Base Rating 2'!$AP$10</c:f>
                  <c:strCache>
                    <c:ptCount val="1"/>
                    <c:pt idx="0">
                      <c:v>BBB-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{D7E20CCA-51D9-4B18-9665-906BD0D9A14C}</c15:txfldGUID>
                      <c15:f>'Base Rating 2'!$AP$10</c15:f>
                      <c15:dlblFieldTableCache>
                        <c:ptCount val="1"/>
                        <c:pt idx="0">
                          <c:v>BBB-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5BC8-4E9B-9483-425D84D58B42}"/>
                </c:ext>
              </c:extLst>
            </c:dLbl>
            <c:dLbl>
              <c:idx val="9"/>
              <c:tx>
                <c:strRef>
                  <c:f>'Base Rating 2'!$AP$11</c:f>
                  <c:strCache>
                    <c:ptCount val="1"/>
                    <c:pt idx="0">
                      <c:v>BBB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{84A657BB-D061-41A3-A6FE-019D603398B6}</c15:txfldGUID>
                      <c15:f>'Base Rating 2'!$AP$11</c15:f>
                      <c15:dlblFieldTableCache>
                        <c:ptCount val="1"/>
                        <c:pt idx="0">
                          <c:v>BBB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5BC8-4E9B-9483-425D84D58B42}"/>
                </c:ext>
              </c:extLst>
            </c:dLbl>
            <c:dLbl>
              <c:idx val="10"/>
              <c:tx>
                <c:strRef>
                  <c:f>'Base Rating 2'!$AP$12</c:f>
                  <c:strCache>
                    <c:ptCount val="1"/>
                    <c:pt idx="0">
                      <c:v>BBB+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{F3CBCE92-5230-49C9-ABBF-9C353B6CAC5B}</c15:txfldGUID>
                      <c15:f>'Base Rating 2'!$AP$12</c15:f>
                      <c15:dlblFieldTableCache>
                        <c:ptCount val="1"/>
                        <c:pt idx="0">
                          <c:v>BBB+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5BC8-4E9B-9483-425D84D58B42}"/>
                </c:ext>
              </c:extLst>
            </c:dLbl>
            <c:dLbl>
              <c:idx val="11"/>
              <c:tx>
                <c:strRef>
                  <c:f>'Base Rating 2'!$AP$13</c:f>
                  <c:strCache>
                    <c:ptCount val="1"/>
                    <c:pt idx="0">
                      <c:v>A-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{E0589630-C618-41A4-AD4D-5E0C7A2B7BB5}</c15:txfldGUID>
                      <c15:f>'Base Rating 2'!$AP$13</c15:f>
                      <c15:dlblFieldTableCache>
                        <c:ptCount val="1"/>
                        <c:pt idx="0">
                          <c:v>A-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5BC8-4E9B-9483-425D84D58B42}"/>
                </c:ext>
              </c:extLst>
            </c:dLbl>
            <c:dLbl>
              <c:idx val="12"/>
              <c:tx>
                <c:strRef>
                  <c:f>'Base Rating 2'!$AP$14</c:f>
                  <c:strCache>
                    <c:ptCount val="1"/>
                    <c:pt idx="0">
                      <c:v>A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{629B214F-2037-4FB8-ACE4-D8D90EAE52A6}</c15:txfldGUID>
                      <c15:f>'Base Rating 2'!$AP$14</c15:f>
                      <c15:dlblFieldTableCache>
                        <c:ptCount val="1"/>
                        <c:pt idx="0">
                          <c:v>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5BC8-4E9B-9483-425D84D58B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'Base Rating 2'!$AR$2:$AR$14</c:f>
              <c:numCache>
                <c:formatCode>mmm\-yy</c:formatCode>
                <c:ptCount val="13"/>
                <c:pt idx="0">
                  <c:v>34669</c:v>
                </c:pt>
                <c:pt idx="1">
                  <c:v>34669</c:v>
                </c:pt>
                <c:pt idx="2">
                  <c:v>34669</c:v>
                </c:pt>
                <c:pt idx="3">
                  <c:v>34669</c:v>
                </c:pt>
                <c:pt idx="4">
                  <c:v>34669</c:v>
                </c:pt>
                <c:pt idx="5">
                  <c:v>34669</c:v>
                </c:pt>
                <c:pt idx="6">
                  <c:v>34669</c:v>
                </c:pt>
                <c:pt idx="7">
                  <c:v>34669</c:v>
                </c:pt>
                <c:pt idx="8">
                  <c:v>34669</c:v>
                </c:pt>
                <c:pt idx="9">
                  <c:v>34669</c:v>
                </c:pt>
                <c:pt idx="10">
                  <c:v>34669</c:v>
                </c:pt>
                <c:pt idx="11">
                  <c:v>34669</c:v>
                </c:pt>
                <c:pt idx="12">
                  <c:v>34669</c:v>
                </c:pt>
              </c:numCache>
            </c:numRef>
          </c:xVal>
          <c:yVal>
            <c:numRef>
              <c:f>'Base Rating 2'!$AN$2:$AN$14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C8-4E9B-9483-425D84D58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202383"/>
        <c:axId val="1540479823"/>
      </c:scatterChart>
      <c:valAx>
        <c:axId val="1747202383"/>
        <c:scaling>
          <c:orientation val="minMax"/>
          <c:max val="46295"/>
          <c:min val="3466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479823"/>
        <c:crosses val="autoZero"/>
        <c:crossBetween val="midCat"/>
        <c:majorUnit val="730"/>
      </c:valAx>
      <c:valAx>
        <c:axId val="1540479823"/>
        <c:scaling>
          <c:orientation val="minMax"/>
          <c:max val="16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720238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S&amp;P – Rating Soberano do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Moeda estrangeira</c:v>
          </c:tx>
          <c:spPr>
            <a:ln w="31750" cap="rnd">
              <a:solidFill>
                <a:srgbClr val="1F4E79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'Base Rating 2'!$A$2:$A$480</c:f>
              <c:numCache>
                <c:formatCode>mmm\-yy</c:formatCode>
                <c:ptCount val="479"/>
                <c:pt idx="0">
                  <c:v>31746</c:v>
                </c:pt>
                <c:pt idx="1">
                  <c:v>31777</c:v>
                </c:pt>
                <c:pt idx="2">
                  <c:v>31808</c:v>
                </c:pt>
                <c:pt idx="3">
                  <c:v>31836</c:v>
                </c:pt>
                <c:pt idx="4">
                  <c:v>31867</c:v>
                </c:pt>
                <c:pt idx="5">
                  <c:v>31897</c:v>
                </c:pt>
                <c:pt idx="6">
                  <c:v>31928</c:v>
                </c:pt>
                <c:pt idx="7">
                  <c:v>31958</c:v>
                </c:pt>
                <c:pt idx="8">
                  <c:v>31989</c:v>
                </c:pt>
                <c:pt idx="9">
                  <c:v>32020</c:v>
                </c:pt>
                <c:pt idx="10">
                  <c:v>32050</c:v>
                </c:pt>
                <c:pt idx="11">
                  <c:v>32081</c:v>
                </c:pt>
                <c:pt idx="12">
                  <c:v>32111</c:v>
                </c:pt>
                <c:pt idx="13">
                  <c:v>32142</c:v>
                </c:pt>
                <c:pt idx="14">
                  <c:v>32173</c:v>
                </c:pt>
                <c:pt idx="15">
                  <c:v>32202</c:v>
                </c:pt>
                <c:pt idx="16">
                  <c:v>32233</c:v>
                </c:pt>
                <c:pt idx="17">
                  <c:v>32263</c:v>
                </c:pt>
                <c:pt idx="18">
                  <c:v>32294</c:v>
                </c:pt>
                <c:pt idx="19">
                  <c:v>32324</c:v>
                </c:pt>
                <c:pt idx="20">
                  <c:v>32355</c:v>
                </c:pt>
                <c:pt idx="21">
                  <c:v>32386</c:v>
                </c:pt>
                <c:pt idx="22">
                  <c:v>32416</c:v>
                </c:pt>
                <c:pt idx="23">
                  <c:v>32447</c:v>
                </c:pt>
                <c:pt idx="24">
                  <c:v>32477</c:v>
                </c:pt>
                <c:pt idx="25">
                  <c:v>32508</c:v>
                </c:pt>
                <c:pt idx="26">
                  <c:v>32539</c:v>
                </c:pt>
                <c:pt idx="27">
                  <c:v>32567</c:v>
                </c:pt>
                <c:pt idx="28">
                  <c:v>32598</c:v>
                </c:pt>
                <c:pt idx="29">
                  <c:v>32628</c:v>
                </c:pt>
                <c:pt idx="30">
                  <c:v>32659</c:v>
                </c:pt>
                <c:pt idx="31">
                  <c:v>32689</c:v>
                </c:pt>
                <c:pt idx="32">
                  <c:v>32720</c:v>
                </c:pt>
                <c:pt idx="33">
                  <c:v>32751</c:v>
                </c:pt>
                <c:pt idx="34">
                  <c:v>32781</c:v>
                </c:pt>
                <c:pt idx="35">
                  <c:v>32812</c:v>
                </c:pt>
                <c:pt idx="36">
                  <c:v>32842</c:v>
                </c:pt>
                <c:pt idx="37">
                  <c:v>32873</c:v>
                </c:pt>
                <c:pt idx="38">
                  <c:v>32904</c:v>
                </c:pt>
                <c:pt idx="39">
                  <c:v>32932</c:v>
                </c:pt>
                <c:pt idx="40">
                  <c:v>32963</c:v>
                </c:pt>
                <c:pt idx="41">
                  <c:v>32993</c:v>
                </c:pt>
                <c:pt idx="42">
                  <c:v>33024</c:v>
                </c:pt>
                <c:pt idx="43">
                  <c:v>33054</c:v>
                </c:pt>
                <c:pt idx="44">
                  <c:v>33085</c:v>
                </c:pt>
                <c:pt idx="45">
                  <c:v>33116</c:v>
                </c:pt>
                <c:pt idx="46">
                  <c:v>33146</c:v>
                </c:pt>
                <c:pt idx="47">
                  <c:v>33177</c:v>
                </c:pt>
                <c:pt idx="48">
                  <c:v>33207</c:v>
                </c:pt>
                <c:pt idx="49">
                  <c:v>33238</c:v>
                </c:pt>
                <c:pt idx="50">
                  <c:v>33269</c:v>
                </c:pt>
                <c:pt idx="51">
                  <c:v>33297</c:v>
                </c:pt>
                <c:pt idx="52">
                  <c:v>33328</c:v>
                </c:pt>
                <c:pt idx="53">
                  <c:v>33358</c:v>
                </c:pt>
                <c:pt idx="54">
                  <c:v>33389</c:v>
                </c:pt>
                <c:pt idx="55">
                  <c:v>33419</c:v>
                </c:pt>
                <c:pt idx="56">
                  <c:v>33450</c:v>
                </c:pt>
                <c:pt idx="57">
                  <c:v>33481</c:v>
                </c:pt>
                <c:pt idx="58">
                  <c:v>33511</c:v>
                </c:pt>
                <c:pt idx="59">
                  <c:v>33542</c:v>
                </c:pt>
                <c:pt idx="60">
                  <c:v>33572</c:v>
                </c:pt>
                <c:pt idx="61">
                  <c:v>33603</c:v>
                </c:pt>
                <c:pt idx="62">
                  <c:v>33634</c:v>
                </c:pt>
                <c:pt idx="63">
                  <c:v>33663</c:v>
                </c:pt>
                <c:pt idx="64">
                  <c:v>33694</c:v>
                </c:pt>
                <c:pt idx="65">
                  <c:v>33724</c:v>
                </c:pt>
                <c:pt idx="66">
                  <c:v>33755</c:v>
                </c:pt>
                <c:pt idx="67">
                  <c:v>33785</c:v>
                </c:pt>
                <c:pt idx="68">
                  <c:v>33816</c:v>
                </c:pt>
                <c:pt idx="69">
                  <c:v>33847</c:v>
                </c:pt>
                <c:pt idx="70">
                  <c:v>33877</c:v>
                </c:pt>
                <c:pt idx="71">
                  <c:v>33908</c:v>
                </c:pt>
                <c:pt idx="72">
                  <c:v>33938</c:v>
                </c:pt>
                <c:pt idx="73">
                  <c:v>33969</c:v>
                </c:pt>
                <c:pt idx="74">
                  <c:v>34000</c:v>
                </c:pt>
                <c:pt idx="75">
                  <c:v>34028</c:v>
                </c:pt>
                <c:pt idx="76">
                  <c:v>34059</c:v>
                </c:pt>
                <c:pt idx="77">
                  <c:v>34089</c:v>
                </c:pt>
                <c:pt idx="78">
                  <c:v>34120</c:v>
                </c:pt>
                <c:pt idx="79">
                  <c:v>34150</c:v>
                </c:pt>
                <c:pt idx="80">
                  <c:v>34181</c:v>
                </c:pt>
                <c:pt idx="81">
                  <c:v>34212</c:v>
                </c:pt>
                <c:pt idx="82">
                  <c:v>34242</c:v>
                </c:pt>
                <c:pt idx="83">
                  <c:v>34273</c:v>
                </c:pt>
                <c:pt idx="84">
                  <c:v>34303</c:v>
                </c:pt>
                <c:pt idx="85">
                  <c:v>34334</c:v>
                </c:pt>
                <c:pt idx="86">
                  <c:v>34365</c:v>
                </c:pt>
                <c:pt idx="87">
                  <c:v>34393</c:v>
                </c:pt>
                <c:pt idx="88">
                  <c:v>34424</c:v>
                </c:pt>
                <c:pt idx="89">
                  <c:v>34454</c:v>
                </c:pt>
                <c:pt idx="90">
                  <c:v>34485</c:v>
                </c:pt>
                <c:pt idx="91">
                  <c:v>34515</c:v>
                </c:pt>
                <c:pt idx="92">
                  <c:v>34546</c:v>
                </c:pt>
                <c:pt idx="93">
                  <c:v>34577</c:v>
                </c:pt>
                <c:pt idx="94">
                  <c:v>34607</c:v>
                </c:pt>
                <c:pt idx="95">
                  <c:v>34638</c:v>
                </c:pt>
                <c:pt idx="96">
                  <c:v>34668</c:v>
                </c:pt>
                <c:pt idx="97">
                  <c:v>34699</c:v>
                </c:pt>
                <c:pt idx="98">
                  <c:v>34730</c:v>
                </c:pt>
                <c:pt idx="99">
                  <c:v>34758</c:v>
                </c:pt>
                <c:pt idx="100">
                  <c:v>34789</c:v>
                </c:pt>
                <c:pt idx="101">
                  <c:v>34819</c:v>
                </c:pt>
                <c:pt idx="102">
                  <c:v>34850</c:v>
                </c:pt>
                <c:pt idx="103">
                  <c:v>34880</c:v>
                </c:pt>
                <c:pt idx="104">
                  <c:v>34911</c:v>
                </c:pt>
                <c:pt idx="105">
                  <c:v>34942</c:v>
                </c:pt>
                <c:pt idx="106">
                  <c:v>34972</c:v>
                </c:pt>
                <c:pt idx="107">
                  <c:v>35003</c:v>
                </c:pt>
                <c:pt idx="108">
                  <c:v>35033</c:v>
                </c:pt>
                <c:pt idx="109">
                  <c:v>35064</c:v>
                </c:pt>
                <c:pt idx="110">
                  <c:v>35095</c:v>
                </c:pt>
                <c:pt idx="111">
                  <c:v>35124</c:v>
                </c:pt>
                <c:pt idx="112">
                  <c:v>35155</c:v>
                </c:pt>
                <c:pt idx="113">
                  <c:v>35185</c:v>
                </c:pt>
                <c:pt idx="114">
                  <c:v>35216</c:v>
                </c:pt>
                <c:pt idx="115">
                  <c:v>35246</c:v>
                </c:pt>
                <c:pt idx="116">
                  <c:v>35277</c:v>
                </c:pt>
                <c:pt idx="117">
                  <c:v>35308</c:v>
                </c:pt>
                <c:pt idx="118">
                  <c:v>35338</c:v>
                </c:pt>
                <c:pt idx="119">
                  <c:v>35369</c:v>
                </c:pt>
                <c:pt idx="120">
                  <c:v>35399</c:v>
                </c:pt>
                <c:pt idx="121">
                  <c:v>35430</c:v>
                </c:pt>
                <c:pt idx="122">
                  <c:v>35461</c:v>
                </c:pt>
                <c:pt idx="123">
                  <c:v>35489</c:v>
                </c:pt>
                <c:pt idx="124">
                  <c:v>35520</c:v>
                </c:pt>
                <c:pt idx="125">
                  <c:v>35550</c:v>
                </c:pt>
                <c:pt idx="126">
                  <c:v>35581</c:v>
                </c:pt>
                <c:pt idx="127">
                  <c:v>35611</c:v>
                </c:pt>
                <c:pt idx="128">
                  <c:v>35642</c:v>
                </c:pt>
                <c:pt idx="129">
                  <c:v>35673</c:v>
                </c:pt>
                <c:pt idx="130">
                  <c:v>35703</c:v>
                </c:pt>
                <c:pt idx="131">
                  <c:v>35734</c:v>
                </c:pt>
                <c:pt idx="132">
                  <c:v>35764</c:v>
                </c:pt>
                <c:pt idx="133">
                  <c:v>35795</c:v>
                </c:pt>
                <c:pt idx="134">
                  <c:v>35826</c:v>
                </c:pt>
                <c:pt idx="135">
                  <c:v>35854</c:v>
                </c:pt>
                <c:pt idx="136">
                  <c:v>35885</c:v>
                </c:pt>
                <c:pt idx="137">
                  <c:v>35915</c:v>
                </c:pt>
                <c:pt idx="138">
                  <c:v>35946</c:v>
                </c:pt>
                <c:pt idx="139">
                  <c:v>35976</c:v>
                </c:pt>
                <c:pt idx="140">
                  <c:v>36007</c:v>
                </c:pt>
                <c:pt idx="141">
                  <c:v>36038</c:v>
                </c:pt>
                <c:pt idx="142">
                  <c:v>36068</c:v>
                </c:pt>
                <c:pt idx="143">
                  <c:v>36099</c:v>
                </c:pt>
                <c:pt idx="144">
                  <c:v>36129</c:v>
                </c:pt>
                <c:pt idx="145">
                  <c:v>36160</c:v>
                </c:pt>
                <c:pt idx="146">
                  <c:v>36191</c:v>
                </c:pt>
                <c:pt idx="147">
                  <c:v>36219</c:v>
                </c:pt>
                <c:pt idx="148">
                  <c:v>36250</c:v>
                </c:pt>
                <c:pt idx="149">
                  <c:v>36280</c:v>
                </c:pt>
                <c:pt idx="150">
                  <c:v>36311</c:v>
                </c:pt>
                <c:pt idx="151">
                  <c:v>36341</c:v>
                </c:pt>
                <c:pt idx="152">
                  <c:v>36372</c:v>
                </c:pt>
                <c:pt idx="153">
                  <c:v>36403</c:v>
                </c:pt>
                <c:pt idx="154">
                  <c:v>36433</c:v>
                </c:pt>
                <c:pt idx="155">
                  <c:v>36464</c:v>
                </c:pt>
                <c:pt idx="156">
                  <c:v>36494</c:v>
                </c:pt>
                <c:pt idx="157">
                  <c:v>36525</c:v>
                </c:pt>
                <c:pt idx="158">
                  <c:v>36556</c:v>
                </c:pt>
                <c:pt idx="159">
                  <c:v>36585</c:v>
                </c:pt>
                <c:pt idx="160">
                  <c:v>36616</c:v>
                </c:pt>
                <c:pt idx="161">
                  <c:v>36646</c:v>
                </c:pt>
                <c:pt idx="162">
                  <c:v>36677</c:v>
                </c:pt>
                <c:pt idx="163">
                  <c:v>36707</c:v>
                </c:pt>
                <c:pt idx="164">
                  <c:v>36738</c:v>
                </c:pt>
                <c:pt idx="165">
                  <c:v>36769</c:v>
                </c:pt>
                <c:pt idx="166">
                  <c:v>36799</c:v>
                </c:pt>
                <c:pt idx="167">
                  <c:v>36830</c:v>
                </c:pt>
                <c:pt idx="168">
                  <c:v>36860</c:v>
                </c:pt>
                <c:pt idx="169">
                  <c:v>36891</c:v>
                </c:pt>
                <c:pt idx="170">
                  <c:v>36922</c:v>
                </c:pt>
                <c:pt idx="171">
                  <c:v>36950</c:v>
                </c:pt>
                <c:pt idx="172">
                  <c:v>36981</c:v>
                </c:pt>
                <c:pt idx="173">
                  <c:v>37011</c:v>
                </c:pt>
                <c:pt idx="174">
                  <c:v>37042</c:v>
                </c:pt>
                <c:pt idx="175">
                  <c:v>37072</c:v>
                </c:pt>
                <c:pt idx="176">
                  <c:v>37103</c:v>
                </c:pt>
                <c:pt idx="177">
                  <c:v>37134</c:v>
                </c:pt>
                <c:pt idx="178">
                  <c:v>37164</c:v>
                </c:pt>
                <c:pt idx="179">
                  <c:v>37195</c:v>
                </c:pt>
                <c:pt idx="180">
                  <c:v>37225</c:v>
                </c:pt>
                <c:pt idx="181">
                  <c:v>37256</c:v>
                </c:pt>
                <c:pt idx="182">
                  <c:v>37287</c:v>
                </c:pt>
                <c:pt idx="183">
                  <c:v>37315</c:v>
                </c:pt>
                <c:pt idx="184">
                  <c:v>37346</c:v>
                </c:pt>
                <c:pt idx="185">
                  <c:v>37376</c:v>
                </c:pt>
                <c:pt idx="186">
                  <c:v>37407</c:v>
                </c:pt>
                <c:pt idx="187">
                  <c:v>37437</c:v>
                </c:pt>
                <c:pt idx="188">
                  <c:v>37468</c:v>
                </c:pt>
                <c:pt idx="189">
                  <c:v>37499</c:v>
                </c:pt>
                <c:pt idx="190">
                  <c:v>37529</c:v>
                </c:pt>
                <c:pt idx="191">
                  <c:v>37560</c:v>
                </c:pt>
                <c:pt idx="192">
                  <c:v>37590</c:v>
                </c:pt>
                <c:pt idx="193">
                  <c:v>37621</c:v>
                </c:pt>
                <c:pt idx="194">
                  <c:v>37652</c:v>
                </c:pt>
                <c:pt idx="195">
                  <c:v>37680</c:v>
                </c:pt>
                <c:pt idx="196">
                  <c:v>37711</c:v>
                </c:pt>
                <c:pt idx="197">
                  <c:v>37741</c:v>
                </c:pt>
                <c:pt idx="198">
                  <c:v>37772</c:v>
                </c:pt>
                <c:pt idx="199">
                  <c:v>37802</c:v>
                </c:pt>
                <c:pt idx="200">
                  <c:v>37833</c:v>
                </c:pt>
                <c:pt idx="201">
                  <c:v>37864</c:v>
                </c:pt>
                <c:pt idx="202">
                  <c:v>37894</c:v>
                </c:pt>
                <c:pt idx="203">
                  <c:v>37925</c:v>
                </c:pt>
                <c:pt idx="204">
                  <c:v>37955</c:v>
                </c:pt>
                <c:pt idx="205">
                  <c:v>37986</c:v>
                </c:pt>
                <c:pt idx="206">
                  <c:v>38017</c:v>
                </c:pt>
                <c:pt idx="207">
                  <c:v>38046</c:v>
                </c:pt>
                <c:pt idx="208">
                  <c:v>38077</c:v>
                </c:pt>
                <c:pt idx="209">
                  <c:v>38107</c:v>
                </c:pt>
                <c:pt idx="210">
                  <c:v>38138</c:v>
                </c:pt>
                <c:pt idx="211">
                  <c:v>38168</c:v>
                </c:pt>
                <c:pt idx="212">
                  <c:v>38199</c:v>
                </c:pt>
                <c:pt idx="213">
                  <c:v>38230</c:v>
                </c:pt>
                <c:pt idx="214">
                  <c:v>38260</c:v>
                </c:pt>
                <c:pt idx="215">
                  <c:v>38291</c:v>
                </c:pt>
                <c:pt idx="216">
                  <c:v>38321</c:v>
                </c:pt>
                <c:pt idx="217">
                  <c:v>38352</c:v>
                </c:pt>
                <c:pt idx="218">
                  <c:v>38383</c:v>
                </c:pt>
                <c:pt idx="219">
                  <c:v>38411</c:v>
                </c:pt>
                <c:pt idx="220">
                  <c:v>38442</c:v>
                </c:pt>
                <c:pt idx="221">
                  <c:v>38472</c:v>
                </c:pt>
                <c:pt idx="222">
                  <c:v>38503</c:v>
                </c:pt>
                <c:pt idx="223">
                  <c:v>38533</c:v>
                </c:pt>
                <c:pt idx="224">
                  <c:v>38564</c:v>
                </c:pt>
                <c:pt idx="225">
                  <c:v>38595</c:v>
                </c:pt>
                <c:pt idx="226">
                  <c:v>38625</c:v>
                </c:pt>
                <c:pt idx="227">
                  <c:v>38656</c:v>
                </c:pt>
                <c:pt idx="228">
                  <c:v>38686</c:v>
                </c:pt>
                <c:pt idx="229">
                  <c:v>38717</c:v>
                </c:pt>
                <c:pt idx="230">
                  <c:v>38748</c:v>
                </c:pt>
                <c:pt idx="231">
                  <c:v>38776</c:v>
                </c:pt>
                <c:pt idx="232">
                  <c:v>38807</c:v>
                </c:pt>
                <c:pt idx="233">
                  <c:v>38837</c:v>
                </c:pt>
                <c:pt idx="234">
                  <c:v>38868</c:v>
                </c:pt>
                <c:pt idx="235">
                  <c:v>38898</c:v>
                </c:pt>
                <c:pt idx="236">
                  <c:v>38929</c:v>
                </c:pt>
                <c:pt idx="237">
                  <c:v>38960</c:v>
                </c:pt>
                <c:pt idx="238">
                  <c:v>38990</c:v>
                </c:pt>
                <c:pt idx="239">
                  <c:v>39021</c:v>
                </c:pt>
                <c:pt idx="240">
                  <c:v>39051</c:v>
                </c:pt>
                <c:pt idx="241">
                  <c:v>39082</c:v>
                </c:pt>
                <c:pt idx="242">
                  <c:v>39113</c:v>
                </c:pt>
                <c:pt idx="243">
                  <c:v>39141</c:v>
                </c:pt>
                <c:pt idx="244">
                  <c:v>39172</c:v>
                </c:pt>
                <c:pt idx="245">
                  <c:v>39202</c:v>
                </c:pt>
                <c:pt idx="246">
                  <c:v>39233</c:v>
                </c:pt>
                <c:pt idx="247">
                  <c:v>39263</c:v>
                </c:pt>
                <c:pt idx="248">
                  <c:v>39294</c:v>
                </c:pt>
                <c:pt idx="249">
                  <c:v>39325</c:v>
                </c:pt>
                <c:pt idx="250">
                  <c:v>39355</c:v>
                </c:pt>
                <c:pt idx="251">
                  <c:v>39386</c:v>
                </c:pt>
                <c:pt idx="252">
                  <c:v>39416</c:v>
                </c:pt>
                <c:pt idx="253">
                  <c:v>39447</c:v>
                </c:pt>
                <c:pt idx="254">
                  <c:v>39478</c:v>
                </c:pt>
                <c:pt idx="255">
                  <c:v>39507</c:v>
                </c:pt>
                <c:pt idx="256">
                  <c:v>39538</c:v>
                </c:pt>
                <c:pt idx="257">
                  <c:v>39568</c:v>
                </c:pt>
                <c:pt idx="258">
                  <c:v>39599</c:v>
                </c:pt>
                <c:pt idx="259">
                  <c:v>39629</c:v>
                </c:pt>
                <c:pt idx="260">
                  <c:v>39660</c:v>
                </c:pt>
                <c:pt idx="261">
                  <c:v>39691</c:v>
                </c:pt>
                <c:pt idx="262">
                  <c:v>39721</c:v>
                </c:pt>
                <c:pt idx="263">
                  <c:v>39752</c:v>
                </c:pt>
                <c:pt idx="264">
                  <c:v>39782</c:v>
                </c:pt>
                <c:pt idx="265">
                  <c:v>39813</c:v>
                </c:pt>
                <c:pt idx="266">
                  <c:v>39844</c:v>
                </c:pt>
                <c:pt idx="267">
                  <c:v>39872</c:v>
                </c:pt>
                <c:pt idx="268">
                  <c:v>39903</c:v>
                </c:pt>
                <c:pt idx="269">
                  <c:v>39933</c:v>
                </c:pt>
                <c:pt idx="270">
                  <c:v>39964</c:v>
                </c:pt>
                <c:pt idx="271">
                  <c:v>39994</c:v>
                </c:pt>
                <c:pt idx="272">
                  <c:v>40025</c:v>
                </c:pt>
                <c:pt idx="273">
                  <c:v>40056</c:v>
                </c:pt>
                <c:pt idx="274">
                  <c:v>40086</c:v>
                </c:pt>
                <c:pt idx="275">
                  <c:v>40117</c:v>
                </c:pt>
                <c:pt idx="276">
                  <c:v>40147</c:v>
                </c:pt>
                <c:pt idx="277">
                  <c:v>40178</c:v>
                </c:pt>
                <c:pt idx="278">
                  <c:v>40209</c:v>
                </c:pt>
                <c:pt idx="279">
                  <c:v>40237</c:v>
                </c:pt>
                <c:pt idx="280">
                  <c:v>40268</c:v>
                </c:pt>
                <c:pt idx="281">
                  <c:v>40298</c:v>
                </c:pt>
                <c:pt idx="282">
                  <c:v>40329</c:v>
                </c:pt>
                <c:pt idx="283">
                  <c:v>40359</c:v>
                </c:pt>
                <c:pt idx="284">
                  <c:v>40390</c:v>
                </c:pt>
                <c:pt idx="285">
                  <c:v>40421</c:v>
                </c:pt>
                <c:pt idx="286">
                  <c:v>40451</c:v>
                </c:pt>
                <c:pt idx="287">
                  <c:v>40482</c:v>
                </c:pt>
                <c:pt idx="288">
                  <c:v>40512</c:v>
                </c:pt>
                <c:pt idx="289">
                  <c:v>40543</c:v>
                </c:pt>
                <c:pt idx="290">
                  <c:v>40574</c:v>
                </c:pt>
                <c:pt idx="291">
                  <c:v>40602</c:v>
                </c:pt>
                <c:pt idx="292">
                  <c:v>40633</c:v>
                </c:pt>
                <c:pt idx="293">
                  <c:v>40663</c:v>
                </c:pt>
                <c:pt idx="294">
                  <c:v>40694</c:v>
                </c:pt>
                <c:pt idx="295">
                  <c:v>40724</c:v>
                </c:pt>
                <c:pt idx="296">
                  <c:v>40755</c:v>
                </c:pt>
                <c:pt idx="297">
                  <c:v>40786</c:v>
                </c:pt>
                <c:pt idx="298">
                  <c:v>40816</c:v>
                </c:pt>
                <c:pt idx="299">
                  <c:v>40847</c:v>
                </c:pt>
                <c:pt idx="300">
                  <c:v>40877</c:v>
                </c:pt>
                <c:pt idx="301">
                  <c:v>40908</c:v>
                </c:pt>
                <c:pt idx="302">
                  <c:v>40939</c:v>
                </c:pt>
                <c:pt idx="303">
                  <c:v>40968</c:v>
                </c:pt>
                <c:pt idx="304">
                  <c:v>40999</c:v>
                </c:pt>
                <c:pt idx="305">
                  <c:v>41029</c:v>
                </c:pt>
                <c:pt idx="306">
                  <c:v>41060</c:v>
                </c:pt>
                <c:pt idx="307">
                  <c:v>41090</c:v>
                </c:pt>
                <c:pt idx="308">
                  <c:v>41121</c:v>
                </c:pt>
                <c:pt idx="309">
                  <c:v>41152</c:v>
                </c:pt>
                <c:pt idx="310">
                  <c:v>41182</c:v>
                </c:pt>
                <c:pt idx="311">
                  <c:v>41213</c:v>
                </c:pt>
                <c:pt idx="312">
                  <c:v>41243</c:v>
                </c:pt>
                <c:pt idx="313">
                  <c:v>41274</c:v>
                </c:pt>
                <c:pt idx="314">
                  <c:v>41305</c:v>
                </c:pt>
                <c:pt idx="315">
                  <c:v>41333</c:v>
                </c:pt>
                <c:pt idx="316">
                  <c:v>41364</c:v>
                </c:pt>
                <c:pt idx="317">
                  <c:v>41394</c:v>
                </c:pt>
                <c:pt idx="318">
                  <c:v>41425</c:v>
                </c:pt>
                <c:pt idx="319">
                  <c:v>41455</c:v>
                </c:pt>
                <c:pt idx="320">
                  <c:v>41486</c:v>
                </c:pt>
                <c:pt idx="321">
                  <c:v>41517</c:v>
                </c:pt>
                <c:pt idx="322">
                  <c:v>41547</c:v>
                </c:pt>
                <c:pt idx="323">
                  <c:v>41578</c:v>
                </c:pt>
                <c:pt idx="324">
                  <c:v>41608</c:v>
                </c:pt>
                <c:pt idx="325">
                  <c:v>41639</c:v>
                </c:pt>
                <c:pt idx="326">
                  <c:v>41670</c:v>
                </c:pt>
                <c:pt idx="327">
                  <c:v>41698</c:v>
                </c:pt>
                <c:pt idx="328">
                  <c:v>41729</c:v>
                </c:pt>
                <c:pt idx="329">
                  <c:v>41759</c:v>
                </c:pt>
                <c:pt idx="330">
                  <c:v>41790</c:v>
                </c:pt>
                <c:pt idx="331">
                  <c:v>41820</c:v>
                </c:pt>
                <c:pt idx="332">
                  <c:v>41851</c:v>
                </c:pt>
                <c:pt idx="333">
                  <c:v>41882</c:v>
                </c:pt>
                <c:pt idx="334">
                  <c:v>41912</c:v>
                </c:pt>
                <c:pt idx="335">
                  <c:v>41943</c:v>
                </c:pt>
                <c:pt idx="336">
                  <c:v>41973</c:v>
                </c:pt>
                <c:pt idx="337">
                  <c:v>42004</c:v>
                </c:pt>
                <c:pt idx="338">
                  <c:v>42035</c:v>
                </c:pt>
                <c:pt idx="339">
                  <c:v>42063</c:v>
                </c:pt>
                <c:pt idx="340">
                  <c:v>42094</c:v>
                </c:pt>
                <c:pt idx="341">
                  <c:v>42124</c:v>
                </c:pt>
                <c:pt idx="342">
                  <c:v>42155</c:v>
                </c:pt>
                <c:pt idx="343">
                  <c:v>42185</c:v>
                </c:pt>
                <c:pt idx="344">
                  <c:v>42216</c:v>
                </c:pt>
                <c:pt idx="345">
                  <c:v>42247</c:v>
                </c:pt>
                <c:pt idx="346">
                  <c:v>42277</c:v>
                </c:pt>
                <c:pt idx="347">
                  <c:v>42308</c:v>
                </c:pt>
                <c:pt idx="348">
                  <c:v>42338</c:v>
                </c:pt>
                <c:pt idx="349">
                  <c:v>42369</c:v>
                </c:pt>
                <c:pt idx="350">
                  <c:v>42400</c:v>
                </c:pt>
                <c:pt idx="351">
                  <c:v>42429</c:v>
                </c:pt>
                <c:pt idx="352">
                  <c:v>42460</c:v>
                </c:pt>
                <c:pt idx="353">
                  <c:v>42490</c:v>
                </c:pt>
                <c:pt idx="354">
                  <c:v>42521</c:v>
                </c:pt>
                <c:pt idx="355">
                  <c:v>42551</c:v>
                </c:pt>
                <c:pt idx="356">
                  <c:v>42582</c:v>
                </c:pt>
                <c:pt idx="357">
                  <c:v>42613</c:v>
                </c:pt>
                <c:pt idx="358">
                  <c:v>42643</c:v>
                </c:pt>
                <c:pt idx="359">
                  <c:v>42674</c:v>
                </c:pt>
                <c:pt idx="360">
                  <c:v>42704</c:v>
                </c:pt>
                <c:pt idx="361">
                  <c:v>42735</c:v>
                </c:pt>
                <c:pt idx="362">
                  <c:v>42766</c:v>
                </c:pt>
                <c:pt idx="363">
                  <c:v>42794</c:v>
                </c:pt>
                <c:pt idx="364">
                  <c:v>42825</c:v>
                </c:pt>
                <c:pt idx="365">
                  <c:v>42855</c:v>
                </c:pt>
                <c:pt idx="366">
                  <c:v>42886</c:v>
                </c:pt>
                <c:pt idx="367">
                  <c:v>42916</c:v>
                </c:pt>
                <c:pt idx="368">
                  <c:v>42947</c:v>
                </c:pt>
                <c:pt idx="369">
                  <c:v>42978</c:v>
                </c:pt>
                <c:pt idx="370">
                  <c:v>43008</c:v>
                </c:pt>
                <c:pt idx="371">
                  <c:v>43039</c:v>
                </c:pt>
                <c:pt idx="372">
                  <c:v>43069</c:v>
                </c:pt>
                <c:pt idx="373">
                  <c:v>43100</c:v>
                </c:pt>
                <c:pt idx="374">
                  <c:v>43131</c:v>
                </c:pt>
                <c:pt idx="375">
                  <c:v>43159</c:v>
                </c:pt>
                <c:pt idx="376">
                  <c:v>43190</c:v>
                </c:pt>
                <c:pt idx="377">
                  <c:v>43220</c:v>
                </c:pt>
                <c:pt idx="378">
                  <c:v>43251</c:v>
                </c:pt>
                <c:pt idx="379">
                  <c:v>43281</c:v>
                </c:pt>
                <c:pt idx="380">
                  <c:v>43312</c:v>
                </c:pt>
                <c:pt idx="381">
                  <c:v>43343</c:v>
                </c:pt>
                <c:pt idx="382">
                  <c:v>43373</c:v>
                </c:pt>
                <c:pt idx="383">
                  <c:v>43404</c:v>
                </c:pt>
                <c:pt idx="384">
                  <c:v>43434</c:v>
                </c:pt>
                <c:pt idx="385">
                  <c:v>43465</c:v>
                </c:pt>
                <c:pt idx="386">
                  <c:v>43496</c:v>
                </c:pt>
                <c:pt idx="387">
                  <c:v>43524</c:v>
                </c:pt>
                <c:pt idx="388">
                  <c:v>43555</c:v>
                </c:pt>
                <c:pt idx="389">
                  <c:v>43585</c:v>
                </c:pt>
                <c:pt idx="390">
                  <c:v>43616</c:v>
                </c:pt>
                <c:pt idx="391">
                  <c:v>43646</c:v>
                </c:pt>
                <c:pt idx="392">
                  <c:v>43677</c:v>
                </c:pt>
                <c:pt idx="393">
                  <c:v>43708</c:v>
                </c:pt>
                <c:pt idx="394">
                  <c:v>43738</c:v>
                </c:pt>
                <c:pt idx="395">
                  <c:v>43769</c:v>
                </c:pt>
                <c:pt idx="396">
                  <c:v>43799</c:v>
                </c:pt>
                <c:pt idx="397">
                  <c:v>43830</c:v>
                </c:pt>
                <c:pt idx="398">
                  <c:v>43861</c:v>
                </c:pt>
                <c:pt idx="399">
                  <c:v>43890</c:v>
                </c:pt>
                <c:pt idx="400">
                  <c:v>43921</c:v>
                </c:pt>
                <c:pt idx="401">
                  <c:v>43951</c:v>
                </c:pt>
                <c:pt idx="402">
                  <c:v>43982</c:v>
                </c:pt>
                <c:pt idx="403">
                  <c:v>44012</c:v>
                </c:pt>
                <c:pt idx="404">
                  <c:v>44043</c:v>
                </c:pt>
                <c:pt idx="405">
                  <c:v>44074</c:v>
                </c:pt>
                <c:pt idx="406">
                  <c:v>44104</c:v>
                </c:pt>
                <c:pt idx="407">
                  <c:v>44135</c:v>
                </c:pt>
                <c:pt idx="408">
                  <c:v>44165</c:v>
                </c:pt>
                <c:pt idx="409">
                  <c:v>44196</c:v>
                </c:pt>
                <c:pt idx="410">
                  <c:v>44227</c:v>
                </c:pt>
                <c:pt idx="411">
                  <c:v>44255</c:v>
                </c:pt>
                <c:pt idx="412">
                  <c:v>44286</c:v>
                </c:pt>
                <c:pt idx="413">
                  <c:v>44316</c:v>
                </c:pt>
                <c:pt idx="414">
                  <c:v>44347</c:v>
                </c:pt>
                <c:pt idx="415">
                  <c:v>44377</c:v>
                </c:pt>
                <c:pt idx="416">
                  <c:v>44408</c:v>
                </c:pt>
                <c:pt idx="417">
                  <c:v>44439</c:v>
                </c:pt>
                <c:pt idx="418">
                  <c:v>44469</c:v>
                </c:pt>
                <c:pt idx="419">
                  <c:v>44500</c:v>
                </c:pt>
                <c:pt idx="420">
                  <c:v>44530</c:v>
                </c:pt>
                <c:pt idx="421">
                  <c:v>44561</c:v>
                </c:pt>
                <c:pt idx="422">
                  <c:v>44592</c:v>
                </c:pt>
                <c:pt idx="423">
                  <c:v>44620</c:v>
                </c:pt>
                <c:pt idx="424">
                  <c:v>44651</c:v>
                </c:pt>
                <c:pt idx="425">
                  <c:v>44681</c:v>
                </c:pt>
                <c:pt idx="426">
                  <c:v>44712</c:v>
                </c:pt>
                <c:pt idx="427">
                  <c:v>44742</c:v>
                </c:pt>
                <c:pt idx="428">
                  <c:v>44773</c:v>
                </c:pt>
                <c:pt idx="429">
                  <c:v>44804</c:v>
                </c:pt>
                <c:pt idx="430">
                  <c:v>44834</c:v>
                </c:pt>
                <c:pt idx="431">
                  <c:v>44865</c:v>
                </c:pt>
                <c:pt idx="432">
                  <c:v>44895</c:v>
                </c:pt>
                <c:pt idx="433">
                  <c:v>44926</c:v>
                </c:pt>
                <c:pt idx="434">
                  <c:v>44957</c:v>
                </c:pt>
                <c:pt idx="435">
                  <c:v>44985</c:v>
                </c:pt>
                <c:pt idx="436">
                  <c:v>45016</c:v>
                </c:pt>
                <c:pt idx="437">
                  <c:v>45046</c:v>
                </c:pt>
                <c:pt idx="438">
                  <c:v>45077</c:v>
                </c:pt>
                <c:pt idx="439">
                  <c:v>45107</c:v>
                </c:pt>
                <c:pt idx="440">
                  <c:v>45138</c:v>
                </c:pt>
                <c:pt idx="441">
                  <c:v>45169</c:v>
                </c:pt>
                <c:pt idx="442">
                  <c:v>45199</c:v>
                </c:pt>
                <c:pt idx="443">
                  <c:v>45230</c:v>
                </c:pt>
                <c:pt idx="444">
                  <c:v>45260</c:v>
                </c:pt>
                <c:pt idx="445">
                  <c:v>45291</c:v>
                </c:pt>
                <c:pt idx="446">
                  <c:v>45322</c:v>
                </c:pt>
                <c:pt idx="447">
                  <c:v>45351</c:v>
                </c:pt>
                <c:pt idx="448">
                  <c:v>45382</c:v>
                </c:pt>
                <c:pt idx="449">
                  <c:v>45412</c:v>
                </c:pt>
                <c:pt idx="450">
                  <c:v>45443</c:v>
                </c:pt>
                <c:pt idx="451">
                  <c:v>45473</c:v>
                </c:pt>
                <c:pt idx="452">
                  <c:v>45504</c:v>
                </c:pt>
                <c:pt idx="453">
                  <c:v>45535</c:v>
                </c:pt>
                <c:pt idx="454">
                  <c:v>45565</c:v>
                </c:pt>
                <c:pt idx="455">
                  <c:v>45596</c:v>
                </c:pt>
                <c:pt idx="456">
                  <c:v>45626</c:v>
                </c:pt>
                <c:pt idx="457">
                  <c:v>45657</c:v>
                </c:pt>
                <c:pt idx="458">
                  <c:v>45688</c:v>
                </c:pt>
                <c:pt idx="459">
                  <c:v>45716</c:v>
                </c:pt>
                <c:pt idx="460">
                  <c:v>45747</c:v>
                </c:pt>
                <c:pt idx="461">
                  <c:v>45777</c:v>
                </c:pt>
                <c:pt idx="462">
                  <c:v>45808</c:v>
                </c:pt>
                <c:pt idx="463">
                  <c:v>45838</c:v>
                </c:pt>
                <c:pt idx="464">
                  <c:v>45869</c:v>
                </c:pt>
                <c:pt idx="465">
                  <c:v>45900</c:v>
                </c:pt>
                <c:pt idx="466">
                  <c:v>45930</c:v>
                </c:pt>
                <c:pt idx="467">
                  <c:v>45961</c:v>
                </c:pt>
                <c:pt idx="468">
                  <c:v>45991</c:v>
                </c:pt>
                <c:pt idx="469">
                  <c:v>46022</c:v>
                </c:pt>
                <c:pt idx="470">
                  <c:v>46053</c:v>
                </c:pt>
                <c:pt idx="471">
                  <c:v>46081</c:v>
                </c:pt>
                <c:pt idx="472">
                  <c:v>46112</c:v>
                </c:pt>
                <c:pt idx="473">
                  <c:v>46142</c:v>
                </c:pt>
                <c:pt idx="474">
                  <c:v>46173</c:v>
                </c:pt>
                <c:pt idx="475">
                  <c:v>46203</c:v>
                </c:pt>
                <c:pt idx="476">
                  <c:v>46234</c:v>
                </c:pt>
                <c:pt idx="477">
                  <c:v>46265</c:v>
                </c:pt>
                <c:pt idx="478">
                  <c:v>46295</c:v>
                </c:pt>
              </c:numCache>
            </c:numRef>
          </c:xVal>
          <c:yVal>
            <c:numRef>
              <c:f>'Base Rating 2'!$P$2:$P$480</c:f>
              <c:numCache>
                <c:formatCode>General</c:formatCode>
                <c:ptCount val="4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9</c:v>
                </c:pt>
                <c:pt idx="126">
                  <c:v>9</c:v>
                </c:pt>
                <c:pt idx="127">
                  <c:v>9</c:v>
                </c:pt>
                <c:pt idx="128">
                  <c:v>9</c:v>
                </c:pt>
                <c:pt idx="129">
                  <c:v>9</c:v>
                </c:pt>
                <c:pt idx="130">
                  <c:v>9</c:v>
                </c:pt>
                <c:pt idx="131">
                  <c:v>9</c:v>
                </c:pt>
                <c:pt idx="132">
                  <c:v>9</c:v>
                </c:pt>
                <c:pt idx="133">
                  <c:v>9</c:v>
                </c:pt>
                <c:pt idx="134">
                  <c:v>9</c:v>
                </c:pt>
                <c:pt idx="135">
                  <c:v>9</c:v>
                </c:pt>
                <c:pt idx="136">
                  <c:v>9</c:v>
                </c:pt>
                <c:pt idx="137">
                  <c:v>9</c:v>
                </c:pt>
                <c:pt idx="138">
                  <c:v>9</c:v>
                </c:pt>
                <c:pt idx="139">
                  <c:v>9</c:v>
                </c:pt>
                <c:pt idx="140">
                  <c:v>9</c:v>
                </c:pt>
                <c:pt idx="141">
                  <c:v>9</c:v>
                </c:pt>
                <c:pt idx="142">
                  <c:v>9</c:v>
                </c:pt>
                <c:pt idx="143">
                  <c:v>9</c:v>
                </c:pt>
                <c:pt idx="144">
                  <c:v>9</c:v>
                </c:pt>
                <c:pt idx="145">
                  <c:v>9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8</c:v>
                </c:pt>
                <c:pt idx="196">
                  <c:v>8</c:v>
                </c:pt>
                <c:pt idx="197">
                  <c:v>8</c:v>
                </c:pt>
                <c:pt idx="198">
                  <c:v>8</c:v>
                </c:pt>
                <c:pt idx="199">
                  <c:v>8</c:v>
                </c:pt>
                <c:pt idx="200">
                  <c:v>8</c:v>
                </c:pt>
                <c:pt idx="201">
                  <c:v>8</c:v>
                </c:pt>
                <c:pt idx="202">
                  <c:v>8</c:v>
                </c:pt>
                <c:pt idx="203">
                  <c:v>8</c:v>
                </c:pt>
                <c:pt idx="204">
                  <c:v>8</c:v>
                </c:pt>
                <c:pt idx="205">
                  <c:v>8</c:v>
                </c:pt>
                <c:pt idx="206">
                  <c:v>8</c:v>
                </c:pt>
                <c:pt idx="207">
                  <c:v>8</c:v>
                </c:pt>
                <c:pt idx="208">
                  <c:v>8</c:v>
                </c:pt>
                <c:pt idx="209">
                  <c:v>8</c:v>
                </c:pt>
                <c:pt idx="210">
                  <c:v>8</c:v>
                </c:pt>
                <c:pt idx="211">
                  <c:v>8</c:v>
                </c:pt>
                <c:pt idx="212">
                  <c:v>8</c:v>
                </c:pt>
                <c:pt idx="213">
                  <c:v>8</c:v>
                </c:pt>
                <c:pt idx="214">
                  <c:v>8</c:v>
                </c:pt>
                <c:pt idx="215">
                  <c:v>8</c:v>
                </c:pt>
                <c:pt idx="216">
                  <c:v>8</c:v>
                </c:pt>
                <c:pt idx="217">
                  <c:v>8</c:v>
                </c:pt>
                <c:pt idx="218">
                  <c:v>8</c:v>
                </c:pt>
                <c:pt idx="219">
                  <c:v>8</c:v>
                </c:pt>
                <c:pt idx="220">
                  <c:v>8</c:v>
                </c:pt>
                <c:pt idx="221">
                  <c:v>8</c:v>
                </c:pt>
                <c:pt idx="222">
                  <c:v>8</c:v>
                </c:pt>
                <c:pt idx="223">
                  <c:v>8</c:v>
                </c:pt>
                <c:pt idx="224">
                  <c:v>8</c:v>
                </c:pt>
                <c:pt idx="225">
                  <c:v>8</c:v>
                </c:pt>
                <c:pt idx="226">
                  <c:v>8</c:v>
                </c:pt>
                <c:pt idx="227">
                  <c:v>8</c:v>
                </c:pt>
                <c:pt idx="228">
                  <c:v>9</c:v>
                </c:pt>
                <c:pt idx="229">
                  <c:v>9</c:v>
                </c:pt>
                <c:pt idx="230">
                  <c:v>9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10</c:v>
                </c:pt>
                <c:pt idx="241">
                  <c:v>10</c:v>
                </c:pt>
                <c:pt idx="242">
                  <c:v>10</c:v>
                </c:pt>
                <c:pt idx="243">
                  <c:v>10</c:v>
                </c:pt>
                <c:pt idx="244">
                  <c:v>10</c:v>
                </c:pt>
                <c:pt idx="245">
                  <c:v>10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12</c:v>
                </c:pt>
                <c:pt idx="258">
                  <c:v>12</c:v>
                </c:pt>
                <c:pt idx="259">
                  <c:v>12</c:v>
                </c:pt>
                <c:pt idx="260">
                  <c:v>12</c:v>
                </c:pt>
                <c:pt idx="261">
                  <c:v>12</c:v>
                </c:pt>
                <c:pt idx="262">
                  <c:v>12</c:v>
                </c:pt>
                <c:pt idx="263">
                  <c:v>12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12</c:v>
                </c:pt>
                <c:pt idx="290">
                  <c:v>12</c:v>
                </c:pt>
                <c:pt idx="291">
                  <c:v>12</c:v>
                </c:pt>
                <c:pt idx="292">
                  <c:v>12</c:v>
                </c:pt>
                <c:pt idx="293">
                  <c:v>12</c:v>
                </c:pt>
                <c:pt idx="294">
                  <c:v>12</c:v>
                </c:pt>
                <c:pt idx="295">
                  <c:v>12</c:v>
                </c:pt>
                <c:pt idx="296">
                  <c:v>12</c:v>
                </c:pt>
                <c:pt idx="297">
                  <c:v>12</c:v>
                </c:pt>
                <c:pt idx="298">
                  <c:v>12</c:v>
                </c:pt>
                <c:pt idx="299">
                  <c:v>12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13</c:v>
                </c:pt>
                <c:pt idx="313">
                  <c:v>13</c:v>
                </c:pt>
                <c:pt idx="314">
                  <c:v>13</c:v>
                </c:pt>
                <c:pt idx="315">
                  <c:v>13</c:v>
                </c:pt>
                <c:pt idx="316">
                  <c:v>13</c:v>
                </c:pt>
                <c:pt idx="317">
                  <c:v>13</c:v>
                </c:pt>
                <c:pt idx="318">
                  <c:v>13</c:v>
                </c:pt>
                <c:pt idx="319">
                  <c:v>13</c:v>
                </c:pt>
                <c:pt idx="320">
                  <c:v>13</c:v>
                </c:pt>
                <c:pt idx="321">
                  <c:v>13</c:v>
                </c:pt>
                <c:pt idx="322">
                  <c:v>13</c:v>
                </c:pt>
                <c:pt idx="323">
                  <c:v>13</c:v>
                </c:pt>
                <c:pt idx="324">
                  <c:v>13</c:v>
                </c:pt>
                <c:pt idx="325">
                  <c:v>13</c:v>
                </c:pt>
                <c:pt idx="326">
                  <c:v>13</c:v>
                </c:pt>
                <c:pt idx="327">
                  <c:v>13</c:v>
                </c:pt>
                <c:pt idx="328">
                  <c:v>12</c:v>
                </c:pt>
                <c:pt idx="329">
                  <c:v>12</c:v>
                </c:pt>
                <c:pt idx="330">
                  <c:v>12</c:v>
                </c:pt>
                <c:pt idx="331">
                  <c:v>12</c:v>
                </c:pt>
                <c:pt idx="332">
                  <c:v>12</c:v>
                </c:pt>
                <c:pt idx="333">
                  <c:v>12</c:v>
                </c:pt>
                <c:pt idx="334">
                  <c:v>12</c:v>
                </c:pt>
                <c:pt idx="335">
                  <c:v>12</c:v>
                </c:pt>
                <c:pt idx="336">
                  <c:v>12</c:v>
                </c:pt>
                <c:pt idx="337">
                  <c:v>12</c:v>
                </c:pt>
                <c:pt idx="338">
                  <c:v>12</c:v>
                </c:pt>
                <c:pt idx="339">
                  <c:v>12</c:v>
                </c:pt>
                <c:pt idx="340">
                  <c:v>12</c:v>
                </c:pt>
                <c:pt idx="341">
                  <c:v>12</c:v>
                </c:pt>
                <c:pt idx="342">
                  <c:v>12</c:v>
                </c:pt>
                <c:pt idx="343">
                  <c:v>12</c:v>
                </c:pt>
                <c:pt idx="344">
                  <c:v>12</c:v>
                </c:pt>
                <c:pt idx="345">
                  <c:v>12</c:v>
                </c:pt>
                <c:pt idx="346">
                  <c:v>11</c:v>
                </c:pt>
                <c:pt idx="347">
                  <c:v>11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C-4F0F-ACA2-A1FA29F4EBE9}"/>
            </c:ext>
          </c:extLst>
        </c:ser>
        <c:ser>
          <c:idx val="1"/>
          <c:order val="1"/>
          <c:tx>
            <c:v>Moeda local</c:v>
          </c:tx>
          <c:spPr>
            <a:ln w="25400" cap="rnd">
              <a:solidFill>
                <a:srgbClr val="ED7D31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'Base Rating 2'!$A$2:$A$480</c:f>
              <c:numCache>
                <c:formatCode>mmm\-yy</c:formatCode>
                <c:ptCount val="479"/>
                <c:pt idx="0">
                  <c:v>31746</c:v>
                </c:pt>
                <c:pt idx="1">
                  <c:v>31777</c:v>
                </c:pt>
                <c:pt idx="2">
                  <c:v>31808</c:v>
                </c:pt>
                <c:pt idx="3">
                  <c:v>31836</c:v>
                </c:pt>
                <c:pt idx="4">
                  <c:v>31867</c:v>
                </c:pt>
                <c:pt idx="5">
                  <c:v>31897</c:v>
                </c:pt>
                <c:pt idx="6">
                  <c:v>31928</c:v>
                </c:pt>
                <c:pt idx="7">
                  <c:v>31958</c:v>
                </c:pt>
                <c:pt idx="8">
                  <c:v>31989</c:v>
                </c:pt>
                <c:pt idx="9">
                  <c:v>32020</c:v>
                </c:pt>
                <c:pt idx="10">
                  <c:v>32050</c:v>
                </c:pt>
                <c:pt idx="11">
                  <c:v>32081</c:v>
                </c:pt>
                <c:pt idx="12">
                  <c:v>32111</c:v>
                </c:pt>
                <c:pt idx="13">
                  <c:v>32142</c:v>
                </c:pt>
                <c:pt idx="14">
                  <c:v>32173</c:v>
                </c:pt>
                <c:pt idx="15">
                  <c:v>32202</c:v>
                </c:pt>
                <c:pt idx="16">
                  <c:v>32233</c:v>
                </c:pt>
                <c:pt idx="17">
                  <c:v>32263</c:v>
                </c:pt>
                <c:pt idx="18">
                  <c:v>32294</c:v>
                </c:pt>
                <c:pt idx="19">
                  <c:v>32324</c:v>
                </c:pt>
                <c:pt idx="20">
                  <c:v>32355</c:v>
                </c:pt>
                <c:pt idx="21">
                  <c:v>32386</c:v>
                </c:pt>
                <c:pt idx="22">
                  <c:v>32416</c:v>
                </c:pt>
                <c:pt idx="23">
                  <c:v>32447</c:v>
                </c:pt>
                <c:pt idx="24">
                  <c:v>32477</c:v>
                </c:pt>
                <c:pt idx="25">
                  <c:v>32508</c:v>
                </c:pt>
                <c:pt idx="26">
                  <c:v>32539</c:v>
                </c:pt>
                <c:pt idx="27">
                  <c:v>32567</c:v>
                </c:pt>
                <c:pt idx="28">
                  <c:v>32598</c:v>
                </c:pt>
                <c:pt idx="29">
                  <c:v>32628</c:v>
                </c:pt>
                <c:pt idx="30">
                  <c:v>32659</c:v>
                </c:pt>
                <c:pt idx="31">
                  <c:v>32689</c:v>
                </c:pt>
                <c:pt idx="32">
                  <c:v>32720</c:v>
                </c:pt>
                <c:pt idx="33">
                  <c:v>32751</c:v>
                </c:pt>
                <c:pt idx="34">
                  <c:v>32781</c:v>
                </c:pt>
                <c:pt idx="35">
                  <c:v>32812</c:v>
                </c:pt>
                <c:pt idx="36">
                  <c:v>32842</c:v>
                </c:pt>
                <c:pt idx="37">
                  <c:v>32873</c:v>
                </c:pt>
                <c:pt idx="38">
                  <c:v>32904</c:v>
                </c:pt>
                <c:pt idx="39">
                  <c:v>32932</c:v>
                </c:pt>
                <c:pt idx="40">
                  <c:v>32963</c:v>
                </c:pt>
                <c:pt idx="41">
                  <c:v>32993</c:v>
                </c:pt>
                <c:pt idx="42">
                  <c:v>33024</c:v>
                </c:pt>
                <c:pt idx="43">
                  <c:v>33054</c:v>
                </c:pt>
                <c:pt idx="44">
                  <c:v>33085</c:v>
                </c:pt>
                <c:pt idx="45">
                  <c:v>33116</c:v>
                </c:pt>
                <c:pt idx="46">
                  <c:v>33146</c:v>
                </c:pt>
                <c:pt idx="47">
                  <c:v>33177</c:v>
                </c:pt>
                <c:pt idx="48">
                  <c:v>33207</c:v>
                </c:pt>
                <c:pt idx="49">
                  <c:v>33238</c:v>
                </c:pt>
                <c:pt idx="50">
                  <c:v>33269</c:v>
                </c:pt>
                <c:pt idx="51">
                  <c:v>33297</c:v>
                </c:pt>
                <c:pt idx="52">
                  <c:v>33328</c:v>
                </c:pt>
                <c:pt idx="53">
                  <c:v>33358</c:v>
                </c:pt>
                <c:pt idx="54">
                  <c:v>33389</c:v>
                </c:pt>
                <c:pt idx="55">
                  <c:v>33419</c:v>
                </c:pt>
                <c:pt idx="56">
                  <c:v>33450</c:v>
                </c:pt>
                <c:pt idx="57">
                  <c:v>33481</c:v>
                </c:pt>
                <c:pt idx="58">
                  <c:v>33511</c:v>
                </c:pt>
                <c:pt idx="59">
                  <c:v>33542</c:v>
                </c:pt>
                <c:pt idx="60">
                  <c:v>33572</c:v>
                </c:pt>
                <c:pt idx="61">
                  <c:v>33603</c:v>
                </c:pt>
                <c:pt idx="62">
                  <c:v>33634</c:v>
                </c:pt>
                <c:pt idx="63">
                  <c:v>33663</c:v>
                </c:pt>
                <c:pt idx="64">
                  <c:v>33694</c:v>
                </c:pt>
                <c:pt idx="65">
                  <c:v>33724</c:v>
                </c:pt>
                <c:pt idx="66">
                  <c:v>33755</c:v>
                </c:pt>
                <c:pt idx="67">
                  <c:v>33785</c:v>
                </c:pt>
                <c:pt idx="68">
                  <c:v>33816</c:v>
                </c:pt>
                <c:pt idx="69">
                  <c:v>33847</c:v>
                </c:pt>
                <c:pt idx="70">
                  <c:v>33877</c:v>
                </c:pt>
                <c:pt idx="71">
                  <c:v>33908</c:v>
                </c:pt>
                <c:pt idx="72">
                  <c:v>33938</c:v>
                </c:pt>
                <c:pt idx="73">
                  <c:v>33969</c:v>
                </c:pt>
                <c:pt idx="74">
                  <c:v>34000</c:v>
                </c:pt>
                <c:pt idx="75">
                  <c:v>34028</c:v>
                </c:pt>
                <c:pt idx="76">
                  <c:v>34059</c:v>
                </c:pt>
                <c:pt idx="77">
                  <c:v>34089</c:v>
                </c:pt>
                <c:pt idx="78">
                  <c:v>34120</c:v>
                </c:pt>
                <c:pt idx="79">
                  <c:v>34150</c:v>
                </c:pt>
                <c:pt idx="80">
                  <c:v>34181</c:v>
                </c:pt>
                <c:pt idx="81">
                  <c:v>34212</c:v>
                </c:pt>
                <c:pt idx="82">
                  <c:v>34242</c:v>
                </c:pt>
                <c:pt idx="83">
                  <c:v>34273</c:v>
                </c:pt>
                <c:pt idx="84">
                  <c:v>34303</c:v>
                </c:pt>
                <c:pt idx="85">
                  <c:v>34334</c:v>
                </c:pt>
                <c:pt idx="86">
                  <c:v>34365</c:v>
                </c:pt>
                <c:pt idx="87">
                  <c:v>34393</c:v>
                </c:pt>
                <c:pt idx="88">
                  <c:v>34424</c:v>
                </c:pt>
                <c:pt idx="89">
                  <c:v>34454</c:v>
                </c:pt>
                <c:pt idx="90">
                  <c:v>34485</c:v>
                </c:pt>
                <c:pt idx="91">
                  <c:v>34515</c:v>
                </c:pt>
                <c:pt idx="92">
                  <c:v>34546</c:v>
                </c:pt>
                <c:pt idx="93">
                  <c:v>34577</c:v>
                </c:pt>
                <c:pt idx="94">
                  <c:v>34607</c:v>
                </c:pt>
                <c:pt idx="95">
                  <c:v>34638</c:v>
                </c:pt>
                <c:pt idx="96">
                  <c:v>34668</c:v>
                </c:pt>
                <c:pt idx="97">
                  <c:v>34699</c:v>
                </c:pt>
                <c:pt idx="98">
                  <c:v>34730</c:v>
                </c:pt>
                <c:pt idx="99">
                  <c:v>34758</c:v>
                </c:pt>
                <c:pt idx="100">
                  <c:v>34789</c:v>
                </c:pt>
                <c:pt idx="101">
                  <c:v>34819</c:v>
                </c:pt>
                <c:pt idx="102">
                  <c:v>34850</c:v>
                </c:pt>
                <c:pt idx="103">
                  <c:v>34880</c:v>
                </c:pt>
                <c:pt idx="104">
                  <c:v>34911</c:v>
                </c:pt>
                <c:pt idx="105">
                  <c:v>34942</c:v>
                </c:pt>
                <c:pt idx="106">
                  <c:v>34972</c:v>
                </c:pt>
                <c:pt idx="107">
                  <c:v>35003</c:v>
                </c:pt>
                <c:pt idx="108">
                  <c:v>35033</c:v>
                </c:pt>
                <c:pt idx="109">
                  <c:v>35064</c:v>
                </c:pt>
                <c:pt idx="110">
                  <c:v>35095</c:v>
                </c:pt>
                <c:pt idx="111">
                  <c:v>35124</c:v>
                </c:pt>
                <c:pt idx="112">
                  <c:v>35155</c:v>
                </c:pt>
                <c:pt idx="113">
                  <c:v>35185</c:v>
                </c:pt>
                <c:pt idx="114">
                  <c:v>35216</c:v>
                </c:pt>
                <c:pt idx="115">
                  <c:v>35246</c:v>
                </c:pt>
                <c:pt idx="116">
                  <c:v>35277</c:v>
                </c:pt>
                <c:pt idx="117">
                  <c:v>35308</c:v>
                </c:pt>
                <c:pt idx="118">
                  <c:v>35338</c:v>
                </c:pt>
                <c:pt idx="119">
                  <c:v>35369</c:v>
                </c:pt>
                <c:pt idx="120">
                  <c:v>35399</c:v>
                </c:pt>
                <c:pt idx="121">
                  <c:v>35430</c:v>
                </c:pt>
                <c:pt idx="122">
                  <c:v>35461</c:v>
                </c:pt>
                <c:pt idx="123">
                  <c:v>35489</c:v>
                </c:pt>
                <c:pt idx="124">
                  <c:v>35520</c:v>
                </c:pt>
                <c:pt idx="125">
                  <c:v>35550</c:v>
                </c:pt>
                <c:pt idx="126">
                  <c:v>35581</c:v>
                </c:pt>
                <c:pt idx="127">
                  <c:v>35611</c:v>
                </c:pt>
                <c:pt idx="128">
                  <c:v>35642</c:v>
                </c:pt>
                <c:pt idx="129">
                  <c:v>35673</c:v>
                </c:pt>
                <c:pt idx="130">
                  <c:v>35703</c:v>
                </c:pt>
                <c:pt idx="131">
                  <c:v>35734</c:v>
                </c:pt>
                <c:pt idx="132">
                  <c:v>35764</c:v>
                </c:pt>
                <c:pt idx="133">
                  <c:v>35795</c:v>
                </c:pt>
                <c:pt idx="134">
                  <c:v>35826</c:v>
                </c:pt>
                <c:pt idx="135">
                  <c:v>35854</c:v>
                </c:pt>
                <c:pt idx="136">
                  <c:v>35885</c:v>
                </c:pt>
                <c:pt idx="137">
                  <c:v>35915</c:v>
                </c:pt>
                <c:pt idx="138">
                  <c:v>35946</c:v>
                </c:pt>
                <c:pt idx="139">
                  <c:v>35976</c:v>
                </c:pt>
                <c:pt idx="140">
                  <c:v>36007</c:v>
                </c:pt>
                <c:pt idx="141">
                  <c:v>36038</c:v>
                </c:pt>
                <c:pt idx="142">
                  <c:v>36068</c:v>
                </c:pt>
                <c:pt idx="143">
                  <c:v>36099</c:v>
                </c:pt>
                <c:pt idx="144">
                  <c:v>36129</c:v>
                </c:pt>
                <c:pt idx="145">
                  <c:v>36160</c:v>
                </c:pt>
                <c:pt idx="146">
                  <c:v>36191</c:v>
                </c:pt>
                <c:pt idx="147">
                  <c:v>36219</c:v>
                </c:pt>
                <c:pt idx="148">
                  <c:v>36250</c:v>
                </c:pt>
                <c:pt idx="149">
                  <c:v>36280</c:v>
                </c:pt>
                <c:pt idx="150">
                  <c:v>36311</c:v>
                </c:pt>
                <c:pt idx="151">
                  <c:v>36341</c:v>
                </c:pt>
                <c:pt idx="152">
                  <c:v>36372</c:v>
                </c:pt>
                <c:pt idx="153">
                  <c:v>36403</c:v>
                </c:pt>
                <c:pt idx="154">
                  <c:v>36433</c:v>
                </c:pt>
                <c:pt idx="155">
                  <c:v>36464</c:v>
                </c:pt>
                <c:pt idx="156">
                  <c:v>36494</c:v>
                </c:pt>
                <c:pt idx="157">
                  <c:v>36525</c:v>
                </c:pt>
                <c:pt idx="158">
                  <c:v>36556</c:v>
                </c:pt>
                <c:pt idx="159">
                  <c:v>36585</c:v>
                </c:pt>
                <c:pt idx="160">
                  <c:v>36616</c:v>
                </c:pt>
                <c:pt idx="161">
                  <c:v>36646</c:v>
                </c:pt>
                <c:pt idx="162">
                  <c:v>36677</c:v>
                </c:pt>
                <c:pt idx="163">
                  <c:v>36707</c:v>
                </c:pt>
                <c:pt idx="164">
                  <c:v>36738</c:v>
                </c:pt>
                <c:pt idx="165">
                  <c:v>36769</c:v>
                </c:pt>
                <c:pt idx="166">
                  <c:v>36799</c:v>
                </c:pt>
                <c:pt idx="167">
                  <c:v>36830</c:v>
                </c:pt>
                <c:pt idx="168">
                  <c:v>36860</c:v>
                </c:pt>
                <c:pt idx="169">
                  <c:v>36891</c:v>
                </c:pt>
                <c:pt idx="170">
                  <c:v>36922</c:v>
                </c:pt>
                <c:pt idx="171">
                  <c:v>36950</c:v>
                </c:pt>
                <c:pt idx="172">
                  <c:v>36981</c:v>
                </c:pt>
                <c:pt idx="173">
                  <c:v>37011</c:v>
                </c:pt>
                <c:pt idx="174">
                  <c:v>37042</c:v>
                </c:pt>
                <c:pt idx="175">
                  <c:v>37072</c:v>
                </c:pt>
                <c:pt idx="176">
                  <c:v>37103</c:v>
                </c:pt>
                <c:pt idx="177">
                  <c:v>37134</c:v>
                </c:pt>
                <c:pt idx="178">
                  <c:v>37164</c:v>
                </c:pt>
                <c:pt idx="179">
                  <c:v>37195</c:v>
                </c:pt>
                <c:pt idx="180">
                  <c:v>37225</c:v>
                </c:pt>
                <c:pt idx="181">
                  <c:v>37256</c:v>
                </c:pt>
                <c:pt idx="182">
                  <c:v>37287</c:v>
                </c:pt>
                <c:pt idx="183">
                  <c:v>37315</c:v>
                </c:pt>
                <c:pt idx="184">
                  <c:v>37346</c:v>
                </c:pt>
                <c:pt idx="185">
                  <c:v>37376</c:v>
                </c:pt>
                <c:pt idx="186">
                  <c:v>37407</c:v>
                </c:pt>
                <c:pt idx="187">
                  <c:v>37437</c:v>
                </c:pt>
                <c:pt idx="188">
                  <c:v>37468</c:v>
                </c:pt>
                <c:pt idx="189">
                  <c:v>37499</c:v>
                </c:pt>
                <c:pt idx="190">
                  <c:v>37529</c:v>
                </c:pt>
                <c:pt idx="191">
                  <c:v>37560</c:v>
                </c:pt>
                <c:pt idx="192">
                  <c:v>37590</c:v>
                </c:pt>
                <c:pt idx="193">
                  <c:v>37621</c:v>
                </c:pt>
                <c:pt idx="194">
                  <c:v>37652</c:v>
                </c:pt>
                <c:pt idx="195">
                  <c:v>37680</c:v>
                </c:pt>
                <c:pt idx="196">
                  <c:v>37711</c:v>
                </c:pt>
                <c:pt idx="197">
                  <c:v>37741</c:v>
                </c:pt>
                <c:pt idx="198">
                  <c:v>37772</c:v>
                </c:pt>
                <c:pt idx="199">
                  <c:v>37802</c:v>
                </c:pt>
                <c:pt idx="200">
                  <c:v>37833</c:v>
                </c:pt>
                <c:pt idx="201">
                  <c:v>37864</c:v>
                </c:pt>
                <c:pt idx="202">
                  <c:v>37894</c:v>
                </c:pt>
                <c:pt idx="203">
                  <c:v>37925</c:v>
                </c:pt>
                <c:pt idx="204">
                  <c:v>37955</c:v>
                </c:pt>
                <c:pt idx="205">
                  <c:v>37986</c:v>
                </c:pt>
                <c:pt idx="206">
                  <c:v>38017</c:v>
                </c:pt>
                <c:pt idx="207">
                  <c:v>38046</c:v>
                </c:pt>
                <c:pt idx="208">
                  <c:v>38077</c:v>
                </c:pt>
                <c:pt idx="209">
                  <c:v>38107</c:v>
                </c:pt>
                <c:pt idx="210">
                  <c:v>38138</c:v>
                </c:pt>
                <c:pt idx="211">
                  <c:v>38168</c:v>
                </c:pt>
                <c:pt idx="212">
                  <c:v>38199</c:v>
                </c:pt>
                <c:pt idx="213">
                  <c:v>38230</c:v>
                </c:pt>
                <c:pt idx="214">
                  <c:v>38260</c:v>
                </c:pt>
                <c:pt idx="215">
                  <c:v>38291</c:v>
                </c:pt>
                <c:pt idx="216">
                  <c:v>38321</c:v>
                </c:pt>
                <c:pt idx="217">
                  <c:v>38352</c:v>
                </c:pt>
                <c:pt idx="218">
                  <c:v>38383</c:v>
                </c:pt>
                <c:pt idx="219">
                  <c:v>38411</c:v>
                </c:pt>
                <c:pt idx="220">
                  <c:v>38442</c:v>
                </c:pt>
                <c:pt idx="221">
                  <c:v>38472</c:v>
                </c:pt>
                <c:pt idx="222">
                  <c:v>38503</c:v>
                </c:pt>
                <c:pt idx="223">
                  <c:v>38533</c:v>
                </c:pt>
                <c:pt idx="224">
                  <c:v>38564</c:v>
                </c:pt>
                <c:pt idx="225">
                  <c:v>38595</c:v>
                </c:pt>
                <c:pt idx="226">
                  <c:v>38625</c:v>
                </c:pt>
                <c:pt idx="227">
                  <c:v>38656</c:v>
                </c:pt>
                <c:pt idx="228">
                  <c:v>38686</c:v>
                </c:pt>
                <c:pt idx="229">
                  <c:v>38717</c:v>
                </c:pt>
                <c:pt idx="230">
                  <c:v>38748</c:v>
                </c:pt>
                <c:pt idx="231">
                  <c:v>38776</c:v>
                </c:pt>
                <c:pt idx="232">
                  <c:v>38807</c:v>
                </c:pt>
                <c:pt idx="233">
                  <c:v>38837</c:v>
                </c:pt>
                <c:pt idx="234">
                  <c:v>38868</c:v>
                </c:pt>
                <c:pt idx="235">
                  <c:v>38898</c:v>
                </c:pt>
                <c:pt idx="236">
                  <c:v>38929</c:v>
                </c:pt>
                <c:pt idx="237">
                  <c:v>38960</c:v>
                </c:pt>
                <c:pt idx="238">
                  <c:v>38990</c:v>
                </c:pt>
                <c:pt idx="239">
                  <c:v>39021</c:v>
                </c:pt>
                <c:pt idx="240">
                  <c:v>39051</c:v>
                </c:pt>
                <c:pt idx="241">
                  <c:v>39082</c:v>
                </c:pt>
                <c:pt idx="242">
                  <c:v>39113</c:v>
                </c:pt>
                <c:pt idx="243">
                  <c:v>39141</c:v>
                </c:pt>
                <c:pt idx="244">
                  <c:v>39172</c:v>
                </c:pt>
                <c:pt idx="245">
                  <c:v>39202</c:v>
                </c:pt>
                <c:pt idx="246">
                  <c:v>39233</c:v>
                </c:pt>
                <c:pt idx="247">
                  <c:v>39263</c:v>
                </c:pt>
                <c:pt idx="248">
                  <c:v>39294</c:v>
                </c:pt>
                <c:pt idx="249">
                  <c:v>39325</c:v>
                </c:pt>
                <c:pt idx="250">
                  <c:v>39355</c:v>
                </c:pt>
                <c:pt idx="251">
                  <c:v>39386</c:v>
                </c:pt>
                <c:pt idx="252">
                  <c:v>39416</c:v>
                </c:pt>
                <c:pt idx="253">
                  <c:v>39447</c:v>
                </c:pt>
                <c:pt idx="254">
                  <c:v>39478</c:v>
                </c:pt>
                <c:pt idx="255">
                  <c:v>39507</c:v>
                </c:pt>
                <c:pt idx="256">
                  <c:v>39538</c:v>
                </c:pt>
                <c:pt idx="257">
                  <c:v>39568</c:v>
                </c:pt>
                <c:pt idx="258">
                  <c:v>39599</c:v>
                </c:pt>
                <c:pt idx="259">
                  <c:v>39629</c:v>
                </c:pt>
                <c:pt idx="260">
                  <c:v>39660</c:v>
                </c:pt>
                <c:pt idx="261">
                  <c:v>39691</c:v>
                </c:pt>
                <c:pt idx="262">
                  <c:v>39721</c:v>
                </c:pt>
                <c:pt idx="263">
                  <c:v>39752</c:v>
                </c:pt>
                <c:pt idx="264">
                  <c:v>39782</c:v>
                </c:pt>
                <c:pt idx="265">
                  <c:v>39813</c:v>
                </c:pt>
                <c:pt idx="266">
                  <c:v>39844</c:v>
                </c:pt>
                <c:pt idx="267">
                  <c:v>39872</c:v>
                </c:pt>
                <c:pt idx="268">
                  <c:v>39903</c:v>
                </c:pt>
                <c:pt idx="269">
                  <c:v>39933</c:v>
                </c:pt>
                <c:pt idx="270">
                  <c:v>39964</c:v>
                </c:pt>
                <c:pt idx="271">
                  <c:v>39994</c:v>
                </c:pt>
                <c:pt idx="272">
                  <c:v>40025</c:v>
                </c:pt>
                <c:pt idx="273">
                  <c:v>40056</c:v>
                </c:pt>
                <c:pt idx="274">
                  <c:v>40086</c:v>
                </c:pt>
                <c:pt idx="275">
                  <c:v>40117</c:v>
                </c:pt>
                <c:pt idx="276">
                  <c:v>40147</c:v>
                </c:pt>
                <c:pt idx="277">
                  <c:v>40178</c:v>
                </c:pt>
                <c:pt idx="278">
                  <c:v>40209</c:v>
                </c:pt>
                <c:pt idx="279">
                  <c:v>40237</c:v>
                </c:pt>
                <c:pt idx="280">
                  <c:v>40268</c:v>
                </c:pt>
                <c:pt idx="281">
                  <c:v>40298</c:v>
                </c:pt>
                <c:pt idx="282">
                  <c:v>40329</c:v>
                </c:pt>
                <c:pt idx="283">
                  <c:v>40359</c:v>
                </c:pt>
                <c:pt idx="284">
                  <c:v>40390</c:v>
                </c:pt>
                <c:pt idx="285">
                  <c:v>40421</c:v>
                </c:pt>
                <c:pt idx="286">
                  <c:v>40451</c:v>
                </c:pt>
                <c:pt idx="287">
                  <c:v>40482</c:v>
                </c:pt>
                <c:pt idx="288">
                  <c:v>40512</c:v>
                </c:pt>
                <c:pt idx="289">
                  <c:v>40543</c:v>
                </c:pt>
                <c:pt idx="290">
                  <c:v>40574</c:v>
                </c:pt>
                <c:pt idx="291">
                  <c:v>40602</c:v>
                </c:pt>
                <c:pt idx="292">
                  <c:v>40633</c:v>
                </c:pt>
                <c:pt idx="293">
                  <c:v>40663</c:v>
                </c:pt>
                <c:pt idx="294">
                  <c:v>40694</c:v>
                </c:pt>
                <c:pt idx="295">
                  <c:v>40724</c:v>
                </c:pt>
                <c:pt idx="296">
                  <c:v>40755</c:v>
                </c:pt>
                <c:pt idx="297">
                  <c:v>40786</c:v>
                </c:pt>
                <c:pt idx="298">
                  <c:v>40816</c:v>
                </c:pt>
                <c:pt idx="299">
                  <c:v>40847</c:v>
                </c:pt>
                <c:pt idx="300">
                  <c:v>40877</c:v>
                </c:pt>
                <c:pt idx="301">
                  <c:v>40908</c:v>
                </c:pt>
                <c:pt idx="302">
                  <c:v>40939</c:v>
                </c:pt>
                <c:pt idx="303">
                  <c:v>40968</c:v>
                </c:pt>
                <c:pt idx="304">
                  <c:v>40999</c:v>
                </c:pt>
                <c:pt idx="305">
                  <c:v>41029</c:v>
                </c:pt>
                <c:pt idx="306">
                  <c:v>41060</c:v>
                </c:pt>
                <c:pt idx="307">
                  <c:v>41090</c:v>
                </c:pt>
                <c:pt idx="308">
                  <c:v>41121</c:v>
                </c:pt>
                <c:pt idx="309">
                  <c:v>41152</c:v>
                </c:pt>
                <c:pt idx="310">
                  <c:v>41182</c:v>
                </c:pt>
                <c:pt idx="311">
                  <c:v>41213</c:v>
                </c:pt>
                <c:pt idx="312">
                  <c:v>41243</c:v>
                </c:pt>
                <c:pt idx="313">
                  <c:v>41274</c:v>
                </c:pt>
                <c:pt idx="314">
                  <c:v>41305</c:v>
                </c:pt>
                <c:pt idx="315">
                  <c:v>41333</c:v>
                </c:pt>
                <c:pt idx="316">
                  <c:v>41364</c:v>
                </c:pt>
                <c:pt idx="317">
                  <c:v>41394</c:v>
                </c:pt>
                <c:pt idx="318">
                  <c:v>41425</c:v>
                </c:pt>
                <c:pt idx="319">
                  <c:v>41455</c:v>
                </c:pt>
                <c:pt idx="320">
                  <c:v>41486</c:v>
                </c:pt>
                <c:pt idx="321">
                  <c:v>41517</c:v>
                </c:pt>
                <c:pt idx="322">
                  <c:v>41547</c:v>
                </c:pt>
                <c:pt idx="323">
                  <c:v>41578</c:v>
                </c:pt>
                <c:pt idx="324">
                  <c:v>41608</c:v>
                </c:pt>
                <c:pt idx="325">
                  <c:v>41639</c:v>
                </c:pt>
                <c:pt idx="326">
                  <c:v>41670</c:v>
                </c:pt>
                <c:pt idx="327">
                  <c:v>41698</c:v>
                </c:pt>
                <c:pt idx="328">
                  <c:v>41729</c:v>
                </c:pt>
                <c:pt idx="329">
                  <c:v>41759</c:v>
                </c:pt>
                <c:pt idx="330">
                  <c:v>41790</c:v>
                </c:pt>
                <c:pt idx="331">
                  <c:v>41820</c:v>
                </c:pt>
                <c:pt idx="332">
                  <c:v>41851</c:v>
                </c:pt>
                <c:pt idx="333">
                  <c:v>41882</c:v>
                </c:pt>
                <c:pt idx="334">
                  <c:v>41912</c:v>
                </c:pt>
                <c:pt idx="335">
                  <c:v>41943</c:v>
                </c:pt>
                <c:pt idx="336">
                  <c:v>41973</c:v>
                </c:pt>
                <c:pt idx="337">
                  <c:v>42004</c:v>
                </c:pt>
                <c:pt idx="338">
                  <c:v>42035</c:v>
                </c:pt>
                <c:pt idx="339">
                  <c:v>42063</c:v>
                </c:pt>
                <c:pt idx="340">
                  <c:v>42094</c:v>
                </c:pt>
                <c:pt idx="341">
                  <c:v>42124</c:v>
                </c:pt>
                <c:pt idx="342">
                  <c:v>42155</c:v>
                </c:pt>
                <c:pt idx="343">
                  <c:v>42185</c:v>
                </c:pt>
                <c:pt idx="344">
                  <c:v>42216</c:v>
                </c:pt>
                <c:pt idx="345">
                  <c:v>42247</c:v>
                </c:pt>
                <c:pt idx="346">
                  <c:v>42277</c:v>
                </c:pt>
                <c:pt idx="347">
                  <c:v>42308</c:v>
                </c:pt>
                <c:pt idx="348">
                  <c:v>42338</c:v>
                </c:pt>
                <c:pt idx="349">
                  <c:v>42369</c:v>
                </c:pt>
                <c:pt idx="350">
                  <c:v>42400</c:v>
                </c:pt>
                <c:pt idx="351">
                  <c:v>42429</c:v>
                </c:pt>
                <c:pt idx="352">
                  <c:v>42460</c:v>
                </c:pt>
                <c:pt idx="353">
                  <c:v>42490</c:v>
                </c:pt>
                <c:pt idx="354">
                  <c:v>42521</c:v>
                </c:pt>
                <c:pt idx="355">
                  <c:v>42551</c:v>
                </c:pt>
                <c:pt idx="356">
                  <c:v>42582</c:v>
                </c:pt>
                <c:pt idx="357">
                  <c:v>42613</c:v>
                </c:pt>
                <c:pt idx="358">
                  <c:v>42643</c:v>
                </c:pt>
                <c:pt idx="359">
                  <c:v>42674</c:v>
                </c:pt>
                <c:pt idx="360">
                  <c:v>42704</c:v>
                </c:pt>
                <c:pt idx="361">
                  <c:v>42735</c:v>
                </c:pt>
                <c:pt idx="362">
                  <c:v>42766</c:v>
                </c:pt>
                <c:pt idx="363">
                  <c:v>42794</c:v>
                </c:pt>
                <c:pt idx="364">
                  <c:v>42825</c:v>
                </c:pt>
                <c:pt idx="365">
                  <c:v>42855</c:v>
                </c:pt>
                <c:pt idx="366">
                  <c:v>42886</c:v>
                </c:pt>
                <c:pt idx="367">
                  <c:v>42916</c:v>
                </c:pt>
                <c:pt idx="368">
                  <c:v>42947</c:v>
                </c:pt>
                <c:pt idx="369">
                  <c:v>42978</c:v>
                </c:pt>
                <c:pt idx="370">
                  <c:v>43008</c:v>
                </c:pt>
                <c:pt idx="371">
                  <c:v>43039</c:v>
                </c:pt>
                <c:pt idx="372">
                  <c:v>43069</c:v>
                </c:pt>
                <c:pt idx="373">
                  <c:v>43100</c:v>
                </c:pt>
                <c:pt idx="374">
                  <c:v>43131</c:v>
                </c:pt>
                <c:pt idx="375">
                  <c:v>43159</c:v>
                </c:pt>
                <c:pt idx="376">
                  <c:v>43190</c:v>
                </c:pt>
                <c:pt idx="377">
                  <c:v>43220</c:v>
                </c:pt>
                <c:pt idx="378">
                  <c:v>43251</c:v>
                </c:pt>
                <c:pt idx="379">
                  <c:v>43281</c:v>
                </c:pt>
                <c:pt idx="380">
                  <c:v>43312</c:v>
                </c:pt>
                <c:pt idx="381">
                  <c:v>43343</c:v>
                </c:pt>
                <c:pt idx="382">
                  <c:v>43373</c:v>
                </c:pt>
                <c:pt idx="383">
                  <c:v>43404</c:v>
                </c:pt>
                <c:pt idx="384">
                  <c:v>43434</c:v>
                </c:pt>
                <c:pt idx="385">
                  <c:v>43465</c:v>
                </c:pt>
                <c:pt idx="386">
                  <c:v>43496</c:v>
                </c:pt>
                <c:pt idx="387">
                  <c:v>43524</c:v>
                </c:pt>
                <c:pt idx="388">
                  <c:v>43555</c:v>
                </c:pt>
                <c:pt idx="389">
                  <c:v>43585</c:v>
                </c:pt>
                <c:pt idx="390">
                  <c:v>43616</c:v>
                </c:pt>
                <c:pt idx="391">
                  <c:v>43646</c:v>
                </c:pt>
                <c:pt idx="392">
                  <c:v>43677</c:v>
                </c:pt>
                <c:pt idx="393">
                  <c:v>43708</c:v>
                </c:pt>
                <c:pt idx="394">
                  <c:v>43738</c:v>
                </c:pt>
                <c:pt idx="395">
                  <c:v>43769</c:v>
                </c:pt>
                <c:pt idx="396">
                  <c:v>43799</c:v>
                </c:pt>
                <c:pt idx="397">
                  <c:v>43830</c:v>
                </c:pt>
                <c:pt idx="398">
                  <c:v>43861</c:v>
                </c:pt>
                <c:pt idx="399">
                  <c:v>43890</c:v>
                </c:pt>
                <c:pt idx="400">
                  <c:v>43921</c:v>
                </c:pt>
                <c:pt idx="401">
                  <c:v>43951</c:v>
                </c:pt>
                <c:pt idx="402">
                  <c:v>43982</c:v>
                </c:pt>
                <c:pt idx="403">
                  <c:v>44012</c:v>
                </c:pt>
                <c:pt idx="404">
                  <c:v>44043</c:v>
                </c:pt>
                <c:pt idx="405">
                  <c:v>44074</c:v>
                </c:pt>
                <c:pt idx="406">
                  <c:v>44104</c:v>
                </c:pt>
                <c:pt idx="407">
                  <c:v>44135</c:v>
                </c:pt>
                <c:pt idx="408">
                  <c:v>44165</c:v>
                </c:pt>
                <c:pt idx="409">
                  <c:v>44196</c:v>
                </c:pt>
                <c:pt idx="410">
                  <c:v>44227</c:v>
                </c:pt>
                <c:pt idx="411">
                  <c:v>44255</c:v>
                </c:pt>
                <c:pt idx="412">
                  <c:v>44286</c:v>
                </c:pt>
                <c:pt idx="413">
                  <c:v>44316</c:v>
                </c:pt>
                <c:pt idx="414">
                  <c:v>44347</c:v>
                </c:pt>
                <c:pt idx="415">
                  <c:v>44377</c:v>
                </c:pt>
                <c:pt idx="416">
                  <c:v>44408</c:v>
                </c:pt>
                <c:pt idx="417">
                  <c:v>44439</c:v>
                </c:pt>
                <c:pt idx="418">
                  <c:v>44469</c:v>
                </c:pt>
                <c:pt idx="419">
                  <c:v>44500</c:v>
                </c:pt>
                <c:pt idx="420">
                  <c:v>44530</c:v>
                </c:pt>
                <c:pt idx="421">
                  <c:v>44561</c:v>
                </c:pt>
                <c:pt idx="422">
                  <c:v>44592</c:v>
                </c:pt>
                <c:pt idx="423">
                  <c:v>44620</c:v>
                </c:pt>
                <c:pt idx="424">
                  <c:v>44651</c:v>
                </c:pt>
                <c:pt idx="425">
                  <c:v>44681</c:v>
                </c:pt>
                <c:pt idx="426">
                  <c:v>44712</c:v>
                </c:pt>
                <c:pt idx="427">
                  <c:v>44742</c:v>
                </c:pt>
                <c:pt idx="428">
                  <c:v>44773</c:v>
                </c:pt>
                <c:pt idx="429">
                  <c:v>44804</c:v>
                </c:pt>
                <c:pt idx="430">
                  <c:v>44834</c:v>
                </c:pt>
                <c:pt idx="431">
                  <c:v>44865</c:v>
                </c:pt>
                <c:pt idx="432">
                  <c:v>44895</c:v>
                </c:pt>
                <c:pt idx="433">
                  <c:v>44926</c:v>
                </c:pt>
                <c:pt idx="434">
                  <c:v>44957</c:v>
                </c:pt>
                <c:pt idx="435">
                  <c:v>44985</c:v>
                </c:pt>
                <c:pt idx="436">
                  <c:v>45016</c:v>
                </c:pt>
                <c:pt idx="437">
                  <c:v>45046</c:v>
                </c:pt>
                <c:pt idx="438">
                  <c:v>45077</c:v>
                </c:pt>
                <c:pt idx="439">
                  <c:v>45107</c:v>
                </c:pt>
                <c:pt idx="440">
                  <c:v>45138</c:v>
                </c:pt>
                <c:pt idx="441">
                  <c:v>45169</c:v>
                </c:pt>
                <c:pt idx="442">
                  <c:v>45199</c:v>
                </c:pt>
                <c:pt idx="443">
                  <c:v>45230</c:v>
                </c:pt>
                <c:pt idx="444">
                  <c:v>45260</c:v>
                </c:pt>
                <c:pt idx="445">
                  <c:v>45291</c:v>
                </c:pt>
                <c:pt idx="446">
                  <c:v>45322</c:v>
                </c:pt>
                <c:pt idx="447">
                  <c:v>45351</c:v>
                </c:pt>
                <c:pt idx="448">
                  <c:v>45382</c:v>
                </c:pt>
                <c:pt idx="449">
                  <c:v>45412</c:v>
                </c:pt>
                <c:pt idx="450">
                  <c:v>45443</c:v>
                </c:pt>
                <c:pt idx="451">
                  <c:v>45473</c:v>
                </c:pt>
                <c:pt idx="452">
                  <c:v>45504</c:v>
                </c:pt>
                <c:pt idx="453">
                  <c:v>45535</c:v>
                </c:pt>
                <c:pt idx="454">
                  <c:v>45565</c:v>
                </c:pt>
                <c:pt idx="455">
                  <c:v>45596</c:v>
                </c:pt>
                <c:pt idx="456">
                  <c:v>45626</c:v>
                </c:pt>
                <c:pt idx="457">
                  <c:v>45657</c:v>
                </c:pt>
                <c:pt idx="458">
                  <c:v>45688</c:v>
                </c:pt>
                <c:pt idx="459">
                  <c:v>45716</c:v>
                </c:pt>
                <c:pt idx="460">
                  <c:v>45747</c:v>
                </c:pt>
                <c:pt idx="461">
                  <c:v>45777</c:v>
                </c:pt>
                <c:pt idx="462">
                  <c:v>45808</c:v>
                </c:pt>
                <c:pt idx="463">
                  <c:v>45838</c:v>
                </c:pt>
                <c:pt idx="464">
                  <c:v>45869</c:v>
                </c:pt>
                <c:pt idx="465">
                  <c:v>45900</c:v>
                </c:pt>
                <c:pt idx="466">
                  <c:v>45930</c:v>
                </c:pt>
                <c:pt idx="467">
                  <c:v>45961</c:v>
                </c:pt>
                <c:pt idx="468">
                  <c:v>45991</c:v>
                </c:pt>
                <c:pt idx="469">
                  <c:v>46022</c:v>
                </c:pt>
                <c:pt idx="470">
                  <c:v>46053</c:v>
                </c:pt>
                <c:pt idx="471">
                  <c:v>46081</c:v>
                </c:pt>
                <c:pt idx="472">
                  <c:v>46112</c:v>
                </c:pt>
                <c:pt idx="473">
                  <c:v>46142</c:v>
                </c:pt>
                <c:pt idx="474">
                  <c:v>46173</c:v>
                </c:pt>
                <c:pt idx="475">
                  <c:v>46203</c:v>
                </c:pt>
                <c:pt idx="476">
                  <c:v>46234</c:v>
                </c:pt>
                <c:pt idx="477">
                  <c:v>46265</c:v>
                </c:pt>
                <c:pt idx="478">
                  <c:v>46295</c:v>
                </c:pt>
              </c:numCache>
            </c:numRef>
          </c:xVal>
          <c:yVal>
            <c:numRef>
              <c:f>'Base Rating 2'!$Q$2:$Q$480</c:f>
              <c:numCache>
                <c:formatCode>General</c:formatCode>
                <c:ptCount val="47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10</c:v>
                </c:pt>
                <c:pt idx="119">
                  <c:v>10</c:v>
                </c:pt>
                <c:pt idx="120">
                  <c:v>10</c:v>
                </c:pt>
                <c:pt idx="121">
                  <c:v>10</c:v>
                </c:pt>
                <c:pt idx="122">
                  <c:v>10</c:v>
                </c:pt>
                <c:pt idx="123">
                  <c:v>10</c:v>
                </c:pt>
                <c:pt idx="124">
                  <c:v>10</c:v>
                </c:pt>
                <c:pt idx="125">
                  <c:v>11</c:v>
                </c:pt>
                <c:pt idx="126">
                  <c:v>11</c:v>
                </c:pt>
                <c:pt idx="127">
                  <c:v>11</c:v>
                </c:pt>
                <c:pt idx="128">
                  <c:v>11</c:v>
                </c:pt>
                <c:pt idx="129">
                  <c:v>11</c:v>
                </c:pt>
                <c:pt idx="130">
                  <c:v>11</c:v>
                </c:pt>
                <c:pt idx="131">
                  <c:v>11</c:v>
                </c:pt>
                <c:pt idx="132">
                  <c:v>11</c:v>
                </c:pt>
                <c:pt idx="133">
                  <c:v>11</c:v>
                </c:pt>
                <c:pt idx="134">
                  <c:v>11</c:v>
                </c:pt>
                <c:pt idx="135">
                  <c:v>11</c:v>
                </c:pt>
                <c:pt idx="136">
                  <c:v>11</c:v>
                </c:pt>
                <c:pt idx="137">
                  <c:v>11</c:v>
                </c:pt>
                <c:pt idx="138">
                  <c:v>11</c:v>
                </c:pt>
                <c:pt idx="139">
                  <c:v>11</c:v>
                </c:pt>
                <c:pt idx="140">
                  <c:v>11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11</c:v>
                </c:pt>
                <c:pt idx="146">
                  <c:v>9</c:v>
                </c:pt>
                <c:pt idx="147">
                  <c:v>9</c:v>
                </c:pt>
                <c:pt idx="148">
                  <c:v>9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9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11</c:v>
                </c:pt>
                <c:pt idx="171">
                  <c:v>11</c:v>
                </c:pt>
                <c:pt idx="172">
                  <c:v>11</c:v>
                </c:pt>
                <c:pt idx="173">
                  <c:v>11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11</c:v>
                </c:pt>
                <c:pt idx="179">
                  <c:v>11</c:v>
                </c:pt>
                <c:pt idx="180">
                  <c:v>11</c:v>
                </c:pt>
                <c:pt idx="181">
                  <c:v>11</c:v>
                </c:pt>
                <c:pt idx="182">
                  <c:v>11</c:v>
                </c:pt>
                <c:pt idx="183">
                  <c:v>11</c:v>
                </c:pt>
                <c:pt idx="184">
                  <c:v>11</c:v>
                </c:pt>
                <c:pt idx="185">
                  <c:v>11</c:v>
                </c:pt>
                <c:pt idx="186">
                  <c:v>11</c:v>
                </c:pt>
                <c:pt idx="187">
                  <c:v>11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13</c:v>
                </c:pt>
                <c:pt idx="247">
                  <c:v>13</c:v>
                </c:pt>
                <c:pt idx="248">
                  <c:v>13</c:v>
                </c:pt>
                <c:pt idx="249">
                  <c:v>13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14</c:v>
                </c:pt>
                <c:pt idx="258">
                  <c:v>14</c:v>
                </c:pt>
                <c:pt idx="259">
                  <c:v>14</c:v>
                </c:pt>
                <c:pt idx="260">
                  <c:v>14</c:v>
                </c:pt>
                <c:pt idx="261">
                  <c:v>14</c:v>
                </c:pt>
                <c:pt idx="262">
                  <c:v>14</c:v>
                </c:pt>
                <c:pt idx="263">
                  <c:v>14</c:v>
                </c:pt>
                <c:pt idx="264">
                  <c:v>14</c:v>
                </c:pt>
                <c:pt idx="265">
                  <c:v>14</c:v>
                </c:pt>
                <c:pt idx="266">
                  <c:v>14</c:v>
                </c:pt>
                <c:pt idx="267">
                  <c:v>14</c:v>
                </c:pt>
                <c:pt idx="268">
                  <c:v>14</c:v>
                </c:pt>
                <c:pt idx="269">
                  <c:v>14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14</c:v>
                </c:pt>
                <c:pt idx="291">
                  <c:v>14</c:v>
                </c:pt>
                <c:pt idx="292">
                  <c:v>14</c:v>
                </c:pt>
                <c:pt idx="293">
                  <c:v>14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15</c:v>
                </c:pt>
                <c:pt idx="311">
                  <c:v>15</c:v>
                </c:pt>
                <c:pt idx="312">
                  <c:v>15</c:v>
                </c:pt>
                <c:pt idx="313">
                  <c:v>15</c:v>
                </c:pt>
                <c:pt idx="314">
                  <c:v>15</c:v>
                </c:pt>
                <c:pt idx="315">
                  <c:v>15</c:v>
                </c:pt>
                <c:pt idx="316">
                  <c:v>15</c:v>
                </c:pt>
                <c:pt idx="317">
                  <c:v>15</c:v>
                </c:pt>
                <c:pt idx="318">
                  <c:v>15</c:v>
                </c:pt>
                <c:pt idx="319">
                  <c:v>15</c:v>
                </c:pt>
                <c:pt idx="320">
                  <c:v>15</c:v>
                </c:pt>
                <c:pt idx="321">
                  <c:v>15</c:v>
                </c:pt>
                <c:pt idx="322">
                  <c:v>15</c:v>
                </c:pt>
                <c:pt idx="323">
                  <c:v>15</c:v>
                </c:pt>
                <c:pt idx="324">
                  <c:v>15</c:v>
                </c:pt>
                <c:pt idx="325">
                  <c:v>15</c:v>
                </c:pt>
                <c:pt idx="326">
                  <c:v>15</c:v>
                </c:pt>
                <c:pt idx="327">
                  <c:v>15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14</c:v>
                </c:pt>
                <c:pt idx="337">
                  <c:v>14</c:v>
                </c:pt>
                <c:pt idx="338">
                  <c:v>14</c:v>
                </c:pt>
                <c:pt idx="339">
                  <c:v>14</c:v>
                </c:pt>
                <c:pt idx="340">
                  <c:v>14</c:v>
                </c:pt>
                <c:pt idx="341">
                  <c:v>14</c:v>
                </c:pt>
                <c:pt idx="342">
                  <c:v>14</c:v>
                </c:pt>
                <c:pt idx="343">
                  <c:v>14</c:v>
                </c:pt>
                <c:pt idx="344">
                  <c:v>14</c:v>
                </c:pt>
                <c:pt idx="345">
                  <c:v>14</c:v>
                </c:pt>
                <c:pt idx="346">
                  <c:v>12</c:v>
                </c:pt>
                <c:pt idx="347">
                  <c:v>12</c:v>
                </c:pt>
                <c:pt idx="348">
                  <c:v>12</c:v>
                </c:pt>
                <c:pt idx="349">
                  <c:v>12</c:v>
                </c:pt>
                <c:pt idx="350">
                  <c:v>12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9</c:v>
                </c:pt>
                <c:pt idx="375">
                  <c:v>9</c:v>
                </c:pt>
                <c:pt idx="376">
                  <c:v>9</c:v>
                </c:pt>
                <c:pt idx="377">
                  <c:v>9</c:v>
                </c:pt>
                <c:pt idx="378">
                  <c:v>9</c:v>
                </c:pt>
                <c:pt idx="379">
                  <c:v>9</c:v>
                </c:pt>
                <c:pt idx="380">
                  <c:v>9</c:v>
                </c:pt>
                <c:pt idx="381">
                  <c:v>9</c:v>
                </c:pt>
                <c:pt idx="382">
                  <c:v>9</c:v>
                </c:pt>
                <c:pt idx="383">
                  <c:v>9</c:v>
                </c:pt>
                <c:pt idx="384">
                  <c:v>9</c:v>
                </c:pt>
                <c:pt idx="385">
                  <c:v>9</c:v>
                </c:pt>
                <c:pt idx="386">
                  <c:v>9</c:v>
                </c:pt>
                <c:pt idx="387">
                  <c:v>9</c:v>
                </c:pt>
                <c:pt idx="388">
                  <c:v>9</c:v>
                </c:pt>
                <c:pt idx="389">
                  <c:v>9</c:v>
                </c:pt>
                <c:pt idx="390">
                  <c:v>9</c:v>
                </c:pt>
                <c:pt idx="391">
                  <c:v>9</c:v>
                </c:pt>
                <c:pt idx="392">
                  <c:v>9</c:v>
                </c:pt>
                <c:pt idx="393">
                  <c:v>9</c:v>
                </c:pt>
                <c:pt idx="394">
                  <c:v>9</c:v>
                </c:pt>
                <c:pt idx="395">
                  <c:v>9</c:v>
                </c:pt>
                <c:pt idx="396">
                  <c:v>9</c:v>
                </c:pt>
                <c:pt idx="397">
                  <c:v>9</c:v>
                </c:pt>
                <c:pt idx="398">
                  <c:v>9</c:v>
                </c:pt>
                <c:pt idx="399">
                  <c:v>9</c:v>
                </c:pt>
                <c:pt idx="400">
                  <c:v>9</c:v>
                </c:pt>
                <c:pt idx="401">
                  <c:v>9</c:v>
                </c:pt>
                <c:pt idx="402">
                  <c:v>9</c:v>
                </c:pt>
                <c:pt idx="403">
                  <c:v>9</c:v>
                </c:pt>
                <c:pt idx="404">
                  <c:v>9</c:v>
                </c:pt>
                <c:pt idx="405">
                  <c:v>9</c:v>
                </c:pt>
                <c:pt idx="406">
                  <c:v>9</c:v>
                </c:pt>
                <c:pt idx="407">
                  <c:v>9</c:v>
                </c:pt>
                <c:pt idx="408">
                  <c:v>9</c:v>
                </c:pt>
                <c:pt idx="409">
                  <c:v>9</c:v>
                </c:pt>
                <c:pt idx="410">
                  <c:v>9</c:v>
                </c:pt>
                <c:pt idx="411">
                  <c:v>9</c:v>
                </c:pt>
                <c:pt idx="412">
                  <c:v>9</c:v>
                </c:pt>
                <c:pt idx="413">
                  <c:v>9</c:v>
                </c:pt>
                <c:pt idx="414">
                  <c:v>9</c:v>
                </c:pt>
                <c:pt idx="415">
                  <c:v>9</c:v>
                </c:pt>
                <c:pt idx="416">
                  <c:v>9</c:v>
                </c:pt>
                <c:pt idx="417">
                  <c:v>9</c:v>
                </c:pt>
                <c:pt idx="418">
                  <c:v>9</c:v>
                </c:pt>
                <c:pt idx="419">
                  <c:v>9</c:v>
                </c:pt>
                <c:pt idx="420">
                  <c:v>9</c:v>
                </c:pt>
                <c:pt idx="421">
                  <c:v>9</c:v>
                </c:pt>
                <c:pt idx="422">
                  <c:v>9</c:v>
                </c:pt>
                <c:pt idx="423">
                  <c:v>9</c:v>
                </c:pt>
                <c:pt idx="424">
                  <c:v>9</c:v>
                </c:pt>
                <c:pt idx="425">
                  <c:v>9</c:v>
                </c:pt>
                <c:pt idx="426">
                  <c:v>9</c:v>
                </c:pt>
                <c:pt idx="427">
                  <c:v>9</c:v>
                </c:pt>
                <c:pt idx="428">
                  <c:v>9</c:v>
                </c:pt>
                <c:pt idx="429">
                  <c:v>9</c:v>
                </c:pt>
                <c:pt idx="430">
                  <c:v>9</c:v>
                </c:pt>
                <c:pt idx="431">
                  <c:v>9</c:v>
                </c:pt>
                <c:pt idx="432">
                  <c:v>9</c:v>
                </c:pt>
                <c:pt idx="433">
                  <c:v>9</c:v>
                </c:pt>
                <c:pt idx="434">
                  <c:v>9</c:v>
                </c:pt>
                <c:pt idx="435">
                  <c:v>9</c:v>
                </c:pt>
                <c:pt idx="436">
                  <c:v>9</c:v>
                </c:pt>
                <c:pt idx="437">
                  <c:v>9</c:v>
                </c:pt>
                <c:pt idx="438">
                  <c:v>9</c:v>
                </c:pt>
                <c:pt idx="439">
                  <c:v>9</c:v>
                </c:pt>
                <c:pt idx="440">
                  <c:v>9</c:v>
                </c:pt>
                <c:pt idx="441">
                  <c:v>9</c:v>
                </c:pt>
                <c:pt idx="442">
                  <c:v>9</c:v>
                </c:pt>
                <c:pt idx="443">
                  <c:v>9</c:v>
                </c:pt>
                <c:pt idx="444">
                  <c:v>9</c:v>
                </c:pt>
                <c:pt idx="445">
                  <c:v>10</c:v>
                </c:pt>
                <c:pt idx="446">
                  <c:v>10</c:v>
                </c:pt>
                <c:pt idx="447">
                  <c:v>10</c:v>
                </c:pt>
                <c:pt idx="448">
                  <c:v>10</c:v>
                </c:pt>
                <c:pt idx="449">
                  <c:v>10</c:v>
                </c:pt>
                <c:pt idx="450">
                  <c:v>10</c:v>
                </c:pt>
                <c:pt idx="451">
                  <c:v>10</c:v>
                </c:pt>
                <c:pt idx="452">
                  <c:v>10</c:v>
                </c:pt>
                <c:pt idx="453">
                  <c:v>10</c:v>
                </c:pt>
                <c:pt idx="454">
                  <c:v>10</c:v>
                </c:pt>
                <c:pt idx="455">
                  <c:v>10</c:v>
                </c:pt>
                <c:pt idx="456">
                  <c:v>10</c:v>
                </c:pt>
                <c:pt idx="457">
                  <c:v>10</c:v>
                </c:pt>
                <c:pt idx="458">
                  <c:v>10</c:v>
                </c:pt>
                <c:pt idx="459">
                  <c:v>10</c:v>
                </c:pt>
                <c:pt idx="460">
                  <c:v>10</c:v>
                </c:pt>
                <c:pt idx="461">
                  <c:v>10</c:v>
                </c:pt>
                <c:pt idx="462">
                  <c:v>10</c:v>
                </c:pt>
                <c:pt idx="463">
                  <c:v>10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10</c:v>
                </c:pt>
                <c:pt idx="468">
                  <c:v>10</c:v>
                </c:pt>
                <c:pt idx="469">
                  <c:v>10</c:v>
                </c:pt>
                <c:pt idx="470">
                  <c:v>10</c:v>
                </c:pt>
                <c:pt idx="471">
                  <c:v>10</c:v>
                </c:pt>
                <c:pt idx="472">
                  <c:v>10</c:v>
                </c:pt>
                <c:pt idx="473">
                  <c:v>10</c:v>
                </c:pt>
                <c:pt idx="474">
                  <c:v>10</c:v>
                </c:pt>
                <c:pt idx="475">
                  <c:v>10</c:v>
                </c:pt>
                <c:pt idx="476">
                  <c:v>10</c:v>
                </c:pt>
                <c:pt idx="477">
                  <c:v>10</c:v>
                </c:pt>
                <c:pt idx="478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C-4F0F-ACA2-A1FA29F4EBE9}"/>
            </c:ext>
          </c:extLst>
        </c:ser>
        <c:ser>
          <c:idx val="2"/>
          <c:order val="2"/>
          <c:tx>
            <c:v>Perspectiva positiva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'Base Rating 2'!$AG$2:$AG$38</c:f>
              <c:numCache>
                <c:formatCode>m/d/yyyy</c:formatCode>
                <c:ptCount val="37"/>
                <c:pt idx="0">
                  <c:v>46198</c:v>
                </c:pt>
                <c:pt idx="1">
                  <c:v>45279</c:v>
                </c:pt>
                <c:pt idx="2">
                  <c:v>45091</c:v>
                </c:pt>
                <c:pt idx="3">
                  <c:v>44726</c:v>
                </c:pt>
                <c:pt idx="4">
                  <c:v>44530</c:v>
                </c:pt>
                <c:pt idx="5">
                  <c:v>44349</c:v>
                </c:pt>
                <c:pt idx="6">
                  <c:v>44175</c:v>
                </c:pt>
                <c:pt idx="7">
                  <c:v>43927</c:v>
                </c:pt>
                <c:pt idx="8">
                  <c:v>43810</c:v>
                </c:pt>
                <c:pt idx="9">
                  <c:v>43503</c:v>
                </c:pt>
                <c:pt idx="10">
                  <c:v>43321</c:v>
                </c:pt>
                <c:pt idx="11">
                  <c:v>43111</c:v>
                </c:pt>
                <c:pt idx="12">
                  <c:v>42877</c:v>
                </c:pt>
                <c:pt idx="13">
                  <c:v>42775</c:v>
                </c:pt>
                <c:pt idx="14">
                  <c:v>42417</c:v>
                </c:pt>
                <c:pt idx="15">
                  <c:v>42256</c:v>
                </c:pt>
                <c:pt idx="16">
                  <c:v>42213</c:v>
                </c:pt>
                <c:pt idx="17">
                  <c:v>41722</c:v>
                </c:pt>
                <c:pt idx="18">
                  <c:v>41431</c:v>
                </c:pt>
                <c:pt idx="19">
                  <c:v>41261</c:v>
                </c:pt>
                <c:pt idx="20">
                  <c:v>40864</c:v>
                </c:pt>
                <c:pt idx="21">
                  <c:v>40780</c:v>
                </c:pt>
                <c:pt idx="22">
                  <c:v>39568</c:v>
                </c:pt>
                <c:pt idx="23">
                  <c:v>39218</c:v>
                </c:pt>
                <c:pt idx="24">
                  <c:v>39043</c:v>
                </c:pt>
                <c:pt idx="25">
                  <c:v>38776</c:v>
                </c:pt>
                <c:pt idx="26">
                  <c:v>38664</c:v>
                </c:pt>
                <c:pt idx="27">
                  <c:v>37740</c:v>
                </c:pt>
                <c:pt idx="28">
                  <c:v>37439</c:v>
                </c:pt>
                <c:pt idx="29">
                  <c:v>37112</c:v>
                </c:pt>
                <c:pt idx="30">
                  <c:v>36894</c:v>
                </c:pt>
                <c:pt idx="31">
                  <c:v>36585</c:v>
                </c:pt>
                <c:pt idx="32">
                  <c:v>36474</c:v>
                </c:pt>
                <c:pt idx="33">
                  <c:v>36174</c:v>
                </c:pt>
                <c:pt idx="34">
                  <c:v>36048</c:v>
                </c:pt>
                <c:pt idx="35">
                  <c:v>35522</c:v>
                </c:pt>
                <c:pt idx="36">
                  <c:v>35235</c:v>
                </c:pt>
              </c:numCache>
            </c:numRef>
          </c:xVal>
          <c:yVal>
            <c:numRef>
              <c:f>'Base Rating 2'!$AJ$2:$AJ$38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9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12</c:v>
                </c:pt>
                <c:pt idx="22">
                  <c:v>#N/A</c:v>
                </c:pt>
                <c:pt idx="23">
                  <c:v>11</c:v>
                </c:pt>
                <c:pt idx="24">
                  <c:v>10</c:v>
                </c:pt>
                <c:pt idx="25">
                  <c:v>#N/A</c:v>
                </c:pt>
                <c:pt idx="26">
                  <c:v>9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8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9C-4F0F-ACA2-A1FA29F4EBE9}"/>
            </c:ext>
          </c:extLst>
        </c:ser>
        <c:ser>
          <c:idx val="3"/>
          <c:order val="3"/>
          <c:tx>
            <c:v>Perspectiva estável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A6A6A6"/>
              </a:solidFill>
              <a:ln w="9525">
                <a:solidFill>
                  <a:srgbClr val="A6A6A6"/>
                </a:solidFill>
                <a:prstDash val="solid"/>
              </a:ln>
              <a:effectLst/>
            </c:spPr>
          </c:marker>
          <c:xVal>
            <c:numRef>
              <c:f>'Base Rating 2'!$AG$2:$AG$38</c:f>
              <c:numCache>
                <c:formatCode>m/d/yyyy</c:formatCode>
                <c:ptCount val="37"/>
                <c:pt idx="0">
                  <c:v>46198</c:v>
                </c:pt>
                <c:pt idx="1">
                  <c:v>45279</c:v>
                </c:pt>
                <c:pt idx="2">
                  <c:v>45091</c:v>
                </c:pt>
                <c:pt idx="3">
                  <c:v>44726</c:v>
                </c:pt>
                <c:pt idx="4">
                  <c:v>44530</c:v>
                </c:pt>
                <c:pt idx="5">
                  <c:v>44349</c:v>
                </c:pt>
                <c:pt idx="6">
                  <c:v>44175</c:v>
                </c:pt>
                <c:pt idx="7">
                  <c:v>43927</c:v>
                </c:pt>
                <c:pt idx="8">
                  <c:v>43810</c:v>
                </c:pt>
                <c:pt idx="9">
                  <c:v>43503</c:v>
                </c:pt>
                <c:pt idx="10">
                  <c:v>43321</c:v>
                </c:pt>
                <c:pt idx="11">
                  <c:v>43111</c:v>
                </c:pt>
                <c:pt idx="12">
                  <c:v>42877</c:v>
                </c:pt>
                <c:pt idx="13">
                  <c:v>42775</c:v>
                </c:pt>
                <c:pt idx="14">
                  <c:v>42417</c:v>
                </c:pt>
                <c:pt idx="15">
                  <c:v>42256</c:v>
                </c:pt>
                <c:pt idx="16">
                  <c:v>42213</c:v>
                </c:pt>
                <c:pt idx="17">
                  <c:v>41722</c:v>
                </c:pt>
                <c:pt idx="18">
                  <c:v>41431</c:v>
                </c:pt>
                <c:pt idx="19">
                  <c:v>41261</c:v>
                </c:pt>
                <c:pt idx="20">
                  <c:v>40864</c:v>
                </c:pt>
                <c:pt idx="21">
                  <c:v>40780</c:v>
                </c:pt>
                <c:pt idx="22">
                  <c:v>39568</c:v>
                </c:pt>
                <c:pt idx="23">
                  <c:v>39218</c:v>
                </c:pt>
                <c:pt idx="24">
                  <c:v>39043</c:v>
                </c:pt>
                <c:pt idx="25">
                  <c:v>38776</c:v>
                </c:pt>
                <c:pt idx="26">
                  <c:v>38664</c:v>
                </c:pt>
                <c:pt idx="27">
                  <c:v>37740</c:v>
                </c:pt>
                <c:pt idx="28">
                  <c:v>37439</c:v>
                </c:pt>
                <c:pt idx="29">
                  <c:v>37112</c:v>
                </c:pt>
                <c:pt idx="30">
                  <c:v>36894</c:v>
                </c:pt>
                <c:pt idx="31">
                  <c:v>36585</c:v>
                </c:pt>
                <c:pt idx="32">
                  <c:v>36474</c:v>
                </c:pt>
                <c:pt idx="33">
                  <c:v>36174</c:v>
                </c:pt>
                <c:pt idx="34">
                  <c:v>36048</c:v>
                </c:pt>
                <c:pt idx="35">
                  <c:v>35522</c:v>
                </c:pt>
                <c:pt idx="36">
                  <c:v>35235</c:v>
                </c:pt>
              </c:numCache>
            </c:numRef>
          </c:xVal>
          <c:yVal>
            <c:numRef>
              <c:f>'Base Rating 2'!$AK$2:$AK$38</c:f>
              <c:numCache>
                <c:formatCode>General</c:formatCode>
                <c:ptCount val="37"/>
                <c:pt idx="0">
                  <c:v>10</c:v>
                </c:pt>
                <c:pt idx="1">
                  <c:v>10</c:v>
                </c:pt>
                <c:pt idx="2">
                  <c:v>#N/A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#N/A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12</c:v>
                </c:pt>
                <c:pt idx="18">
                  <c:v>#N/A</c:v>
                </c:pt>
                <c:pt idx="19">
                  <c:v>13</c:v>
                </c:pt>
                <c:pt idx="20">
                  <c:v>13</c:v>
                </c:pt>
                <c:pt idx="21">
                  <c:v>#N/A</c:v>
                </c:pt>
                <c:pt idx="22">
                  <c:v>12</c:v>
                </c:pt>
                <c:pt idx="23">
                  <c:v>#N/A</c:v>
                </c:pt>
                <c:pt idx="24">
                  <c:v>#N/A</c:v>
                </c:pt>
                <c:pt idx="25">
                  <c:v>10</c:v>
                </c:pt>
                <c:pt idx="26">
                  <c:v>#N/A</c:v>
                </c:pt>
                <c:pt idx="27">
                  <c:v>8</c:v>
                </c:pt>
                <c:pt idx="28">
                  <c:v>#N/A</c:v>
                </c:pt>
                <c:pt idx="29">
                  <c:v>#N/A</c:v>
                </c:pt>
                <c:pt idx="30">
                  <c:v>9</c:v>
                </c:pt>
                <c:pt idx="31">
                  <c:v>#N/A</c:v>
                </c:pt>
                <c:pt idx="32">
                  <c:v>8</c:v>
                </c:pt>
                <c:pt idx="33">
                  <c:v>#N/A</c:v>
                </c:pt>
                <c:pt idx="34">
                  <c:v>#N/A</c:v>
                </c:pt>
                <c:pt idx="35">
                  <c:v>9</c:v>
                </c:pt>
                <c:pt idx="3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9C-4F0F-ACA2-A1FA29F4EBE9}"/>
            </c:ext>
          </c:extLst>
        </c:ser>
        <c:ser>
          <c:idx val="4"/>
          <c:order val="4"/>
          <c:tx>
            <c:v>Perspectiva negativa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xVal>
            <c:numRef>
              <c:f>'Base Rating 2'!$AG$2:$AG$38</c:f>
              <c:numCache>
                <c:formatCode>m/d/yyyy</c:formatCode>
                <c:ptCount val="37"/>
                <c:pt idx="0">
                  <c:v>46198</c:v>
                </c:pt>
                <c:pt idx="1">
                  <c:v>45279</c:v>
                </c:pt>
                <c:pt idx="2">
                  <c:v>45091</c:v>
                </c:pt>
                <c:pt idx="3">
                  <c:v>44726</c:v>
                </c:pt>
                <c:pt idx="4">
                  <c:v>44530</c:v>
                </c:pt>
                <c:pt idx="5">
                  <c:v>44349</c:v>
                </c:pt>
                <c:pt idx="6">
                  <c:v>44175</c:v>
                </c:pt>
                <c:pt idx="7">
                  <c:v>43927</c:v>
                </c:pt>
                <c:pt idx="8">
                  <c:v>43810</c:v>
                </c:pt>
                <c:pt idx="9">
                  <c:v>43503</c:v>
                </c:pt>
                <c:pt idx="10">
                  <c:v>43321</c:v>
                </c:pt>
                <c:pt idx="11">
                  <c:v>43111</c:v>
                </c:pt>
                <c:pt idx="12">
                  <c:v>42877</c:v>
                </c:pt>
                <c:pt idx="13">
                  <c:v>42775</c:v>
                </c:pt>
                <c:pt idx="14">
                  <c:v>42417</c:v>
                </c:pt>
                <c:pt idx="15">
                  <c:v>42256</c:v>
                </c:pt>
                <c:pt idx="16">
                  <c:v>42213</c:v>
                </c:pt>
                <c:pt idx="17">
                  <c:v>41722</c:v>
                </c:pt>
                <c:pt idx="18">
                  <c:v>41431</c:v>
                </c:pt>
                <c:pt idx="19">
                  <c:v>41261</c:v>
                </c:pt>
                <c:pt idx="20">
                  <c:v>40864</c:v>
                </c:pt>
                <c:pt idx="21">
                  <c:v>40780</c:v>
                </c:pt>
                <c:pt idx="22">
                  <c:v>39568</c:v>
                </c:pt>
                <c:pt idx="23">
                  <c:v>39218</c:v>
                </c:pt>
                <c:pt idx="24">
                  <c:v>39043</c:v>
                </c:pt>
                <c:pt idx="25">
                  <c:v>38776</c:v>
                </c:pt>
                <c:pt idx="26">
                  <c:v>38664</c:v>
                </c:pt>
                <c:pt idx="27">
                  <c:v>37740</c:v>
                </c:pt>
                <c:pt idx="28">
                  <c:v>37439</c:v>
                </c:pt>
                <c:pt idx="29">
                  <c:v>37112</c:v>
                </c:pt>
                <c:pt idx="30">
                  <c:v>36894</c:v>
                </c:pt>
                <c:pt idx="31">
                  <c:v>36585</c:v>
                </c:pt>
                <c:pt idx="32">
                  <c:v>36474</c:v>
                </c:pt>
                <c:pt idx="33">
                  <c:v>36174</c:v>
                </c:pt>
                <c:pt idx="34">
                  <c:v>36048</c:v>
                </c:pt>
                <c:pt idx="35">
                  <c:v>35522</c:v>
                </c:pt>
                <c:pt idx="36">
                  <c:v>35235</c:v>
                </c:pt>
              </c:numCache>
            </c:numRef>
          </c:xVal>
          <c:yVal>
            <c:numRef>
              <c:f>'Base Rating 2'!$AL$2:$AL$38</c:f>
              <c:numCache>
                <c:formatCode>General</c:formatCode>
                <c:ptCount val="3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#N/A</c:v>
                </c:pt>
                <c:pt idx="18">
                  <c:v>13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8</c:v>
                </c:pt>
                <c:pt idx="29">
                  <c:v>9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8</c:v>
                </c:pt>
                <c:pt idx="34">
                  <c:v>9</c:v>
                </c:pt>
                <c:pt idx="35">
                  <c:v>#N/A</c:v>
                </c:pt>
                <c:pt idx="3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9C-4F0F-ACA2-A1FA29F4EBE9}"/>
            </c:ext>
          </c:extLst>
        </c:ser>
        <c:ser>
          <c:idx val="5"/>
          <c:order val="5"/>
          <c:tx>
            <c:v>Rótulos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strRef>
                  <c:f>'Base Rating 2'!$AP$2</c:f>
                  <c:strCache>
                    <c:ptCount val="1"/>
                    <c:pt idx="0">
                      <c:v>CCC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{94A3E6D9-88BE-4490-8E19-4047D134C8CE}</c15:txfldGUID>
                      <c15:f>'Base Rating 2'!$AP$2</c15:f>
                      <c15:dlblFieldTableCache>
                        <c:ptCount val="1"/>
                        <c:pt idx="0">
                          <c:v>CCC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059C-4F0F-ACA2-A1FA29F4EBE9}"/>
                </c:ext>
              </c:extLst>
            </c:dLbl>
            <c:dLbl>
              <c:idx val="1"/>
              <c:tx>
                <c:strRef>
                  <c:f>'Base Rating 2'!$AP$3</c:f>
                  <c:strCache>
                    <c:ptCount val="1"/>
                    <c:pt idx="0">
                      <c:v>CCC+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{D6521986-FFF6-4459-B66A-DEB72EFDE20B}</c15:txfldGUID>
                      <c15:f>'Base Rating 2'!$AP$3</c15:f>
                      <c15:dlblFieldTableCache>
                        <c:ptCount val="1"/>
                        <c:pt idx="0">
                          <c:v>CCC+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059C-4F0F-ACA2-A1FA29F4EBE9}"/>
                </c:ext>
              </c:extLst>
            </c:dLbl>
            <c:dLbl>
              <c:idx val="2"/>
              <c:tx>
                <c:strRef>
                  <c:f>'Base Rating 2'!$AP$4</c:f>
                  <c:strCache>
                    <c:ptCount val="1"/>
                    <c:pt idx="0">
                      <c:v>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{C939F78C-82AE-4B8A-8A81-50298C697488}</c15:txfldGUID>
                      <c15:f>'Base Rating 2'!$AP$4</c15:f>
                      <c15:dlblFieldTableCache>
                        <c:ptCount val="1"/>
                        <c:pt idx="0">
                          <c:v>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059C-4F0F-ACA2-A1FA29F4EBE9}"/>
                </c:ext>
              </c:extLst>
            </c:dLbl>
            <c:dLbl>
              <c:idx val="3"/>
              <c:tx>
                <c:strRef>
                  <c:f>'Base Rating 2'!$AP$5</c:f>
                  <c:strCache>
                    <c:ptCount val="1"/>
                    <c:pt idx="0">
                      <c:v>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{D4FCBA17-203A-4007-9BB8-1CBF993F9427}</c15:txfldGUID>
                      <c15:f>'Base Rating 2'!$AP$5</c15:f>
                      <c15:dlblFieldTableCache>
                        <c:ptCount val="1"/>
                        <c:pt idx="0">
                          <c:v>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059C-4F0F-ACA2-A1FA29F4EBE9}"/>
                </c:ext>
              </c:extLst>
            </c:dLbl>
            <c:dLbl>
              <c:idx val="4"/>
              <c:tx>
                <c:strRef>
                  <c:f>'Base Rating 2'!$AP$6</c:f>
                  <c:strCache>
                    <c:ptCount val="1"/>
                    <c:pt idx="0">
                      <c:v>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{F167689C-7BC2-48C6-9F53-85547BA90A76}</c15:txfldGUID>
                      <c15:f>'Base Rating 2'!$AP$6</c15:f>
                      <c15:dlblFieldTableCache>
                        <c:ptCount val="1"/>
                        <c:pt idx="0">
                          <c:v>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059C-4F0F-ACA2-A1FA29F4EBE9}"/>
                </c:ext>
              </c:extLst>
            </c:dLbl>
            <c:dLbl>
              <c:idx val="5"/>
              <c:tx>
                <c:strRef>
                  <c:f>'Base Rating 2'!$AP$7</c:f>
                  <c:strCache>
                    <c:ptCount val="1"/>
                    <c:pt idx="0">
                      <c:v>BB-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{EB75EA96-8700-4C1D-8809-EB4362E6B49F}</c15:txfldGUID>
                      <c15:f>'Base Rating 2'!$AP$7</c15:f>
                      <c15:dlblFieldTableCache>
                        <c:ptCount val="1"/>
                        <c:pt idx="0">
                          <c:v>BB-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059C-4F0F-ACA2-A1FA29F4EBE9}"/>
                </c:ext>
              </c:extLst>
            </c:dLbl>
            <c:dLbl>
              <c:idx val="6"/>
              <c:tx>
                <c:strRef>
                  <c:f>'Base Rating 2'!$AP$8</c:f>
                  <c:strCache>
                    <c:ptCount val="1"/>
                    <c:pt idx="0">
                      <c:v>BB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{A2DC8027-A1F5-46BB-87AC-CCFD60EA76B4}</c15:txfldGUID>
                      <c15:f>'Base Rating 2'!$AP$8</c15:f>
                      <c15:dlblFieldTableCache>
                        <c:ptCount val="1"/>
                        <c:pt idx="0">
                          <c:v>BB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059C-4F0F-ACA2-A1FA29F4EBE9}"/>
                </c:ext>
              </c:extLst>
            </c:dLbl>
            <c:dLbl>
              <c:idx val="7"/>
              <c:tx>
                <c:strRef>
                  <c:f>'Base Rating 2'!$AP$9</c:f>
                  <c:strCache>
                    <c:ptCount val="1"/>
                    <c:pt idx="0">
                      <c:v>BB+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{AF0F6E31-AAE6-418A-9555-BC0FECD8CA58}</c15:txfldGUID>
                      <c15:f>'Base Rating 2'!$AP$9</c15:f>
                      <c15:dlblFieldTableCache>
                        <c:ptCount val="1"/>
                        <c:pt idx="0">
                          <c:v>BB+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059C-4F0F-ACA2-A1FA29F4EBE9}"/>
                </c:ext>
              </c:extLst>
            </c:dLbl>
            <c:dLbl>
              <c:idx val="8"/>
              <c:tx>
                <c:strRef>
                  <c:f>'Base Rating 2'!$AP$10</c:f>
                  <c:strCache>
                    <c:ptCount val="1"/>
                    <c:pt idx="0">
                      <c:v>BBB-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{DA194133-43BD-4C33-9924-21E882A5DEF8}</c15:txfldGUID>
                      <c15:f>'Base Rating 2'!$AP$10</c15:f>
                      <c15:dlblFieldTableCache>
                        <c:ptCount val="1"/>
                        <c:pt idx="0">
                          <c:v>BBB-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059C-4F0F-ACA2-A1FA29F4EBE9}"/>
                </c:ext>
              </c:extLst>
            </c:dLbl>
            <c:dLbl>
              <c:idx val="9"/>
              <c:tx>
                <c:strRef>
                  <c:f>'Base Rating 2'!$AP$11</c:f>
                  <c:strCache>
                    <c:ptCount val="1"/>
                    <c:pt idx="0">
                      <c:v>BBB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{579E945B-F992-4E9C-9EAC-67E18706A67D}</c15:txfldGUID>
                      <c15:f>'Base Rating 2'!$AP$11</c15:f>
                      <c15:dlblFieldTableCache>
                        <c:ptCount val="1"/>
                        <c:pt idx="0">
                          <c:v>BBB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F-059C-4F0F-ACA2-A1FA29F4EBE9}"/>
                </c:ext>
              </c:extLst>
            </c:dLbl>
            <c:dLbl>
              <c:idx val="10"/>
              <c:tx>
                <c:strRef>
                  <c:f>'Base Rating 2'!$AP$12</c:f>
                  <c:strCache>
                    <c:ptCount val="1"/>
                    <c:pt idx="0">
                      <c:v>BBB+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{EDC9BCB4-8226-4DB4-8A35-BED47C847BF9}</c15:txfldGUID>
                      <c15:f>'Base Rating 2'!$AP$12</c15:f>
                      <c15:dlblFieldTableCache>
                        <c:ptCount val="1"/>
                        <c:pt idx="0">
                          <c:v>BBB+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0-059C-4F0F-ACA2-A1FA29F4EBE9}"/>
                </c:ext>
              </c:extLst>
            </c:dLbl>
            <c:dLbl>
              <c:idx val="11"/>
              <c:tx>
                <c:strRef>
                  <c:f>'Base Rating 2'!$AP$13</c:f>
                  <c:strCache>
                    <c:ptCount val="1"/>
                    <c:pt idx="0">
                      <c:v>A-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{EFAABA52-AF05-4513-ABF2-97344DB5CB72}</c15:txfldGUID>
                      <c15:f>'Base Rating 2'!$AP$13</c15:f>
                      <c15:dlblFieldTableCache>
                        <c:ptCount val="1"/>
                        <c:pt idx="0">
                          <c:v>A-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1-059C-4F0F-ACA2-A1FA29F4EBE9}"/>
                </c:ext>
              </c:extLst>
            </c:dLbl>
            <c:dLbl>
              <c:idx val="12"/>
              <c:tx>
                <c:strRef>
                  <c:f>'Base Rating 2'!$AP$14</c:f>
                  <c:strCache>
                    <c:ptCount val="1"/>
                    <c:pt idx="0">
                      <c:v>A</c:v>
                    </c:pt>
                  </c:strCache>
                </c:strRef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{1B2CA951-3E3A-4878-A212-3FCDE5DFA749}</c15:txfldGUID>
                      <c15:f>'Base Rating 2'!$AP$14</c15:f>
                      <c15:dlblFieldTableCache>
                        <c:ptCount val="1"/>
                        <c:pt idx="0">
                          <c:v>A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12-059C-4F0F-ACA2-A1FA29F4EB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'Base Rating 2'!$AS$2:$AS$14</c:f>
              <c:numCache>
                <c:formatCode>mmm\-yy</c:formatCode>
                <c:ptCount val="13"/>
                <c:pt idx="0">
                  <c:v>35217</c:v>
                </c:pt>
                <c:pt idx="1">
                  <c:v>35217</c:v>
                </c:pt>
                <c:pt idx="2">
                  <c:v>35217</c:v>
                </c:pt>
                <c:pt idx="3">
                  <c:v>35217</c:v>
                </c:pt>
                <c:pt idx="4">
                  <c:v>35217</c:v>
                </c:pt>
                <c:pt idx="5">
                  <c:v>35217</c:v>
                </c:pt>
                <c:pt idx="6">
                  <c:v>35217</c:v>
                </c:pt>
                <c:pt idx="7">
                  <c:v>35217</c:v>
                </c:pt>
                <c:pt idx="8">
                  <c:v>35217</c:v>
                </c:pt>
                <c:pt idx="9">
                  <c:v>35217</c:v>
                </c:pt>
                <c:pt idx="10">
                  <c:v>35217</c:v>
                </c:pt>
                <c:pt idx="11">
                  <c:v>35217</c:v>
                </c:pt>
                <c:pt idx="12">
                  <c:v>35217</c:v>
                </c:pt>
              </c:numCache>
            </c:numRef>
          </c:xVal>
          <c:yVal>
            <c:numRef>
              <c:f>'Base Rating 2'!$AN$2:$AN$14</c:f>
              <c:numCache>
                <c:formatCode>General</c:formatCode>
                <c:ptCount val="13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9C-4F0F-ACA2-A1FA29F4E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7218159"/>
        <c:axId val="1540393423"/>
      </c:scatterChart>
      <c:valAx>
        <c:axId val="1747218159"/>
        <c:scaling>
          <c:orientation val="minMax"/>
          <c:max val="46295"/>
          <c:min val="352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40393423"/>
        <c:crosses val="autoZero"/>
        <c:crossBetween val="midCat"/>
        <c:majorUnit val="730"/>
      </c:valAx>
      <c:valAx>
        <c:axId val="1540393423"/>
        <c:scaling>
          <c:orientation val="minMax"/>
          <c:max val="16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7218159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944880</xdr:colOff>
      <xdr:row>5</xdr:row>
      <xdr:rowOff>133350</xdr:rowOff>
    </xdr:from>
    <xdr:to>
      <xdr:col>10</xdr:col>
      <xdr:colOff>541020</xdr:colOff>
      <xdr:row>20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70E2EDC-88D7-8527-1B8A-4C15B3A2D6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883920</xdr:colOff>
      <xdr:row>363</xdr:row>
      <xdr:rowOff>91440</xdr:rowOff>
    </xdr:from>
    <xdr:to>
      <xdr:col>8</xdr:col>
      <xdr:colOff>1386840</xdr:colOff>
      <xdr:row>380</xdr:row>
      <xdr:rowOff>41910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23B6E2-424A-F70F-A8C3-8CD7D8B4E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211455</xdr:colOff>
      <xdr:row>3</xdr:row>
      <xdr:rowOff>66675</xdr:rowOff>
    </xdr:from>
    <xdr:to>
      <xdr:col>32</xdr:col>
      <xdr:colOff>434340</xdr:colOff>
      <xdr:row>34</xdr:row>
      <xdr:rowOff>154305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A935776-CF7A-9D42-F9A9-8E67F0E8D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1227686</xdr:colOff>
      <xdr:row>10</xdr:row>
      <xdr:rowOff>168332</xdr:rowOff>
    </xdr:from>
    <xdr:to>
      <xdr:col>56</xdr:col>
      <xdr:colOff>559031</xdr:colOff>
      <xdr:row>50</xdr:row>
      <xdr:rowOff>171275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D3630FA-F3F7-C4E9-CD40-762386EFD5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550545</xdr:colOff>
      <xdr:row>29</xdr:row>
      <xdr:rowOff>57150</xdr:rowOff>
    </xdr:from>
    <xdr:to>
      <xdr:col>26</xdr:col>
      <xdr:colOff>47625</xdr:colOff>
      <xdr:row>56</xdr:row>
      <xdr:rowOff>25717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AA164A-A8E9-023F-70C1-432DF77C4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441960</xdr:colOff>
      <xdr:row>12</xdr:row>
      <xdr:rowOff>106680</xdr:rowOff>
    </xdr:from>
    <xdr:to>
      <xdr:col>22</xdr:col>
      <xdr:colOff>243840</xdr:colOff>
      <xdr:row>38</xdr:row>
      <xdr:rowOff>106680</xdr:rowOff>
    </xdr:to>
    <xdr:graphicFrame macro="">
      <xdr:nvGraphicFramePr>
        <xdr:cNvPr id="3" name="GraficoRating">
          <a:extLst>
            <a:ext uri="{FF2B5EF4-FFF2-40B4-BE49-F238E27FC236}">
              <a16:creationId xmlns:a16="http://schemas.microsoft.com/office/drawing/2014/main" id="{C2C0ADAF-25F1-E9DF-E035-F9916FCEE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1905</xdr:rowOff>
    </xdr:from>
    <xdr:to>
      <xdr:col>14</xdr:col>
      <xdr:colOff>0</xdr:colOff>
      <xdr:row>28</xdr:row>
      <xdr:rowOff>53340</xdr:rowOff>
    </xdr:to>
    <xdr:graphicFrame macro="">
      <xdr:nvGraphicFramePr>
        <xdr:cNvPr id="2" name="Rating_Moodys">
          <a:extLst>
            <a:ext uri="{FF2B5EF4-FFF2-40B4-BE49-F238E27FC236}">
              <a16:creationId xmlns:a16="http://schemas.microsoft.com/office/drawing/2014/main" id="{9E6E6B61-875E-21EE-DFD1-AEEF476DA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55245</xdr:rowOff>
    </xdr:from>
    <xdr:to>
      <xdr:col>14</xdr:col>
      <xdr:colOff>0</xdr:colOff>
      <xdr:row>56</xdr:row>
      <xdr:rowOff>102870</xdr:rowOff>
    </xdr:to>
    <xdr:graphicFrame macro="">
      <xdr:nvGraphicFramePr>
        <xdr:cNvPr id="3" name="Rating_Fitch">
          <a:extLst>
            <a:ext uri="{FF2B5EF4-FFF2-40B4-BE49-F238E27FC236}">
              <a16:creationId xmlns:a16="http://schemas.microsoft.com/office/drawing/2014/main" id="{381449EE-B42B-6B6B-4B9E-66FD4DFDF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57</xdr:row>
      <xdr:rowOff>100965</xdr:rowOff>
    </xdr:from>
    <xdr:to>
      <xdr:col>14</xdr:col>
      <xdr:colOff>0</xdr:colOff>
      <xdr:row>84</xdr:row>
      <xdr:rowOff>160020</xdr:rowOff>
    </xdr:to>
    <xdr:graphicFrame macro="">
      <xdr:nvGraphicFramePr>
        <xdr:cNvPr id="4" name="Rating_SP">
          <a:extLst>
            <a:ext uri="{FF2B5EF4-FFF2-40B4-BE49-F238E27FC236}">
              <a16:creationId xmlns:a16="http://schemas.microsoft.com/office/drawing/2014/main" id="{FFEC998A-A73F-E5E2-AFCE-74AE6741E4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E43CA9-8FCC-40F3-8328-77EE36D29455}" name="Tabela3" displayName="Tabela3" ref="A1:O385" totalsRowShown="0">
  <autoFilter ref="A1:O385" xr:uid="{00E43CA9-8FCC-40F3-8328-77EE36D29455}"/>
  <tableColumns count="15">
    <tableColumn id="1" xr3:uid="{EA84B4A3-3A5B-496F-8688-2B7C8937894C}" name="Coluna1" dataDxfId="18" totalsRowDxfId="17"/>
    <tableColumn id="2" xr3:uid="{A6D6BB33-4B9A-466E-A0D3-5B0236E94400}" name="Selic" dataDxfId="16" totalsRowDxfId="15" dataCellStyle="Porcentagem" totalsRowCellStyle="Porcentagem"/>
    <tableColumn id="3" xr3:uid="{0E23D07C-1203-4F53-BA70-277E0FEB5116}" name="IPCA" dataDxfId="14" totalsRowDxfId="13" dataCellStyle="Porcentagem" totalsRowCellStyle="Porcentagem"/>
    <tableColumn id="4" xr3:uid="{2E390B5F-FD7D-4CF1-9711-4AC6C9660601}" name="Dólar" dataDxfId="12" totalsRowDxfId="11"/>
    <tableColumn id="5" xr3:uid="{2C356519-407F-4714-8646-DD57F556EA05}" name="Ibov" dataDxfId="10" totalsRowDxfId="9"/>
    <tableColumn id="6" xr3:uid="{99298E99-DF84-488B-9560-B9B5C980B4E7}" name="Ibov/Dólar" dataDxfId="8" totalsRowDxfId="7"/>
    <tableColumn id="7" xr3:uid="{3FE18E67-5528-4DA8-935A-A622D2A33239}" name="Resultado Primário" dataDxfId="6" totalsRowDxfId="5" dataCellStyle="Porcentagem" totalsRowCellStyle="Porcentagem"/>
    <tableColumn id="8" xr3:uid="{E456CE51-FE65-47DD-AF9A-6728842D0079}" name="Dívida Líquida "/>
    <tableColumn id="9" xr3:uid="{4606CF05-C0A0-4B5B-ADA8-72927142AEF8}" name="Dívida Bruta"/>
    <tableColumn id="10" xr3:uid="{456C935F-02CE-4481-B9D9-3698618AA5DF}" name="Investimento Estrangeiro Direto" dataDxfId="4" totalsRowDxfId="3"/>
    <tableColumn id="11" xr3:uid="{B31048B6-D71E-4AB3-A354-68A482614E7E}" name="Endividamento das Famílias (exc. Crédito Habitacional)"/>
    <tableColumn id="12" xr3:uid="{86039FE8-59D8-4CC3-9289-DAE4596C3909}" name="IPOs B3" dataDxfId="2" totalsRowDxfId="1"/>
    <tableColumn id="13" xr3:uid="{CD16C950-384B-4214-989C-A493C61C51E7}" name="Índice de Confiança Empresarial"/>
    <tableColumn id="16" xr3:uid="{122559A5-8481-4325-BD9A-74F83E5ACF6D}" name="Índice de Confiança do Consumidor"/>
    <tableColumn id="17" xr3:uid="{05D01941-688C-47EF-A68C-D27BE3CF8128}" name="Índice de Incerteza da Economi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7F1CF-BBD3-4497-90FF-E7F399386AEF}" name="Tabela1624" displayName="Tabela1624" ref="A1:J385" totalsRowShown="0" headerRowDxfId="31" dataDxfId="30" tableBorderDxfId="29">
  <autoFilter ref="A1:J385" xr:uid="{5F667BEA-121C-454D-94E0-4CDCFD7EE46C}"/>
  <tableColumns count="10">
    <tableColumn id="1" xr3:uid="{FB27F206-8215-4CB0-B9BE-FA43348147EC}" name="Coluna1" dataDxfId="28"/>
    <tableColumn id="2" xr3:uid="{9C2D25D9-9703-4835-B264-174EED40CAB1}" name="FHC I" dataDxfId="27"/>
    <tableColumn id="3" xr3:uid="{E74E104E-B6DC-4137-99E5-36C09A35D59B}" name="FHC II" dataDxfId="26"/>
    <tableColumn id="4" xr3:uid="{8E7A94F7-839D-42B6-93C5-9FB4C7546097}" name="Lula I" dataDxfId="25"/>
    <tableColumn id="10" xr3:uid="{7401DC07-7598-47F5-807A-D6AA91C03F96}" name="Lula II" dataDxfId="24"/>
    <tableColumn id="5" xr3:uid="{14CCF47A-B4EF-4E2B-BF6F-B7BC19B2BCC9}" name="Dilma I" dataDxfId="23"/>
    <tableColumn id="11" xr3:uid="{AC4FE7F4-26AA-4608-9FC3-A34AB23DE0CD}" name="Dilma II" dataDxfId="22"/>
    <tableColumn id="6" xr3:uid="{1D31E2DA-5157-42F6-925C-BCD26822D424}" name="Temer" dataDxfId="21"/>
    <tableColumn id="7" xr3:uid="{7AA17DB8-1F27-42CF-94ED-CB1ED787161F}" name="Bolsonaro" dataDxfId="20"/>
    <tableColumn id="8" xr3:uid="{B3936A2C-666F-438E-9AFC-F3C0835E4F92}" name="Lula III" dataDxfId="19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738ACD-BCD4-4F97-B593-AA172C6FCBD7}" name="Tabela2" displayName="Tabela2" ref="A1:E140" totalsRowShown="0">
  <autoFilter ref="A1:E140" xr:uid="{A7738ACD-BCD4-4F97-B593-AA172C6FCBD7}"/>
  <tableColumns count="5">
    <tableColumn id="5" xr3:uid="{F2727518-D1B8-4958-BA53-5DC5DB9213C2}" name="Dilma I"/>
    <tableColumn id="6" xr3:uid="{ED4DD98B-481D-4B0F-9452-92D0DC67FC06}" name="Dilma II"/>
    <tableColumn id="7" xr3:uid="{63224462-BCEF-4AF7-BB6E-1ECF2E7A043D}" name="Temer"/>
    <tableColumn id="8" xr3:uid="{469C4497-9B99-4186-837E-E1A36EC525EC}" name="Bolsonaro"/>
    <tableColumn id="9" xr3:uid="{9A4A3A58-9A4D-4E5C-AD76-C9E26AD0C472}" name="Lula III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5F47C2-77B5-4C52-AD07-8DFED118C1AF}" name="Tabela4" displayName="Tabela4" ref="A1:D387" totalsRowShown="0">
  <autoFilter ref="A1:D387" xr:uid="{225F47C2-77B5-4C52-AD07-8DFED118C1AF}"/>
  <tableColumns count="4">
    <tableColumn id="1" xr3:uid="{CECA52E7-DDB4-4A2E-B60B-3825C50C05A7}" name="Data" dataDxfId="0"/>
    <tableColumn id="2" xr3:uid="{E364DD18-30E2-4FDC-B17E-B279029BFE40}" name=" Rating BR da Moody's"/>
    <tableColumn id="3" xr3:uid="{290C0290-9BE5-473C-A137-222F62D443D3}" name=" Rating BR da S&amp;P"/>
    <tableColumn id="4" xr3:uid="{6B85E0BC-0B93-42FB-86B5-EE32ED614B18}" name=" Rating BR da Fitch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1CF44C-DD06-494A-87C1-F28CD935D75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c6c7050-c287-4b3d-8d91-88ab9c3bac2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3279-5978-49F9-9BB0-AB368968AF36}">
  <dimension ref="A1:O391"/>
  <sheetViews>
    <sheetView tabSelected="1" topLeftCell="B1" workbookViewId="0">
      <selection activeCell="P6" sqref="P6"/>
    </sheetView>
  </sheetViews>
  <sheetFormatPr defaultRowHeight="14.4" x14ac:dyDescent="0.3"/>
  <cols>
    <col min="1" max="1" width="9.5546875" customWidth="1"/>
    <col min="6" max="6" width="11.109375" customWidth="1"/>
    <col min="7" max="7" width="18.109375" customWidth="1"/>
    <col min="8" max="8" width="14.21875" customWidth="1"/>
    <col min="9" max="9" width="12.44140625" customWidth="1"/>
    <col min="10" max="10" width="27.77734375" customWidth="1"/>
    <col min="11" max="11" width="46.5546875" customWidth="1"/>
    <col min="12" max="12" width="9.109375" customWidth="1"/>
    <col min="13" max="13" width="11.21875" customWidth="1"/>
  </cols>
  <sheetData>
    <row r="1" spans="1:15" x14ac:dyDescent="0.3">
      <c r="A1" t="s">
        <v>7</v>
      </c>
      <c r="B1" t="s">
        <v>8</v>
      </c>
      <c r="C1" t="s">
        <v>10</v>
      </c>
      <c r="D1" t="s">
        <v>9</v>
      </c>
      <c r="E1" t="s">
        <v>11</v>
      </c>
      <c r="F1" t="s">
        <v>29</v>
      </c>
      <c r="G1" t="s">
        <v>12</v>
      </c>
      <c r="H1" t="s">
        <v>13</v>
      </c>
      <c r="I1" t="s">
        <v>14</v>
      </c>
      <c r="J1" t="s">
        <v>15</v>
      </c>
      <c r="K1" t="s">
        <v>35</v>
      </c>
      <c r="L1" t="s">
        <v>16</v>
      </c>
      <c r="M1" t="s">
        <v>12206</v>
      </c>
      <c r="N1" t="s">
        <v>12207</v>
      </c>
      <c r="O1" t="s">
        <v>12208</v>
      </c>
    </row>
    <row r="2" spans="1:15" x14ac:dyDescent="0.3">
      <c r="A2" s="11">
        <v>34700</v>
      </c>
      <c r="B2" s="10">
        <v>0.46250000000000002</v>
      </c>
      <c r="C2" s="10">
        <v>6.3153999999999995</v>
      </c>
      <c r="D2" s="16">
        <v>0.84609999999999996</v>
      </c>
      <c r="E2" s="19">
        <v>3885</v>
      </c>
      <c r="F2" s="19">
        <v>4619.500594530321</v>
      </c>
      <c r="G2" s="10">
        <v>4.1000000000000002E-2</v>
      </c>
    </row>
    <row r="3" spans="1:15" x14ac:dyDescent="0.3">
      <c r="A3" s="11">
        <v>34731</v>
      </c>
      <c r="B3" s="10">
        <v>0.56540000000000001</v>
      </c>
      <c r="C3" s="10">
        <v>4.2683</v>
      </c>
      <c r="D3" s="16">
        <v>0.83979999999999999</v>
      </c>
      <c r="E3" s="19">
        <v>3270.9</v>
      </c>
      <c r="F3" s="19">
        <v>3845.8553791887125</v>
      </c>
      <c r="G3" s="10">
        <v>3.1699999999999999E-2</v>
      </c>
    </row>
    <row r="4" spans="1:15" x14ac:dyDescent="0.3">
      <c r="A4" s="11">
        <v>34759</v>
      </c>
      <c r="B4" s="10">
        <v>0.57979999999999998</v>
      </c>
      <c r="C4" s="10">
        <v>2.7477999999999998</v>
      </c>
      <c r="D4" s="16">
        <v>0.88839999999999997</v>
      </c>
      <c r="E4" s="19">
        <v>2979</v>
      </c>
      <c r="F4" s="19">
        <v>3328.4916201117317</v>
      </c>
      <c r="G4" s="10">
        <v>3.2899999999999999E-2</v>
      </c>
    </row>
    <row r="5" spans="1:15" x14ac:dyDescent="0.3">
      <c r="A5" s="11">
        <v>34790</v>
      </c>
      <c r="B5" s="10">
        <v>0.85470000000000002</v>
      </c>
      <c r="C5" s="10">
        <v>1.6905000000000001</v>
      </c>
      <c r="D5" s="16">
        <v>0.90649999999999997</v>
      </c>
      <c r="E5" s="19">
        <v>3813.7</v>
      </c>
      <c r="F5" s="19">
        <v>4181.6885964912281</v>
      </c>
      <c r="G5" s="10">
        <v>3.3399999999999999E-2</v>
      </c>
    </row>
    <row r="6" spans="1:15" x14ac:dyDescent="0.3">
      <c r="A6" s="11">
        <v>34820</v>
      </c>
      <c r="B6" s="10">
        <v>0.61049999999999993</v>
      </c>
      <c r="C6" s="10">
        <v>0.91790000000000005</v>
      </c>
      <c r="D6" s="16">
        <v>0.89639999999999997</v>
      </c>
      <c r="E6" s="19">
        <v>3720.6</v>
      </c>
      <c r="F6" s="19">
        <v>4111.1602209944749</v>
      </c>
      <c r="G6" s="10">
        <v>3.4099999999999998E-2</v>
      </c>
    </row>
    <row r="7" spans="1:15" x14ac:dyDescent="0.3">
      <c r="A7" s="11">
        <v>34851</v>
      </c>
      <c r="B7" s="10">
        <v>0.60840000000000005</v>
      </c>
      <c r="C7" s="10">
        <v>0.33030000000000004</v>
      </c>
      <c r="D7" s="16">
        <v>0.91300000000000003</v>
      </c>
      <c r="E7" s="19">
        <v>3603.4</v>
      </c>
      <c r="F7" s="19">
        <v>3912.4864277958741</v>
      </c>
      <c r="G7" s="10">
        <v>2.81E-2</v>
      </c>
    </row>
    <row r="8" spans="1:15" x14ac:dyDescent="0.3">
      <c r="A8" s="11">
        <v>34881</v>
      </c>
      <c r="B8" s="10">
        <v>0.60530000000000006</v>
      </c>
      <c r="C8" s="10">
        <v>0.27449999999999997</v>
      </c>
      <c r="D8" s="16">
        <v>0.92779999999999996</v>
      </c>
      <c r="E8" s="19">
        <v>3877.5</v>
      </c>
      <c r="F8" s="19">
        <v>4147.0588235294117</v>
      </c>
      <c r="G8" s="10">
        <v>2.4899999999999999E-2</v>
      </c>
    </row>
    <row r="9" spans="1:15" x14ac:dyDescent="0.3">
      <c r="A9" s="11">
        <v>34912</v>
      </c>
      <c r="B9" s="10">
        <v>0.5111</v>
      </c>
      <c r="C9" s="10">
        <v>0.2636</v>
      </c>
      <c r="D9" s="16">
        <v>0.94099999999999995</v>
      </c>
      <c r="E9" s="19">
        <v>4310.5</v>
      </c>
      <c r="F9" s="19">
        <v>4537.3684210526317</v>
      </c>
      <c r="G9" s="10">
        <v>2.0599999999999997E-2</v>
      </c>
    </row>
    <row r="10" spans="1:15" x14ac:dyDescent="0.3">
      <c r="A10" s="11">
        <v>34943</v>
      </c>
      <c r="B10" s="10">
        <v>0.51</v>
      </c>
      <c r="C10" s="10">
        <v>0.25690000000000002</v>
      </c>
      <c r="D10" s="16">
        <v>0.95179999999999998</v>
      </c>
      <c r="E10" s="19">
        <v>4670.1000000000004</v>
      </c>
      <c r="F10" s="19">
        <v>4900.4197271773355</v>
      </c>
      <c r="G10" s="10">
        <v>1.6399999999999998E-2</v>
      </c>
    </row>
    <row r="11" spans="1:15" x14ac:dyDescent="0.3">
      <c r="A11" s="11">
        <v>34973</v>
      </c>
      <c r="B11" s="10">
        <v>0.44109999999999999</v>
      </c>
      <c r="C11" s="10">
        <v>0.24210000000000001</v>
      </c>
      <c r="D11" s="16">
        <v>0.95920000000000005</v>
      </c>
      <c r="E11" s="19">
        <v>4128.3999999999996</v>
      </c>
      <c r="F11" s="19">
        <v>4294.1543582275845</v>
      </c>
      <c r="G11" s="10">
        <v>1.1800000000000001E-2</v>
      </c>
    </row>
    <row r="12" spans="1:15" x14ac:dyDescent="0.3">
      <c r="A12" s="11">
        <v>35004</v>
      </c>
      <c r="B12" s="10">
        <v>0.42930000000000001</v>
      </c>
      <c r="C12" s="10">
        <v>0.22589999999999999</v>
      </c>
      <c r="D12" s="16">
        <v>0.96290000000000009</v>
      </c>
      <c r="E12" s="19">
        <v>4378.6000000000004</v>
      </c>
      <c r="F12" s="19">
        <v>4532.2430390228765</v>
      </c>
      <c r="G12" s="10">
        <v>8.7000000000000011E-3</v>
      </c>
    </row>
    <row r="13" spans="1:15" x14ac:dyDescent="0.3">
      <c r="A13" s="11">
        <v>35034</v>
      </c>
      <c r="B13" s="10">
        <v>0.41220000000000001</v>
      </c>
      <c r="C13" s="10">
        <v>0.22409999999999999</v>
      </c>
      <c r="D13" s="16">
        <v>0.96779999999999999</v>
      </c>
      <c r="E13" s="19">
        <v>4299</v>
      </c>
      <c r="F13" s="19">
        <v>4422.8395061728397</v>
      </c>
      <c r="G13" s="10">
        <v>3.0999999999999995E-3</v>
      </c>
      <c r="J13" s="17">
        <v>4383.4219999999996</v>
      </c>
    </row>
    <row r="14" spans="1:15" x14ac:dyDescent="0.3">
      <c r="A14" s="11">
        <v>35065</v>
      </c>
      <c r="B14" s="10">
        <v>0.33829999999999999</v>
      </c>
      <c r="C14" s="10">
        <v>0.21969999999999998</v>
      </c>
      <c r="D14" s="16">
        <v>0.97399999999999998</v>
      </c>
      <c r="E14" s="19">
        <v>5151.5</v>
      </c>
      <c r="F14" s="19">
        <v>5266.8438809937634</v>
      </c>
      <c r="G14" s="10">
        <v>-1.9000000000000002E-3</v>
      </c>
      <c r="J14" s="17">
        <v>4654.22</v>
      </c>
    </row>
    <row r="15" spans="1:15" x14ac:dyDescent="0.3">
      <c r="A15" s="11">
        <v>35096</v>
      </c>
      <c r="B15" s="10">
        <v>0.36109999999999998</v>
      </c>
      <c r="C15" s="10">
        <v>0.21989999999999998</v>
      </c>
      <c r="D15" s="16">
        <v>0.98059999999999992</v>
      </c>
      <c r="E15" s="19">
        <v>4957.7</v>
      </c>
      <c r="F15" s="19">
        <v>5039.8495476263088</v>
      </c>
      <c r="G15" s="10">
        <v>9.0000000000000019E-4</v>
      </c>
      <c r="J15" s="17">
        <v>4870.2370000000001</v>
      </c>
    </row>
    <row r="16" spans="1:15" x14ac:dyDescent="0.3">
      <c r="A16" s="11">
        <v>35125</v>
      </c>
      <c r="B16" s="10">
        <v>0.30159999999999998</v>
      </c>
      <c r="C16" s="10">
        <v>0.20550000000000002</v>
      </c>
      <c r="D16" s="16">
        <v>0.98570000000000002</v>
      </c>
      <c r="E16" s="19">
        <v>4954.8999999999996</v>
      </c>
      <c r="F16" s="19">
        <v>5017.1121911705141</v>
      </c>
      <c r="G16" s="10">
        <v>1.2000000000000005E-3</v>
      </c>
      <c r="J16" s="17">
        <v>5488.5420000000004</v>
      </c>
    </row>
    <row r="17" spans="1:10" x14ac:dyDescent="0.3">
      <c r="A17" s="11">
        <v>35156</v>
      </c>
      <c r="B17" s="10">
        <v>0.29420000000000002</v>
      </c>
      <c r="C17" s="10">
        <v>0.19170000000000001</v>
      </c>
      <c r="D17" s="16">
        <v>0.98980000000000001</v>
      </c>
      <c r="E17" s="19">
        <v>5164.1000000000004</v>
      </c>
      <c r="F17" s="19">
        <v>5205.2212478580796</v>
      </c>
      <c r="G17" s="10">
        <v>-3.8E-3</v>
      </c>
      <c r="J17" s="17">
        <v>5920.8770000000004</v>
      </c>
    </row>
    <row r="18" spans="1:10" x14ac:dyDescent="0.3">
      <c r="A18" s="11">
        <v>35186</v>
      </c>
      <c r="B18" s="10">
        <v>0.25640000000000002</v>
      </c>
      <c r="C18" s="10">
        <v>0.17489999999999997</v>
      </c>
      <c r="D18" s="16">
        <v>0.99490000000000001</v>
      </c>
      <c r="E18" s="19">
        <v>5728</v>
      </c>
      <c r="F18" s="19">
        <v>5739.4789579158314</v>
      </c>
      <c r="G18" s="10">
        <v>-6.4000000000000003E-3</v>
      </c>
      <c r="J18" s="17">
        <v>7213.8840000000009</v>
      </c>
    </row>
    <row r="19" spans="1:10" x14ac:dyDescent="0.3">
      <c r="A19" s="11">
        <v>35217</v>
      </c>
      <c r="B19" s="10">
        <v>0.29649999999999999</v>
      </c>
      <c r="C19" s="10">
        <v>0.16260000000000002</v>
      </c>
      <c r="D19" s="16">
        <v>1.0009000000000001</v>
      </c>
      <c r="E19" s="19">
        <v>6043.9</v>
      </c>
      <c r="F19" s="19">
        <v>6019.8207171314734</v>
      </c>
      <c r="G19" s="10">
        <v>-6.1999999999999998E-3</v>
      </c>
      <c r="J19" s="17">
        <v>8211.1290000000008</v>
      </c>
    </row>
    <row r="20" spans="1:10" x14ac:dyDescent="0.3">
      <c r="A20" s="11">
        <v>35247</v>
      </c>
      <c r="B20" s="10">
        <v>0.23280000000000001</v>
      </c>
      <c r="C20" s="10">
        <v>0.1484</v>
      </c>
      <c r="D20" s="16">
        <v>1.0065</v>
      </c>
      <c r="E20" s="19">
        <v>6123.3</v>
      </c>
      <c r="F20" s="19">
        <v>6057.8749505342294</v>
      </c>
      <c r="G20" s="10">
        <v>-5.6999999999999993E-3</v>
      </c>
      <c r="J20" s="17">
        <v>8445.4429999999993</v>
      </c>
    </row>
    <row r="21" spans="1:10" x14ac:dyDescent="0.3">
      <c r="A21" s="11">
        <v>35278</v>
      </c>
      <c r="B21" s="10">
        <v>0.25009999999999999</v>
      </c>
      <c r="C21" s="10">
        <v>0.1421</v>
      </c>
      <c r="D21" s="16">
        <v>1.0129999999999999</v>
      </c>
      <c r="E21" s="19">
        <v>6259.4</v>
      </c>
      <c r="F21" s="19">
        <v>6157.7963600590256</v>
      </c>
      <c r="G21" s="10">
        <v>-6.3000000000000009E-3</v>
      </c>
      <c r="J21" s="17">
        <v>8480.8599999999988</v>
      </c>
    </row>
    <row r="22" spans="1:10" x14ac:dyDescent="0.3">
      <c r="A22" s="11">
        <v>35309</v>
      </c>
      <c r="B22" s="10">
        <v>0.254</v>
      </c>
      <c r="C22" s="10">
        <v>0.1326</v>
      </c>
      <c r="D22" s="16">
        <v>1.0188999999999999</v>
      </c>
      <c r="E22" s="19">
        <v>6446.9</v>
      </c>
      <c r="F22" s="19">
        <v>6313.6813240622851</v>
      </c>
      <c r="G22" s="10">
        <v>-5.9000000000000007E-3</v>
      </c>
      <c r="J22" s="17">
        <v>8224.7869999999984</v>
      </c>
    </row>
    <row r="23" spans="1:10" x14ac:dyDescent="0.3">
      <c r="A23" s="11">
        <v>35339</v>
      </c>
      <c r="B23" s="10">
        <v>0.23480000000000001</v>
      </c>
      <c r="C23" s="10">
        <v>0.1202</v>
      </c>
      <c r="D23" s="16">
        <v>1.0246999999999999</v>
      </c>
      <c r="E23" s="19">
        <v>6533.2</v>
      </c>
      <c r="F23" s="19">
        <v>6360.2024922118371</v>
      </c>
      <c r="G23" s="10">
        <v>-7.1000000000000004E-3</v>
      </c>
      <c r="J23" s="17">
        <v>8808.8580000000002</v>
      </c>
    </row>
    <row r="24" spans="1:10" x14ac:dyDescent="0.3">
      <c r="A24" s="11">
        <v>35370</v>
      </c>
      <c r="B24" s="10">
        <v>0.25269999999999998</v>
      </c>
      <c r="C24" s="10">
        <v>0.1075</v>
      </c>
      <c r="D24" s="16">
        <v>1.03</v>
      </c>
      <c r="E24" s="19">
        <v>6666.1</v>
      </c>
      <c r="F24" s="19">
        <v>6454.395817195973</v>
      </c>
      <c r="G24" s="10">
        <v>-5.3000000000000009E-3</v>
      </c>
      <c r="J24" s="17">
        <v>9491.2179999999989</v>
      </c>
    </row>
    <row r="25" spans="1:10" x14ac:dyDescent="0.3">
      <c r="A25" s="11">
        <v>35400</v>
      </c>
      <c r="B25" s="10">
        <v>0.2394</v>
      </c>
      <c r="C25" s="10">
        <v>9.5600000000000004E-2</v>
      </c>
      <c r="D25" s="16">
        <v>1.0369000000000002</v>
      </c>
      <c r="E25" s="19">
        <v>7039.9</v>
      </c>
      <c r="F25" s="19">
        <v>6775.6496631376313</v>
      </c>
      <c r="G25" s="10">
        <v>-1.5999999999999999E-3</v>
      </c>
      <c r="J25" s="17">
        <v>10791.687</v>
      </c>
    </row>
    <row r="26" spans="1:10" x14ac:dyDescent="0.3">
      <c r="A26" s="11">
        <v>35431</v>
      </c>
      <c r="B26" s="10">
        <v>0.21729999999999999</v>
      </c>
      <c r="C26" s="10">
        <v>9.3900000000000011E-2</v>
      </c>
      <c r="D26" s="16">
        <v>1.0425</v>
      </c>
      <c r="E26" s="19">
        <v>7964.7</v>
      </c>
      <c r="F26" s="19">
        <v>7616.6204456345022</v>
      </c>
      <c r="G26" s="10">
        <v>-1.6999999999999997E-3</v>
      </c>
      <c r="J26" s="17">
        <v>11120.940819765256</v>
      </c>
    </row>
    <row r="27" spans="1:10" x14ac:dyDescent="0.3">
      <c r="A27" s="11">
        <v>35462</v>
      </c>
      <c r="B27" s="10">
        <v>0.26140000000000002</v>
      </c>
      <c r="C27" s="10">
        <v>8.8200000000000001E-2</v>
      </c>
      <c r="D27" s="16">
        <v>1.0488999999999999</v>
      </c>
      <c r="E27" s="19">
        <v>8828.7000000000007</v>
      </c>
      <c r="F27" s="19">
        <v>8399.4862524973851</v>
      </c>
      <c r="G27" s="10">
        <v>-7.000000000000001E-4</v>
      </c>
      <c r="J27" s="17">
        <v>11122.059713806781</v>
      </c>
    </row>
    <row r="28" spans="1:10" x14ac:dyDescent="0.3">
      <c r="A28" s="11">
        <v>35490</v>
      </c>
      <c r="B28" s="10">
        <v>0.24109999999999998</v>
      </c>
      <c r="C28" s="10">
        <v>8.9900000000000008E-2</v>
      </c>
      <c r="D28" s="16">
        <v>1.0563</v>
      </c>
      <c r="E28" s="19">
        <v>9044</v>
      </c>
      <c r="F28" s="19">
        <v>8540.9387099820578</v>
      </c>
      <c r="G28" s="10">
        <v>-2.5000000000000001E-3</v>
      </c>
      <c r="J28" s="17">
        <v>12186.312795061469</v>
      </c>
    </row>
    <row r="29" spans="1:10" x14ac:dyDescent="0.3">
      <c r="A29" s="11">
        <v>35521</v>
      </c>
      <c r="B29" s="10">
        <v>0.21840000000000001</v>
      </c>
      <c r="C29" s="10">
        <v>8.5800000000000001E-2</v>
      </c>
      <c r="D29" s="16">
        <v>1.0605</v>
      </c>
      <c r="E29" s="19">
        <v>9982</v>
      </c>
      <c r="F29" s="19">
        <v>9386.8722964077479</v>
      </c>
      <c r="G29" s="10">
        <v>-7.000000000000001E-4</v>
      </c>
      <c r="J29" s="17">
        <v>13328.781113545741</v>
      </c>
    </row>
    <row r="30" spans="1:10" x14ac:dyDescent="0.3">
      <c r="A30" s="11">
        <v>35551</v>
      </c>
      <c r="B30" s="10">
        <v>0.21909999999999999</v>
      </c>
      <c r="C30" s="10">
        <v>7.7100000000000002E-2</v>
      </c>
      <c r="D30" s="16">
        <v>1.0678999999999998</v>
      </c>
      <c r="E30" s="19">
        <v>11345</v>
      </c>
      <c r="F30" s="19">
        <v>10589.937459161767</v>
      </c>
      <c r="G30" s="10">
        <v>1.0000000000000026E-4</v>
      </c>
      <c r="J30" s="17">
        <v>13440.520897930979</v>
      </c>
    </row>
    <row r="31" spans="1:10" x14ac:dyDescent="0.3">
      <c r="A31" s="11">
        <v>35582</v>
      </c>
      <c r="B31" s="10">
        <v>0.21079999999999999</v>
      </c>
      <c r="C31" s="10">
        <v>7.0199999999999999E-2</v>
      </c>
      <c r="D31" s="16">
        <v>1.0742</v>
      </c>
      <c r="E31" s="19">
        <v>12568</v>
      </c>
      <c r="F31" s="19">
        <v>11674.87227124942</v>
      </c>
      <c r="G31" s="10">
        <v>1.5E-3</v>
      </c>
      <c r="J31" s="17">
        <v>13223.555799618283</v>
      </c>
    </row>
    <row r="32" spans="1:10" x14ac:dyDescent="0.3">
      <c r="A32" s="11">
        <v>35612</v>
      </c>
      <c r="B32" s="10">
        <v>0.19039999999999999</v>
      </c>
      <c r="C32" s="10">
        <v>6.08E-2</v>
      </c>
      <c r="D32" s="16">
        <v>1.0803</v>
      </c>
      <c r="E32" s="19">
        <v>12872</v>
      </c>
      <c r="F32" s="19">
        <v>11885.50323176362</v>
      </c>
      <c r="G32" s="10">
        <v>6.0000000000000006E-4</v>
      </c>
      <c r="J32" s="17">
        <v>14234.206891250933</v>
      </c>
    </row>
    <row r="33" spans="1:10" x14ac:dyDescent="0.3">
      <c r="A33" s="11">
        <v>35643</v>
      </c>
      <c r="B33" s="10">
        <v>0.20780000000000001</v>
      </c>
      <c r="C33" s="10">
        <v>5.5899999999999998E-2</v>
      </c>
      <c r="D33" s="16">
        <v>1.0874999999999999</v>
      </c>
      <c r="E33" s="19">
        <v>10609</v>
      </c>
      <c r="F33" s="19">
        <v>9722.3240469208213</v>
      </c>
      <c r="G33" s="10">
        <v>2.9999999999999996E-3</v>
      </c>
      <c r="J33" s="17">
        <v>15407.829257871139</v>
      </c>
    </row>
    <row r="34" spans="1:10" x14ac:dyDescent="0.3">
      <c r="A34" s="11">
        <v>35674</v>
      </c>
      <c r="B34" s="10">
        <v>0.1981</v>
      </c>
      <c r="C34" s="10">
        <v>5.5E-2</v>
      </c>
      <c r="D34" s="16">
        <v>1.0931999999999999</v>
      </c>
      <c r="E34" s="19">
        <v>11797</v>
      </c>
      <c r="F34" s="19">
        <v>10763.686131386861</v>
      </c>
      <c r="G34" s="10">
        <v>1.2000000000000001E-3</v>
      </c>
      <c r="J34" s="17">
        <v>16588.362112814229</v>
      </c>
    </row>
    <row r="35" spans="1:10" x14ac:dyDescent="0.3">
      <c r="A35" s="11">
        <v>35704</v>
      </c>
      <c r="B35" s="10">
        <v>0.1993</v>
      </c>
      <c r="C35" s="10">
        <v>5.4199999999999998E-2</v>
      </c>
      <c r="D35" s="16">
        <v>1.0996999999999999</v>
      </c>
      <c r="E35" s="19">
        <v>8986</v>
      </c>
      <c r="F35" s="19">
        <v>8149.088600707355</v>
      </c>
      <c r="G35" s="10">
        <v>-1E-3</v>
      </c>
      <c r="J35" s="17">
        <v>18898.990959517749</v>
      </c>
    </row>
    <row r="36" spans="1:10" x14ac:dyDescent="0.3">
      <c r="A36" s="11">
        <v>35735</v>
      </c>
      <c r="B36" s="10">
        <v>0.45899999999999996</v>
      </c>
      <c r="C36" s="10">
        <v>5.2699999999999997E-2</v>
      </c>
      <c r="D36" s="16">
        <v>1.1069</v>
      </c>
      <c r="E36" s="19">
        <v>9395</v>
      </c>
      <c r="F36" s="19">
        <v>8468.5415539931491</v>
      </c>
      <c r="G36" s="10">
        <v>-1E-3</v>
      </c>
      <c r="J36" s="17">
        <v>19088.067019486352</v>
      </c>
    </row>
    <row r="37" spans="1:10" x14ac:dyDescent="0.3">
      <c r="A37" s="11">
        <v>35765</v>
      </c>
      <c r="B37" s="10">
        <v>0.3987</v>
      </c>
      <c r="C37" s="10">
        <v>5.2199999999999996E-2</v>
      </c>
      <c r="D37" s="16">
        <v>1.1132</v>
      </c>
      <c r="E37" s="19">
        <v>10197</v>
      </c>
      <c r="F37" s="19">
        <v>9137.0967741935474</v>
      </c>
      <c r="G37" s="10">
        <v>-9.300000000000001E-3</v>
      </c>
      <c r="J37" s="17">
        <v>18992.9343106468</v>
      </c>
    </row>
    <row r="38" spans="1:10" x14ac:dyDescent="0.3">
      <c r="A38" s="11">
        <v>35796</v>
      </c>
      <c r="B38" s="10">
        <v>0.37189999999999995</v>
      </c>
      <c r="C38" s="10">
        <v>4.7300000000000002E-2</v>
      </c>
      <c r="D38" s="16">
        <v>1.1194999999999999</v>
      </c>
      <c r="E38" s="19">
        <v>9720</v>
      </c>
      <c r="F38" s="19">
        <v>8653.0757589245968</v>
      </c>
      <c r="G38" s="10">
        <v>-7.1999999999999998E-3</v>
      </c>
      <c r="J38" s="17">
        <v>18931.452678981546</v>
      </c>
    </row>
    <row r="39" spans="1:10" x14ac:dyDescent="0.3">
      <c r="A39" s="11">
        <v>35827</v>
      </c>
      <c r="B39" s="10">
        <v>0.34320000000000001</v>
      </c>
      <c r="C39" s="10">
        <v>4.6900000000000004E-2</v>
      </c>
      <c r="D39" s="16">
        <v>1.1267</v>
      </c>
      <c r="E39" s="19">
        <v>10571</v>
      </c>
      <c r="F39" s="19">
        <v>9354.8672566371697</v>
      </c>
      <c r="G39" s="10">
        <v>-7.7999999999999996E-3</v>
      </c>
      <c r="J39" s="17">
        <v>19878.004185340018</v>
      </c>
    </row>
    <row r="40" spans="1:10" x14ac:dyDescent="0.3">
      <c r="A40" s="11">
        <v>35855</v>
      </c>
      <c r="B40" s="10">
        <v>0.28320000000000001</v>
      </c>
      <c r="C40" s="10">
        <v>4.5199999999999997E-2</v>
      </c>
      <c r="D40" s="16">
        <v>1.1333</v>
      </c>
      <c r="E40" s="19">
        <v>11947</v>
      </c>
      <c r="F40" s="19">
        <v>10507.475813544415</v>
      </c>
      <c r="G40" s="10">
        <v>-6.0000000000000001E-3</v>
      </c>
      <c r="J40" s="17">
        <v>19932.657484885327</v>
      </c>
    </row>
    <row r="41" spans="1:10" x14ac:dyDescent="0.3">
      <c r="A41" s="11">
        <v>35886</v>
      </c>
      <c r="B41" s="10">
        <v>0.25159999999999999</v>
      </c>
      <c r="C41" s="10">
        <v>3.85E-2</v>
      </c>
      <c r="D41" s="16">
        <v>1.1408</v>
      </c>
      <c r="E41" s="19">
        <v>11677</v>
      </c>
      <c r="F41" s="19">
        <v>10208.060145117581</v>
      </c>
      <c r="G41" s="10">
        <v>-5.000000000000001E-3</v>
      </c>
      <c r="J41" s="17">
        <v>20239.927921901057</v>
      </c>
    </row>
    <row r="42" spans="1:10" x14ac:dyDescent="0.3">
      <c r="A42" s="11">
        <v>35916</v>
      </c>
      <c r="B42" s="10">
        <v>0.22600000000000001</v>
      </c>
      <c r="C42" s="10">
        <v>3.95E-2</v>
      </c>
      <c r="D42" s="16">
        <v>1.1476999999999999</v>
      </c>
      <c r="E42" s="19">
        <v>9847</v>
      </c>
      <c r="F42" s="19">
        <v>8561.8641857229795</v>
      </c>
      <c r="G42" s="10">
        <v>-6.0000000000000001E-3</v>
      </c>
      <c r="J42" s="17">
        <v>19758.735351035819</v>
      </c>
    </row>
    <row r="43" spans="1:10" x14ac:dyDescent="0.3">
      <c r="A43" s="11">
        <v>35947</v>
      </c>
      <c r="B43" s="10">
        <v>0.2102</v>
      </c>
      <c r="C43" s="10">
        <v>3.4099999999999998E-2</v>
      </c>
      <c r="D43" s="16">
        <v>1.1541999999999999</v>
      </c>
      <c r="E43" s="19">
        <v>9678</v>
      </c>
      <c r="F43" s="19">
        <v>8368.3527885862532</v>
      </c>
      <c r="G43" s="10">
        <v>-8.3999999999999995E-3</v>
      </c>
      <c r="J43" s="17">
        <v>21459.106331348517</v>
      </c>
    </row>
    <row r="44" spans="1:10" x14ac:dyDescent="0.3">
      <c r="A44" s="11">
        <v>35977</v>
      </c>
      <c r="B44" s="10">
        <v>0.20329999999999998</v>
      </c>
      <c r="C44" s="10">
        <v>3.0600000000000002E-2</v>
      </c>
      <c r="D44" s="16">
        <v>1.1611</v>
      </c>
      <c r="E44" s="19">
        <v>10707</v>
      </c>
      <c r="F44" s="19">
        <v>9206.3628546861564</v>
      </c>
      <c r="G44" s="10">
        <v>-7.2999999999999992E-3</v>
      </c>
      <c r="J44" s="17">
        <v>22743.832597615863</v>
      </c>
    </row>
    <row r="45" spans="1:10" x14ac:dyDescent="0.3">
      <c r="A45" s="11">
        <v>36008</v>
      </c>
      <c r="B45" s="10">
        <v>0.1923</v>
      </c>
      <c r="C45" s="10">
        <v>2.5499999999999998E-2</v>
      </c>
      <c r="D45" s="16">
        <v>1.1713</v>
      </c>
      <c r="E45" s="19">
        <v>6472</v>
      </c>
      <c r="F45" s="19">
        <v>5501.0624734381645</v>
      </c>
      <c r="G45" s="10">
        <v>-5.1999999999999998E-3</v>
      </c>
      <c r="J45" s="17">
        <v>25650.989462195659</v>
      </c>
    </row>
    <row r="46" spans="1:10" x14ac:dyDescent="0.3">
      <c r="A46" s="11">
        <v>36039</v>
      </c>
      <c r="B46" s="10">
        <v>0.34289999999999998</v>
      </c>
      <c r="C46" s="10">
        <v>2.2700000000000001E-2</v>
      </c>
      <c r="D46" s="16">
        <v>1.1804999999999999</v>
      </c>
      <c r="E46" s="19">
        <v>6593</v>
      </c>
      <c r="F46" s="19">
        <v>5562.774215322308</v>
      </c>
      <c r="G46" s="10">
        <v>-5.8000000000000005E-3</v>
      </c>
      <c r="J46" s="17">
        <v>26612.127771152569</v>
      </c>
    </row>
    <row r="47" spans="1:10" x14ac:dyDescent="0.3">
      <c r="A47" s="11">
        <v>36069</v>
      </c>
      <c r="B47" s="10">
        <v>0.41600000000000004</v>
      </c>
      <c r="C47" s="10">
        <v>2.0499999999999997E-2</v>
      </c>
      <c r="D47" s="16">
        <v>1.1879999999999999</v>
      </c>
      <c r="E47" s="19">
        <v>7047</v>
      </c>
      <c r="F47" s="19">
        <v>5907.9476861166995</v>
      </c>
      <c r="G47" s="10">
        <v>-3.4999999999999996E-3</v>
      </c>
      <c r="J47" s="17">
        <v>27025.859959649046</v>
      </c>
    </row>
    <row r="48" spans="1:10" x14ac:dyDescent="0.3">
      <c r="A48" s="11">
        <v>36100</v>
      </c>
      <c r="B48" s="10">
        <v>0.38729999999999998</v>
      </c>
      <c r="C48" s="10">
        <v>1.7600000000000001E-2</v>
      </c>
      <c r="D48" s="16">
        <v>1.1933</v>
      </c>
      <c r="E48" s="19">
        <v>8631</v>
      </c>
      <c r="F48" s="19">
        <v>7187.7081945369746</v>
      </c>
      <c r="G48" s="10">
        <v>-4.9999999999999992E-3</v>
      </c>
      <c r="J48" s="17">
        <v>28007.941967580446</v>
      </c>
    </row>
    <row r="49" spans="1:15" x14ac:dyDescent="0.3">
      <c r="A49" s="11">
        <v>36130</v>
      </c>
      <c r="B49" s="10">
        <v>0.31240000000000001</v>
      </c>
      <c r="C49" s="10">
        <v>1.6500000000000001E-2</v>
      </c>
      <c r="D49" s="16">
        <v>1.2050000000000001</v>
      </c>
      <c r="E49" s="19">
        <v>6784</v>
      </c>
      <c r="F49" s="19">
        <v>5614.4997103368369</v>
      </c>
      <c r="G49" s="10">
        <v>3.3E-3</v>
      </c>
      <c r="J49" s="17">
        <v>28855.609916419999</v>
      </c>
    </row>
    <row r="50" spans="1:15" x14ac:dyDescent="0.3">
      <c r="A50" s="11">
        <v>36161</v>
      </c>
      <c r="B50" s="10">
        <v>0.31190000000000001</v>
      </c>
      <c r="C50" s="10">
        <v>1.6500000000000001E-2</v>
      </c>
      <c r="D50" s="16">
        <v>1.5015000000000001</v>
      </c>
      <c r="E50" s="19">
        <v>8172</v>
      </c>
      <c r="F50" s="19">
        <v>4121.4444220294527</v>
      </c>
      <c r="G50" s="10">
        <v>5.1000000000000004E-3</v>
      </c>
      <c r="J50" s="17">
        <v>29193.184728319993</v>
      </c>
    </row>
    <row r="51" spans="1:15" x14ac:dyDescent="0.3">
      <c r="A51" s="11">
        <v>36192</v>
      </c>
      <c r="B51" s="10">
        <v>0.38969999999999999</v>
      </c>
      <c r="C51" s="10">
        <v>2.2400000000000003E-2</v>
      </c>
      <c r="D51" s="16">
        <v>1.9133</v>
      </c>
      <c r="E51" s="19">
        <v>8911</v>
      </c>
      <c r="F51" s="19">
        <v>4316.5084285991088</v>
      </c>
      <c r="G51" s="10">
        <v>6.8000000000000005E-3</v>
      </c>
      <c r="J51" s="17">
        <v>32516.059327919997</v>
      </c>
    </row>
    <row r="52" spans="1:15" x14ac:dyDescent="0.3">
      <c r="A52" s="11">
        <v>36220</v>
      </c>
      <c r="B52" s="10">
        <v>0.4325</v>
      </c>
      <c r="C52" s="10">
        <v>3.0200000000000001E-2</v>
      </c>
      <c r="D52" s="16">
        <v>1.8963999999999999</v>
      </c>
      <c r="E52" s="19">
        <v>10696</v>
      </c>
      <c r="F52" s="19">
        <v>6212.8252788104091</v>
      </c>
      <c r="G52" s="10">
        <v>7.6000000000000009E-3</v>
      </c>
      <c r="J52" s="17">
        <v>32495.771947120003</v>
      </c>
    </row>
    <row r="53" spans="1:15" x14ac:dyDescent="0.3">
      <c r="A53" s="11">
        <v>36251</v>
      </c>
      <c r="B53" s="10">
        <v>0.36119999999999997</v>
      </c>
      <c r="C53" s="10">
        <v>3.3500000000000002E-2</v>
      </c>
      <c r="D53" s="16">
        <v>1.6937</v>
      </c>
      <c r="E53" s="19">
        <v>11351</v>
      </c>
      <c r="F53" s="19">
        <v>6836.7162560982961</v>
      </c>
      <c r="G53" s="10">
        <v>8.5000000000000006E-3</v>
      </c>
      <c r="J53" s="17">
        <v>32618.397191619999</v>
      </c>
    </row>
    <row r="54" spans="1:15" x14ac:dyDescent="0.3">
      <c r="A54" s="11">
        <v>36281</v>
      </c>
      <c r="B54" s="10">
        <v>0.27110000000000001</v>
      </c>
      <c r="C54" s="10">
        <v>3.1400000000000004E-2</v>
      </c>
      <c r="D54" s="16">
        <v>1.6831</v>
      </c>
      <c r="E54" s="19">
        <v>11090</v>
      </c>
      <c r="F54" s="19">
        <v>6434.2074727314921</v>
      </c>
      <c r="G54" s="10">
        <v>8.8999999999999999E-3</v>
      </c>
      <c r="J54" s="17">
        <v>32472.699978100005</v>
      </c>
    </row>
    <row r="55" spans="1:15" x14ac:dyDescent="0.3">
      <c r="A55" s="11">
        <v>36312</v>
      </c>
      <c r="B55" s="10">
        <v>0.22010000000000002</v>
      </c>
      <c r="C55" s="10">
        <v>3.32E-2</v>
      </c>
      <c r="D55" s="16">
        <v>1.7650000000000001</v>
      </c>
      <c r="E55" s="19">
        <v>11627</v>
      </c>
      <c r="F55" s="19">
        <v>6572.2683850545482</v>
      </c>
      <c r="G55" s="10">
        <v>1.4999999999999999E-2</v>
      </c>
      <c r="J55" s="17">
        <v>31672.914096100001</v>
      </c>
    </row>
    <row r="56" spans="1:15" x14ac:dyDescent="0.3">
      <c r="A56" s="11">
        <v>36342</v>
      </c>
      <c r="B56" s="10">
        <v>0.20739999999999997</v>
      </c>
      <c r="C56" s="10">
        <v>4.5700000000000005E-2</v>
      </c>
      <c r="D56" s="16">
        <v>1.7999000000000001</v>
      </c>
      <c r="E56" s="19">
        <v>10442</v>
      </c>
      <c r="F56" s="19">
        <v>5837.4329159212884</v>
      </c>
      <c r="G56" s="10">
        <v>1.8500000000000003E-2</v>
      </c>
      <c r="J56" s="17">
        <v>32509.634738200002</v>
      </c>
    </row>
    <row r="57" spans="1:15" x14ac:dyDescent="0.3">
      <c r="A57" s="11">
        <v>36373</v>
      </c>
      <c r="B57" s="10">
        <v>0.19510000000000002</v>
      </c>
      <c r="C57" s="10">
        <v>5.6900000000000006E-2</v>
      </c>
      <c r="D57" s="16">
        <v>1.88035</v>
      </c>
      <c r="E57" s="19">
        <v>10565</v>
      </c>
      <c r="F57" s="19">
        <v>5515.5311929000263</v>
      </c>
      <c r="G57" s="10">
        <v>1.72E-2</v>
      </c>
      <c r="J57" s="17">
        <v>30671.339507000001</v>
      </c>
    </row>
    <row r="58" spans="1:15" x14ac:dyDescent="0.3">
      <c r="A58" s="11">
        <v>36404</v>
      </c>
      <c r="B58" s="10">
        <v>0.1938</v>
      </c>
      <c r="C58" s="10">
        <v>6.25E-2</v>
      </c>
      <c r="D58" s="16">
        <v>1.8976999999999999</v>
      </c>
      <c r="E58" s="19">
        <v>11106</v>
      </c>
      <c r="F58" s="19">
        <v>5778.6565378011346</v>
      </c>
      <c r="G58" s="10">
        <v>2.3400000000000001E-2</v>
      </c>
      <c r="J58" s="17">
        <v>30679.440343100003</v>
      </c>
    </row>
    <row r="59" spans="1:15" x14ac:dyDescent="0.3">
      <c r="A59" s="11">
        <v>36434</v>
      </c>
      <c r="B59" s="10">
        <v>0.18909999999999999</v>
      </c>
      <c r="C59" s="10">
        <v>7.4999999999999997E-2</v>
      </c>
      <c r="D59" s="16">
        <v>1.9691000000000001</v>
      </c>
      <c r="E59" s="19">
        <v>11700</v>
      </c>
      <c r="F59" s="19">
        <v>5992.0106524633829</v>
      </c>
      <c r="G59" s="10">
        <v>2.4800000000000003E-2</v>
      </c>
      <c r="J59" s="17">
        <v>29216.962307900001</v>
      </c>
    </row>
    <row r="60" spans="1:15" x14ac:dyDescent="0.3">
      <c r="A60" s="11">
        <v>36465</v>
      </c>
      <c r="B60" s="10">
        <v>0.1895</v>
      </c>
      <c r="C60" s="10">
        <v>8.6500000000000007E-2</v>
      </c>
      <c r="D60" s="16">
        <v>1.9295</v>
      </c>
      <c r="E60" s="19">
        <v>13779</v>
      </c>
      <c r="F60" s="19">
        <v>7167.9758622483487</v>
      </c>
      <c r="G60" s="10">
        <v>2.6699999999999998E-2</v>
      </c>
      <c r="J60" s="17">
        <v>28799.31724</v>
      </c>
    </row>
    <row r="61" spans="1:15" x14ac:dyDescent="0.3">
      <c r="A61" s="11">
        <v>36495</v>
      </c>
      <c r="B61" s="10">
        <v>0.18989999999999999</v>
      </c>
      <c r="C61" s="10">
        <v>8.9399999999999993E-2</v>
      </c>
      <c r="D61" s="16">
        <v>1.8424</v>
      </c>
      <c r="E61" s="19">
        <v>17092</v>
      </c>
      <c r="F61" s="19">
        <v>9556.0773789556079</v>
      </c>
      <c r="G61" s="10">
        <v>2.2699999999999998E-2</v>
      </c>
      <c r="J61" s="17">
        <v>28385.675614990236</v>
      </c>
    </row>
    <row r="62" spans="1:15" x14ac:dyDescent="0.3">
      <c r="A62" s="11">
        <v>36526</v>
      </c>
      <c r="B62" s="10">
        <v>0.18940000000000001</v>
      </c>
      <c r="C62" s="10">
        <v>8.8499999999999995E-2</v>
      </c>
      <c r="D62" s="16">
        <v>1.8033000000000001</v>
      </c>
      <c r="E62" s="19">
        <v>16388</v>
      </c>
      <c r="F62" s="19">
        <v>9094.3396226415098</v>
      </c>
      <c r="G62" s="10">
        <v>2.3299999999999998E-2</v>
      </c>
      <c r="J62" s="17">
        <v>30112.052614990233</v>
      </c>
      <c r="O62" s="15">
        <v>85.8</v>
      </c>
    </row>
    <row r="63" spans="1:15" x14ac:dyDescent="0.3">
      <c r="A63" s="11">
        <v>36557</v>
      </c>
      <c r="B63" s="10">
        <v>0.18870000000000001</v>
      </c>
      <c r="C63" s="10">
        <v>7.8600000000000003E-2</v>
      </c>
      <c r="D63" s="16">
        <v>1.7749000000000001</v>
      </c>
      <c r="E63" s="19">
        <v>17660</v>
      </c>
      <c r="F63" s="19">
        <v>9988.1228437305581</v>
      </c>
      <c r="G63" s="10">
        <v>2.4299999999999995E-2</v>
      </c>
      <c r="J63" s="17">
        <v>27185.573614990237</v>
      </c>
      <c r="O63" s="15">
        <v>86.1</v>
      </c>
    </row>
    <row r="64" spans="1:15" x14ac:dyDescent="0.3">
      <c r="A64" s="11">
        <v>36586</v>
      </c>
      <c r="B64" s="10">
        <v>0.1885</v>
      </c>
      <c r="C64" s="10">
        <v>6.9199999999999998E-2</v>
      </c>
      <c r="D64" s="16">
        <v>1.7416</v>
      </c>
      <c r="E64" s="19">
        <v>17820</v>
      </c>
      <c r="F64" s="19">
        <v>10200.927357032457</v>
      </c>
      <c r="G64" s="10">
        <v>2.5500000000000002E-2</v>
      </c>
      <c r="J64" s="17">
        <v>27734.57161499024</v>
      </c>
      <c r="O64" s="15">
        <v>85</v>
      </c>
    </row>
    <row r="65" spans="1:15" x14ac:dyDescent="0.3">
      <c r="A65" s="11">
        <v>36617</v>
      </c>
      <c r="B65" s="10">
        <v>0.1862</v>
      </c>
      <c r="C65" s="10">
        <v>6.7699999999999996E-2</v>
      </c>
      <c r="D65" s="16">
        <v>1.7678</v>
      </c>
      <c r="E65" s="19">
        <v>15538</v>
      </c>
      <c r="F65" s="19">
        <v>8602.1148203509929</v>
      </c>
      <c r="G65" s="10">
        <v>2.6000000000000002E-2</v>
      </c>
      <c r="J65" s="17">
        <v>26948.492614990239</v>
      </c>
      <c r="O65" s="15">
        <v>86.3</v>
      </c>
    </row>
    <row r="66" spans="1:15" x14ac:dyDescent="0.3">
      <c r="A66" s="11">
        <v>36647</v>
      </c>
      <c r="B66" s="10">
        <v>0.18510000000000001</v>
      </c>
      <c r="C66" s="10">
        <v>6.4699999999999994E-2</v>
      </c>
      <c r="D66" s="16">
        <v>1.8275000000000001</v>
      </c>
      <c r="E66" s="19">
        <v>14957</v>
      </c>
      <c r="F66" s="19">
        <v>8190.2310809330847</v>
      </c>
      <c r="G66" s="10">
        <v>2.8800000000000003E-2</v>
      </c>
      <c r="J66" s="17">
        <v>27358.283614990232</v>
      </c>
      <c r="O66" s="15">
        <v>85.1</v>
      </c>
    </row>
    <row r="67" spans="1:15" x14ac:dyDescent="0.3">
      <c r="A67" s="11">
        <v>36678</v>
      </c>
      <c r="B67" s="10">
        <v>0.1804</v>
      </c>
      <c r="C67" s="10">
        <v>6.5099999999999991E-2</v>
      </c>
      <c r="D67" s="16">
        <v>1.8079000000000001</v>
      </c>
      <c r="E67" s="19">
        <v>16728</v>
      </c>
      <c r="F67" s="19">
        <v>9295.398977550567</v>
      </c>
      <c r="G67" s="10">
        <v>2.69E-2</v>
      </c>
      <c r="J67" s="17">
        <v>28735.191614990232</v>
      </c>
      <c r="O67" s="15">
        <v>88.2</v>
      </c>
    </row>
    <row r="68" spans="1:15" x14ac:dyDescent="0.3">
      <c r="A68" s="11">
        <v>36708</v>
      </c>
      <c r="B68" s="10">
        <v>0.16850000000000001</v>
      </c>
      <c r="C68" s="10">
        <v>7.0599999999999996E-2</v>
      </c>
      <c r="D68" s="16">
        <v>1.7974000000000001</v>
      </c>
      <c r="E68" s="19">
        <v>16455</v>
      </c>
      <c r="F68" s="19">
        <v>9273.557258791705</v>
      </c>
      <c r="G68" s="10">
        <v>2.4E-2</v>
      </c>
      <c r="J68" s="17">
        <v>30308.682614990234</v>
      </c>
      <c r="O68" s="15">
        <v>85.8</v>
      </c>
    </row>
    <row r="69" spans="1:15" x14ac:dyDescent="0.3">
      <c r="A69" s="11">
        <v>36739</v>
      </c>
      <c r="B69" s="10">
        <v>0.16519999999999999</v>
      </c>
      <c r="C69" s="10">
        <v>7.8600000000000003E-2</v>
      </c>
      <c r="D69" s="16">
        <v>1.8088</v>
      </c>
      <c r="E69" s="19">
        <v>17347</v>
      </c>
      <c r="F69" s="19">
        <v>9515.633571036753</v>
      </c>
      <c r="G69" s="10">
        <v>2.53E-2</v>
      </c>
      <c r="J69" s="17">
        <v>30121.64561499023</v>
      </c>
      <c r="O69" s="15">
        <v>86.5</v>
      </c>
    </row>
    <row r="70" spans="1:15" x14ac:dyDescent="0.3">
      <c r="A70" s="11">
        <v>36770</v>
      </c>
      <c r="B70" s="10">
        <v>0.1656</v>
      </c>
      <c r="C70" s="10">
        <v>7.7699999999999991E-2</v>
      </c>
      <c r="D70" s="16">
        <v>1.8388</v>
      </c>
      <c r="E70" s="19">
        <v>15928</v>
      </c>
      <c r="F70" s="19">
        <v>8641.024249986438</v>
      </c>
      <c r="G70" s="10">
        <v>2.3300000000000001E-2</v>
      </c>
      <c r="J70" s="17">
        <v>29181.279614990235</v>
      </c>
      <c r="O70" s="15">
        <v>86.6</v>
      </c>
    </row>
    <row r="71" spans="1:15" x14ac:dyDescent="0.3">
      <c r="A71" s="11">
        <v>36800</v>
      </c>
      <c r="B71" s="10">
        <v>0.16600000000000001</v>
      </c>
      <c r="C71" s="10">
        <v>6.6500000000000004E-2</v>
      </c>
      <c r="D71" s="16">
        <v>1.8792</v>
      </c>
      <c r="E71" s="19">
        <v>14867</v>
      </c>
      <c r="F71" s="19">
        <v>7789.4791994131829</v>
      </c>
      <c r="G71" s="10">
        <v>2.1599999999999998E-2</v>
      </c>
      <c r="J71" s="17">
        <v>29183.629614990234</v>
      </c>
      <c r="O71" s="15">
        <v>85.8</v>
      </c>
    </row>
    <row r="72" spans="1:15" x14ac:dyDescent="0.3">
      <c r="A72" s="11">
        <v>36831</v>
      </c>
      <c r="B72" s="10">
        <v>0.16510000000000002</v>
      </c>
      <c r="C72" s="10">
        <v>5.9900000000000002E-2</v>
      </c>
      <c r="D72" s="16">
        <v>1.9476</v>
      </c>
      <c r="E72" s="19">
        <v>13287</v>
      </c>
      <c r="F72" s="19">
        <v>6781.8497345855449</v>
      </c>
      <c r="G72" s="10">
        <v>2.35E-2</v>
      </c>
      <c r="J72" s="17">
        <v>33100.586318900234</v>
      </c>
      <c r="O72" s="15">
        <v>86</v>
      </c>
    </row>
    <row r="73" spans="1:15" x14ac:dyDescent="0.3">
      <c r="A73" s="11">
        <v>36861</v>
      </c>
      <c r="B73" s="10">
        <v>0.16190000000000002</v>
      </c>
      <c r="C73" s="10">
        <v>5.9699999999999996E-2</v>
      </c>
      <c r="D73" s="16">
        <v>1.9628999999999999</v>
      </c>
      <c r="E73" s="19">
        <v>15259</v>
      </c>
      <c r="F73" s="19">
        <v>7805.1150895140663</v>
      </c>
      <c r="G73" s="10">
        <v>2.2000000000000002E-2</v>
      </c>
      <c r="J73" s="17">
        <v>32994.718699750003</v>
      </c>
      <c r="O73" s="15">
        <v>83.6</v>
      </c>
    </row>
    <row r="74" spans="1:15" x14ac:dyDescent="0.3">
      <c r="A74" s="11">
        <v>36892</v>
      </c>
      <c r="B74" s="10">
        <v>0.15490000000000001</v>
      </c>
      <c r="C74" s="10">
        <v>5.9200000000000003E-2</v>
      </c>
      <c r="D74" s="16">
        <v>1.9540999999999999</v>
      </c>
      <c r="E74" s="19">
        <v>17673</v>
      </c>
      <c r="F74" s="19">
        <v>8967.8794337037598</v>
      </c>
      <c r="G74" s="10">
        <v>2.29E-2</v>
      </c>
      <c r="J74" s="17">
        <v>31632.648581611866</v>
      </c>
      <c r="M74" s="15">
        <v>104.3</v>
      </c>
      <c r="O74" s="15">
        <v>88.1</v>
      </c>
    </row>
    <row r="75" spans="1:15" x14ac:dyDescent="0.3">
      <c r="A75" s="11">
        <v>36923</v>
      </c>
      <c r="B75" s="10">
        <v>0.152</v>
      </c>
      <c r="C75" s="10">
        <v>6.2699999999999992E-2</v>
      </c>
      <c r="D75" s="16">
        <v>2.0015000000000001</v>
      </c>
      <c r="E75" s="19">
        <v>15891</v>
      </c>
      <c r="F75" s="19">
        <v>7771.4201877934274</v>
      </c>
      <c r="G75" s="10">
        <v>2.1999999999999999E-2</v>
      </c>
      <c r="J75" s="17">
        <v>30936.253581611869</v>
      </c>
      <c r="M75" s="15">
        <v>103.9</v>
      </c>
      <c r="O75" s="15">
        <v>86.2</v>
      </c>
    </row>
    <row r="76" spans="1:15" x14ac:dyDescent="0.3">
      <c r="A76" s="11">
        <v>36951</v>
      </c>
      <c r="B76" s="10">
        <v>0.15390000000000001</v>
      </c>
      <c r="C76" s="10">
        <v>6.4399999999999999E-2</v>
      </c>
      <c r="D76" s="16">
        <v>2.0886</v>
      </c>
      <c r="E76" s="19">
        <v>14438</v>
      </c>
      <c r="F76" s="19">
        <v>6680.5478437904867</v>
      </c>
      <c r="G76" s="10">
        <v>2.1400000000000002E-2</v>
      </c>
      <c r="J76" s="17">
        <v>30783.336254721868</v>
      </c>
      <c r="M76" s="15">
        <v>103.6</v>
      </c>
      <c r="O76" s="15">
        <v>86.6</v>
      </c>
    </row>
    <row r="77" spans="1:15" x14ac:dyDescent="0.3">
      <c r="A77" s="11">
        <v>36982</v>
      </c>
      <c r="B77" s="10">
        <v>0.16020000000000001</v>
      </c>
      <c r="C77" s="10">
        <v>6.6100000000000006E-2</v>
      </c>
      <c r="D77" s="16">
        <v>2.1920999999999999</v>
      </c>
      <c r="E77" s="19">
        <v>14918</v>
      </c>
      <c r="F77" s="19">
        <v>6829.6479421324912</v>
      </c>
      <c r="G77" s="10">
        <v>2.5099999999999997E-2</v>
      </c>
      <c r="J77" s="17">
        <v>31425.763404538859</v>
      </c>
      <c r="M77" s="15">
        <v>102.6</v>
      </c>
      <c r="O77" s="15">
        <v>89.5</v>
      </c>
    </row>
    <row r="78" spans="1:15" x14ac:dyDescent="0.3">
      <c r="A78" s="11">
        <v>37012</v>
      </c>
      <c r="B78" s="10">
        <v>0.1643</v>
      </c>
      <c r="C78" s="10">
        <v>7.0400000000000004E-2</v>
      </c>
      <c r="D78" s="16">
        <v>2.2968000000000002</v>
      </c>
      <c r="E78" s="19">
        <v>14650</v>
      </c>
      <c r="F78" s="19">
        <v>6208.6794371927444</v>
      </c>
      <c r="G78" s="10">
        <v>2.53E-2</v>
      </c>
      <c r="J78" s="17">
        <v>31796.804698601991</v>
      </c>
      <c r="M78" s="15">
        <v>101</v>
      </c>
      <c r="O78" s="15">
        <v>90</v>
      </c>
    </row>
    <row r="79" spans="1:15" x14ac:dyDescent="0.3">
      <c r="A79" s="11">
        <v>37043</v>
      </c>
      <c r="B79" s="10">
        <v>0.17280000000000001</v>
      </c>
      <c r="C79" s="10">
        <v>7.3499999999999996E-2</v>
      </c>
      <c r="D79" s="16">
        <v>2.3754</v>
      </c>
      <c r="E79" s="19">
        <v>14560</v>
      </c>
      <c r="F79" s="19">
        <v>6318.0733347797786</v>
      </c>
      <c r="G79" s="10">
        <v>2.5399999999999999E-2</v>
      </c>
      <c r="J79" s="17">
        <v>29472.222782899928</v>
      </c>
      <c r="M79" s="15">
        <v>98.6</v>
      </c>
      <c r="O79" s="15">
        <v>102.4</v>
      </c>
    </row>
    <row r="80" spans="1:15" x14ac:dyDescent="0.3">
      <c r="A80" s="11">
        <v>37073</v>
      </c>
      <c r="B80" s="10">
        <v>0.1857</v>
      </c>
      <c r="C80" s="10">
        <v>7.0499999999999993E-2</v>
      </c>
      <c r="D80" s="16">
        <v>2.4656000000000002</v>
      </c>
      <c r="E80" s="19">
        <v>13754</v>
      </c>
      <c r="F80" s="19">
        <v>5657.986753877165</v>
      </c>
      <c r="G80" s="10">
        <v>2.6599999999999999E-2</v>
      </c>
      <c r="J80" s="17">
        <v>26621.799278426053</v>
      </c>
      <c r="M80" s="15">
        <v>96.3</v>
      </c>
      <c r="O80" s="15">
        <v>99.2</v>
      </c>
    </row>
    <row r="81" spans="1:15" x14ac:dyDescent="0.3">
      <c r="A81" s="11">
        <v>37104</v>
      </c>
      <c r="B81" s="10">
        <v>0.19</v>
      </c>
      <c r="C81" s="10">
        <v>6.4100000000000004E-2</v>
      </c>
      <c r="D81" s="16">
        <v>2.5102000000000002</v>
      </c>
      <c r="E81" s="19">
        <v>12841</v>
      </c>
      <c r="F81" s="19">
        <v>5033.1203700074475</v>
      </c>
      <c r="G81" s="10">
        <v>2.5399999999999999E-2</v>
      </c>
      <c r="J81" s="17">
        <v>25509.654278426053</v>
      </c>
      <c r="M81" s="15">
        <v>93.9</v>
      </c>
      <c r="O81" s="15">
        <v>89.5</v>
      </c>
    </row>
    <row r="82" spans="1:15" x14ac:dyDescent="0.3">
      <c r="A82" s="11">
        <v>37135</v>
      </c>
      <c r="B82" s="10">
        <v>0.19059999999999999</v>
      </c>
      <c r="C82" s="10">
        <v>6.4600000000000005E-2</v>
      </c>
      <c r="D82" s="16">
        <v>2.6713</v>
      </c>
      <c r="E82" s="19">
        <v>10636</v>
      </c>
      <c r="F82" s="19">
        <v>3982.1782919615111</v>
      </c>
      <c r="G82" s="10">
        <v>2.5500000000000002E-2</v>
      </c>
      <c r="J82" s="17">
        <v>25411.785483357657</v>
      </c>
      <c r="M82" s="15">
        <v>90.7</v>
      </c>
      <c r="O82" s="15">
        <v>103</v>
      </c>
    </row>
    <row r="83" spans="1:15" x14ac:dyDescent="0.3">
      <c r="A83" s="11">
        <v>37165</v>
      </c>
      <c r="B83" s="10">
        <v>0.19059999999999999</v>
      </c>
      <c r="C83" s="10">
        <v>7.1900000000000006E-2</v>
      </c>
      <c r="D83" s="16">
        <v>2.7397999999999998</v>
      </c>
      <c r="E83" s="19">
        <v>11365</v>
      </c>
      <c r="F83" s="19">
        <v>4198.8399157645836</v>
      </c>
      <c r="G83" s="10">
        <v>2.7400000000000001E-2</v>
      </c>
      <c r="J83" s="17">
        <v>24591.995640585646</v>
      </c>
      <c r="M83" s="15">
        <v>88.4</v>
      </c>
      <c r="O83" s="15">
        <v>104.1</v>
      </c>
    </row>
    <row r="84" spans="1:15" x14ac:dyDescent="0.3">
      <c r="A84" s="11">
        <v>37196</v>
      </c>
      <c r="B84" s="10">
        <v>0.1905</v>
      </c>
      <c r="C84" s="10">
        <v>7.6100000000000001E-2</v>
      </c>
      <c r="D84" s="16">
        <v>2.5427</v>
      </c>
      <c r="E84" s="19">
        <v>12932</v>
      </c>
      <c r="F84" s="19">
        <v>5114.8993394771196</v>
      </c>
      <c r="G84" s="10">
        <v>2.5899999999999999E-2</v>
      </c>
      <c r="J84" s="17">
        <v>21054.283936740147</v>
      </c>
      <c r="M84" s="15">
        <v>91.7</v>
      </c>
      <c r="O84" s="15">
        <v>93</v>
      </c>
    </row>
    <row r="85" spans="1:15" x14ac:dyDescent="0.3">
      <c r="A85" s="11">
        <v>37226</v>
      </c>
      <c r="B85" s="10">
        <v>0.1905</v>
      </c>
      <c r="C85" s="10">
        <v>7.6700000000000004E-2</v>
      </c>
      <c r="D85" s="16">
        <v>2.3622999999999998</v>
      </c>
      <c r="E85" s="19">
        <v>13577</v>
      </c>
      <c r="F85" s="19">
        <v>5852.1551724137935</v>
      </c>
      <c r="G85" s="10">
        <v>2.47E-2</v>
      </c>
      <c r="J85" s="17">
        <v>23225.846372250995</v>
      </c>
      <c r="M85" s="15">
        <v>94.4</v>
      </c>
      <c r="O85" s="15">
        <v>105.4</v>
      </c>
    </row>
    <row r="86" spans="1:15" x14ac:dyDescent="0.3">
      <c r="A86" s="11">
        <v>37257</v>
      </c>
      <c r="B86" s="10">
        <v>0.1905</v>
      </c>
      <c r="C86" s="10">
        <v>7.6200000000000004E-2</v>
      </c>
      <c r="D86" s="16">
        <v>2.3774999999999999</v>
      </c>
      <c r="E86" s="19">
        <v>12721</v>
      </c>
      <c r="F86" s="19">
        <v>5261.1770544687542</v>
      </c>
      <c r="G86" s="10">
        <v>2.7E-2</v>
      </c>
      <c r="J86" s="17">
        <v>23047.830912090347</v>
      </c>
      <c r="M86" s="15">
        <v>97.1</v>
      </c>
      <c r="O86" s="15">
        <v>111.4</v>
      </c>
    </row>
    <row r="87" spans="1:15" x14ac:dyDescent="0.3">
      <c r="A87" s="11">
        <v>37288</v>
      </c>
      <c r="B87" s="10">
        <v>0.18969999999999998</v>
      </c>
      <c r="C87" s="10">
        <v>7.51E-2</v>
      </c>
      <c r="D87" s="16">
        <v>2.4192</v>
      </c>
      <c r="E87" s="19">
        <v>14033</v>
      </c>
      <c r="F87" s="19">
        <v>5977.0849305733027</v>
      </c>
      <c r="G87" s="10">
        <v>2.81E-2</v>
      </c>
      <c r="J87" s="17">
        <v>22910.464003060351</v>
      </c>
      <c r="M87" s="15">
        <v>98</v>
      </c>
      <c r="O87" s="15">
        <v>94.4</v>
      </c>
    </row>
    <row r="88" spans="1:15" x14ac:dyDescent="0.3">
      <c r="A88" s="11">
        <v>37316</v>
      </c>
      <c r="B88" s="10">
        <v>0.18719999999999998</v>
      </c>
      <c r="C88" s="10">
        <v>7.7499999999999999E-2</v>
      </c>
      <c r="D88" s="16">
        <v>2.3462000000000001</v>
      </c>
      <c r="E88" s="19">
        <v>13254</v>
      </c>
      <c r="F88" s="19">
        <v>5705.0619834710742</v>
      </c>
      <c r="G88" s="10">
        <v>2.6499999999999996E-2</v>
      </c>
      <c r="J88" s="17">
        <v>23208.847890245332</v>
      </c>
      <c r="M88" s="15">
        <v>98.8</v>
      </c>
      <c r="O88" s="15">
        <v>103</v>
      </c>
    </row>
    <row r="89" spans="1:15" x14ac:dyDescent="0.3">
      <c r="A89" s="11">
        <v>37347</v>
      </c>
      <c r="B89" s="10">
        <v>0.18379999999999999</v>
      </c>
      <c r="C89" s="10">
        <v>7.980000000000001E-2</v>
      </c>
      <c r="D89" s="16">
        <v>2.3199999999999998</v>
      </c>
      <c r="E89" s="19">
        <v>13085</v>
      </c>
      <c r="F89" s="19">
        <v>5539.5622539265914</v>
      </c>
      <c r="G89" s="10">
        <v>2.5900000000000003E-2</v>
      </c>
      <c r="J89" s="17">
        <v>23143.767103653841</v>
      </c>
      <c r="M89" s="15">
        <v>99.8</v>
      </c>
      <c r="O89" s="15">
        <v>95</v>
      </c>
    </row>
    <row r="90" spans="1:15" x14ac:dyDescent="0.3">
      <c r="A90" s="11">
        <v>37377</v>
      </c>
      <c r="B90" s="10">
        <v>0.1837</v>
      </c>
      <c r="C90" s="10">
        <v>7.7699999999999991E-2</v>
      </c>
      <c r="D90" s="16">
        <v>2.48</v>
      </c>
      <c r="E90" s="19">
        <v>12861</v>
      </c>
      <c r="F90" s="19">
        <v>5100.3331218274116</v>
      </c>
      <c r="G90" s="10">
        <v>2.47E-2</v>
      </c>
      <c r="J90" s="17">
        <v>22533.333289708418</v>
      </c>
      <c r="M90" s="15">
        <v>99.4</v>
      </c>
      <c r="O90" s="15">
        <v>104.5</v>
      </c>
    </row>
    <row r="91" spans="1:15" x14ac:dyDescent="0.3">
      <c r="A91" s="11">
        <v>37408</v>
      </c>
      <c r="B91" s="10">
        <v>0.18100000000000002</v>
      </c>
      <c r="C91" s="10">
        <v>7.6600000000000001E-2</v>
      </c>
      <c r="D91" s="16">
        <v>2.7136</v>
      </c>
      <c r="E91" s="19">
        <v>11139</v>
      </c>
      <c r="F91" s="19">
        <v>3916.666666666667</v>
      </c>
      <c r="G91" s="10">
        <v>2.46E-2</v>
      </c>
      <c r="J91" s="17">
        <v>22970.129572339665</v>
      </c>
      <c r="M91" s="15">
        <v>98.8</v>
      </c>
      <c r="O91" s="15">
        <v>103.8</v>
      </c>
    </row>
    <row r="92" spans="1:15" x14ac:dyDescent="0.3">
      <c r="A92" s="11">
        <v>37438</v>
      </c>
      <c r="B92" s="10">
        <v>0.18170000000000003</v>
      </c>
      <c r="C92" s="10">
        <v>7.51E-2</v>
      </c>
      <c r="D92" s="16">
        <v>2.9342000000000001</v>
      </c>
      <c r="E92" s="19">
        <v>9762</v>
      </c>
      <c r="F92" s="19">
        <v>2847.6415507132228</v>
      </c>
      <c r="G92" s="10">
        <v>2.46E-2</v>
      </c>
      <c r="J92" s="17">
        <v>21406.434073075608</v>
      </c>
      <c r="M92" s="15">
        <v>98.6</v>
      </c>
      <c r="O92" s="15">
        <v>107.8</v>
      </c>
    </row>
    <row r="93" spans="1:15" x14ac:dyDescent="0.3">
      <c r="A93" s="11">
        <v>37469</v>
      </c>
      <c r="B93" s="10">
        <v>0.1784</v>
      </c>
      <c r="C93" s="10">
        <v>7.46E-2</v>
      </c>
      <c r="D93" s="16">
        <v>3.1097000000000001</v>
      </c>
      <c r="E93" s="19">
        <v>10382</v>
      </c>
      <c r="F93" s="19">
        <v>3435.5868824249642</v>
      </c>
      <c r="G93" s="10">
        <v>2.3599999999999999E-2</v>
      </c>
      <c r="J93" s="17">
        <v>20881.306371075607</v>
      </c>
      <c r="M93" s="15">
        <v>98.5</v>
      </c>
      <c r="O93" s="15">
        <v>126.3</v>
      </c>
    </row>
    <row r="94" spans="1:15" x14ac:dyDescent="0.3">
      <c r="A94" s="11">
        <v>37500</v>
      </c>
      <c r="B94" s="10">
        <v>0.1789</v>
      </c>
      <c r="C94" s="10">
        <v>7.9299999999999995E-2</v>
      </c>
      <c r="D94" s="16">
        <v>3.3416000000000001</v>
      </c>
      <c r="E94" s="19">
        <v>8622</v>
      </c>
      <c r="F94" s="19">
        <v>2213.8913852869432</v>
      </c>
      <c r="G94" s="10">
        <v>2.64E-2</v>
      </c>
      <c r="J94" s="17">
        <v>20630.732824206145</v>
      </c>
      <c r="M94" s="15">
        <v>98.3</v>
      </c>
      <c r="O94" s="15">
        <v>118.3</v>
      </c>
    </row>
    <row r="95" spans="1:15" x14ac:dyDescent="0.3">
      <c r="A95" s="11">
        <v>37530</v>
      </c>
      <c r="B95" s="10">
        <v>0.19589999999999999</v>
      </c>
      <c r="C95" s="10">
        <v>8.4499999999999992E-2</v>
      </c>
      <c r="D95" s="16">
        <v>3.8054999999999999</v>
      </c>
      <c r="E95" s="19">
        <v>10167</v>
      </c>
      <c r="F95" s="19">
        <v>2789.6065411842178</v>
      </c>
      <c r="G95" s="10">
        <v>2.8500000000000004E-2</v>
      </c>
      <c r="J95" s="17">
        <v>20539.107644748467</v>
      </c>
      <c r="M95" s="15">
        <v>99</v>
      </c>
      <c r="O95" s="15">
        <v>132.1</v>
      </c>
    </row>
    <row r="96" spans="1:15" x14ac:dyDescent="0.3">
      <c r="A96" s="11">
        <v>37561</v>
      </c>
      <c r="B96" s="10">
        <v>0.21249999999999999</v>
      </c>
      <c r="C96" s="10">
        <v>0.10929999999999999</v>
      </c>
      <c r="D96" s="16">
        <v>3.5760000000000001</v>
      </c>
      <c r="E96" s="19">
        <v>10508</v>
      </c>
      <c r="F96" s="19">
        <v>2889.9095184400871</v>
      </c>
      <c r="G96" s="10">
        <v>2.8999999999999998E-2</v>
      </c>
      <c r="J96" s="17">
        <v>19508.810644774887</v>
      </c>
      <c r="M96" s="15">
        <v>98.7</v>
      </c>
      <c r="O96" s="15">
        <v>127.7</v>
      </c>
    </row>
    <row r="97" spans="1:15" x14ac:dyDescent="0.3">
      <c r="A97" s="11">
        <v>37591</v>
      </c>
      <c r="B97" s="10">
        <v>0.2303</v>
      </c>
      <c r="C97" s="10">
        <v>0.12529999999999999</v>
      </c>
      <c r="D97" s="16">
        <v>3.6255000000000002</v>
      </c>
      <c r="E97" s="19">
        <v>11268</v>
      </c>
      <c r="F97" s="19">
        <v>3189.4477624614337</v>
      </c>
      <c r="G97" s="10">
        <v>2.8500000000000001E-2</v>
      </c>
      <c r="J97" s="17">
        <v>16586.600193114038</v>
      </c>
      <c r="M97" s="15">
        <v>98.6</v>
      </c>
      <c r="O97" s="15">
        <v>125</v>
      </c>
    </row>
    <row r="98" spans="1:15" x14ac:dyDescent="0.3">
      <c r="A98" s="11">
        <v>37622</v>
      </c>
      <c r="B98" s="10">
        <v>0.25059999999999999</v>
      </c>
      <c r="C98" s="10">
        <v>0.1447</v>
      </c>
      <c r="D98" s="16">
        <v>3.4380000000000002</v>
      </c>
      <c r="E98" s="19">
        <v>10941</v>
      </c>
      <c r="F98" s="19">
        <v>3103.4776195609011</v>
      </c>
      <c r="G98" s="10">
        <v>2.9000000000000001E-2</v>
      </c>
      <c r="J98" s="17">
        <v>16016.636770574203</v>
      </c>
      <c r="M98" s="15">
        <v>97.8</v>
      </c>
      <c r="O98" s="15">
        <v>118.4</v>
      </c>
    </row>
    <row r="99" spans="1:15" x14ac:dyDescent="0.3">
      <c r="A99" s="11">
        <v>37653</v>
      </c>
      <c r="B99" s="10">
        <v>0.25679999999999997</v>
      </c>
      <c r="C99" s="10">
        <v>0.1585</v>
      </c>
      <c r="D99" s="16">
        <v>3.5903999999999998</v>
      </c>
      <c r="E99" s="19">
        <v>10280</v>
      </c>
      <c r="F99" s="19">
        <v>2885.3710564724374</v>
      </c>
      <c r="G99" s="10">
        <v>3.0200000000000005E-2</v>
      </c>
      <c r="J99" s="17">
        <v>15948.00402136485</v>
      </c>
      <c r="M99" s="15">
        <v>97</v>
      </c>
      <c r="O99" s="15">
        <v>112.4</v>
      </c>
    </row>
    <row r="100" spans="1:15" x14ac:dyDescent="0.3">
      <c r="A100" s="11">
        <v>37681</v>
      </c>
      <c r="B100" s="10">
        <v>0.26319999999999999</v>
      </c>
      <c r="C100" s="10">
        <v>0.16570000000000001</v>
      </c>
      <c r="D100" s="16">
        <v>3.4464999999999999</v>
      </c>
      <c r="E100" s="19">
        <v>11273</v>
      </c>
      <c r="F100" s="19">
        <v>3362.3646613177439</v>
      </c>
      <c r="G100" s="10">
        <v>3.0599999999999999E-2</v>
      </c>
      <c r="J100" s="17">
        <v>13844.445819562337</v>
      </c>
      <c r="M100" s="15">
        <v>95.5</v>
      </c>
      <c r="O100" s="15">
        <v>108.8</v>
      </c>
    </row>
    <row r="101" spans="1:15" x14ac:dyDescent="0.3">
      <c r="A101" s="11">
        <v>37712</v>
      </c>
      <c r="B101" s="10">
        <v>0.26319999999999999</v>
      </c>
      <c r="C101" s="10">
        <v>0.16769999999999999</v>
      </c>
      <c r="D101" s="16">
        <v>3.1183000000000001</v>
      </c>
      <c r="E101" s="19">
        <v>12556</v>
      </c>
      <c r="F101" s="19">
        <v>4345.5388662005953</v>
      </c>
      <c r="G101" s="10">
        <v>3.3099999999999997E-2</v>
      </c>
      <c r="J101" s="17">
        <v>12677.502457155148</v>
      </c>
      <c r="M101" s="15">
        <v>94.3</v>
      </c>
      <c r="O101" s="15">
        <v>98.9</v>
      </c>
    </row>
    <row r="102" spans="1:15" x14ac:dyDescent="0.3">
      <c r="A102" s="11">
        <v>37742</v>
      </c>
      <c r="B102" s="10">
        <v>0.2631</v>
      </c>
      <c r="C102" s="10">
        <v>0.1724</v>
      </c>
      <c r="D102" s="16">
        <v>2.9553000000000003</v>
      </c>
      <c r="E102" s="19">
        <v>13421</v>
      </c>
      <c r="F102" s="19">
        <v>4526.170241467692</v>
      </c>
      <c r="G102" s="10">
        <v>3.4000000000000002E-2</v>
      </c>
      <c r="J102" s="17">
        <v>11789.160311251264</v>
      </c>
      <c r="M102" s="15">
        <v>91.7</v>
      </c>
      <c r="O102" s="15">
        <v>113.6</v>
      </c>
    </row>
    <row r="103" spans="1:15" x14ac:dyDescent="0.3">
      <c r="A103" s="11">
        <v>37773</v>
      </c>
      <c r="B103" s="10">
        <v>0.26090000000000002</v>
      </c>
      <c r="C103" s="10">
        <v>0.16570000000000001</v>
      </c>
      <c r="D103" s="16">
        <v>2.8828</v>
      </c>
      <c r="E103" s="19">
        <v>12972</v>
      </c>
      <c r="F103" s="19">
        <v>4517.3422482239866</v>
      </c>
      <c r="G103" s="10">
        <v>3.32E-2</v>
      </c>
      <c r="J103" s="17">
        <v>10444.537147243544</v>
      </c>
      <c r="M103" s="15">
        <v>88.9</v>
      </c>
      <c r="O103" s="15">
        <v>103.6</v>
      </c>
    </row>
    <row r="104" spans="1:15" x14ac:dyDescent="0.3">
      <c r="A104" s="11">
        <v>37803</v>
      </c>
      <c r="B104" s="10">
        <v>0.25359999999999999</v>
      </c>
      <c r="C104" s="10">
        <v>0.15429999999999999</v>
      </c>
      <c r="D104" s="16">
        <v>2.8794</v>
      </c>
      <c r="E104" s="19">
        <v>13571</v>
      </c>
      <c r="F104" s="19">
        <v>4576.9114026508378</v>
      </c>
      <c r="G104" s="10">
        <v>3.32E-2</v>
      </c>
      <c r="J104" s="17">
        <v>10753.783837114133</v>
      </c>
      <c r="M104" s="15">
        <v>86.1</v>
      </c>
      <c r="O104" s="15">
        <v>111.4</v>
      </c>
    </row>
    <row r="105" spans="1:15" x14ac:dyDescent="0.3">
      <c r="A105" s="11">
        <v>37834</v>
      </c>
      <c r="B105" s="10">
        <v>0.23499999999999999</v>
      </c>
      <c r="C105" s="10">
        <v>0.1507</v>
      </c>
      <c r="D105" s="16">
        <v>3.0021</v>
      </c>
      <c r="E105" s="19">
        <v>15174</v>
      </c>
      <c r="F105" s="19">
        <v>5115.8086376049359</v>
      </c>
      <c r="G105" s="10">
        <v>3.3799999999999997E-2</v>
      </c>
      <c r="J105" s="17">
        <v>10843.77680912918</v>
      </c>
      <c r="M105" s="15">
        <v>92.2</v>
      </c>
      <c r="O105" s="15">
        <v>105.9</v>
      </c>
    </row>
    <row r="106" spans="1:15" x14ac:dyDescent="0.3">
      <c r="A106" s="11">
        <v>37865</v>
      </c>
      <c r="B106" s="10">
        <v>0.2102</v>
      </c>
      <c r="C106" s="10">
        <v>0.15140000000000001</v>
      </c>
      <c r="D106" s="16">
        <v>2.9224000000000001</v>
      </c>
      <c r="E106" s="19">
        <v>16010</v>
      </c>
      <c r="F106" s="19">
        <v>5477.2494013000342</v>
      </c>
      <c r="G106" s="10">
        <v>3.2300000000000002E-2</v>
      </c>
      <c r="J106" s="17">
        <v>10344.327498803026</v>
      </c>
      <c r="M106" s="15">
        <v>98.3</v>
      </c>
      <c r="O106" s="15">
        <v>94.5</v>
      </c>
    </row>
    <row r="107" spans="1:15" x14ac:dyDescent="0.3">
      <c r="A107" s="11">
        <v>37895</v>
      </c>
      <c r="B107" s="10">
        <v>0.19539999999999999</v>
      </c>
      <c r="C107" s="10">
        <v>0.13980000000000001</v>
      </c>
      <c r="D107" s="16">
        <v>2.8611</v>
      </c>
      <c r="E107" s="19">
        <v>17982</v>
      </c>
      <c r="F107" s="19">
        <v>6296.6594299320686</v>
      </c>
      <c r="G107" s="10">
        <v>3.1899999999999998E-2</v>
      </c>
      <c r="J107" s="17">
        <v>9413.1856303153472</v>
      </c>
      <c r="M107" s="15">
        <v>105.4</v>
      </c>
      <c r="O107" s="15">
        <v>98.6</v>
      </c>
    </row>
    <row r="108" spans="1:15" x14ac:dyDescent="0.3">
      <c r="A108" s="11">
        <v>37926</v>
      </c>
      <c r="B108" s="10">
        <v>0.18309999999999998</v>
      </c>
      <c r="C108" s="10">
        <v>0.11019999999999999</v>
      </c>
      <c r="D108" s="16">
        <v>2.9134000000000002</v>
      </c>
      <c r="E108" s="19">
        <v>20183</v>
      </c>
      <c r="F108" s="19">
        <v>6844.0149203119709</v>
      </c>
      <c r="G108" s="10">
        <v>3.2300000000000002E-2</v>
      </c>
      <c r="J108" s="17">
        <v>10216.989091701493</v>
      </c>
      <c r="M108" s="15">
        <v>104.7</v>
      </c>
      <c r="O108" s="15">
        <v>96.9</v>
      </c>
    </row>
    <row r="109" spans="1:15" x14ac:dyDescent="0.3">
      <c r="A109" s="11">
        <v>37956</v>
      </c>
      <c r="B109" s="10">
        <v>0.1691</v>
      </c>
      <c r="C109" s="10">
        <v>9.3000000000000013E-2</v>
      </c>
      <c r="D109" s="16">
        <v>2.9249000000000001</v>
      </c>
      <c r="E109" s="19">
        <v>22236</v>
      </c>
      <c r="F109" s="19">
        <v>7697.3137635004159</v>
      </c>
      <c r="G109" s="10">
        <v>3.0599999999999999E-2</v>
      </c>
      <c r="J109" s="17">
        <v>10123.013670990096</v>
      </c>
      <c r="M109" s="15">
        <v>104.3</v>
      </c>
      <c r="O109" s="15">
        <v>92.8</v>
      </c>
    </row>
    <row r="110" spans="1:15" x14ac:dyDescent="0.3">
      <c r="A110" s="11">
        <v>37987</v>
      </c>
      <c r="B110" s="10">
        <v>0.16320000000000001</v>
      </c>
      <c r="C110" s="10">
        <v>7.7100000000000002E-2</v>
      </c>
      <c r="D110" s="16">
        <v>2.8513999999999999</v>
      </c>
      <c r="E110" s="19">
        <v>21851</v>
      </c>
      <c r="F110" s="19">
        <v>7431.0491413024993</v>
      </c>
      <c r="G110" s="10">
        <v>3.0199999999999998E-2</v>
      </c>
      <c r="J110" s="17">
        <v>10237.34297920013</v>
      </c>
      <c r="M110" s="15">
        <v>103.2</v>
      </c>
      <c r="O110" s="15">
        <v>94.5</v>
      </c>
    </row>
    <row r="111" spans="1:15" x14ac:dyDescent="0.3">
      <c r="A111" s="11">
        <v>38018</v>
      </c>
      <c r="B111" s="10">
        <v>0.16300000000000001</v>
      </c>
      <c r="C111" s="10">
        <v>6.6900000000000001E-2</v>
      </c>
      <c r="D111" s="16">
        <v>2.9298999999999999</v>
      </c>
      <c r="E111" s="19">
        <v>21755</v>
      </c>
      <c r="F111" s="19">
        <v>7467.2204297384496</v>
      </c>
      <c r="G111" s="10">
        <v>3.0199999999999998E-2</v>
      </c>
      <c r="J111" s="17">
        <v>10464.319171026522</v>
      </c>
      <c r="M111" s="15">
        <v>104.2</v>
      </c>
      <c r="O111" s="15">
        <v>90</v>
      </c>
    </row>
    <row r="112" spans="1:15" x14ac:dyDescent="0.3">
      <c r="A112" s="11">
        <v>38047</v>
      </c>
      <c r="B112" s="10">
        <v>0.16190000000000002</v>
      </c>
      <c r="C112" s="10">
        <v>5.8899999999999994E-2</v>
      </c>
      <c r="D112" s="16">
        <v>2.9051</v>
      </c>
      <c r="E112" s="19">
        <v>22142</v>
      </c>
      <c r="F112" s="19">
        <v>7613.6441785296747</v>
      </c>
      <c r="G112" s="10">
        <v>3.1599999999999996E-2</v>
      </c>
      <c r="J112" s="17">
        <v>10879.00681613585</v>
      </c>
      <c r="M112" s="15">
        <v>105</v>
      </c>
      <c r="O112" s="15">
        <v>98.2</v>
      </c>
    </row>
    <row r="113" spans="1:15" x14ac:dyDescent="0.3">
      <c r="A113" s="11">
        <v>38078</v>
      </c>
      <c r="B113" s="10">
        <v>0.15960000000000002</v>
      </c>
      <c r="C113" s="10">
        <v>5.2600000000000001E-2</v>
      </c>
      <c r="D113" s="16">
        <v>2.9055999999999997</v>
      </c>
      <c r="E113" s="19">
        <v>19607</v>
      </c>
      <c r="F113" s="19">
        <v>6659.3078151003629</v>
      </c>
      <c r="G113" s="10">
        <v>3.0100000000000002E-2</v>
      </c>
      <c r="J113" s="17">
        <v>10458.964520282554</v>
      </c>
      <c r="L113" s="15">
        <v>0</v>
      </c>
      <c r="M113" s="15">
        <v>105.4</v>
      </c>
      <c r="O113" s="15">
        <v>101.9</v>
      </c>
    </row>
    <row r="114" spans="1:15" x14ac:dyDescent="0.3">
      <c r="A114" s="11">
        <v>38108</v>
      </c>
      <c r="B114" s="10">
        <v>0.15770000000000001</v>
      </c>
      <c r="C114" s="10">
        <v>5.1500000000000004E-2</v>
      </c>
      <c r="D114" s="16">
        <v>3.1</v>
      </c>
      <c r="E114" s="19">
        <v>19544</v>
      </c>
      <c r="F114" s="19">
        <v>6246.6839262313415</v>
      </c>
      <c r="G114" s="10">
        <v>3.0499999999999999E-2</v>
      </c>
      <c r="J114" s="17">
        <v>10126.900758622995</v>
      </c>
      <c r="L114" s="15">
        <v>1</v>
      </c>
      <c r="M114" s="15">
        <v>109.6</v>
      </c>
      <c r="O114" s="15">
        <v>94.7</v>
      </c>
    </row>
    <row r="115" spans="1:15" x14ac:dyDescent="0.3">
      <c r="A115" s="11">
        <v>38139</v>
      </c>
      <c r="B115" s="10">
        <v>0.158</v>
      </c>
      <c r="C115" s="10">
        <v>6.0599999999999994E-2</v>
      </c>
      <c r="D115" s="16">
        <v>3.1287000000000003</v>
      </c>
      <c r="E115" s="19">
        <v>21148</v>
      </c>
      <c r="F115" s="19">
        <v>6806.3467542081044</v>
      </c>
      <c r="G115" s="10">
        <v>3.2799999999999996E-2</v>
      </c>
      <c r="J115" s="17">
        <v>10667.587155701531</v>
      </c>
      <c r="L115" s="15">
        <v>2</v>
      </c>
      <c r="M115" s="15">
        <v>113.1</v>
      </c>
      <c r="O115" s="15">
        <v>93.6</v>
      </c>
    </row>
    <row r="116" spans="1:15" x14ac:dyDescent="0.3">
      <c r="A116" s="11">
        <v>38169</v>
      </c>
      <c r="B116" s="10">
        <v>0.15770000000000001</v>
      </c>
      <c r="C116" s="10">
        <v>6.8099999999999994E-2</v>
      </c>
      <c r="D116" s="16">
        <v>3.0364</v>
      </c>
      <c r="E116" s="19">
        <v>22336</v>
      </c>
      <c r="F116" s="19">
        <v>7380.3859370869686</v>
      </c>
      <c r="G116" s="10">
        <v>3.3500000000000002E-2</v>
      </c>
      <c r="J116" s="17">
        <v>11017.73576450887</v>
      </c>
      <c r="L116" s="15">
        <v>0</v>
      </c>
      <c r="M116" s="15">
        <v>117.3</v>
      </c>
      <c r="O116" s="15">
        <v>94.6</v>
      </c>
    </row>
    <row r="117" spans="1:15" x14ac:dyDescent="0.3">
      <c r="A117" s="11">
        <v>38200</v>
      </c>
      <c r="B117" s="10">
        <v>0.15859999999999999</v>
      </c>
      <c r="C117" s="10">
        <v>7.1800000000000003E-2</v>
      </c>
      <c r="D117" s="16">
        <v>3.0024999999999999</v>
      </c>
      <c r="E117" s="19">
        <v>22803</v>
      </c>
      <c r="F117" s="19">
        <v>7773.5733278789121</v>
      </c>
      <c r="G117" s="10">
        <v>3.4000000000000002E-2</v>
      </c>
      <c r="J117" s="17">
        <v>16133.799379676617</v>
      </c>
      <c r="L117" s="15">
        <v>0</v>
      </c>
      <c r="M117" s="15">
        <v>116.1</v>
      </c>
      <c r="O117" s="15">
        <v>91.8</v>
      </c>
    </row>
    <row r="118" spans="1:15" x14ac:dyDescent="0.3">
      <c r="A118" s="11">
        <v>38231</v>
      </c>
      <c r="B118" s="10">
        <v>0.16089999999999999</v>
      </c>
      <c r="C118" s="10">
        <v>6.7000000000000004E-2</v>
      </c>
      <c r="D118" s="16">
        <v>2.8906999999999998</v>
      </c>
      <c r="E118" s="19">
        <v>23245</v>
      </c>
      <c r="F118" s="19">
        <v>8132.7408858722274</v>
      </c>
      <c r="G118" s="10">
        <v>3.4099999999999998E-2</v>
      </c>
      <c r="J118" s="17">
        <v>16046.007030420631</v>
      </c>
      <c r="L118" s="15">
        <v>1</v>
      </c>
      <c r="M118" s="15">
        <v>115.3</v>
      </c>
      <c r="O118" s="15">
        <v>93.6</v>
      </c>
    </row>
    <row r="119" spans="1:15" x14ac:dyDescent="0.3">
      <c r="A119" s="11">
        <v>38261</v>
      </c>
      <c r="B119" s="10">
        <v>0.1641</v>
      </c>
      <c r="C119" s="10">
        <v>6.8600000000000008E-2</v>
      </c>
      <c r="D119" s="16">
        <v>2.8525</v>
      </c>
      <c r="E119" s="19">
        <v>23052</v>
      </c>
      <c r="F119" s="19">
        <v>8071.1459682784216</v>
      </c>
      <c r="G119" s="10">
        <v>3.4200000000000001E-2</v>
      </c>
      <c r="J119" s="17">
        <v>17041.674448677997</v>
      </c>
      <c r="L119" s="15">
        <v>1</v>
      </c>
      <c r="M119" s="15">
        <v>114.8</v>
      </c>
      <c r="O119" s="15">
        <v>89.5</v>
      </c>
    </row>
    <row r="120" spans="1:15" x14ac:dyDescent="0.3">
      <c r="A120" s="11">
        <v>38292</v>
      </c>
      <c r="B120" s="10">
        <v>0.1696</v>
      </c>
      <c r="C120" s="10">
        <v>7.2400000000000006E-2</v>
      </c>
      <c r="D120" s="16">
        <v>2.7856000000000001</v>
      </c>
      <c r="E120" s="19">
        <v>25128</v>
      </c>
      <c r="F120" s="19">
        <v>9203.3842434897251</v>
      </c>
      <c r="G120" s="10">
        <v>3.3700000000000001E-2</v>
      </c>
      <c r="J120" s="17">
        <v>16415.95583919196</v>
      </c>
      <c r="L120" s="15">
        <v>2</v>
      </c>
      <c r="M120" s="15">
        <v>113.7</v>
      </c>
      <c r="O120" s="15">
        <v>91.9</v>
      </c>
    </row>
    <row r="121" spans="1:15" x14ac:dyDescent="0.3">
      <c r="A121" s="11">
        <v>38322</v>
      </c>
      <c r="B121" s="10">
        <v>0.17499999999999999</v>
      </c>
      <c r="C121" s="10">
        <v>7.5999999999999998E-2</v>
      </c>
      <c r="D121" s="16">
        <v>2.7178</v>
      </c>
      <c r="E121" s="19">
        <v>26196</v>
      </c>
      <c r="F121" s="19">
        <v>9870.3843255463453</v>
      </c>
      <c r="G121" s="10">
        <v>3.5700000000000003E-2</v>
      </c>
      <c r="J121" s="17">
        <v>18161.380459753353</v>
      </c>
      <c r="L121" s="15">
        <v>0</v>
      </c>
      <c r="M121" s="15">
        <v>111.8</v>
      </c>
      <c r="O121" s="15">
        <v>89.8</v>
      </c>
    </row>
    <row r="122" spans="1:15" x14ac:dyDescent="0.3">
      <c r="A122" s="11">
        <v>38353</v>
      </c>
      <c r="B122" s="10">
        <v>0.17929999999999999</v>
      </c>
      <c r="C122" s="10">
        <v>7.4099999999999999E-2</v>
      </c>
      <c r="D122" s="16">
        <v>2.6926000000000001</v>
      </c>
      <c r="E122" s="19">
        <v>24350</v>
      </c>
      <c r="F122" s="19">
        <v>9278.3112330437434</v>
      </c>
      <c r="G122" s="10">
        <v>3.6799999999999999E-2</v>
      </c>
      <c r="J122" s="17">
        <v>18343.720512446678</v>
      </c>
      <c r="K122" s="33">
        <v>0.1384</v>
      </c>
      <c r="L122" s="15">
        <v>0</v>
      </c>
      <c r="M122" s="15">
        <v>109.2</v>
      </c>
      <c r="O122" s="15">
        <v>93.1</v>
      </c>
    </row>
    <row r="123" spans="1:15" x14ac:dyDescent="0.3">
      <c r="A123" s="11">
        <v>38384</v>
      </c>
      <c r="B123" s="10">
        <v>0.18469999999999998</v>
      </c>
      <c r="C123" s="10">
        <v>7.3899999999999993E-2</v>
      </c>
      <c r="D123" s="16">
        <v>2.5973999999999999</v>
      </c>
      <c r="E123" s="19">
        <v>28139</v>
      </c>
      <c r="F123" s="19">
        <v>10845.216989131273</v>
      </c>
      <c r="G123" s="10">
        <v>3.5500000000000004E-2</v>
      </c>
      <c r="J123" s="17">
        <v>18171.125751069638</v>
      </c>
      <c r="K123" s="33">
        <v>0.1419</v>
      </c>
      <c r="L123" s="15">
        <v>1</v>
      </c>
      <c r="M123" s="15">
        <v>106.8</v>
      </c>
      <c r="O123" s="15">
        <v>90.8</v>
      </c>
    </row>
    <row r="124" spans="1:15" x14ac:dyDescent="0.3">
      <c r="A124" s="11">
        <v>38412</v>
      </c>
      <c r="B124" s="10">
        <v>0.18969999999999998</v>
      </c>
      <c r="C124" s="10">
        <v>7.5399999999999995E-2</v>
      </c>
      <c r="D124" s="16">
        <v>2.7042999999999999</v>
      </c>
      <c r="E124" s="19">
        <v>26610</v>
      </c>
      <c r="F124" s="19">
        <v>9981.9941480981324</v>
      </c>
      <c r="G124" s="10">
        <v>3.6000000000000004E-2</v>
      </c>
      <c r="J124" s="17">
        <v>18880.085337667842</v>
      </c>
      <c r="K124" s="33">
        <v>0.14560000000000001</v>
      </c>
      <c r="L124" s="15">
        <v>1</v>
      </c>
      <c r="M124" s="15">
        <v>104.3</v>
      </c>
      <c r="O124" s="15">
        <v>91.4</v>
      </c>
    </row>
    <row r="125" spans="1:15" x14ac:dyDescent="0.3">
      <c r="A125" s="11">
        <v>38443</v>
      </c>
      <c r="B125" s="10">
        <v>0.19320000000000001</v>
      </c>
      <c r="C125" s="10">
        <v>8.0700000000000008E-2</v>
      </c>
      <c r="D125" s="16">
        <v>2.5788000000000002</v>
      </c>
      <c r="E125" s="19">
        <v>24843</v>
      </c>
      <c r="F125" s="19">
        <v>9815.8757754158596</v>
      </c>
      <c r="G125" s="10">
        <v>3.8899999999999997E-2</v>
      </c>
      <c r="J125" s="17">
        <v>21540.10263221863</v>
      </c>
      <c r="K125" s="33">
        <v>0.14960000000000001</v>
      </c>
      <c r="L125" s="15">
        <v>0</v>
      </c>
      <c r="M125" s="15">
        <v>101.8</v>
      </c>
      <c r="O125" s="15">
        <v>98.3</v>
      </c>
    </row>
    <row r="126" spans="1:15" x14ac:dyDescent="0.3">
      <c r="A126" s="11">
        <v>38473</v>
      </c>
      <c r="B126" s="10">
        <v>0.1961</v>
      </c>
      <c r="C126" s="10">
        <v>8.0500000000000002E-2</v>
      </c>
      <c r="D126" s="16">
        <v>2.4523999999999999</v>
      </c>
      <c r="E126" s="19">
        <v>25207</v>
      </c>
      <c r="F126" s="19">
        <v>10488.05858367313</v>
      </c>
      <c r="G126" s="10">
        <v>3.78E-2</v>
      </c>
      <c r="J126" s="17">
        <v>22114.089059453414</v>
      </c>
      <c r="K126" s="33">
        <v>0.1532</v>
      </c>
      <c r="L126" s="15">
        <v>1</v>
      </c>
      <c r="M126" s="15">
        <v>101.1</v>
      </c>
      <c r="O126" s="15">
        <v>99.6</v>
      </c>
    </row>
    <row r="127" spans="1:15" x14ac:dyDescent="0.3">
      <c r="A127" s="11">
        <v>38504</v>
      </c>
      <c r="B127" s="10">
        <v>0.19750000000000001</v>
      </c>
      <c r="C127" s="10">
        <v>7.2700000000000001E-2</v>
      </c>
      <c r="D127" s="16">
        <v>2.4131</v>
      </c>
      <c r="E127" s="19">
        <v>25051</v>
      </c>
      <c r="F127" s="19">
        <v>10660</v>
      </c>
      <c r="G127" s="10">
        <v>3.7900000000000003E-2</v>
      </c>
      <c r="J127" s="17">
        <v>22755.316660625907</v>
      </c>
      <c r="K127" s="33">
        <v>0.15479999999999999</v>
      </c>
      <c r="L127" s="15">
        <v>1</v>
      </c>
      <c r="M127" s="15">
        <v>99.7</v>
      </c>
      <c r="O127" s="15">
        <v>100.4</v>
      </c>
    </row>
    <row r="128" spans="1:15" x14ac:dyDescent="0.3">
      <c r="A128" s="11">
        <v>38534</v>
      </c>
      <c r="B128" s="10">
        <v>0.19719999999999999</v>
      </c>
      <c r="C128" s="10">
        <v>6.5700000000000008E-2</v>
      </c>
      <c r="D128" s="16">
        <v>2.3731</v>
      </c>
      <c r="E128" s="19">
        <v>26042</v>
      </c>
      <c r="F128" s="19">
        <v>10895.778419312999</v>
      </c>
      <c r="G128" s="10">
        <v>3.8300000000000001E-2</v>
      </c>
      <c r="J128" s="17">
        <v>23217.370352176677</v>
      </c>
      <c r="K128" s="33">
        <v>0.15740000000000001</v>
      </c>
      <c r="L128" s="15">
        <v>2</v>
      </c>
      <c r="M128" s="15">
        <v>98.4</v>
      </c>
      <c r="O128" s="15">
        <v>99.8</v>
      </c>
    </row>
    <row r="129" spans="1:15" x14ac:dyDescent="0.3">
      <c r="A129" s="11">
        <v>38565</v>
      </c>
      <c r="B129" s="10">
        <v>0.19750000000000001</v>
      </c>
      <c r="C129" s="10">
        <v>6.0199999999999997E-2</v>
      </c>
      <c r="D129" s="16">
        <v>2.3601999999999999</v>
      </c>
      <c r="E129" s="19">
        <v>28045</v>
      </c>
      <c r="F129" s="19">
        <v>11866.8810561503</v>
      </c>
      <c r="G129" s="10">
        <v>3.8699999999999998E-2</v>
      </c>
      <c r="J129" s="17">
        <v>18198.343755913887</v>
      </c>
      <c r="K129" s="33">
        <v>0.16190000000000002</v>
      </c>
      <c r="L129" s="15">
        <v>0</v>
      </c>
      <c r="M129" s="15">
        <v>98.7</v>
      </c>
      <c r="O129" s="15">
        <v>99.3</v>
      </c>
    </row>
    <row r="130" spans="1:15" x14ac:dyDescent="0.3">
      <c r="A130" s="11">
        <v>38596</v>
      </c>
      <c r="B130" s="10">
        <v>0.1961</v>
      </c>
      <c r="C130" s="10">
        <v>6.0400000000000002E-2</v>
      </c>
      <c r="D130" s="16">
        <v>2.294</v>
      </c>
      <c r="E130" s="19">
        <v>31583</v>
      </c>
      <c r="F130" s="19">
        <v>14215.050859663335</v>
      </c>
      <c r="G130" s="10">
        <v>3.7699999999999997E-2</v>
      </c>
      <c r="J130" s="17">
        <v>17643.31605430389</v>
      </c>
      <c r="K130" s="33">
        <v>0.1643</v>
      </c>
      <c r="L130" s="15">
        <v>0</v>
      </c>
      <c r="M130" s="15">
        <v>98.8</v>
      </c>
      <c r="N130" s="15">
        <v>86.5</v>
      </c>
      <c r="O130" s="15">
        <v>95.4</v>
      </c>
    </row>
    <row r="131" spans="1:15" x14ac:dyDescent="0.3">
      <c r="A131" s="11">
        <v>38626</v>
      </c>
      <c r="B131" s="10">
        <v>0.1925</v>
      </c>
      <c r="C131" s="10">
        <v>6.3600000000000004E-2</v>
      </c>
      <c r="D131" s="16">
        <v>2.2561</v>
      </c>
      <c r="E131" s="19">
        <v>30193</v>
      </c>
      <c r="F131" s="19">
        <v>13395.891565730513</v>
      </c>
      <c r="G131" s="10">
        <v>3.7900000000000003E-2</v>
      </c>
      <c r="J131" s="17">
        <v>17172.542096923888</v>
      </c>
      <c r="K131" s="33">
        <v>0.1668</v>
      </c>
      <c r="L131" s="15">
        <v>1</v>
      </c>
      <c r="M131" s="15">
        <v>99.4</v>
      </c>
      <c r="N131" s="15">
        <v>88.6</v>
      </c>
      <c r="O131" s="15">
        <v>92.3</v>
      </c>
    </row>
    <row r="132" spans="1:15" x14ac:dyDescent="0.3">
      <c r="A132" s="11">
        <v>38657</v>
      </c>
      <c r="B132" s="10">
        <v>0.18870000000000001</v>
      </c>
      <c r="C132" s="10">
        <v>6.2199999999999998E-2</v>
      </c>
      <c r="D132" s="16">
        <v>2.2103999999999999</v>
      </c>
      <c r="E132" s="19">
        <v>31916</v>
      </c>
      <c r="F132" s="19">
        <v>14463.881084020666</v>
      </c>
      <c r="G132" s="10">
        <v>3.6900000000000002E-2</v>
      </c>
      <c r="J132" s="17">
        <v>17198.614781082859</v>
      </c>
      <c r="K132" s="33">
        <v>0.16920000000000002</v>
      </c>
      <c r="L132" s="15">
        <v>1</v>
      </c>
      <c r="M132" s="15">
        <v>96.7</v>
      </c>
      <c r="N132" s="15">
        <v>87.7</v>
      </c>
      <c r="O132" s="15">
        <v>97.4</v>
      </c>
    </row>
    <row r="133" spans="1:15" x14ac:dyDescent="0.3">
      <c r="A133" s="11">
        <v>38687</v>
      </c>
      <c r="B133" s="10">
        <v>0.18239999999999998</v>
      </c>
      <c r="C133" s="10">
        <v>5.6900000000000006E-2</v>
      </c>
      <c r="D133" s="16">
        <v>2.2850999999999999</v>
      </c>
      <c r="E133" s="19">
        <v>33455</v>
      </c>
      <c r="F133" s="19">
        <v>14295.175832158269</v>
      </c>
      <c r="G133" s="10">
        <v>3.5499999999999997E-2</v>
      </c>
      <c r="J133" s="17">
        <v>15459.981604119619</v>
      </c>
      <c r="K133" s="33">
        <v>0.16839999999999999</v>
      </c>
      <c r="L133" s="15">
        <v>1</v>
      </c>
      <c r="M133" s="15">
        <v>100</v>
      </c>
      <c r="N133" s="15">
        <v>88.5</v>
      </c>
      <c r="O133" s="15">
        <v>89.4</v>
      </c>
    </row>
    <row r="134" spans="1:15" x14ac:dyDescent="0.3">
      <c r="A134" s="11">
        <v>38718</v>
      </c>
      <c r="B134" s="10">
        <v>0.17649999999999999</v>
      </c>
      <c r="C134" s="10">
        <v>5.7000000000000002E-2</v>
      </c>
      <c r="D134" s="16">
        <v>2.2734999999999999</v>
      </c>
      <c r="E134" s="19">
        <v>38382</v>
      </c>
      <c r="F134" s="19">
        <v>17323.524101823434</v>
      </c>
      <c r="G134" s="10">
        <v>3.2500000000000001E-2</v>
      </c>
      <c r="J134" s="17">
        <v>15730.631873424883</v>
      </c>
      <c r="K134" s="33">
        <v>0.1714</v>
      </c>
      <c r="L134" s="15">
        <v>0</v>
      </c>
      <c r="M134" s="15">
        <v>100.3</v>
      </c>
      <c r="N134" s="15">
        <v>95.4</v>
      </c>
      <c r="O134" s="15">
        <v>93.4</v>
      </c>
    </row>
    <row r="135" spans="1:15" x14ac:dyDescent="0.3">
      <c r="A135" s="11">
        <v>38749</v>
      </c>
      <c r="B135" s="10">
        <v>0.17280000000000001</v>
      </c>
      <c r="C135" s="10">
        <v>5.5099999999999996E-2</v>
      </c>
      <c r="D135" s="16">
        <v>2.1615000000000002</v>
      </c>
      <c r="E135" s="19">
        <v>38610</v>
      </c>
      <c r="F135" s="19">
        <v>18083.462132921173</v>
      </c>
      <c r="G135" s="10">
        <v>3.2199999999999999E-2</v>
      </c>
      <c r="J135" s="17">
        <v>15782.235395004884</v>
      </c>
      <c r="K135" s="33">
        <v>0.1736</v>
      </c>
      <c r="L135" s="15">
        <v>3</v>
      </c>
      <c r="M135" s="15">
        <v>101.3</v>
      </c>
      <c r="N135" s="15">
        <v>95.2</v>
      </c>
      <c r="O135" s="15">
        <v>89</v>
      </c>
    </row>
    <row r="136" spans="1:15" x14ac:dyDescent="0.3">
      <c r="A136" s="11">
        <v>38777</v>
      </c>
      <c r="B136" s="10">
        <v>0.16739999999999999</v>
      </c>
      <c r="C136" s="10">
        <v>5.3200000000000004E-2</v>
      </c>
      <c r="D136" s="16">
        <v>2.1516000000000002</v>
      </c>
      <c r="E136" s="19">
        <v>37952</v>
      </c>
      <c r="F136" s="19">
        <v>17473.296500920809</v>
      </c>
      <c r="G136" s="10">
        <v>3.1399999999999997E-2</v>
      </c>
      <c r="J136" s="17">
        <v>16069.566624584353</v>
      </c>
      <c r="K136" s="33">
        <v>0.17660000000000001</v>
      </c>
      <c r="L136" s="15">
        <v>2</v>
      </c>
      <c r="M136" s="15">
        <v>102</v>
      </c>
      <c r="N136" s="15">
        <v>94.2</v>
      </c>
      <c r="O136" s="15">
        <v>92.3</v>
      </c>
    </row>
    <row r="137" spans="1:15" x14ac:dyDescent="0.3">
      <c r="A137" s="11">
        <v>38808</v>
      </c>
      <c r="B137" s="10">
        <v>0.16190000000000002</v>
      </c>
      <c r="C137" s="10">
        <v>4.6300000000000001E-2</v>
      </c>
      <c r="D137" s="16">
        <v>2.1288999999999998</v>
      </c>
      <c r="E137" s="19">
        <v>40363</v>
      </c>
      <c r="F137" s="19">
        <v>19323.535044044427</v>
      </c>
      <c r="G137" s="10">
        <v>3.2300000000000002E-2</v>
      </c>
      <c r="J137" s="17">
        <v>13867.900922339079</v>
      </c>
      <c r="K137" s="33">
        <v>0.17960000000000001</v>
      </c>
      <c r="L137" s="15">
        <v>2</v>
      </c>
      <c r="M137" s="15">
        <v>101.6</v>
      </c>
      <c r="N137" s="15">
        <v>92.5</v>
      </c>
      <c r="O137" s="15">
        <v>90.1</v>
      </c>
    </row>
    <row r="138" spans="1:15" x14ac:dyDescent="0.3">
      <c r="A138" s="11">
        <v>38838</v>
      </c>
      <c r="B138" s="10">
        <v>0.157</v>
      </c>
      <c r="C138" s="10">
        <v>4.2300000000000004E-2</v>
      </c>
      <c r="D138" s="16">
        <v>2.1776999999999997</v>
      </c>
      <c r="E138" s="19">
        <v>36530</v>
      </c>
      <c r="F138" s="19">
        <v>15881.918177470545</v>
      </c>
      <c r="G138" s="10">
        <v>3.2100000000000004E-2</v>
      </c>
      <c r="J138" s="17">
        <v>14682.91281440465</v>
      </c>
      <c r="K138" s="33">
        <v>0.18230000000000002</v>
      </c>
      <c r="L138" s="15">
        <v>3</v>
      </c>
      <c r="M138" s="15">
        <v>98.1</v>
      </c>
      <c r="N138" s="15">
        <v>91</v>
      </c>
      <c r="O138" s="15">
        <v>98</v>
      </c>
    </row>
    <row r="139" spans="1:15" x14ac:dyDescent="0.3">
      <c r="A139" s="11">
        <v>38869</v>
      </c>
      <c r="B139" s="10">
        <v>0.15179999999999999</v>
      </c>
      <c r="C139" s="10">
        <v>4.0300000000000002E-2</v>
      </c>
      <c r="D139" s="16">
        <v>2.2479</v>
      </c>
      <c r="E139" s="19">
        <v>36630</v>
      </c>
      <c r="F139" s="19">
        <v>16927.76930542077</v>
      </c>
      <c r="G139" s="10">
        <v>3.2100000000000004E-2</v>
      </c>
      <c r="J139" s="17">
        <v>14348.613306228923</v>
      </c>
      <c r="K139" s="33">
        <v>0.18280000000000002</v>
      </c>
      <c r="L139" s="15">
        <v>2</v>
      </c>
      <c r="M139" s="15">
        <v>100.7</v>
      </c>
      <c r="N139" s="15">
        <v>89.9</v>
      </c>
      <c r="O139" s="15">
        <v>94.1</v>
      </c>
    </row>
    <row r="140" spans="1:15" x14ac:dyDescent="0.3">
      <c r="A140" s="11">
        <v>38899</v>
      </c>
      <c r="B140" s="10">
        <v>0.14980000000000002</v>
      </c>
      <c r="C140" s="10">
        <v>3.9699999999999999E-2</v>
      </c>
      <c r="D140" s="16">
        <v>2.1888999999999998</v>
      </c>
      <c r="E140" s="19">
        <v>37077</v>
      </c>
      <c r="F140" s="19">
        <v>17040.628734258666</v>
      </c>
      <c r="G140" s="10">
        <v>3.1199999999999999E-2</v>
      </c>
      <c r="J140" s="17">
        <v>13929.520954028148</v>
      </c>
      <c r="K140" s="33">
        <v>0.18469999999999998</v>
      </c>
      <c r="L140" s="15">
        <v>2</v>
      </c>
      <c r="M140" s="15">
        <v>102.7</v>
      </c>
      <c r="N140" s="15">
        <v>90.5</v>
      </c>
      <c r="O140" s="15">
        <v>93.5</v>
      </c>
    </row>
    <row r="141" spans="1:15" x14ac:dyDescent="0.3">
      <c r="A141" s="11">
        <v>38930</v>
      </c>
      <c r="B141" s="10">
        <v>0.14660000000000001</v>
      </c>
      <c r="C141" s="10">
        <v>3.8399999999999997E-2</v>
      </c>
      <c r="D141" s="16">
        <v>2.1555</v>
      </c>
      <c r="E141" s="19">
        <v>39263</v>
      </c>
      <c r="F141" s="19">
        <v>18360.924055368501</v>
      </c>
      <c r="G141" s="10">
        <v>3.1399999999999997E-2</v>
      </c>
      <c r="J141" s="17">
        <v>14143.793752758149</v>
      </c>
      <c r="K141" s="33">
        <v>0.18710000000000002</v>
      </c>
      <c r="L141" s="15">
        <v>0</v>
      </c>
      <c r="M141" s="15">
        <v>101.6</v>
      </c>
      <c r="N141" s="15">
        <v>90.3</v>
      </c>
      <c r="O141" s="15">
        <v>94</v>
      </c>
    </row>
    <row r="142" spans="1:15" x14ac:dyDescent="0.3">
      <c r="A142" s="11">
        <v>38961</v>
      </c>
      <c r="B142" s="10">
        <v>0.14169999999999999</v>
      </c>
      <c r="C142" s="10">
        <v>3.7000000000000005E-2</v>
      </c>
      <c r="D142" s="16">
        <v>2.1682999999999999</v>
      </c>
      <c r="E142" s="19">
        <v>36449</v>
      </c>
      <c r="F142" s="19">
        <v>16767.411905419081</v>
      </c>
      <c r="G142" s="10">
        <v>2.9899999999999999E-2</v>
      </c>
      <c r="J142" s="17">
        <v>15852.217953238149</v>
      </c>
      <c r="K142" s="33">
        <v>0.18809999999999999</v>
      </c>
      <c r="L142" s="15">
        <v>1</v>
      </c>
      <c r="M142" s="15">
        <v>102.9</v>
      </c>
      <c r="N142" s="15">
        <v>90.2</v>
      </c>
      <c r="O142" s="15">
        <v>96.4</v>
      </c>
    </row>
    <row r="143" spans="1:15" x14ac:dyDescent="0.3">
      <c r="A143" s="11">
        <v>38991</v>
      </c>
      <c r="B143" s="10">
        <v>0.13949999999999999</v>
      </c>
      <c r="C143" s="10">
        <v>3.2599999999999997E-2</v>
      </c>
      <c r="D143" s="16">
        <v>2.1478999999999999</v>
      </c>
      <c r="E143" s="19">
        <v>39262</v>
      </c>
      <c r="F143" s="19">
        <v>18324.465602538974</v>
      </c>
      <c r="G143" s="10">
        <v>3.0800000000000001E-2</v>
      </c>
      <c r="J143" s="17">
        <v>16796.244923644132</v>
      </c>
      <c r="K143" s="33">
        <v>0.18890000000000001</v>
      </c>
      <c r="L143" s="15">
        <v>6</v>
      </c>
      <c r="M143" s="15">
        <v>101.8</v>
      </c>
      <c r="N143" s="15">
        <v>93.5</v>
      </c>
      <c r="O143" s="15">
        <v>98.5</v>
      </c>
    </row>
    <row r="144" spans="1:15" x14ac:dyDescent="0.3">
      <c r="A144" s="11">
        <v>39022</v>
      </c>
      <c r="B144" s="10">
        <v>0.13650000000000001</v>
      </c>
      <c r="C144" s="10">
        <v>3.0200000000000001E-2</v>
      </c>
      <c r="D144" s="16">
        <v>2.1574999999999998</v>
      </c>
      <c r="E144" s="19">
        <v>41931</v>
      </c>
      <c r="F144" s="19">
        <v>19355.151403249631</v>
      </c>
      <c r="G144" s="10">
        <v>3.0599999999999999E-2</v>
      </c>
      <c r="J144" s="17">
        <v>18100.151356844828</v>
      </c>
      <c r="K144" s="33">
        <v>0.19079999999999997</v>
      </c>
      <c r="L144" s="15">
        <v>1</v>
      </c>
      <c r="M144" s="15">
        <v>105.1</v>
      </c>
      <c r="N144" s="15">
        <v>95.8</v>
      </c>
      <c r="O144" s="15">
        <v>91.7</v>
      </c>
    </row>
    <row r="145" spans="1:15" x14ac:dyDescent="0.3">
      <c r="A145" s="11">
        <v>39052</v>
      </c>
      <c r="B145" s="10">
        <v>0.13189999999999999</v>
      </c>
      <c r="C145" s="10">
        <v>3.1400000000000004E-2</v>
      </c>
      <c r="D145" s="16">
        <v>2.1494999999999997</v>
      </c>
      <c r="E145" s="19">
        <v>44473</v>
      </c>
      <c r="F145" s="19">
        <v>20805.108532934133</v>
      </c>
      <c r="G145" s="10">
        <v>2.9499999999999998E-2</v>
      </c>
      <c r="J145" s="17">
        <v>19418.085598079364</v>
      </c>
      <c r="K145" s="33">
        <v>0.18989999999999999</v>
      </c>
      <c r="L145" s="15">
        <v>4</v>
      </c>
      <c r="M145" s="15">
        <v>105.6</v>
      </c>
      <c r="N145" s="15">
        <v>98.1</v>
      </c>
      <c r="O145" s="15">
        <v>97.7</v>
      </c>
    </row>
    <row r="146" spans="1:15" x14ac:dyDescent="0.3">
      <c r="A146" s="11">
        <v>39083</v>
      </c>
      <c r="B146" s="10">
        <v>0.1313</v>
      </c>
      <c r="C146" s="10">
        <v>2.9900000000000003E-2</v>
      </c>
      <c r="D146" s="16">
        <v>2.1381000000000001</v>
      </c>
      <c r="E146" s="19">
        <v>44641</v>
      </c>
      <c r="F146" s="19">
        <v>21014.451819422869</v>
      </c>
      <c r="G146" s="10">
        <v>3.32E-2</v>
      </c>
      <c r="J146" s="17">
        <v>26144.782979623771</v>
      </c>
      <c r="K146" s="33">
        <v>0.19239999999999999</v>
      </c>
      <c r="L146" s="15">
        <v>3</v>
      </c>
      <c r="M146" s="15">
        <v>104.9</v>
      </c>
      <c r="N146" s="15">
        <v>99.1</v>
      </c>
      <c r="O146" s="15">
        <v>91.8</v>
      </c>
    </row>
    <row r="147" spans="1:15" x14ac:dyDescent="0.3">
      <c r="A147" s="11">
        <v>39114</v>
      </c>
      <c r="B147" s="10">
        <v>0.1293</v>
      </c>
      <c r="C147" s="10">
        <v>3.0200000000000001E-2</v>
      </c>
      <c r="D147" s="16">
        <v>2.0958999999999999</v>
      </c>
      <c r="E147" s="19">
        <v>43892</v>
      </c>
      <c r="F147" s="19">
        <v>20725.28095193125</v>
      </c>
      <c r="G147" s="10">
        <v>3.32E-2</v>
      </c>
      <c r="J147" s="17">
        <v>26655.609293461119</v>
      </c>
      <c r="K147" s="33">
        <v>0.1943</v>
      </c>
      <c r="L147" s="15">
        <v>4</v>
      </c>
      <c r="M147" s="15">
        <v>107.6</v>
      </c>
      <c r="N147" s="15">
        <v>100.7</v>
      </c>
      <c r="O147" s="15">
        <v>97</v>
      </c>
    </row>
    <row r="148" spans="1:15" x14ac:dyDescent="0.3">
      <c r="A148" s="11">
        <v>39142</v>
      </c>
      <c r="B148" s="10">
        <v>0.12740000000000001</v>
      </c>
      <c r="C148" s="10">
        <v>2.9600000000000001E-2</v>
      </c>
      <c r="D148" s="16">
        <v>2.0882999999999998</v>
      </c>
      <c r="E148" s="19">
        <v>45804</v>
      </c>
      <c r="F148" s="19">
        <v>22343.414634146342</v>
      </c>
      <c r="G148" s="10">
        <v>3.2500000000000001E-2</v>
      </c>
      <c r="J148" s="17">
        <v>27662.282466817956</v>
      </c>
      <c r="K148" s="33">
        <v>0.19070000000000001</v>
      </c>
      <c r="L148" s="15">
        <v>2</v>
      </c>
      <c r="M148" s="15">
        <v>110.5</v>
      </c>
      <c r="N148" s="15">
        <v>96.9</v>
      </c>
      <c r="O148" s="15">
        <v>91.5</v>
      </c>
    </row>
    <row r="149" spans="1:15" x14ac:dyDescent="0.3">
      <c r="A149" s="11">
        <v>39173</v>
      </c>
      <c r="B149" s="10">
        <v>0.1258</v>
      </c>
      <c r="C149" s="10">
        <v>0.03</v>
      </c>
      <c r="D149" s="16">
        <v>2.0316000000000001</v>
      </c>
      <c r="E149" s="19">
        <v>48956</v>
      </c>
      <c r="F149" s="19">
        <v>24074.747971477747</v>
      </c>
      <c r="G149" s="10">
        <v>3.2300000000000002E-2</v>
      </c>
      <c r="J149" s="17">
        <v>30402.753226875651</v>
      </c>
      <c r="K149" s="33">
        <v>0.1938</v>
      </c>
      <c r="L149" s="15">
        <v>11</v>
      </c>
      <c r="M149" s="15">
        <v>111.7</v>
      </c>
      <c r="N149" s="15">
        <v>96</v>
      </c>
      <c r="O149" s="15">
        <v>95.5</v>
      </c>
    </row>
    <row r="150" spans="1:15" x14ac:dyDescent="0.3">
      <c r="A150" s="11">
        <v>39203</v>
      </c>
      <c r="B150" s="10">
        <v>0.12429999999999999</v>
      </c>
      <c r="C150" s="10">
        <v>3.1800000000000002E-2</v>
      </c>
      <c r="D150" s="16">
        <v>1.9811999999999999</v>
      </c>
      <c r="E150" s="19">
        <v>52268</v>
      </c>
      <c r="F150" s="19">
        <v>27102.929738138449</v>
      </c>
      <c r="G150" s="10">
        <v>3.3100000000000004E-2</v>
      </c>
      <c r="J150" s="17">
        <v>29499.985282226065</v>
      </c>
      <c r="K150" s="33">
        <v>0.19870000000000002</v>
      </c>
      <c r="L150" s="15">
        <v>2</v>
      </c>
      <c r="M150" s="15">
        <v>112.2</v>
      </c>
      <c r="N150" s="15">
        <v>98.5</v>
      </c>
      <c r="O150" s="15">
        <v>96.8</v>
      </c>
    </row>
    <row r="151" spans="1:15" x14ac:dyDescent="0.3">
      <c r="A151" s="11">
        <v>39234</v>
      </c>
      <c r="B151" s="10">
        <v>0.12029999999999999</v>
      </c>
      <c r="C151" s="10">
        <v>3.6900000000000002E-2</v>
      </c>
      <c r="D151" s="16">
        <v>1.9315</v>
      </c>
      <c r="E151" s="19">
        <v>54392</v>
      </c>
      <c r="F151" s="19">
        <v>28243.846713054314</v>
      </c>
      <c r="G151" s="10">
        <v>3.2899999999999999E-2</v>
      </c>
      <c r="J151" s="17">
        <v>38888.989598186214</v>
      </c>
      <c r="K151" s="33">
        <v>0.20050000000000001</v>
      </c>
      <c r="L151" s="15">
        <v>8</v>
      </c>
      <c r="M151" s="15">
        <v>112.7</v>
      </c>
      <c r="N151" s="15">
        <v>98.9</v>
      </c>
      <c r="O151" s="15">
        <v>89.3</v>
      </c>
    </row>
    <row r="152" spans="1:15" x14ac:dyDescent="0.3">
      <c r="A152" s="11">
        <v>39264</v>
      </c>
      <c r="B152" s="10">
        <v>0.1173</v>
      </c>
      <c r="C152" s="10">
        <v>3.7400000000000003E-2</v>
      </c>
      <c r="D152" s="16">
        <v>1.8824000000000001</v>
      </c>
      <c r="E152" s="19">
        <v>54182</v>
      </c>
      <c r="F152" s="19">
        <v>28863.200511399958</v>
      </c>
      <c r="G152" s="10">
        <v>3.3300000000000003E-2</v>
      </c>
      <c r="J152" s="17">
        <v>41272.272381431474</v>
      </c>
      <c r="K152" s="33">
        <v>0.20519999999999999</v>
      </c>
      <c r="L152" s="15">
        <v>16</v>
      </c>
      <c r="M152" s="15">
        <v>114.5</v>
      </c>
      <c r="N152" s="15">
        <v>96.9</v>
      </c>
      <c r="O152" s="15">
        <v>88.4</v>
      </c>
    </row>
    <row r="153" spans="1:15" x14ac:dyDescent="0.3">
      <c r="A153" s="11">
        <v>39295</v>
      </c>
      <c r="B153" s="10">
        <v>0.1143</v>
      </c>
      <c r="C153" s="10">
        <v>4.1799999999999997E-2</v>
      </c>
      <c r="D153" s="16">
        <v>1.9656</v>
      </c>
      <c r="E153" s="19">
        <v>54637</v>
      </c>
      <c r="F153" s="19">
        <v>27853.283034257747</v>
      </c>
      <c r="G153" s="10">
        <v>3.2099999999999997E-2</v>
      </c>
      <c r="J153" s="17">
        <v>42379.592603630925</v>
      </c>
      <c r="K153" s="33">
        <v>0.20679999999999998</v>
      </c>
      <c r="L153" s="15">
        <v>1</v>
      </c>
      <c r="M153" s="15">
        <v>112.9</v>
      </c>
      <c r="N153" s="15">
        <v>97.4</v>
      </c>
      <c r="O153" s="15">
        <v>96.2</v>
      </c>
    </row>
    <row r="154" spans="1:15" x14ac:dyDescent="0.3">
      <c r="A154" s="11">
        <v>39326</v>
      </c>
      <c r="B154" s="10">
        <v>0.11220000000000001</v>
      </c>
      <c r="C154" s="10">
        <v>4.1500000000000002E-2</v>
      </c>
      <c r="D154" s="16">
        <v>1.8992</v>
      </c>
      <c r="E154" s="19">
        <v>60465</v>
      </c>
      <c r="F154" s="19">
        <v>32888.224095730213</v>
      </c>
      <c r="G154" s="10">
        <v>3.1899999999999998E-2</v>
      </c>
      <c r="J154" s="17">
        <v>42444.935962870921</v>
      </c>
      <c r="K154" s="33">
        <v>0.20850000000000002</v>
      </c>
      <c r="L154" s="15">
        <v>1</v>
      </c>
      <c r="M154" s="15">
        <v>112.9</v>
      </c>
      <c r="N154" s="15">
        <v>98.1</v>
      </c>
      <c r="O154" s="15">
        <v>96.2</v>
      </c>
    </row>
    <row r="155" spans="1:15" x14ac:dyDescent="0.3">
      <c r="A155" s="11">
        <v>39356</v>
      </c>
      <c r="B155" s="10">
        <v>0.1118</v>
      </c>
      <c r="C155" s="10">
        <v>4.1200000000000001E-2</v>
      </c>
      <c r="D155" s="16">
        <v>1.8006</v>
      </c>
      <c r="E155" s="19">
        <v>65317</v>
      </c>
      <c r="F155" s="19">
        <v>37461.000229410412</v>
      </c>
      <c r="G155" s="10">
        <v>3.2399999999999998E-2</v>
      </c>
      <c r="J155" s="17">
        <v>44450.885226494946</v>
      </c>
      <c r="K155" s="33">
        <v>0.21410000000000001</v>
      </c>
      <c r="L155" s="15">
        <v>12</v>
      </c>
      <c r="M155" s="15">
        <v>115.8</v>
      </c>
      <c r="N155" s="15">
        <v>100.1</v>
      </c>
      <c r="O155" s="15">
        <v>97.2</v>
      </c>
    </row>
    <row r="156" spans="1:15" x14ac:dyDescent="0.3">
      <c r="A156" s="11">
        <v>39387</v>
      </c>
      <c r="B156" s="10">
        <v>0.1118</v>
      </c>
      <c r="C156" s="10">
        <v>4.1900000000000007E-2</v>
      </c>
      <c r="D156" s="16">
        <v>1.7694999999999999</v>
      </c>
      <c r="E156" s="19">
        <v>63006</v>
      </c>
      <c r="F156" s="19">
        <v>35331.127684629617</v>
      </c>
      <c r="G156" s="10">
        <v>3.3700000000000001E-2</v>
      </c>
      <c r="J156" s="17">
        <v>45798.017453754241</v>
      </c>
      <c r="K156" s="33">
        <v>0.217</v>
      </c>
      <c r="L156" s="15">
        <v>2</v>
      </c>
      <c r="M156" s="15">
        <v>115.2</v>
      </c>
      <c r="N156" s="15">
        <v>101.9</v>
      </c>
      <c r="O156" s="15">
        <v>96.3</v>
      </c>
    </row>
    <row r="157" spans="1:15" x14ac:dyDescent="0.3">
      <c r="A157" s="11">
        <v>39417</v>
      </c>
      <c r="B157" s="10">
        <v>0.1118</v>
      </c>
      <c r="C157" s="10">
        <v>4.4600000000000001E-2</v>
      </c>
      <c r="D157" s="16">
        <v>1.7856000000000001</v>
      </c>
      <c r="E157" s="19">
        <v>63886</v>
      </c>
      <c r="F157" s="19">
        <v>36075.441865717992</v>
      </c>
      <c r="G157" s="10">
        <v>3.2899999999999999E-2</v>
      </c>
      <c r="J157" s="17">
        <v>44579.49246363352</v>
      </c>
      <c r="K157" s="33">
        <v>0.21739999999999998</v>
      </c>
      <c r="L157" s="15">
        <v>2</v>
      </c>
      <c r="M157" s="15">
        <v>115.1</v>
      </c>
      <c r="N157" s="15">
        <v>110</v>
      </c>
      <c r="O157" s="15">
        <v>92.1</v>
      </c>
    </row>
    <row r="158" spans="1:15" x14ac:dyDescent="0.3">
      <c r="A158" s="11">
        <v>39448</v>
      </c>
      <c r="B158" s="10">
        <v>0.1118</v>
      </c>
      <c r="C158" s="10">
        <v>4.5599999999999995E-2</v>
      </c>
      <c r="D158" s="16">
        <v>1.7739</v>
      </c>
      <c r="E158" s="19">
        <v>59490</v>
      </c>
      <c r="F158" s="19">
        <v>33803.056991874539</v>
      </c>
      <c r="G158" s="10">
        <v>3.4199999999999994E-2</v>
      </c>
      <c r="J158" s="17">
        <v>42501.081746823613</v>
      </c>
      <c r="K158" s="33">
        <v>0.2205</v>
      </c>
      <c r="L158" s="15">
        <v>0</v>
      </c>
      <c r="M158" s="15">
        <v>110.9</v>
      </c>
      <c r="N158" s="15">
        <v>104.8</v>
      </c>
      <c r="O158" s="15">
        <v>99.3</v>
      </c>
    </row>
    <row r="159" spans="1:15" x14ac:dyDescent="0.3">
      <c r="A159" s="11">
        <v>39479</v>
      </c>
      <c r="B159" s="10">
        <v>0.1118</v>
      </c>
      <c r="C159" s="10">
        <v>4.6100000000000002E-2</v>
      </c>
      <c r="D159" s="16">
        <v>1.7273000000000001</v>
      </c>
      <c r="E159" s="19">
        <v>63489</v>
      </c>
      <c r="F159" s="19">
        <v>37725.949254263469</v>
      </c>
      <c r="G159" s="10">
        <v>3.4700000000000002E-2</v>
      </c>
      <c r="J159" s="17">
        <v>41927.95193179186</v>
      </c>
      <c r="K159" s="33">
        <v>0.22239999999999999</v>
      </c>
      <c r="L159" s="15">
        <v>1</v>
      </c>
      <c r="M159" s="15">
        <v>111</v>
      </c>
      <c r="N159" s="15">
        <v>106.9</v>
      </c>
      <c r="O159" s="15">
        <v>98</v>
      </c>
    </row>
    <row r="160" spans="1:15" x14ac:dyDescent="0.3">
      <c r="A160" s="11">
        <v>39508</v>
      </c>
      <c r="B160" s="10">
        <v>0.1118</v>
      </c>
      <c r="C160" s="10">
        <v>4.7300000000000002E-2</v>
      </c>
      <c r="D160" s="16">
        <v>1.7072000000000001</v>
      </c>
      <c r="E160" s="19">
        <v>60968</v>
      </c>
      <c r="F160" s="19">
        <v>34864.756676388177</v>
      </c>
      <c r="G160" s="10">
        <v>3.6799999999999999E-2</v>
      </c>
      <c r="J160" s="17">
        <v>42455.027191982903</v>
      </c>
      <c r="K160" s="33">
        <v>0.2268</v>
      </c>
      <c r="L160" s="15">
        <v>0</v>
      </c>
      <c r="M160" s="15">
        <v>111.9</v>
      </c>
      <c r="N160" s="15">
        <v>112</v>
      </c>
      <c r="O160" s="15">
        <v>97.4</v>
      </c>
    </row>
    <row r="161" spans="1:15" x14ac:dyDescent="0.3">
      <c r="A161" s="11">
        <v>39539</v>
      </c>
      <c r="B161" s="10">
        <v>0.1137</v>
      </c>
      <c r="C161" s="10">
        <v>5.04E-2</v>
      </c>
      <c r="D161" s="16">
        <v>1.6884999999999999</v>
      </c>
      <c r="E161" s="19">
        <v>67868</v>
      </c>
      <c r="F161" s="19">
        <v>40234.764050272708</v>
      </c>
      <c r="G161" s="10">
        <v>3.6600000000000001E-2</v>
      </c>
      <c r="J161" s="17">
        <v>43575.192731814146</v>
      </c>
      <c r="K161" s="33">
        <v>0.23089999999999999</v>
      </c>
      <c r="L161" s="15">
        <v>2</v>
      </c>
      <c r="M161" s="15">
        <v>111</v>
      </c>
      <c r="N161" s="15">
        <v>103.6</v>
      </c>
      <c r="O161" s="15">
        <v>95.1</v>
      </c>
    </row>
    <row r="162" spans="1:15" x14ac:dyDescent="0.3">
      <c r="A162" s="11">
        <v>39569</v>
      </c>
      <c r="B162" s="10">
        <v>0.11630000000000001</v>
      </c>
      <c r="C162" s="10">
        <v>5.5800000000000002E-2</v>
      </c>
      <c r="D162" s="16">
        <v>1.6600999999999999</v>
      </c>
      <c r="E162" s="19">
        <v>72592</v>
      </c>
      <c r="F162" s="19">
        <v>44562.308164518108</v>
      </c>
      <c r="G162" s="10">
        <v>3.6400000000000002E-2</v>
      </c>
      <c r="J162" s="17">
        <v>44731.56457288305</v>
      </c>
      <c r="K162" s="33">
        <v>0.2339</v>
      </c>
      <c r="L162" s="15">
        <v>0</v>
      </c>
      <c r="M162" s="15">
        <v>110.1</v>
      </c>
      <c r="N162" s="15">
        <v>105.5</v>
      </c>
      <c r="O162" s="15">
        <v>92.3</v>
      </c>
    </row>
    <row r="163" spans="1:15" x14ac:dyDescent="0.3">
      <c r="A163" s="11">
        <v>39600</v>
      </c>
      <c r="B163" s="10">
        <v>0.12089999999999999</v>
      </c>
      <c r="C163" s="10">
        <v>6.0599999999999994E-2</v>
      </c>
      <c r="D163" s="16">
        <v>1.6185</v>
      </c>
      <c r="E163" s="19">
        <v>65017</v>
      </c>
      <c r="F163" s="19">
        <v>40852.654728243797</v>
      </c>
      <c r="G163" s="10">
        <v>3.6400000000000002E-2</v>
      </c>
      <c r="J163" s="17">
        <v>37728.781501146135</v>
      </c>
      <c r="K163" s="33">
        <v>0.23440000000000003</v>
      </c>
      <c r="L163" s="15">
        <v>1</v>
      </c>
      <c r="M163" s="15">
        <v>112.9</v>
      </c>
      <c r="N163" s="15">
        <v>97.7</v>
      </c>
      <c r="O163" s="15">
        <v>91.9</v>
      </c>
    </row>
    <row r="164" spans="1:15" x14ac:dyDescent="0.3">
      <c r="A164" s="11">
        <v>39630</v>
      </c>
      <c r="B164" s="10">
        <v>0.12359999999999999</v>
      </c>
      <c r="C164" s="10">
        <v>6.3700000000000007E-2</v>
      </c>
      <c r="D164" s="16">
        <v>1.591</v>
      </c>
      <c r="E164" s="19">
        <v>59505</v>
      </c>
      <c r="F164" s="19">
        <v>37993.232026561105</v>
      </c>
      <c r="G164" s="10">
        <v>3.7100000000000001E-2</v>
      </c>
      <c r="J164" s="17">
        <v>37625.287926210876</v>
      </c>
      <c r="K164" s="33">
        <v>0.23600000000000002</v>
      </c>
      <c r="L164" s="15">
        <v>0</v>
      </c>
      <c r="M164" s="15">
        <v>112.5</v>
      </c>
      <c r="N164" s="15">
        <v>92.9</v>
      </c>
      <c r="O164" s="15">
        <v>92.4</v>
      </c>
    </row>
    <row r="165" spans="1:15" x14ac:dyDescent="0.3">
      <c r="A165" s="11">
        <v>39661</v>
      </c>
      <c r="B165" s="10">
        <v>0.12920000000000001</v>
      </c>
      <c r="C165" s="10">
        <v>6.1699999999999998E-2</v>
      </c>
      <c r="D165" s="16">
        <v>1.6118999999999999</v>
      </c>
      <c r="E165" s="19">
        <v>55680</v>
      </c>
      <c r="F165" s="19">
        <v>34075.887392900862</v>
      </c>
      <c r="G165" s="10">
        <v>3.7999999999999999E-2</v>
      </c>
      <c r="J165" s="17">
        <v>40520.613022811427</v>
      </c>
      <c r="K165" s="33">
        <v>0.23629999999999998</v>
      </c>
      <c r="L165" s="15">
        <v>0</v>
      </c>
      <c r="M165" s="15">
        <v>114.1</v>
      </c>
      <c r="N165" s="15">
        <v>96.3</v>
      </c>
      <c r="O165" s="15">
        <v>90.5</v>
      </c>
    </row>
    <row r="166" spans="1:15" x14ac:dyDescent="0.3">
      <c r="A166" s="11">
        <v>39692</v>
      </c>
      <c r="B166" s="10">
        <v>0.13390000000000002</v>
      </c>
      <c r="C166" s="10">
        <v>6.25E-2</v>
      </c>
      <c r="D166" s="16">
        <v>1.7991999999999999</v>
      </c>
      <c r="E166" s="19">
        <v>49541</v>
      </c>
      <c r="F166" s="19">
        <v>25884.842468258532</v>
      </c>
      <c r="G166" s="10">
        <v>3.8899999999999997E-2</v>
      </c>
      <c r="J166" s="17">
        <v>45045.608261409288</v>
      </c>
      <c r="K166" s="33">
        <v>0.23699999999999999</v>
      </c>
      <c r="L166" s="15">
        <v>0</v>
      </c>
      <c r="M166" s="15">
        <v>108.7</v>
      </c>
      <c r="N166" s="15">
        <v>99.5</v>
      </c>
      <c r="O166" s="15">
        <v>98.7</v>
      </c>
    </row>
    <row r="167" spans="1:15" x14ac:dyDescent="0.3">
      <c r="A167" s="11">
        <v>39722</v>
      </c>
      <c r="B167" s="10">
        <v>0.1366</v>
      </c>
      <c r="C167" s="10">
        <v>6.4100000000000004E-2</v>
      </c>
      <c r="D167" s="16">
        <v>2.1724999999999999</v>
      </c>
      <c r="E167" s="19">
        <v>37256</v>
      </c>
      <c r="F167" s="19">
        <v>17615.962929689347</v>
      </c>
      <c r="G167" s="10">
        <v>3.9800000000000002E-2</v>
      </c>
      <c r="J167" s="17">
        <v>45486.563689669289</v>
      </c>
      <c r="K167" s="33">
        <v>0.24010000000000001</v>
      </c>
      <c r="L167" s="15">
        <v>0</v>
      </c>
      <c r="M167" s="15">
        <v>99.2</v>
      </c>
      <c r="N167" s="15">
        <v>88.7</v>
      </c>
      <c r="O167" s="15">
        <v>132.4</v>
      </c>
    </row>
    <row r="168" spans="1:15" x14ac:dyDescent="0.3">
      <c r="A168" s="11">
        <v>39753</v>
      </c>
      <c r="B168" s="10">
        <v>0.13639999999999999</v>
      </c>
      <c r="C168" s="10">
        <v>6.3899999999999998E-2</v>
      </c>
      <c r="D168" s="16">
        <v>2.2659000000000002</v>
      </c>
      <c r="E168" s="19">
        <v>36595</v>
      </c>
      <c r="F168" s="19">
        <v>15687.829553736014</v>
      </c>
      <c r="G168" s="10">
        <v>3.6900000000000002E-2</v>
      </c>
      <c r="J168" s="17">
        <v>44219.514695179299</v>
      </c>
      <c r="K168" s="33">
        <v>0.23620000000000002</v>
      </c>
      <c r="L168" s="15">
        <v>0</v>
      </c>
      <c r="M168" s="15">
        <v>83.8</v>
      </c>
      <c r="N168" s="15">
        <v>82.9</v>
      </c>
      <c r="O168" s="15">
        <v>128.19999999999999</v>
      </c>
    </row>
    <row r="169" spans="1:15" x14ac:dyDescent="0.3">
      <c r="A169" s="11">
        <v>39783</v>
      </c>
      <c r="B169" s="10">
        <v>0.1366</v>
      </c>
      <c r="C169" s="10">
        <v>5.9000000000000004E-2</v>
      </c>
      <c r="D169" s="16">
        <v>2.3940000000000001</v>
      </c>
      <c r="E169" s="19">
        <v>37550</v>
      </c>
      <c r="F169" s="19">
        <v>16070.35864076008</v>
      </c>
      <c r="G169" s="10">
        <v>3.27E-2</v>
      </c>
      <c r="J169" s="17">
        <v>50716.402711478717</v>
      </c>
      <c r="K169" s="33">
        <v>0.23530000000000001</v>
      </c>
      <c r="L169" s="15">
        <v>0</v>
      </c>
      <c r="M169" s="15">
        <v>78.7</v>
      </c>
      <c r="N169" s="15">
        <v>83.5</v>
      </c>
      <c r="O169" s="15">
        <v>121.8</v>
      </c>
    </row>
    <row r="170" spans="1:15" x14ac:dyDescent="0.3">
      <c r="A170" s="11">
        <v>39814</v>
      </c>
      <c r="B170" s="10">
        <v>0.13320000000000001</v>
      </c>
      <c r="C170" s="10">
        <v>5.8400000000000001E-2</v>
      </c>
      <c r="D170" s="16">
        <v>2.3069999999999999</v>
      </c>
      <c r="E170" s="19">
        <v>39300</v>
      </c>
      <c r="F170" s="19">
        <v>16970.377407375421</v>
      </c>
      <c r="G170" s="10">
        <v>2.8399999999999998E-2</v>
      </c>
      <c r="J170" s="17">
        <v>46522.057517374218</v>
      </c>
      <c r="K170" s="33">
        <v>0.23319999999999999</v>
      </c>
      <c r="L170" s="15">
        <v>0</v>
      </c>
      <c r="M170" s="15">
        <v>78.7</v>
      </c>
      <c r="N170" s="15">
        <v>85</v>
      </c>
      <c r="O170" s="15">
        <v>120</v>
      </c>
    </row>
    <row r="171" spans="1:15" x14ac:dyDescent="0.3">
      <c r="A171" s="11">
        <v>39845</v>
      </c>
      <c r="B171" s="10">
        <v>0.12659999999999999</v>
      </c>
      <c r="C171" s="10">
        <v>5.9000000000000004E-2</v>
      </c>
      <c r="D171" s="16">
        <v>2.3123</v>
      </c>
      <c r="E171" s="19">
        <v>38183</v>
      </c>
      <c r="F171" s="19">
        <v>16056.770395290159</v>
      </c>
      <c r="G171" s="10">
        <v>2.7099999999999999E-2</v>
      </c>
      <c r="J171" s="17">
        <v>47777.180824778632</v>
      </c>
      <c r="K171" s="33">
        <v>0.23280000000000001</v>
      </c>
      <c r="L171" s="15">
        <v>0</v>
      </c>
      <c r="M171" s="15">
        <v>79.599999999999994</v>
      </c>
      <c r="N171" s="15">
        <v>83</v>
      </c>
      <c r="O171" s="15">
        <v>123.6</v>
      </c>
    </row>
    <row r="172" spans="1:15" x14ac:dyDescent="0.3">
      <c r="A172" s="11">
        <v>39873</v>
      </c>
      <c r="B172" s="10">
        <v>0.11699999999999999</v>
      </c>
      <c r="C172" s="10">
        <v>5.6100000000000004E-2</v>
      </c>
      <c r="D172" s="16">
        <v>2.3134000000000001</v>
      </c>
      <c r="E172" s="19">
        <v>40925</v>
      </c>
      <c r="F172" s="19">
        <v>17679.71315016416</v>
      </c>
      <c r="G172" s="10">
        <v>2.5200000000000004E-2</v>
      </c>
      <c r="J172" s="17">
        <v>46205.345471451277</v>
      </c>
      <c r="K172" s="33">
        <v>0.23269999999999999</v>
      </c>
      <c r="L172" s="15">
        <v>0</v>
      </c>
      <c r="M172" s="15">
        <v>80.099999999999994</v>
      </c>
      <c r="N172" s="15">
        <v>88</v>
      </c>
      <c r="O172" s="15">
        <v>125.6</v>
      </c>
    </row>
    <row r="173" spans="1:15" x14ac:dyDescent="0.3">
      <c r="A173" s="11">
        <v>39904</v>
      </c>
      <c r="B173" s="10">
        <v>0.11109999999999999</v>
      </c>
      <c r="C173" s="10">
        <v>5.5300000000000002E-2</v>
      </c>
      <c r="D173" s="16">
        <v>2.2054999999999998</v>
      </c>
      <c r="E173" s="19">
        <v>47289</v>
      </c>
      <c r="F173" s="19">
        <v>21713.1181413288</v>
      </c>
      <c r="G173" s="10">
        <v>2.3E-2</v>
      </c>
      <c r="J173" s="17">
        <v>45177.018574291833</v>
      </c>
      <c r="K173" s="33">
        <v>0.23379999999999998</v>
      </c>
      <c r="L173" s="15">
        <v>0</v>
      </c>
      <c r="M173" s="15">
        <v>85.2</v>
      </c>
      <c r="N173" s="15">
        <v>88.3</v>
      </c>
      <c r="O173" s="15">
        <v>117.1</v>
      </c>
    </row>
    <row r="174" spans="1:15" x14ac:dyDescent="0.3">
      <c r="A174" s="11">
        <v>39934</v>
      </c>
      <c r="B174" s="10">
        <v>0.1016</v>
      </c>
      <c r="C174" s="10">
        <v>5.2000000000000005E-2</v>
      </c>
      <c r="D174" s="16">
        <v>2.0605000000000002</v>
      </c>
      <c r="E174" s="19">
        <v>53197</v>
      </c>
      <c r="F174" s="19">
        <v>26967.961066612595</v>
      </c>
      <c r="G174" s="10">
        <v>2.1100000000000001E-2</v>
      </c>
      <c r="J174" s="17">
        <v>46193.549486017873</v>
      </c>
      <c r="K174" s="33">
        <v>0.23649999999999999</v>
      </c>
      <c r="L174" s="15">
        <v>0</v>
      </c>
      <c r="M174" s="15">
        <v>89.4</v>
      </c>
      <c r="N174" s="15">
        <v>90.6</v>
      </c>
      <c r="O174" s="15">
        <v>111.8</v>
      </c>
    </row>
    <row r="175" spans="1:15" x14ac:dyDescent="0.3">
      <c r="A175" s="11">
        <v>39965</v>
      </c>
      <c r="B175" s="10">
        <v>9.5399999999999985E-2</v>
      </c>
      <c r="C175" s="10">
        <v>4.8000000000000001E-2</v>
      </c>
      <c r="D175" s="16">
        <v>1.9572000000000001</v>
      </c>
      <c r="E175" s="19">
        <v>51465</v>
      </c>
      <c r="F175" s="19">
        <v>26376.076260762606</v>
      </c>
      <c r="G175" s="10">
        <v>1.8299999999999997E-2</v>
      </c>
      <c r="J175" s="17">
        <v>44464.341148797874</v>
      </c>
      <c r="K175" s="33">
        <v>0.23710000000000001</v>
      </c>
      <c r="L175" s="15">
        <v>1</v>
      </c>
      <c r="M175" s="15">
        <v>92.7</v>
      </c>
      <c r="N175" s="15">
        <v>95.3</v>
      </c>
      <c r="O175" s="15">
        <v>109.1</v>
      </c>
    </row>
    <row r="176" spans="1:15" x14ac:dyDescent="0.3">
      <c r="A176" s="11">
        <v>39995</v>
      </c>
      <c r="B176" s="10">
        <v>9.01E-2</v>
      </c>
      <c r="C176" s="10">
        <v>4.4999999999999998E-2</v>
      </c>
      <c r="D176" s="16">
        <v>1.9323999999999999</v>
      </c>
      <c r="E176" s="19">
        <v>54765</v>
      </c>
      <c r="F176" s="19">
        <v>29251.682512552081</v>
      </c>
      <c r="G176" s="10">
        <v>1.5699999999999999E-2</v>
      </c>
      <c r="J176" s="17">
        <v>42615.30740619787</v>
      </c>
      <c r="K176" s="33">
        <v>0.23719999999999999</v>
      </c>
      <c r="L176" s="15">
        <v>0</v>
      </c>
      <c r="M176" s="15">
        <v>96.1</v>
      </c>
      <c r="N176" s="15">
        <v>97.6</v>
      </c>
      <c r="O176" s="15">
        <v>109</v>
      </c>
    </row>
    <row r="177" spans="1:15" x14ac:dyDescent="0.3">
      <c r="A177" s="11">
        <v>40026</v>
      </c>
      <c r="B177" s="10">
        <v>8.6500000000000007E-2</v>
      </c>
      <c r="C177" s="10">
        <v>4.36E-2</v>
      </c>
      <c r="D177" s="16">
        <v>1.8448</v>
      </c>
      <c r="E177" s="19">
        <v>56488</v>
      </c>
      <c r="F177" s="19">
        <v>29951.219512195119</v>
      </c>
      <c r="G177" s="10">
        <v>1.41E-2</v>
      </c>
      <c r="J177" s="17">
        <v>40349.839899747865</v>
      </c>
      <c r="K177" s="33">
        <v>0.23870000000000002</v>
      </c>
      <c r="L177" s="15">
        <v>0</v>
      </c>
      <c r="M177" s="15">
        <v>99.9</v>
      </c>
      <c r="N177" s="15">
        <v>96.8</v>
      </c>
      <c r="O177" s="15">
        <v>106.8</v>
      </c>
    </row>
    <row r="178" spans="1:15" x14ac:dyDescent="0.3">
      <c r="A178" s="11">
        <v>40057</v>
      </c>
      <c r="B178" s="10">
        <v>8.6500000000000007E-2</v>
      </c>
      <c r="C178" s="10">
        <v>4.3400000000000001E-2</v>
      </c>
      <c r="D178" s="16">
        <v>1.8193999999999999</v>
      </c>
      <c r="E178" s="19">
        <v>61517</v>
      </c>
      <c r="F178" s="19">
        <v>34604.826461157674</v>
      </c>
      <c r="G178" s="10">
        <v>0.01</v>
      </c>
      <c r="J178" s="17">
        <v>36456.269504559998</v>
      </c>
      <c r="K178" s="33">
        <v>0.2407</v>
      </c>
      <c r="L178" s="15">
        <v>1</v>
      </c>
      <c r="M178" s="15">
        <v>103.4</v>
      </c>
      <c r="N178" s="15">
        <v>97.7</v>
      </c>
      <c r="O178" s="15">
        <v>109</v>
      </c>
    </row>
    <row r="179" spans="1:15" x14ac:dyDescent="0.3">
      <c r="A179" s="11">
        <v>40087</v>
      </c>
      <c r="B179" s="10">
        <v>8.6500000000000007E-2</v>
      </c>
      <c r="C179" s="10">
        <v>4.1700000000000001E-2</v>
      </c>
      <c r="D179" s="16">
        <v>1.738</v>
      </c>
      <c r="E179" s="19">
        <v>61545</v>
      </c>
      <c r="F179" s="19">
        <v>35297.660013764624</v>
      </c>
      <c r="G179" s="10">
        <v>8.6999999999999994E-3</v>
      </c>
      <c r="J179" s="17">
        <v>33991.772672109997</v>
      </c>
      <c r="K179" s="33">
        <v>0.24160000000000001</v>
      </c>
      <c r="L179" s="15">
        <v>2</v>
      </c>
      <c r="M179" s="15">
        <v>106.2</v>
      </c>
      <c r="N179" s="15">
        <v>97</v>
      </c>
      <c r="O179" s="15">
        <v>106</v>
      </c>
    </row>
    <row r="180" spans="1:15" x14ac:dyDescent="0.3">
      <c r="A180" s="11">
        <v>40118</v>
      </c>
      <c r="B180" s="10">
        <v>8.6500000000000007E-2</v>
      </c>
      <c r="C180" s="10">
        <v>4.2199999999999994E-2</v>
      </c>
      <c r="D180" s="16">
        <v>1.7258</v>
      </c>
      <c r="E180" s="19">
        <v>67044</v>
      </c>
      <c r="F180" s="19">
        <v>38308.668076109934</v>
      </c>
      <c r="G180" s="10">
        <v>1.2400000000000001E-2</v>
      </c>
      <c r="J180" s="17">
        <v>33097.678869989999</v>
      </c>
      <c r="K180" s="33">
        <v>0.24309999999999998</v>
      </c>
      <c r="L180" s="15">
        <v>1</v>
      </c>
      <c r="M180" s="15">
        <v>109.5</v>
      </c>
      <c r="N180" s="15">
        <v>99.5</v>
      </c>
      <c r="O180" s="15">
        <v>101.9</v>
      </c>
    </row>
    <row r="181" spans="1:15" x14ac:dyDescent="0.3">
      <c r="A181" s="11">
        <v>40148</v>
      </c>
      <c r="B181" s="10">
        <v>8.6500000000000007E-2</v>
      </c>
      <c r="C181" s="10">
        <v>4.3099999999999999E-2</v>
      </c>
      <c r="D181" s="16">
        <v>1.7499</v>
      </c>
      <c r="E181" s="19">
        <v>68588</v>
      </c>
      <c r="F181" s="19">
        <v>39400.275735294112</v>
      </c>
      <c r="G181" s="10">
        <v>1.9E-2</v>
      </c>
      <c r="J181" s="17">
        <v>31480.931700000001</v>
      </c>
      <c r="K181" s="33">
        <v>0.24530000000000002</v>
      </c>
      <c r="L181" s="15">
        <v>1</v>
      </c>
      <c r="M181" s="15">
        <v>111.7</v>
      </c>
      <c r="N181" s="15">
        <v>97.3</v>
      </c>
      <c r="O181" s="15">
        <v>99.5</v>
      </c>
    </row>
    <row r="182" spans="1:15" x14ac:dyDescent="0.3">
      <c r="A182" s="11">
        <v>40179</v>
      </c>
      <c r="B182" s="10">
        <v>8.6500000000000007E-2</v>
      </c>
      <c r="C182" s="10">
        <v>4.5899999999999996E-2</v>
      </c>
      <c r="D182" s="16">
        <v>1.7793999999999999</v>
      </c>
      <c r="E182" s="19">
        <v>65401</v>
      </c>
      <c r="F182" s="19">
        <v>34891.698676909946</v>
      </c>
      <c r="G182" s="10">
        <v>2.1499999999999998E-2</v>
      </c>
      <c r="J182" s="17">
        <v>32428.919639639993</v>
      </c>
      <c r="K182" s="33">
        <v>0.2465</v>
      </c>
      <c r="L182" s="15">
        <v>1</v>
      </c>
      <c r="M182" s="15">
        <v>113.3</v>
      </c>
      <c r="N182" s="15">
        <v>99.1</v>
      </c>
      <c r="O182" s="15">
        <v>103.2</v>
      </c>
    </row>
    <row r="183" spans="1:15" x14ac:dyDescent="0.3">
      <c r="A183" s="11">
        <v>40210</v>
      </c>
      <c r="B183" s="10">
        <v>8.6500000000000007E-2</v>
      </c>
      <c r="C183" s="10">
        <v>4.8300000000000003E-2</v>
      </c>
      <c r="D183" s="16">
        <v>1.8411999999999999</v>
      </c>
      <c r="E183" s="19">
        <v>66503</v>
      </c>
      <c r="F183" s="19">
        <v>36729.813321550864</v>
      </c>
      <c r="G183" s="10">
        <v>2.07E-2</v>
      </c>
      <c r="J183" s="17">
        <v>35983.129579979999</v>
      </c>
      <c r="K183" s="33">
        <v>0.24670000000000003</v>
      </c>
      <c r="L183" s="15">
        <v>1</v>
      </c>
      <c r="M183" s="15">
        <v>113.1</v>
      </c>
      <c r="N183" s="15">
        <v>95.3</v>
      </c>
      <c r="O183" s="15">
        <v>104.2</v>
      </c>
    </row>
    <row r="184" spans="1:15" x14ac:dyDescent="0.3">
      <c r="A184" s="11">
        <v>40238</v>
      </c>
      <c r="B184" s="10">
        <v>8.6500000000000007E-2</v>
      </c>
      <c r="C184" s="10">
        <v>5.1699999999999996E-2</v>
      </c>
      <c r="D184" s="16">
        <v>1.7854000000000001</v>
      </c>
      <c r="E184" s="19">
        <v>70371</v>
      </c>
      <c r="F184" s="19">
        <v>39520.947995057846</v>
      </c>
      <c r="G184" s="10">
        <v>1.8000000000000002E-2</v>
      </c>
      <c r="J184" s="17">
        <v>39932.491103689994</v>
      </c>
      <c r="K184" s="33">
        <v>0.2492</v>
      </c>
      <c r="L184" s="15">
        <v>2</v>
      </c>
      <c r="M184" s="15">
        <v>115.4</v>
      </c>
      <c r="N184" s="15">
        <v>99.4</v>
      </c>
      <c r="O184" s="15">
        <v>96.7</v>
      </c>
    </row>
    <row r="185" spans="1:15" x14ac:dyDescent="0.3">
      <c r="A185" s="11">
        <v>40269</v>
      </c>
      <c r="B185" s="10">
        <v>8.72E-2</v>
      </c>
      <c r="C185" s="10">
        <v>5.2600000000000001E-2</v>
      </c>
      <c r="D185" s="16">
        <v>1.7562</v>
      </c>
      <c r="E185" s="19">
        <v>67529</v>
      </c>
      <c r="F185" s="19">
        <v>39029.591954687319</v>
      </c>
      <c r="G185" s="10">
        <v>1.9900000000000001E-2</v>
      </c>
      <c r="J185" s="17">
        <v>39938.987198269999</v>
      </c>
      <c r="K185" s="33">
        <v>0.25109999999999999</v>
      </c>
      <c r="L185" s="15">
        <v>3</v>
      </c>
      <c r="M185" s="15">
        <v>113.3</v>
      </c>
      <c r="N185" s="15">
        <v>102</v>
      </c>
      <c r="O185" s="15">
        <v>96.9</v>
      </c>
    </row>
    <row r="186" spans="1:15" x14ac:dyDescent="0.3">
      <c r="A186" s="11">
        <v>40299</v>
      </c>
      <c r="B186" s="10">
        <v>9.4E-2</v>
      </c>
      <c r="C186" s="10">
        <v>5.2199999999999996E-2</v>
      </c>
      <c r="D186" s="16">
        <v>1.8128</v>
      </c>
      <c r="E186" s="19">
        <v>63046</v>
      </c>
      <c r="F186" s="19">
        <v>34711.226119033199</v>
      </c>
      <c r="G186" s="10">
        <v>1.8800000000000001E-2</v>
      </c>
      <c r="J186" s="17">
        <v>43830.852490640005</v>
      </c>
      <c r="K186" s="33">
        <v>0.2545</v>
      </c>
      <c r="L186" s="15">
        <v>0</v>
      </c>
      <c r="M186" s="15">
        <v>113.4</v>
      </c>
      <c r="N186" s="15">
        <v>103.9</v>
      </c>
      <c r="O186" s="15">
        <v>103.5</v>
      </c>
    </row>
    <row r="187" spans="1:15" x14ac:dyDescent="0.3">
      <c r="A187" s="11">
        <v>40330</v>
      </c>
      <c r="B187" s="10">
        <v>9.9399999999999988E-2</v>
      </c>
      <c r="C187" s="10">
        <v>4.8399999999999999E-2</v>
      </c>
      <c r="D187" s="16">
        <v>1.8061</v>
      </c>
      <c r="E187" s="19">
        <v>60935</v>
      </c>
      <c r="F187" s="19">
        <v>33832.102603964246</v>
      </c>
      <c r="G187" s="10">
        <v>1.8800000000000001E-2</v>
      </c>
      <c r="J187" s="17">
        <v>43793.094940080002</v>
      </c>
      <c r="K187" s="33">
        <v>0.25509999999999999</v>
      </c>
      <c r="L187" s="15">
        <v>0</v>
      </c>
      <c r="M187" s="15">
        <v>112.6</v>
      </c>
      <c r="N187" s="15">
        <v>105.4</v>
      </c>
      <c r="O187" s="15">
        <v>101.2</v>
      </c>
    </row>
    <row r="188" spans="1:15" x14ac:dyDescent="0.3">
      <c r="A188" s="11">
        <v>40360</v>
      </c>
      <c r="B188" s="10">
        <v>0.1032</v>
      </c>
      <c r="C188" s="10">
        <v>4.5999999999999999E-2</v>
      </c>
      <c r="D188" s="16">
        <v>1.7692000000000001</v>
      </c>
      <c r="E188" s="19">
        <v>67515</v>
      </c>
      <c r="F188" s="19">
        <v>38430.669398907099</v>
      </c>
      <c r="G188" s="10">
        <v>1.83E-2</v>
      </c>
      <c r="J188" s="17">
        <v>48003.399756589999</v>
      </c>
      <c r="K188" s="33">
        <v>0.25940000000000002</v>
      </c>
      <c r="L188" s="15">
        <v>1</v>
      </c>
      <c r="M188" s="15">
        <v>111.4</v>
      </c>
      <c r="N188" s="15">
        <v>103.8</v>
      </c>
      <c r="O188" s="15">
        <v>96.4</v>
      </c>
    </row>
    <row r="189" spans="1:15" x14ac:dyDescent="0.3">
      <c r="A189" s="11">
        <v>40391</v>
      </c>
      <c r="B189" s="10">
        <v>0.1066</v>
      </c>
      <c r="C189" s="10">
        <v>4.4900000000000002E-2</v>
      </c>
      <c r="D189" s="16">
        <v>1.7591999999999999</v>
      </c>
      <c r="E189" s="19">
        <v>65145</v>
      </c>
      <c r="F189" s="19">
        <v>37106.971975393026</v>
      </c>
      <c r="G189" s="10">
        <v>1.7999999999999999E-2</v>
      </c>
      <c r="J189" s="17">
        <v>50795.473001840001</v>
      </c>
      <c r="K189" s="33">
        <v>0.26090000000000002</v>
      </c>
      <c r="L189" s="15">
        <v>0</v>
      </c>
      <c r="M189" s="15">
        <v>111.8</v>
      </c>
      <c r="N189" s="15">
        <v>106.4</v>
      </c>
      <c r="O189" s="15">
        <v>98.1</v>
      </c>
    </row>
    <row r="190" spans="1:15" x14ac:dyDescent="0.3">
      <c r="A190" s="11">
        <v>40422</v>
      </c>
      <c r="B190" s="10">
        <v>0.1066</v>
      </c>
      <c r="C190" s="10">
        <v>4.7E-2</v>
      </c>
      <c r="D190" s="16">
        <v>1.7182999999999999</v>
      </c>
      <c r="E190" s="19">
        <v>69429</v>
      </c>
      <c r="F190" s="19">
        <v>40990.081473609636</v>
      </c>
      <c r="G190" s="10">
        <v>2.6699999999999998E-2</v>
      </c>
      <c r="J190" s="17">
        <v>57736.009994600005</v>
      </c>
      <c r="K190" s="33">
        <v>0.26219999999999999</v>
      </c>
      <c r="L190" s="15">
        <v>0</v>
      </c>
      <c r="M190" s="15">
        <v>111.9</v>
      </c>
      <c r="N190" s="15">
        <v>107.3</v>
      </c>
      <c r="O190" s="15">
        <v>98.9</v>
      </c>
    </row>
    <row r="191" spans="1:15" x14ac:dyDescent="0.3">
      <c r="A191" s="11">
        <v>40452</v>
      </c>
      <c r="B191" s="10">
        <v>0.1066</v>
      </c>
      <c r="C191" s="10">
        <v>5.2000000000000005E-2</v>
      </c>
      <c r="D191" s="16">
        <v>1.6831</v>
      </c>
      <c r="E191" s="19">
        <v>70673</v>
      </c>
      <c r="F191" s="19">
        <v>41547.912992357436</v>
      </c>
      <c r="G191" s="10">
        <v>2.5499999999999998E-2</v>
      </c>
      <c r="J191" s="17">
        <v>66312.121394800008</v>
      </c>
      <c r="K191" s="33">
        <v>0.26390000000000002</v>
      </c>
      <c r="L191" s="15">
        <v>1</v>
      </c>
      <c r="M191" s="15">
        <v>112.6</v>
      </c>
      <c r="N191" s="15">
        <v>105.5</v>
      </c>
      <c r="O191" s="15">
        <v>97.7</v>
      </c>
    </row>
    <row r="192" spans="1:15" x14ac:dyDescent="0.3">
      <c r="A192" s="11">
        <v>40483</v>
      </c>
      <c r="B192" s="10">
        <v>0.1066</v>
      </c>
      <c r="C192" s="10">
        <v>5.6299999999999996E-2</v>
      </c>
      <c r="D192" s="16">
        <v>1.7128999999999999</v>
      </c>
      <c r="E192" s="19">
        <v>67705</v>
      </c>
      <c r="F192" s="19">
        <v>39462.027160925572</v>
      </c>
      <c r="G192" s="10">
        <v>2.3200000000000002E-2</v>
      </c>
      <c r="J192" s="17">
        <v>72510.363926510006</v>
      </c>
      <c r="K192" s="33">
        <v>0.26739999999999997</v>
      </c>
      <c r="L192" s="15">
        <v>1</v>
      </c>
      <c r="M192" s="15">
        <v>112.4</v>
      </c>
      <c r="N192" s="15">
        <v>109.4</v>
      </c>
      <c r="O192" s="15">
        <v>101.5</v>
      </c>
    </row>
    <row r="193" spans="1:15" x14ac:dyDescent="0.3">
      <c r="A193" s="11">
        <v>40513</v>
      </c>
      <c r="B193" s="10">
        <v>0.1066</v>
      </c>
      <c r="C193" s="10">
        <v>5.91E-2</v>
      </c>
      <c r="D193" s="16">
        <v>1.6930000000000001</v>
      </c>
      <c r="E193" s="19">
        <v>69304</v>
      </c>
      <c r="F193" s="19">
        <v>41604.034097730822</v>
      </c>
      <c r="G193" s="10">
        <v>2.5599999999999998E-2</v>
      </c>
      <c r="J193" s="17">
        <v>82389.932468070008</v>
      </c>
      <c r="K193" s="33">
        <v>0.27039999999999997</v>
      </c>
      <c r="L193" s="15">
        <v>1</v>
      </c>
      <c r="M193" s="15">
        <v>111.8</v>
      </c>
      <c r="N193" s="15">
        <v>106.4</v>
      </c>
      <c r="O193" s="15">
        <v>94.8</v>
      </c>
    </row>
    <row r="194" spans="1:15" x14ac:dyDescent="0.3">
      <c r="A194" s="11">
        <v>40544</v>
      </c>
      <c r="B194" s="10">
        <v>0.1085</v>
      </c>
      <c r="C194" s="10">
        <v>5.9900000000000002E-2</v>
      </c>
      <c r="D194" s="16">
        <v>1.6745000000000001</v>
      </c>
      <c r="E194" s="19">
        <v>66574</v>
      </c>
      <c r="F194" s="19">
        <v>39793.185893604299</v>
      </c>
      <c r="G194" s="10">
        <v>2.5799999999999997E-2</v>
      </c>
      <c r="J194" s="17">
        <v>85322.931157240004</v>
      </c>
      <c r="K194" s="33">
        <v>0.27060000000000001</v>
      </c>
      <c r="L194" s="15">
        <v>0</v>
      </c>
      <c r="M194" s="15">
        <v>110.3</v>
      </c>
      <c r="N194" s="15">
        <v>107.9</v>
      </c>
      <c r="O194" s="15">
        <v>96.4</v>
      </c>
    </row>
    <row r="195" spans="1:15" x14ac:dyDescent="0.3">
      <c r="A195" s="11">
        <v>40575</v>
      </c>
      <c r="B195" s="10">
        <v>0.11169999999999999</v>
      </c>
      <c r="C195" s="10">
        <v>6.0100000000000001E-2</v>
      </c>
      <c r="D195" s="16">
        <v>1.6676</v>
      </c>
      <c r="E195" s="19">
        <v>67383</v>
      </c>
      <c r="F195" s="19">
        <v>40572.615606936415</v>
      </c>
      <c r="G195" s="10">
        <v>2.6700000000000002E-2</v>
      </c>
      <c r="J195" s="17">
        <v>90002.086522559999</v>
      </c>
      <c r="K195" s="33">
        <v>0.2707</v>
      </c>
      <c r="L195" s="15">
        <v>4</v>
      </c>
      <c r="M195" s="15">
        <v>111.1</v>
      </c>
      <c r="N195" s="15">
        <v>109</v>
      </c>
      <c r="O195" s="15">
        <v>96.8</v>
      </c>
    </row>
    <row r="196" spans="1:15" x14ac:dyDescent="0.3">
      <c r="A196" s="11">
        <v>40603</v>
      </c>
      <c r="B196" s="10">
        <v>0.1162</v>
      </c>
      <c r="C196" s="10">
        <v>6.3E-2</v>
      </c>
      <c r="D196" s="16">
        <v>1.6587000000000001</v>
      </c>
      <c r="E196" s="19">
        <v>68586</v>
      </c>
      <c r="F196" s="19">
        <v>42121.230731437696</v>
      </c>
      <c r="G196" s="10">
        <v>3.0200000000000001E-2</v>
      </c>
      <c r="J196" s="17">
        <v>94096.328587309996</v>
      </c>
      <c r="K196" s="33">
        <v>0.27560000000000001</v>
      </c>
      <c r="L196" s="15">
        <v>1</v>
      </c>
      <c r="M196" s="15">
        <v>109.4</v>
      </c>
      <c r="N196" s="15">
        <v>105.9</v>
      </c>
      <c r="O196" s="15">
        <v>97.1</v>
      </c>
    </row>
    <row r="197" spans="1:15" x14ac:dyDescent="0.3">
      <c r="A197" s="11">
        <v>40634</v>
      </c>
      <c r="B197" s="10">
        <v>0.1174</v>
      </c>
      <c r="C197" s="10">
        <v>6.5099999999999991E-2</v>
      </c>
      <c r="D197" s="16">
        <v>1.5859999999999999</v>
      </c>
      <c r="E197" s="19">
        <v>66132</v>
      </c>
      <c r="F197" s="19">
        <v>42044.630936486748</v>
      </c>
      <c r="G197" s="10">
        <v>2.92E-2</v>
      </c>
      <c r="J197" s="17">
        <v>99188.833522250003</v>
      </c>
      <c r="K197" s="33">
        <v>0.27529999999999999</v>
      </c>
      <c r="L197" s="15">
        <v>1</v>
      </c>
      <c r="M197" s="15">
        <v>110.1</v>
      </c>
      <c r="N197" s="15">
        <v>103.2</v>
      </c>
      <c r="O197" s="15">
        <v>97.1</v>
      </c>
    </row>
    <row r="198" spans="1:15" x14ac:dyDescent="0.3">
      <c r="A198" s="11">
        <v>40664</v>
      </c>
      <c r="B198" s="10">
        <v>0.1192</v>
      </c>
      <c r="C198" s="10">
        <v>6.5500000000000003E-2</v>
      </c>
      <c r="D198" s="16">
        <v>1.6131</v>
      </c>
      <c r="E198" s="19">
        <v>64620</v>
      </c>
      <c r="F198" s="19">
        <v>40911.680911680916</v>
      </c>
      <c r="G198" s="10">
        <v>3.0599999999999999E-2</v>
      </c>
      <c r="J198" s="17">
        <v>99781.226761440019</v>
      </c>
      <c r="K198" s="33">
        <v>0.27560000000000001</v>
      </c>
      <c r="L198" s="15">
        <v>1</v>
      </c>
      <c r="M198" s="15">
        <v>110</v>
      </c>
      <c r="N198" s="15">
        <v>102.4</v>
      </c>
      <c r="O198" s="15">
        <v>94.1</v>
      </c>
    </row>
    <row r="199" spans="1:15" x14ac:dyDescent="0.3">
      <c r="A199" s="11">
        <v>40695</v>
      </c>
      <c r="B199" s="10">
        <v>0.121</v>
      </c>
      <c r="C199" s="10">
        <v>6.7099999999999993E-2</v>
      </c>
      <c r="D199" s="16">
        <v>1.5866</v>
      </c>
      <c r="E199" s="19">
        <v>62403</v>
      </c>
      <c r="F199" s="19">
        <v>39983.981546741845</v>
      </c>
      <c r="G199" s="10">
        <v>3.27E-2</v>
      </c>
      <c r="J199" s="17">
        <v>107369.94185807001</v>
      </c>
      <c r="K199" s="33">
        <v>0.27550000000000002</v>
      </c>
      <c r="L199" s="15">
        <v>2</v>
      </c>
      <c r="M199" s="15">
        <v>109.4</v>
      </c>
      <c r="N199" s="15">
        <v>104.5</v>
      </c>
      <c r="O199" s="15">
        <v>96.7</v>
      </c>
    </row>
    <row r="200" spans="1:15" x14ac:dyDescent="0.3">
      <c r="A200" s="11">
        <v>40725</v>
      </c>
      <c r="B200" s="10">
        <v>0.1225</v>
      </c>
      <c r="C200" s="10">
        <v>6.8699999999999997E-2</v>
      </c>
      <c r="D200" s="16">
        <v>1.5634999999999999</v>
      </c>
      <c r="E200" s="19">
        <v>58823</v>
      </c>
      <c r="F200" s="19">
        <v>37806.414293977759</v>
      </c>
      <c r="G200" s="10">
        <v>3.5099999999999999E-2</v>
      </c>
      <c r="J200" s="17">
        <v>110950.73992782002</v>
      </c>
      <c r="K200" s="33">
        <v>0.27449999999999997</v>
      </c>
      <c r="L200" s="15">
        <v>2</v>
      </c>
      <c r="M200" s="15">
        <v>109.2</v>
      </c>
      <c r="N200" s="15">
        <v>108.4</v>
      </c>
      <c r="O200" s="15">
        <v>96.3</v>
      </c>
    </row>
    <row r="201" spans="1:15" x14ac:dyDescent="0.3">
      <c r="A201" s="11">
        <v>40756</v>
      </c>
      <c r="B201" s="10">
        <v>0.1242</v>
      </c>
      <c r="C201" s="10">
        <v>7.2300000000000003E-2</v>
      </c>
      <c r="D201" s="16">
        <v>1.5966</v>
      </c>
      <c r="E201" s="19">
        <v>56495</v>
      </c>
      <c r="F201" s="19">
        <v>35603.100579783211</v>
      </c>
      <c r="G201" s="10">
        <v>3.4799999999999998E-2</v>
      </c>
      <c r="J201" s="17">
        <v>111897.59616753999</v>
      </c>
      <c r="K201" s="33">
        <v>0.27679999999999999</v>
      </c>
      <c r="L201" s="15">
        <v>0</v>
      </c>
      <c r="M201" s="15">
        <v>106.9</v>
      </c>
      <c r="N201" s="15">
        <v>104.8</v>
      </c>
      <c r="O201" s="15">
        <v>111.6</v>
      </c>
    </row>
    <row r="202" spans="1:15" x14ac:dyDescent="0.3">
      <c r="A202" s="11">
        <v>40787</v>
      </c>
      <c r="B202" s="10">
        <v>0.1191</v>
      </c>
      <c r="C202" s="10">
        <v>7.3099999999999998E-2</v>
      </c>
      <c r="D202" s="16">
        <v>1.7494000000000001</v>
      </c>
      <c r="E202" s="19">
        <v>52324</v>
      </c>
      <c r="F202" s="19">
        <v>28222.222222222223</v>
      </c>
      <c r="G202" s="10">
        <v>0.03</v>
      </c>
      <c r="J202" s="17">
        <v>112451.05761945</v>
      </c>
      <c r="K202" s="33">
        <v>0.27860000000000001</v>
      </c>
      <c r="L202" s="15">
        <v>0</v>
      </c>
      <c r="M202" s="15">
        <v>105.3</v>
      </c>
      <c r="N202" s="15">
        <v>100.9</v>
      </c>
      <c r="O202" s="15">
        <v>108.4</v>
      </c>
    </row>
    <row r="203" spans="1:15" x14ac:dyDescent="0.3">
      <c r="A203" s="11">
        <v>40817</v>
      </c>
      <c r="B203" s="10">
        <v>0.11699999999999999</v>
      </c>
      <c r="C203" s="10">
        <v>6.9699999999999998E-2</v>
      </c>
      <c r="D203" s="16">
        <v>1.7722500000000001</v>
      </c>
      <c r="E203" s="19">
        <v>58338</v>
      </c>
      <c r="F203" s="19">
        <v>34557.355685217546</v>
      </c>
      <c r="G203" s="10">
        <v>3.0700000000000002E-2</v>
      </c>
      <c r="J203" s="17">
        <v>113178.77356943001</v>
      </c>
      <c r="K203" s="33">
        <v>0.27889999999999998</v>
      </c>
      <c r="L203" s="15">
        <v>0</v>
      </c>
      <c r="M203" s="15">
        <v>104.8</v>
      </c>
      <c r="N203" s="15">
        <v>103.8</v>
      </c>
      <c r="O203" s="15">
        <v>105.2</v>
      </c>
    </row>
    <row r="204" spans="1:15" x14ac:dyDescent="0.3">
      <c r="A204" s="11">
        <v>40848</v>
      </c>
      <c r="B204" s="10">
        <v>0.114</v>
      </c>
      <c r="C204" s="10">
        <v>6.6400000000000001E-2</v>
      </c>
      <c r="D204" s="16">
        <v>1.7901500000000001</v>
      </c>
      <c r="E204" s="19">
        <v>56874</v>
      </c>
      <c r="F204" s="19">
        <v>31412.554196238711</v>
      </c>
      <c r="G204" s="10">
        <v>3.1199999999999999E-2</v>
      </c>
      <c r="J204" s="17">
        <v>111161.02321935</v>
      </c>
      <c r="K204" s="33">
        <v>0.27810000000000001</v>
      </c>
      <c r="L204" s="15">
        <v>0</v>
      </c>
      <c r="M204" s="15">
        <v>104.3</v>
      </c>
      <c r="N204" s="15">
        <v>106</v>
      </c>
      <c r="O204" s="15">
        <v>107</v>
      </c>
    </row>
    <row r="205" spans="1:15" x14ac:dyDescent="0.3">
      <c r="A205" s="11">
        <v>40878</v>
      </c>
      <c r="B205" s="10">
        <v>0.109</v>
      </c>
      <c r="C205" s="10">
        <v>6.5000000000000002E-2</v>
      </c>
      <c r="D205" s="16">
        <v>1.8365499999999999</v>
      </c>
      <c r="E205" s="19">
        <v>56754</v>
      </c>
      <c r="F205" s="19">
        <v>30261.537231064547</v>
      </c>
      <c r="G205" s="10">
        <v>2.8799999999999999E-2</v>
      </c>
      <c r="J205" s="17">
        <v>102427.22823142001</v>
      </c>
      <c r="K205" s="33">
        <v>0.27729999999999999</v>
      </c>
      <c r="L205" s="15">
        <v>0</v>
      </c>
      <c r="M205" s="15">
        <v>104.2</v>
      </c>
      <c r="N205" s="15">
        <v>106.4</v>
      </c>
      <c r="O205" s="15">
        <v>105.7</v>
      </c>
    </row>
    <row r="206" spans="1:15" x14ac:dyDescent="0.3">
      <c r="A206" s="11">
        <v>40909</v>
      </c>
      <c r="B206" s="10">
        <v>0.107</v>
      </c>
      <c r="C206" s="10">
        <v>6.2199999999999998E-2</v>
      </c>
      <c r="D206" s="16">
        <v>1.78935</v>
      </c>
      <c r="E206" s="19">
        <v>63072</v>
      </c>
      <c r="F206" s="19">
        <v>36273.291925465841</v>
      </c>
      <c r="G206" s="10">
        <v>3.0099999999999998E-2</v>
      </c>
      <c r="J206" s="17">
        <v>105342.09223290002</v>
      </c>
      <c r="K206" s="33">
        <v>0.27810000000000001</v>
      </c>
      <c r="L206" s="15">
        <v>0</v>
      </c>
      <c r="M206" s="15">
        <v>103.1</v>
      </c>
      <c r="N206" s="15">
        <v>101.7</v>
      </c>
      <c r="O206" s="15">
        <v>102.8</v>
      </c>
    </row>
    <row r="207" spans="1:15" x14ac:dyDescent="0.3">
      <c r="A207" s="11">
        <v>40940</v>
      </c>
      <c r="B207" s="10">
        <v>0.10400000000000001</v>
      </c>
      <c r="C207" s="10">
        <v>5.8400000000000001E-2</v>
      </c>
      <c r="D207" s="16">
        <v>1.7181</v>
      </c>
      <c r="E207" s="19">
        <v>65811</v>
      </c>
      <c r="F207" s="19">
        <v>38510.737901574117</v>
      </c>
      <c r="G207" s="10">
        <v>3.0699999999999998E-2</v>
      </c>
      <c r="J207" s="17">
        <v>100748.25276707001</v>
      </c>
      <c r="K207" s="33">
        <v>0.27699999999999997</v>
      </c>
      <c r="L207" s="15">
        <v>0</v>
      </c>
      <c r="M207" s="15">
        <v>103.7</v>
      </c>
      <c r="N207" s="15">
        <v>105.2</v>
      </c>
      <c r="O207" s="15">
        <v>96.9</v>
      </c>
    </row>
    <row r="208" spans="1:15" x14ac:dyDescent="0.3">
      <c r="A208" s="11">
        <v>40969</v>
      </c>
      <c r="B208" s="10">
        <v>9.820000000000001E-2</v>
      </c>
      <c r="C208" s="10">
        <v>5.2400000000000002E-2</v>
      </c>
      <c r="D208" s="16">
        <v>1.7949999999999999</v>
      </c>
      <c r="E208" s="19">
        <v>64510</v>
      </c>
      <c r="F208" s="19">
        <v>35410.034032275769</v>
      </c>
      <c r="G208" s="10">
        <v>2.9499999999999998E-2</v>
      </c>
      <c r="J208" s="17">
        <v>106011.75175224</v>
      </c>
      <c r="K208" s="33">
        <v>0.27600000000000002</v>
      </c>
      <c r="L208" s="15">
        <v>0</v>
      </c>
      <c r="M208" s="15">
        <v>104.7</v>
      </c>
      <c r="N208" s="15">
        <v>110.3</v>
      </c>
      <c r="O208" s="15">
        <v>95.4</v>
      </c>
    </row>
    <row r="209" spans="1:15" x14ac:dyDescent="0.3">
      <c r="A209" s="11">
        <v>41000</v>
      </c>
      <c r="B209" s="10">
        <v>9.35E-2</v>
      </c>
      <c r="C209" s="10">
        <v>5.0999999999999997E-2</v>
      </c>
      <c r="D209" s="16">
        <v>1.8545</v>
      </c>
      <c r="E209" s="19">
        <v>61820</v>
      </c>
      <c r="F209" s="19">
        <v>32683.055775839282</v>
      </c>
      <c r="G209" s="10">
        <v>2.8499999999999998E-2</v>
      </c>
      <c r="J209" s="17">
        <v>102385.10047133001</v>
      </c>
      <c r="K209" s="33">
        <v>0.27579999999999999</v>
      </c>
      <c r="L209" s="15">
        <v>3</v>
      </c>
      <c r="M209" s="15">
        <v>103.6</v>
      </c>
      <c r="N209" s="15">
        <v>114.4</v>
      </c>
      <c r="O209" s="15">
        <v>97.8</v>
      </c>
    </row>
    <row r="210" spans="1:15" x14ac:dyDescent="0.3">
      <c r="A210" s="11">
        <v>41030</v>
      </c>
      <c r="B210" s="10">
        <v>8.8699999999999987E-2</v>
      </c>
      <c r="C210" s="10">
        <v>4.99E-2</v>
      </c>
      <c r="D210" s="16">
        <v>1.9857</v>
      </c>
      <c r="E210" s="19">
        <v>54490</v>
      </c>
      <c r="F210" s="19">
        <v>26948.565776458949</v>
      </c>
      <c r="G210" s="10">
        <v>2.7299999999999998E-2</v>
      </c>
      <c r="J210" s="17">
        <v>99485.068623170009</v>
      </c>
      <c r="K210" s="33">
        <v>0.27649999999999997</v>
      </c>
      <c r="L210" s="15">
        <v>0</v>
      </c>
      <c r="M210" s="15">
        <v>103.6</v>
      </c>
      <c r="N210" s="15">
        <v>113.6</v>
      </c>
      <c r="O210" s="15">
        <v>101.6</v>
      </c>
    </row>
    <row r="211" spans="1:15" x14ac:dyDescent="0.3">
      <c r="A211" s="11">
        <v>41061</v>
      </c>
      <c r="B211" s="10">
        <v>8.3900000000000002E-2</v>
      </c>
      <c r="C211" s="10">
        <v>4.9200000000000001E-2</v>
      </c>
      <c r="D211" s="16">
        <v>2.0488999999999997</v>
      </c>
      <c r="E211" s="19">
        <v>54354</v>
      </c>
      <c r="F211" s="19">
        <v>26894.606630381</v>
      </c>
      <c r="G211" s="10">
        <v>2.47E-2</v>
      </c>
      <c r="J211" s="17">
        <v>97664.681619710012</v>
      </c>
      <c r="K211" s="33">
        <v>0.27649999999999997</v>
      </c>
      <c r="L211" s="15">
        <v>0</v>
      </c>
      <c r="M211" s="15">
        <v>102.4</v>
      </c>
      <c r="N211" s="15">
        <v>110.3</v>
      </c>
      <c r="O211" s="15">
        <v>106.3</v>
      </c>
    </row>
    <row r="212" spans="1:15" x14ac:dyDescent="0.3">
      <c r="A212" s="11">
        <v>41091</v>
      </c>
      <c r="B212" s="10">
        <v>8.0700000000000008E-2</v>
      </c>
      <c r="C212" s="10">
        <v>5.2000000000000005E-2</v>
      </c>
      <c r="D212" s="16">
        <v>2.0284500000000003</v>
      </c>
      <c r="E212" s="19">
        <v>56097</v>
      </c>
      <c r="F212" s="19">
        <v>27369.063010757938</v>
      </c>
      <c r="G212" s="10">
        <v>2.29E-2</v>
      </c>
      <c r="J212" s="17">
        <v>97764.333139190014</v>
      </c>
      <c r="K212" s="33">
        <v>0.27589999999999998</v>
      </c>
      <c r="L212" s="15">
        <v>0</v>
      </c>
      <c r="M212" s="15">
        <v>102.8</v>
      </c>
      <c r="N212" s="15">
        <v>107.7</v>
      </c>
      <c r="O212" s="15">
        <v>105.6</v>
      </c>
    </row>
    <row r="213" spans="1:15" x14ac:dyDescent="0.3">
      <c r="A213" s="11">
        <v>41122</v>
      </c>
      <c r="B213" s="10">
        <v>7.85E-2</v>
      </c>
      <c r="C213" s="10">
        <v>5.2400000000000002E-2</v>
      </c>
      <c r="D213" s="16">
        <v>2.02915</v>
      </c>
      <c r="E213" s="19">
        <v>57061</v>
      </c>
      <c r="F213" s="19">
        <v>28013.648190878292</v>
      </c>
      <c r="G213" s="10">
        <v>2.2100000000000002E-2</v>
      </c>
      <c r="J213" s="17">
        <v>96929.726058209999</v>
      </c>
      <c r="K213" s="33">
        <v>0.27550000000000002</v>
      </c>
      <c r="L213" s="15">
        <v>0</v>
      </c>
      <c r="M213" s="15">
        <v>103.6</v>
      </c>
      <c r="N213" s="15">
        <v>106.7</v>
      </c>
      <c r="O213" s="15">
        <v>98.8</v>
      </c>
    </row>
    <row r="214" spans="1:15" x14ac:dyDescent="0.3">
      <c r="A214" s="11">
        <v>41153</v>
      </c>
      <c r="B214" s="10">
        <v>7.3899999999999993E-2</v>
      </c>
      <c r="C214" s="10">
        <v>5.28E-2</v>
      </c>
      <c r="D214" s="16">
        <v>2.0278</v>
      </c>
      <c r="E214" s="19">
        <v>59175</v>
      </c>
      <c r="F214" s="19">
        <v>29145.93902378959</v>
      </c>
      <c r="G214" s="10">
        <v>2.0799999999999999E-2</v>
      </c>
      <c r="J214" s="17">
        <v>93168.112955759978</v>
      </c>
      <c r="K214" s="33">
        <v>0.27289999999999998</v>
      </c>
      <c r="L214" s="15">
        <v>0</v>
      </c>
      <c r="M214" s="15">
        <v>104.1</v>
      </c>
      <c r="N214" s="15">
        <v>107.3</v>
      </c>
      <c r="O214" s="15">
        <v>97.5</v>
      </c>
    </row>
    <row r="215" spans="1:15" x14ac:dyDescent="0.3">
      <c r="A215" s="11">
        <v>41183</v>
      </c>
      <c r="B215" s="10">
        <v>7.2300000000000003E-2</v>
      </c>
      <c r="C215" s="10">
        <v>5.45E-2</v>
      </c>
      <c r="D215" s="16">
        <v>2.02955</v>
      </c>
      <c r="E215" s="19">
        <v>57068</v>
      </c>
      <c r="F215" s="19">
        <v>28097.781935452105</v>
      </c>
      <c r="G215" s="10">
        <v>2.0299999999999999E-2</v>
      </c>
      <c r="J215" s="17">
        <v>91047.364245449979</v>
      </c>
      <c r="K215" s="33">
        <v>0.27329999999999999</v>
      </c>
      <c r="L215" s="15">
        <v>0</v>
      </c>
      <c r="M215" s="15">
        <v>103.8</v>
      </c>
      <c r="N215" s="15">
        <v>107.6</v>
      </c>
      <c r="O215" s="15">
        <v>96.3</v>
      </c>
    </row>
    <row r="216" spans="1:15" x14ac:dyDescent="0.3">
      <c r="A216" s="11">
        <v>41214</v>
      </c>
      <c r="B216" s="10">
        <v>7.1399999999999991E-2</v>
      </c>
      <c r="C216" s="10">
        <v>5.5300000000000002E-2</v>
      </c>
      <c r="D216" s="16">
        <v>2.0674999999999999</v>
      </c>
      <c r="E216" s="19">
        <v>57474</v>
      </c>
      <c r="F216" s="19">
        <v>27276.351383417968</v>
      </c>
      <c r="G216" s="10">
        <v>1.77E-2</v>
      </c>
      <c r="J216" s="17">
        <v>95009.741256279987</v>
      </c>
      <c r="K216" s="33">
        <v>0.27350000000000002</v>
      </c>
      <c r="L216" s="15">
        <v>0</v>
      </c>
      <c r="M216" s="15">
        <v>104.2</v>
      </c>
      <c r="N216" s="15">
        <v>106.1</v>
      </c>
      <c r="O216" s="15">
        <v>93.4</v>
      </c>
    </row>
    <row r="217" spans="1:15" x14ac:dyDescent="0.3">
      <c r="A217" s="11">
        <v>41244</v>
      </c>
      <c r="B217" s="10">
        <v>7.1599999999999997E-2</v>
      </c>
      <c r="C217" s="10">
        <v>5.8400000000000001E-2</v>
      </c>
      <c r="D217" s="16">
        <v>2.0774999999999997</v>
      </c>
      <c r="E217" s="19">
        <v>60952</v>
      </c>
      <c r="F217" s="19">
        <v>29831.63664839468</v>
      </c>
      <c r="G217" s="10">
        <v>2.24E-2</v>
      </c>
      <c r="J217" s="17">
        <v>92568.388321339982</v>
      </c>
      <c r="K217" s="33">
        <v>0.27329999999999999</v>
      </c>
      <c r="L217" s="15">
        <v>0</v>
      </c>
      <c r="M217" s="15">
        <v>103.8</v>
      </c>
      <c r="N217" s="15">
        <v>106.2</v>
      </c>
      <c r="O217" s="15">
        <v>94.8</v>
      </c>
    </row>
    <row r="218" spans="1:15" x14ac:dyDescent="0.3">
      <c r="A218" s="11">
        <v>41275</v>
      </c>
      <c r="B218" s="10">
        <v>7.1099999999999997E-2</v>
      </c>
      <c r="C218" s="10">
        <v>6.1500000000000006E-2</v>
      </c>
      <c r="D218" s="16">
        <v>2.0308000000000002</v>
      </c>
      <c r="E218" s="19">
        <v>59761</v>
      </c>
      <c r="F218" s="19">
        <v>30060.865191146881</v>
      </c>
      <c r="G218" s="10">
        <v>2.3099999999999999E-2</v>
      </c>
      <c r="J218" s="17">
        <v>88102.238652860004</v>
      </c>
      <c r="K218" s="33">
        <v>0.2737</v>
      </c>
      <c r="L218" s="15">
        <v>0</v>
      </c>
      <c r="M218" s="15">
        <v>102.9</v>
      </c>
      <c r="N218" s="15">
        <v>106.3</v>
      </c>
      <c r="O218" s="15">
        <v>95.6</v>
      </c>
    </row>
    <row r="219" spans="1:15" x14ac:dyDescent="0.3">
      <c r="A219" s="11">
        <v>41306</v>
      </c>
      <c r="B219" s="10">
        <v>7.1199999999999999E-2</v>
      </c>
      <c r="C219" s="10">
        <v>6.3099999999999989E-2</v>
      </c>
      <c r="D219" s="16">
        <v>1.9729999999999999</v>
      </c>
      <c r="E219" s="19">
        <v>57424</v>
      </c>
      <c r="F219" s="19">
        <v>29073.234944181451</v>
      </c>
      <c r="G219" s="10">
        <v>2.0299999999999999E-2</v>
      </c>
      <c r="J219" s="17">
        <v>85714.668262380001</v>
      </c>
      <c r="K219" s="33">
        <v>0.27279999999999999</v>
      </c>
      <c r="L219" s="15">
        <v>1</v>
      </c>
      <c r="M219" s="15">
        <v>102.7</v>
      </c>
      <c r="N219" s="15">
        <v>104.8</v>
      </c>
      <c r="O219" s="15">
        <v>91.5</v>
      </c>
    </row>
    <row r="220" spans="1:15" x14ac:dyDescent="0.3">
      <c r="A220" s="11">
        <v>41334</v>
      </c>
      <c r="B220" s="10">
        <v>7.1500000000000008E-2</v>
      </c>
      <c r="C220" s="10">
        <v>6.59E-2</v>
      </c>
      <c r="D220" s="16">
        <v>1.9825499999999998</v>
      </c>
      <c r="E220" s="19">
        <v>56352</v>
      </c>
      <c r="F220" s="19">
        <v>27987.087161658808</v>
      </c>
      <c r="G220" s="10">
        <v>1.8600000000000002E-2</v>
      </c>
      <c r="J220" s="17">
        <v>77810.32135783002</v>
      </c>
      <c r="K220" s="33">
        <v>0.26979999999999998</v>
      </c>
      <c r="L220" s="15">
        <v>1</v>
      </c>
      <c r="M220" s="15">
        <v>102.8</v>
      </c>
      <c r="N220" s="15">
        <v>102.8</v>
      </c>
      <c r="O220" s="15">
        <v>92.6</v>
      </c>
    </row>
    <row r="221" spans="1:15" x14ac:dyDescent="0.3">
      <c r="A221" s="11">
        <v>41365</v>
      </c>
      <c r="B221" s="10">
        <v>7.2599999999999998E-2</v>
      </c>
      <c r="C221" s="10">
        <v>6.4899999999999999E-2</v>
      </c>
      <c r="D221" s="16">
        <v>2.0019</v>
      </c>
      <c r="E221" s="19">
        <v>55910</v>
      </c>
      <c r="F221" s="19">
        <v>27935.445188368139</v>
      </c>
      <c r="G221" s="10">
        <v>1.77E-2</v>
      </c>
      <c r="J221" s="17">
        <v>79260.215102179995</v>
      </c>
      <c r="K221" s="33">
        <v>0.26919999999999999</v>
      </c>
      <c r="L221" s="15">
        <v>4</v>
      </c>
      <c r="M221" s="15">
        <v>102</v>
      </c>
      <c r="N221" s="15">
        <v>103.4</v>
      </c>
      <c r="O221" s="15">
        <v>91.5</v>
      </c>
    </row>
    <row r="222" spans="1:15" x14ac:dyDescent="0.3">
      <c r="A222" s="11">
        <v>41395</v>
      </c>
      <c r="B222" s="10">
        <v>7.4200000000000002E-2</v>
      </c>
      <c r="C222" s="10">
        <v>6.5000000000000002E-2</v>
      </c>
      <c r="D222" s="16">
        <v>2.0345500000000003</v>
      </c>
      <c r="E222" s="19">
        <v>53506</v>
      </c>
      <c r="F222" s="19">
        <v>25100.74355546173</v>
      </c>
      <c r="G222" s="10">
        <v>1.83E-2</v>
      </c>
      <c r="J222" s="17">
        <v>87216.389012860003</v>
      </c>
      <c r="K222" s="33">
        <v>0.26829999999999998</v>
      </c>
      <c r="L222" s="15">
        <v>0</v>
      </c>
      <c r="M222" s="15">
        <v>103.4</v>
      </c>
      <c r="N222" s="15">
        <v>102.8</v>
      </c>
      <c r="O222" s="15">
        <v>90.7</v>
      </c>
    </row>
    <row r="223" spans="1:15" x14ac:dyDescent="0.3">
      <c r="A223" s="11">
        <v>41426</v>
      </c>
      <c r="B223" s="10">
        <v>7.9000000000000001E-2</v>
      </c>
      <c r="C223" s="10">
        <v>6.7000000000000004E-2</v>
      </c>
      <c r="D223" s="16">
        <v>2.1726999999999999</v>
      </c>
      <c r="E223" s="19">
        <v>47457</v>
      </c>
      <c r="F223" s="19">
        <v>21422.380715930121</v>
      </c>
      <c r="G223" s="10">
        <v>1.8799999999999997E-2</v>
      </c>
      <c r="J223" s="17">
        <v>90528.092453820005</v>
      </c>
      <c r="K223" s="33">
        <v>0.26619999999999999</v>
      </c>
      <c r="L223" s="15">
        <v>0</v>
      </c>
      <c r="M223" s="15">
        <v>103.3</v>
      </c>
      <c r="N223" s="15">
        <v>101.7</v>
      </c>
      <c r="O223" s="15">
        <v>94.6</v>
      </c>
    </row>
    <row r="224" spans="1:15" x14ac:dyDescent="0.3">
      <c r="A224" s="11">
        <v>41456</v>
      </c>
      <c r="B224" s="10">
        <v>8.2299999999999998E-2</v>
      </c>
      <c r="C224" s="10">
        <v>6.2699999999999992E-2</v>
      </c>
      <c r="D224" s="16">
        <v>2.2519</v>
      </c>
      <c r="E224" s="19">
        <v>48234</v>
      </c>
      <c r="F224" s="19">
        <v>21062.882096069869</v>
      </c>
      <c r="G224" s="10">
        <v>1.7999999999999999E-2</v>
      </c>
      <c r="J224" s="17">
        <v>85764.695652580005</v>
      </c>
      <c r="K224" s="33">
        <v>0.26579999999999998</v>
      </c>
      <c r="L224" s="15">
        <v>1</v>
      </c>
      <c r="M224" s="15">
        <v>100.4</v>
      </c>
      <c r="N224" s="15">
        <v>98.2</v>
      </c>
      <c r="O224" s="15">
        <v>93.8</v>
      </c>
    </row>
    <row r="225" spans="1:15" x14ac:dyDescent="0.3">
      <c r="A225" s="11">
        <v>41487</v>
      </c>
      <c r="B225" s="10">
        <v>8.4499999999999992E-2</v>
      </c>
      <c r="C225" s="10">
        <v>6.0899999999999996E-2</v>
      </c>
      <c r="D225" s="16">
        <v>2.3418999999999999</v>
      </c>
      <c r="E225" s="19">
        <v>50011</v>
      </c>
      <c r="F225" s="19">
        <v>21082.117865272739</v>
      </c>
      <c r="G225" s="10">
        <v>1.7399999999999999E-2</v>
      </c>
      <c r="J225" s="17">
        <v>82771.416718819994</v>
      </c>
      <c r="K225" s="33">
        <v>0.26489999999999997</v>
      </c>
      <c r="L225" s="15">
        <v>0</v>
      </c>
      <c r="M225" s="15">
        <v>100.7</v>
      </c>
      <c r="N225" s="15">
        <v>101.2</v>
      </c>
      <c r="O225" s="15">
        <v>88.7</v>
      </c>
    </row>
    <row r="226" spans="1:15" x14ac:dyDescent="0.3">
      <c r="A226" s="11">
        <v>41518</v>
      </c>
      <c r="B226" s="10">
        <v>8.900000000000001E-2</v>
      </c>
      <c r="C226" s="10">
        <v>5.8600000000000006E-2</v>
      </c>
      <c r="D226" s="16">
        <v>2.2702</v>
      </c>
      <c r="E226" s="19">
        <v>52338</v>
      </c>
      <c r="F226" s="19">
        <v>23473.112974839663</v>
      </c>
      <c r="G226" s="10">
        <v>1.5099999999999999E-2</v>
      </c>
      <c r="J226" s="17">
        <v>80812.760556180001</v>
      </c>
      <c r="K226" s="33">
        <v>0.26269999999999999</v>
      </c>
      <c r="L226" s="15">
        <v>0</v>
      </c>
      <c r="M226" s="15">
        <v>101.6</v>
      </c>
      <c r="N226" s="15">
        <v>102.1</v>
      </c>
      <c r="O226" s="15">
        <v>92.2</v>
      </c>
    </row>
    <row r="227" spans="1:15" x14ac:dyDescent="0.3">
      <c r="A227" s="11">
        <v>41548</v>
      </c>
      <c r="B227" s="10">
        <v>9.2499999999999999E-2</v>
      </c>
      <c r="C227" s="10">
        <v>5.8400000000000001E-2</v>
      </c>
      <c r="D227" s="16">
        <v>2.1883499999999998</v>
      </c>
      <c r="E227" s="19">
        <v>54256</v>
      </c>
      <c r="F227" s="19">
        <v>24636.062298506105</v>
      </c>
      <c r="G227" s="10">
        <v>1.37E-2</v>
      </c>
      <c r="J227" s="17">
        <v>78814.383559190013</v>
      </c>
      <c r="K227" s="33">
        <v>0.26150000000000001</v>
      </c>
      <c r="L227" s="15">
        <v>2</v>
      </c>
      <c r="M227" s="15">
        <v>101.1</v>
      </c>
      <c r="N227" s="15">
        <v>100.6</v>
      </c>
      <c r="O227" s="15">
        <v>90.7</v>
      </c>
    </row>
    <row r="228" spans="1:15" x14ac:dyDescent="0.3">
      <c r="A228" s="11">
        <v>41579</v>
      </c>
      <c r="B228" s="10">
        <v>9.4499999999999987E-2</v>
      </c>
      <c r="C228" s="10">
        <v>5.7699999999999994E-2</v>
      </c>
      <c r="D228" s="16">
        <v>2.2950499999999998</v>
      </c>
      <c r="E228" s="19">
        <v>52482</v>
      </c>
      <c r="F228" s="19">
        <v>22576.787404284605</v>
      </c>
      <c r="G228" s="10">
        <v>0.02</v>
      </c>
      <c r="J228" s="17">
        <v>78223.705579760004</v>
      </c>
      <c r="K228" s="33">
        <v>0.26</v>
      </c>
      <c r="L228" s="15">
        <v>0</v>
      </c>
      <c r="M228" s="15">
        <v>99.1</v>
      </c>
      <c r="N228" s="15">
        <v>102.1</v>
      </c>
      <c r="O228" s="15">
        <v>85.1</v>
      </c>
    </row>
    <row r="229" spans="1:15" x14ac:dyDescent="0.3">
      <c r="A229" s="11">
        <v>41609</v>
      </c>
      <c r="B229" s="10">
        <v>9.9000000000000005E-2</v>
      </c>
      <c r="C229" s="10">
        <v>5.91E-2</v>
      </c>
      <c r="D229" s="16">
        <v>2.3452000000000002</v>
      </c>
      <c r="E229" s="19">
        <v>51507</v>
      </c>
      <c r="F229" s="19">
        <v>21989.924433249373</v>
      </c>
      <c r="G229" s="10">
        <v>1.72E-2</v>
      </c>
      <c r="J229" s="17">
        <v>75211.029129400005</v>
      </c>
      <c r="K229" s="33">
        <v>0.2571</v>
      </c>
      <c r="L229" s="15">
        <v>1</v>
      </c>
      <c r="M229" s="15">
        <v>98.8</v>
      </c>
      <c r="N229" s="15">
        <v>101.1</v>
      </c>
      <c r="O229" s="15">
        <v>85.1</v>
      </c>
    </row>
    <row r="230" spans="1:15" x14ac:dyDescent="0.3">
      <c r="A230" s="11">
        <v>41640</v>
      </c>
      <c r="B230" s="10">
        <v>0.1017</v>
      </c>
      <c r="C230" s="10">
        <v>5.5899999999999998E-2</v>
      </c>
      <c r="D230" s="16">
        <v>2.3818999999999999</v>
      </c>
      <c r="E230" s="19">
        <v>47638</v>
      </c>
      <c r="F230" s="19">
        <v>19636.438582028029</v>
      </c>
      <c r="G230" s="10">
        <v>1.5099999999999999E-2</v>
      </c>
      <c r="J230" s="17">
        <v>79603.311821800002</v>
      </c>
      <c r="K230" s="33">
        <v>0.25690000000000002</v>
      </c>
      <c r="L230" s="15">
        <v>0</v>
      </c>
      <c r="M230" s="15">
        <v>96.9</v>
      </c>
      <c r="N230" s="15">
        <v>98.5</v>
      </c>
      <c r="O230" s="15">
        <v>89.3</v>
      </c>
    </row>
    <row r="231" spans="1:15" x14ac:dyDescent="0.3">
      <c r="A231" s="11">
        <v>41671</v>
      </c>
      <c r="B231" s="10">
        <v>0.1043</v>
      </c>
      <c r="C231" s="10">
        <v>5.6799999999999996E-2</v>
      </c>
      <c r="D231" s="16">
        <v>2.3834</v>
      </c>
      <c r="E231" s="19">
        <v>47094</v>
      </c>
      <c r="F231" s="19">
        <v>20185.593964981461</v>
      </c>
      <c r="G231" s="10">
        <v>1.5900000000000001E-2</v>
      </c>
      <c r="J231" s="17">
        <v>81695.394705319995</v>
      </c>
      <c r="K231" s="33">
        <v>0.25509999999999999</v>
      </c>
      <c r="L231" s="15">
        <v>0</v>
      </c>
      <c r="M231" s="15">
        <v>97.5</v>
      </c>
      <c r="N231" s="15">
        <v>97.3</v>
      </c>
      <c r="O231" s="15">
        <v>93.9</v>
      </c>
    </row>
    <row r="232" spans="1:15" x14ac:dyDescent="0.3">
      <c r="A232" s="11">
        <v>41699</v>
      </c>
      <c r="B232" s="10">
        <v>0.1065</v>
      </c>
      <c r="C232" s="10">
        <v>6.1500000000000006E-2</v>
      </c>
      <c r="D232" s="16">
        <v>2.3258000000000001</v>
      </c>
      <c r="E232" s="19">
        <v>50414</v>
      </c>
      <c r="F232" s="19">
        <v>22280.461395677732</v>
      </c>
      <c r="G232" s="10">
        <v>1.5800000000000002E-2</v>
      </c>
      <c r="J232" s="17">
        <v>81717.058339589988</v>
      </c>
      <c r="K232" s="33">
        <v>0.25269999999999998</v>
      </c>
      <c r="L232" s="15">
        <v>0</v>
      </c>
      <c r="M232" s="15">
        <v>98.3</v>
      </c>
      <c r="N232" s="15">
        <v>97.5</v>
      </c>
      <c r="O232" s="15">
        <v>96.4</v>
      </c>
    </row>
    <row r="233" spans="1:15" x14ac:dyDescent="0.3">
      <c r="A233" s="11">
        <v>41730</v>
      </c>
      <c r="B233" s="10">
        <v>0.10869999999999999</v>
      </c>
      <c r="C233" s="10">
        <v>6.2800000000000009E-2</v>
      </c>
      <c r="D233" s="16">
        <v>2.2324999999999999</v>
      </c>
      <c r="E233" s="19">
        <v>51626</v>
      </c>
      <c r="F233" s="19">
        <v>23091.649147917877</v>
      </c>
      <c r="G233" s="10">
        <v>1.6899999999999998E-2</v>
      </c>
      <c r="J233" s="17">
        <v>82116.148993169991</v>
      </c>
      <c r="K233" s="33">
        <v>0.25120000000000003</v>
      </c>
      <c r="L233" s="15">
        <v>0</v>
      </c>
      <c r="M233" s="15">
        <v>96.5</v>
      </c>
      <c r="N233" s="15">
        <v>97.6</v>
      </c>
      <c r="O233" s="15">
        <v>94.3</v>
      </c>
    </row>
    <row r="234" spans="1:15" x14ac:dyDescent="0.3">
      <c r="A234" s="11">
        <v>41760</v>
      </c>
      <c r="B234" s="10">
        <v>0.109</v>
      </c>
      <c r="C234" s="10">
        <v>6.3700000000000007E-2</v>
      </c>
      <c r="D234" s="16">
        <v>2.2206000000000001</v>
      </c>
      <c r="E234" s="19">
        <v>51239</v>
      </c>
      <c r="F234" s="19">
        <v>22887.836690936707</v>
      </c>
      <c r="G234" s="10">
        <v>1.3600000000000001E-2</v>
      </c>
      <c r="J234" s="17">
        <v>77625.556412559992</v>
      </c>
      <c r="K234" s="33">
        <v>0.25040000000000001</v>
      </c>
      <c r="L234" s="15">
        <v>0</v>
      </c>
      <c r="M234" s="15">
        <v>92.4</v>
      </c>
      <c r="N234" s="15">
        <v>93.1</v>
      </c>
      <c r="O234" s="15">
        <v>88.3</v>
      </c>
    </row>
    <row r="235" spans="1:15" x14ac:dyDescent="0.3">
      <c r="A235" s="11">
        <v>41791</v>
      </c>
      <c r="B235" s="10">
        <v>0.109</v>
      </c>
      <c r="C235" s="10">
        <v>6.5199999999999994E-2</v>
      </c>
      <c r="D235" s="16">
        <v>2.2351999999999999</v>
      </c>
      <c r="E235" s="19">
        <v>53168</v>
      </c>
      <c r="F235" s="19">
        <v>24143.129597675048</v>
      </c>
      <c r="G235" s="10">
        <v>1.23E-2</v>
      </c>
      <c r="J235" s="17">
        <v>72632.827454769998</v>
      </c>
      <c r="K235" s="33">
        <v>0.25</v>
      </c>
      <c r="L235" s="15">
        <v>0</v>
      </c>
      <c r="M235" s="15">
        <v>91.7</v>
      </c>
      <c r="N235" s="15">
        <v>92.8</v>
      </c>
      <c r="O235" s="15">
        <v>93.3</v>
      </c>
    </row>
    <row r="236" spans="1:15" x14ac:dyDescent="0.3">
      <c r="A236" s="11">
        <v>41821</v>
      </c>
      <c r="B236" s="10">
        <v>0.109</v>
      </c>
      <c r="C236" s="10">
        <v>6.5000000000000002E-2</v>
      </c>
      <c r="D236" s="16">
        <v>2.2243000000000004</v>
      </c>
      <c r="E236" s="19">
        <v>55829</v>
      </c>
      <c r="F236" s="19">
        <v>24625.733315689646</v>
      </c>
      <c r="G236" s="10">
        <v>1.1000000000000001E-2</v>
      </c>
      <c r="J236" s="17">
        <v>77323.014838919989</v>
      </c>
      <c r="K236" s="33">
        <v>0.24879999999999999</v>
      </c>
      <c r="L236" s="15">
        <v>0</v>
      </c>
      <c r="M236" s="15">
        <v>91.9</v>
      </c>
      <c r="N236" s="15">
        <v>93.3</v>
      </c>
      <c r="O236" s="15">
        <v>90.5</v>
      </c>
    </row>
    <row r="237" spans="1:15" x14ac:dyDescent="0.3">
      <c r="A237" s="11">
        <v>41852</v>
      </c>
      <c r="B237" s="10">
        <v>0.109</v>
      </c>
      <c r="C237" s="10">
        <v>6.5099999999999991E-2</v>
      </c>
      <c r="D237" s="16">
        <v>2.2676999999999996</v>
      </c>
      <c r="E237" s="19">
        <v>61288</v>
      </c>
      <c r="F237" s="19">
        <v>27369.267181708568</v>
      </c>
      <c r="G237" s="10">
        <v>8.4999999999999989E-3</v>
      </c>
      <c r="J237" s="17">
        <v>82986.199248389996</v>
      </c>
      <c r="K237" s="33">
        <v>0.24780000000000002</v>
      </c>
      <c r="L237" s="15">
        <v>0</v>
      </c>
      <c r="M237" s="15">
        <v>90.7</v>
      </c>
      <c r="N237" s="15">
        <v>91.1</v>
      </c>
      <c r="O237" s="15">
        <v>96</v>
      </c>
    </row>
    <row r="238" spans="1:15" x14ac:dyDescent="0.3">
      <c r="A238" s="11">
        <v>41883</v>
      </c>
      <c r="B238" s="10">
        <v>0.109</v>
      </c>
      <c r="C238" s="10">
        <v>6.7500000000000004E-2</v>
      </c>
      <c r="D238" s="16">
        <v>2.3326000000000002</v>
      </c>
      <c r="E238" s="19">
        <v>54115</v>
      </c>
      <c r="F238" s="19">
        <v>22081.446117435833</v>
      </c>
      <c r="G238" s="10">
        <v>5.8000000000000005E-3</v>
      </c>
      <c r="J238" s="17">
        <v>85770.59170692999</v>
      </c>
      <c r="K238" s="33">
        <v>0.2475</v>
      </c>
      <c r="L238" s="15">
        <v>0</v>
      </c>
      <c r="M238" s="15">
        <v>88.2</v>
      </c>
      <c r="N238" s="15">
        <v>92.4</v>
      </c>
      <c r="O238" s="15">
        <v>96.9</v>
      </c>
    </row>
    <row r="239" spans="1:15" x14ac:dyDescent="0.3">
      <c r="A239" s="11">
        <v>41913</v>
      </c>
      <c r="B239" s="10">
        <v>0.10920000000000001</v>
      </c>
      <c r="C239" s="10">
        <v>6.59E-2</v>
      </c>
      <c r="D239" s="16">
        <v>2.4479500000000001</v>
      </c>
      <c r="E239" s="19">
        <v>54628</v>
      </c>
      <c r="F239" s="19">
        <v>22352.796759278201</v>
      </c>
      <c r="G239" s="10">
        <v>5.4000000000000003E-3</v>
      </c>
      <c r="J239" s="17">
        <v>86252.017938420002</v>
      </c>
      <c r="K239" s="33">
        <v>0.24780000000000002</v>
      </c>
      <c r="L239" s="15">
        <v>1</v>
      </c>
      <c r="M239" s="15">
        <v>87.6</v>
      </c>
      <c r="N239" s="15">
        <v>91.2</v>
      </c>
      <c r="O239" s="15">
        <v>97.3</v>
      </c>
    </row>
    <row r="240" spans="1:15" x14ac:dyDescent="0.3">
      <c r="A240" s="11">
        <v>41944</v>
      </c>
      <c r="B240" s="10">
        <v>0.1115</v>
      </c>
      <c r="C240" s="10">
        <v>6.5599999999999992E-2</v>
      </c>
      <c r="D240" s="16">
        <v>2.5480499999999999</v>
      </c>
      <c r="E240" s="19">
        <v>54664</v>
      </c>
      <c r="F240" s="19">
        <v>21354.79334322994</v>
      </c>
      <c r="G240" s="10">
        <v>-1.2000000000000001E-3</v>
      </c>
      <c r="J240" s="17">
        <v>82748.746001120002</v>
      </c>
      <c r="K240" s="33">
        <v>0.24609999999999999</v>
      </c>
      <c r="L240" s="15">
        <v>0</v>
      </c>
      <c r="M240" s="15">
        <v>86.3</v>
      </c>
      <c r="N240" s="15">
        <v>85.4</v>
      </c>
      <c r="O240" s="15">
        <v>97.2</v>
      </c>
    </row>
    <row r="241" spans="1:15" x14ac:dyDescent="0.3">
      <c r="A241" s="11">
        <v>41974</v>
      </c>
      <c r="B241" s="10">
        <v>0.1158</v>
      </c>
      <c r="C241" s="10">
        <v>6.4100000000000004E-2</v>
      </c>
      <c r="D241" s="16">
        <v>2.6390500000000001</v>
      </c>
      <c r="E241" s="19">
        <v>50007</v>
      </c>
      <c r="F241" s="19">
        <v>18828.64565683949</v>
      </c>
      <c r="G241" s="10">
        <v>-4.7999999999999996E-3</v>
      </c>
      <c r="J241" s="17">
        <v>87713.983217240006</v>
      </c>
      <c r="K241" s="33">
        <v>0.24679999999999999</v>
      </c>
      <c r="L241" s="15">
        <v>0</v>
      </c>
      <c r="M241" s="15">
        <v>86.3</v>
      </c>
      <c r="N241" s="15">
        <v>85.5</v>
      </c>
      <c r="O241" s="15">
        <v>95</v>
      </c>
    </row>
    <row r="242" spans="1:15" x14ac:dyDescent="0.3">
      <c r="A242" s="11">
        <v>42005</v>
      </c>
      <c r="B242" s="10">
        <v>0.1182</v>
      </c>
      <c r="C242" s="10">
        <v>7.1399999999999991E-2</v>
      </c>
      <c r="D242" s="16">
        <v>2.6338999999999997</v>
      </c>
      <c r="E242" s="19">
        <v>46907</v>
      </c>
      <c r="F242" s="19">
        <v>17620.961682945155</v>
      </c>
      <c r="G242" s="10">
        <v>-4.8000000000000004E-3</v>
      </c>
      <c r="J242" s="17">
        <v>83965.091971149988</v>
      </c>
      <c r="K242" s="33">
        <v>0.2482</v>
      </c>
      <c r="L242" s="15">
        <v>0</v>
      </c>
      <c r="M242" s="15">
        <v>83.3</v>
      </c>
      <c r="N242" s="15">
        <v>80</v>
      </c>
      <c r="O242" s="15">
        <v>99</v>
      </c>
    </row>
    <row r="243" spans="1:15" x14ac:dyDescent="0.3">
      <c r="A243" s="11">
        <v>42036</v>
      </c>
      <c r="B243" s="10">
        <v>0.1215</v>
      </c>
      <c r="C243" s="10">
        <v>7.6999999999999999E-2</v>
      </c>
      <c r="D243" s="16">
        <v>2.8161499999999999</v>
      </c>
      <c r="E243" s="19">
        <v>51583</v>
      </c>
      <c r="F243" s="19">
        <v>17923.521951389008</v>
      </c>
      <c r="G243" s="10">
        <v>-5.3000000000000009E-3</v>
      </c>
      <c r="J243" s="17">
        <v>81127.799555690013</v>
      </c>
      <c r="K243" s="33">
        <v>0.247</v>
      </c>
      <c r="L243" s="15">
        <v>0</v>
      </c>
      <c r="M243" s="15">
        <v>81.3</v>
      </c>
      <c r="N243" s="15">
        <v>76.599999999999994</v>
      </c>
      <c r="O243" s="15">
        <v>97.4</v>
      </c>
    </row>
    <row r="244" spans="1:15" x14ac:dyDescent="0.3">
      <c r="A244" s="11">
        <v>42064</v>
      </c>
      <c r="B244" s="10">
        <v>0.1258</v>
      </c>
      <c r="C244" s="10">
        <v>8.1300000000000011E-2</v>
      </c>
      <c r="D244" s="16">
        <v>3.1391999999999998</v>
      </c>
      <c r="E244" s="19">
        <v>51150</v>
      </c>
      <c r="F244" s="19">
        <v>15946.00492564766</v>
      </c>
      <c r="G244" s="10">
        <v>-5.8999999999999999E-3</v>
      </c>
      <c r="J244" s="17">
        <v>76996.192675099999</v>
      </c>
      <c r="K244" s="33">
        <v>0.2462</v>
      </c>
      <c r="L244" s="15">
        <v>0</v>
      </c>
      <c r="M244" s="15">
        <v>75.400000000000006</v>
      </c>
      <c r="N244" s="15">
        <v>75.2</v>
      </c>
      <c r="O244" s="15">
        <v>109.2</v>
      </c>
    </row>
    <row r="245" spans="1:15" x14ac:dyDescent="0.3">
      <c r="A245" s="11">
        <v>42095</v>
      </c>
      <c r="B245" s="10">
        <v>0.1268</v>
      </c>
      <c r="C245" s="10">
        <v>8.1699999999999995E-2</v>
      </c>
      <c r="D245" s="16">
        <v>3.0429000000000004</v>
      </c>
      <c r="E245" s="19">
        <v>56229</v>
      </c>
      <c r="F245" s="19">
        <v>18784.953061838107</v>
      </c>
      <c r="G245" s="10">
        <v>-6.4999999999999997E-3</v>
      </c>
      <c r="J245" s="17">
        <v>73966.130519580009</v>
      </c>
      <c r="K245" s="33">
        <v>0.2462</v>
      </c>
      <c r="L245" s="15">
        <v>0</v>
      </c>
      <c r="M245" s="15">
        <v>76.099999999999994</v>
      </c>
      <c r="N245" s="15">
        <v>76.5</v>
      </c>
      <c r="O245" s="15">
        <v>103.6</v>
      </c>
    </row>
    <row r="246" spans="1:15" x14ac:dyDescent="0.3">
      <c r="A246" s="11">
        <v>42125</v>
      </c>
      <c r="B246" s="10">
        <v>0.13150000000000001</v>
      </c>
      <c r="C246" s="10">
        <v>8.4700000000000011E-2</v>
      </c>
      <c r="D246" s="16">
        <v>3.0613999999999999</v>
      </c>
      <c r="E246" s="19">
        <v>52760</v>
      </c>
      <c r="F246" s="19">
        <v>16599.285815413175</v>
      </c>
      <c r="G246" s="10">
        <v>-5.8000000000000005E-3</v>
      </c>
      <c r="J246" s="17">
        <v>71615.619362679994</v>
      </c>
      <c r="K246" s="33">
        <v>0.24530000000000002</v>
      </c>
      <c r="L246" s="15">
        <v>0</v>
      </c>
      <c r="M246" s="15">
        <v>76.099999999999994</v>
      </c>
      <c r="N246" s="15">
        <v>75.599999999999994</v>
      </c>
      <c r="O246" s="15">
        <v>105.1</v>
      </c>
    </row>
    <row r="247" spans="1:15" x14ac:dyDescent="0.3">
      <c r="A247" s="11">
        <v>42156</v>
      </c>
      <c r="B247" s="10">
        <v>0.1358</v>
      </c>
      <c r="C247" s="10">
        <v>8.8900000000000007E-2</v>
      </c>
      <c r="D247" s="16">
        <v>3.1113999999999997</v>
      </c>
      <c r="E247" s="19">
        <v>53080</v>
      </c>
      <c r="F247" s="19">
        <v>17110.161979208642</v>
      </c>
      <c r="G247" s="10">
        <v>-6.8000000000000005E-3</v>
      </c>
      <c r="J247" s="17">
        <v>71219.904454710006</v>
      </c>
      <c r="K247" s="33">
        <v>0.24480000000000002</v>
      </c>
      <c r="L247" s="15">
        <v>1</v>
      </c>
      <c r="M247" s="15">
        <v>74.7</v>
      </c>
      <c r="N247" s="15">
        <v>74</v>
      </c>
      <c r="O247" s="15">
        <v>105.7</v>
      </c>
    </row>
    <row r="248" spans="1:15" x14ac:dyDescent="0.3">
      <c r="A248" s="11">
        <v>42186</v>
      </c>
      <c r="B248" s="10">
        <v>0.13689999999999999</v>
      </c>
      <c r="C248" s="10">
        <v>9.5600000000000004E-2</v>
      </c>
      <c r="D248" s="16">
        <v>3.2228000000000003</v>
      </c>
      <c r="E248" s="19">
        <v>50864</v>
      </c>
      <c r="F248" s="19">
        <v>14987.77145887969</v>
      </c>
      <c r="G248" s="10">
        <v>-7.5999999999999991E-3</v>
      </c>
      <c r="J248" s="17">
        <v>67000.052545309998</v>
      </c>
      <c r="K248" s="33">
        <v>0.24559999999999998</v>
      </c>
      <c r="L248" s="15">
        <v>0</v>
      </c>
      <c r="M248" s="15">
        <v>73.2</v>
      </c>
      <c r="N248" s="15">
        <v>70.099999999999994</v>
      </c>
      <c r="O248" s="15">
        <v>118.4</v>
      </c>
    </row>
    <row r="249" spans="1:15" x14ac:dyDescent="0.3">
      <c r="A249" s="11">
        <v>42217</v>
      </c>
      <c r="B249" s="10">
        <v>0.14150000000000001</v>
      </c>
      <c r="C249" s="10">
        <v>9.5299999999999996E-2</v>
      </c>
      <c r="D249" s="16">
        <v>3.5140000000000002</v>
      </c>
      <c r="E249" s="19">
        <v>46625</v>
      </c>
      <c r="F249" s="19">
        <v>12786.584028082492</v>
      </c>
      <c r="G249" s="10">
        <v>-6.3999999999999994E-3</v>
      </c>
      <c r="J249" s="17">
        <v>62688.330615589992</v>
      </c>
      <c r="K249" s="33">
        <v>0.24579999999999999</v>
      </c>
      <c r="L249" s="15">
        <v>0</v>
      </c>
      <c r="M249" s="15">
        <v>71.5</v>
      </c>
      <c r="N249" s="15">
        <v>68.7</v>
      </c>
      <c r="O249" s="15">
        <v>126.6</v>
      </c>
    </row>
    <row r="250" spans="1:15" x14ac:dyDescent="0.3">
      <c r="A250" s="11">
        <v>42248</v>
      </c>
      <c r="B250" s="10">
        <v>0.14150000000000001</v>
      </c>
      <c r="C250" s="10">
        <v>9.4899999999999998E-2</v>
      </c>
      <c r="D250" s="16">
        <v>3.9061500000000002</v>
      </c>
      <c r="E250" s="19">
        <v>45059</v>
      </c>
      <c r="F250" s="19">
        <v>11342.588513675095</v>
      </c>
      <c r="G250" s="10">
        <v>-3.3999999999999998E-3</v>
      </c>
      <c r="J250" s="17">
        <v>62215.664318829993</v>
      </c>
      <c r="K250" s="33">
        <v>0.2465</v>
      </c>
      <c r="L250" s="15">
        <v>0</v>
      </c>
      <c r="M250" s="15">
        <v>68.7</v>
      </c>
      <c r="N250" s="15">
        <v>63.5</v>
      </c>
      <c r="O250" s="15">
        <v>136.80000000000001</v>
      </c>
    </row>
    <row r="251" spans="1:15" x14ac:dyDescent="0.3">
      <c r="A251" s="11">
        <v>42278</v>
      </c>
      <c r="B251" s="10">
        <v>0.14150000000000001</v>
      </c>
      <c r="C251" s="10">
        <v>9.9299999999999999E-2</v>
      </c>
      <c r="D251" s="16">
        <v>3.8798000000000004</v>
      </c>
      <c r="E251" s="19">
        <v>45868</v>
      </c>
      <c r="F251" s="19">
        <v>11887.367016107086</v>
      </c>
      <c r="G251" s="10">
        <v>-6.0000000000000001E-3</v>
      </c>
      <c r="J251" s="17">
        <v>60743.115661599993</v>
      </c>
      <c r="K251" s="33">
        <v>0.2457</v>
      </c>
      <c r="L251" s="15">
        <v>0</v>
      </c>
      <c r="M251" s="15">
        <v>68.8</v>
      </c>
      <c r="N251" s="15">
        <v>63.8</v>
      </c>
      <c r="O251" s="15">
        <v>121</v>
      </c>
    </row>
    <row r="252" spans="1:15" x14ac:dyDescent="0.3">
      <c r="A252" s="11">
        <v>42309</v>
      </c>
      <c r="B252" s="10">
        <v>0.14150000000000001</v>
      </c>
      <c r="C252" s="10">
        <v>0.1048</v>
      </c>
      <c r="D252" s="16">
        <v>3.7761499999999999</v>
      </c>
      <c r="E252" s="19">
        <v>45120</v>
      </c>
      <c r="F252" s="19">
        <v>11718.719563664697</v>
      </c>
      <c r="G252" s="10">
        <v>-7.7999999999999996E-3</v>
      </c>
      <c r="J252" s="17">
        <v>61441.501348329992</v>
      </c>
      <c r="K252" s="33">
        <v>0.24359999999999998</v>
      </c>
      <c r="L252" s="15">
        <v>0</v>
      </c>
      <c r="M252" s="15">
        <v>70</v>
      </c>
      <c r="N252" s="15">
        <v>64.7</v>
      </c>
      <c r="O252" s="15">
        <v>112.9</v>
      </c>
    </row>
    <row r="253" spans="1:15" x14ac:dyDescent="0.3">
      <c r="A253" s="11">
        <v>42339</v>
      </c>
      <c r="B253" s="10">
        <v>0.14150000000000001</v>
      </c>
      <c r="C253" s="10">
        <v>0.1067</v>
      </c>
      <c r="D253" s="16">
        <v>3.8708</v>
      </c>
      <c r="E253" s="19">
        <v>43349</v>
      </c>
      <c r="F253" s="19">
        <v>11102.3178383916</v>
      </c>
      <c r="G253" s="10">
        <v>-1.7899999999999999E-2</v>
      </c>
      <c r="J253" s="17">
        <v>64738.153494439997</v>
      </c>
      <c r="K253" s="33">
        <v>0.23960000000000001</v>
      </c>
      <c r="L253" s="15">
        <v>0</v>
      </c>
      <c r="M253" s="15">
        <v>69.099999999999994</v>
      </c>
      <c r="N253" s="15">
        <v>63.3</v>
      </c>
      <c r="O253" s="15">
        <v>117</v>
      </c>
    </row>
    <row r="254" spans="1:15" x14ac:dyDescent="0.3">
      <c r="A254" s="11">
        <v>42370</v>
      </c>
      <c r="B254" s="10">
        <v>0.14150000000000001</v>
      </c>
      <c r="C254" s="10">
        <v>0.10710000000000001</v>
      </c>
      <c r="D254" s="16">
        <v>4.0520499999999995</v>
      </c>
      <c r="E254" s="19">
        <v>40405</v>
      </c>
      <c r="F254" s="19">
        <v>9995.0525664811375</v>
      </c>
      <c r="G254" s="10">
        <v>-1.6400000000000001E-2</v>
      </c>
      <c r="J254" s="17">
        <v>66423.437192719997</v>
      </c>
      <c r="K254" s="33">
        <v>0.23920000000000002</v>
      </c>
      <c r="L254" s="15">
        <v>0</v>
      </c>
      <c r="M254" s="15">
        <v>70.3</v>
      </c>
      <c r="N254" s="15">
        <v>65.900000000000006</v>
      </c>
      <c r="O254" s="15">
        <v>113.6</v>
      </c>
    </row>
    <row r="255" spans="1:15" x14ac:dyDescent="0.3">
      <c r="A255" s="11">
        <v>42401</v>
      </c>
      <c r="B255" s="10">
        <v>0.14150000000000001</v>
      </c>
      <c r="C255" s="10">
        <v>0.1036</v>
      </c>
      <c r="D255" s="16">
        <v>3.9733999999999998</v>
      </c>
      <c r="E255" s="19">
        <v>42793</v>
      </c>
      <c r="F255" s="19">
        <v>10753.901439951749</v>
      </c>
      <c r="G255" s="10">
        <v>-0.02</v>
      </c>
      <c r="J255" s="17">
        <v>68937.345283210001</v>
      </c>
      <c r="K255" s="33">
        <v>0.2366</v>
      </c>
      <c r="L255" s="15">
        <v>0</v>
      </c>
      <c r="M255" s="15">
        <v>69.5</v>
      </c>
      <c r="N255" s="15">
        <v>68.599999999999994</v>
      </c>
      <c r="O255" s="15">
        <v>115.5</v>
      </c>
    </row>
    <row r="256" spans="1:15" x14ac:dyDescent="0.3">
      <c r="A256" s="11">
        <v>42430</v>
      </c>
      <c r="B256" s="10">
        <v>0.14150000000000001</v>
      </c>
      <c r="C256" s="10">
        <v>9.3900000000000011E-2</v>
      </c>
      <c r="D256" s="16">
        <v>3.7035999999999998</v>
      </c>
      <c r="E256" s="19">
        <v>50055</v>
      </c>
      <c r="F256" s="19">
        <v>14065.924801888383</v>
      </c>
      <c r="G256" s="10">
        <v>-2.1700000000000001E-2</v>
      </c>
      <c r="J256" s="17">
        <v>72761.97181208001</v>
      </c>
      <c r="K256" s="33">
        <v>0.2346</v>
      </c>
      <c r="L256" s="15">
        <v>0</v>
      </c>
      <c r="M256" s="15">
        <v>70.3</v>
      </c>
      <c r="N256" s="15">
        <v>67</v>
      </c>
      <c r="O256" s="15">
        <v>123.3</v>
      </c>
    </row>
    <row r="257" spans="1:15" x14ac:dyDescent="0.3">
      <c r="A257" s="11">
        <v>42461</v>
      </c>
      <c r="B257" s="10">
        <v>0.14150000000000001</v>
      </c>
      <c r="C257" s="10">
        <v>9.2799999999999994E-2</v>
      </c>
      <c r="D257" s="16">
        <v>3.5655000000000001</v>
      </c>
      <c r="E257" s="19">
        <v>53910</v>
      </c>
      <c r="F257" s="19">
        <v>15623.822634400813</v>
      </c>
      <c r="G257" s="10">
        <v>-2.2199999999999998E-2</v>
      </c>
      <c r="J257" s="17">
        <v>76110.239609330005</v>
      </c>
      <c r="K257" s="33">
        <v>0.2324</v>
      </c>
      <c r="L257" s="15">
        <v>0</v>
      </c>
      <c r="M257" s="15">
        <v>70.400000000000006</v>
      </c>
      <c r="N257" s="15">
        <v>65.900000000000006</v>
      </c>
      <c r="O257" s="15">
        <v>128.30000000000001</v>
      </c>
    </row>
    <row r="258" spans="1:15" x14ac:dyDescent="0.3">
      <c r="A258" s="11">
        <v>42491</v>
      </c>
      <c r="B258" s="10">
        <v>0.14150000000000001</v>
      </c>
      <c r="C258" s="10">
        <v>9.3200000000000005E-2</v>
      </c>
      <c r="D258" s="16">
        <v>3.5389999999999997</v>
      </c>
      <c r="E258" s="19">
        <v>48471</v>
      </c>
      <c r="F258" s="19">
        <v>13483.643039946588</v>
      </c>
      <c r="G258" s="10">
        <v>-2.3799999999999998E-2</v>
      </c>
      <c r="J258" s="17">
        <v>76317.111867230007</v>
      </c>
      <c r="K258" s="33">
        <v>0.23139999999999999</v>
      </c>
      <c r="L258" s="15">
        <v>0</v>
      </c>
      <c r="M258" s="15">
        <v>72.7</v>
      </c>
      <c r="N258" s="15">
        <v>69.900000000000006</v>
      </c>
      <c r="O258" s="15">
        <v>120.7</v>
      </c>
    </row>
    <row r="259" spans="1:15" x14ac:dyDescent="0.3">
      <c r="A259" s="11">
        <v>42522</v>
      </c>
      <c r="B259" s="10">
        <v>0.14150000000000001</v>
      </c>
      <c r="C259" s="10">
        <v>8.8399999999999992E-2</v>
      </c>
      <c r="D259" s="16">
        <v>3.4241999999999999</v>
      </c>
      <c r="E259" s="19">
        <v>51526</v>
      </c>
      <c r="F259" s="19">
        <v>16054.214052033025</v>
      </c>
      <c r="G259" s="10">
        <v>-2.4E-2</v>
      </c>
      <c r="J259" s="17">
        <v>74638.861246250002</v>
      </c>
      <c r="K259" s="33">
        <v>0.23</v>
      </c>
      <c r="L259" s="15">
        <v>0</v>
      </c>
      <c r="M259" s="15">
        <v>75</v>
      </c>
      <c r="N259" s="15">
        <v>72.599999999999994</v>
      </c>
      <c r="O259" s="15">
        <v>119.7</v>
      </c>
    </row>
    <row r="260" spans="1:15" x14ac:dyDescent="0.3">
      <c r="A260" s="11">
        <v>42552</v>
      </c>
      <c r="B260" s="10">
        <v>0.14150000000000001</v>
      </c>
      <c r="C260" s="10">
        <v>8.7400000000000005E-2</v>
      </c>
      <c r="D260" s="16">
        <v>3.2752999999999997</v>
      </c>
      <c r="E260" s="19">
        <v>57308</v>
      </c>
      <c r="F260" s="19">
        <v>17694.754067990245</v>
      </c>
      <c r="G260" s="10">
        <v>-2.4500000000000001E-2</v>
      </c>
      <c r="J260" s="17">
        <v>68878.619345109997</v>
      </c>
      <c r="K260" s="33">
        <v>0.22800000000000001</v>
      </c>
      <c r="L260" s="15">
        <v>0</v>
      </c>
      <c r="M260" s="15">
        <v>78.3</v>
      </c>
      <c r="N260" s="15">
        <v>76.7</v>
      </c>
      <c r="O260" s="15">
        <v>117.7</v>
      </c>
    </row>
    <row r="261" spans="1:15" x14ac:dyDescent="0.3">
      <c r="A261" s="11">
        <v>42583</v>
      </c>
      <c r="B261" s="10">
        <v>0.14150000000000001</v>
      </c>
      <c r="C261" s="10">
        <v>8.9700000000000002E-2</v>
      </c>
      <c r="D261" s="16">
        <v>3.2094</v>
      </c>
      <c r="E261" s="19">
        <v>57901</v>
      </c>
      <c r="F261" s="19">
        <v>17870.679012345678</v>
      </c>
      <c r="G261" s="10">
        <v>-2.6800000000000001E-2</v>
      </c>
      <c r="J261" s="17">
        <v>71601.56623959</v>
      </c>
      <c r="K261" s="33">
        <v>0.22699999999999998</v>
      </c>
      <c r="L261" s="15">
        <v>0</v>
      </c>
      <c r="M261" s="15">
        <v>80.2</v>
      </c>
      <c r="N261" s="15">
        <v>78.900000000000006</v>
      </c>
      <c r="O261" s="15">
        <v>112</v>
      </c>
    </row>
    <row r="262" spans="1:15" x14ac:dyDescent="0.3">
      <c r="A262" s="11">
        <v>42614</v>
      </c>
      <c r="B262" s="10">
        <v>0.14150000000000001</v>
      </c>
      <c r="C262" s="10">
        <v>8.48E-2</v>
      </c>
      <c r="D262" s="16">
        <v>3.2561</v>
      </c>
      <c r="E262" s="19">
        <v>58367</v>
      </c>
      <c r="F262" s="19">
        <v>17981.761606950309</v>
      </c>
      <c r="G262" s="10">
        <v>-3.0100000000000002E-2</v>
      </c>
      <c r="J262" s="17">
        <v>70443.708596159995</v>
      </c>
      <c r="K262" s="33">
        <v>0.22500000000000001</v>
      </c>
      <c r="L262" s="15">
        <v>0</v>
      </c>
      <c r="M262" s="15">
        <v>81.3</v>
      </c>
      <c r="N262" s="15">
        <v>79.5</v>
      </c>
      <c r="O262" s="15">
        <v>110.7</v>
      </c>
    </row>
    <row r="263" spans="1:15" x14ac:dyDescent="0.3">
      <c r="A263" s="11">
        <v>42644</v>
      </c>
      <c r="B263" s="10">
        <v>0.14050000000000001</v>
      </c>
      <c r="C263" s="10">
        <v>7.8700000000000006E-2</v>
      </c>
      <c r="D263" s="16">
        <v>3.1855000000000002</v>
      </c>
      <c r="E263" s="19">
        <v>64924</v>
      </c>
      <c r="F263" s="19">
        <v>20411.217303822941</v>
      </c>
      <c r="G263" s="10">
        <v>-2.1700000000000001E-2</v>
      </c>
      <c r="J263" s="17">
        <v>72571.268913129999</v>
      </c>
      <c r="K263" s="33">
        <v>0.22399999999999998</v>
      </c>
      <c r="L263" s="15">
        <v>1</v>
      </c>
      <c r="M263" s="15">
        <v>80.900000000000006</v>
      </c>
      <c r="N263" s="15">
        <v>80.3</v>
      </c>
      <c r="O263" s="15">
        <v>114</v>
      </c>
    </row>
    <row r="264" spans="1:15" x14ac:dyDescent="0.3">
      <c r="A264" s="11">
        <v>42675</v>
      </c>
      <c r="B264" s="10">
        <v>0.13900000000000001</v>
      </c>
      <c r="C264" s="10">
        <v>6.9900000000000004E-2</v>
      </c>
      <c r="D264" s="16">
        <v>3.3417000000000003</v>
      </c>
      <c r="E264" s="19">
        <v>61906</v>
      </c>
      <c r="F264" s="19">
        <v>18226.946178306443</v>
      </c>
      <c r="G264" s="10">
        <v>-2.4900000000000002E-2</v>
      </c>
      <c r="J264" s="17">
        <v>72981.010509399988</v>
      </c>
      <c r="K264" s="33">
        <v>0.22399999999999998</v>
      </c>
      <c r="L264" s="15">
        <v>0</v>
      </c>
      <c r="M264" s="15">
        <v>80.2</v>
      </c>
      <c r="N264" s="15">
        <v>77.3</v>
      </c>
      <c r="O264" s="15">
        <v>116.2</v>
      </c>
    </row>
    <row r="265" spans="1:15" x14ac:dyDescent="0.3">
      <c r="A265" s="11">
        <v>42705</v>
      </c>
      <c r="B265" s="10">
        <v>0.13650000000000001</v>
      </c>
      <c r="C265" s="10">
        <v>6.2899999999999998E-2</v>
      </c>
      <c r="D265" s="16">
        <v>3.3520000000000003</v>
      </c>
      <c r="E265" s="19">
        <v>60227</v>
      </c>
      <c r="F265" s="19">
        <v>18481.34282557997</v>
      </c>
      <c r="G265" s="10">
        <v>-2.47E-2</v>
      </c>
      <c r="J265" s="17">
        <v>74294.627801190014</v>
      </c>
      <c r="K265" s="33">
        <v>0.22219999999999998</v>
      </c>
      <c r="L265" s="15">
        <v>0</v>
      </c>
      <c r="M265" s="15">
        <v>78.599999999999994</v>
      </c>
      <c r="N265" s="15">
        <v>72.2</v>
      </c>
      <c r="O265" s="15">
        <v>123.2</v>
      </c>
    </row>
    <row r="266" spans="1:15" x14ac:dyDescent="0.3">
      <c r="A266" s="11">
        <v>42736</v>
      </c>
      <c r="B266" s="10">
        <v>0.13170000000000001</v>
      </c>
      <c r="C266" s="10">
        <v>5.3499999999999999E-2</v>
      </c>
      <c r="D266" s="16">
        <v>3.1962999999999999</v>
      </c>
      <c r="E266" s="19">
        <v>64670</v>
      </c>
      <c r="F266" s="19">
        <v>20683.148367288199</v>
      </c>
      <c r="G266" s="10">
        <v>-2.3300000000000001E-2</v>
      </c>
      <c r="J266" s="17">
        <v>80067.354814320002</v>
      </c>
      <c r="K266" s="33">
        <v>0.22149999999999997</v>
      </c>
      <c r="L266" s="15">
        <v>0</v>
      </c>
      <c r="M266" s="15">
        <v>81.2</v>
      </c>
      <c r="N266" s="15">
        <v>78.599999999999994</v>
      </c>
      <c r="O266" s="15">
        <v>113.9</v>
      </c>
    </row>
    <row r="267" spans="1:15" x14ac:dyDescent="0.3">
      <c r="A267" s="11">
        <v>42767</v>
      </c>
      <c r="B267" s="10">
        <v>0.12820000000000001</v>
      </c>
      <c r="C267" s="10">
        <v>4.7599999999999996E-2</v>
      </c>
      <c r="D267" s="16">
        <v>3.1039000000000003</v>
      </c>
      <c r="E267" s="19">
        <v>66662</v>
      </c>
      <c r="F267" s="19">
        <v>21510.809938689898</v>
      </c>
      <c r="G267" s="10">
        <v>-2.3100000000000002E-2</v>
      </c>
      <c r="J267" s="17">
        <v>78131.035695520011</v>
      </c>
      <c r="K267" s="33">
        <v>0.22</v>
      </c>
      <c r="L267" s="15">
        <v>2</v>
      </c>
      <c r="M267" s="15">
        <v>81.900000000000006</v>
      </c>
      <c r="N267" s="15">
        <v>81.400000000000006</v>
      </c>
      <c r="O267" s="15">
        <v>108.3</v>
      </c>
    </row>
    <row r="268" spans="1:15" x14ac:dyDescent="0.3">
      <c r="A268" s="11">
        <v>42795</v>
      </c>
      <c r="B268" s="10">
        <v>0.1215</v>
      </c>
      <c r="C268" s="10">
        <v>4.5700000000000005E-2</v>
      </c>
      <c r="D268" s="16">
        <v>3.1276000000000002</v>
      </c>
      <c r="E268" s="19">
        <v>64984</v>
      </c>
      <c r="F268" s="19">
        <v>20511.978788548342</v>
      </c>
      <c r="G268" s="10">
        <v>-2.3100000000000002E-2</v>
      </c>
      <c r="J268" s="17">
        <v>79887.076012830003</v>
      </c>
      <c r="K268" s="33">
        <v>0.2195</v>
      </c>
      <c r="L268" s="15">
        <v>0</v>
      </c>
      <c r="M268" s="15">
        <v>84.4</v>
      </c>
      <c r="N268" s="15">
        <v>85.3</v>
      </c>
      <c r="O268" s="15">
        <v>111.9</v>
      </c>
    </row>
    <row r="269" spans="1:15" x14ac:dyDescent="0.3">
      <c r="A269" s="11">
        <v>42826</v>
      </c>
      <c r="B269" s="10">
        <v>0.1159</v>
      </c>
      <c r="C269" s="10">
        <v>4.0800000000000003E-2</v>
      </c>
      <c r="D269" s="16">
        <v>3.1359000000000004</v>
      </c>
      <c r="E269" s="19">
        <v>65403</v>
      </c>
      <c r="F269" s="19">
        <v>20450.580031893936</v>
      </c>
      <c r="G269" s="10">
        <v>-2.2800000000000001E-2</v>
      </c>
      <c r="J269" s="17">
        <v>77916.64323442</v>
      </c>
      <c r="K269" s="33">
        <v>0.2167</v>
      </c>
      <c r="L269" s="15">
        <v>1</v>
      </c>
      <c r="M269" s="15">
        <v>86</v>
      </c>
      <c r="N269" s="15">
        <v>83.7</v>
      </c>
      <c r="O269" s="15">
        <v>109.2</v>
      </c>
    </row>
    <row r="270" spans="1:15" x14ac:dyDescent="0.3">
      <c r="A270" s="11">
        <v>42856</v>
      </c>
      <c r="B270" s="10">
        <v>0.1115</v>
      </c>
      <c r="C270" s="10">
        <v>3.6000000000000004E-2</v>
      </c>
      <c r="D270" s="16">
        <v>3.2090999999999998</v>
      </c>
      <c r="E270" s="19">
        <v>62711</v>
      </c>
      <c r="F270" s="19">
        <v>19334.957143738051</v>
      </c>
      <c r="G270" s="10">
        <v>-2.4799999999999999E-2</v>
      </c>
      <c r="J270" s="17">
        <v>74722.673237049996</v>
      </c>
      <c r="K270" s="33">
        <v>0.2165</v>
      </c>
      <c r="L270" s="15">
        <v>0</v>
      </c>
      <c r="M270" s="15">
        <v>87</v>
      </c>
      <c r="N270" s="15">
        <v>84.5</v>
      </c>
      <c r="O270" s="15">
        <v>116.6</v>
      </c>
    </row>
    <row r="271" spans="1:15" x14ac:dyDescent="0.3">
      <c r="A271" s="11">
        <v>42887</v>
      </c>
      <c r="B271" s="10">
        <v>0.10150000000000001</v>
      </c>
      <c r="C271" s="10">
        <v>0.03</v>
      </c>
      <c r="D271" s="16">
        <v>3.2950999999999997</v>
      </c>
      <c r="E271" s="19">
        <v>62899</v>
      </c>
      <c r="F271" s="19">
        <v>19014.782792708364</v>
      </c>
      <c r="G271" s="10">
        <v>-2.6099999999999998E-2</v>
      </c>
      <c r="J271" s="17">
        <v>74461.810710279999</v>
      </c>
      <c r="K271" s="33">
        <v>0.21609999999999999</v>
      </c>
      <c r="L271" s="15">
        <v>0</v>
      </c>
      <c r="M271" s="15">
        <v>86</v>
      </c>
      <c r="N271" s="15">
        <v>82.7</v>
      </c>
      <c r="O271" s="15">
        <v>124</v>
      </c>
    </row>
    <row r="272" spans="1:15" x14ac:dyDescent="0.3">
      <c r="A272" s="11">
        <v>42917</v>
      </c>
      <c r="B272" s="10">
        <v>0.10009999999999999</v>
      </c>
      <c r="C272" s="10">
        <v>2.7099999999999999E-2</v>
      </c>
      <c r="D272" s="16">
        <v>3.2058</v>
      </c>
      <c r="E272" s="19">
        <v>65920</v>
      </c>
      <c r="F272" s="19">
        <v>21058.011755686177</v>
      </c>
      <c r="G272" s="10">
        <v>-2.6700000000000002E-2</v>
      </c>
      <c r="J272" s="17">
        <v>78154.514089809993</v>
      </c>
      <c r="K272" s="33">
        <v>0.21590000000000001</v>
      </c>
      <c r="L272" s="15">
        <v>4</v>
      </c>
      <c r="M272" s="15">
        <v>86.6</v>
      </c>
      <c r="N272" s="15">
        <v>82.3</v>
      </c>
      <c r="O272" s="15">
        <v>119.8</v>
      </c>
    </row>
    <row r="273" spans="1:15" x14ac:dyDescent="0.3">
      <c r="A273" s="11">
        <v>42948</v>
      </c>
      <c r="B273" s="10">
        <v>9.1499999999999998E-2</v>
      </c>
      <c r="C273" s="10">
        <v>2.46E-2</v>
      </c>
      <c r="D273" s="16">
        <v>3.1505999999999998</v>
      </c>
      <c r="E273" s="19">
        <v>70835</v>
      </c>
      <c r="F273" s="19">
        <v>22510.169060633027</v>
      </c>
      <c r="G273" s="10">
        <v>-2.46E-2</v>
      </c>
      <c r="J273" s="17">
        <v>76224.902115649995</v>
      </c>
      <c r="K273" s="33">
        <v>0.2162</v>
      </c>
      <c r="L273" s="15">
        <v>0</v>
      </c>
      <c r="M273" s="15">
        <v>87</v>
      </c>
      <c r="N273" s="15">
        <v>80.8</v>
      </c>
      <c r="O273" s="15">
        <v>112.1</v>
      </c>
    </row>
    <row r="274" spans="1:15" x14ac:dyDescent="0.3">
      <c r="A274" s="11">
        <v>42979</v>
      </c>
      <c r="B274" s="10">
        <v>8.3499999999999991E-2</v>
      </c>
      <c r="C274" s="10">
        <v>2.5399999999999999E-2</v>
      </c>
      <c r="D274" s="16">
        <v>3.1345000000000001</v>
      </c>
      <c r="E274" s="19">
        <v>74293</v>
      </c>
      <c r="F274" s="19">
        <v>23453.294188212269</v>
      </c>
      <c r="G274" s="10">
        <v>-2.3599999999999999E-2</v>
      </c>
      <c r="J274" s="17">
        <v>80090.338706519979</v>
      </c>
      <c r="K274" s="33">
        <v>0.2152</v>
      </c>
      <c r="L274" s="15">
        <v>1</v>
      </c>
      <c r="M274" s="15">
        <v>89.3</v>
      </c>
      <c r="N274" s="15">
        <v>82.7</v>
      </c>
      <c r="O274" s="15">
        <v>107.1</v>
      </c>
    </row>
    <row r="275" spans="1:15" x14ac:dyDescent="0.3">
      <c r="A275" s="11">
        <v>43009</v>
      </c>
      <c r="B275" s="10">
        <v>8.0100000000000005E-2</v>
      </c>
      <c r="C275" s="10">
        <v>2.7000000000000003E-2</v>
      </c>
      <c r="D275" s="16">
        <v>3.1909000000000001</v>
      </c>
      <c r="E275" s="19">
        <v>74308</v>
      </c>
      <c r="F275" s="19">
        <v>22678.386131966061</v>
      </c>
      <c r="G275" s="10">
        <v>-2.8700000000000003E-2</v>
      </c>
      <c r="J275" s="17">
        <v>80871.033006569996</v>
      </c>
      <c r="K275" s="33">
        <v>0.2162</v>
      </c>
      <c r="L275" s="15">
        <v>0</v>
      </c>
      <c r="M275" s="15">
        <v>92</v>
      </c>
      <c r="N275" s="15">
        <v>84.5</v>
      </c>
      <c r="O275" s="15">
        <v>103.8</v>
      </c>
    </row>
    <row r="276" spans="1:15" x14ac:dyDescent="0.3">
      <c r="A276" s="11">
        <v>43040</v>
      </c>
      <c r="B276" s="10">
        <v>7.400000000000001E-2</v>
      </c>
      <c r="C276" s="10">
        <v>2.7999999999999997E-2</v>
      </c>
      <c r="D276" s="16">
        <v>3.2590500000000002</v>
      </c>
      <c r="E276" s="19">
        <v>71970</v>
      </c>
      <c r="F276" s="19">
        <v>22067.887038910863</v>
      </c>
      <c r="G276" s="10">
        <v>-2.2800000000000001E-2</v>
      </c>
      <c r="J276" s="17">
        <v>78522.803484950011</v>
      </c>
      <c r="K276" s="33">
        <v>0.21719999999999998</v>
      </c>
      <c r="L276" s="15">
        <v>0</v>
      </c>
      <c r="M276" s="15">
        <v>91.6</v>
      </c>
      <c r="N276" s="15">
        <v>86.8</v>
      </c>
      <c r="O276" s="15">
        <v>103.1</v>
      </c>
    </row>
    <row r="277" spans="1:15" x14ac:dyDescent="0.3">
      <c r="A277" s="11">
        <v>43070</v>
      </c>
      <c r="B277" s="10">
        <v>7.0000000000000007E-2</v>
      </c>
      <c r="C277" s="10">
        <v>2.9500000000000002E-2</v>
      </c>
      <c r="D277" s="16">
        <v>3.2915999999999999</v>
      </c>
      <c r="E277" s="19">
        <v>76402</v>
      </c>
      <c r="F277" s="19">
        <v>23098.225352964299</v>
      </c>
      <c r="G277" s="10">
        <v>-1.6900000000000002E-2</v>
      </c>
      <c r="J277" s="17">
        <v>68885.49131523</v>
      </c>
      <c r="K277" s="33">
        <v>0.21629999999999999</v>
      </c>
      <c r="L277" s="15">
        <v>2</v>
      </c>
      <c r="M277" s="15">
        <v>92.7</v>
      </c>
      <c r="N277" s="15">
        <v>86.5</v>
      </c>
      <c r="O277" s="15">
        <v>106.1</v>
      </c>
    </row>
    <row r="278" spans="1:15" x14ac:dyDescent="0.3">
      <c r="A278" s="11">
        <v>43101</v>
      </c>
      <c r="B278" s="10">
        <v>6.9000000000000006E-2</v>
      </c>
      <c r="C278" s="10">
        <v>2.86E-2</v>
      </c>
      <c r="D278" s="16">
        <v>3.2103000000000002</v>
      </c>
      <c r="E278" s="19">
        <v>84912</v>
      </c>
      <c r="F278" s="19">
        <v>26853.040700800102</v>
      </c>
      <c r="G278" s="10">
        <v>-1.5199999999999998E-2</v>
      </c>
      <c r="J278" s="17">
        <v>64835.077042409997</v>
      </c>
      <c r="K278" s="33">
        <v>0.21729999999999999</v>
      </c>
      <c r="L278" s="15">
        <v>0</v>
      </c>
      <c r="M278" s="15">
        <v>92.8</v>
      </c>
      <c r="N278" s="15">
        <v>88.1</v>
      </c>
      <c r="O278" s="15">
        <v>105.4</v>
      </c>
    </row>
    <row r="279" spans="1:15" x14ac:dyDescent="0.3">
      <c r="A279" s="11">
        <v>43132</v>
      </c>
      <c r="B279" s="10">
        <v>6.7199999999999996E-2</v>
      </c>
      <c r="C279" s="10">
        <v>2.8399999999999998E-2</v>
      </c>
      <c r="D279" s="16">
        <v>3.2412000000000001</v>
      </c>
      <c r="E279" s="19">
        <v>85353</v>
      </c>
      <c r="F279" s="19">
        <v>26306.170252111198</v>
      </c>
      <c r="G279" s="10">
        <v>-1.4200000000000001E-2</v>
      </c>
      <c r="J279" s="17">
        <v>67456.357926929995</v>
      </c>
      <c r="K279" s="33">
        <v>0.217</v>
      </c>
      <c r="L279" s="15">
        <v>0</v>
      </c>
      <c r="M279" s="15">
        <v>94.3</v>
      </c>
      <c r="N279" s="15">
        <v>88.2</v>
      </c>
      <c r="O279" s="15">
        <v>104.3</v>
      </c>
    </row>
    <row r="280" spans="1:15" x14ac:dyDescent="0.3">
      <c r="A280" s="11">
        <v>43160</v>
      </c>
      <c r="B280" s="10">
        <v>6.5799999999999997E-2</v>
      </c>
      <c r="C280" s="10">
        <v>2.6800000000000001E-2</v>
      </c>
      <c r="D280" s="16">
        <v>3.2789000000000001</v>
      </c>
      <c r="E280" s="19">
        <v>85365</v>
      </c>
      <c r="F280" s="19">
        <v>25685.271551075672</v>
      </c>
      <c r="G280" s="10">
        <v>-1.6299999999999999E-2</v>
      </c>
      <c r="J280" s="17">
        <v>65983.737611370001</v>
      </c>
      <c r="K280" s="33">
        <v>0.21710000000000002</v>
      </c>
      <c r="L280" s="15">
        <v>0</v>
      </c>
      <c r="M280" s="15">
        <v>95.6</v>
      </c>
      <c r="N280" s="15">
        <v>93.3</v>
      </c>
      <c r="O280" s="15">
        <v>111.3</v>
      </c>
    </row>
    <row r="281" spans="1:15" x14ac:dyDescent="0.3">
      <c r="A281" s="11">
        <v>43191</v>
      </c>
      <c r="B281" s="10">
        <v>6.4000000000000001E-2</v>
      </c>
      <c r="C281" s="10">
        <v>2.76E-2</v>
      </c>
      <c r="D281" s="16">
        <v>3.4072</v>
      </c>
      <c r="E281" s="19">
        <v>86115</v>
      </c>
      <c r="F281" s="19">
        <v>24740.002298322222</v>
      </c>
      <c r="G281" s="10">
        <v>-1.7600000000000001E-2</v>
      </c>
      <c r="J281" s="17">
        <v>62815.284763989999</v>
      </c>
      <c r="K281" s="33">
        <v>0.21859999999999999</v>
      </c>
      <c r="L281" s="15">
        <v>3</v>
      </c>
      <c r="M281" s="15">
        <v>94.6</v>
      </c>
      <c r="N281" s="15">
        <v>91.1</v>
      </c>
      <c r="O281" s="15">
        <v>116.4</v>
      </c>
    </row>
    <row r="282" spans="1:15" x14ac:dyDescent="0.3">
      <c r="A282" s="11">
        <v>43221</v>
      </c>
      <c r="B282" s="10">
        <v>6.4000000000000001E-2</v>
      </c>
      <c r="C282" s="10">
        <v>2.86E-2</v>
      </c>
      <c r="D282" s="16">
        <v>3.6357999999999997</v>
      </c>
      <c r="E282" s="19">
        <v>76753</v>
      </c>
      <c r="F282" s="19">
        <v>20540.316321888298</v>
      </c>
      <c r="G282" s="10">
        <v>-1.4199999999999999E-2</v>
      </c>
      <c r="J282" s="17">
        <v>62238.409963439997</v>
      </c>
      <c r="K282" s="33">
        <v>0.2205</v>
      </c>
      <c r="L282" s="15">
        <v>0</v>
      </c>
      <c r="M282" s="15">
        <v>94.2</v>
      </c>
      <c r="N282" s="15">
        <v>89.3</v>
      </c>
      <c r="O282" s="15">
        <v>119.7</v>
      </c>
    </row>
    <row r="283" spans="1:15" x14ac:dyDescent="0.3">
      <c r="A283" s="11">
        <v>43252</v>
      </c>
      <c r="B283" s="10">
        <v>6.4000000000000001E-2</v>
      </c>
      <c r="C283" s="10">
        <v>4.3899999999999995E-2</v>
      </c>
      <c r="D283" s="16">
        <v>3.7728999999999999</v>
      </c>
      <c r="E283" s="19">
        <v>72762</v>
      </c>
      <c r="F283" s="19">
        <v>18872.260407210477</v>
      </c>
      <c r="G283" s="10">
        <v>-1.3300000000000001E-2</v>
      </c>
      <c r="J283" s="17">
        <v>65073.161034979996</v>
      </c>
      <c r="K283" s="33">
        <v>0.22120000000000001</v>
      </c>
      <c r="L283" s="15">
        <v>0</v>
      </c>
      <c r="M283" s="15">
        <v>92.3</v>
      </c>
      <c r="N283" s="15">
        <v>83.2</v>
      </c>
      <c r="O283" s="15">
        <v>127.7</v>
      </c>
    </row>
    <row r="284" spans="1:15" x14ac:dyDescent="0.3">
      <c r="A284" s="11">
        <v>43282</v>
      </c>
      <c r="B284" s="10">
        <v>6.4000000000000001E-2</v>
      </c>
      <c r="C284" s="10">
        <v>4.4800000000000006E-2</v>
      </c>
      <c r="D284" s="16">
        <v>3.8284500000000001</v>
      </c>
      <c r="E284" s="19">
        <v>79220</v>
      </c>
      <c r="F284" s="19">
        <v>21099.451339689982</v>
      </c>
      <c r="G284" s="10">
        <v>-1.15E-2</v>
      </c>
      <c r="J284" s="17">
        <v>65002.115925149999</v>
      </c>
      <c r="K284" s="33">
        <v>0.2213</v>
      </c>
      <c r="L284" s="15">
        <v>0</v>
      </c>
      <c r="M284" s="15">
        <v>92.9</v>
      </c>
      <c r="N284" s="15">
        <v>84</v>
      </c>
      <c r="O284" s="15">
        <v>115.7</v>
      </c>
    </row>
    <row r="285" spans="1:15" x14ac:dyDescent="0.3">
      <c r="A285" s="11">
        <v>43313</v>
      </c>
      <c r="B285" s="10">
        <v>6.4000000000000001E-2</v>
      </c>
      <c r="C285" s="10">
        <v>4.1900000000000007E-2</v>
      </c>
      <c r="D285" s="16">
        <v>3.9295</v>
      </c>
      <c r="E285" s="19">
        <v>76677</v>
      </c>
      <c r="F285" s="19">
        <v>18543.409915356711</v>
      </c>
      <c r="G285" s="10">
        <v>-1.26E-2</v>
      </c>
      <c r="J285" s="17">
        <v>69890.906423829991</v>
      </c>
      <c r="K285" s="33">
        <v>0.22359999999999999</v>
      </c>
      <c r="L285" s="15">
        <v>0</v>
      </c>
      <c r="M285" s="15">
        <v>93.4</v>
      </c>
      <c r="N285" s="15">
        <v>82.9</v>
      </c>
      <c r="O285" s="15">
        <v>114.2</v>
      </c>
    </row>
    <row r="286" spans="1:15" x14ac:dyDescent="0.3">
      <c r="A286" s="11">
        <v>43344</v>
      </c>
      <c r="B286" s="10">
        <v>6.4000000000000001E-2</v>
      </c>
      <c r="C286" s="10">
        <v>4.53E-2</v>
      </c>
      <c r="D286" s="16">
        <v>4.1162000000000001</v>
      </c>
      <c r="E286" s="19">
        <v>79342</v>
      </c>
      <c r="F286" s="19">
        <v>19817.664102307921</v>
      </c>
      <c r="G286" s="10">
        <v>-1.3000000000000001E-2</v>
      </c>
      <c r="J286" s="17">
        <v>67940.983891560012</v>
      </c>
      <c r="K286" s="33">
        <v>0.22329999999999997</v>
      </c>
      <c r="L286" s="15">
        <v>0</v>
      </c>
      <c r="M286" s="15">
        <v>91.9</v>
      </c>
      <c r="N286" s="15">
        <v>81.8</v>
      </c>
      <c r="O286" s="15">
        <v>121.5</v>
      </c>
    </row>
    <row r="287" spans="1:15" x14ac:dyDescent="0.3">
      <c r="A287" s="11">
        <v>43374</v>
      </c>
      <c r="B287" s="10">
        <v>6.4000000000000001E-2</v>
      </c>
      <c r="C287" s="10">
        <v>4.5599999999999995E-2</v>
      </c>
      <c r="D287" s="16">
        <v>3.7580999999999998</v>
      </c>
      <c r="E287" s="19">
        <v>87423</v>
      </c>
      <c r="F287" s="19">
        <v>23517.243234518752</v>
      </c>
      <c r="G287" s="10">
        <v>-1.2700000000000001E-2</v>
      </c>
      <c r="J287" s="17">
        <v>67492.847366970003</v>
      </c>
      <c r="K287" s="33">
        <v>0.22570000000000001</v>
      </c>
      <c r="L287" s="15">
        <v>0</v>
      </c>
      <c r="M287" s="15">
        <v>92.7</v>
      </c>
      <c r="N287" s="15">
        <v>84.3</v>
      </c>
      <c r="O287" s="15">
        <v>110.3</v>
      </c>
    </row>
    <row r="288" spans="1:15" x14ac:dyDescent="0.3">
      <c r="A288" s="11">
        <v>43405</v>
      </c>
      <c r="B288" s="10">
        <v>6.4000000000000001E-2</v>
      </c>
      <c r="C288" s="10">
        <v>4.0500000000000001E-2</v>
      </c>
      <c r="D288" s="16">
        <v>3.7863500000000001</v>
      </c>
      <c r="E288" s="19">
        <v>89504</v>
      </c>
      <c r="F288" s="19">
        <v>23169.557338855811</v>
      </c>
      <c r="G288" s="10">
        <v>-1.46E-2</v>
      </c>
      <c r="J288" s="17">
        <v>71915.402783209996</v>
      </c>
      <c r="K288" s="33">
        <v>0.2303</v>
      </c>
      <c r="L288" s="15">
        <v>0</v>
      </c>
      <c r="M288" s="15">
        <v>95.4</v>
      </c>
      <c r="N288" s="15">
        <v>92.4</v>
      </c>
      <c r="O288" s="15">
        <v>111.7</v>
      </c>
    </row>
    <row r="289" spans="1:15" x14ac:dyDescent="0.3">
      <c r="A289" s="11">
        <v>43435</v>
      </c>
      <c r="B289" s="10">
        <v>6.4000000000000001E-2</v>
      </c>
      <c r="C289" s="10">
        <v>3.7499999999999999E-2</v>
      </c>
      <c r="D289" s="16">
        <v>3.8847499999999999</v>
      </c>
      <c r="E289" s="19">
        <v>87887</v>
      </c>
      <c r="F289" s="19">
        <v>22683.443024906439</v>
      </c>
      <c r="G289" s="10">
        <v>-1.61E-2</v>
      </c>
      <c r="J289" s="17">
        <v>78183.84004498001</v>
      </c>
      <c r="K289" s="33">
        <v>0.2321</v>
      </c>
      <c r="L289" s="15">
        <v>0</v>
      </c>
      <c r="M289" s="15">
        <v>96.1</v>
      </c>
      <c r="N289" s="15">
        <v>92.4</v>
      </c>
      <c r="O289" s="15">
        <v>113</v>
      </c>
    </row>
    <row r="290" spans="1:15" x14ac:dyDescent="0.3">
      <c r="A290" s="11">
        <v>43466</v>
      </c>
      <c r="B290" s="10">
        <v>6.4000000000000001E-2</v>
      </c>
      <c r="C290" s="10">
        <v>3.78E-2</v>
      </c>
      <c r="D290" s="16">
        <v>3.7413999999999996</v>
      </c>
      <c r="E290" s="19">
        <v>97393</v>
      </c>
      <c r="F290" s="19">
        <v>26671.322160148975</v>
      </c>
      <c r="G290" s="10">
        <v>-1.6199999999999999E-2</v>
      </c>
      <c r="J290" s="17">
        <v>72657.80260575001</v>
      </c>
      <c r="K290" s="33">
        <v>0.23499999999999999</v>
      </c>
      <c r="L290" s="15">
        <v>0</v>
      </c>
      <c r="M290" s="15">
        <v>97.6</v>
      </c>
      <c r="N290" s="15">
        <v>96.1</v>
      </c>
      <c r="O290" s="15">
        <v>111.5</v>
      </c>
    </row>
    <row r="291" spans="1:15" x14ac:dyDescent="0.3">
      <c r="A291" s="11">
        <v>43497</v>
      </c>
      <c r="B291" s="10">
        <v>6.4000000000000001E-2</v>
      </c>
      <c r="C291" s="10">
        <v>3.8900000000000004E-2</v>
      </c>
      <c r="D291" s="16">
        <v>3.7233000000000001</v>
      </c>
      <c r="E291" s="19">
        <v>95584</v>
      </c>
      <c r="F291" s="19">
        <v>25569.525440051362</v>
      </c>
      <c r="G291" s="10">
        <v>-1.5899999999999997E-2</v>
      </c>
      <c r="J291" s="17">
        <v>73494.305519310001</v>
      </c>
      <c r="K291" s="33">
        <v>0.2369</v>
      </c>
      <c r="L291" s="15">
        <v>0</v>
      </c>
      <c r="M291" s="15">
        <v>96.9</v>
      </c>
      <c r="N291" s="15">
        <v>96</v>
      </c>
      <c r="O291" s="15">
        <v>111.3</v>
      </c>
    </row>
    <row r="292" spans="1:15" x14ac:dyDescent="0.3">
      <c r="A292" s="11">
        <v>43525</v>
      </c>
      <c r="B292" s="10">
        <v>6.4000000000000001E-2</v>
      </c>
      <c r="C292" s="10">
        <v>4.58E-2</v>
      </c>
      <c r="D292" s="16">
        <v>3.8461999999999996</v>
      </c>
      <c r="E292" s="19">
        <v>95414</v>
      </c>
      <c r="F292" s="19">
        <v>24487.732265681141</v>
      </c>
      <c r="G292" s="10">
        <v>-1.49E-2</v>
      </c>
      <c r="J292" s="17">
        <v>70073.683697349989</v>
      </c>
      <c r="K292" s="33">
        <v>0.23719999999999999</v>
      </c>
      <c r="L292" s="15">
        <v>0</v>
      </c>
      <c r="M292" s="15">
        <v>94.8</v>
      </c>
      <c r="N292" s="15">
        <v>93</v>
      </c>
      <c r="O292" s="15">
        <v>109.2</v>
      </c>
    </row>
    <row r="293" spans="1:15" x14ac:dyDescent="0.3">
      <c r="A293" s="11">
        <v>43556</v>
      </c>
      <c r="B293" s="10">
        <v>6.4000000000000001E-2</v>
      </c>
      <c r="C293" s="10">
        <v>4.9400000000000006E-2</v>
      </c>
      <c r="D293" s="16">
        <v>3.8959000000000001</v>
      </c>
      <c r="E293" s="19">
        <v>96353</v>
      </c>
      <c r="F293" s="19">
        <v>24424.081115335866</v>
      </c>
      <c r="G293" s="10">
        <v>-1.4400000000000001E-2</v>
      </c>
      <c r="J293" s="17">
        <v>72617.723480369998</v>
      </c>
      <c r="K293" s="33">
        <v>0.2394</v>
      </c>
      <c r="L293" s="15">
        <v>1</v>
      </c>
      <c r="M293" s="15">
        <v>94.8</v>
      </c>
      <c r="N293" s="15">
        <v>91.4</v>
      </c>
      <c r="O293" s="15">
        <v>117.3</v>
      </c>
    </row>
    <row r="294" spans="1:15" x14ac:dyDescent="0.3">
      <c r="A294" s="11">
        <v>43586</v>
      </c>
      <c r="B294" s="10">
        <v>6.4000000000000001E-2</v>
      </c>
      <c r="C294" s="10">
        <v>4.6600000000000003E-2</v>
      </c>
      <c r="D294" s="16">
        <v>4.0011999999999999</v>
      </c>
      <c r="E294" s="19">
        <v>97030</v>
      </c>
      <c r="F294" s="19">
        <v>24624.403613846309</v>
      </c>
      <c r="G294" s="10">
        <v>-1.46E-2</v>
      </c>
      <c r="J294" s="17">
        <v>78936.52043715</v>
      </c>
      <c r="K294" s="33">
        <v>0.24199999999999999</v>
      </c>
      <c r="L294" s="15">
        <v>0</v>
      </c>
      <c r="M294" s="15">
        <v>93.2</v>
      </c>
      <c r="N294" s="15">
        <v>87.4</v>
      </c>
      <c r="O294" s="15">
        <v>119.5</v>
      </c>
    </row>
    <row r="295" spans="1:15" x14ac:dyDescent="0.3">
      <c r="A295" s="11">
        <v>43617</v>
      </c>
      <c r="B295" s="10">
        <v>6.4000000000000001E-2</v>
      </c>
      <c r="C295" s="10">
        <v>3.3700000000000001E-2</v>
      </c>
      <c r="D295" s="16">
        <v>3.8585000000000003</v>
      </c>
      <c r="E295" s="19">
        <v>100967</v>
      </c>
      <c r="F295" s="19">
        <v>26349.069652130795</v>
      </c>
      <c r="G295" s="10">
        <v>-1.43E-2</v>
      </c>
      <c r="J295" s="17">
        <v>73687.482790029986</v>
      </c>
      <c r="K295" s="33">
        <v>0.24480000000000002</v>
      </c>
      <c r="L295" s="15">
        <v>1</v>
      </c>
      <c r="M295" s="15">
        <v>93.4</v>
      </c>
      <c r="N295" s="15">
        <v>88.4</v>
      </c>
      <c r="O295" s="15">
        <v>119.1</v>
      </c>
    </row>
    <row r="296" spans="1:15" x14ac:dyDescent="0.3">
      <c r="A296" s="11">
        <v>43647</v>
      </c>
      <c r="B296" s="10">
        <v>6.4000000000000001E-2</v>
      </c>
      <c r="C296" s="10">
        <v>3.2199999999999999E-2</v>
      </c>
      <c r="D296" s="16">
        <v>3.7789999999999999</v>
      </c>
      <c r="E296" s="19">
        <v>101812</v>
      </c>
      <c r="F296" s="19">
        <v>27044.573128619246</v>
      </c>
      <c r="G296" s="10">
        <v>-1.4100000000000001E-2</v>
      </c>
      <c r="J296" s="17">
        <v>75761.871929090004</v>
      </c>
      <c r="K296" s="33">
        <v>0.24670000000000003</v>
      </c>
      <c r="L296" s="15">
        <v>0</v>
      </c>
      <c r="M296" s="15">
        <v>94.8</v>
      </c>
      <c r="N296" s="15">
        <v>87.6</v>
      </c>
      <c r="O296" s="15">
        <v>108.4</v>
      </c>
    </row>
    <row r="297" spans="1:15" x14ac:dyDescent="0.3">
      <c r="A297" s="11">
        <v>43678</v>
      </c>
      <c r="B297" s="10">
        <v>5.9000000000000004E-2</v>
      </c>
      <c r="C297" s="10">
        <v>3.4300000000000004E-2</v>
      </c>
      <c r="D297" s="16">
        <v>4.0197000000000003</v>
      </c>
      <c r="E297" s="19">
        <v>101134</v>
      </c>
      <c r="F297" s="19">
        <v>24439.128123338654</v>
      </c>
      <c r="G297" s="10">
        <v>-1.35E-2</v>
      </c>
      <c r="J297" s="17">
        <v>77015.97494077</v>
      </c>
      <c r="K297" s="33">
        <v>0.25030000000000002</v>
      </c>
      <c r="L297" s="15">
        <v>0</v>
      </c>
      <c r="M297" s="15">
        <v>94.8</v>
      </c>
      <c r="N297" s="15">
        <v>88.3</v>
      </c>
      <c r="O297" s="15">
        <v>114.2</v>
      </c>
    </row>
    <row r="298" spans="1:15" x14ac:dyDescent="0.3">
      <c r="A298" s="11">
        <v>43709</v>
      </c>
      <c r="B298" s="10">
        <v>5.7099999999999998E-2</v>
      </c>
      <c r="C298" s="10">
        <v>2.8900000000000002E-2</v>
      </c>
      <c r="D298" s="16">
        <v>4.1212</v>
      </c>
      <c r="E298" s="19">
        <v>104745</v>
      </c>
      <c r="F298" s="19">
        <v>25154.295045748186</v>
      </c>
      <c r="G298" s="10">
        <v>-1.2799999999999999E-2</v>
      </c>
      <c r="J298" s="17">
        <v>75185.924160819995</v>
      </c>
      <c r="K298" s="33">
        <v>0.25140000000000001</v>
      </c>
      <c r="L298" s="15">
        <v>0</v>
      </c>
      <c r="M298" s="15">
        <v>94.9</v>
      </c>
      <c r="N298" s="15">
        <v>88</v>
      </c>
      <c r="O298" s="15">
        <v>116.9</v>
      </c>
    </row>
    <row r="299" spans="1:15" x14ac:dyDescent="0.3">
      <c r="A299" s="11">
        <v>43739</v>
      </c>
      <c r="B299" s="10">
        <v>5.3800000000000001E-2</v>
      </c>
      <c r="C299" s="10">
        <v>2.5399999999999999E-2</v>
      </c>
      <c r="D299" s="16">
        <v>4.0867000000000004</v>
      </c>
      <c r="E299" s="19">
        <v>107219</v>
      </c>
      <c r="F299" s="19">
        <v>26779.309655826964</v>
      </c>
      <c r="G299" s="10">
        <v>-1.2699999999999999E-2</v>
      </c>
      <c r="J299" s="17">
        <v>74988.37528872001</v>
      </c>
      <c r="K299" s="33">
        <v>0.25290000000000001</v>
      </c>
      <c r="L299" s="15">
        <v>3</v>
      </c>
      <c r="M299" s="15">
        <v>95.3</v>
      </c>
      <c r="N299" s="15">
        <v>88.2</v>
      </c>
      <c r="O299" s="15">
        <v>111.1</v>
      </c>
    </row>
    <row r="300" spans="1:15" x14ac:dyDescent="0.3">
      <c r="A300" s="11">
        <v>43770</v>
      </c>
      <c r="B300" s="10">
        <v>4.9000000000000002E-2</v>
      </c>
      <c r="C300" s="10">
        <v>3.27E-2</v>
      </c>
      <c r="D300" s="16">
        <v>4.1550000000000002</v>
      </c>
      <c r="E300" s="19">
        <v>108233</v>
      </c>
      <c r="F300" s="19">
        <v>25625.162771977175</v>
      </c>
      <c r="G300" s="10">
        <v>-1.26E-2</v>
      </c>
      <c r="J300" s="17">
        <v>74643.306983750008</v>
      </c>
      <c r="K300" s="33">
        <v>0.25489999999999996</v>
      </c>
      <c r="L300" s="15">
        <v>0</v>
      </c>
      <c r="M300" s="15">
        <v>96.5</v>
      </c>
      <c r="N300" s="15">
        <v>88.3</v>
      </c>
      <c r="O300" s="15">
        <v>105.1</v>
      </c>
    </row>
    <row r="301" spans="1:15" x14ac:dyDescent="0.3">
      <c r="A301" s="11">
        <v>43800</v>
      </c>
      <c r="B301" s="10">
        <v>4.5899999999999996E-2</v>
      </c>
      <c r="C301" s="10">
        <v>4.3099999999999999E-2</v>
      </c>
      <c r="D301" s="16">
        <v>4.1092500000000003</v>
      </c>
      <c r="E301" s="19">
        <v>115645</v>
      </c>
      <c r="F301" s="19">
        <v>28693.181818181816</v>
      </c>
      <c r="G301" s="10">
        <v>-9.9000000000000008E-3</v>
      </c>
      <c r="J301" s="17">
        <v>69174.411753449996</v>
      </c>
      <c r="K301" s="33">
        <v>0.25509999999999999</v>
      </c>
      <c r="L301" s="15">
        <v>0</v>
      </c>
      <c r="M301" s="15">
        <v>97.8</v>
      </c>
      <c r="N301" s="15">
        <v>90.9</v>
      </c>
      <c r="O301" s="15">
        <v>112.4</v>
      </c>
    </row>
    <row r="302" spans="1:15" x14ac:dyDescent="0.3">
      <c r="A302" s="11">
        <v>43831</v>
      </c>
      <c r="B302" s="10">
        <v>4.4000000000000004E-2</v>
      </c>
      <c r="C302" s="10">
        <v>4.1900000000000007E-2</v>
      </c>
      <c r="D302" s="16">
        <v>4.1492000000000004</v>
      </c>
      <c r="E302" s="19">
        <v>113760</v>
      </c>
      <c r="F302" s="19">
        <v>26646.67853462007</v>
      </c>
      <c r="G302" s="10">
        <v>-8.6E-3</v>
      </c>
      <c r="J302" s="17">
        <v>69231.673167579997</v>
      </c>
      <c r="K302" s="33">
        <v>0.25690000000000002</v>
      </c>
      <c r="L302" s="15">
        <v>0</v>
      </c>
      <c r="M302" s="15">
        <v>98.2</v>
      </c>
      <c r="N302" s="15">
        <v>91.1</v>
      </c>
      <c r="O302" s="15">
        <v>112.9</v>
      </c>
    </row>
    <row r="303" spans="1:15" x14ac:dyDescent="0.3">
      <c r="A303" s="11">
        <v>43862</v>
      </c>
      <c r="B303" s="10">
        <v>4.1900000000000007E-2</v>
      </c>
      <c r="C303" s="10">
        <v>4.0099999999999997E-2</v>
      </c>
      <c r="D303" s="16">
        <v>4.3407</v>
      </c>
      <c r="E303" s="19">
        <v>104171</v>
      </c>
      <c r="F303" s="19">
        <v>23157.344833718653</v>
      </c>
      <c r="G303" s="10">
        <v>-9.3999999999999986E-3</v>
      </c>
      <c r="J303" s="17">
        <v>65057.962855350001</v>
      </c>
      <c r="K303" s="33">
        <v>0.25690000000000002</v>
      </c>
      <c r="L303" s="15">
        <v>4</v>
      </c>
      <c r="M303" s="15">
        <v>98.7</v>
      </c>
      <c r="N303" s="15">
        <v>89.3</v>
      </c>
      <c r="O303" s="15">
        <v>115.1</v>
      </c>
    </row>
    <row r="304" spans="1:15" x14ac:dyDescent="0.3">
      <c r="A304" s="11">
        <v>43891</v>
      </c>
      <c r="B304" s="10">
        <v>3.95E-2</v>
      </c>
      <c r="C304" s="10">
        <v>3.3000000000000002E-2</v>
      </c>
      <c r="D304" s="16">
        <v>4.8835499999999996</v>
      </c>
      <c r="E304" s="19">
        <v>73019</v>
      </c>
      <c r="F304" s="19">
        <v>14046.437365343185</v>
      </c>
      <c r="G304" s="10">
        <v>-1.01E-2</v>
      </c>
      <c r="J304" s="17">
        <v>69231.515134100002</v>
      </c>
      <c r="K304" s="33">
        <v>0.25700000000000001</v>
      </c>
      <c r="L304" s="15">
        <v>0</v>
      </c>
      <c r="M304" s="15">
        <v>89.6</v>
      </c>
      <c r="N304" s="15">
        <v>82.4</v>
      </c>
      <c r="O304" s="15">
        <v>167.1</v>
      </c>
    </row>
    <row r="305" spans="1:15" x14ac:dyDescent="0.3">
      <c r="A305" s="11">
        <v>43922</v>
      </c>
      <c r="B305" s="10">
        <v>3.6499999999999998E-2</v>
      </c>
      <c r="C305" s="10">
        <v>2.4E-2</v>
      </c>
      <c r="D305" s="16">
        <v>5.3253000000000004</v>
      </c>
      <c r="E305" s="19">
        <v>80505</v>
      </c>
      <c r="F305" s="19">
        <v>14834.982586102051</v>
      </c>
      <c r="G305" s="10">
        <v>-2.3699999999999999E-2</v>
      </c>
      <c r="J305" s="17">
        <v>65494.059927920003</v>
      </c>
      <c r="K305" s="33">
        <v>0.2505</v>
      </c>
      <c r="L305" s="15">
        <v>0</v>
      </c>
      <c r="M305" s="15">
        <v>53.8</v>
      </c>
      <c r="N305" s="15">
        <v>60.2</v>
      </c>
      <c r="O305" s="15">
        <v>210.5</v>
      </c>
    </row>
    <row r="306" spans="1:15" x14ac:dyDescent="0.3">
      <c r="A306" s="11">
        <v>43952</v>
      </c>
      <c r="B306" s="10">
        <v>3.0099999999999998E-2</v>
      </c>
      <c r="C306" s="10">
        <v>1.8799999999999997E-2</v>
      </c>
      <c r="D306" s="16">
        <v>5.6431500000000003</v>
      </c>
      <c r="E306" s="19">
        <v>87402</v>
      </c>
      <c r="F306" s="19">
        <v>16107.998525617397</v>
      </c>
      <c r="G306" s="10">
        <v>-3.9899999999999991E-2</v>
      </c>
      <c r="J306" s="17">
        <v>59698.701688949994</v>
      </c>
      <c r="K306" s="33">
        <v>0.24309999999999998</v>
      </c>
      <c r="L306" s="15">
        <v>1</v>
      </c>
      <c r="M306" s="15">
        <v>60.5</v>
      </c>
      <c r="N306" s="15">
        <v>64.2</v>
      </c>
      <c r="O306" s="15">
        <v>190.3</v>
      </c>
    </row>
    <row r="307" spans="1:15" x14ac:dyDescent="0.3">
      <c r="A307" s="11">
        <v>43983</v>
      </c>
      <c r="B307" s="10">
        <v>2.58E-2</v>
      </c>
      <c r="C307" s="10">
        <v>2.1299999999999999E-2</v>
      </c>
      <c r="D307" s="16">
        <v>5.1962999999999999</v>
      </c>
      <c r="E307" s="19">
        <v>95055</v>
      </c>
      <c r="F307" s="19">
        <v>17359.424365834508</v>
      </c>
      <c r="G307" s="10">
        <v>-6.3700000000000007E-2</v>
      </c>
      <c r="J307" s="17">
        <v>63600.505519679995</v>
      </c>
      <c r="K307" s="33">
        <v>0.23809999999999998</v>
      </c>
      <c r="L307" s="15">
        <v>0</v>
      </c>
      <c r="M307" s="15">
        <v>75.099999999999994</v>
      </c>
      <c r="N307" s="15">
        <v>71.5</v>
      </c>
      <c r="O307" s="15">
        <v>173.6</v>
      </c>
    </row>
    <row r="308" spans="1:15" x14ac:dyDescent="0.3">
      <c r="A308" s="11">
        <v>44013</v>
      </c>
      <c r="B308" s="10">
        <v>2.1499999999999998E-2</v>
      </c>
      <c r="C308" s="10">
        <v>2.3099999999999999E-2</v>
      </c>
      <c r="D308" s="16">
        <v>5.2798999999999996</v>
      </c>
      <c r="E308" s="19">
        <v>102912</v>
      </c>
      <c r="F308" s="19">
        <v>19779.358062656163</v>
      </c>
      <c r="G308" s="10">
        <v>-7.4200000000000002E-2</v>
      </c>
      <c r="J308" s="17">
        <v>62835.54566851</v>
      </c>
      <c r="K308" s="33">
        <v>0.2369</v>
      </c>
      <c r="L308" s="15">
        <v>3</v>
      </c>
      <c r="M308" s="15">
        <v>83</v>
      </c>
      <c r="N308" s="15">
        <v>78.099999999999994</v>
      </c>
      <c r="O308" s="15">
        <v>163.69999999999999</v>
      </c>
    </row>
    <row r="309" spans="1:15" x14ac:dyDescent="0.3">
      <c r="A309" s="11">
        <v>44044</v>
      </c>
      <c r="B309" s="10">
        <v>1.9400000000000001E-2</v>
      </c>
      <c r="C309" s="10">
        <v>2.4399999999999998E-2</v>
      </c>
      <c r="D309" s="16">
        <v>5.4609000000000005</v>
      </c>
      <c r="E309" s="19">
        <v>99369</v>
      </c>
      <c r="F309" s="19">
        <v>18162.858709559496</v>
      </c>
      <c r="G309" s="10">
        <v>-8.4100000000000008E-2</v>
      </c>
      <c r="J309" s="17">
        <v>53665.152421170002</v>
      </c>
      <c r="K309" s="33">
        <v>0.2369</v>
      </c>
      <c r="L309" s="15">
        <v>2</v>
      </c>
      <c r="M309" s="15">
        <v>90.7</v>
      </c>
      <c r="N309" s="15">
        <v>78.7</v>
      </c>
      <c r="O309" s="15">
        <v>160.30000000000001</v>
      </c>
    </row>
    <row r="310" spans="1:15" x14ac:dyDescent="0.3">
      <c r="A310" s="11">
        <v>44075</v>
      </c>
      <c r="B310" s="10">
        <v>1.9E-2</v>
      </c>
      <c r="C310" s="10">
        <v>3.1400000000000004E-2</v>
      </c>
      <c r="D310" s="16">
        <v>5.3992000000000004</v>
      </c>
      <c r="E310" s="19">
        <v>94603</v>
      </c>
      <c r="F310" s="19">
        <v>16772.392028934119</v>
      </c>
      <c r="G310" s="10">
        <v>-8.9599999999999999E-2</v>
      </c>
      <c r="J310" s="17">
        <v>50999.177604660006</v>
      </c>
      <c r="K310" s="33">
        <v>0.23980000000000001</v>
      </c>
      <c r="L310" s="15">
        <v>8</v>
      </c>
      <c r="M310" s="15">
        <v>95.1</v>
      </c>
      <c r="N310" s="15">
        <v>81.599999999999994</v>
      </c>
      <c r="O310" s="15">
        <v>145.80000000000001</v>
      </c>
    </row>
    <row r="311" spans="1:15" x14ac:dyDescent="0.3">
      <c r="A311" s="11">
        <v>44105</v>
      </c>
      <c r="B311" s="10">
        <v>1.9E-2</v>
      </c>
      <c r="C311" s="10">
        <v>3.9199999999999999E-2</v>
      </c>
      <c r="D311" s="16">
        <v>5.6255000000000006</v>
      </c>
      <c r="E311" s="19">
        <v>93952</v>
      </c>
      <c r="F311" s="19">
        <v>16278.61041323746</v>
      </c>
      <c r="G311" s="10">
        <v>-9.0200000000000002E-2</v>
      </c>
      <c r="J311" s="17">
        <v>46394.808035850001</v>
      </c>
      <c r="K311" s="33">
        <v>0.24480000000000002</v>
      </c>
      <c r="L311" s="15">
        <v>3</v>
      </c>
      <c r="M311" s="15">
        <v>97.6</v>
      </c>
      <c r="N311" s="15">
        <v>80.900000000000006</v>
      </c>
      <c r="O311" s="15">
        <v>143.80000000000001</v>
      </c>
    </row>
    <row r="312" spans="1:15" x14ac:dyDescent="0.3">
      <c r="A312" s="11">
        <v>44136</v>
      </c>
      <c r="B312" s="10">
        <v>1.9E-2</v>
      </c>
      <c r="C312" s="10">
        <v>4.3099999999999999E-2</v>
      </c>
      <c r="D312" s="16">
        <v>5.4175000000000004</v>
      </c>
      <c r="E312" s="19">
        <v>108893</v>
      </c>
      <c r="F312" s="19">
        <v>20424.841505045577</v>
      </c>
      <c r="G312" s="10">
        <v>-0.09</v>
      </c>
      <c r="J312" s="17">
        <v>39992.601660180007</v>
      </c>
      <c r="K312" s="33">
        <v>0.25129999999999997</v>
      </c>
      <c r="L312" s="15">
        <v>4</v>
      </c>
      <c r="M312" s="15">
        <v>96.7</v>
      </c>
      <c r="N312" s="15">
        <v>80.2</v>
      </c>
      <c r="O312" s="15">
        <v>145.80000000000001</v>
      </c>
    </row>
    <row r="313" spans="1:15" x14ac:dyDescent="0.3">
      <c r="A313" s="11">
        <v>44166</v>
      </c>
      <c r="B313" s="10">
        <v>1.9E-2</v>
      </c>
      <c r="C313" s="10">
        <v>4.5199999999999997E-2</v>
      </c>
      <c r="D313" s="16">
        <v>5.1452499999999999</v>
      </c>
      <c r="E313" s="19">
        <v>119017</v>
      </c>
      <c r="F313" s="19">
        <v>22903.741051497189</v>
      </c>
      <c r="G313" s="10">
        <v>-9.2799999999999994E-2</v>
      </c>
      <c r="J313" s="17">
        <v>38270.116307450007</v>
      </c>
      <c r="K313" s="33">
        <v>0.25619999999999998</v>
      </c>
      <c r="L313" s="15">
        <v>3</v>
      </c>
      <c r="M313" s="15">
        <v>97.1</v>
      </c>
      <c r="N313" s="15">
        <v>77.400000000000006</v>
      </c>
      <c r="O313" s="15">
        <v>142.30000000000001</v>
      </c>
    </row>
    <row r="314" spans="1:15" x14ac:dyDescent="0.3">
      <c r="A314" s="11">
        <v>44197</v>
      </c>
      <c r="B314" s="10">
        <v>1.9E-2</v>
      </c>
      <c r="C314" s="10">
        <v>4.5599999999999995E-2</v>
      </c>
      <c r="D314" s="16">
        <v>5.3559000000000001</v>
      </c>
      <c r="E314" s="19">
        <v>115067</v>
      </c>
      <c r="F314" s="19">
        <v>21014.500693987873</v>
      </c>
      <c r="G314" s="10">
        <v>-9.1700000000000004E-2</v>
      </c>
      <c r="J314" s="17">
        <v>38830.07166844001</v>
      </c>
      <c r="K314" s="33">
        <v>0.25840000000000002</v>
      </c>
      <c r="L314" s="15">
        <v>2</v>
      </c>
      <c r="M314" s="15">
        <v>95</v>
      </c>
      <c r="N314" s="15">
        <v>76</v>
      </c>
      <c r="O314" s="15">
        <v>137.4</v>
      </c>
    </row>
    <row r="315" spans="1:15" x14ac:dyDescent="0.3">
      <c r="A315" s="11">
        <v>44228</v>
      </c>
      <c r="B315" s="10">
        <v>1.9E-2</v>
      </c>
      <c r="C315" s="10">
        <v>5.2000000000000005E-2</v>
      </c>
      <c r="D315" s="16">
        <v>5.4161999999999999</v>
      </c>
      <c r="E315" s="19">
        <v>110035</v>
      </c>
      <c r="F315" s="19">
        <v>19898.189840684281</v>
      </c>
      <c r="G315" s="10">
        <v>-8.9400000000000007E-2</v>
      </c>
      <c r="J315" s="17">
        <v>45111.833379260002</v>
      </c>
      <c r="K315" s="33">
        <v>0.25940000000000002</v>
      </c>
      <c r="L315" s="15">
        <v>13</v>
      </c>
      <c r="M315" s="15">
        <v>94.1</v>
      </c>
      <c r="N315" s="15">
        <v>78.900000000000006</v>
      </c>
      <c r="O315" s="15">
        <v>128.19999999999999</v>
      </c>
    </row>
    <row r="316" spans="1:15" x14ac:dyDescent="0.3">
      <c r="A316" s="11">
        <v>44256</v>
      </c>
      <c r="B316" s="10">
        <v>2.23E-2</v>
      </c>
      <c r="C316" s="10">
        <v>6.0999999999999999E-2</v>
      </c>
      <c r="D316" s="16">
        <v>5.6457999999999995</v>
      </c>
      <c r="E316" s="19">
        <v>116633</v>
      </c>
      <c r="F316" s="19">
        <v>20472.704932420573</v>
      </c>
      <c r="G316" s="10">
        <v>-8.43E-2</v>
      </c>
      <c r="J316" s="17">
        <v>46666.434063220004</v>
      </c>
      <c r="K316" s="33">
        <v>0.26</v>
      </c>
      <c r="L316" s="15">
        <v>0</v>
      </c>
      <c r="M316" s="15">
        <v>87.6</v>
      </c>
      <c r="N316" s="15">
        <v>70.2</v>
      </c>
      <c r="O316" s="15">
        <v>136.5</v>
      </c>
    </row>
    <row r="317" spans="1:15" x14ac:dyDescent="0.3">
      <c r="A317" s="11">
        <v>44287</v>
      </c>
      <c r="B317" s="10">
        <v>2.6499999999999999E-2</v>
      </c>
      <c r="C317" s="10">
        <v>6.7599999999999993E-2</v>
      </c>
      <c r="D317" s="16">
        <v>5.5617999999999999</v>
      </c>
      <c r="E317" s="19">
        <v>118893</v>
      </c>
      <c r="F317" s="19">
        <v>22003.775470545777</v>
      </c>
      <c r="G317" s="10">
        <v>-6.7900000000000002E-2</v>
      </c>
      <c r="J317" s="17">
        <v>50173.296602490002</v>
      </c>
      <c r="K317" s="33">
        <v>0.26269999999999999</v>
      </c>
      <c r="L317" s="15">
        <v>7</v>
      </c>
      <c r="M317" s="15">
        <v>90.6</v>
      </c>
      <c r="N317" s="15">
        <v>74.400000000000006</v>
      </c>
      <c r="O317" s="15">
        <v>129.4</v>
      </c>
    </row>
    <row r="318" spans="1:15" x14ac:dyDescent="0.3">
      <c r="A318" s="11">
        <v>44317</v>
      </c>
      <c r="B318" s="10">
        <v>3.2899999999999999E-2</v>
      </c>
      <c r="C318" s="10">
        <v>8.0600000000000005E-2</v>
      </c>
      <c r="D318" s="16">
        <v>5.2907500000000001</v>
      </c>
      <c r="E318" s="19">
        <v>126215</v>
      </c>
      <c r="F318" s="19">
        <v>24124.123167491736</v>
      </c>
      <c r="G318" s="10">
        <v>-5.2500000000000005E-2</v>
      </c>
      <c r="J318" s="17">
        <v>48949.61379394</v>
      </c>
      <c r="K318" s="33">
        <v>0.26910000000000001</v>
      </c>
      <c r="L318" s="15">
        <v>5</v>
      </c>
      <c r="M318" s="15">
        <v>94.7</v>
      </c>
      <c r="N318" s="15">
        <v>78.2</v>
      </c>
      <c r="O318" s="15">
        <v>119.9</v>
      </c>
    </row>
    <row r="319" spans="1:15" x14ac:dyDescent="0.3">
      <c r="A319" s="11">
        <v>44348</v>
      </c>
      <c r="B319" s="10">
        <v>3.7599999999999995E-2</v>
      </c>
      <c r="C319" s="10">
        <v>8.3499999999999991E-2</v>
      </c>
      <c r="D319" s="16">
        <v>5.0316000000000001</v>
      </c>
      <c r="E319" s="19">
        <v>126801</v>
      </c>
      <c r="F319" s="19">
        <v>25350.566784621842</v>
      </c>
      <c r="G319" s="10">
        <v>-3.6999999999999998E-2</v>
      </c>
      <c r="J319" s="17">
        <v>43532.994912350005</v>
      </c>
      <c r="K319" s="33">
        <v>0.27390000000000003</v>
      </c>
      <c r="L319" s="15">
        <v>1</v>
      </c>
      <c r="M319" s="15">
        <v>97.7</v>
      </c>
      <c r="N319" s="15">
        <v>81.2</v>
      </c>
      <c r="O319" s="15">
        <v>122.3</v>
      </c>
    </row>
    <row r="320" spans="1:15" x14ac:dyDescent="0.3">
      <c r="A320" s="11">
        <v>44378</v>
      </c>
      <c r="B320" s="10">
        <v>4.1500000000000002E-2</v>
      </c>
      <c r="C320" s="10">
        <v>8.9900000000000008E-2</v>
      </c>
      <c r="D320" s="16">
        <v>5.1563499999999998</v>
      </c>
      <c r="E320" s="19">
        <v>121800</v>
      </c>
      <c r="F320" s="19">
        <v>23783.02384160272</v>
      </c>
      <c r="G320" s="10">
        <v>-2.7900000000000001E-2</v>
      </c>
      <c r="J320" s="17">
        <v>46549.120888390004</v>
      </c>
      <c r="K320" s="33">
        <v>0.27839999999999998</v>
      </c>
      <c r="L320" s="15">
        <v>12</v>
      </c>
      <c r="M320" s="15">
        <v>100.8</v>
      </c>
      <c r="N320" s="15">
        <v>81.400000000000006</v>
      </c>
      <c r="O320" s="15">
        <v>119.3</v>
      </c>
    </row>
    <row r="321" spans="1:15" x14ac:dyDescent="0.3">
      <c r="A321" s="11">
        <v>44409</v>
      </c>
      <c r="B321" s="10">
        <v>5.0099999999999999E-2</v>
      </c>
      <c r="C321" s="10">
        <v>9.6799999999999997E-2</v>
      </c>
      <c r="D321" s="16">
        <v>5.2514000000000003</v>
      </c>
      <c r="E321" s="19">
        <v>118781</v>
      </c>
      <c r="F321" s="19">
        <v>23095.664009333075</v>
      </c>
      <c r="G321" s="10">
        <v>-1.55E-2</v>
      </c>
      <c r="J321" s="17">
        <v>50691.830370040007</v>
      </c>
      <c r="K321" s="33">
        <v>0.2873</v>
      </c>
      <c r="L321" s="15">
        <v>4</v>
      </c>
      <c r="M321" s="15">
        <v>101.3</v>
      </c>
      <c r="N321" s="15">
        <v>80.099999999999994</v>
      </c>
      <c r="O321" s="15">
        <v>119.6</v>
      </c>
    </row>
    <row r="322" spans="1:15" x14ac:dyDescent="0.3">
      <c r="A322" s="11">
        <v>44440</v>
      </c>
      <c r="B322" s="10">
        <v>5.4299999999999994E-2</v>
      </c>
      <c r="C322" s="10">
        <v>0.10249999999999999</v>
      </c>
      <c r="D322" s="16">
        <v>5.2793999999999999</v>
      </c>
      <c r="E322" s="19">
        <v>110979</v>
      </c>
      <c r="F322" s="19">
        <v>20403.927120295637</v>
      </c>
      <c r="G322" s="10">
        <v>-6.4999999999999988E-3</v>
      </c>
      <c r="J322" s="17">
        <v>50263.728916070009</v>
      </c>
      <c r="K322" s="33">
        <v>0.29469999999999996</v>
      </c>
      <c r="L322" s="15">
        <v>1</v>
      </c>
      <c r="M322" s="15">
        <v>97.8</v>
      </c>
      <c r="N322" s="15">
        <v>73.400000000000006</v>
      </c>
      <c r="O322" s="15">
        <v>131.4</v>
      </c>
    </row>
    <row r="323" spans="1:15" x14ac:dyDescent="0.3">
      <c r="A323" s="11">
        <v>44470</v>
      </c>
      <c r="B323" s="10">
        <v>6.3E-2</v>
      </c>
      <c r="C323" s="10">
        <v>0.1067</v>
      </c>
      <c r="D323" s="16">
        <v>5.5396999999999998</v>
      </c>
      <c r="E323" s="19">
        <v>103500</v>
      </c>
      <c r="F323" s="19">
        <v>18342.282949651762</v>
      </c>
      <c r="G323" s="10">
        <v>-2.5999999999999999E-3</v>
      </c>
      <c r="J323" s="17">
        <v>50022.616823300006</v>
      </c>
      <c r="K323" s="33">
        <v>0.3</v>
      </c>
      <c r="L323" s="15">
        <v>0</v>
      </c>
      <c r="M323" s="15">
        <v>99.5</v>
      </c>
      <c r="N323" s="15">
        <v>74.3</v>
      </c>
      <c r="O323" s="15">
        <v>127.1</v>
      </c>
    </row>
    <row r="324" spans="1:15" x14ac:dyDescent="0.3">
      <c r="A324" s="11">
        <v>44501</v>
      </c>
      <c r="B324" s="10">
        <v>7.6499999999999999E-2</v>
      </c>
      <c r="C324" s="10">
        <v>0.1074</v>
      </c>
      <c r="D324" s="16">
        <v>5.5565999999999995</v>
      </c>
      <c r="E324" s="19">
        <v>101915</v>
      </c>
      <c r="F324" s="19">
        <v>18135.632429354402</v>
      </c>
      <c r="G324" s="10">
        <v>1.0999999999999985E-3</v>
      </c>
      <c r="J324" s="17">
        <v>52720.777419160011</v>
      </c>
      <c r="K324" s="33">
        <v>0.30599999999999999</v>
      </c>
      <c r="L324" s="15">
        <v>0</v>
      </c>
      <c r="M324" s="15">
        <v>97.4</v>
      </c>
      <c r="N324" s="15">
        <v>73</v>
      </c>
      <c r="O324" s="15">
        <v>125.2</v>
      </c>
    </row>
    <row r="325" spans="1:15" x14ac:dyDescent="0.3">
      <c r="A325" s="11">
        <v>44531</v>
      </c>
      <c r="B325" s="10">
        <v>8.7599999999999997E-2</v>
      </c>
      <c r="C325" s="10">
        <v>0.10060000000000001</v>
      </c>
      <c r="D325" s="16">
        <v>5.6509999999999998</v>
      </c>
      <c r="E325" s="19">
        <v>104822</v>
      </c>
      <c r="F325" s="19">
        <v>18784.631375219527</v>
      </c>
      <c r="G325" s="10">
        <v>6.8000000000000005E-3</v>
      </c>
      <c r="J325" s="17">
        <v>46440.50352019001</v>
      </c>
      <c r="K325" s="33">
        <v>0.31030000000000002</v>
      </c>
      <c r="L325" s="15">
        <v>1</v>
      </c>
      <c r="M325" s="15">
        <v>96.2</v>
      </c>
      <c r="N325" s="15">
        <v>74.400000000000006</v>
      </c>
      <c r="O325" s="15">
        <v>118.7</v>
      </c>
    </row>
    <row r="326" spans="1:15" x14ac:dyDescent="0.3">
      <c r="A326" s="11">
        <v>44562</v>
      </c>
      <c r="B326" s="10">
        <v>9.1499999999999998E-2</v>
      </c>
      <c r="C326" s="10">
        <v>0.1038</v>
      </c>
      <c r="D326" s="16">
        <v>5.5337999999999994</v>
      </c>
      <c r="E326" s="19">
        <v>112143</v>
      </c>
      <c r="F326" s="19">
        <v>20933.527468219745</v>
      </c>
      <c r="G326" s="10">
        <v>1.1199999999999998E-2</v>
      </c>
      <c r="J326" s="17">
        <v>47155.475361470017</v>
      </c>
      <c r="K326" s="33">
        <v>0.31209999999999999</v>
      </c>
      <c r="L326" s="15">
        <v>0</v>
      </c>
      <c r="M326" s="15">
        <v>92.8</v>
      </c>
      <c r="N326" s="15">
        <v>74.5</v>
      </c>
      <c r="O326" s="15">
        <v>116.4</v>
      </c>
    </row>
    <row r="327" spans="1:15" x14ac:dyDescent="0.3">
      <c r="A327" s="11">
        <v>44593</v>
      </c>
      <c r="B327" s="10">
        <v>0.10490000000000001</v>
      </c>
      <c r="C327" s="10">
        <v>0.10539999999999999</v>
      </c>
      <c r="D327" s="16">
        <v>5.1962999999999999</v>
      </c>
      <c r="E327" s="19">
        <v>113141</v>
      </c>
      <c r="F327" s="19">
        <v>22015.722597341948</v>
      </c>
      <c r="G327" s="10">
        <v>1.26E-2</v>
      </c>
      <c r="J327" s="17">
        <v>47926.423594820008</v>
      </c>
      <c r="K327" s="33">
        <v>0.311</v>
      </c>
      <c r="L327" s="15">
        <v>0</v>
      </c>
      <c r="M327" s="15">
        <v>92.4</v>
      </c>
      <c r="N327" s="15">
        <v>78.8</v>
      </c>
      <c r="O327" s="15">
        <v>117.1</v>
      </c>
    </row>
    <row r="328" spans="1:15" x14ac:dyDescent="0.3">
      <c r="A328" s="11">
        <v>44621</v>
      </c>
      <c r="B328" s="10">
        <v>0.1115</v>
      </c>
      <c r="C328" s="10">
        <v>0.113</v>
      </c>
      <c r="D328" s="16">
        <v>4.9680999999999997</v>
      </c>
      <c r="E328" s="19">
        <v>119999</v>
      </c>
      <c r="F328" s="19">
        <v>25329.604221635884</v>
      </c>
      <c r="G328" s="10">
        <v>1.23E-2</v>
      </c>
      <c r="J328" s="17">
        <v>45555.936527960002</v>
      </c>
      <c r="K328" s="33">
        <v>0.31140000000000001</v>
      </c>
      <c r="L328" s="15">
        <v>0</v>
      </c>
      <c r="M328" s="15">
        <v>93.3</v>
      </c>
      <c r="N328" s="15">
        <v>76.7</v>
      </c>
      <c r="O328" s="15">
        <v>121.3</v>
      </c>
    </row>
    <row r="329" spans="1:15" x14ac:dyDescent="0.3">
      <c r="A329" s="11">
        <v>44652</v>
      </c>
      <c r="B329" s="10">
        <v>0.11650000000000001</v>
      </c>
      <c r="C329" s="10">
        <v>0.12130000000000001</v>
      </c>
      <c r="D329" s="16">
        <v>4.7576999999999998</v>
      </c>
      <c r="E329" s="19">
        <v>107876</v>
      </c>
      <c r="F329" s="19">
        <v>21931.365373668374</v>
      </c>
      <c r="G329" s="10">
        <v>1.41E-2</v>
      </c>
      <c r="J329" s="17">
        <v>52066.964375330004</v>
      </c>
      <c r="K329" s="33">
        <v>0.31340000000000001</v>
      </c>
      <c r="L329" s="15">
        <v>0</v>
      </c>
      <c r="M329" s="15">
        <v>96.1</v>
      </c>
      <c r="N329" s="15">
        <v>80.2</v>
      </c>
      <c r="O329" s="15">
        <v>114.9</v>
      </c>
    </row>
    <row r="330" spans="1:15" x14ac:dyDescent="0.3">
      <c r="A330" s="11">
        <v>44682</v>
      </c>
      <c r="B330" s="10">
        <v>0.12509999999999999</v>
      </c>
      <c r="C330" s="10">
        <v>0.1173</v>
      </c>
      <c r="D330" s="16">
        <v>4.9548000000000005</v>
      </c>
      <c r="E330" s="19">
        <v>111350</v>
      </c>
      <c r="F330" s="19">
        <v>23548.196083407351</v>
      </c>
      <c r="G330" s="10">
        <v>1.2E-2</v>
      </c>
      <c r="J330" s="17">
        <v>54274.14540591</v>
      </c>
      <c r="K330" s="33">
        <v>0.31290000000000001</v>
      </c>
      <c r="L330" s="15">
        <v>0</v>
      </c>
      <c r="M330" s="15">
        <v>97.9</v>
      </c>
      <c r="N330" s="15">
        <v>77.400000000000006</v>
      </c>
      <c r="O330" s="15">
        <v>116.9</v>
      </c>
    </row>
    <row r="331" spans="1:15" x14ac:dyDescent="0.3">
      <c r="A331" s="11">
        <v>44713</v>
      </c>
      <c r="B331" s="10">
        <v>0.12890000000000001</v>
      </c>
      <c r="C331" s="10">
        <v>0.11890000000000001</v>
      </c>
      <c r="D331" s="16">
        <v>5.0488999999999997</v>
      </c>
      <c r="E331" s="19">
        <v>98541</v>
      </c>
      <c r="F331" s="19">
        <v>18813.79231342001</v>
      </c>
      <c r="G331" s="10">
        <v>2.0500000000000001E-2</v>
      </c>
      <c r="J331" s="17">
        <v>58149.291845999993</v>
      </c>
      <c r="K331" s="33">
        <v>0.31359999999999999</v>
      </c>
      <c r="L331" s="15">
        <v>0</v>
      </c>
      <c r="M331" s="15">
        <v>98.3</v>
      </c>
      <c r="N331" s="15">
        <v>79</v>
      </c>
      <c r="O331" s="15">
        <v>120.6</v>
      </c>
    </row>
    <row r="332" spans="1:15" x14ac:dyDescent="0.3">
      <c r="A332" s="11">
        <v>44743</v>
      </c>
      <c r="B332" s="10">
        <v>0.13150000000000001</v>
      </c>
      <c r="C332" s="10">
        <v>0.1007</v>
      </c>
      <c r="D332" s="16">
        <v>5.3677999999999999</v>
      </c>
      <c r="E332" s="19">
        <v>103164</v>
      </c>
      <c r="F332" s="19">
        <v>19884.736223280197</v>
      </c>
      <c r="G332" s="10">
        <v>2.3599999999999999E-2</v>
      </c>
      <c r="J332" s="17">
        <v>57556.31380974999</v>
      </c>
      <c r="K332" s="33">
        <v>0.315</v>
      </c>
      <c r="L332" s="15">
        <v>0</v>
      </c>
      <c r="M332" s="15">
        <v>98</v>
      </c>
      <c r="N332" s="15">
        <v>78.5</v>
      </c>
      <c r="O332" s="15">
        <v>120.8</v>
      </c>
    </row>
    <row r="333" spans="1:15" x14ac:dyDescent="0.3">
      <c r="A333" s="11">
        <v>44774</v>
      </c>
      <c r="B333" s="10">
        <v>0.1358</v>
      </c>
      <c r="C333" s="10">
        <v>8.7300000000000003E-2</v>
      </c>
      <c r="D333" s="16">
        <v>5.1429999999999998</v>
      </c>
      <c r="E333" s="19">
        <v>109522</v>
      </c>
      <c r="F333" s="19">
        <v>21148.55079460096</v>
      </c>
      <c r="G333" s="10">
        <v>1.83E-2</v>
      </c>
      <c r="J333" s="17">
        <v>61173.265628119996</v>
      </c>
      <c r="K333" s="33">
        <v>0.31420000000000003</v>
      </c>
      <c r="L333" s="15">
        <v>0</v>
      </c>
      <c r="M333" s="15">
        <v>99.8</v>
      </c>
      <c r="N333" s="15">
        <v>81.7</v>
      </c>
      <c r="O333" s="15">
        <v>116.6</v>
      </c>
    </row>
    <row r="334" spans="1:15" x14ac:dyDescent="0.3">
      <c r="A334" s="11">
        <v>44805</v>
      </c>
      <c r="B334" s="10">
        <v>0.13650000000000001</v>
      </c>
      <c r="C334" s="10">
        <v>7.17E-2</v>
      </c>
      <c r="D334" s="16">
        <v>5.2366999999999999</v>
      </c>
      <c r="E334" s="19">
        <v>110036</v>
      </c>
      <c r="F334" s="19">
        <v>20353.291530251743</v>
      </c>
      <c r="G334" s="10">
        <v>1.8200000000000001E-2</v>
      </c>
      <c r="J334" s="17">
        <v>67984.764203049999</v>
      </c>
      <c r="K334" s="33">
        <v>0.31390000000000001</v>
      </c>
      <c r="L334" s="15">
        <v>0</v>
      </c>
      <c r="M334" s="15">
        <v>99.4</v>
      </c>
      <c r="N334" s="15">
        <v>86.9</v>
      </c>
      <c r="O334" s="15">
        <v>111.7</v>
      </c>
    </row>
    <row r="335" spans="1:15" x14ac:dyDescent="0.3">
      <c r="A335" s="11">
        <v>44835</v>
      </c>
      <c r="B335" s="10">
        <v>0.13650000000000001</v>
      </c>
      <c r="C335" s="10">
        <v>6.4699999999999994E-2</v>
      </c>
      <c r="D335" s="16">
        <v>5.25</v>
      </c>
      <c r="E335" s="19">
        <v>116037</v>
      </c>
      <c r="F335" s="19">
        <v>22074.114939030187</v>
      </c>
      <c r="G335" s="10">
        <v>1.7099999999999997E-2</v>
      </c>
      <c r="J335" s="17">
        <v>69139.15027903</v>
      </c>
      <c r="K335" s="33">
        <v>0.31590000000000001</v>
      </c>
      <c r="L335" s="15">
        <v>0</v>
      </c>
      <c r="M335" s="15">
        <v>97.2</v>
      </c>
      <c r="N335" s="15">
        <v>86.8</v>
      </c>
      <c r="O335" s="15">
        <v>112</v>
      </c>
    </row>
    <row r="336" spans="1:15" x14ac:dyDescent="0.3">
      <c r="A336" s="11">
        <v>44866</v>
      </c>
      <c r="B336" s="10">
        <v>0.13650000000000001</v>
      </c>
      <c r="C336" s="10">
        <v>5.9000000000000004E-2</v>
      </c>
      <c r="D336" s="16">
        <v>5.2744</v>
      </c>
      <c r="E336" s="19">
        <v>112486</v>
      </c>
      <c r="F336" s="19">
        <v>21248.630473383957</v>
      </c>
      <c r="G336" s="10">
        <v>1.3399999999999999E-2</v>
      </c>
      <c r="J336" s="17">
        <v>70726.986941259995</v>
      </c>
      <c r="K336" s="33">
        <v>0.31440000000000001</v>
      </c>
      <c r="L336" s="15">
        <v>0</v>
      </c>
      <c r="M336" s="15">
        <v>92</v>
      </c>
      <c r="N336" s="15">
        <v>83.5</v>
      </c>
      <c r="O336" s="15">
        <v>112.1</v>
      </c>
    </row>
    <row r="337" spans="1:15" x14ac:dyDescent="0.3">
      <c r="A337" s="11">
        <v>44896</v>
      </c>
      <c r="B337" s="10">
        <v>0.13650000000000001</v>
      </c>
      <c r="C337" s="10">
        <v>5.79E-2</v>
      </c>
      <c r="D337" s="16">
        <v>5.2420999999999998</v>
      </c>
      <c r="E337" s="19">
        <v>109734</v>
      </c>
      <c r="F337" s="19">
        <v>21032.31494614176</v>
      </c>
      <c r="G337" s="10">
        <v>1.1900000000000001E-2</v>
      </c>
      <c r="J337" s="17">
        <v>75501.038733309993</v>
      </c>
      <c r="K337" s="33">
        <v>0.31159999999999999</v>
      </c>
      <c r="L337" s="15">
        <v>0</v>
      </c>
      <c r="M337" s="15">
        <v>92.1</v>
      </c>
      <c r="N337" s="15">
        <v>86.9</v>
      </c>
      <c r="O337" s="15">
        <v>112.7</v>
      </c>
    </row>
    <row r="338" spans="1:15" x14ac:dyDescent="0.3">
      <c r="A338" s="11">
        <v>44927</v>
      </c>
      <c r="B338" s="10">
        <v>0.13650000000000001</v>
      </c>
      <c r="C338" s="10">
        <v>5.7699999999999994E-2</v>
      </c>
      <c r="D338" s="16">
        <v>5.2004000000000001</v>
      </c>
      <c r="E338" s="19">
        <v>113430</v>
      </c>
      <c r="F338" s="19">
        <v>22245.538340851148</v>
      </c>
      <c r="G338" s="10">
        <v>1.2200000000000001E-2</v>
      </c>
      <c r="J338" s="17">
        <v>76403.444744620007</v>
      </c>
      <c r="K338" s="33">
        <v>0.312</v>
      </c>
      <c r="L338" s="15">
        <v>0</v>
      </c>
      <c r="M338" s="15">
        <v>90.3</v>
      </c>
      <c r="N338" s="15">
        <v>86.6</v>
      </c>
      <c r="O338" s="15">
        <v>113.3</v>
      </c>
    </row>
    <row r="339" spans="1:15" x14ac:dyDescent="0.3">
      <c r="A339" s="11">
        <v>44958</v>
      </c>
      <c r="B339" s="10">
        <v>0.13650000000000001</v>
      </c>
      <c r="C339" s="10">
        <v>5.5999999999999994E-2</v>
      </c>
      <c r="D339" s="16">
        <v>5.1714000000000002</v>
      </c>
      <c r="E339" s="19">
        <v>104931</v>
      </c>
      <c r="F339" s="19">
        <v>20149.975996159388</v>
      </c>
      <c r="G339" s="10">
        <v>9.2999999999999992E-3</v>
      </c>
      <c r="J339" s="17">
        <v>74326.439364519989</v>
      </c>
      <c r="K339" s="33">
        <v>0.30940000000000001</v>
      </c>
      <c r="L339" s="15">
        <v>0</v>
      </c>
      <c r="M339" s="15">
        <v>91.8</v>
      </c>
      <c r="N339" s="15">
        <v>85.5</v>
      </c>
      <c r="O339" s="15">
        <v>111.7</v>
      </c>
    </row>
    <row r="340" spans="1:15" x14ac:dyDescent="0.3">
      <c r="A340" s="11">
        <v>44986</v>
      </c>
      <c r="B340" s="10">
        <v>0.13650000000000001</v>
      </c>
      <c r="C340" s="10">
        <v>4.6500000000000007E-2</v>
      </c>
      <c r="D340" s="16">
        <v>5.2111999999999998</v>
      </c>
      <c r="E340" s="19">
        <v>101882</v>
      </c>
      <c r="F340" s="19">
        <v>20055.117025255407</v>
      </c>
      <c r="G340" s="10">
        <v>7.4999999999999997E-3</v>
      </c>
      <c r="J340" s="17">
        <v>78106.61679819999</v>
      </c>
      <c r="K340" s="33">
        <v>0.30809999999999998</v>
      </c>
      <c r="L340" s="15">
        <v>0</v>
      </c>
      <c r="M340" s="15">
        <v>93</v>
      </c>
      <c r="N340" s="15">
        <v>89.1</v>
      </c>
      <c r="O340" s="15">
        <v>116.7</v>
      </c>
    </row>
    <row r="341" spans="1:15" x14ac:dyDescent="0.3">
      <c r="A341" s="11">
        <v>45017</v>
      </c>
      <c r="B341" s="10">
        <v>0.13650000000000001</v>
      </c>
      <c r="C341" s="10">
        <v>4.1799999999999997E-2</v>
      </c>
      <c r="D341" s="16">
        <v>5.0194000000000001</v>
      </c>
      <c r="E341" s="19">
        <v>104431</v>
      </c>
      <c r="F341" s="19">
        <v>20884.529237660987</v>
      </c>
      <c r="G341" s="10">
        <v>5.4999999999999997E-3</v>
      </c>
      <c r="J341" s="17">
        <v>71851.259624939994</v>
      </c>
      <c r="K341" s="33">
        <v>0.307</v>
      </c>
      <c r="L341" s="15">
        <v>0</v>
      </c>
      <c r="M341" s="15">
        <v>91.7</v>
      </c>
      <c r="N341" s="15">
        <v>88.4</v>
      </c>
      <c r="O341" s="15">
        <v>112.6</v>
      </c>
    </row>
    <row r="342" spans="1:15" x14ac:dyDescent="0.3">
      <c r="A342" s="11">
        <v>45047</v>
      </c>
      <c r="B342" s="10">
        <v>0.13650000000000001</v>
      </c>
      <c r="C342" s="10">
        <v>3.9399999999999998E-2</v>
      </c>
      <c r="D342" s="16">
        <v>4.9824999999999999</v>
      </c>
      <c r="E342" s="19">
        <v>108335</v>
      </c>
      <c r="F342" s="19">
        <v>21260.499254258575</v>
      </c>
      <c r="G342" s="10">
        <v>3.8E-3</v>
      </c>
      <c r="J342" s="17">
        <v>73618.980859369985</v>
      </c>
      <c r="K342" s="33">
        <v>0.309</v>
      </c>
      <c r="L342" s="15">
        <v>0</v>
      </c>
      <c r="M342" s="15">
        <v>91.2</v>
      </c>
      <c r="N342" s="15">
        <v>90.3</v>
      </c>
      <c r="O342" s="15">
        <v>111.8</v>
      </c>
    </row>
    <row r="343" spans="1:15" x14ac:dyDescent="0.3">
      <c r="A343" s="11">
        <v>45078</v>
      </c>
      <c r="B343" s="10">
        <v>0.13650000000000001</v>
      </c>
      <c r="C343" s="10">
        <v>3.1600000000000003E-2</v>
      </c>
      <c r="D343" s="16">
        <v>4.8513000000000002</v>
      </c>
      <c r="E343" s="19">
        <v>118087</v>
      </c>
      <c r="F343" s="19">
        <v>24504.970013903589</v>
      </c>
      <c r="G343" s="10">
        <v>-2E-3</v>
      </c>
      <c r="J343" s="17">
        <v>72655.549478369998</v>
      </c>
      <c r="K343" s="33">
        <v>0.3049</v>
      </c>
      <c r="L343" s="15">
        <v>0</v>
      </c>
      <c r="M343" s="15">
        <v>93</v>
      </c>
      <c r="N343" s="15">
        <v>92.3</v>
      </c>
      <c r="O343" s="15">
        <v>107.6</v>
      </c>
    </row>
    <row r="344" spans="1:15" x14ac:dyDescent="0.3">
      <c r="A344" s="11">
        <v>45108</v>
      </c>
      <c r="B344" s="10">
        <v>0.13650000000000001</v>
      </c>
      <c r="C344" s="10">
        <v>3.9900000000000005E-2</v>
      </c>
      <c r="D344" s="16">
        <v>4.8004999999999995</v>
      </c>
      <c r="E344" s="19">
        <v>121942</v>
      </c>
      <c r="F344" s="19">
        <v>25719.649033999831</v>
      </c>
      <c r="G344" s="10">
        <v>-7.5000000000000006E-3</v>
      </c>
      <c r="J344" s="17">
        <v>72290.122154629993</v>
      </c>
      <c r="K344" s="33">
        <v>0.30159999999999998</v>
      </c>
      <c r="L344" s="15">
        <v>0</v>
      </c>
      <c r="M344" s="15">
        <v>93</v>
      </c>
      <c r="N344" s="15">
        <v>93.8</v>
      </c>
      <c r="O344" s="15">
        <v>103.5</v>
      </c>
    </row>
    <row r="345" spans="1:15" x14ac:dyDescent="0.3">
      <c r="A345" s="11">
        <v>45139</v>
      </c>
      <c r="B345" s="10">
        <v>0.13189999999999999</v>
      </c>
      <c r="C345" s="10">
        <v>4.6100000000000002E-2</v>
      </c>
      <c r="D345" s="16">
        <v>4.9032</v>
      </c>
      <c r="E345" s="19">
        <v>115741</v>
      </c>
      <c r="F345" s="19">
        <v>23516.945708712614</v>
      </c>
      <c r="G345" s="10">
        <v>-6.7999999999999996E-3</v>
      </c>
      <c r="J345" s="17">
        <v>69220.789155830003</v>
      </c>
      <c r="K345" s="33">
        <v>0.30309999999999998</v>
      </c>
      <c r="L345" s="15">
        <v>0</v>
      </c>
      <c r="M345" s="15">
        <v>93.5</v>
      </c>
      <c r="N345" s="15">
        <v>94.9</v>
      </c>
      <c r="O345" s="15">
        <v>108.5</v>
      </c>
    </row>
    <row r="346" spans="1:15" x14ac:dyDescent="0.3">
      <c r="A346" s="11">
        <v>45170</v>
      </c>
      <c r="B346" s="10">
        <v>0.12970000000000001</v>
      </c>
      <c r="C346" s="10">
        <v>5.1900000000000002E-2</v>
      </c>
      <c r="D346" s="16">
        <v>4.9367000000000001</v>
      </c>
      <c r="E346" s="19">
        <v>116565</v>
      </c>
      <c r="F346" s="19">
        <v>23279.012641543348</v>
      </c>
      <c r="G346" s="10">
        <v>-9.4000000000000004E-3</v>
      </c>
      <c r="J346" s="17">
        <v>65747.119725309996</v>
      </c>
      <c r="K346" s="33">
        <v>0.3014</v>
      </c>
      <c r="L346" s="15">
        <v>0</v>
      </c>
      <c r="M346" s="15">
        <v>93</v>
      </c>
      <c r="N346" s="15">
        <v>94.8</v>
      </c>
      <c r="O346" s="15">
        <v>106.8</v>
      </c>
    </row>
    <row r="347" spans="1:15" x14ac:dyDescent="0.3">
      <c r="A347" s="11">
        <v>45200</v>
      </c>
      <c r="B347" s="10">
        <v>0.1265</v>
      </c>
      <c r="C347" s="10">
        <v>4.82E-2</v>
      </c>
      <c r="D347" s="16">
        <v>5.0644999999999998</v>
      </c>
      <c r="E347" s="19">
        <v>113143</v>
      </c>
      <c r="F347" s="19">
        <v>22372.656806137784</v>
      </c>
      <c r="G347" s="10">
        <v>-1.03E-2</v>
      </c>
      <c r="J347" s="17">
        <v>64287.965206079985</v>
      </c>
      <c r="K347" s="33">
        <v>0.30180000000000001</v>
      </c>
      <c r="L347" s="15">
        <v>0</v>
      </c>
      <c r="M347" s="15">
        <v>92.3</v>
      </c>
      <c r="N347" s="15">
        <v>91.5</v>
      </c>
      <c r="O347" s="15">
        <v>110.9</v>
      </c>
    </row>
    <row r="348" spans="1:15" x14ac:dyDescent="0.3">
      <c r="A348" s="11">
        <v>45231</v>
      </c>
      <c r="B348" s="10">
        <v>0.1217</v>
      </c>
      <c r="C348" s="10">
        <v>4.6799999999999994E-2</v>
      </c>
      <c r="D348" s="16">
        <v>4.8979999999999997</v>
      </c>
      <c r="E348" s="19">
        <v>127331</v>
      </c>
      <c r="F348" s="19">
        <v>25800.575457934836</v>
      </c>
      <c r="G348" s="10">
        <v>-1.18E-2</v>
      </c>
      <c r="J348" s="17">
        <v>64337.842453399986</v>
      </c>
      <c r="K348" s="33">
        <v>0.3019</v>
      </c>
      <c r="L348" s="15">
        <v>0</v>
      </c>
      <c r="M348" s="15">
        <v>92.7</v>
      </c>
      <c r="N348" s="15">
        <v>91</v>
      </c>
      <c r="O348" s="15">
        <v>110.4</v>
      </c>
    </row>
    <row r="349" spans="1:15" x14ac:dyDescent="0.3">
      <c r="A349" s="11">
        <v>45261</v>
      </c>
      <c r="B349" s="10">
        <v>0.11869999999999999</v>
      </c>
      <c r="C349" s="10">
        <v>4.6199999999999998E-2</v>
      </c>
      <c r="D349" s="16">
        <v>4.8969000000000005</v>
      </c>
      <c r="E349" s="19">
        <v>134185</v>
      </c>
      <c r="F349" s="19">
        <v>27718.446601941745</v>
      </c>
      <c r="G349" s="10">
        <v>-2.2599999999999999E-2</v>
      </c>
      <c r="J349" s="17">
        <v>62750.364285479998</v>
      </c>
      <c r="K349" s="33">
        <v>0.29859999999999998</v>
      </c>
      <c r="L349" s="15">
        <v>0</v>
      </c>
      <c r="M349" s="15">
        <v>92.8</v>
      </c>
      <c r="N349" s="15">
        <v>92.4</v>
      </c>
      <c r="O349" s="15">
        <v>107</v>
      </c>
    </row>
    <row r="350" spans="1:15" x14ac:dyDescent="0.3">
      <c r="A350" s="11">
        <v>45292</v>
      </c>
      <c r="B350" s="10">
        <v>0.11650000000000001</v>
      </c>
      <c r="C350" s="10">
        <v>4.5100000000000001E-2</v>
      </c>
      <c r="D350" s="16">
        <v>4.9140999999999995</v>
      </c>
      <c r="E350" s="19">
        <v>127752</v>
      </c>
      <c r="F350" s="19">
        <v>25791.811354276026</v>
      </c>
      <c r="G350" s="10">
        <v>-2.2099999999999998E-2</v>
      </c>
      <c r="J350" s="17">
        <v>65735.870510959998</v>
      </c>
      <c r="K350" s="33">
        <v>0.30130000000000001</v>
      </c>
      <c r="L350" s="15">
        <v>0</v>
      </c>
      <c r="M350" s="15">
        <v>93.8</v>
      </c>
      <c r="N350" s="15">
        <v>91</v>
      </c>
      <c r="O350" s="15">
        <v>109.1</v>
      </c>
    </row>
    <row r="351" spans="1:15" x14ac:dyDescent="0.3">
      <c r="A351" s="11">
        <v>45323</v>
      </c>
      <c r="B351" s="10">
        <v>0.1115</v>
      </c>
      <c r="C351" s="10">
        <v>4.4999999999999998E-2</v>
      </c>
      <c r="D351" s="16">
        <v>4.9641000000000002</v>
      </c>
      <c r="E351" s="19">
        <v>129020</v>
      </c>
      <c r="F351" s="19">
        <v>25892.03291190046</v>
      </c>
      <c r="G351" s="10">
        <v>-2.3899999999999998E-2</v>
      </c>
      <c r="J351" s="17">
        <v>62864.763679609991</v>
      </c>
      <c r="K351" s="33">
        <v>0.30109999999999998</v>
      </c>
      <c r="L351" s="15">
        <v>0</v>
      </c>
      <c r="M351" s="15">
        <v>93.4</v>
      </c>
      <c r="N351" s="15">
        <v>89.6</v>
      </c>
      <c r="O351" s="15">
        <v>104.5</v>
      </c>
    </row>
    <row r="352" spans="1:15" x14ac:dyDescent="0.3">
      <c r="A352" s="11">
        <v>45352</v>
      </c>
      <c r="B352" s="10">
        <v>0.11</v>
      </c>
      <c r="C352" s="10">
        <v>3.9300000000000002E-2</v>
      </c>
      <c r="D352" s="16">
        <v>4.9798</v>
      </c>
      <c r="E352" s="19">
        <v>128106</v>
      </c>
      <c r="F352" s="19">
        <v>25642.226625833184</v>
      </c>
      <c r="G352" s="10">
        <v>-2.2499999999999999E-2</v>
      </c>
      <c r="J352" s="17">
        <v>62582.443565779991</v>
      </c>
      <c r="K352" s="33">
        <v>0.2999</v>
      </c>
      <c r="L352" s="15">
        <v>0</v>
      </c>
      <c r="M352" s="15">
        <v>95</v>
      </c>
      <c r="N352" s="15">
        <v>92.9</v>
      </c>
      <c r="O352" s="15">
        <v>103.8</v>
      </c>
    </row>
    <row r="353" spans="1:15" x14ac:dyDescent="0.3">
      <c r="A353" s="11">
        <v>45383</v>
      </c>
      <c r="B353" s="10">
        <v>0.1065</v>
      </c>
      <c r="C353" s="10">
        <v>3.6900000000000002E-2</v>
      </c>
      <c r="D353" s="16">
        <v>5.1288</v>
      </c>
      <c r="E353" s="19">
        <v>125924</v>
      </c>
      <c r="F353" s="19">
        <v>24349.60843082278</v>
      </c>
      <c r="G353" s="10">
        <v>-2.3499999999999997E-2</v>
      </c>
      <c r="J353" s="17">
        <v>64603.514644160001</v>
      </c>
      <c r="K353" s="33">
        <v>0.29899999999999999</v>
      </c>
      <c r="L353" s="15">
        <v>0</v>
      </c>
      <c r="M353" s="15">
        <v>95.9</v>
      </c>
      <c r="N353" s="15">
        <v>94.5</v>
      </c>
      <c r="O353" s="15">
        <v>106.5</v>
      </c>
    </row>
    <row r="354" spans="1:15" x14ac:dyDescent="0.3">
      <c r="A354" s="11">
        <v>45413</v>
      </c>
      <c r="B354" s="10">
        <v>0.10460000000000001</v>
      </c>
      <c r="C354" s="10">
        <v>3.9300000000000002E-2</v>
      </c>
      <c r="D354" s="16">
        <v>5.1326999999999998</v>
      </c>
      <c r="E354" s="19">
        <v>122098</v>
      </c>
      <c r="F354" s="19">
        <v>23295.365653559231</v>
      </c>
      <c r="G354" s="10">
        <v>-2.4500000000000001E-2</v>
      </c>
      <c r="J354" s="17">
        <v>64286.139955799998</v>
      </c>
      <c r="K354" s="33">
        <v>0.2984</v>
      </c>
      <c r="L354" s="15">
        <v>0</v>
      </c>
      <c r="M354" s="15">
        <v>96</v>
      </c>
      <c r="N354" s="15">
        <v>90.6</v>
      </c>
      <c r="O354" s="15">
        <v>112.9</v>
      </c>
    </row>
    <row r="355" spans="1:15" x14ac:dyDescent="0.3">
      <c r="A355" s="11">
        <v>45444</v>
      </c>
      <c r="B355" s="10">
        <v>0.10400000000000001</v>
      </c>
      <c r="C355" s="10">
        <v>4.2300000000000004E-2</v>
      </c>
      <c r="D355" s="16">
        <v>5.3887</v>
      </c>
      <c r="E355" s="19">
        <v>123906</v>
      </c>
      <c r="F355" s="19">
        <v>22290.864606195802</v>
      </c>
      <c r="G355" s="10">
        <v>-2.35E-2</v>
      </c>
      <c r="J355" s="17">
        <v>68102.946001089993</v>
      </c>
      <c r="K355" s="33">
        <v>0.29849999999999999</v>
      </c>
      <c r="L355" s="15">
        <v>0</v>
      </c>
      <c r="M355" s="15">
        <v>96</v>
      </c>
      <c r="N355" s="15">
        <v>91.7</v>
      </c>
      <c r="O355" s="15">
        <v>110.6</v>
      </c>
    </row>
    <row r="356" spans="1:15" x14ac:dyDescent="0.3">
      <c r="A356" s="11">
        <v>45474</v>
      </c>
      <c r="B356" s="10">
        <v>0.10400000000000001</v>
      </c>
      <c r="C356" s="10">
        <v>4.4999999999999998E-2</v>
      </c>
      <c r="D356" s="16">
        <v>5.5417000000000005</v>
      </c>
      <c r="E356" s="19">
        <v>127651</v>
      </c>
      <c r="F356" s="19">
        <v>22546.010102794167</v>
      </c>
      <c r="G356" s="10">
        <v>-2.1899999999999999E-2</v>
      </c>
      <c r="J356" s="17">
        <v>69748.961119309999</v>
      </c>
      <c r="K356" s="33">
        <v>0.30030000000000001</v>
      </c>
      <c r="L356" s="15">
        <v>0</v>
      </c>
      <c r="M356" s="15">
        <v>97.9</v>
      </c>
      <c r="N356" s="15">
        <v>92.4</v>
      </c>
      <c r="O356" s="15">
        <v>110.3</v>
      </c>
    </row>
    <row r="357" spans="1:15" x14ac:dyDescent="0.3">
      <c r="A357" s="11">
        <v>45505</v>
      </c>
      <c r="B357" s="10">
        <v>0.10400000000000001</v>
      </c>
      <c r="C357" s="10">
        <v>4.24E-2</v>
      </c>
      <c r="D357" s="16">
        <v>5.5522999999999998</v>
      </c>
      <c r="E357" s="19">
        <v>136004</v>
      </c>
      <c r="F357" s="19">
        <v>24046.394031011863</v>
      </c>
      <c r="G357" s="10">
        <v>-2.1499999999999998E-2</v>
      </c>
      <c r="J357" s="17">
        <v>71210.908923219991</v>
      </c>
      <c r="K357" s="33">
        <v>0.30149999999999999</v>
      </c>
      <c r="L357" s="15">
        <v>0</v>
      </c>
      <c r="M357" s="15">
        <v>99</v>
      </c>
      <c r="N357" s="15">
        <v>92.7</v>
      </c>
      <c r="O357" s="15">
        <v>107.8</v>
      </c>
    </row>
    <row r="358" spans="1:15" x14ac:dyDescent="0.3">
      <c r="A358" s="11">
        <v>45536</v>
      </c>
      <c r="B358" s="10">
        <v>0.105</v>
      </c>
      <c r="C358" s="10">
        <v>4.4199999999999996E-2</v>
      </c>
      <c r="D358" s="16">
        <v>5.5412999999999997</v>
      </c>
      <c r="E358" s="19">
        <v>131816</v>
      </c>
      <c r="F358" s="19">
        <v>24196.189287418776</v>
      </c>
      <c r="G358" s="10">
        <v>-2.0500000000000001E-2</v>
      </c>
      <c r="J358" s="17">
        <v>69315.37596017</v>
      </c>
      <c r="K358" s="33">
        <v>0.30120000000000002</v>
      </c>
      <c r="L358" s="15">
        <v>0</v>
      </c>
      <c r="M358" s="15">
        <v>97.1</v>
      </c>
      <c r="N358" s="15">
        <v>92.8</v>
      </c>
      <c r="O358" s="15">
        <v>107.8</v>
      </c>
    </row>
    <row r="359" spans="1:15" x14ac:dyDescent="0.3">
      <c r="A359" s="11">
        <v>45566</v>
      </c>
      <c r="B359" s="10">
        <v>0.1065</v>
      </c>
      <c r="C359" s="10">
        <v>4.7599999999999996E-2</v>
      </c>
      <c r="D359" s="16">
        <v>5.6238000000000001</v>
      </c>
      <c r="E359" s="19">
        <v>129713</v>
      </c>
      <c r="F359" s="19">
        <v>22451.017723622266</v>
      </c>
      <c r="G359" s="10">
        <v>-1.8599999999999998E-2</v>
      </c>
      <c r="J359" s="17">
        <v>72943.214262599999</v>
      </c>
      <c r="K359" s="33">
        <v>0.30170000000000002</v>
      </c>
      <c r="L359" s="15">
        <v>0</v>
      </c>
      <c r="M359" s="15">
        <v>97.4</v>
      </c>
      <c r="N359" s="15">
        <v>91.5</v>
      </c>
      <c r="O359" s="15">
        <v>104.8</v>
      </c>
    </row>
    <row r="360" spans="1:15" x14ac:dyDescent="0.3">
      <c r="A360" s="11">
        <v>45597</v>
      </c>
      <c r="B360" s="10">
        <v>0.1104</v>
      </c>
      <c r="C360" s="10">
        <v>4.87E-2</v>
      </c>
      <c r="D360" s="16">
        <v>5.8068</v>
      </c>
      <c r="E360" s="19">
        <v>125667</v>
      </c>
      <c r="F360" s="19">
        <v>20760.424238419346</v>
      </c>
      <c r="G360" s="10">
        <v>-1.5700000000000002E-2</v>
      </c>
      <c r="J360" s="17">
        <v>71938.950975390006</v>
      </c>
      <c r="K360" s="33">
        <v>0.30280000000000001</v>
      </c>
      <c r="L360" s="15">
        <v>0</v>
      </c>
      <c r="M360" s="15">
        <v>95.6</v>
      </c>
      <c r="N360" s="15">
        <v>94</v>
      </c>
      <c r="O360" s="15">
        <v>110.4</v>
      </c>
    </row>
    <row r="361" spans="1:15" x14ac:dyDescent="0.3">
      <c r="A361" s="11">
        <v>45627</v>
      </c>
      <c r="B361" s="10">
        <v>0.1177</v>
      </c>
      <c r="C361" s="10">
        <v>4.8300000000000003E-2</v>
      </c>
      <c r="D361" s="16">
        <v>6.0967000000000002</v>
      </c>
      <c r="E361" s="19">
        <v>120283</v>
      </c>
      <c r="F361" s="19">
        <v>19425.549095607235</v>
      </c>
      <c r="G361" s="10">
        <v>-3.4000000000000002E-3</v>
      </c>
      <c r="J361" s="17">
        <v>74090.78605019</v>
      </c>
      <c r="K361" s="33">
        <v>0.30299999999999999</v>
      </c>
      <c r="L361" s="15">
        <v>0</v>
      </c>
      <c r="M361" s="15">
        <v>94.9</v>
      </c>
      <c r="N361" s="15">
        <v>90.9</v>
      </c>
      <c r="O361" s="15">
        <v>115.4</v>
      </c>
    </row>
    <row r="362" spans="1:15" x14ac:dyDescent="0.3">
      <c r="A362" s="11">
        <v>45658</v>
      </c>
      <c r="B362" s="10">
        <v>0.12240000000000001</v>
      </c>
      <c r="C362" s="10">
        <v>4.5599999999999995E-2</v>
      </c>
      <c r="D362" s="16">
        <v>6.0214999999999996</v>
      </c>
      <c r="E362" s="19">
        <v>126134</v>
      </c>
      <c r="F362" s="19">
        <v>21636.076709321074</v>
      </c>
      <c r="G362" s="10">
        <v>-3.3E-3</v>
      </c>
      <c r="J362" s="17">
        <v>72797.696952130005</v>
      </c>
      <c r="K362" s="33">
        <v>0.30519999999999997</v>
      </c>
      <c r="L362" s="15">
        <v>0</v>
      </c>
      <c r="M362" s="15">
        <v>92.6</v>
      </c>
      <c r="N362" s="15">
        <v>86.5</v>
      </c>
      <c r="O362" s="15">
        <v>116.9</v>
      </c>
    </row>
    <row r="363" spans="1:15" x14ac:dyDescent="0.3">
      <c r="A363" s="11">
        <v>45689</v>
      </c>
      <c r="B363" s="10">
        <v>0.13150000000000001</v>
      </c>
      <c r="C363" s="10">
        <v>5.0599999999999999E-2</v>
      </c>
      <c r="D363" s="16">
        <v>5.7652999999999999</v>
      </c>
      <c r="E363" s="19">
        <v>122799</v>
      </c>
      <c r="F363" s="19">
        <v>20996.665811746603</v>
      </c>
      <c r="G363" s="10">
        <v>-6.9999999999999988E-4</v>
      </c>
      <c r="J363" s="17">
        <v>78276.102221020003</v>
      </c>
      <c r="K363" s="33">
        <v>0.30449999999999999</v>
      </c>
      <c r="L363" s="15">
        <v>0</v>
      </c>
      <c r="M363" s="15">
        <v>92.6</v>
      </c>
      <c r="N363" s="15">
        <v>85.1</v>
      </c>
      <c r="O363" s="15">
        <v>111.7</v>
      </c>
    </row>
    <row r="364" spans="1:15" x14ac:dyDescent="0.3">
      <c r="A364" s="11">
        <v>45717</v>
      </c>
      <c r="B364" s="10">
        <v>0.13570000000000002</v>
      </c>
      <c r="C364" s="10">
        <v>5.4800000000000001E-2</v>
      </c>
      <c r="D364" s="16">
        <v>5.7465000000000002</v>
      </c>
      <c r="E364" s="19">
        <v>130259</v>
      </c>
      <c r="F364" s="19">
        <v>22685.696372280952</v>
      </c>
      <c r="G364" s="10">
        <v>-4.9999999999999979E-4</v>
      </c>
      <c r="J364" s="17">
        <v>74078.439167039993</v>
      </c>
      <c r="K364" s="33">
        <v>0.30620000000000003</v>
      </c>
      <c r="L364" s="15">
        <v>0</v>
      </c>
      <c r="M364" s="15">
        <v>92.9</v>
      </c>
      <c r="N364" s="15">
        <v>84.8</v>
      </c>
      <c r="O364" s="15">
        <v>112.8</v>
      </c>
    </row>
    <row r="365" spans="1:15" x14ac:dyDescent="0.3">
      <c r="A365" s="11">
        <v>45748</v>
      </c>
      <c r="B365" s="10">
        <v>0.14150000000000001</v>
      </c>
      <c r="C365" s="10">
        <v>5.5300000000000002E-2</v>
      </c>
      <c r="D365" s="16">
        <v>5.7834000000000003</v>
      </c>
      <c r="E365" s="19">
        <v>135066</v>
      </c>
      <c r="F365" s="19">
        <v>23861.14300856815</v>
      </c>
      <c r="G365" s="10">
        <v>2.0000000000000009E-4</v>
      </c>
      <c r="J365" s="17">
        <v>72691.201412259994</v>
      </c>
      <c r="K365" s="33">
        <v>0.30680000000000002</v>
      </c>
      <c r="L365" s="15">
        <v>0</v>
      </c>
      <c r="M365" s="15">
        <v>93.8</v>
      </c>
      <c r="N365" s="15">
        <v>86.6</v>
      </c>
      <c r="O365" s="15">
        <v>117.7</v>
      </c>
    </row>
    <row r="366" spans="1:15" x14ac:dyDescent="0.3">
      <c r="A366" s="11">
        <v>45778</v>
      </c>
      <c r="B366" s="10">
        <v>0.14550000000000002</v>
      </c>
      <c r="C366" s="10">
        <v>5.3200000000000004E-2</v>
      </c>
      <c r="D366" s="16">
        <v>5.6670999999999996</v>
      </c>
      <c r="E366" s="19">
        <v>137026</v>
      </c>
      <c r="F366" s="19">
        <v>24004.274402634714</v>
      </c>
      <c r="G366" s="10">
        <v>2.5999999999999999E-3</v>
      </c>
      <c r="J366" s="17">
        <v>71592.352110559994</v>
      </c>
      <c r="K366" s="33">
        <v>0.30579999999999996</v>
      </c>
      <c r="L366" s="15">
        <v>0</v>
      </c>
      <c r="M366" s="15">
        <v>94.7</v>
      </c>
      <c r="N366" s="15">
        <v>87.9</v>
      </c>
      <c r="O366" s="15">
        <v>116</v>
      </c>
    </row>
    <row r="367" spans="1:15" x14ac:dyDescent="0.3">
      <c r="A367" s="11">
        <v>45809</v>
      </c>
      <c r="B367" s="10">
        <v>0.1474</v>
      </c>
      <c r="C367" s="10">
        <v>5.3499999999999999E-2</v>
      </c>
      <c r="D367" s="16">
        <v>5.5468000000000002</v>
      </c>
      <c r="E367" s="19">
        <v>138854</v>
      </c>
      <c r="F367" s="19">
        <v>25446.048966427214</v>
      </c>
      <c r="G367" s="10">
        <v>2.2000000000000001E-3</v>
      </c>
      <c r="J367" s="17">
        <v>68457.067866180005</v>
      </c>
      <c r="K367" s="33">
        <v>0.30530000000000002</v>
      </c>
      <c r="L367" s="15">
        <v>0</v>
      </c>
      <c r="M367" s="15">
        <v>92.2</v>
      </c>
      <c r="N367" s="15">
        <v>86.2</v>
      </c>
      <c r="O367" s="15">
        <v>108.9</v>
      </c>
    </row>
    <row r="368" spans="1:15" x14ac:dyDescent="0.3">
      <c r="A368" s="11">
        <v>45839</v>
      </c>
      <c r="B368" s="10">
        <v>0.14899999999999999</v>
      </c>
      <c r="C368" s="10">
        <v>5.2300000000000006E-2</v>
      </c>
      <c r="D368" s="16">
        <v>5.5282</v>
      </c>
      <c r="E368" s="19">
        <v>133071</v>
      </c>
      <c r="F368" s="19">
        <v>23755.043021885824</v>
      </c>
      <c r="G368" s="10">
        <v>-1.5000000000000005E-3</v>
      </c>
      <c r="J368" s="17">
        <v>68327.720523530006</v>
      </c>
      <c r="K368" s="33">
        <v>0.30519999999999997</v>
      </c>
      <c r="L368" s="15">
        <v>0</v>
      </c>
      <c r="M368" s="15">
        <v>91.8</v>
      </c>
      <c r="N368" s="15">
        <v>85.8</v>
      </c>
      <c r="O368" s="15">
        <v>113.2</v>
      </c>
    </row>
    <row r="369" spans="1:15" x14ac:dyDescent="0.3">
      <c r="A369" s="11">
        <v>45870</v>
      </c>
      <c r="B369" s="10">
        <v>0.14899999999999999</v>
      </c>
      <c r="C369" s="10">
        <v>5.1299999999999998E-2</v>
      </c>
      <c r="D369" s="16">
        <v>5.4466000000000001</v>
      </c>
      <c r="E369" s="19">
        <v>141422</v>
      </c>
      <c r="F369" s="19">
        <v>26063.286706842853</v>
      </c>
      <c r="G369" s="10">
        <v>-1.1000000000000001E-3</v>
      </c>
      <c r="J369" s="17">
        <v>67899.939355360009</v>
      </c>
      <c r="K369" s="33">
        <v>0.30609999999999998</v>
      </c>
      <c r="L369" s="15">
        <v>0</v>
      </c>
      <c r="M369" s="15">
        <v>89.2</v>
      </c>
      <c r="N369" s="15">
        <v>85.5</v>
      </c>
      <c r="O369" s="15">
        <v>110.7</v>
      </c>
    </row>
    <row r="370" spans="1:15" x14ac:dyDescent="0.3">
      <c r="A370" s="11">
        <v>45901</v>
      </c>
      <c r="B370" s="10">
        <v>0.14899999999999999</v>
      </c>
      <c r="C370" s="10">
        <v>5.1699999999999996E-2</v>
      </c>
      <c r="D370" s="16">
        <v>5.3670999999999998</v>
      </c>
      <c r="E370" s="19">
        <v>146237</v>
      </c>
      <c r="F370" s="19">
        <v>27496.944512344173</v>
      </c>
      <c r="G370" s="10">
        <v>-2E-3</v>
      </c>
      <c r="J370" s="17">
        <v>74690.158137229999</v>
      </c>
      <c r="K370" s="33">
        <v>0.30690000000000001</v>
      </c>
      <c r="L370" s="15">
        <v>0</v>
      </c>
      <c r="M370" s="15">
        <v>89.7</v>
      </c>
      <c r="N370" s="15">
        <v>86.4</v>
      </c>
      <c r="O370" s="15">
        <v>106.5</v>
      </c>
    </row>
    <row r="371" spans="1:15" x14ac:dyDescent="0.3">
      <c r="A371" s="11">
        <v>45931</v>
      </c>
      <c r="B371" s="10">
        <v>0.14899999999999999</v>
      </c>
      <c r="C371" s="10">
        <v>4.6799999999999994E-2</v>
      </c>
      <c r="D371" s="16">
        <v>5.3852000000000002</v>
      </c>
      <c r="E371" s="19">
        <v>149540</v>
      </c>
      <c r="F371" s="19">
        <v>27774.888558692419</v>
      </c>
      <c r="G371" s="10">
        <v>-2.4000000000000002E-3</v>
      </c>
      <c r="J371" s="17">
        <v>78928.417132489994</v>
      </c>
      <c r="K371" s="33">
        <v>0.30990000000000001</v>
      </c>
      <c r="L371" s="15">
        <v>0</v>
      </c>
      <c r="M371" s="15">
        <v>89.3</v>
      </c>
      <c r="N371" s="15">
        <v>87</v>
      </c>
      <c r="O371" s="15">
        <v>109</v>
      </c>
    </row>
    <row r="372" spans="1:15" x14ac:dyDescent="0.3">
      <c r="A372" s="11">
        <v>45962</v>
      </c>
      <c r="B372" s="10">
        <v>0.14899999999999999</v>
      </c>
      <c r="C372" s="10">
        <v>4.4600000000000001E-2</v>
      </c>
      <c r="D372" s="16">
        <v>5.3406000000000002</v>
      </c>
      <c r="E372" s="19">
        <v>159072</v>
      </c>
      <c r="F372" s="19">
        <v>29825.067966626044</v>
      </c>
      <c r="G372" s="10">
        <v>-2.7999999999999995E-3</v>
      </c>
      <c r="J372" s="17">
        <v>83084.722655739999</v>
      </c>
      <c r="K372" s="33">
        <v>0.31129999999999997</v>
      </c>
      <c r="L372" s="15">
        <v>0</v>
      </c>
      <c r="M372" s="15">
        <v>88.9</v>
      </c>
      <c r="N372" s="15">
        <v>88.8</v>
      </c>
      <c r="O372" s="15">
        <v>107.6</v>
      </c>
    </row>
    <row r="373" spans="1:15" x14ac:dyDescent="0.3">
      <c r="A373" s="11">
        <v>45992</v>
      </c>
      <c r="B373" s="10">
        <v>0.14899999999999999</v>
      </c>
      <c r="C373" s="10">
        <v>4.2599999999999999E-2</v>
      </c>
      <c r="D373" s="16">
        <v>5.4527999999999999</v>
      </c>
      <c r="E373" s="19">
        <v>161125</v>
      </c>
      <c r="F373" s="19">
        <v>29284.27327747587</v>
      </c>
      <c r="G373" s="10">
        <v>-3.8999999999999998E-3</v>
      </c>
      <c r="J373" s="17">
        <v>77676.162911609994</v>
      </c>
      <c r="K373" s="33">
        <v>0.31159999999999999</v>
      </c>
      <c r="L373" s="15">
        <v>0</v>
      </c>
      <c r="M373" s="15">
        <v>89.8</v>
      </c>
      <c r="N373" s="15">
        <v>89.1</v>
      </c>
      <c r="O373" s="15">
        <v>104.5</v>
      </c>
    </row>
    <row r="374" spans="1:15" x14ac:dyDescent="0.3">
      <c r="A374" s="11">
        <v>46023</v>
      </c>
      <c r="B374" s="10">
        <v>0.14899999999999999</v>
      </c>
      <c r="C374" s="10">
        <v>4.4400000000000002E-2</v>
      </c>
      <c r="D374" s="16">
        <v>5.3376999999999999</v>
      </c>
      <c r="E374" s="19">
        <v>181363</v>
      </c>
      <c r="F374" s="19">
        <v>34678.764006271747</v>
      </c>
      <c r="G374" s="10">
        <v>-3.5999999999999999E-3</v>
      </c>
      <c r="J374" s="17">
        <v>79203.025491709996</v>
      </c>
      <c r="K374" s="33">
        <v>0.3135</v>
      </c>
      <c r="L374" s="15">
        <v>0</v>
      </c>
      <c r="M374" s="15">
        <v>91</v>
      </c>
      <c r="N374" s="15">
        <v>87.3</v>
      </c>
      <c r="O374" s="15">
        <v>117.1</v>
      </c>
    </row>
    <row r="375" spans="1:15" x14ac:dyDescent="0.3">
      <c r="A375" s="11">
        <v>46054</v>
      </c>
      <c r="B375" s="10">
        <v>0.14899999999999999</v>
      </c>
      <c r="C375" s="10">
        <v>3.8100000000000002E-2</v>
      </c>
      <c r="D375" s="16">
        <v>5.2003000000000004</v>
      </c>
      <c r="E375" s="19">
        <v>188786</v>
      </c>
      <c r="F375" s="19">
        <v>36663.170978016002</v>
      </c>
      <c r="G375" s="10">
        <v>-3.3E-3</v>
      </c>
      <c r="J375" s="17">
        <v>75918.410516240008</v>
      </c>
      <c r="K375" s="33">
        <v>0.31240000000000001</v>
      </c>
      <c r="L375" s="15">
        <v>0</v>
      </c>
      <c r="M375" s="15">
        <v>91.4</v>
      </c>
      <c r="N375" s="15">
        <v>86.1</v>
      </c>
      <c r="O375" s="15">
        <v>105.8</v>
      </c>
    </row>
    <row r="376" spans="1:15" x14ac:dyDescent="0.3">
      <c r="A376" s="11">
        <v>46082</v>
      </c>
      <c r="B376" s="10">
        <v>0.14800000000000002</v>
      </c>
      <c r="C376" s="10">
        <v>4.1399999999999999E-2</v>
      </c>
      <c r="D376" s="16">
        <v>5.2313000000000001</v>
      </c>
      <c r="E376" s="19">
        <v>187461</v>
      </c>
      <c r="F376" s="19">
        <v>35918.261769270561</v>
      </c>
      <c r="G376" s="10">
        <v>-9.7999999999999997E-3</v>
      </c>
      <c r="J376" s="17">
        <v>75660.268202909996</v>
      </c>
      <c r="K376" s="33">
        <v>0.31240000000000001</v>
      </c>
      <c r="L376" s="15">
        <v>0</v>
      </c>
      <c r="M376" s="15">
        <v>91.6</v>
      </c>
      <c r="N376" s="15">
        <v>88.1</v>
      </c>
      <c r="O376" s="15">
        <v>115</v>
      </c>
    </row>
    <row r="377" spans="1:15" x14ac:dyDescent="0.3">
      <c r="A377" s="11">
        <v>46113</v>
      </c>
      <c r="B377" s="10">
        <v>0.1464</v>
      </c>
      <c r="C377" s="10">
        <v>4.3899999999999995E-2</v>
      </c>
      <c r="D377" s="16">
        <v>5.0327999999999999</v>
      </c>
      <c r="E377" s="19">
        <v>187317</v>
      </c>
      <c r="F377" s="19">
        <v>37551.269971733855</v>
      </c>
      <c r="G377" s="10">
        <v>-8.8999999999999999E-3</v>
      </c>
      <c r="J377" s="17">
        <v>79201.147225950001</v>
      </c>
      <c r="K377" s="33">
        <v>0.31190000000000001</v>
      </c>
      <c r="L377" s="15">
        <v>0</v>
      </c>
      <c r="M377" s="15">
        <v>91.2</v>
      </c>
      <c r="N377" s="15">
        <v>89.1</v>
      </c>
      <c r="O377" s="15">
        <v>117.2</v>
      </c>
    </row>
    <row r="378" spans="1:15" x14ac:dyDescent="0.3">
      <c r="A378" s="11">
        <v>46143</v>
      </c>
      <c r="B378" s="10">
        <v>0.14400000000000002</v>
      </c>
      <c r="C378" s="10">
        <v>4.7199999999999999E-2</v>
      </c>
      <c r="D378" s="16">
        <v>4.9833999999999996</v>
      </c>
      <c r="E378" s="19">
        <v>173787</v>
      </c>
      <c r="F378" s="19">
        <v>34368.350274888267</v>
      </c>
      <c r="G378" s="10">
        <v>-1.0699999999999999E-2</v>
      </c>
      <c r="J378" s="17">
        <v>83312.101209390021</v>
      </c>
      <c r="K378" s="33">
        <v>0.31059999999999999</v>
      </c>
      <c r="L378" s="15">
        <v>1</v>
      </c>
      <c r="M378" s="15">
        <v>91.8</v>
      </c>
      <c r="N378" s="15">
        <v>88.8</v>
      </c>
      <c r="O378" s="15">
        <v>110.9</v>
      </c>
    </row>
    <row r="379" spans="1:15" x14ac:dyDescent="0.3">
      <c r="A379" s="11">
        <v>46174</v>
      </c>
      <c r="B379" s="10">
        <v>0.1429</v>
      </c>
      <c r="C379" s="10">
        <v>4.6399999999999997E-2</v>
      </c>
      <c r="D379" s="16">
        <v>5.1273</v>
      </c>
      <c r="E379" s="19">
        <v>172024</v>
      </c>
      <c r="F379" s="19">
        <v>33233.004269458885</v>
      </c>
      <c r="G379" s="10">
        <v>-1.1300000000000001E-2</v>
      </c>
      <c r="J379" s="17">
        <v>89319.036522770024</v>
      </c>
      <c r="K379" s="33">
        <v>0.30829999999999996</v>
      </c>
      <c r="L379" s="15">
        <v>0</v>
      </c>
      <c r="M379" s="15">
        <v>93</v>
      </c>
      <c r="N379" s="15">
        <v>88.7</v>
      </c>
      <c r="O379" s="15">
        <v>111.3</v>
      </c>
    </row>
    <row r="380" spans="1:15" x14ac:dyDescent="0.3">
      <c r="A380" s="11">
        <v>46204</v>
      </c>
      <c r="B380" s="10">
        <v>0.14150000000000001</v>
      </c>
      <c r="C380" s="10">
        <v>4.4400000000000002E-2</v>
      </c>
      <c r="D380" s="16">
        <v>5.1135999999999999</v>
      </c>
      <c r="E380" s="19">
        <v>177999</v>
      </c>
      <c r="F380" s="19">
        <v>35059.877880638174</v>
      </c>
      <c r="G380" s="10">
        <v>-6.2000000000000006E-3</v>
      </c>
      <c r="J380" s="17">
        <v>88377.348005380016</v>
      </c>
      <c r="L380" s="15">
        <v>0</v>
      </c>
      <c r="M380" s="15">
        <v>91.6</v>
      </c>
      <c r="N380" s="15">
        <v>88.3</v>
      </c>
      <c r="O380" s="15">
        <v>109.4</v>
      </c>
    </row>
    <row r="381" spans="1:15" x14ac:dyDescent="0.3">
      <c r="A381" s="11">
        <v>46235</v>
      </c>
      <c r="B381" s="10">
        <v>0.1394</v>
      </c>
      <c r="C381" s="10">
        <v>4.2199999999999994E-2</v>
      </c>
      <c r="D381" s="16">
        <v>5.1528999999999998</v>
      </c>
      <c r="E381" s="19">
        <v>177418</v>
      </c>
      <c r="F381" s="19">
        <v>34241.985602068977</v>
      </c>
      <c r="L381" s="15">
        <v>0</v>
      </c>
      <c r="M381" s="15">
        <v>91.1</v>
      </c>
      <c r="N381" s="15">
        <v>84.7</v>
      </c>
      <c r="O381" s="15">
        <v>111.7</v>
      </c>
    </row>
    <row r="382" spans="1:15" x14ac:dyDescent="0.3">
      <c r="A382" s="11">
        <v>46266</v>
      </c>
      <c r="B382" s="10">
        <v>0.13850000000000001</v>
      </c>
      <c r="E382" s="19">
        <v>185547</v>
      </c>
      <c r="F382" s="19">
        <v>36015.95558833806</v>
      </c>
    </row>
    <row r="383" spans="1:15" x14ac:dyDescent="0.3">
      <c r="A383" s="11" t="str">
        <f>IF(Tabela3[[#This Row],[Selic]]="","",EDATE(A382,1))</f>
        <v/>
      </c>
      <c r="B383" s="10"/>
      <c r="C383" s="10"/>
      <c r="D383" s="16"/>
      <c r="E383" s="19"/>
      <c r="F383" s="19"/>
      <c r="G383" s="10"/>
      <c r="J383" s="17"/>
      <c r="L383" s="15"/>
    </row>
    <row r="384" spans="1:15" x14ac:dyDescent="0.3">
      <c r="A384" s="11" t="str">
        <f>IF(Tabela3[[#This Row],[Selic]]="","",EDATE(A383,1))</f>
        <v/>
      </c>
      <c r="B384" s="10"/>
      <c r="C384" s="10"/>
      <c r="D384" s="16"/>
      <c r="E384" s="19"/>
      <c r="F384" s="19"/>
      <c r="G384" s="10"/>
      <c r="J384" s="17"/>
      <c r="L384" s="15"/>
    </row>
    <row r="385" spans="1:12" x14ac:dyDescent="0.3">
      <c r="A385" s="11" t="str">
        <f>IF(Tabela3[[#This Row],[Selic]]="","",EDATE(A384,1))</f>
        <v/>
      </c>
      <c r="B385" s="10"/>
      <c r="C385" s="10"/>
      <c r="D385" s="16"/>
      <c r="E385" s="19"/>
      <c r="F385" s="19"/>
      <c r="G385" s="10"/>
      <c r="J385" s="17"/>
      <c r="L385" s="15"/>
    </row>
    <row r="386" spans="1:12" x14ac:dyDescent="0.3">
      <c r="A386" s="11" t="str">
        <f>IF(B386="","",EDATE(#REF!,1))</f>
        <v/>
      </c>
    </row>
    <row r="387" spans="1:12" x14ac:dyDescent="0.3">
      <c r="A387" s="11" t="str">
        <f t="shared" ref="A387:A391" si="0">IF(B387="","",EDATE(A386,1))</f>
        <v/>
      </c>
    </row>
    <row r="388" spans="1:12" x14ac:dyDescent="0.3">
      <c r="A388" s="11" t="str">
        <f t="shared" si="0"/>
        <v/>
      </c>
    </row>
    <row r="389" spans="1:12" x14ac:dyDescent="0.3">
      <c r="A389" s="11" t="str">
        <f t="shared" si="0"/>
        <v/>
      </c>
    </row>
    <row r="390" spans="1:12" x14ac:dyDescent="0.3">
      <c r="A390" s="11" t="str">
        <f t="shared" si="0"/>
        <v/>
      </c>
    </row>
    <row r="391" spans="1:12" x14ac:dyDescent="0.3">
      <c r="A391" s="11" t="str">
        <f t="shared" si="0"/>
        <v/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F5D9-9478-4023-A5EB-E61E595B9F72}">
  <dimension ref="A1:J385"/>
  <sheetViews>
    <sheetView topLeftCell="A360" workbookViewId="0">
      <selection sqref="A1:J385"/>
    </sheetView>
  </sheetViews>
  <sheetFormatPr defaultRowHeight="14.4" x14ac:dyDescent="0.3"/>
  <cols>
    <col min="1" max="2" width="10.5546875" customWidth="1"/>
    <col min="3" max="3" width="15.6640625" customWidth="1"/>
    <col min="4" max="7" width="20.33203125" customWidth="1"/>
    <col min="8" max="8" width="15" customWidth="1"/>
    <col min="9" max="10" width="30.6640625" customWidth="1"/>
  </cols>
  <sheetData>
    <row r="1" spans="1:10" x14ac:dyDescent="0.3">
      <c r="A1" s="8" t="s">
        <v>7</v>
      </c>
      <c r="B1" s="7" t="s">
        <v>18</v>
      </c>
      <c r="C1" s="7" t="s">
        <v>17</v>
      </c>
      <c r="D1" s="7" t="s">
        <v>6</v>
      </c>
      <c r="E1" s="7" t="s">
        <v>5</v>
      </c>
      <c r="F1" s="7" t="s">
        <v>4</v>
      </c>
      <c r="G1" s="7" t="s">
        <v>3</v>
      </c>
      <c r="H1" s="7" t="s">
        <v>2</v>
      </c>
      <c r="I1" s="7" t="s">
        <v>1</v>
      </c>
      <c r="J1" s="7" t="s">
        <v>0</v>
      </c>
    </row>
    <row r="2" spans="1:10" x14ac:dyDescent="0.3">
      <c r="A2" s="6">
        <v>34700</v>
      </c>
      <c r="B2" s="14">
        <v>100</v>
      </c>
      <c r="C2" s="1"/>
      <c r="D2" s="1"/>
      <c r="E2" s="1"/>
      <c r="F2" s="1"/>
      <c r="G2" s="1"/>
      <c r="H2" s="1"/>
      <c r="I2" s="1"/>
      <c r="J2" s="1"/>
    </row>
    <row r="3" spans="1:10" x14ac:dyDescent="0.3">
      <c r="A3" s="6">
        <v>34731</v>
      </c>
      <c r="B3" s="14">
        <v>100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6">
        <v>34759</v>
      </c>
      <c r="B4" s="14">
        <v>100</v>
      </c>
      <c r="C4" s="1"/>
      <c r="D4" s="1"/>
      <c r="E4" s="1"/>
      <c r="F4" s="1"/>
      <c r="G4" s="1"/>
      <c r="H4" s="1"/>
      <c r="I4" s="1"/>
      <c r="J4" s="1"/>
    </row>
    <row r="5" spans="1:10" x14ac:dyDescent="0.3">
      <c r="A5" s="6">
        <v>34790</v>
      </c>
      <c r="B5" s="14">
        <v>100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6">
        <v>34820</v>
      </c>
      <c r="B6" s="14">
        <v>100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s="6">
        <v>34851</v>
      </c>
      <c r="B7" s="14">
        <v>100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6">
        <v>34881</v>
      </c>
      <c r="B8" s="14">
        <v>100</v>
      </c>
      <c r="C8" s="1"/>
      <c r="D8" s="1"/>
      <c r="E8" s="1"/>
      <c r="F8" s="1"/>
      <c r="G8" s="1"/>
      <c r="H8" s="1"/>
      <c r="I8" s="1"/>
      <c r="J8" s="1"/>
    </row>
    <row r="9" spans="1:10" x14ac:dyDescent="0.3">
      <c r="A9" s="6">
        <v>34912</v>
      </c>
      <c r="B9" s="14">
        <v>100</v>
      </c>
      <c r="C9" s="1"/>
      <c r="D9" s="1"/>
      <c r="E9" s="1"/>
      <c r="F9" s="1"/>
      <c r="G9" s="1"/>
      <c r="H9" s="1"/>
      <c r="I9" s="1"/>
      <c r="J9" s="1"/>
    </row>
    <row r="10" spans="1:10" x14ac:dyDescent="0.3">
      <c r="A10" s="6">
        <v>34943</v>
      </c>
      <c r="B10" s="14">
        <v>100</v>
      </c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6">
        <v>34973</v>
      </c>
      <c r="B11" s="14">
        <v>100</v>
      </c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6">
        <v>35004</v>
      </c>
      <c r="B12" s="14">
        <v>100</v>
      </c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6">
        <v>35034</v>
      </c>
      <c r="B13" s="14">
        <v>100</v>
      </c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6">
        <v>35065</v>
      </c>
      <c r="B14" s="14">
        <v>100</v>
      </c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6">
        <v>35096</v>
      </c>
      <c r="B15" s="14">
        <v>100</v>
      </c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6">
        <v>35125</v>
      </c>
      <c r="B16" s="14">
        <v>100</v>
      </c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6">
        <v>35156</v>
      </c>
      <c r="B17" s="14">
        <v>100</v>
      </c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6">
        <v>35186</v>
      </c>
      <c r="B18" s="14">
        <v>100</v>
      </c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6">
        <v>35217</v>
      </c>
      <c r="B19" s="14">
        <v>100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6">
        <v>35247</v>
      </c>
      <c r="B20" s="14">
        <v>100</v>
      </c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6">
        <v>35278</v>
      </c>
      <c r="B21" s="14">
        <v>100</v>
      </c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6">
        <v>35309</v>
      </c>
      <c r="B22" s="14">
        <v>100</v>
      </c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6">
        <v>35339</v>
      </c>
      <c r="B23" s="14">
        <v>100</v>
      </c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6">
        <v>35370</v>
      </c>
      <c r="B24" s="14">
        <v>100</v>
      </c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6">
        <v>35400</v>
      </c>
      <c r="B25" s="14">
        <v>100</v>
      </c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6">
        <v>35431</v>
      </c>
      <c r="B26" s="14">
        <v>100</v>
      </c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6">
        <v>35462</v>
      </c>
      <c r="B27" s="14">
        <v>100</v>
      </c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6">
        <v>35490</v>
      </c>
      <c r="B28" s="14">
        <v>100</v>
      </c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6">
        <v>35521</v>
      </c>
      <c r="B29" s="14">
        <v>100</v>
      </c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6">
        <v>35551</v>
      </c>
      <c r="B30" s="14">
        <v>100</v>
      </c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6">
        <v>35582</v>
      </c>
      <c r="B31" s="14">
        <v>100</v>
      </c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6">
        <v>35612</v>
      </c>
      <c r="B32" s="14">
        <v>100</v>
      </c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6">
        <v>35643</v>
      </c>
      <c r="B33" s="14">
        <v>100</v>
      </c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6">
        <v>35674</v>
      </c>
      <c r="B34" s="14">
        <v>100</v>
      </c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6">
        <v>35704</v>
      </c>
      <c r="B35" s="14">
        <v>100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6">
        <v>35735</v>
      </c>
      <c r="B36" s="14">
        <v>100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6">
        <v>35765</v>
      </c>
      <c r="B37" s="14">
        <v>100</v>
      </c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6">
        <v>35796</v>
      </c>
      <c r="B38" s="14">
        <v>100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6">
        <v>35827</v>
      </c>
      <c r="B39" s="14">
        <v>100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6">
        <v>35855</v>
      </c>
      <c r="B40" s="14">
        <v>100</v>
      </c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6">
        <v>35886</v>
      </c>
      <c r="B41" s="14">
        <v>100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6">
        <v>35916</v>
      </c>
      <c r="B42" s="14">
        <v>100</v>
      </c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6">
        <v>35947</v>
      </c>
      <c r="B43" s="14">
        <v>100</v>
      </c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6">
        <v>35977</v>
      </c>
      <c r="B44" s="14">
        <v>100</v>
      </c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6">
        <v>36008</v>
      </c>
      <c r="B45" s="14">
        <v>100</v>
      </c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6">
        <v>36039</v>
      </c>
      <c r="B46" s="14">
        <v>100</v>
      </c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6">
        <v>36069</v>
      </c>
      <c r="B47" s="14">
        <v>100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6">
        <v>36100</v>
      </c>
      <c r="B48" s="14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6">
        <v>36130</v>
      </c>
      <c r="B49" s="14">
        <v>100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6">
        <v>36161</v>
      </c>
      <c r="B50" s="12"/>
      <c r="C50" s="1">
        <v>100</v>
      </c>
      <c r="D50" s="1"/>
      <c r="E50" s="1"/>
      <c r="F50" s="1"/>
      <c r="G50" s="1"/>
      <c r="H50" s="1"/>
      <c r="I50" s="1"/>
      <c r="J50" s="1"/>
    </row>
    <row r="51" spans="1:10" x14ac:dyDescent="0.3">
      <c r="A51" s="6">
        <v>36192</v>
      </c>
      <c r="B51" s="12"/>
      <c r="C51" s="1">
        <v>100</v>
      </c>
      <c r="D51" s="1"/>
      <c r="E51" s="1"/>
      <c r="F51" s="1"/>
      <c r="G51" s="1"/>
      <c r="H51" s="1"/>
      <c r="I51" s="1"/>
      <c r="J51" s="1"/>
    </row>
    <row r="52" spans="1:10" x14ac:dyDescent="0.3">
      <c r="A52" s="6">
        <v>36220</v>
      </c>
      <c r="B52" s="12"/>
      <c r="C52" s="1">
        <v>100</v>
      </c>
      <c r="D52" s="1"/>
      <c r="E52" s="1"/>
      <c r="F52" s="1"/>
      <c r="G52" s="1"/>
      <c r="H52" s="1"/>
      <c r="I52" s="1"/>
      <c r="J52" s="1"/>
    </row>
    <row r="53" spans="1:10" x14ac:dyDescent="0.3">
      <c r="A53" s="6">
        <v>36251</v>
      </c>
      <c r="B53" s="12"/>
      <c r="C53" s="1">
        <v>100</v>
      </c>
      <c r="D53" s="1"/>
      <c r="E53" s="1"/>
      <c r="F53" s="1"/>
      <c r="G53" s="1"/>
      <c r="H53" s="1"/>
      <c r="I53" s="1"/>
      <c r="J53" s="1"/>
    </row>
    <row r="54" spans="1:10" x14ac:dyDescent="0.3">
      <c r="A54" s="6">
        <v>36281</v>
      </c>
      <c r="B54" s="12"/>
      <c r="C54" s="1">
        <v>100</v>
      </c>
      <c r="D54" s="1"/>
      <c r="E54" s="1"/>
      <c r="F54" s="1"/>
      <c r="G54" s="1"/>
      <c r="H54" s="1"/>
      <c r="I54" s="1"/>
      <c r="J54" s="1"/>
    </row>
    <row r="55" spans="1:10" x14ac:dyDescent="0.3">
      <c r="A55" s="6">
        <v>36312</v>
      </c>
      <c r="B55" s="12"/>
      <c r="C55" s="1">
        <v>100</v>
      </c>
      <c r="D55" s="1"/>
      <c r="E55" s="1"/>
      <c r="F55" s="1"/>
      <c r="G55" s="1"/>
      <c r="H55" s="1"/>
      <c r="I55" s="1"/>
      <c r="J55" s="1"/>
    </row>
    <row r="56" spans="1:10" x14ac:dyDescent="0.3">
      <c r="A56" s="6">
        <v>36342</v>
      </c>
      <c r="B56" s="12"/>
      <c r="C56" s="1">
        <v>100</v>
      </c>
      <c r="D56" s="1"/>
      <c r="E56" s="1"/>
      <c r="F56" s="1"/>
      <c r="G56" s="1"/>
      <c r="H56" s="1"/>
      <c r="I56" s="1"/>
      <c r="J56" s="1"/>
    </row>
    <row r="57" spans="1:10" x14ac:dyDescent="0.3">
      <c r="A57" s="6">
        <v>36373</v>
      </c>
      <c r="B57" s="12"/>
      <c r="C57" s="1">
        <v>100</v>
      </c>
      <c r="D57" s="1"/>
      <c r="E57" s="1"/>
      <c r="F57" s="1"/>
      <c r="G57" s="1"/>
      <c r="H57" s="1"/>
      <c r="I57" s="1"/>
      <c r="J57" s="1"/>
    </row>
    <row r="58" spans="1:10" x14ac:dyDescent="0.3">
      <c r="A58" s="6">
        <v>36404</v>
      </c>
      <c r="B58" s="12"/>
      <c r="C58" s="1">
        <v>100</v>
      </c>
      <c r="D58" s="1"/>
      <c r="E58" s="1"/>
      <c r="F58" s="1"/>
      <c r="G58" s="1"/>
      <c r="H58" s="1"/>
      <c r="I58" s="1"/>
      <c r="J58" s="1"/>
    </row>
    <row r="59" spans="1:10" x14ac:dyDescent="0.3">
      <c r="A59" s="6">
        <v>36434</v>
      </c>
      <c r="B59" s="12"/>
      <c r="C59" s="1">
        <v>100</v>
      </c>
      <c r="D59" s="1"/>
      <c r="E59" s="1"/>
      <c r="F59" s="1"/>
      <c r="G59" s="1"/>
      <c r="H59" s="1"/>
      <c r="I59" s="1"/>
      <c r="J59" s="1"/>
    </row>
    <row r="60" spans="1:10" x14ac:dyDescent="0.3">
      <c r="A60" s="6">
        <v>36465</v>
      </c>
      <c r="B60" s="12"/>
      <c r="C60" s="1">
        <v>100</v>
      </c>
      <c r="D60" s="1"/>
      <c r="E60" s="1"/>
      <c r="F60" s="1"/>
      <c r="G60" s="1"/>
      <c r="H60" s="1"/>
      <c r="I60" s="1"/>
      <c r="J60" s="1"/>
    </row>
    <row r="61" spans="1:10" x14ac:dyDescent="0.3">
      <c r="A61" s="6">
        <v>36495</v>
      </c>
      <c r="B61" s="12"/>
      <c r="C61" s="1">
        <v>100</v>
      </c>
      <c r="D61" s="1"/>
      <c r="E61" s="1"/>
      <c r="F61" s="1"/>
      <c r="G61" s="1"/>
      <c r="H61" s="1"/>
      <c r="I61" s="1"/>
      <c r="J61" s="1"/>
    </row>
    <row r="62" spans="1:10" x14ac:dyDescent="0.3">
      <c r="A62" s="6">
        <v>36526</v>
      </c>
      <c r="B62" s="12"/>
      <c r="C62" s="1">
        <v>100</v>
      </c>
      <c r="D62" s="1"/>
      <c r="E62" s="1"/>
      <c r="F62" s="1"/>
      <c r="G62" s="1"/>
      <c r="H62" s="1"/>
      <c r="I62" s="1"/>
      <c r="J62" s="1"/>
    </row>
    <row r="63" spans="1:10" x14ac:dyDescent="0.3">
      <c r="A63" s="6">
        <v>36557</v>
      </c>
      <c r="B63" s="12"/>
      <c r="C63" s="1">
        <v>100</v>
      </c>
      <c r="D63" s="1"/>
      <c r="E63" s="1"/>
      <c r="F63" s="1"/>
      <c r="G63" s="1"/>
      <c r="H63" s="1"/>
      <c r="I63" s="1"/>
      <c r="J63" s="1"/>
    </row>
    <row r="64" spans="1:10" x14ac:dyDescent="0.3">
      <c r="A64" s="6">
        <v>36586</v>
      </c>
      <c r="B64" s="12"/>
      <c r="C64" s="1">
        <v>100</v>
      </c>
      <c r="D64" s="1"/>
      <c r="E64" s="1"/>
      <c r="F64" s="1"/>
      <c r="G64" s="1"/>
      <c r="H64" s="1"/>
      <c r="I64" s="1"/>
      <c r="J64" s="1"/>
    </row>
    <row r="65" spans="1:10" x14ac:dyDescent="0.3">
      <c r="A65" s="6">
        <v>36617</v>
      </c>
      <c r="B65" s="12"/>
      <c r="C65" s="1">
        <v>100</v>
      </c>
      <c r="D65" s="1"/>
      <c r="E65" s="1"/>
      <c r="F65" s="1"/>
      <c r="G65" s="1"/>
      <c r="H65" s="1"/>
      <c r="I65" s="1"/>
      <c r="J65" s="1"/>
    </row>
    <row r="66" spans="1:10" x14ac:dyDescent="0.3">
      <c r="A66" s="6">
        <v>36647</v>
      </c>
      <c r="B66" s="12"/>
      <c r="C66" s="1">
        <v>100</v>
      </c>
      <c r="D66" s="1"/>
      <c r="E66" s="1"/>
      <c r="F66" s="1"/>
      <c r="G66" s="1"/>
      <c r="H66" s="1"/>
      <c r="I66" s="1"/>
      <c r="J66" s="1"/>
    </row>
    <row r="67" spans="1:10" x14ac:dyDescent="0.3">
      <c r="A67" s="6">
        <v>36678</v>
      </c>
      <c r="B67" s="12"/>
      <c r="C67" s="1">
        <v>100</v>
      </c>
      <c r="D67" s="1"/>
      <c r="E67" s="1"/>
      <c r="F67" s="1"/>
      <c r="G67" s="1"/>
      <c r="H67" s="1"/>
      <c r="I67" s="1"/>
      <c r="J67" s="1"/>
    </row>
    <row r="68" spans="1:10" x14ac:dyDescent="0.3">
      <c r="A68" s="6">
        <v>36708</v>
      </c>
      <c r="B68" s="12"/>
      <c r="C68" s="1">
        <v>100</v>
      </c>
      <c r="D68" s="1"/>
      <c r="E68" s="1"/>
      <c r="F68" s="1"/>
      <c r="G68" s="1"/>
      <c r="H68" s="1"/>
      <c r="I68" s="1"/>
      <c r="J68" s="1"/>
    </row>
    <row r="69" spans="1:10" x14ac:dyDescent="0.3">
      <c r="A69" s="6">
        <v>36739</v>
      </c>
      <c r="B69" s="12"/>
      <c r="C69" s="1">
        <v>100</v>
      </c>
      <c r="D69" s="1"/>
      <c r="E69" s="1"/>
      <c r="F69" s="1"/>
      <c r="G69" s="1"/>
      <c r="H69" s="1"/>
      <c r="I69" s="1"/>
      <c r="J69" s="1"/>
    </row>
    <row r="70" spans="1:10" x14ac:dyDescent="0.3">
      <c r="A70" s="6">
        <v>36770</v>
      </c>
      <c r="B70" s="12"/>
      <c r="C70" s="1">
        <v>100</v>
      </c>
      <c r="D70" s="1"/>
      <c r="E70" s="1"/>
      <c r="F70" s="1"/>
      <c r="G70" s="1"/>
      <c r="H70" s="1"/>
      <c r="I70" s="1"/>
      <c r="J70" s="1"/>
    </row>
    <row r="71" spans="1:10" x14ac:dyDescent="0.3">
      <c r="A71" s="6">
        <v>36800</v>
      </c>
      <c r="B71" s="12"/>
      <c r="C71" s="1">
        <v>100</v>
      </c>
      <c r="D71" s="1"/>
      <c r="E71" s="1"/>
      <c r="F71" s="1"/>
      <c r="G71" s="1"/>
      <c r="H71" s="1"/>
      <c r="I71" s="1"/>
      <c r="J71" s="1"/>
    </row>
    <row r="72" spans="1:10" x14ac:dyDescent="0.3">
      <c r="A72" s="6">
        <v>36831</v>
      </c>
      <c r="B72" s="12"/>
      <c r="C72" s="1">
        <v>100</v>
      </c>
      <c r="D72" s="1"/>
      <c r="E72" s="1"/>
      <c r="F72" s="1"/>
      <c r="G72" s="1"/>
      <c r="H72" s="1"/>
      <c r="I72" s="1"/>
      <c r="J72" s="1"/>
    </row>
    <row r="73" spans="1:10" x14ac:dyDescent="0.3">
      <c r="A73" s="6">
        <v>36861</v>
      </c>
      <c r="B73" s="12"/>
      <c r="C73" s="1">
        <v>100</v>
      </c>
      <c r="D73" s="1"/>
      <c r="E73" s="1"/>
      <c r="F73" s="1"/>
      <c r="G73" s="1"/>
      <c r="H73" s="1"/>
      <c r="I73" s="1"/>
      <c r="J73" s="1"/>
    </row>
    <row r="74" spans="1:10" x14ac:dyDescent="0.3">
      <c r="A74" s="6">
        <v>36892</v>
      </c>
      <c r="B74" s="12"/>
      <c r="C74" s="1">
        <v>100</v>
      </c>
      <c r="D74" s="1"/>
      <c r="E74" s="1"/>
      <c r="F74" s="1"/>
      <c r="G74" s="1"/>
      <c r="H74" s="1"/>
      <c r="I74" s="1"/>
      <c r="J74" s="1"/>
    </row>
    <row r="75" spans="1:10" x14ac:dyDescent="0.3">
      <c r="A75" s="6">
        <v>36923</v>
      </c>
      <c r="B75" s="12"/>
      <c r="C75" s="1">
        <v>100</v>
      </c>
      <c r="D75" s="1"/>
      <c r="E75" s="1"/>
      <c r="F75" s="1"/>
      <c r="G75" s="1"/>
      <c r="H75" s="1"/>
      <c r="I75" s="1"/>
      <c r="J75" s="1"/>
    </row>
    <row r="76" spans="1:10" x14ac:dyDescent="0.3">
      <c r="A76" s="6">
        <v>36951</v>
      </c>
      <c r="B76" s="12"/>
      <c r="C76" s="1">
        <v>100</v>
      </c>
      <c r="D76" s="1"/>
      <c r="E76" s="1"/>
      <c r="F76" s="1"/>
      <c r="G76" s="1"/>
      <c r="H76" s="1"/>
      <c r="I76" s="1"/>
      <c r="J76" s="1"/>
    </row>
    <row r="77" spans="1:10" x14ac:dyDescent="0.3">
      <c r="A77" s="6">
        <v>36982</v>
      </c>
      <c r="B77" s="12"/>
      <c r="C77" s="1">
        <v>100</v>
      </c>
      <c r="D77" s="1"/>
      <c r="E77" s="1"/>
      <c r="F77" s="1"/>
      <c r="G77" s="1"/>
      <c r="H77" s="1"/>
      <c r="I77" s="1"/>
      <c r="J77" s="1"/>
    </row>
    <row r="78" spans="1:10" x14ac:dyDescent="0.3">
      <c r="A78" s="6">
        <v>37012</v>
      </c>
      <c r="B78" s="12"/>
      <c r="C78" s="1">
        <v>100</v>
      </c>
      <c r="D78" s="1"/>
      <c r="E78" s="1"/>
      <c r="F78" s="1"/>
      <c r="G78" s="1"/>
      <c r="H78" s="1"/>
      <c r="I78" s="1"/>
      <c r="J78" s="1"/>
    </row>
    <row r="79" spans="1:10" x14ac:dyDescent="0.3">
      <c r="A79" s="6">
        <v>37043</v>
      </c>
      <c r="B79" s="12"/>
      <c r="C79" s="1">
        <v>100</v>
      </c>
      <c r="D79" s="1"/>
      <c r="E79" s="1"/>
      <c r="F79" s="1"/>
      <c r="G79" s="1"/>
      <c r="H79" s="1"/>
      <c r="I79" s="1"/>
      <c r="J79" s="1"/>
    </row>
    <row r="80" spans="1:10" x14ac:dyDescent="0.3">
      <c r="A80" s="6">
        <v>37073</v>
      </c>
      <c r="B80" s="12"/>
      <c r="C80" s="1">
        <v>100</v>
      </c>
      <c r="D80" s="1"/>
      <c r="E80" s="1"/>
      <c r="F80" s="1"/>
      <c r="G80" s="1"/>
      <c r="H80" s="1"/>
      <c r="I80" s="1"/>
      <c r="J80" s="1"/>
    </row>
    <row r="81" spans="1:10" x14ac:dyDescent="0.3">
      <c r="A81" s="6">
        <v>37104</v>
      </c>
      <c r="B81" s="12"/>
      <c r="C81" s="1">
        <v>100</v>
      </c>
      <c r="D81" s="1"/>
      <c r="E81" s="1"/>
      <c r="F81" s="1"/>
      <c r="G81" s="1"/>
      <c r="H81" s="1"/>
      <c r="I81" s="1"/>
      <c r="J81" s="1"/>
    </row>
    <row r="82" spans="1:10" x14ac:dyDescent="0.3">
      <c r="A82" s="6">
        <v>37135</v>
      </c>
      <c r="B82" s="12"/>
      <c r="C82" s="1">
        <v>100</v>
      </c>
      <c r="D82" s="1"/>
      <c r="E82" s="1"/>
      <c r="F82" s="1"/>
      <c r="G82" s="1"/>
      <c r="H82" s="1"/>
      <c r="I82" s="1"/>
      <c r="J82" s="1"/>
    </row>
    <row r="83" spans="1:10" x14ac:dyDescent="0.3">
      <c r="A83" s="6">
        <v>37165</v>
      </c>
      <c r="B83" s="12"/>
      <c r="C83" s="1">
        <v>100</v>
      </c>
      <c r="D83" s="1"/>
      <c r="E83" s="1"/>
      <c r="F83" s="1"/>
      <c r="G83" s="1"/>
      <c r="H83" s="1"/>
      <c r="I83" s="1"/>
      <c r="J83" s="1"/>
    </row>
    <row r="84" spans="1:10" x14ac:dyDescent="0.3">
      <c r="A84" s="6">
        <v>37196</v>
      </c>
      <c r="B84" s="12"/>
      <c r="C84" s="1">
        <v>100</v>
      </c>
      <c r="D84" s="1"/>
      <c r="E84" s="1"/>
      <c r="F84" s="1"/>
      <c r="G84" s="1"/>
      <c r="H84" s="1"/>
      <c r="I84" s="1"/>
      <c r="J84" s="1"/>
    </row>
    <row r="85" spans="1:10" x14ac:dyDescent="0.3">
      <c r="A85" s="6">
        <v>37226</v>
      </c>
      <c r="B85" s="12"/>
      <c r="C85" s="1">
        <v>100</v>
      </c>
      <c r="D85" s="1"/>
      <c r="E85" s="1"/>
      <c r="F85" s="1"/>
      <c r="G85" s="1"/>
      <c r="H85" s="1"/>
      <c r="I85" s="1"/>
      <c r="J85" s="1"/>
    </row>
    <row r="86" spans="1:10" x14ac:dyDescent="0.3">
      <c r="A86" s="6">
        <v>37257</v>
      </c>
      <c r="B86" s="12"/>
      <c r="C86" s="1">
        <v>100</v>
      </c>
      <c r="D86" s="1"/>
      <c r="E86" s="1"/>
      <c r="F86" s="1"/>
      <c r="G86" s="1"/>
      <c r="H86" s="1"/>
      <c r="I86" s="1"/>
      <c r="J86" s="1"/>
    </row>
    <row r="87" spans="1:10" x14ac:dyDescent="0.3">
      <c r="A87" s="6">
        <v>37288</v>
      </c>
      <c r="B87" s="12"/>
      <c r="C87" s="1">
        <v>100</v>
      </c>
      <c r="D87" s="1"/>
      <c r="E87" s="1"/>
      <c r="F87" s="1"/>
      <c r="G87" s="1"/>
      <c r="H87" s="1"/>
      <c r="I87" s="1"/>
      <c r="J87" s="1"/>
    </row>
    <row r="88" spans="1:10" x14ac:dyDescent="0.3">
      <c r="A88" s="6">
        <v>37316</v>
      </c>
      <c r="B88" s="12"/>
      <c r="C88" s="1">
        <v>100</v>
      </c>
      <c r="D88" s="1"/>
      <c r="E88" s="1"/>
      <c r="F88" s="1"/>
      <c r="G88" s="1"/>
      <c r="H88" s="1"/>
      <c r="I88" s="1"/>
      <c r="J88" s="1"/>
    </row>
    <row r="89" spans="1:10" x14ac:dyDescent="0.3">
      <c r="A89" s="6">
        <v>37347</v>
      </c>
      <c r="B89" s="12"/>
      <c r="C89" s="1">
        <v>100</v>
      </c>
      <c r="D89" s="1"/>
      <c r="E89" s="1"/>
      <c r="F89" s="1"/>
      <c r="G89" s="1"/>
      <c r="H89" s="1"/>
      <c r="I89" s="1"/>
      <c r="J89" s="1"/>
    </row>
    <row r="90" spans="1:10" x14ac:dyDescent="0.3">
      <c r="A90" s="6">
        <v>37377</v>
      </c>
      <c r="B90" s="12"/>
      <c r="C90" s="1">
        <v>100</v>
      </c>
      <c r="D90" s="1"/>
      <c r="E90" s="1"/>
      <c r="F90" s="1"/>
      <c r="G90" s="1"/>
      <c r="H90" s="1"/>
      <c r="I90" s="1"/>
      <c r="J90" s="1"/>
    </row>
    <row r="91" spans="1:10" x14ac:dyDescent="0.3">
      <c r="A91" s="6">
        <v>37408</v>
      </c>
      <c r="B91" s="12"/>
      <c r="C91" s="1">
        <v>100</v>
      </c>
      <c r="D91" s="1"/>
      <c r="E91" s="1"/>
      <c r="F91" s="1"/>
      <c r="G91" s="1"/>
      <c r="H91" s="1"/>
      <c r="I91" s="1"/>
      <c r="J91" s="1"/>
    </row>
    <row r="92" spans="1:10" x14ac:dyDescent="0.3">
      <c r="A92" s="6">
        <v>37438</v>
      </c>
      <c r="B92" s="12"/>
      <c r="C92" s="1">
        <v>100</v>
      </c>
      <c r="D92" s="1"/>
      <c r="E92" s="1"/>
      <c r="F92" s="1"/>
      <c r="G92" s="1"/>
      <c r="H92" s="1"/>
      <c r="I92" s="1"/>
      <c r="J92" s="1"/>
    </row>
    <row r="93" spans="1:10" x14ac:dyDescent="0.3">
      <c r="A93" s="6">
        <v>37469</v>
      </c>
      <c r="B93" s="12"/>
      <c r="C93" s="1">
        <v>100</v>
      </c>
      <c r="D93" s="1"/>
      <c r="E93" s="1"/>
      <c r="F93" s="1"/>
      <c r="G93" s="1"/>
      <c r="H93" s="1"/>
      <c r="I93" s="1"/>
      <c r="J93" s="1"/>
    </row>
    <row r="94" spans="1:10" x14ac:dyDescent="0.3">
      <c r="A94" s="6">
        <v>37500</v>
      </c>
      <c r="B94" s="12"/>
      <c r="C94" s="1">
        <v>100</v>
      </c>
      <c r="D94" s="1"/>
      <c r="E94" s="1"/>
      <c r="F94" s="1"/>
      <c r="G94" s="1"/>
      <c r="H94" s="1"/>
      <c r="I94" s="1"/>
      <c r="J94" s="1"/>
    </row>
    <row r="95" spans="1:10" x14ac:dyDescent="0.3">
      <c r="A95" s="6">
        <v>37530</v>
      </c>
      <c r="B95" s="12"/>
      <c r="C95" s="1">
        <v>100</v>
      </c>
      <c r="D95" s="1"/>
      <c r="E95" s="1"/>
      <c r="F95" s="1"/>
      <c r="G95" s="1"/>
      <c r="H95" s="1"/>
      <c r="I95" s="1"/>
      <c r="J95" s="1"/>
    </row>
    <row r="96" spans="1:10" x14ac:dyDescent="0.3">
      <c r="A96" s="6">
        <v>37561</v>
      </c>
      <c r="B96" s="12"/>
      <c r="C96" s="1">
        <v>100</v>
      </c>
      <c r="D96" s="1"/>
      <c r="E96" s="1"/>
      <c r="F96" s="1"/>
      <c r="G96" s="1"/>
      <c r="H96" s="1"/>
      <c r="I96" s="1"/>
      <c r="J96" s="1"/>
    </row>
    <row r="97" spans="1:10" x14ac:dyDescent="0.3">
      <c r="A97" s="6">
        <v>37591</v>
      </c>
      <c r="B97" s="12"/>
      <c r="C97" s="1">
        <v>100</v>
      </c>
      <c r="D97" s="1"/>
      <c r="E97" s="1"/>
      <c r="F97" s="1"/>
      <c r="G97" s="1"/>
      <c r="H97" s="1"/>
      <c r="I97" s="1"/>
      <c r="J97" s="1"/>
    </row>
    <row r="98" spans="1:10" x14ac:dyDescent="0.3">
      <c r="A98" s="5">
        <v>37622</v>
      </c>
      <c r="B98" s="13"/>
      <c r="C98" s="1"/>
      <c r="D98" s="1">
        <v>100</v>
      </c>
      <c r="E98" s="1"/>
      <c r="F98" s="1"/>
      <c r="G98" s="1"/>
      <c r="H98" s="1"/>
      <c r="I98" s="1"/>
      <c r="J98" s="1"/>
    </row>
    <row r="99" spans="1:10" x14ac:dyDescent="0.3">
      <c r="A99" s="5">
        <v>37653</v>
      </c>
      <c r="B99" s="13"/>
      <c r="C99" s="1"/>
      <c r="D99" s="1">
        <v>100</v>
      </c>
      <c r="E99" s="1"/>
      <c r="F99" s="1"/>
      <c r="G99" s="1"/>
      <c r="H99" s="1"/>
      <c r="I99" s="1"/>
      <c r="J99" s="1"/>
    </row>
    <row r="100" spans="1:10" x14ac:dyDescent="0.3">
      <c r="A100" s="5">
        <v>37681</v>
      </c>
      <c r="B100" s="13"/>
      <c r="C100" s="1"/>
      <c r="D100" s="1">
        <v>100</v>
      </c>
      <c r="E100" s="1"/>
      <c r="F100" s="1"/>
      <c r="G100" s="1"/>
      <c r="H100" s="1"/>
      <c r="I100" s="1"/>
      <c r="J100" s="1"/>
    </row>
    <row r="101" spans="1:10" x14ac:dyDescent="0.3">
      <c r="A101" s="5">
        <v>37712</v>
      </c>
      <c r="B101" s="13"/>
      <c r="C101" s="1"/>
      <c r="D101" s="1">
        <v>100</v>
      </c>
      <c r="E101" s="1"/>
      <c r="F101" s="1"/>
      <c r="G101" s="1"/>
      <c r="H101" s="1"/>
      <c r="I101" s="1"/>
      <c r="J101" s="1"/>
    </row>
    <row r="102" spans="1:10" x14ac:dyDescent="0.3">
      <c r="A102" s="5">
        <v>37742</v>
      </c>
      <c r="B102" s="13"/>
      <c r="C102" s="1"/>
      <c r="D102" s="1">
        <v>100</v>
      </c>
      <c r="E102" s="1"/>
      <c r="F102" s="1"/>
      <c r="G102" s="1"/>
      <c r="H102" s="1"/>
      <c r="I102" s="1"/>
      <c r="J102" s="1"/>
    </row>
    <row r="103" spans="1:10" x14ac:dyDescent="0.3">
      <c r="A103" s="5">
        <v>37773</v>
      </c>
      <c r="B103" s="13"/>
      <c r="C103" s="1"/>
      <c r="D103" s="1">
        <v>100</v>
      </c>
      <c r="E103" s="1"/>
      <c r="F103" s="1"/>
      <c r="G103" s="1"/>
      <c r="H103" s="1"/>
      <c r="I103" s="1"/>
      <c r="J103" s="1"/>
    </row>
    <row r="104" spans="1:10" x14ac:dyDescent="0.3">
      <c r="A104" s="5">
        <v>37803</v>
      </c>
      <c r="B104" s="13"/>
      <c r="C104" s="1"/>
      <c r="D104" s="1">
        <v>100</v>
      </c>
      <c r="E104" s="1"/>
      <c r="F104" s="1"/>
      <c r="G104" s="1"/>
      <c r="H104" s="1"/>
      <c r="I104" s="1"/>
      <c r="J104" s="1"/>
    </row>
    <row r="105" spans="1:10" x14ac:dyDescent="0.3">
      <c r="A105" s="5">
        <v>37834</v>
      </c>
      <c r="B105" s="13"/>
      <c r="C105" s="1"/>
      <c r="D105" s="1">
        <v>100</v>
      </c>
      <c r="E105" s="1"/>
      <c r="F105" s="1"/>
      <c r="G105" s="1"/>
      <c r="H105" s="1"/>
      <c r="I105" s="1"/>
      <c r="J105" s="1"/>
    </row>
    <row r="106" spans="1:10" x14ac:dyDescent="0.3">
      <c r="A106" s="5">
        <v>37865</v>
      </c>
      <c r="B106" s="13"/>
      <c r="C106" s="1"/>
      <c r="D106" s="1">
        <v>100</v>
      </c>
      <c r="E106" s="1"/>
      <c r="F106" s="1"/>
      <c r="G106" s="1"/>
      <c r="H106" s="1"/>
      <c r="I106" s="1"/>
      <c r="J106" s="1"/>
    </row>
    <row r="107" spans="1:10" x14ac:dyDescent="0.3">
      <c r="A107" s="5">
        <v>37895</v>
      </c>
      <c r="B107" s="13"/>
      <c r="C107" s="1"/>
      <c r="D107" s="1">
        <v>100</v>
      </c>
      <c r="E107" s="1"/>
      <c r="F107" s="1"/>
      <c r="G107" s="1"/>
      <c r="H107" s="1"/>
      <c r="I107" s="1"/>
      <c r="J107" s="1"/>
    </row>
    <row r="108" spans="1:10" x14ac:dyDescent="0.3">
      <c r="A108" s="5">
        <v>37926</v>
      </c>
      <c r="B108" s="13"/>
      <c r="C108" s="1"/>
      <c r="D108" s="1">
        <v>100</v>
      </c>
      <c r="E108" s="1"/>
      <c r="F108" s="1"/>
      <c r="G108" s="1"/>
      <c r="H108" s="1"/>
      <c r="I108" s="1"/>
      <c r="J108" s="1"/>
    </row>
    <row r="109" spans="1:10" x14ac:dyDescent="0.3">
      <c r="A109" s="5">
        <v>37956</v>
      </c>
      <c r="B109" s="13"/>
      <c r="C109" s="1"/>
      <c r="D109" s="1">
        <v>100</v>
      </c>
      <c r="E109" s="1"/>
      <c r="F109" s="1"/>
      <c r="G109" s="1"/>
      <c r="H109" s="1"/>
      <c r="I109" s="1"/>
      <c r="J109" s="1"/>
    </row>
    <row r="110" spans="1:10" x14ac:dyDescent="0.3">
      <c r="A110" s="5">
        <v>37987</v>
      </c>
      <c r="B110" s="13"/>
      <c r="C110" s="1"/>
      <c r="D110" s="1">
        <v>100</v>
      </c>
      <c r="E110" s="1"/>
      <c r="F110" s="1"/>
      <c r="G110" s="1"/>
      <c r="H110" s="1"/>
      <c r="I110" s="1"/>
      <c r="J110" s="1"/>
    </row>
    <row r="111" spans="1:10" x14ac:dyDescent="0.3">
      <c r="A111" s="5">
        <v>38018</v>
      </c>
      <c r="B111" s="13"/>
      <c r="C111" s="1"/>
      <c r="D111" s="1">
        <v>100</v>
      </c>
      <c r="E111" s="1"/>
      <c r="F111" s="1"/>
      <c r="G111" s="1"/>
      <c r="H111" s="1"/>
      <c r="I111" s="1"/>
      <c r="J111" s="1"/>
    </row>
    <row r="112" spans="1:10" x14ac:dyDescent="0.3">
      <c r="A112" s="5">
        <v>38047</v>
      </c>
      <c r="B112" s="13"/>
      <c r="C112" s="1"/>
      <c r="D112" s="1">
        <v>100</v>
      </c>
      <c r="E112" s="1"/>
      <c r="F112" s="1"/>
      <c r="G112" s="1"/>
      <c r="H112" s="1"/>
      <c r="I112" s="1"/>
      <c r="J112" s="1"/>
    </row>
    <row r="113" spans="1:10" x14ac:dyDescent="0.3">
      <c r="A113" s="5">
        <v>38078</v>
      </c>
      <c r="B113" s="13"/>
      <c r="C113" s="1"/>
      <c r="D113" s="1">
        <v>100</v>
      </c>
      <c r="E113" s="1"/>
      <c r="F113" s="1"/>
      <c r="G113" s="1"/>
      <c r="H113" s="1"/>
      <c r="I113" s="1"/>
      <c r="J113" s="1"/>
    </row>
    <row r="114" spans="1:10" x14ac:dyDescent="0.3">
      <c r="A114" s="5">
        <v>38108</v>
      </c>
      <c r="B114" s="13"/>
      <c r="C114" s="1"/>
      <c r="D114" s="1">
        <v>100</v>
      </c>
      <c r="E114" s="1"/>
      <c r="F114" s="1"/>
      <c r="G114" s="1"/>
      <c r="H114" s="1"/>
      <c r="I114" s="1"/>
      <c r="J114" s="1"/>
    </row>
    <row r="115" spans="1:10" x14ac:dyDescent="0.3">
      <c r="A115" s="5">
        <v>38139</v>
      </c>
      <c r="B115" s="13"/>
      <c r="C115" s="1"/>
      <c r="D115" s="1">
        <v>100</v>
      </c>
      <c r="E115" s="1"/>
      <c r="F115" s="1"/>
      <c r="G115" s="1"/>
      <c r="H115" s="1"/>
      <c r="I115" s="1"/>
      <c r="J115" s="1"/>
    </row>
    <row r="116" spans="1:10" x14ac:dyDescent="0.3">
      <c r="A116" s="5">
        <v>38169</v>
      </c>
      <c r="B116" s="13"/>
      <c r="C116" s="1"/>
      <c r="D116" s="1">
        <v>100</v>
      </c>
      <c r="E116" s="1"/>
      <c r="F116" s="1"/>
      <c r="G116" s="1"/>
      <c r="H116" s="1"/>
      <c r="I116" s="1"/>
      <c r="J116" s="1"/>
    </row>
    <row r="117" spans="1:10" x14ac:dyDescent="0.3">
      <c r="A117" s="5">
        <v>38200</v>
      </c>
      <c r="B117" s="13"/>
      <c r="C117" s="1"/>
      <c r="D117" s="1">
        <v>100</v>
      </c>
      <c r="E117" s="1"/>
      <c r="F117" s="1"/>
      <c r="G117" s="1"/>
      <c r="H117" s="1"/>
      <c r="I117" s="1"/>
      <c r="J117" s="1"/>
    </row>
    <row r="118" spans="1:10" x14ac:dyDescent="0.3">
      <c r="A118" s="5">
        <v>38231</v>
      </c>
      <c r="B118" s="13"/>
      <c r="C118" s="1"/>
      <c r="D118" s="1">
        <v>100</v>
      </c>
      <c r="E118" s="1"/>
      <c r="F118" s="1"/>
      <c r="G118" s="1"/>
      <c r="H118" s="1"/>
      <c r="I118" s="1"/>
      <c r="J118" s="1"/>
    </row>
    <row r="119" spans="1:10" x14ac:dyDescent="0.3">
      <c r="A119" s="5">
        <v>38261</v>
      </c>
      <c r="B119" s="13"/>
      <c r="C119" s="1"/>
      <c r="D119" s="1">
        <v>100</v>
      </c>
      <c r="E119" s="1"/>
      <c r="F119" s="1"/>
      <c r="G119" s="1"/>
      <c r="H119" s="1"/>
      <c r="I119" s="1"/>
      <c r="J119" s="1"/>
    </row>
    <row r="120" spans="1:10" x14ac:dyDescent="0.3">
      <c r="A120" s="5">
        <v>38292</v>
      </c>
      <c r="B120" s="13"/>
      <c r="C120" s="1"/>
      <c r="D120" s="1">
        <v>100</v>
      </c>
      <c r="E120" s="1"/>
      <c r="F120" s="1"/>
      <c r="G120" s="1"/>
      <c r="H120" s="1"/>
      <c r="I120" s="1"/>
      <c r="J120" s="1"/>
    </row>
    <row r="121" spans="1:10" x14ac:dyDescent="0.3">
      <c r="A121" s="5">
        <v>38322</v>
      </c>
      <c r="B121" s="13"/>
      <c r="C121" s="1"/>
      <c r="D121" s="1">
        <v>100</v>
      </c>
      <c r="E121" s="1"/>
      <c r="F121" s="1"/>
      <c r="G121" s="1"/>
      <c r="H121" s="1"/>
      <c r="I121" s="1"/>
      <c r="J121" s="1"/>
    </row>
    <row r="122" spans="1:10" x14ac:dyDescent="0.3">
      <c r="A122" s="5">
        <v>38353</v>
      </c>
      <c r="B122" s="13"/>
      <c r="C122" s="1"/>
      <c r="D122" s="1">
        <v>100</v>
      </c>
      <c r="E122" s="1"/>
      <c r="F122" s="1"/>
      <c r="G122" s="1"/>
      <c r="H122" s="1"/>
      <c r="I122" s="1"/>
      <c r="J122" s="1"/>
    </row>
    <row r="123" spans="1:10" x14ac:dyDescent="0.3">
      <c r="A123" s="5">
        <v>38384</v>
      </c>
      <c r="B123" s="13"/>
      <c r="C123" s="1"/>
      <c r="D123" s="1">
        <v>100</v>
      </c>
      <c r="E123" s="1"/>
      <c r="F123" s="1"/>
      <c r="G123" s="1"/>
      <c r="H123" s="1"/>
      <c r="I123" s="1"/>
      <c r="J123" s="1"/>
    </row>
    <row r="124" spans="1:10" x14ac:dyDescent="0.3">
      <c r="A124" s="5">
        <v>38412</v>
      </c>
      <c r="B124" s="13"/>
      <c r="C124" s="1"/>
      <c r="D124" s="1">
        <v>100</v>
      </c>
      <c r="E124" s="1"/>
      <c r="F124" s="1"/>
      <c r="G124" s="1"/>
      <c r="H124" s="1"/>
      <c r="I124" s="1"/>
      <c r="J124" s="1"/>
    </row>
    <row r="125" spans="1:10" x14ac:dyDescent="0.3">
      <c r="A125" s="5">
        <v>38443</v>
      </c>
      <c r="B125" s="13"/>
      <c r="C125" s="1"/>
      <c r="D125" s="1">
        <v>100</v>
      </c>
      <c r="E125" s="1"/>
      <c r="F125" s="1"/>
      <c r="G125" s="1"/>
      <c r="H125" s="1"/>
      <c r="I125" s="1"/>
      <c r="J125" s="1"/>
    </row>
    <row r="126" spans="1:10" x14ac:dyDescent="0.3">
      <c r="A126" s="5">
        <v>38473</v>
      </c>
      <c r="B126" s="13"/>
      <c r="C126" s="1"/>
      <c r="D126" s="1">
        <v>100</v>
      </c>
      <c r="E126" s="1"/>
      <c r="F126" s="1"/>
      <c r="G126" s="1"/>
      <c r="H126" s="1"/>
      <c r="I126" s="1"/>
      <c r="J126" s="1"/>
    </row>
    <row r="127" spans="1:10" x14ac:dyDescent="0.3">
      <c r="A127" s="5">
        <v>38504</v>
      </c>
      <c r="B127" s="13"/>
      <c r="C127" s="1"/>
      <c r="D127" s="1">
        <v>100</v>
      </c>
      <c r="E127" s="1"/>
      <c r="F127" s="1"/>
      <c r="G127" s="1"/>
      <c r="H127" s="1"/>
      <c r="I127" s="1"/>
      <c r="J127" s="1"/>
    </row>
    <row r="128" spans="1:10" x14ac:dyDescent="0.3">
      <c r="A128" s="5">
        <v>38534</v>
      </c>
      <c r="B128" s="13"/>
      <c r="C128" s="1"/>
      <c r="D128" s="1">
        <v>100</v>
      </c>
      <c r="E128" s="1"/>
      <c r="F128" s="1"/>
      <c r="G128" s="1"/>
      <c r="H128" s="1"/>
      <c r="I128" s="1"/>
      <c r="J128" s="1"/>
    </row>
    <row r="129" spans="1:10" x14ac:dyDescent="0.3">
      <c r="A129" s="5">
        <v>38565</v>
      </c>
      <c r="B129" s="13"/>
      <c r="C129" s="1"/>
      <c r="D129" s="1">
        <v>100</v>
      </c>
      <c r="E129" s="1"/>
      <c r="F129" s="1"/>
      <c r="G129" s="1"/>
      <c r="H129" s="1"/>
      <c r="I129" s="1"/>
      <c r="J129" s="1"/>
    </row>
    <row r="130" spans="1:10" x14ac:dyDescent="0.3">
      <c r="A130" s="5">
        <v>38596</v>
      </c>
      <c r="B130" s="13"/>
      <c r="C130" s="1"/>
      <c r="D130" s="1">
        <v>100</v>
      </c>
      <c r="E130" s="1"/>
      <c r="F130" s="1"/>
      <c r="G130" s="1"/>
      <c r="H130" s="1"/>
      <c r="I130" s="1"/>
      <c r="J130" s="1"/>
    </row>
    <row r="131" spans="1:10" x14ac:dyDescent="0.3">
      <c r="A131" s="5">
        <v>38626</v>
      </c>
      <c r="B131" s="13"/>
      <c r="C131" s="1"/>
      <c r="D131" s="1">
        <v>100</v>
      </c>
      <c r="E131" s="1"/>
      <c r="F131" s="1"/>
      <c r="G131" s="1"/>
      <c r="H131" s="1"/>
      <c r="I131" s="1"/>
      <c r="J131" s="1"/>
    </row>
    <row r="132" spans="1:10" x14ac:dyDescent="0.3">
      <c r="A132" s="5">
        <v>38657</v>
      </c>
      <c r="B132" s="13"/>
      <c r="C132" s="1"/>
      <c r="D132" s="1">
        <v>100</v>
      </c>
      <c r="E132" s="1"/>
      <c r="F132" s="1"/>
      <c r="G132" s="1"/>
      <c r="H132" s="1"/>
      <c r="I132" s="1"/>
      <c r="J132" s="1"/>
    </row>
    <row r="133" spans="1:10" x14ac:dyDescent="0.3">
      <c r="A133" s="5">
        <v>38687</v>
      </c>
      <c r="B133" s="13"/>
      <c r="C133" s="1"/>
      <c r="D133" s="1">
        <v>100</v>
      </c>
      <c r="E133" s="1"/>
      <c r="F133" s="1"/>
      <c r="G133" s="1"/>
      <c r="H133" s="1"/>
      <c r="I133" s="1"/>
      <c r="J133" s="1"/>
    </row>
    <row r="134" spans="1:10" x14ac:dyDescent="0.3">
      <c r="A134" s="5">
        <v>38718</v>
      </c>
      <c r="B134" s="13"/>
      <c r="C134" s="1"/>
      <c r="D134" s="1">
        <v>100</v>
      </c>
      <c r="E134" s="1"/>
      <c r="F134" s="1"/>
      <c r="G134" s="1"/>
      <c r="H134" s="1"/>
      <c r="I134" s="1"/>
      <c r="J134" s="1"/>
    </row>
    <row r="135" spans="1:10" x14ac:dyDescent="0.3">
      <c r="A135" s="5">
        <v>38749</v>
      </c>
      <c r="B135" s="13"/>
      <c r="C135" s="1"/>
      <c r="D135" s="1">
        <v>100</v>
      </c>
      <c r="E135" s="1"/>
      <c r="F135" s="1"/>
      <c r="G135" s="1"/>
      <c r="H135" s="1"/>
      <c r="I135" s="1"/>
      <c r="J135" s="1"/>
    </row>
    <row r="136" spans="1:10" x14ac:dyDescent="0.3">
      <c r="A136" s="5">
        <v>38777</v>
      </c>
      <c r="B136" s="13"/>
      <c r="C136" s="1"/>
      <c r="D136" s="1">
        <v>100</v>
      </c>
      <c r="E136" s="1"/>
      <c r="F136" s="1"/>
      <c r="G136" s="1"/>
      <c r="H136" s="1"/>
      <c r="I136" s="1"/>
      <c r="J136" s="1"/>
    </row>
    <row r="137" spans="1:10" x14ac:dyDescent="0.3">
      <c r="A137" s="5">
        <v>38808</v>
      </c>
      <c r="B137" s="13"/>
      <c r="C137" s="1"/>
      <c r="D137" s="1">
        <v>100</v>
      </c>
      <c r="E137" s="1"/>
      <c r="F137" s="1"/>
      <c r="G137" s="1"/>
      <c r="H137" s="1"/>
      <c r="I137" s="1"/>
      <c r="J137" s="1"/>
    </row>
    <row r="138" spans="1:10" x14ac:dyDescent="0.3">
      <c r="A138" s="5">
        <v>38838</v>
      </c>
      <c r="B138" s="13"/>
      <c r="C138" s="1"/>
      <c r="D138" s="1">
        <v>100</v>
      </c>
      <c r="E138" s="1"/>
      <c r="F138" s="1"/>
      <c r="G138" s="1"/>
      <c r="H138" s="1"/>
      <c r="I138" s="1"/>
      <c r="J138" s="1"/>
    </row>
    <row r="139" spans="1:10" x14ac:dyDescent="0.3">
      <c r="A139" s="5">
        <v>38869</v>
      </c>
      <c r="B139" s="13"/>
      <c r="C139" s="1"/>
      <c r="D139" s="1">
        <v>100</v>
      </c>
      <c r="E139" s="1"/>
      <c r="F139" s="1"/>
      <c r="G139" s="1"/>
      <c r="H139" s="1"/>
      <c r="I139" s="1"/>
      <c r="J139" s="1"/>
    </row>
    <row r="140" spans="1:10" x14ac:dyDescent="0.3">
      <c r="A140" s="5">
        <v>38899</v>
      </c>
      <c r="B140" s="13"/>
      <c r="C140" s="1"/>
      <c r="D140" s="1">
        <v>100</v>
      </c>
      <c r="E140" s="1"/>
      <c r="F140" s="1"/>
      <c r="G140" s="1"/>
      <c r="H140" s="1"/>
      <c r="I140" s="1"/>
      <c r="J140" s="1"/>
    </row>
    <row r="141" spans="1:10" x14ac:dyDescent="0.3">
      <c r="A141" s="5">
        <v>38930</v>
      </c>
      <c r="B141" s="13"/>
      <c r="C141" s="1"/>
      <c r="D141" s="1">
        <v>100</v>
      </c>
      <c r="E141" s="1"/>
      <c r="F141" s="1"/>
      <c r="G141" s="1"/>
      <c r="H141" s="1"/>
      <c r="I141" s="1"/>
      <c r="J141" s="1"/>
    </row>
    <row r="142" spans="1:10" x14ac:dyDescent="0.3">
      <c r="A142" s="5">
        <v>38961</v>
      </c>
      <c r="B142" s="13"/>
      <c r="C142" s="1"/>
      <c r="D142" s="1">
        <v>100</v>
      </c>
      <c r="E142" s="1"/>
      <c r="F142" s="1"/>
      <c r="G142" s="1"/>
      <c r="H142" s="1"/>
      <c r="I142" s="1"/>
      <c r="J142" s="1"/>
    </row>
    <row r="143" spans="1:10" x14ac:dyDescent="0.3">
      <c r="A143" s="5">
        <v>38991</v>
      </c>
      <c r="B143" s="13"/>
      <c r="C143" s="1"/>
      <c r="D143" s="1">
        <v>100</v>
      </c>
      <c r="E143" s="1"/>
      <c r="F143" s="1"/>
      <c r="G143" s="1"/>
      <c r="H143" s="1"/>
      <c r="I143" s="1"/>
      <c r="J143" s="1"/>
    </row>
    <row r="144" spans="1:10" x14ac:dyDescent="0.3">
      <c r="A144" s="5">
        <v>39022</v>
      </c>
      <c r="B144" s="13"/>
      <c r="C144" s="1"/>
      <c r="D144" s="1">
        <v>100</v>
      </c>
      <c r="E144" s="1"/>
      <c r="F144" s="1"/>
      <c r="G144" s="1"/>
      <c r="H144" s="1"/>
      <c r="I144" s="1"/>
      <c r="J144" s="1"/>
    </row>
    <row r="145" spans="1:10" x14ac:dyDescent="0.3">
      <c r="A145" s="5">
        <v>39052</v>
      </c>
      <c r="B145" s="13"/>
      <c r="C145" s="1"/>
      <c r="D145" s="1">
        <v>100</v>
      </c>
      <c r="E145" s="1"/>
      <c r="F145" s="1"/>
      <c r="G145" s="1"/>
      <c r="H145" s="1"/>
      <c r="I145" s="1"/>
      <c r="J145" s="1"/>
    </row>
    <row r="146" spans="1:10" x14ac:dyDescent="0.3">
      <c r="A146" s="5">
        <v>39083</v>
      </c>
      <c r="B146" s="13"/>
      <c r="C146" s="1"/>
      <c r="D146" s="1"/>
      <c r="E146" s="1">
        <v>100</v>
      </c>
      <c r="F146" s="1"/>
      <c r="G146" s="1"/>
      <c r="H146" s="1"/>
      <c r="I146" s="1"/>
      <c r="J146" s="1"/>
    </row>
    <row r="147" spans="1:10" x14ac:dyDescent="0.3">
      <c r="A147" s="5">
        <v>39114</v>
      </c>
      <c r="B147" s="13"/>
      <c r="C147" s="1"/>
      <c r="D147" s="1"/>
      <c r="E147" s="1">
        <v>100</v>
      </c>
      <c r="F147" s="1"/>
      <c r="G147" s="1"/>
      <c r="H147" s="1"/>
      <c r="I147" s="1"/>
      <c r="J147" s="1"/>
    </row>
    <row r="148" spans="1:10" x14ac:dyDescent="0.3">
      <c r="A148" s="5">
        <v>39142</v>
      </c>
      <c r="B148" s="13"/>
      <c r="C148" s="1"/>
      <c r="D148" s="1"/>
      <c r="E148" s="1">
        <v>100</v>
      </c>
      <c r="F148" s="1"/>
      <c r="G148" s="1"/>
      <c r="H148" s="1"/>
      <c r="I148" s="1"/>
      <c r="J148" s="1"/>
    </row>
    <row r="149" spans="1:10" x14ac:dyDescent="0.3">
      <c r="A149" s="5">
        <v>39173</v>
      </c>
      <c r="B149" s="13"/>
      <c r="C149" s="1"/>
      <c r="D149" s="1"/>
      <c r="E149" s="1">
        <v>100</v>
      </c>
      <c r="F149" s="1"/>
      <c r="G149" s="1"/>
      <c r="H149" s="1"/>
      <c r="I149" s="1"/>
      <c r="J149" s="1"/>
    </row>
    <row r="150" spans="1:10" x14ac:dyDescent="0.3">
      <c r="A150" s="5">
        <v>39203</v>
      </c>
      <c r="B150" s="13"/>
      <c r="C150" s="1"/>
      <c r="D150" s="1"/>
      <c r="E150" s="1">
        <v>100</v>
      </c>
      <c r="F150" s="1"/>
      <c r="G150" s="1"/>
      <c r="H150" s="1"/>
      <c r="I150" s="1"/>
      <c r="J150" s="1"/>
    </row>
    <row r="151" spans="1:10" x14ac:dyDescent="0.3">
      <c r="A151" s="5">
        <v>39234</v>
      </c>
      <c r="B151" s="13"/>
      <c r="C151" s="1"/>
      <c r="D151" s="1"/>
      <c r="E151" s="1">
        <v>100</v>
      </c>
      <c r="F151" s="1"/>
      <c r="G151" s="1"/>
      <c r="H151" s="1"/>
      <c r="I151" s="1"/>
      <c r="J151" s="1"/>
    </row>
    <row r="152" spans="1:10" x14ac:dyDescent="0.3">
      <c r="A152" s="5">
        <v>39264</v>
      </c>
      <c r="B152" s="13"/>
      <c r="C152" s="1"/>
      <c r="D152" s="1"/>
      <c r="E152" s="1">
        <v>100</v>
      </c>
      <c r="F152" s="1"/>
      <c r="G152" s="1"/>
      <c r="H152" s="1"/>
      <c r="I152" s="1"/>
      <c r="J152" s="1"/>
    </row>
    <row r="153" spans="1:10" x14ac:dyDescent="0.3">
      <c r="A153" s="5">
        <v>39295</v>
      </c>
      <c r="B153" s="13"/>
      <c r="C153" s="1"/>
      <c r="D153" s="1"/>
      <c r="E153" s="1">
        <v>100</v>
      </c>
      <c r="F153" s="1"/>
      <c r="G153" s="1"/>
      <c r="H153" s="1"/>
      <c r="I153" s="1"/>
      <c r="J153" s="1"/>
    </row>
    <row r="154" spans="1:10" x14ac:dyDescent="0.3">
      <c r="A154" s="5">
        <v>39326</v>
      </c>
      <c r="B154" s="13"/>
      <c r="C154" s="1"/>
      <c r="D154" s="1"/>
      <c r="E154" s="1">
        <v>100</v>
      </c>
      <c r="F154" s="1"/>
      <c r="G154" s="1"/>
      <c r="H154" s="1"/>
      <c r="I154" s="1"/>
      <c r="J154" s="1"/>
    </row>
    <row r="155" spans="1:10" x14ac:dyDescent="0.3">
      <c r="A155" s="5">
        <v>39356</v>
      </c>
      <c r="B155" s="13"/>
      <c r="C155" s="1"/>
      <c r="D155" s="1"/>
      <c r="E155" s="1">
        <v>100</v>
      </c>
      <c r="F155" s="1"/>
      <c r="G155" s="1"/>
      <c r="H155" s="1"/>
      <c r="I155" s="1"/>
      <c r="J155" s="1"/>
    </row>
    <row r="156" spans="1:10" x14ac:dyDescent="0.3">
      <c r="A156" s="5">
        <v>39387</v>
      </c>
      <c r="B156" s="13"/>
      <c r="C156" s="1"/>
      <c r="D156" s="1"/>
      <c r="E156" s="1">
        <v>100</v>
      </c>
      <c r="F156" s="1"/>
      <c r="G156" s="1"/>
      <c r="H156" s="1"/>
      <c r="I156" s="1"/>
      <c r="J156" s="1"/>
    </row>
    <row r="157" spans="1:10" x14ac:dyDescent="0.3">
      <c r="A157" s="5">
        <v>39417</v>
      </c>
      <c r="B157" s="13"/>
      <c r="C157" s="1"/>
      <c r="D157" s="1"/>
      <c r="E157" s="1">
        <v>100</v>
      </c>
      <c r="F157" s="1"/>
      <c r="G157" s="1"/>
      <c r="H157" s="1"/>
      <c r="I157" s="1"/>
      <c r="J157" s="1"/>
    </row>
    <row r="158" spans="1:10" x14ac:dyDescent="0.3">
      <c r="A158" s="5">
        <v>39448</v>
      </c>
      <c r="B158" s="13"/>
      <c r="C158" s="1"/>
      <c r="D158" s="1"/>
      <c r="E158" s="1">
        <v>100</v>
      </c>
      <c r="F158" s="1"/>
      <c r="G158" s="1"/>
      <c r="H158" s="1"/>
      <c r="I158" s="1"/>
      <c r="J158" s="1"/>
    </row>
    <row r="159" spans="1:10" x14ac:dyDescent="0.3">
      <c r="A159" s="5">
        <v>39479</v>
      </c>
      <c r="B159" s="13"/>
      <c r="C159" s="1"/>
      <c r="D159" s="1"/>
      <c r="E159" s="1">
        <v>100</v>
      </c>
      <c r="F159" s="1"/>
      <c r="G159" s="1"/>
      <c r="H159" s="1"/>
      <c r="I159" s="1"/>
      <c r="J159" s="1"/>
    </row>
    <row r="160" spans="1:10" x14ac:dyDescent="0.3">
      <c r="A160" s="5">
        <v>39508</v>
      </c>
      <c r="B160" s="13"/>
      <c r="C160" s="1"/>
      <c r="D160" s="1"/>
      <c r="E160" s="1">
        <v>100</v>
      </c>
      <c r="F160" s="1"/>
      <c r="G160" s="1"/>
      <c r="H160" s="1"/>
      <c r="I160" s="1"/>
      <c r="J160" s="1"/>
    </row>
    <row r="161" spans="1:10" x14ac:dyDescent="0.3">
      <c r="A161" s="5">
        <v>39539</v>
      </c>
      <c r="B161" s="13"/>
      <c r="C161" s="1"/>
      <c r="D161" s="1"/>
      <c r="E161" s="1">
        <v>100</v>
      </c>
      <c r="F161" s="1"/>
      <c r="G161" s="1"/>
      <c r="H161" s="1"/>
      <c r="I161" s="1"/>
      <c r="J161" s="1"/>
    </row>
    <row r="162" spans="1:10" x14ac:dyDescent="0.3">
      <c r="A162" s="5">
        <v>39569</v>
      </c>
      <c r="B162" s="13"/>
      <c r="C162" s="1"/>
      <c r="D162" s="1"/>
      <c r="E162" s="1">
        <v>100</v>
      </c>
      <c r="F162" s="1"/>
      <c r="G162" s="1"/>
      <c r="H162" s="1"/>
      <c r="I162" s="1"/>
      <c r="J162" s="1"/>
    </row>
    <row r="163" spans="1:10" x14ac:dyDescent="0.3">
      <c r="A163" s="5">
        <v>39600</v>
      </c>
      <c r="B163" s="13"/>
      <c r="C163" s="1"/>
      <c r="D163" s="1"/>
      <c r="E163" s="1">
        <v>100</v>
      </c>
      <c r="F163" s="1"/>
      <c r="G163" s="1"/>
      <c r="H163" s="1"/>
      <c r="I163" s="1"/>
      <c r="J163" s="1"/>
    </row>
    <row r="164" spans="1:10" x14ac:dyDescent="0.3">
      <c r="A164" s="5">
        <v>39630</v>
      </c>
      <c r="B164" s="13"/>
      <c r="C164" s="1"/>
      <c r="D164" s="1"/>
      <c r="E164" s="1">
        <v>100</v>
      </c>
      <c r="F164" s="1"/>
      <c r="G164" s="1"/>
      <c r="H164" s="1"/>
      <c r="I164" s="1"/>
      <c r="J164" s="1"/>
    </row>
    <row r="165" spans="1:10" x14ac:dyDescent="0.3">
      <c r="A165" s="5">
        <v>39661</v>
      </c>
      <c r="B165" s="13"/>
      <c r="C165" s="1"/>
      <c r="D165" s="1"/>
      <c r="E165" s="1">
        <v>100</v>
      </c>
      <c r="F165" s="1"/>
      <c r="G165" s="1"/>
      <c r="H165" s="1"/>
      <c r="I165" s="1"/>
      <c r="J165" s="1"/>
    </row>
    <row r="166" spans="1:10" x14ac:dyDescent="0.3">
      <c r="A166" s="5">
        <v>39692</v>
      </c>
      <c r="B166" s="13"/>
      <c r="C166" s="1"/>
      <c r="D166" s="1"/>
      <c r="E166" s="1">
        <v>100</v>
      </c>
      <c r="F166" s="1"/>
      <c r="G166" s="1"/>
      <c r="H166" s="1"/>
      <c r="I166" s="1"/>
      <c r="J166" s="1"/>
    </row>
    <row r="167" spans="1:10" x14ac:dyDescent="0.3">
      <c r="A167" s="5">
        <v>39722</v>
      </c>
      <c r="B167" s="13"/>
      <c r="C167" s="1"/>
      <c r="D167" s="1"/>
      <c r="E167" s="1">
        <v>100</v>
      </c>
      <c r="F167" s="1"/>
      <c r="G167" s="1"/>
      <c r="H167" s="1"/>
      <c r="I167" s="1"/>
      <c r="J167" s="1"/>
    </row>
    <row r="168" spans="1:10" x14ac:dyDescent="0.3">
      <c r="A168" s="5">
        <v>39753</v>
      </c>
      <c r="B168" s="13"/>
      <c r="C168" s="1"/>
      <c r="D168" s="1"/>
      <c r="E168" s="1">
        <v>100</v>
      </c>
      <c r="F168" s="1"/>
      <c r="G168" s="1"/>
      <c r="H168" s="1"/>
      <c r="I168" s="1"/>
      <c r="J168" s="1"/>
    </row>
    <row r="169" spans="1:10" x14ac:dyDescent="0.3">
      <c r="A169" s="5">
        <v>39783</v>
      </c>
      <c r="B169" s="13"/>
      <c r="C169" s="1"/>
      <c r="D169" s="1"/>
      <c r="E169" s="1">
        <v>100</v>
      </c>
      <c r="F169" s="1"/>
      <c r="G169" s="1"/>
      <c r="H169" s="1"/>
      <c r="I169" s="1"/>
      <c r="J169" s="1"/>
    </row>
    <row r="170" spans="1:10" x14ac:dyDescent="0.3">
      <c r="A170" s="5">
        <v>39814</v>
      </c>
      <c r="B170" s="13"/>
      <c r="C170" s="1"/>
      <c r="D170" s="1"/>
      <c r="E170" s="1">
        <v>100</v>
      </c>
      <c r="F170" s="1"/>
      <c r="G170" s="1"/>
      <c r="H170" s="1"/>
      <c r="I170" s="1"/>
      <c r="J170" s="1"/>
    </row>
    <row r="171" spans="1:10" x14ac:dyDescent="0.3">
      <c r="A171" s="5">
        <v>39845</v>
      </c>
      <c r="B171" s="13"/>
      <c r="C171" s="1"/>
      <c r="D171" s="1"/>
      <c r="E171" s="1">
        <v>100</v>
      </c>
      <c r="F171" s="1"/>
      <c r="G171" s="1"/>
      <c r="H171" s="1"/>
      <c r="I171" s="1"/>
      <c r="J171" s="1"/>
    </row>
    <row r="172" spans="1:10" x14ac:dyDescent="0.3">
      <c r="A172" s="5">
        <v>39873</v>
      </c>
      <c r="B172" s="13"/>
      <c r="C172" s="1"/>
      <c r="D172" s="1"/>
      <c r="E172" s="1">
        <v>100</v>
      </c>
      <c r="F172" s="1"/>
      <c r="G172" s="1"/>
      <c r="H172" s="1"/>
      <c r="I172" s="1"/>
      <c r="J172" s="1"/>
    </row>
    <row r="173" spans="1:10" x14ac:dyDescent="0.3">
      <c r="A173" s="5">
        <v>39904</v>
      </c>
      <c r="B173" s="13"/>
      <c r="C173" s="1"/>
      <c r="D173" s="1"/>
      <c r="E173" s="1">
        <v>100</v>
      </c>
      <c r="F173" s="1"/>
      <c r="G173" s="1"/>
      <c r="H173" s="1"/>
      <c r="I173" s="1"/>
      <c r="J173" s="1"/>
    </row>
    <row r="174" spans="1:10" x14ac:dyDescent="0.3">
      <c r="A174" s="5">
        <v>39934</v>
      </c>
      <c r="B174" s="13"/>
      <c r="C174" s="1"/>
      <c r="D174" s="1"/>
      <c r="E174" s="1">
        <v>100</v>
      </c>
      <c r="F174" s="1"/>
      <c r="G174" s="1"/>
      <c r="H174" s="1"/>
      <c r="I174" s="1"/>
      <c r="J174" s="1"/>
    </row>
    <row r="175" spans="1:10" x14ac:dyDescent="0.3">
      <c r="A175" s="5">
        <v>39965</v>
      </c>
      <c r="B175" s="13"/>
      <c r="C175" s="1"/>
      <c r="D175" s="1"/>
      <c r="E175" s="1">
        <v>100</v>
      </c>
      <c r="F175" s="1"/>
      <c r="G175" s="1"/>
      <c r="H175" s="1"/>
      <c r="I175" s="1"/>
      <c r="J175" s="1"/>
    </row>
    <row r="176" spans="1:10" x14ac:dyDescent="0.3">
      <c r="A176" s="5">
        <v>39995</v>
      </c>
      <c r="B176" s="13"/>
      <c r="C176" s="1"/>
      <c r="D176" s="1"/>
      <c r="E176" s="1">
        <v>100</v>
      </c>
      <c r="F176" s="1"/>
      <c r="G176" s="1"/>
      <c r="H176" s="1"/>
      <c r="I176" s="1"/>
      <c r="J176" s="1"/>
    </row>
    <row r="177" spans="1:10" x14ac:dyDescent="0.3">
      <c r="A177" s="5">
        <v>40026</v>
      </c>
      <c r="B177" s="13"/>
      <c r="C177" s="1"/>
      <c r="D177" s="1"/>
      <c r="E177" s="1">
        <v>100</v>
      </c>
      <c r="F177" s="1"/>
      <c r="G177" s="1"/>
      <c r="H177" s="1"/>
      <c r="I177" s="1"/>
      <c r="J177" s="1"/>
    </row>
    <row r="178" spans="1:10" x14ac:dyDescent="0.3">
      <c r="A178" s="5">
        <v>40057</v>
      </c>
      <c r="B178" s="13"/>
      <c r="C178" s="1"/>
      <c r="D178" s="1"/>
      <c r="E178" s="1">
        <v>100</v>
      </c>
      <c r="F178" s="1"/>
      <c r="G178" s="1"/>
      <c r="H178" s="1"/>
      <c r="I178" s="1"/>
      <c r="J178" s="1"/>
    </row>
    <row r="179" spans="1:10" x14ac:dyDescent="0.3">
      <c r="A179" s="5">
        <v>40087</v>
      </c>
      <c r="B179" s="13"/>
      <c r="C179" s="1"/>
      <c r="D179" s="1"/>
      <c r="E179" s="1">
        <v>100</v>
      </c>
      <c r="F179" s="1"/>
      <c r="G179" s="1"/>
      <c r="H179" s="1"/>
      <c r="I179" s="1"/>
      <c r="J179" s="1"/>
    </row>
    <row r="180" spans="1:10" x14ac:dyDescent="0.3">
      <c r="A180" s="5">
        <v>40118</v>
      </c>
      <c r="B180" s="13"/>
      <c r="C180" s="1"/>
      <c r="D180" s="1"/>
      <c r="E180" s="1">
        <v>100</v>
      </c>
      <c r="F180" s="1"/>
      <c r="G180" s="1"/>
      <c r="H180" s="1"/>
      <c r="I180" s="1"/>
      <c r="J180" s="1"/>
    </row>
    <row r="181" spans="1:10" x14ac:dyDescent="0.3">
      <c r="A181" s="5">
        <v>40148</v>
      </c>
      <c r="B181" s="13"/>
      <c r="C181" s="1"/>
      <c r="D181" s="1"/>
      <c r="E181" s="1">
        <v>100</v>
      </c>
      <c r="F181" s="1"/>
      <c r="G181" s="1"/>
      <c r="H181" s="1"/>
      <c r="I181" s="1"/>
      <c r="J181" s="1"/>
    </row>
    <row r="182" spans="1:10" x14ac:dyDescent="0.3">
      <c r="A182" s="5">
        <v>40179</v>
      </c>
      <c r="B182" s="13"/>
      <c r="C182" s="1"/>
      <c r="D182" s="1"/>
      <c r="E182" s="1">
        <v>100</v>
      </c>
      <c r="F182" s="1"/>
      <c r="G182" s="1"/>
      <c r="H182" s="1"/>
      <c r="I182" s="1"/>
      <c r="J182" s="1"/>
    </row>
    <row r="183" spans="1:10" x14ac:dyDescent="0.3">
      <c r="A183" s="5">
        <v>40210</v>
      </c>
      <c r="B183" s="13"/>
      <c r="C183" s="1"/>
      <c r="D183" s="1"/>
      <c r="E183" s="1">
        <v>100</v>
      </c>
      <c r="F183" s="1"/>
      <c r="G183" s="1"/>
      <c r="H183" s="1"/>
      <c r="I183" s="1"/>
      <c r="J183" s="1"/>
    </row>
    <row r="184" spans="1:10" x14ac:dyDescent="0.3">
      <c r="A184" s="5">
        <v>40238</v>
      </c>
      <c r="B184" s="13"/>
      <c r="C184" s="1"/>
      <c r="D184" s="1"/>
      <c r="E184" s="1">
        <v>100</v>
      </c>
      <c r="F184" s="1"/>
      <c r="G184" s="1"/>
      <c r="H184" s="1"/>
      <c r="I184" s="1"/>
      <c r="J184" s="1"/>
    </row>
    <row r="185" spans="1:10" x14ac:dyDescent="0.3">
      <c r="A185" s="5">
        <v>40269</v>
      </c>
      <c r="B185" s="13"/>
      <c r="C185" s="1"/>
      <c r="D185" s="1"/>
      <c r="E185" s="1">
        <v>100</v>
      </c>
      <c r="F185" s="1"/>
      <c r="G185" s="1"/>
      <c r="H185" s="1"/>
      <c r="I185" s="1"/>
      <c r="J185" s="1"/>
    </row>
    <row r="186" spans="1:10" x14ac:dyDescent="0.3">
      <c r="A186" s="5">
        <v>40299</v>
      </c>
      <c r="B186" s="13"/>
      <c r="C186" s="1"/>
      <c r="D186" s="1"/>
      <c r="E186" s="1">
        <v>100</v>
      </c>
      <c r="F186" s="1"/>
      <c r="G186" s="1"/>
      <c r="H186" s="1"/>
      <c r="I186" s="1"/>
      <c r="J186" s="1"/>
    </row>
    <row r="187" spans="1:10" x14ac:dyDescent="0.3">
      <c r="A187" s="5">
        <v>40330</v>
      </c>
      <c r="B187" s="13"/>
      <c r="C187" s="1"/>
      <c r="D187" s="1"/>
      <c r="E187" s="1">
        <v>100</v>
      </c>
      <c r="F187" s="1"/>
      <c r="G187" s="1"/>
      <c r="H187" s="1"/>
      <c r="I187" s="1"/>
      <c r="J187" s="1"/>
    </row>
    <row r="188" spans="1:10" x14ac:dyDescent="0.3">
      <c r="A188" s="5">
        <v>40360</v>
      </c>
      <c r="B188" s="13"/>
      <c r="C188" s="1"/>
      <c r="D188" s="1"/>
      <c r="E188" s="1">
        <v>100</v>
      </c>
      <c r="F188" s="1"/>
      <c r="G188" s="1"/>
      <c r="H188" s="1"/>
      <c r="I188" s="1"/>
      <c r="J188" s="1"/>
    </row>
    <row r="189" spans="1:10" x14ac:dyDescent="0.3">
      <c r="A189" s="5">
        <v>40391</v>
      </c>
      <c r="B189" s="13"/>
      <c r="C189" s="1"/>
      <c r="D189" s="1"/>
      <c r="E189" s="1">
        <v>100</v>
      </c>
      <c r="F189" s="1"/>
      <c r="G189" s="1"/>
      <c r="H189" s="1"/>
      <c r="I189" s="1"/>
      <c r="J189" s="1"/>
    </row>
    <row r="190" spans="1:10" x14ac:dyDescent="0.3">
      <c r="A190" s="5">
        <v>40422</v>
      </c>
      <c r="B190" s="13"/>
      <c r="C190" s="1"/>
      <c r="D190" s="1"/>
      <c r="E190" s="1">
        <v>100</v>
      </c>
      <c r="F190" s="1"/>
      <c r="G190" s="1"/>
      <c r="H190" s="1"/>
      <c r="I190" s="1"/>
      <c r="J190" s="1"/>
    </row>
    <row r="191" spans="1:10" x14ac:dyDescent="0.3">
      <c r="A191" s="5">
        <v>40452</v>
      </c>
      <c r="B191" s="13"/>
      <c r="C191" s="1"/>
      <c r="D191" s="1"/>
      <c r="E191" s="1">
        <v>100</v>
      </c>
      <c r="F191" s="1"/>
      <c r="G191" s="1"/>
      <c r="H191" s="1"/>
      <c r="I191" s="1"/>
      <c r="J191" s="1"/>
    </row>
    <row r="192" spans="1:10" x14ac:dyDescent="0.3">
      <c r="A192" s="5">
        <v>40483</v>
      </c>
      <c r="B192" s="13"/>
      <c r="C192" s="1"/>
      <c r="D192" s="1"/>
      <c r="E192" s="1">
        <v>100</v>
      </c>
      <c r="F192" s="1"/>
      <c r="G192" s="1"/>
      <c r="H192" s="1"/>
      <c r="I192" s="1"/>
      <c r="J192" s="1"/>
    </row>
    <row r="193" spans="1:10" x14ac:dyDescent="0.3">
      <c r="A193" s="4">
        <v>40513</v>
      </c>
      <c r="B193" s="13"/>
      <c r="C193" s="1"/>
      <c r="D193" s="1"/>
      <c r="E193" s="1">
        <v>100</v>
      </c>
      <c r="F193" s="1"/>
      <c r="G193" s="1"/>
      <c r="H193" s="1"/>
      <c r="I193" s="1"/>
      <c r="J193" s="1"/>
    </row>
    <row r="194" spans="1:10" x14ac:dyDescent="0.3">
      <c r="A194" s="2">
        <v>40544</v>
      </c>
      <c r="B194" s="11"/>
      <c r="C194" s="1"/>
      <c r="D194" s="1"/>
      <c r="E194" s="1"/>
      <c r="F194" s="1">
        <v>100</v>
      </c>
      <c r="G194" s="1"/>
      <c r="H194" s="1"/>
      <c r="I194" s="1"/>
      <c r="J194" s="1"/>
    </row>
    <row r="195" spans="1:10" x14ac:dyDescent="0.3">
      <c r="A195" s="2">
        <v>40575</v>
      </c>
      <c r="B195" s="11"/>
      <c r="C195" s="1"/>
      <c r="D195" s="1"/>
      <c r="E195" s="1"/>
      <c r="F195" s="1">
        <v>100</v>
      </c>
      <c r="G195" s="1"/>
      <c r="H195" s="1"/>
      <c r="I195" s="1"/>
      <c r="J195" s="1"/>
    </row>
    <row r="196" spans="1:10" x14ac:dyDescent="0.3">
      <c r="A196" s="2">
        <v>40603</v>
      </c>
      <c r="B196" s="11"/>
      <c r="C196" s="1"/>
      <c r="D196" s="1"/>
      <c r="E196" s="1"/>
      <c r="F196" s="1">
        <v>100</v>
      </c>
      <c r="G196" s="1"/>
      <c r="H196" s="1"/>
      <c r="I196" s="1"/>
      <c r="J196" s="1"/>
    </row>
    <row r="197" spans="1:10" x14ac:dyDescent="0.3">
      <c r="A197" s="2">
        <v>40634</v>
      </c>
      <c r="B197" s="11"/>
      <c r="C197" s="1"/>
      <c r="D197" s="1"/>
      <c r="E197" s="1"/>
      <c r="F197" s="1">
        <v>100</v>
      </c>
      <c r="G197" s="1"/>
      <c r="H197" s="1"/>
      <c r="I197" s="1"/>
      <c r="J197" s="1"/>
    </row>
    <row r="198" spans="1:10" x14ac:dyDescent="0.3">
      <c r="A198" s="2">
        <v>40664</v>
      </c>
      <c r="B198" s="11"/>
      <c r="C198" s="1"/>
      <c r="D198" s="1"/>
      <c r="E198" s="1"/>
      <c r="F198" s="1">
        <v>100</v>
      </c>
      <c r="G198" s="1"/>
      <c r="H198" s="1"/>
      <c r="I198" s="1"/>
      <c r="J198" s="1"/>
    </row>
    <row r="199" spans="1:10" x14ac:dyDescent="0.3">
      <c r="A199" s="2">
        <v>40695</v>
      </c>
      <c r="B199" s="11"/>
      <c r="C199" s="1"/>
      <c r="D199" s="1"/>
      <c r="E199" s="1"/>
      <c r="F199" s="1">
        <v>100</v>
      </c>
      <c r="G199" s="1"/>
      <c r="H199" s="1"/>
      <c r="I199" s="1"/>
      <c r="J199" s="1"/>
    </row>
    <row r="200" spans="1:10" x14ac:dyDescent="0.3">
      <c r="A200" s="2">
        <v>40725</v>
      </c>
      <c r="B200" s="11"/>
      <c r="C200" s="1"/>
      <c r="D200" s="1"/>
      <c r="E200" s="1"/>
      <c r="F200" s="1">
        <v>100</v>
      </c>
      <c r="G200" s="1"/>
      <c r="H200" s="1"/>
      <c r="I200" s="1"/>
      <c r="J200" s="1"/>
    </row>
    <row r="201" spans="1:10" x14ac:dyDescent="0.3">
      <c r="A201" s="2">
        <v>40756</v>
      </c>
      <c r="B201" s="11"/>
      <c r="C201" s="1"/>
      <c r="D201" s="1"/>
      <c r="E201" s="1"/>
      <c r="F201" s="1">
        <v>100</v>
      </c>
      <c r="G201" s="1"/>
      <c r="H201" s="1"/>
      <c r="I201" s="1"/>
      <c r="J201" s="1"/>
    </row>
    <row r="202" spans="1:10" x14ac:dyDescent="0.3">
      <c r="A202" s="2">
        <v>40787</v>
      </c>
      <c r="B202" s="11"/>
      <c r="C202" s="1"/>
      <c r="D202" s="1"/>
      <c r="E202" s="1"/>
      <c r="F202" s="1">
        <v>100</v>
      </c>
      <c r="G202" s="1"/>
      <c r="H202" s="1"/>
      <c r="I202" s="1"/>
      <c r="J202" s="1"/>
    </row>
    <row r="203" spans="1:10" x14ac:dyDescent="0.3">
      <c r="A203" s="2">
        <v>40817</v>
      </c>
      <c r="B203" s="11"/>
      <c r="C203" s="1"/>
      <c r="D203" s="1"/>
      <c r="E203" s="1"/>
      <c r="F203" s="1">
        <v>100</v>
      </c>
      <c r="G203" s="1"/>
      <c r="H203" s="1"/>
      <c r="I203" s="1"/>
      <c r="J203" s="1"/>
    </row>
    <row r="204" spans="1:10" x14ac:dyDescent="0.3">
      <c r="A204" s="2">
        <v>40848</v>
      </c>
      <c r="B204" s="11"/>
      <c r="C204" s="1"/>
      <c r="D204" s="1"/>
      <c r="E204" s="1"/>
      <c r="F204" s="1">
        <v>100</v>
      </c>
      <c r="G204" s="1"/>
      <c r="H204" s="1"/>
      <c r="I204" s="1"/>
      <c r="J204" s="1"/>
    </row>
    <row r="205" spans="1:10" x14ac:dyDescent="0.3">
      <c r="A205" s="2">
        <v>40878</v>
      </c>
      <c r="B205" s="11"/>
      <c r="C205" s="1"/>
      <c r="D205" s="1"/>
      <c r="E205" s="1"/>
      <c r="F205" s="1">
        <v>100</v>
      </c>
      <c r="G205" s="1"/>
      <c r="H205" s="1"/>
      <c r="I205" s="1"/>
      <c r="J205" s="1"/>
    </row>
    <row r="206" spans="1:10" x14ac:dyDescent="0.3">
      <c r="A206" s="2">
        <v>40909</v>
      </c>
      <c r="B206" s="11"/>
      <c r="C206" s="1"/>
      <c r="D206" s="1"/>
      <c r="E206" s="1"/>
      <c r="F206" s="1">
        <v>100</v>
      </c>
      <c r="G206" s="1"/>
      <c r="H206" s="1"/>
      <c r="I206" s="1"/>
      <c r="J206" s="1"/>
    </row>
    <row r="207" spans="1:10" x14ac:dyDescent="0.3">
      <c r="A207" s="2">
        <v>40940</v>
      </c>
      <c r="B207" s="11"/>
      <c r="C207" s="1"/>
      <c r="D207" s="1"/>
      <c r="E207" s="1"/>
      <c r="F207" s="1">
        <v>100</v>
      </c>
      <c r="G207" s="1"/>
      <c r="H207" s="1"/>
      <c r="I207" s="1"/>
      <c r="J207" s="1"/>
    </row>
    <row r="208" spans="1:10" x14ac:dyDescent="0.3">
      <c r="A208" s="2">
        <v>40969</v>
      </c>
      <c r="B208" s="11"/>
      <c r="C208" s="1"/>
      <c r="D208" s="1"/>
      <c r="E208" s="1"/>
      <c r="F208" s="1">
        <v>100</v>
      </c>
      <c r="G208" s="1"/>
      <c r="H208" s="1"/>
      <c r="I208" s="1"/>
      <c r="J208" s="1"/>
    </row>
    <row r="209" spans="1:10" x14ac:dyDescent="0.3">
      <c r="A209" s="2">
        <v>41000</v>
      </c>
      <c r="B209" s="11"/>
      <c r="C209" s="1"/>
      <c r="D209" s="1"/>
      <c r="E209" s="1"/>
      <c r="F209" s="1">
        <v>100</v>
      </c>
      <c r="G209" s="1"/>
      <c r="H209" s="1"/>
      <c r="I209" s="1"/>
      <c r="J209" s="1"/>
    </row>
    <row r="210" spans="1:10" x14ac:dyDescent="0.3">
      <c r="A210" s="2">
        <v>41030</v>
      </c>
      <c r="B210" s="11"/>
      <c r="C210" s="1"/>
      <c r="D210" s="1"/>
      <c r="E210" s="1"/>
      <c r="F210" s="1">
        <v>100</v>
      </c>
      <c r="G210" s="1"/>
      <c r="H210" s="1"/>
      <c r="I210" s="1"/>
      <c r="J210" s="1"/>
    </row>
    <row r="211" spans="1:10" x14ac:dyDescent="0.3">
      <c r="A211" s="2">
        <v>41061</v>
      </c>
      <c r="B211" s="11"/>
      <c r="C211" s="1"/>
      <c r="D211" s="1"/>
      <c r="E211" s="1"/>
      <c r="F211" s="1">
        <v>100</v>
      </c>
      <c r="G211" s="1"/>
      <c r="H211" s="1"/>
      <c r="I211" s="1"/>
      <c r="J211" s="1"/>
    </row>
    <row r="212" spans="1:10" x14ac:dyDescent="0.3">
      <c r="A212" s="2">
        <v>41091</v>
      </c>
      <c r="B212" s="11"/>
      <c r="C212" s="1"/>
      <c r="D212" s="1"/>
      <c r="E212" s="1"/>
      <c r="F212" s="1">
        <v>100</v>
      </c>
      <c r="G212" s="1"/>
      <c r="H212" s="1"/>
      <c r="I212" s="1"/>
      <c r="J212" s="1"/>
    </row>
    <row r="213" spans="1:10" x14ac:dyDescent="0.3">
      <c r="A213" s="2">
        <v>41122</v>
      </c>
      <c r="B213" s="11"/>
      <c r="C213" s="1"/>
      <c r="D213" s="1"/>
      <c r="E213" s="1"/>
      <c r="F213" s="1">
        <v>100</v>
      </c>
      <c r="G213" s="1"/>
      <c r="H213" s="1"/>
      <c r="I213" s="1"/>
      <c r="J213" s="1"/>
    </row>
    <row r="214" spans="1:10" x14ac:dyDescent="0.3">
      <c r="A214" s="2">
        <v>41153</v>
      </c>
      <c r="B214" s="11"/>
      <c r="C214" s="1"/>
      <c r="D214" s="1"/>
      <c r="E214" s="1"/>
      <c r="F214" s="1">
        <v>100</v>
      </c>
      <c r="G214" s="1"/>
      <c r="H214" s="1"/>
      <c r="I214" s="1"/>
      <c r="J214" s="1"/>
    </row>
    <row r="215" spans="1:10" x14ac:dyDescent="0.3">
      <c r="A215" s="2">
        <v>41183</v>
      </c>
      <c r="B215" s="11"/>
      <c r="C215" s="1"/>
      <c r="D215" s="1"/>
      <c r="E215" s="1"/>
      <c r="F215" s="1">
        <v>100</v>
      </c>
      <c r="G215" s="1"/>
      <c r="H215" s="1"/>
      <c r="I215" s="1"/>
      <c r="J215" s="1"/>
    </row>
    <row r="216" spans="1:10" x14ac:dyDescent="0.3">
      <c r="A216" s="2">
        <v>41214</v>
      </c>
      <c r="B216" s="11"/>
      <c r="C216" s="1"/>
      <c r="D216" s="1"/>
      <c r="E216" s="1"/>
      <c r="F216" s="1">
        <v>100</v>
      </c>
      <c r="G216" s="1"/>
      <c r="H216" s="1"/>
      <c r="I216" s="1"/>
      <c r="J216" s="1"/>
    </row>
    <row r="217" spans="1:10" x14ac:dyDescent="0.3">
      <c r="A217" s="2">
        <v>41244</v>
      </c>
      <c r="B217" s="11"/>
      <c r="C217" s="1"/>
      <c r="D217" s="1"/>
      <c r="E217" s="1"/>
      <c r="F217" s="1">
        <v>100</v>
      </c>
      <c r="G217" s="1"/>
      <c r="H217" s="1"/>
      <c r="I217" s="1"/>
      <c r="J217" s="1"/>
    </row>
    <row r="218" spans="1:10" x14ac:dyDescent="0.3">
      <c r="A218" s="2">
        <v>41275</v>
      </c>
      <c r="B218" s="11"/>
      <c r="C218" s="1"/>
      <c r="D218" s="1"/>
      <c r="E218" s="1"/>
      <c r="F218" s="1">
        <v>100</v>
      </c>
      <c r="G218" s="1"/>
      <c r="H218" s="1"/>
      <c r="I218" s="1"/>
      <c r="J218" s="1"/>
    </row>
    <row r="219" spans="1:10" x14ac:dyDescent="0.3">
      <c r="A219" s="2">
        <v>41306</v>
      </c>
      <c r="B219" s="11"/>
      <c r="C219" s="1"/>
      <c r="D219" s="1"/>
      <c r="E219" s="1"/>
      <c r="F219" s="1">
        <v>100</v>
      </c>
      <c r="G219" s="1"/>
      <c r="H219" s="1"/>
      <c r="I219" s="1"/>
      <c r="J219" s="1"/>
    </row>
    <row r="220" spans="1:10" x14ac:dyDescent="0.3">
      <c r="A220" s="2">
        <v>41334</v>
      </c>
      <c r="B220" s="11"/>
      <c r="C220" s="1"/>
      <c r="D220" s="1"/>
      <c r="E220" s="1"/>
      <c r="F220" s="1">
        <v>100</v>
      </c>
      <c r="G220" s="1"/>
      <c r="H220" s="1"/>
      <c r="I220" s="1"/>
      <c r="J220" s="1"/>
    </row>
    <row r="221" spans="1:10" x14ac:dyDescent="0.3">
      <c r="A221" s="2">
        <v>41365</v>
      </c>
      <c r="B221" s="11"/>
      <c r="C221" s="1"/>
      <c r="D221" s="1"/>
      <c r="E221" s="1"/>
      <c r="F221" s="1">
        <v>100</v>
      </c>
      <c r="G221" s="1"/>
      <c r="H221" s="1"/>
      <c r="I221" s="1"/>
      <c r="J221" s="1"/>
    </row>
    <row r="222" spans="1:10" x14ac:dyDescent="0.3">
      <c r="A222" s="2">
        <v>41395</v>
      </c>
      <c r="B222" s="11"/>
      <c r="C222" s="1"/>
      <c r="D222" s="1"/>
      <c r="E222" s="1"/>
      <c r="F222" s="1">
        <v>100</v>
      </c>
      <c r="G222" s="1"/>
      <c r="H222" s="1"/>
      <c r="I222" s="1"/>
      <c r="J222" s="1"/>
    </row>
    <row r="223" spans="1:10" x14ac:dyDescent="0.3">
      <c r="A223" s="2">
        <v>41426</v>
      </c>
      <c r="B223" s="11"/>
      <c r="C223" s="1"/>
      <c r="D223" s="1"/>
      <c r="E223" s="1"/>
      <c r="F223" s="1">
        <v>100</v>
      </c>
      <c r="G223" s="1"/>
      <c r="H223" s="1"/>
      <c r="I223" s="1"/>
      <c r="J223" s="1"/>
    </row>
    <row r="224" spans="1:10" x14ac:dyDescent="0.3">
      <c r="A224" s="2">
        <v>41456</v>
      </c>
      <c r="B224" s="11"/>
      <c r="C224" s="1"/>
      <c r="D224" s="1"/>
      <c r="E224" s="1"/>
      <c r="F224" s="1">
        <v>100</v>
      </c>
      <c r="G224" s="1"/>
      <c r="H224" s="1"/>
      <c r="I224" s="1"/>
      <c r="J224" s="1"/>
    </row>
    <row r="225" spans="1:10" x14ac:dyDescent="0.3">
      <c r="A225" s="2">
        <v>41487</v>
      </c>
      <c r="B225" s="11"/>
      <c r="C225" s="1"/>
      <c r="D225" s="1"/>
      <c r="E225" s="1"/>
      <c r="F225" s="1">
        <v>100</v>
      </c>
      <c r="G225" s="1"/>
      <c r="H225" s="1"/>
      <c r="I225" s="1"/>
      <c r="J225" s="1"/>
    </row>
    <row r="226" spans="1:10" x14ac:dyDescent="0.3">
      <c r="A226" s="2">
        <v>41518</v>
      </c>
      <c r="B226" s="11"/>
      <c r="C226" s="1"/>
      <c r="D226" s="1"/>
      <c r="E226" s="1"/>
      <c r="F226" s="1">
        <v>100</v>
      </c>
      <c r="G226" s="1"/>
      <c r="H226" s="1"/>
      <c r="I226" s="1"/>
      <c r="J226" s="1"/>
    </row>
    <row r="227" spans="1:10" x14ac:dyDescent="0.3">
      <c r="A227" s="2">
        <v>41548</v>
      </c>
      <c r="B227" s="11"/>
      <c r="C227" s="1"/>
      <c r="D227" s="1"/>
      <c r="E227" s="1"/>
      <c r="F227" s="1">
        <v>100</v>
      </c>
      <c r="G227" s="1"/>
      <c r="H227" s="1"/>
      <c r="I227" s="1"/>
      <c r="J227" s="1"/>
    </row>
    <row r="228" spans="1:10" x14ac:dyDescent="0.3">
      <c r="A228" s="2">
        <v>41579</v>
      </c>
      <c r="B228" s="11"/>
      <c r="C228" s="1"/>
      <c r="D228" s="1"/>
      <c r="E228" s="1"/>
      <c r="F228" s="1">
        <v>100</v>
      </c>
      <c r="G228" s="1"/>
      <c r="H228" s="1"/>
      <c r="I228" s="1"/>
      <c r="J228" s="1"/>
    </row>
    <row r="229" spans="1:10" x14ac:dyDescent="0.3">
      <c r="A229" s="2">
        <v>41609</v>
      </c>
      <c r="B229" s="11"/>
      <c r="C229" s="1"/>
      <c r="D229" s="1"/>
      <c r="E229" s="1"/>
      <c r="F229" s="1">
        <v>100</v>
      </c>
      <c r="G229" s="1"/>
      <c r="H229" s="1"/>
      <c r="I229" s="1"/>
      <c r="J229" s="1"/>
    </row>
    <row r="230" spans="1:10" x14ac:dyDescent="0.3">
      <c r="A230" s="2">
        <v>41640</v>
      </c>
      <c r="B230" s="11"/>
      <c r="C230" s="1"/>
      <c r="D230" s="1"/>
      <c r="E230" s="1"/>
      <c r="F230" s="1">
        <v>100</v>
      </c>
      <c r="G230" s="1"/>
      <c r="H230" s="1"/>
      <c r="I230" s="1"/>
      <c r="J230" s="1"/>
    </row>
    <row r="231" spans="1:10" x14ac:dyDescent="0.3">
      <c r="A231" s="2">
        <v>41671</v>
      </c>
      <c r="B231" s="11"/>
      <c r="C231" s="1"/>
      <c r="D231" s="1"/>
      <c r="E231" s="1"/>
      <c r="F231" s="1">
        <v>100</v>
      </c>
      <c r="G231" s="1"/>
      <c r="H231" s="1"/>
      <c r="I231" s="1"/>
      <c r="J231" s="1"/>
    </row>
    <row r="232" spans="1:10" x14ac:dyDescent="0.3">
      <c r="A232" s="2">
        <v>41699</v>
      </c>
      <c r="B232" s="11"/>
      <c r="C232" s="1"/>
      <c r="D232" s="1"/>
      <c r="E232" s="1"/>
      <c r="F232" s="1">
        <v>100</v>
      </c>
      <c r="G232" s="1"/>
      <c r="H232" s="1"/>
      <c r="I232" s="1"/>
      <c r="J232" s="1"/>
    </row>
    <row r="233" spans="1:10" x14ac:dyDescent="0.3">
      <c r="A233" s="2">
        <v>41730</v>
      </c>
      <c r="B233" s="11"/>
      <c r="C233" s="1"/>
      <c r="D233" s="1"/>
      <c r="E233" s="1"/>
      <c r="F233" s="1">
        <v>100</v>
      </c>
      <c r="G233" s="1"/>
      <c r="H233" s="1"/>
      <c r="I233" s="1"/>
      <c r="J233" s="1"/>
    </row>
    <row r="234" spans="1:10" x14ac:dyDescent="0.3">
      <c r="A234" s="2">
        <v>41760</v>
      </c>
      <c r="B234" s="11"/>
      <c r="C234" s="1"/>
      <c r="D234" s="1"/>
      <c r="E234" s="1"/>
      <c r="F234" s="1">
        <v>100</v>
      </c>
      <c r="G234" s="1"/>
      <c r="H234" s="1"/>
      <c r="I234" s="1"/>
      <c r="J234" s="1"/>
    </row>
    <row r="235" spans="1:10" x14ac:dyDescent="0.3">
      <c r="A235" s="2">
        <v>41791</v>
      </c>
      <c r="B235" s="11"/>
      <c r="C235" s="1"/>
      <c r="D235" s="1"/>
      <c r="E235" s="1"/>
      <c r="F235" s="1">
        <v>100</v>
      </c>
      <c r="G235" s="1"/>
      <c r="H235" s="1"/>
      <c r="I235" s="1"/>
      <c r="J235" s="1"/>
    </row>
    <row r="236" spans="1:10" x14ac:dyDescent="0.3">
      <c r="A236" s="2">
        <v>41821</v>
      </c>
      <c r="B236" s="11"/>
      <c r="C236" s="1"/>
      <c r="D236" s="1"/>
      <c r="E236" s="1"/>
      <c r="F236" s="1">
        <v>100</v>
      </c>
      <c r="G236" s="1"/>
      <c r="H236" s="1"/>
      <c r="I236" s="1"/>
      <c r="J236" s="1"/>
    </row>
    <row r="237" spans="1:10" x14ac:dyDescent="0.3">
      <c r="A237" s="2">
        <v>41852</v>
      </c>
      <c r="B237" s="11"/>
      <c r="C237" s="1"/>
      <c r="D237" s="1"/>
      <c r="E237" s="1"/>
      <c r="F237" s="1">
        <v>100</v>
      </c>
      <c r="G237" s="1"/>
      <c r="H237" s="1"/>
      <c r="I237" s="1"/>
      <c r="J237" s="1"/>
    </row>
    <row r="238" spans="1:10" x14ac:dyDescent="0.3">
      <c r="A238" s="2">
        <v>41883</v>
      </c>
      <c r="B238" s="11"/>
      <c r="C238" s="1"/>
      <c r="D238" s="1"/>
      <c r="E238" s="1"/>
      <c r="F238" s="1">
        <v>100</v>
      </c>
      <c r="G238" s="1"/>
      <c r="H238" s="1"/>
      <c r="I238" s="1"/>
      <c r="J238" s="1"/>
    </row>
    <row r="239" spans="1:10" x14ac:dyDescent="0.3">
      <c r="A239" s="2">
        <v>41913</v>
      </c>
      <c r="B239" s="11"/>
      <c r="C239" s="1"/>
      <c r="D239" s="1"/>
      <c r="E239" s="1"/>
      <c r="F239" s="1">
        <v>100</v>
      </c>
      <c r="G239" s="1"/>
      <c r="H239" s="1"/>
      <c r="I239" s="1"/>
      <c r="J239" s="1"/>
    </row>
    <row r="240" spans="1:10" x14ac:dyDescent="0.3">
      <c r="A240" s="2">
        <v>41944</v>
      </c>
      <c r="B240" s="11"/>
      <c r="C240" s="1"/>
      <c r="D240" s="1"/>
      <c r="E240" s="1"/>
      <c r="F240" s="1">
        <v>100</v>
      </c>
      <c r="G240" s="1"/>
      <c r="H240" s="1"/>
      <c r="I240" s="1"/>
      <c r="J240" s="1"/>
    </row>
    <row r="241" spans="1:10" x14ac:dyDescent="0.3">
      <c r="A241" s="2">
        <v>41974</v>
      </c>
      <c r="B241" s="11"/>
      <c r="C241" s="1"/>
      <c r="D241" s="1"/>
      <c r="E241" s="1"/>
      <c r="F241" s="1">
        <v>100</v>
      </c>
      <c r="G241" s="1"/>
      <c r="H241" s="1"/>
      <c r="I241" s="1"/>
      <c r="J241" s="1"/>
    </row>
    <row r="242" spans="1:10" x14ac:dyDescent="0.3">
      <c r="A242" s="2">
        <v>42005</v>
      </c>
      <c r="B242" s="11"/>
      <c r="C242" s="1"/>
      <c r="D242" s="1"/>
      <c r="E242" s="1"/>
      <c r="F242" s="1"/>
      <c r="G242" s="1">
        <v>100</v>
      </c>
      <c r="H242" s="1"/>
      <c r="I242" s="1"/>
      <c r="J242" s="1"/>
    </row>
    <row r="243" spans="1:10" x14ac:dyDescent="0.3">
      <c r="A243" s="2">
        <v>42036</v>
      </c>
      <c r="B243" s="11"/>
      <c r="C243" s="1"/>
      <c r="D243" s="1"/>
      <c r="E243" s="1"/>
      <c r="F243" s="1"/>
      <c r="G243" s="1">
        <v>100</v>
      </c>
      <c r="H243" s="1"/>
      <c r="I243" s="1"/>
      <c r="J243" s="1"/>
    </row>
    <row r="244" spans="1:10" x14ac:dyDescent="0.3">
      <c r="A244" s="2">
        <v>42064</v>
      </c>
      <c r="B244" s="11"/>
      <c r="C244" s="1"/>
      <c r="D244" s="1"/>
      <c r="E244" s="1"/>
      <c r="F244" s="1"/>
      <c r="G244" s="1">
        <v>100</v>
      </c>
      <c r="H244" s="1"/>
      <c r="I244" s="1"/>
      <c r="J244" s="1"/>
    </row>
    <row r="245" spans="1:10" x14ac:dyDescent="0.3">
      <c r="A245" s="2">
        <v>42095</v>
      </c>
      <c r="B245" s="11"/>
      <c r="C245" s="1"/>
      <c r="D245" s="1"/>
      <c r="E245" s="1"/>
      <c r="F245" s="1"/>
      <c r="G245" s="1">
        <v>100</v>
      </c>
      <c r="H245" s="1"/>
      <c r="I245" s="1"/>
      <c r="J245" s="1"/>
    </row>
    <row r="246" spans="1:10" x14ac:dyDescent="0.3">
      <c r="A246" s="2">
        <v>42125</v>
      </c>
      <c r="B246" s="11"/>
      <c r="C246" s="1"/>
      <c r="D246" s="1"/>
      <c r="E246" s="1"/>
      <c r="F246" s="1"/>
      <c r="G246" s="1">
        <v>100</v>
      </c>
      <c r="H246" s="1"/>
      <c r="I246" s="1"/>
      <c r="J246" s="1"/>
    </row>
    <row r="247" spans="1:10" x14ac:dyDescent="0.3">
      <c r="A247" s="2">
        <v>42156</v>
      </c>
      <c r="B247" s="11"/>
      <c r="C247" s="1"/>
      <c r="D247" s="1"/>
      <c r="E247" s="1"/>
      <c r="F247" s="1"/>
      <c r="G247" s="1">
        <v>100</v>
      </c>
      <c r="H247" s="1"/>
      <c r="I247" s="1"/>
      <c r="J247" s="1"/>
    </row>
    <row r="248" spans="1:10" x14ac:dyDescent="0.3">
      <c r="A248" s="2">
        <v>42186</v>
      </c>
      <c r="B248" s="11"/>
      <c r="C248" s="1"/>
      <c r="D248" s="1"/>
      <c r="E248" s="1"/>
      <c r="F248" s="1"/>
      <c r="G248" s="1">
        <v>100</v>
      </c>
      <c r="H248" s="1"/>
      <c r="I248" s="1"/>
      <c r="J248" s="1"/>
    </row>
    <row r="249" spans="1:10" x14ac:dyDescent="0.3">
      <c r="A249" s="2">
        <v>42217</v>
      </c>
      <c r="B249" s="11"/>
      <c r="C249" s="1"/>
      <c r="D249" s="1"/>
      <c r="E249" s="1"/>
      <c r="F249" s="1"/>
      <c r="G249" s="1">
        <v>100</v>
      </c>
      <c r="H249" s="1"/>
      <c r="I249" s="1"/>
      <c r="J249" s="1"/>
    </row>
    <row r="250" spans="1:10" x14ac:dyDescent="0.3">
      <c r="A250" s="2">
        <v>42248</v>
      </c>
      <c r="B250" s="11"/>
      <c r="C250" s="1"/>
      <c r="D250" s="1"/>
      <c r="E250" s="1"/>
      <c r="F250" s="1"/>
      <c r="G250" s="1">
        <v>100</v>
      </c>
      <c r="H250" s="1"/>
      <c r="I250" s="1"/>
      <c r="J250" s="1"/>
    </row>
    <row r="251" spans="1:10" x14ac:dyDescent="0.3">
      <c r="A251" s="2">
        <v>42278</v>
      </c>
      <c r="B251" s="11"/>
      <c r="C251" s="1"/>
      <c r="D251" s="1"/>
      <c r="E251" s="1"/>
      <c r="F251" s="1"/>
      <c r="G251" s="1">
        <v>100</v>
      </c>
      <c r="H251" s="1"/>
      <c r="I251" s="1"/>
      <c r="J251" s="1"/>
    </row>
    <row r="252" spans="1:10" x14ac:dyDescent="0.3">
      <c r="A252" s="2">
        <v>42309</v>
      </c>
      <c r="B252" s="11"/>
      <c r="C252" s="1"/>
      <c r="D252" s="1"/>
      <c r="E252" s="1"/>
      <c r="F252" s="1"/>
      <c r="G252" s="1">
        <v>100</v>
      </c>
      <c r="H252" s="1"/>
      <c r="I252" s="1"/>
      <c r="J252" s="1"/>
    </row>
    <row r="253" spans="1:10" x14ac:dyDescent="0.3">
      <c r="A253" s="2">
        <v>42339</v>
      </c>
      <c r="B253" s="11"/>
      <c r="C253" s="1"/>
      <c r="D253" s="1"/>
      <c r="E253" s="1"/>
      <c r="F253" s="1"/>
      <c r="G253" s="1">
        <v>100</v>
      </c>
      <c r="H253" s="1"/>
      <c r="I253" s="1"/>
      <c r="J253" s="1"/>
    </row>
    <row r="254" spans="1:10" x14ac:dyDescent="0.3">
      <c r="A254" s="2">
        <v>42370</v>
      </c>
      <c r="B254" s="11"/>
      <c r="C254" s="1"/>
      <c r="D254" s="1"/>
      <c r="E254" s="1"/>
      <c r="F254" s="1"/>
      <c r="G254" s="1">
        <v>100</v>
      </c>
      <c r="H254" s="1"/>
      <c r="I254" s="1"/>
      <c r="J254" s="1"/>
    </row>
    <row r="255" spans="1:10" x14ac:dyDescent="0.3">
      <c r="A255" s="2">
        <v>42401</v>
      </c>
      <c r="B255" s="11"/>
      <c r="C255" s="1"/>
      <c r="D255" s="1"/>
      <c r="E255" s="1"/>
      <c r="F255" s="1"/>
      <c r="G255" s="1">
        <v>100</v>
      </c>
      <c r="H255" s="1"/>
      <c r="I255" s="1"/>
      <c r="J255" s="1"/>
    </row>
    <row r="256" spans="1:10" x14ac:dyDescent="0.3">
      <c r="A256" s="2">
        <v>42430</v>
      </c>
      <c r="B256" s="11"/>
      <c r="C256" s="1"/>
      <c r="D256" s="1"/>
      <c r="E256" s="1"/>
      <c r="F256" s="1"/>
      <c r="G256" s="1">
        <v>100</v>
      </c>
      <c r="H256" s="1"/>
      <c r="I256" s="1"/>
      <c r="J256" s="1"/>
    </row>
    <row r="257" spans="1:10" x14ac:dyDescent="0.3">
      <c r="A257" s="2">
        <v>42461</v>
      </c>
      <c r="B257" s="11"/>
      <c r="C257" s="1"/>
      <c r="D257" s="1"/>
      <c r="E257" s="1"/>
      <c r="F257" s="1"/>
      <c r="G257" s="1">
        <v>100</v>
      </c>
      <c r="H257" s="1"/>
      <c r="I257" s="1"/>
      <c r="J257" s="1"/>
    </row>
    <row r="258" spans="1:10" x14ac:dyDescent="0.3">
      <c r="A258" s="3">
        <v>42491</v>
      </c>
      <c r="B258" s="11"/>
      <c r="C258" s="1"/>
      <c r="D258" s="1"/>
      <c r="E258" s="1"/>
      <c r="F258" s="1"/>
      <c r="G258" s="1">
        <v>100</v>
      </c>
      <c r="H258" s="1"/>
      <c r="I258" s="1"/>
      <c r="J258" s="1"/>
    </row>
    <row r="259" spans="1:10" x14ac:dyDescent="0.3">
      <c r="A259" s="2">
        <v>42522</v>
      </c>
      <c r="B259" s="11"/>
      <c r="C259" s="1"/>
      <c r="D259" s="1"/>
      <c r="E259" s="1"/>
      <c r="F259" s="1"/>
      <c r="G259" s="1">
        <v>100</v>
      </c>
      <c r="H259" s="1"/>
      <c r="I259" s="1"/>
      <c r="J259" s="1"/>
    </row>
    <row r="260" spans="1:10" x14ac:dyDescent="0.3">
      <c r="A260" s="2">
        <v>42552</v>
      </c>
      <c r="B260" s="11"/>
      <c r="C260" s="1"/>
      <c r="D260" s="1"/>
      <c r="E260" s="1"/>
      <c r="F260" s="1"/>
      <c r="G260" s="1">
        <v>100</v>
      </c>
      <c r="H260" s="1"/>
      <c r="I260" s="1"/>
      <c r="J260" s="1"/>
    </row>
    <row r="261" spans="1:10" x14ac:dyDescent="0.3">
      <c r="A261" s="2">
        <v>42583</v>
      </c>
      <c r="B261" s="11"/>
      <c r="C261" s="1"/>
      <c r="D261" s="1"/>
      <c r="E261" s="1"/>
      <c r="F261" s="1"/>
      <c r="G261" s="1"/>
      <c r="H261" s="1">
        <v>100</v>
      </c>
      <c r="I261" s="1"/>
      <c r="J261" s="1"/>
    </row>
    <row r="262" spans="1:10" x14ac:dyDescent="0.3">
      <c r="A262" s="2">
        <v>42614</v>
      </c>
      <c r="B262" s="11"/>
      <c r="C262" s="1"/>
      <c r="D262" s="1"/>
      <c r="E262" s="1"/>
      <c r="F262" s="1"/>
      <c r="G262" s="1"/>
      <c r="H262" s="1">
        <v>100</v>
      </c>
      <c r="I262" s="1"/>
      <c r="J262" s="1"/>
    </row>
    <row r="263" spans="1:10" x14ac:dyDescent="0.3">
      <c r="A263" s="2">
        <v>42644</v>
      </c>
      <c r="B263" s="11"/>
      <c r="C263" s="1"/>
      <c r="D263" s="1"/>
      <c r="E263" s="1"/>
      <c r="F263" s="1"/>
      <c r="G263" s="1"/>
      <c r="H263" s="1">
        <v>100</v>
      </c>
      <c r="I263" s="1"/>
      <c r="J263" s="1"/>
    </row>
    <row r="264" spans="1:10" x14ac:dyDescent="0.3">
      <c r="A264" s="2">
        <v>42675</v>
      </c>
      <c r="B264" s="11"/>
      <c r="C264" s="1"/>
      <c r="D264" s="1"/>
      <c r="E264" s="1"/>
      <c r="F264" s="1"/>
      <c r="G264" s="1"/>
      <c r="H264" s="1">
        <v>100</v>
      </c>
      <c r="I264" s="1"/>
      <c r="J264" s="1"/>
    </row>
    <row r="265" spans="1:10" x14ac:dyDescent="0.3">
      <c r="A265" s="2">
        <v>42705</v>
      </c>
      <c r="B265" s="11"/>
      <c r="C265" s="1"/>
      <c r="D265" s="1"/>
      <c r="E265" s="1"/>
      <c r="F265" s="1"/>
      <c r="G265" s="1"/>
      <c r="H265" s="1">
        <v>100</v>
      </c>
      <c r="I265" s="1"/>
      <c r="J265" s="1"/>
    </row>
    <row r="266" spans="1:10" x14ac:dyDescent="0.3">
      <c r="A266" s="2">
        <v>42736</v>
      </c>
      <c r="B266" s="11"/>
      <c r="C266" s="1"/>
      <c r="D266" s="1"/>
      <c r="E266" s="1"/>
      <c r="F266" s="1"/>
      <c r="G266" s="1"/>
      <c r="H266" s="1">
        <v>100</v>
      </c>
      <c r="I266" s="1"/>
      <c r="J266" s="1"/>
    </row>
    <row r="267" spans="1:10" x14ac:dyDescent="0.3">
      <c r="A267" s="2">
        <v>42767</v>
      </c>
      <c r="B267" s="11"/>
      <c r="C267" s="1"/>
      <c r="D267" s="1"/>
      <c r="E267" s="1"/>
      <c r="F267" s="1"/>
      <c r="G267" s="1"/>
      <c r="H267" s="1">
        <v>100</v>
      </c>
      <c r="I267" s="1"/>
      <c r="J267" s="1"/>
    </row>
    <row r="268" spans="1:10" x14ac:dyDescent="0.3">
      <c r="A268" s="2">
        <v>42795</v>
      </c>
      <c r="B268" s="11"/>
      <c r="C268" s="1"/>
      <c r="D268" s="1"/>
      <c r="E268" s="1"/>
      <c r="F268" s="1"/>
      <c r="G268" s="1"/>
      <c r="H268" s="1">
        <v>100</v>
      </c>
      <c r="I268" s="1"/>
      <c r="J268" s="1"/>
    </row>
    <row r="269" spans="1:10" x14ac:dyDescent="0.3">
      <c r="A269" s="2">
        <v>42826</v>
      </c>
      <c r="B269" s="11"/>
      <c r="C269" s="1"/>
      <c r="D269" s="1"/>
      <c r="E269" s="1"/>
      <c r="F269" s="1"/>
      <c r="G269" s="1"/>
      <c r="H269" s="1">
        <v>100</v>
      </c>
      <c r="I269" s="1"/>
      <c r="J269" s="1"/>
    </row>
    <row r="270" spans="1:10" x14ac:dyDescent="0.3">
      <c r="A270" s="2">
        <v>42856</v>
      </c>
      <c r="B270" s="11"/>
      <c r="C270" s="1"/>
      <c r="D270" s="1"/>
      <c r="E270" s="1"/>
      <c r="F270" s="1"/>
      <c r="G270" s="1"/>
      <c r="H270" s="1">
        <v>100</v>
      </c>
      <c r="I270" s="1"/>
      <c r="J270" s="1"/>
    </row>
    <row r="271" spans="1:10" x14ac:dyDescent="0.3">
      <c r="A271" s="2">
        <v>42887</v>
      </c>
      <c r="B271" s="11"/>
      <c r="C271" s="1"/>
      <c r="D271" s="1"/>
      <c r="E271" s="1"/>
      <c r="F271" s="1"/>
      <c r="G271" s="1"/>
      <c r="H271" s="1">
        <v>100</v>
      </c>
      <c r="I271" s="1"/>
      <c r="J271" s="1"/>
    </row>
    <row r="272" spans="1:10" x14ac:dyDescent="0.3">
      <c r="A272" s="2">
        <v>42917</v>
      </c>
      <c r="B272" s="11"/>
      <c r="C272" s="1"/>
      <c r="D272" s="1"/>
      <c r="E272" s="1"/>
      <c r="F272" s="1"/>
      <c r="G272" s="1"/>
      <c r="H272" s="1">
        <v>100</v>
      </c>
      <c r="I272" s="1"/>
      <c r="J272" s="1"/>
    </row>
    <row r="273" spans="1:10" x14ac:dyDescent="0.3">
      <c r="A273" s="2">
        <v>42948</v>
      </c>
      <c r="B273" s="11"/>
      <c r="C273" s="1"/>
      <c r="D273" s="1"/>
      <c r="E273" s="1"/>
      <c r="F273" s="1"/>
      <c r="G273" s="1"/>
      <c r="H273" s="1">
        <v>100</v>
      </c>
      <c r="I273" s="1"/>
      <c r="J273" s="1"/>
    </row>
    <row r="274" spans="1:10" x14ac:dyDescent="0.3">
      <c r="A274" s="2">
        <v>42979</v>
      </c>
      <c r="B274" s="11"/>
      <c r="C274" s="1"/>
      <c r="D274" s="1"/>
      <c r="E274" s="1"/>
      <c r="F274" s="1"/>
      <c r="G274" s="1"/>
      <c r="H274" s="1">
        <v>100</v>
      </c>
      <c r="I274" s="1"/>
      <c r="J274" s="1"/>
    </row>
    <row r="275" spans="1:10" x14ac:dyDescent="0.3">
      <c r="A275" s="2">
        <v>43009</v>
      </c>
      <c r="B275" s="11"/>
      <c r="C275" s="1"/>
      <c r="D275" s="1"/>
      <c r="E275" s="1"/>
      <c r="F275" s="1"/>
      <c r="G275" s="1"/>
      <c r="H275" s="1">
        <v>100</v>
      </c>
      <c r="I275" s="1"/>
      <c r="J275" s="1"/>
    </row>
    <row r="276" spans="1:10" x14ac:dyDescent="0.3">
      <c r="A276" s="2">
        <v>43040</v>
      </c>
      <c r="B276" s="11"/>
      <c r="C276" s="1"/>
      <c r="D276" s="1"/>
      <c r="E276" s="1"/>
      <c r="F276" s="1"/>
      <c r="G276" s="1"/>
      <c r="H276" s="1">
        <v>100</v>
      </c>
      <c r="I276" s="1"/>
      <c r="J276" s="1"/>
    </row>
    <row r="277" spans="1:10" x14ac:dyDescent="0.3">
      <c r="A277" s="2">
        <v>43070</v>
      </c>
      <c r="B277" s="11"/>
      <c r="C277" s="1"/>
      <c r="D277" s="1"/>
      <c r="E277" s="1"/>
      <c r="F277" s="1"/>
      <c r="G277" s="1"/>
      <c r="H277" s="1">
        <v>100</v>
      </c>
      <c r="I277" s="1"/>
      <c r="J277" s="1"/>
    </row>
    <row r="278" spans="1:10" x14ac:dyDescent="0.3">
      <c r="A278" s="2">
        <v>43101</v>
      </c>
      <c r="B278" s="11"/>
      <c r="C278" s="1"/>
      <c r="D278" s="1"/>
      <c r="E278" s="1"/>
      <c r="F278" s="1"/>
      <c r="G278" s="1"/>
      <c r="H278" s="1">
        <v>100</v>
      </c>
      <c r="I278" s="1"/>
      <c r="J278" s="1"/>
    </row>
    <row r="279" spans="1:10" x14ac:dyDescent="0.3">
      <c r="A279" s="2">
        <v>43132</v>
      </c>
      <c r="B279" s="11"/>
      <c r="C279" s="1"/>
      <c r="D279" s="1"/>
      <c r="E279" s="1"/>
      <c r="F279" s="1"/>
      <c r="G279" s="1"/>
      <c r="H279" s="1">
        <v>100</v>
      </c>
      <c r="I279" s="1"/>
      <c r="J279" s="1"/>
    </row>
    <row r="280" spans="1:10" x14ac:dyDescent="0.3">
      <c r="A280" s="2">
        <v>43160</v>
      </c>
      <c r="B280" s="11"/>
      <c r="C280" s="1"/>
      <c r="D280" s="1"/>
      <c r="E280" s="1"/>
      <c r="F280" s="1"/>
      <c r="G280" s="1"/>
      <c r="H280" s="1">
        <v>100</v>
      </c>
      <c r="I280" s="1"/>
      <c r="J280" s="1"/>
    </row>
    <row r="281" spans="1:10" x14ac:dyDescent="0.3">
      <c r="A281" s="2">
        <v>43191</v>
      </c>
      <c r="B281" s="11"/>
      <c r="C281" s="1"/>
      <c r="D281" s="1"/>
      <c r="E281" s="1"/>
      <c r="F281" s="1"/>
      <c r="G281" s="1"/>
      <c r="H281" s="1">
        <v>100</v>
      </c>
      <c r="I281" s="1"/>
      <c r="J281" s="1"/>
    </row>
    <row r="282" spans="1:10" x14ac:dyDescent="0.3">
      <c r="A282" s="2">
        <v>43221</v>
      </c>
      <c r="B282" s="11"/>
      <c r="C282" s="1"/>
      <c r="D282" s="1"/>
      <c r="E282" s="1"/>
      <c r="F282" s="1"/>
      <c r="G282" s="1"/>
      <c r="H282" s="1">
        <v>100</v>
      </c>
      <c r="I282" s="1"/>
      <c r="J282" s="1"/>
    </row>
    <row r="283" spans="1:10" x14ac:dyDescent="0.3">
      <c r="A283" s="2">
        <v>43252</v>
      </c>
      <c r="B283" s="11"/>
      <c r="C283" s="1"/>
      <c r="D283" s="1"/>
      <c r="E283" s="1"/>
      <c r="F283" s="1"/>
      <c r="G283" s="1"/>
      <c r="H283" s="1">
        <v>100</v>
      </c>
      <c r="I283" s="1"/>
      <c r="J283" s="1"/>
    </row>
    <row r="284" spans="1:10" x14ac:dyDescent="0.3">
      <c r="A284" s="2">
        <v>43282</v>
      </c>
      <c r="B284" s="11"/>
      <c r="C284" s="1"/>
      <c r="D284" s="1"/>
      <c r="E284" s="1"/>
      <c r="F284" s="1"/>
      <c r="G284" s="1"/>
      <c r="H284" s="1">
        <v>100</v>
      </c>
      <c r="I284" s="1"/>
      <c r="J284" s="1"/>
    </row>
    <row r="285" spans="1:10" x14ac:dyDescent="0.3">
      <c r="A285" s="2">
        <v>43313</v>
      </c>
      <c r="B285" s="11"/>
      <c r="C285" s="1"/>
      <c r="D285" s="1"/>
      <c r="E285" s="1"/>
      <c r="F285" s="1"/>
      <c r="G285" s="1"/>
      <c r="H285" s="1">
        <v>100</v>
      </c>
      <c r="I285" s="1"/>
      <c r="J285" s="1"/>
    </row>
    <row r="286" spans="1:10" x14ac:dyDescent="0.3">
      <c r="A286" s="2">
        <v>43344</v>
      </c>
      <c r="B286" s="11"/>
      <c r="C286" s="1"/>
      <c r="D286" s="1"/>
      <c r="E286" s="1"/>
      <c r="F286" s="1"/>
      <c r="G286" s="1"/>
      <c r="H286" s="1">
        <v>100</v>
      </c>
      <c r="I286" s="1"/>
      <c r="J286" s="1"/>
    </row>
    <row r="287" spans="1:10" x14ac:dyDescent="0.3">
      <c r="A287" s="2">
        <v>43374</v>
      </c>
      <c r="B287" s="11"/>
      <c r="C287" s="1"/>
      <c r="D287" s="1"/>
      <c r="E287" s="1"/>
      <c r="F287" s="1"/>
      <c r="G287" s="1"/>
      <c r="H287" s="1">
        <v>100</v>
      </c>
      <c r="I287" s="1"/>
      <c r="J287" s="1"/>
    </row>
    <row r="288" spans="1:10" x14ac:dyDescent="0.3">
      <c r="A288" s="2">
        <v>43405</v>
      </c>
      <c r="B288" s="11"/>
      <c r="C288" s="1"/>
      <c r="D288" s="1"/>
      <c r="E288" s="1"/>
      <c r="F288" s="1"/>
      <c r="G288" s="1"/>
      <c r="H288" s="1">
        <v>100</v>
      </c>
      <c r="I288" s="1"/>
      <c r="J288" s="1"/>
    </row>
    <row r="289" spans="1:10" x14ac:dyDescent="0.3">
      <c r="A289" s="2">
        <v>43435</v>
      </c>
      <c r="B289" s="11"/>
      <c r="C289" s="1"/>
      <c r="D289" s="1"/>
      <c r="E289" s="1"/>
      <c r="F289" s="1"/>
      <c r="G289" s="1"/>
      <c r="H289" s="1">
        <v>100</v>
      </c>
      <c r="I289" s="1"/>
      <c r="J289" s="1"/>
    </row>
    <row r="290" spans="1:10" x14ac:dyDescent="0.3">
      <c r="A290" s="2">
        <v>43466</v>
      </c>
      <c r="B290" s="11"/>
      <c r="C290" s="1"/>
      <c r="D290" s="1"/>
      <c r="E290" s="1"/>
      <c r="F290" s="1"/>
      <c r="G290" s="1"/>
      <c r="H290" s="1"/>
      <c r="I290" s="1">
        <v>100</v>
      </c>
      <c r="J290" s="1"/>
    </row>
    <row r="291" spans="1:10" x14ac:dyDescent="0.3">
      <c r="A291" s="3">
        <v>43497</v>
      </c>
      <c r="B291" s="11"/>
      <c r="C291" s="1"/>
      <c r="D291" s="1"/>
      <c r="E291" s="1"/>
      <c r="F291" s="1"/>
      <c r="G291" s="1"/>
      <c r="H291" s="1"/>
      <c r="I291" s="1">
        <v>100</v>
      </c>
      <c r="J291" s="1"/>
    </row>
    <row r="292" spans="1:10" x14ac:dyDescent="0.3">
      <c r="A292" s="2">
        <v>43525</v>
      </c>
      <c r="B292" s="11"/>
      <c r="C292" s="1"/>
      <c r="D292" s="1"/>
      <c r="E292" s="1"/>
      <c r="F292" s="1"/>
      <c r="G292" s="1"/>
      <c r="H292" s="1"/>
      <c r="I292" s="1">
        <v>100</v>
      </c>
      <c r="J292" s="1"/>
    </row>
    <row r="293" spans="1:10" x14ac:dyDescent="0.3">
      <c r="A293" s="2">
        <v>43556</v>
      </c>
      <c r="B293" s="11"/>
      <c r="C293" s="1"/>
      <c r="D293" s="1"/>
      <c r="E293" s="1"/>
      <c r="F293" s="1"/>
      <c r="G293" s="1"/>
      <c r="H293" s="1"/>
      <c r="I293" s="1">
        <v>100</v>
      </c>
      <c r="J293" s="1"/>
    </row>
    <row r="294" spans="1:10" x14ac:dyDescent="0.3">
      <c r="A294" s="2">
        <v>43586</v>
      </c>
      <c r="B294" s="11"/>
      <c r="C294" s="1"/>
      <c r="D294" s="1"/>
      <c r="E294" s="1"/>
      <c r="F294" s="1"/>
      <c r="G294" s="1"/>
      <c r="H294" s="1"/>
      <c r="I294" s="1">
        <v>100</v>
      </c>
      <c r="J294" s="1"/>
    </row>
    <row r="295" spans="1:10" x14ac:dyDescent="0.3">
      <c r="A295" s="2">
        <v>43617</v>
      </c>
      <c r="B295" s="11"/>
      <c r="C295" s="1"/>
      <c r="D295" s="1"/>
      <c r="E295" s="1"/>
      <c r="F295" s="1"/>
      <c r="G295" s="1"/>
      <c r="H295" s="1"/>
      <c r="I295" s="1">
        <v>100</v>
      </c>
      <c r="J295" s="1"/>
    </row>
    <row r="296" spans="1:10" x14ac:dyDescent="0.3">
      <c r="A296" s="2">
        <v>43647</v>
      </c>
      <c r="B296" s="11"/>
      <c r="C296" s="1"/>
      <c r="D296" s="1"/>
      <c r="E296" s="1"/>
      <c r="F296" s="1"/>
      <c r="G296" s="1"/>
      <c r="H296" s="1"/>
      <c r="I296" s="1">
        <v>100</v>
      </c>
      <c r="J296" s="1"/>
    </row>
    <row r="297" spans="1:10" x14ac:dyDescent="0.3">
      <c r="A297" s="2">
        <v>43678</v>
      </c>
      <c r="B297" s="11"/>
      <c r="C297" s="1"/>
      <c r="D297" s="1"/>
      <c r="E297" s="1"/>
      <c r="F297" s="1"/>
      <c r="G297" s="1"/>
      <c r="H297" s="1"/>
      <c r="I297" s="1">
        <v>100</v>
      </c>
      <c r="J297" s="1"/>
    </row>
    <row r="298" spans="1:10" x14ac:dyDescent="0.3">
      <c r="A298" s="2">
        <v>43709</v>
      </c>
      <c r="B298" s="11"/>
      <c r="C298" s="1"/>
      <c r="D298" s="1"/>
      <c r="E298" s="1"/>
      <c r="F298" s="1"/>
      <c r="G298" s="1"/>
      <c r="H298" s="1"/>
      <c r="I298" s="1">
        <v>100</v>
      </c>
      <c r="J298" s="1"/>
    </row>
    <row r="299" spans="1:10" x14ac:dyDescent="0.3">
      <c r="A299" s="2">
        <v>43739</v>
      </c>
      <c r="B299" s="11"/>
      <c r="C299" s="1"/>
      <c r="D299" s="1"/>
      <c r="E299" s="1"/>
      <c r="F299" s="1"/>
      <c r="G299" s="1"/>
      <c r="H299" s="1"/>
      <c r="I299" s="1">
        <v>100</v>
      </c>
      <c r="J299" s="1"/>
    </row>
    <row r="300" spans="1:10" x14ac:dyDescent="0.3">
      <c r="A300" s="2">
        <v>43770</v>
      </c>
      <c r="B300" s="11"/>
      <c r="C300" s="1"/>
      <c r="D300" s="1"/>
      <c r="E300" s="1"/>
      <c r="F300" s="1"/>
      <c r="G300" s="1"/>
      <c r="H300" s="1"/>
      <c r="I300" s="1">
        <v>100</v>
      </c>
      <c r="J300" s="1"/>
    </row>
    <row r="301" spans="1:10" x14ac:dyDescent="0.3">
      <c r="A301" s="2">
        <v>43800</v>
      </c>
      <c r="B301" s="11"/>
      <c r="C301" s="1"/>
      <c r="D301" s="1"/>
      <c r="E301" s="1"/>
      <c r="F301" s="1"/>
      <c r="G301" s="1"/>
      <c r="H301" s="1"/>
      <c r="I301" s="1">
        <v>100</v>
      </c>
      <c r="J301" s="1"/>
    </row>
    <row r="302" spans="1:10" x14ac:dyDescent="0.3">
      <c r="A302" s="2">
        <v>43831</v>
      </c>
      <c r="B302" s="11"/>
      <c r="C302" s="1"/>
      <c r="D302" s="1"/>
      <c r="E302" s="1"/>
      <c r="F302" s="1"/>
      <c r="G302" s="1"/>
      <c r="H302" s="1"/>
      <c r="I302" s="1">
        <v>100</v>
      </c>
      <c r="J302" s="1"/>
    </row>
    <row r="303" spans="1:10" x14ac:dyDescent="0.3">
      <c r="A303" s="2">
        <v>43862</v>
      </c>
      <c r="B303" s="11"/>
      <c r="C303" s="1"/>
      <c r="D303" s="1"/>
      <c r="E303" s="1"/>
      <c r="F303" s="1"/>
      <c r="G303" s="1"/>
      <c r="H303" s="1"/>
      <c r="I303" s="1">
        <v>100</v>
      </c>
      <c r="J303" s="1"/>
    </row>
    <row r="304" spans="1:10" x14ac:dyDescent="0.3">
      <c r="A304" s="2">
        <v>43891</v>
      </c>
      <c r="B304" s="11"/>
      <c r="C304" s="1"/>
      <c r="D304" s="1"/>
      <c r="E304" s="1"/>
      <c r="F304" s="1"/>
      <c r="G304" s="1"/>
      <c r="H304" s="1"/>
      <c r="I304" s="1">
        <v>100</v>
      </c>
      <c r="J304" s="1"/>
    </row>
    <row r="305" spans="1:10" x14ac:dyDescent="0.3">
      <c r="A305" s="2">
        <v>43922</v>
      </c>
      <c r="B305" s="11"/>
      <c r="C305" s="1"/>
      <c r="D305" s="1"/>
      <c r="E305" s="1"/>
      <c r="F305" s="1"/>
      <c r="G305" s="1"/>
      <c r="H305" s="1"/>
      <c r="I305" s="1">
        <v>100</v>
      </c>
      <c r="J305" s="1"/>
    </row>
    <row r="306" spans="1:10" x14ac:dyDescent="0.3">
      <c r="A306" s="2">
        <v>43952</v>
      </c>
      <c r="B306" s="11"/>
      <c r="C306" s="1"/>
      <c r="D306" s="1"/>
      <c r="E306" s="1"/>
      <c r="F306" s="1"/>
      <c r="G306" s="1"/>
      <c r="H306" s="1"/>
      <c r="I306" s="1">
        <v>100</v>
      </c>
      <c r="J306" s="1"/>
    </row>
    <row r="307" spans="1:10" x14ac:dyDescent="0.3">
      <c r="A307" s="2">
        <v>43983</v>
      </c>
      <c r="B307" s="11"/>
      <c r="C307" s="1"/>
      <c r="D307" s="1"/>
      <c r="E307" s="1"/>
      <c r="F307" s="1"/>
      <c r="G307" s="1"/>
      <c r="H307" s="1"/>
      <c r="I307" s="1">
        <v>100</v>
      </c>
      <c r="J307" s="1"/>
    </row>
    <row r="308" spans="1:10" x14ac:dyDescent="0.3">
      <c r="A308" s="2">
        <v>44013</v>
      </c>
      <c r="B308" s="11"/>
      <c r="C308" s="1"/>
      <c r="D308" s="1"/>
      <c r="E308" s="1"/>
      <c r="F308" s="1"/>
      <c r="G308" s="1"/>
      <c r="H308" s="1"/>
      <c r="I308" s="1">
        <v>100</v>
      </c>
      <c r="J308" s="1"/>
    </row>
    <row r="309" spans="1:10" x14ac:dyDescent="0.3">
      <c r="A309" s="2">
        <v>44044</v>
      </c>
      <c r="B309" s="11"/>
      <c r="C309" s="1"/>
      <c r="D309" s="1"/>
      <c r="E309" s="1"/>
      <c r="F309" s="1"/>
      <c r="G309" s="1"/>
      <c r="H309" s="1"/>
      <c r="I309" s="1">
        <v>100</v>
      </c>
      <c r="J309" s="1"/>
    </row>
    <row r="310" spans="1:10" x14ac:dyDescent="0.3">
      <c r="A310" s="2">
        <v>44075</v>
      </c>
      <c r="B310" s="11"/>
      <c r="C310" s="1"/>
      <c r="D310" s="1"/>
      <c r="E310" s="1"/>
      <c r="F310" s="1"/>
      <c r="G310" s="1"/>
      <c r="H310" s="1"/>
      <c r="I310" s="1">
        <v>100</v>
      </c>
      <c r="J310" s="1"/>
    </row>
    <row r="311" spans="1:10" x14ac:dyDescent="0.3">
      <c r="A311" s="2">
        <v>44105</v>
      </c>
      <c r="B311" s="11"/>
      <c r="C311" s="1"/>
      <c r="D311" s="1"/>
      <c r="E311" s="1"/>
      <c r="F311" s="1"/>
      <c r="G311" s="1"/>
      <c r="H311" s="1"/>
      <c r="I311" s="1">
        <v>100</v>
      </c>
      <c r="J311" s="1"/>
    </row>
    <row r="312" spans="1:10" x14ac:dyDescent="0.3">
      <c r="A312" s="2">
        <v>44136</v>
      </c>
      <c r="B312" s="11"/>
      <c r="C312" s="1"/>
      <c r="D312" s="1"/>
      <c r="E312" s="1"/>
      <c r="F312" s="1"/>
      <c r="G312" s="1"/>
      <c r="H312" s="1"/>
      <c r="I312" s="1">
        <v>100</v>
      </c>
      <c r="J312" s="1"/>
    </row>
    <row r="313" spans="1:10" x14ac:dyDescent="0.3">
      <c r="A313" s="2">
        <v>44166</v>
      </c>
      <c r="B313" s="11"/>
      <c r="C313" s="1"/>
      <c r="D313" s="1"/>
      <c r="E313" s="1"/>
      <c r="F313" s="1"/>
      <c r="G313" s="1"/>
      <c r="H313" s="1"/>
      <c r="I313" s="1">
        <v>100</v>
      </c>
      <c r="J313" s="1"/>
    </row>
    <row r="314" spans="1:10" x14ac:dyDescent="0.3">
      <c r="A314" s="2">
        <v>44197</v>
      </c>
      <c r="B314" s="11"/>
      <c r="C314" s="1"/>
      <c r="D314" s="1"/>
      <c r="E314" s="1"/>
      <c r="F314" s="1"/>
      <c r="G314" s="1"/>
      <c r="H314" s="1"/>
      <c r="I314" s="1">
        <v>100</v>
      </c>
      <c r="J314" s="1"/>
    </row>
    <row r="315" spans="1:10" x14ac:dyDescent="0.3">
      <c r="A315" s="2">
        <v>44228</v>
      </c>
      <c r="B315" s="11"/>
      <c r="C315" s="1"/>
      <c r="D315" s="1"/>
      <c r="E315" s="1"/>
      <c r="F315" s="1"/>
      <c r="G315" s="1"/>
      <c r="H315" s="1"/>
      <c r="I315" s="1">
        <v>100</v>
      </c>
      <c r="J315" s="1"/>
    </row>
    <row r="316" spans="1:10" x14ac:dyDescent="0.3">
      <c r="A316" s="2">
        <v>44256</v>
      </c>
      <c r="B316" s="11"/>
      <c r="C316" s="1"/>
      <c r="D316" s="1"/>
      <c r="E316" s="1"/>
      <c r="F316" s="1"/>
      <c r="G316" s="1"/>
      <c r="H316" s="1"/>
      <c r="I316" s="1">
        <v>100</v>
      </c>
      <c r="J316" s="1"/>
    </row>
    <row r="317" spans="1:10" x14ac:dyDescent="0.3">
      <c r="A317" s="2">
        <v>44287</v>
      </c>
      <c r="B317" s="11"/>
      <c r="C317" s="1"/>
      <c r="D317" s="1"/>
      <c r="E317" s="1"/>
      <c r="F317" s="1"/>
      <c r="G317" s="1"/>
      <c r="H317" s="1"/>
      <c r="I317" s="1">
        <v>100</v>
      </c>
      <c r="J317" s="1"/>
    </row>
    <row r="318" spans="1:10" x14ac:dyDescent="0.3">
      <c r="A318" s="2">
        <v>44317</v>
      </c>
      <c r="B318" s="11"/>
      <c r="C318" s="1"/>
      <c r="D318" s="1"/>
      <c r="E318" s="1"/>
      <c r="F318" s="1"/>
      <c r="G318" s="1"/>
      <c r="H318" s="1"/>
      <c r="I318" s="1">
        <v>100</v>
      </c>
      <c r="J318" s="1"/>
    </row>
    <row r="319" spans="1:10" x14ac:dyDescent="0.3">
      <c r="A319" s="2">
        <v>44348</v>
      </c>
      <c r="B319" s="11"/>
      <c r="C319" s="1"/>
      <c r="D319" s="1"/>
      <c r="E319" s="1"/>
      <c r="F319" s="1"/>
      <c r="G319" s="1"/>
      <c r="H319" s="1"/>
      <c r="I319" s="1">
        <v>100</v>
      </c>
      <c r="J319" s="1"/>
    </row>
    <row r="320" spans="1:10" x14ac:dyDescent="0.3">
      <c r="A320" s="2">
        <v>44378</v>
      </c>
      <c r="B320" s="11"/>
      <c r="C320" s="1"/>
      <c r="D320" s="1"/>
      <c r="E320" s="1"/>
      <c r="F320" s="1"/>
      <c r="G320" s="1"/>
      <c r="H320" s="1"/>
      <c r="I320" s="1">
        <v>100</v>
      </c>
      <c r="J320" s="1"/>
    </row>
    <row r="321" spans="1:10" x14ac:dyDescent="0.3">
      <c r="A321" s="2">
        <v>44409</v>
      </c>
      <c r="B321" s="11"/>
      <c r="C321" s="1"/>
      <c r="D321" s="1"/>
      <c r="E321" s="1"/>
      <c r="F321" s="1"/>
      <c r="G321" s="1"/>
      <c r="H321" s="1"/>
      <c r="I321" s="1">
        <v>100</v>
      </c>
      <c r="J321" s="1"/>
    </row>
    <row r="322" spans="1:10" x14ac:dyDescent="0.3">
      <c r="A322" s="2">
        <v>44440</v>
      </c>
      <c r="B322" s="11"/>
      <c r="C322" s="1"/>
      <c r="D322" s="1"/>
      <c r="E322" s="1"/>
      <c r="F322" s="1"/>
      <c r="G322" s="1"/>
      <c r="H322" s="1"/>
      <c r="I322" s="1">
        <v>100</v>
      </c>
      <c r="J322" s="1"/>
    </row>
    <row r="323" spans="1:10" x14ac:dyDescent="0.3">
      <c r="A323" s="2">
        <v>44470</v>
      </c>
      <c r="B323" s="11"/>
      <c r="C323" s="1"/>
      <c r="D323" s="1"/>
      <c r="E323" s="1"/>
      <c r="F323" s="1"/>
      <c r="G323" s="1"/>
      <c r="H323" s="1"/>
      <c r="I323" s="1">
        <v>100</v>
      </c>
      <c r="J323" s="1"/>
    </row>
    <row r="324" spans="1:10" x14ac:dyDescent="0.3">
      <c r="A324" s="2">
        <v>44501</v>
      </c>
      <c r="B324" s="11"/>
      <c r="C324" s="1"/>
      <c r="D324" s="1"/>
      <c r="E324" s="1"/>
      <c r="F324" s="1"/>
      <c r="G324" s="1"/>
      <c r="H324" s="1"/>
      <c r="I324" s="1">
        <v>100</v>
      </c>
      <c r="J324" s="1"/>
    </row>
    <row r="325" spans="1:10" x14ac:dyDescent="0.3">
      <c r="A325" s="2">
        <v>44531</v>
      </c>
      <c r="B325" s="11"/>
      <c r="C325" s="1"/>
      <c r="D325" s="1"/>
      <c r="E325" s="1"/>
      <c r="F325" s="1"/>
      <c r="G325" s="1"/>
      <c r="H325" s="1"/>
      <c r="I325" s="1">
        <v>100</v>
      </c>
      <c r="J325" s="1"/>
    </row>
    <row r="326" spans="1:10" x14ac:dyDescent="0.3">
      <c r="A326" s="2">
        <v>44562</v>
      </c>
      <c r="B326" s="11"/>
      <c r="C326" s="1"/>
      <c r="D326" s="1"/>
      <c r="E326" s="1"/>
      <c r="F326" s="1"/>
      <c r="G326" s="1"/>
      <c r="H326" s="1"/>
      <c r="I326" s="1">
        <v>100</v>
      </c>
      <c r="J326" s="1"/>
    </row>
    <row r="327" spans="1:10" x14ac:dyDescent="0.3">
      <c r="A327" s="2">
        <v>44593</v>
      </c>
      <c r="B327" s="11"/>
      <c r="C327" s="1"/>
      <c r="D327" s="1"/>
      <c r="E327" s="1"/>
      <c r="F327" s="1"/>
      <c r="G327" s="1"/>
      <c r="H327" s="1"/>
      <c r="I327" s="1">
        <v>100</v>
      </c>
      <c r="J327" s="1"/>
    </row>
    <row r="328" spans="1:10" x14ac:dyDescent="0.3">
      <c r="A328" s="2">
        <v>44621</v>
      </c>
      <c r="B328" s="11"/>
      <c r="C328" s="1"/>
      <c r="D328" s="1"/>
      <c r="E328" s="1"/>
      <c r="F328" s="1"/>
      <c r="G328" s="1"/>
      <c r="H328" s="1"/>
      <c r="I328" s="1">
        <v>100</v>
      </c>
      <c r="J328" s="1"/>
    </row>
    <row r="329" spans="1:10" x14ac:dyDescent="0.3">
      <c r="A329" s="2">
        <v>44652</v>
      </c>
      <c r="B329" s="11"/>
      <c r="C329" s="1"/>
      <c r="D329" s="1"/>
      <c r="E329" s="1"/>
      <c r="F329" s="1"/>
      <c r="G329" s="1"/>
      <c r="H329" s="1"/>
      <c r="I329" s="1">
        <v>100</v>
      </c>
      <c r="J329" s="1"/>
    </row>
    <row r="330" spans="1:10" x14ac:dyDescent="0.3">
      <c r="A330" s="2">
        <v>44682</v>
      </c>
      <c r="B330" s="11"/>
      <c r="C330" s="1"/>
      <c r="D330" s="1"/>
      <c r="E330" s="1"/>
      <c r="F330" s="1"/>
      <c r="G330" s="1"/>
      <c r="H330" s="1"/>
      <c r="I330" s="1">
        <v>100</v>
      </c>
      <c r="J330" s="1"/>
    </row>
    <row r="331" spans="1:10" x14ac:dyDescent="0.3">
      <c r="A331" s="2">
        <v>44713</v>
      </c>
      <c r="B331" s="11"/>
      <c r="C331" s="1"/>
      <c r="D331" s="1"/>
      <c r="E331" s="1"/>
      <c r="F331" s="1"/>
      <c r="G331" s="1"/>
      <c r="H331" s="1"/>
      <c r="I331" s="1">
        <v>100</v>
      </c>
      <c r="J331" s="1"/>
    </row>
    <row r="332" spans="1:10" x14ac:dyDescent="0.3">
      <c r="A332" s="2">
        <v>44743</v>
      </c>
      <c r="B332" s="11"/>
      <c r="C332" s="1"/>
      <c r="D332" s="1"/>
      <c r="E332" s="1"/>
      <c r="F332" s="1"/>
      <c r="G332" s="1"/>
      <c r="H332" s="1"/>
      <c r="I332" s="1">
        <v>100</v>
      </c>
      <c r="J332" s="1"/>
    </row>
    <row r="333" spans="1:10" x14ac:dyDescent="0.3">
      <c r="A333" s="2">
        <v>44774</v>
      </c>
      <c r="B333" s="11"/>
      <c r="C333" s="1"/>
      <c r="D333" s="1"/>
      <c r="E333" s="1"/>
      <c r="F333" s="1"/>
      <c r="G333" s="1"/>
      <c r="H333" s="1"/>
      <c r="I333" s="1">
        <v>100</v>
      </c>
      <c r="J333" s="1"/>
    </row>
    <row r="334" spans="1:10" x14ac:dyDescent="0.3">
      <c r="A334" s="2">
        <v>44805</v>
      </c>
      <c r="B334" s="11"/>
      <c r="C334" s="1"/>
      <c r="D334" s="1"/>
      <c r="E334" s="1"/>
      <c r="F334" s="1"/>
      <c r="G334" s="1"/>
      <c r="H334" s="1"/>
      <c r="I334" s="1">
        <v>100</v>
      </c>
      <c r="J334" s="1"/>
    </row>
    <row r="335" spans="1:10" x14ac:dyDescent="0.3">
      <c r="A335" s="2">
        <v>44835</v>
      </c>
      <c r="B335" s="11"/>
      <c r="C335" s="1"/>
      <c r="D335" s="1"/>
      <c r="E335" s="1"/>
      <c r="F335" s="1"/>
      <c r="G335" s="1"/>
      <c r="H335" s="1"/>
      <c r="I335" s="1">
        <v>100</v>
      </c>
      <c r="J335" s="1"/>
    </row>
    <row r="336" spans="1:10" x14ac:dyDescent="0.3">
      <c r="A336" s="2">
        <v>44866</v>
      </c>
      <c r="B336" s="11"/>
      <c r="C336" s="1"/>
      <c r="D336" s="1"/>
      <c r="E336" s="1"/>
      <c r="F336" s="1"/>
      <c r="G336" s="1"/>
      <c r="H336" s="1"/>
      <c r="I336" s="1">
        <v>100</v>
      </c>
      <c r="J336" s="1"/>
    </row>
    <row r="337" spans="1:10" x14ac:dyDescent="0.3">
      <c r="A337" s="3">
        <v>44896</v>
      </c>
      <c r="B337" s="11"/>
      <c r="C337" s="1"/>
      <c r="D337" s="1"/>
      <c r="E337" s="1"/>
      <c r="F337" s="1"/>
      <c r="G337" s="1"/>
      <c r="H337" s="1"/>
      <c r="I337" s="1">
        <v>100</v>
      </c>
      <c r="J337" s="1"/>
    </row>
    <row r="338" spans="1:10" x14ac:dyDescent="0.3">
      <c r="A338" s="2">
        <v>44927</v>
      </c>
      <c r="B338" s="11"/>
      <c r="C338" s="1"/>
      <c r="D338" s="1"/>
      <c r="E338" s="1"/>
      <c r="F338" s="1"/>
      <c r="G338" s="1"/>
      <c r="H338" s="1"/>
      <c r="I338" s="1"/>
      <c r="J338" s="1">
        <v>100</v>
      </c>
    </row>
    <row r="339" spans="1:10" x14ac:dyDescent="0.3">
      <c r="A339" s="2">
        <v>44958</v>
      </c>
      <c r="B339" s="11"/>
      <c r="C339" s="1"/>
      <c r="D339" s="1"/>
      <c r="E339" s="1"/>
      <c r="F339" s="1"/>
      <c r="G339" s="1"/>
      <c r="H339" s="1"/>
      <c r="I339" s="1"/>
      <c r="J339" s="1">
        <v>100</v>
      </c>
    </row>
    <row r="340" spans="1:10" x14ac:dyDescent="0.3">
      <c r="A340" s="2">
        <v>44986</v>
      </c>
      <c r="B340" s="11"/>
      <c r="C340" s="1"/>
      <c r="D340" s="1"/>
      <c r="E340" s="1"/>
      <c r="F340" s="1"/>
      <c r="G340" s="1"/>
      <c r="H340" s="1"/>
      <c r="I340" s="1"/>
      <c r="J340" s="1">
        <v>100</v>
      </c>
    </row>
    <row r="341" spans="1:10" x14ac:dyDescent="0.3">
      <c r="A341" s="2">
        <v>45017</v>
      </c>
      <c r="B341" s="11"/>
      <c r="C341" s="1"/>
      <c r="D341" s="1"/>
      <c r="E341" s="1"/>
      <c r="F341" s="1"/>
      <c r="G341" s="1"/>
      <c r="H341" s="1"/>
      <c r="I341" s="1"/>
      <c r="J341" s="1">
        <v>100</v>
      </c>
    </row>
    <row r="342" spans="1:10" x14ac:dyDescent="0.3">
      <c r="A342" s="2">
        <v>45047</v>
      </c>
      <c r="B342" s="11"/>
      <c r="C342" s="1"/>
      <c r="D342" s="1"/>
      <c r="E342" s="1"/>
      <c r="F342" s="1"/>
      <c r="G342" s="1"/>
      <c r="H342" s="1"/>
      <c r="I342" s="1"/>
      <c r="J342" s="1">
        <v>100</v>
      </c>
    </row>
    <row r="343" spans="1:10" x14ac:dyDescent="0.3">
      <c r="A343" s="2">
        <v>45078</v>
      </c>
      <c r="B343" s="11"/>
      <c r="C343" s="1"/>
      <c r="D343" s="1"/>
      <c r="E343" s="1"/>
      <c r="F343" s="1"/>
      <c r="G343" s="1"/>
      <c r="H343" s="1"/>
      <c r="I343" s="1"/>
      <c r="J343" s="1">
        <v>100</v>
      </c>
    </row>
    <row r="344" spans="1:10" x14ac:dyDescent="0.3">
      <c r="A344" s="2">
        <v>45108</v>
      </c>
      <c r="B344" s="11"/>
      <c r="C344" s="1"/>
      <c r="D344" s="1"/>
      <c r="E344" s="1"/>
      <c r="F344" s="1"/>
      <c r="G344" s="1"/>
      <c r="H344" s="1"/>
      <c r="I344" s="1"/>
      <c r="J344" s="1">
        <v>100</v>
      </c>
    </row>
    <row r="345" spans="1:10" x14ac:dyDescent="0.3">
      <c r="A345" s="2">
        <v>45139</v>
      </c>
      <c r="B345" s="11"/>
      <c r="C345" s="1"/>
      <c r="D345" s="1"/>
      <c r="E345" s="1"/>
      <c r="F345" s="1"/>
      <c r="G345" s="1"/>
      <c r="H345" s="1"/>
      <c r="I345" s="1"/>
      <c r="J345" s="1">
        <v>100</v>
      </c>
    </row>
    <row r="346" spans="1:10" x14ac:dyDescent="0.3">
      <c r="A346" s="2">
        <v>45170</v>
      </c>
      <c r="B346" s="11"/>
      <c r="C346" s="1"/>
      <c r="D346" s="1"/>
      <c r="E346" s="1"/>
      <c r="F346" s="1"/>
      <c r="G346" s="1"/>
      <c r="H346" s="1"/>
      <c r="I346" s="1"/>
      <c r="J346" s="1">
        <v>100</v>
      </c>
    </row>
    <row r="347" spans="1:10" x14ac:dyDescent="0.3">
      <c r="A347" s="2">
        <v>45200</v>
      </c>
      <c r="B347" s="11"/>
      <c r="C347" s="1"/>
      <c r="D347" s="1"/>
      <c r="E347" s="1"/>
      <c r="F347" s="1"/>
      <c r="G347" s="1"/>
      <c r="H347" s="1"/>
      <c r="I347" s="1"/>
      <c r="J347" s="1">
        <v>100</v>
      </c>
    </row>
    <row r="348" spans="1:10" x14ac:dyDescent="0.3">
      <c r="A348" s="2">
        <v>45231</v>
      </c>
      <c r="B348" s="11"/>
      <c r="C348" s="1"/>
      <c r="D348" s="1"/>
      <c r="E348" s="1"/>
      <c r="F348" s="1"/>
      <c r="G348" s="1"/>
      <c r="H348" s="1"/>
      <c r="I348" s="1"/>
      <c r="J348" s="1">
        <v>100</v>
      </c>
    </row>
    <row r="349" spans="1:10" x14ac:dyDescent="0.3">
      <c r="A349" s="2">
        <v>45261</v>
      </c>
      <c r="B349" s="11"/>
      <c r="C349" s="1"/>
      <c r="D349" s="1"/>
      <c r="E349" s="1"/>
      <c r="F349" s="1"/>
      <c r="G349" s="1"/>
      <c r="H349" s="1"/>
      <c r="I349" s="1"/>
      <c r="J349" s="1">
        <v>100</v>
      </c>
    </row>
    <row r="350" spans="1:10" x14ac:dyDescent="0.3">
      <c r="A350" s="2">
        <v>45292</v>
      </c>
      <c r="B350" s="11"/>
      <c r="C350" s="1"/>
      <c r="D350" s="1"/>
      <c r="E350" s="1"/>
      <c r="F350" s="1"/>
      <c r="G350" s="1"/>
      <c r="H350" s="1"/>
      <c r="I350" s="1"/>
      <c r="J350" s="1">
        <v>100</v>
      </c>
    </row>
    <row r="351" spans="1:10" x14ac:dyDescent="0.3">
      <c r="A351" s="2">
        <v>45323</v>
      </c>
      <c r="B351" s="11"/>
      <c r="C351" s="1"/>
      <c r="D351" s="1"/>
      <c r="E351" s="1"/>
      <c r="F351" s="1"/>
      <c r="G351" s="1"/>
      <c r="H351" s="1"/>
      <c r="I351" s="1"/>
      <c r="J351" s="1">
        <v>100</v>
      </c>
    </row>
    <row r="352" spans="1:10" x14ac:dyDescent="0.3">
      <c r="A352" s="2">
        <v>45352</v>
      </c>
      <c r="B352" s="11"/>
      <c r="C352" s="1"/>
      <c r="D352" s="1"/>
      <c r="E352" s="1"/>
      <c r="F352" s="1"/>
      <c r="G352" s="1"/>
      <c r="H352" s="1"/>
      <c r="I352" s="1"/>
      <c r="J352" s="1">
        <v>100</v>
      </c>
    </row>
    <row r="353" spans="1:10" x14ac:dyDescent="0.3">
      <c r="A353" s="2">
        <v>45383</v>
      </c>
      <c r="B353" s="11"/>
      <c r="C353" s="1"/>
      <c r="D353" s="1"/>
      <c r="E353" s="1"/>
      <c r="F353" s="1"/>
      <c r="G353" s="1"/>
      <c r="H353" s="1"/>
      <c r="I353" s="1"/>
      <c r="J353" s="1">
        <v>100</v>
      </c>
    </row>
    <row r="354" spans="1:10" x14ac:dyDescent="0.3">
      <c r="A354" s="2">
        <v>45413</v>
      </c>
      <c r="B354" s="11"/>
      <c r="C354" s="1"/>
      <c r="D354" s="1"/>
      <c r="E354" s="1"/>
      <c r="F354" s="1"/>
      <c r="G354" s="1"/>
      <c r="H354" s="1"/>
      <c r="I354" s="1"/>
      <c r="J354" s="1">
        <v>100</v>
      </c>
    </row>
    <row r="355" spans="1:10" x14ac:dyDescent="0.3">
      <c r="A355" s="2">
        <v>45444</v>
      </c>
      <c r="B355" s="11"/>
      <c r="C355" s="1"/>
      <c r="D355" s="1"/>
      <c r="E355" s="1"/>
      <c r="F355" s="1"/>
      <c r="G355" s="1"/>
      <c r="H355" s="1"/>
      <c r="I355" s="1"/>
      <c r="J355" s="1">
        <v>100</v>
      </c>
    </row>
    <row r="356" spans="1:10" x14ac:dyDescent="0.3">
      <c r="A356" s="2">
        <v>45474</v>
      </c>
      <c r="B356" s="11"/>
      <c r="C356" s="1"/>
      <c r="D356" s="1"/>
      <c r="E356" s="1"/>
      <c r="F356" s="1"/>
      <c r="G356" s="1"/>
      <c r="H356" s="1"/>
      <c r="I356" s="1"/>
      <c r="J356" s="1">
        <v>100</v>
      </c>
    </row>
    <row r="357" spans="1:10" x14ac:dyDescent="0.3">
      <c r="A357" s="2">
        <v>45505</v>
      </c>
      <c r="B357" s="11"/>
      <c r="C357" s="1"/>
      <c r="D357" s="1"/>
      <c r="E357" s="1"/>
      <c r="F357" s="1"/>
      <c r="G357" s="1"/>
      <c r="H357" s="1"/>
      <c r="I357" s="1"/>
      <c r="J357" s="1">
        <v>100</v>
      </c>
    </row>
    <row r="358" spans="1:10" x14ac:dyDescent="0.3">
      <c r="A358" s="2">
        <v>45536</v>
      </c>
      <c r="B358" s="11"/>
      <c r="C358" s="1"/>
      <c r="D358" s="1"/>
      <c r="E358" s="1"/>
      <c r="F358" s="1"/>
      <c r="G358" s="1"/>
      <c r="H358" s="1"/>
      <c r="I358" s="1"/>
      <c r="J358" s="1">
        <v>100</v>
      </c>
    </row>
    <row r="359" spans="1:10" x14ac:dyDescent="0.3">
      <c r="A359" s="2">
        <v>45566</v>
      </c>
      <c r="B359" s="11"/>
      <c r="C359" s="1"/>
      <c r="D359" s="1"/>
      <c r="E359" s="1"/>
      <c r="F359" s="1"/>
      <c r="G359" s="1"/>
      <c r="H359" s="1"/>
      <c r="I359" s="1"/>
      <c r="J359" s="1">
        <v>100</v>
      </c>
    </row>
    <row r="360" spans="1:10" x14ac:dyDescent="0.3">
      <c r="A360" s="2">
        <v>45597</v>
      </c>
      <c r="B360" s="11"/>
      <c r="C360" s="1"/>
      <c r="D360" s="1"/>
      <c r="E360" s="1"/>
      <c r="F360" s="1"/>
      <c r="G360" s="1"/>
      <c r="H360" s="1"/>
      <c r="I360" s="1"/>
      <c r="J360" s="1">
        <v>100</v>
      </c>
    </row>
    <row r="361" spans="1:10" x14ac:dyDescent="0.3">
      <c r="A361" s="2">
        <v>45627</v>
      </c>
      <c r="B361" s="11"/>
      <c r="C361" s="1"/>
      <c r="D361" s="1"/>
      <c r="E361" s="1"/>
      <c r="F361" s="1"/>
      <c r="G361" s="1"/>
      <c r="H361" s="1"/>
      <c r="I361" s="1"/>
      <c r="J361" s="1">
        <v>100</v>
      </c>
    </row>
    <row r="362" spans="1:10" x14ac:dyDescent="0.3">
      <c r="A362" s="2">
        <v>45658</v>
      </c>
      <c r="B362" s="11"/>
      <c r="J362" s="1">
        <v>100</v>
      </c>
    </row>
    <row r="363" spans="1:10" x14ac:dyDescent="0.3">
      <c r="A363" s="2">
        <v>45689</v>
      </c>
      <c r="B363" s="11"/>
      <c r="J363" s="1">
        <v>100</v>
      </c>
    </row>
    <row r="364" spans="1:10" x14ac:dyDescent="0.3">
      <c r="A364" s="2">
        <v>45717</v>
      </c>
      <c r="B364" s="11"/>
      <c r="J364" s="1">
        <v>100</v>
      </c>
    </row>
    <row r="365" spans="1:10" x14ac:dyDescent="0.3">
      <c r="A365" s="2">
        <v>45748</v>
      </c>
      <c r="B365" s="11"/>
      <c r="J365" s="1">
        <v>100</v>
      </c>
    </row>
    <row r="366" spans="1:10" x14ac:dyDescent="0.3">
      <c r="A366" s="2">
        <v>45778</v>
      </c>
      <c r="B366" s="11"/>
      <c r="J366" s="1">
        <v>100</v>
      </c>
    </row>
    <row r="367" spans="1:10" x14ac:dyDescent="0.3">
      <c r="A367" s="2">
        <v>45809</v>
      </c>
      <c r="B367" s="11"/>
      <c r="J367" s="1">
        <v>100</v>
      </c>
    </row>
    <row r="368" spans="1:10" x14ac:dyDescent="0.3">
      <c r="A368" s="2">
        <v>45839</v>
      </c>
      <c r="B368" s="11"/>
      <c r="J368" s="1">
        <v>100</v>
      </c>
    </row>
    <row r="369" spans="1:10" x14ac:dyDescent="0.3">
      <c r="A369" s="2">
        <v>45870</v>
      </c>
      <c r="B369" s="11"/>
      <c r="J369" s="1">
        <v>100</v>
      </c>
    </row>
    <row r="370" spans="1:10" x14ac:dyDescent="0.3">
      <c r="A370" s="2">
        <v>45901</v>
      </c>
      <c r="B370" s="11"/>
      <c r="J370" s="1">
        <v>100</v>
      </c>
    </row>
    <row r="371" spans="1:10" x14ac:dyDescent="0.3">
      <c r="A371" s="2">
        <v>45931</v>
      </c>
      <c r="B371" s="11"/>
      <c r="C371" s="1"/>
      <c r="D371" s="1"/>
      <c r="E371" s="1"/>
      <c r="F371" s="1"/>
      <c r="G371" s="1"/>
      <c r="H371" s="1"/>
      <c r="I371" s="1"/>
      <c r="J371" s="1">
        <v>100</v>
      </c>
    </row>
    <row r="372" spans="1:10" x14ac:dyDescent="0.3">
      <c r="A372" s="2">
        <v>45962</v>
      </c>
      <c r="B372" s="11"/>
      <c r="J372" s="1">
        <v>100</v>
      </c>
    </row>
    <row r="373" spans="1:10" x14ac:dyDescent="0.3">
      <c r="A373" s="2">
        <v>45992</v>
      </c>
      <c r="B373" s="11"/>
      <c r="J373" s="1">
        <v>100</v>
      </c>
    </row>
    <row r="374" spans="1:10" x14ac:dyDescent="0.3">
      <c r="A374" s="2">
        <v>46023</v>
      </c>
      <c r="B374" s="11"/>
      <c r="J374" s="1">
        <v>100</v>
      </c>
    </row>
    <row r="375" spans="1:10" x14ac:dyDescent="0.3">
      <c r="A375" s="2">
        <v>46054</v>
      </c>
      <c r="B375" s="11"/>
      <c r="J375" s="1">
        <v>100</v>
      </c>
    </row>
    <row r="376" spans="1:10" x14ac:dyDescent="0.3">
      <c r="A376" s="2">
        <v>46082</v>
      </c>
      <c r="B376" s="11"/>
      <c r="J376" s="1">
        <v>100</v>
      </c>
    </row>
    <row r="377" spans="1:10" x14ac:dyDescent="0.3">
      <c r="A377" s="2">
        <v>46113</v>
      </c>
      <c r="B377" s="11"/>
      <c r="J377" s="1">
        <v>100</v>
      </c>
    </row>
    <row r="378" spans="1:10" x14ac:dyDescent="0.3">
      <c r="A378" s="2">
        <v>46143</v>
      </c>
      <c r="B378" s="11"/>
      <c r="J378" s="1">
        <v>100</v>
      </c>
    </row>
    <row r="379" spans="1:10" x14ac:dyDescent="0.3">
      <c r="A379" s="2">
        <v>46174</v>
      </c>
      <c r="B379" s="11"/>
      <c r="J379" s="1">
        <v>100</v>
      </c>
    </row>
    <row r="380" spans="1:10" x14ac:dyDescent="0.3">
      <c r="A380" s="2">
        <v>46204</v>
      </c>
      <c r="B380" s="11"/>
      <c r="J380" s="1">
        <v>100</v>
      </c>
    </row>
    <row r="381" spans="1:10" x14ac:dyDescent="0.3">
      <c r="A381" s="2">
        <v>46235</v>
      </c>
      <c r="B381" s="11"/>
      <c r="J381" s="1">
        <v>100</v>
      </c>
    </row>
    <row r="382" spans="1:10" x14ac:dyDescent="0.3">
      <c r="A382" s="2">
        <v>46266</v>
      </c>
      <c r="B382" s="11"/>
      <c r="J382" s="1">
        <v>100</v>
      </c>
    </row>
    <row r="383" spans="1:10" x14ac:dyDescent="0.3">
      <c r="A383" s="2">
        <v>46296</v>
      </c>
      <c r="B383" s="11"/>
      <c r="C383" s="1"/>
      <c r="D383" s="1"/>
      <c r="E383" s="1"/>
      <c r="F383" s="1"/>
      <c r="G383" s="1"/>
      <c r="H383" s="1"/>
      <c r="I383" s="1"/>
      <c r="J383" s="1">
        <v>100</v>
      </c>
    </row>
    <row r="384" spans="1:10" x14ac:dyDescent="0.3">
      <c r="A384" s="2">
        <v>46327</v>
      </c>
      <c r="B384" s="11"/>
      <c r="J384" s="1">
        <v>100</v>
      </c>
    </row>
    <row r="385" spans="1:10" x14ac:dyDescent="0.3">
      <c r="A385" s="2">
        <v>46357</v>
      </c>
      <c r="B385" s="11"/>
      <c r="J385" s="1">
        <v>100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2B33-00DE-444D-BD18-DE8ECB84F554}">
  <dimension ref="A1:AU442"/>
  <sheetViews>
    <sheetView topLeftCell="U1" zoomScale="55" zoomScaleNormal="55" workbookViewId="0">
      <selection activeCell="AN54" sqref="AN54"/>
    </sheetView>
  </sheetViews>
  <sheetFormatPr defaultRowHeight="14.4" x14ac:dyDescent="0.3"/>
  <cols>
    <col min="2" max="2" width="31.33203125" customWidth="1"/>
    <col min="4" max="4" width="11.109375" customWidth="1"/>
    <col min="38" max="38" width="14.77734375" customWidth="1"/>
    <col min="39" max="39" width="16.77734375" bestFit="1" customWidth="1"/>
    <col min="40" max="40" width="18.77734375" customWidth="1"/>
  </cols>
  <sheetData>
    <row r="1" spans="1:47" x14ac:dyDescent="0.3">
      <c r="A1" t="s">
        <v>24</v>
      </c>
      <c r="B1" t="s">
        <v>23</v>
      </c>
      <c r="C1" t="s">
        <v>22</v>
      </c>
      <c r="D1" t="s">
        <v>21</v>
      </c>
      <c r="O1" t="s">
        <v>7</v>
      </c>
      <c r="P1" t="s">
        <v>18</v>
      </c>
      <c r="Q1" t="s">
        <v>17</v>
      </c>
      <c r="R1" t="s">
        <v>6</v>
      </c>
      <c r="S1" t="s">
        <v>5</v>
      </c>
      <c r="T1" t="s">
        <v>4</v>
      </c>
      <c r="U1" t="s">
        <v>3</v>
      </c>
      <c r="V1" t="s">
        <v>2</v>
      </c>
      <c r="W1" t="s">
        <v>1</v>
      </c>
      <c r="X1" t="s">
        <v>0</v>
      </c>
      <c r="AA1" t="s">
        <v>17</v>
      </c>
      <c r="AB1" t="s">
        <v>6</v>
      </c>
      <c r="AC1" t="s">
        <v>5</v>
      </c>
      <c r="AD1" t="s">
        <v>4</v>
      </c>
      <c r="AE1" t="s">
        <v>3</v>
      </c>
      <c r="AF1" t="s">
        <v>2</v>
      </c>
      <c r="AG1" t="s">
        <v>1</v>
      </c>
      <c r="AH1" t="s">
        <v>0</v>
      </c>
      <c r="AJ1" t="s">
        <v>24</v>
      </c>
      <c r="AK1" t="s">
        <v>28</v>
      </c>
      <c r="AN1" t="s">
        <v>17</v>
      </c>
      <c r="AO1" t="s">
        <v>6</v>
      </c>
      <c r="AP1" t="s">
        <v>5</v>
      </c>
      <c r="AQ1" t="s">
        <v>4</v>
      </c>
      <c r="AR1" t="s">
        <v>3</v>
      </c>
      <c r="AS1" t="s">
        <v>2</v>
      </c>
      <c r="AT1" t="s">
        <v>1</v>
      </c>
      <c r="AU1" t="s">
        <v>0</v>
      </c>
    </row>
    <row r="2" spans="1:47" x14ac:dyDescent="0.3">
      <c r="A2" s="11">
        <v>33239</v>
      </c>
      <c r="B2">
        <v>4.63</v>
      </c>
      <c r="C2" t="s">
        <v>20</v>
      </c>
      <c r="D2" t="s">
        <v>20</v>
      </c>
      <c r="E2" s="11">
        <f t="shared" ref="E2:E65" si="0">A2</f>
        <v>33239</v>
      </c>
      <c r="I2" s="11">
        <f t="shared" ref="I2:I65" si="1">A2</f>
        <v>33239</v>
      </c>
      <c r="O2" s="11">
        <v>34700</v>
      </c>
      <c r="P2" s="19" cm="1">
        <f t="array" ref="P2">IF(OR($O2&lt;P$387,$O2&gt;P$388),"",IFERROR(IF($O2=P$387,100,P1)*INDEX($B$2:$B$428,MATCH($O2,$A$2:$A$428,0))/INDEX($B$2:$B$428,MATCH($O2,$A$2:$A$428,0)-1),""))</f>
        <v>99.147019550487485</v>
      </c>
      <c r="Q2" s="19" t="str" cm="1">
        <f t="array" ref="Q2">IF(OR($O2&lt;Q$387,$O2&gt;Q$388),"",IFERROR(IF($O2=Q$387,100,Q1)*INDEX($B$2:$B$428,MATCH($O2,$A$2:$A$428,0))/INDEX($B$2:$B$428,MATCH($O2,$A$2:$A$428,0)-1),""))</f>
        <v/>
      </c>
      <c r="R2" s="19" t="str" cm="1">
        <f t="array" ref="R2">IF(OR($O2&lt;R$387,$O2&gt;R$388),"",IFERROR(IF($O2=R$387,100,R1)*INDEX($B$2:$B$428,MATCH($O2,$A$2:$A$428,0))/INDEX($B$2:$B$428,MATCH($O2,$A$2:$A$428,0)-1),""))</f>
        <v/>
      </c>
      <c r="S2" s="19" t="str" cm="1">
        <f t="array" ref="S2">IF(OR($O2&lt;S$387,$O2&gt;S$388),"",IFERROR(IF($O2=S$387,100,S1)*INDEX($B$2:$B$428,MATCH($O2,$A$2:$A$428,0))/INDEX($B$2:$B$428,MATCH($O2,$A$2:$A$428,0)-1),""))</f>
        <v/>
      </c>
      <c r="T2" s="19" t="str" cm="1">
        <f t="array" ref="T2">IF(OR($O2&lt;T$387,$O2&gt;T$388),"",IFERROR(IF($O2=T$387,100,T1)*INDEX($B$2:$B$428,MATCH($O2,$A$2:$A$428,0))/INDEX($B$2:$B$428,MATCH($O2,$A$2:$A$428,0)-1),""))</f>
        <v/>
      </c>
      <c r="U2" s="19" t="str" cm="1">
        <f t="array" ref="U2">IF(OR($O2&lt;U$387,$O2&gt;U$388),"",IFERROR(IF($O2=U$387,100,U1)*INDEX($B$2:$B$428,MATCH($O2,$A$2:$A$428,0))/INDEX($B$2:$B$428,MATCH($O2,$A$2:$A$428,0)-1),""))</f>
        <v/>
      </c>
      <c r="V2" s="19" t="str" cm="1">
        <f t="array" ref="V2">IF(OR($O2&lt;V$387,$O2&gt;V$388),"",IFERROR(IF($O2=V$387,100,V1)*INDEX($B$2:$B$428,MATCH($O2,$A$2:$A$428,0))/INDEX($B$2:$B$428,MATCH($O2,$A$2:$A$428,0)-1),""))</f>
        <v/>
      </c>
      <c r="W2" s="19" t="str" cm="1">
        <f t="array" ref="W2">IF(OR($O2&lt;W$387,$O2&gt;W$388),"",IFERROR(IF($O2=W$387,100,W1)*INDEX($B$2:$B$428,MATCH($O2,$A$2:$A$428,0))/INDEX($B$2:$B$428,MATCH($O2,$A$2:$A$428,0)-1),""))</f>
        <v/>
      </c>
      <c r="X2" s="19" t="str" cm="1">
        <f t="array" ref="X2">IF(OR($O2&lt;X$387,$O2&gt;X$388),"",IFERROR(IF($O2=X$387,100,X1)*INDEX($B$2:$B$428,MATCH($O2,$A$2:$A$428,0))/INDEX($B$2:$B$428,MATCH($O2,$A$2:$A$428,0)-1),""))</f>
        <v/>
      </c>
      <c r="AA2" s="19" cm="1">
        <f t="array" ref="AA2">IF(EDATE(AA$387,ROW()-2)&gt;AA$388,"",IFERROR(IF(ROW()=2,100,AA1)*INDEX($D$2:$D$428,MATCH(EDATE(AA$387,ROW()-2),$A$2:$A$428,0))/INDEX($D$2:$D$428,MATCH(EDATE(AA$387,ROW()-2),$A$2:$A$428,0)-1),""))</f>
        <v>114.80601255797311</v>
      </c>
      <c r="AB2" s="19" cm="1">
        <f t="array" ref="AB2">IF(EDATE(AB$387,ROW()-2)&gt;AB$388,"",IFERROR(IF(ROW()=2,100,AB1)*INDEX($D$2:$D$428,MATCH(EDATE(AB$387,ROW()-2),$A$2:$A$428,0))/INDEX($D$2:$D$428,MATCH(EDATE(AB$387,ROW()-2),$A$2:$A$428,0)-1),""))</f>
        <v>102.67157023793682</v>
      </c>
      <c r="AC2" s="19" cm="1">
        <f t="array" ref="AC2">IF(EDATE(AC$387,ROW()-2)&gt;AC$388,"",IFERROR(IF(ROW()=2,100,AC1)*INDEX($D$2:$D$428,MATCH(EDATE(AC$387,ROW()-2),$A$2:$A$428,0))/INDEX($D$2:$D$428,MATCH(EDATE(AC$387,ROW()-2),$A$2:$A$428,0)-1),""))</f>
        <v>99.503128945892172</v>
      </c>
      <c r="AD2" s="19" cm="1">
        <f t="array" ref="AD2">IF(EDATE(AD$387,ROW()-2)&gt;AD$388,"",IFERROR(IF(ROW()=2,100,AD1)*INDEX($D$2:$D$428,MATCH(EDATE(AD$387,ROW()-2),$A$2:$A$428,0))/INDEX($D$2:$D$428,MATCH(EDATE(AD$387,ROW()-2),$A$2:$A$428,0)-1),""))</f>
        <v>96.984262581939987</v>
      </c>
      <c r="AE2" s="19" cm="1">
        <f t="array" ref="AE2">IF(EDATE(AE$387,ROW()-2)&gt;AE$388,"",IFERROR(IF(ROW()=2,100,AE1)*INDEX($D$2:$D$428,MATCH(EDATE(AE$387,ROW()-2),$A$2:$A$428,0))/INDEX($D$2:$D$428,MATCH(EDATE(AE$387,ROW()-2),$A$2:$A$428,0)-1),""))</f>
        <v>97.248538751298582</v>
      </c>
      <c r="AF2" s="19" cm="1">
        <f t="array" ref="AF2">IF(EDATE(AF$387,ROW()-2)&gt;AF$388,"",IFERROR(IF(ROW()=2,100,AF1)*INDEX($D$2:$D$428,MATCH(EDATE(AF$387,ROW()-2),$A$2:$A$428,0))/INDEX($D$2:$D$428,MATCH(EDATE(AF$387,ROW()-2),$A$2:$A$428,0)-1),""))</f>
        <v>102.2145675201768</v>
      </c>
      <c r="AG2" s="19" cm="1">
        <f t="array" ref="AG2">IF(EDATE(AG$387,ROW()-2)&gt;AG$388,"",IFERROR(IF(ROW()=2,100,AG1)*INDEX($D$2:$D$428,MATCH(EDATE(AG$387,ROW()-2),$A$2:$A$428,0))/INDEX($D$2:$D$428,MATCH(EDATE(AG$387,ROW()-2),$A$2:$A$428,0)-1),""))</f>
        <v>98.675768379151677</v>
      </c>
      <c r="AH2" s="19" cm="1">
        <f t="array" ref="AH2">IF(EDATE(AH$387,ROW()-2)&gt;AH$388,"",IFERROR(IF(ROW()=2,100,AH1)*INDEX($D$2:$D$428,MATCH(EDATE(AH$387,ROW()-2),$A$2:$A$428,0))/INDEX($D$2:$D$428,MATCH(EDATE(AH$387,ROW()-2),$A$2:$A$428,0)-1),""))</f>
        <v>97.727670794763426</v>
      </c>
      <c r="AJ2" s="11">
        <v>32874</v>
      </c>
      <c r="AK2">
        <v>0.7</v>
      </c>
      <c r="AN2" s="27">
        <f>IF(EDATE(AN$387,ROW()-2)&gt;AN$388,"",IFERROR((INDEX($AL$2:$AL$441,MATCH(EDATE(AN$387,ROW()-2),$AJ$2:$AJ$441,0))-INDEX($AL$2:$AL$441,MATCH(EDATE(AN$387,-1),$AJ$2:$AJ$441,0)))*100,""))</f>
        <v>7.3990042116346189</v>
      </c>
      <c r="AO2" s="27">
        <f t="shared" ref="AO2:AU17" si="2">IF(EDATE(AO$387,ROW()-2)&gt;AO$388,"",IFERROR((INDEX($AL$2:$AL$441,MATCH(EDATE(AO$387,ROW()-2),$AJ$2:$AJ$441,0))-INDEX($AL$2:$AL$441,MATCH(EDATE(AO$387,-1),$AJ$2:$AJ$441,0)))*100,""))</f>
        <v>1.3391610796084641</v>
      </c>
      <c r="AP2" s="27">
        <f t="shared" si="2"/>
        <v>-0.97987239658968717</v>
      </c>
      <c r="AQ2" s="27">
        <f t="shared" si="2"/>
        <v>-2.5486449481687101</v>
      </c>
      <c r="AR2" s="27">
        <f t="shared" si="2"/>
        <v>-1.9098735860428873</v>
      </c>
      <c r="AS2" s="27">
        <f t="shared" si="2"/>
        <v>1.2807898424486819</v>
      </c>
      <c r="AT2" s="27">
        <f t="shared" si="2"/>
        <v>-1.4212495076768583</v>
      </c>
      <c r="AU2" s="27">
        <f t="shared" si="2"/>
        <v>-2.6150073285657438</v>
      </c>
    </row>
    <row r="3" spans="1:47" x14ac:dyDescent="0.3">
      <c r="A3" s="11">
        <v>33270</v>
      </c>
      <c r="B3">
        <v>4.66</v>
      </c>
      <c r="C3" t="s">
        <v>20</v>
      </c>
      <c r="D3" t="s">
        <v>20</v>
      </c>
      <c r="E3" s="11">
        <f t="shared" si="0"/>
        <v>33270</v>
      </c>
      <c r="I3" s="11">
        <f t="shared" si="1"/>
        <v>33270</v>
      </c>
      <c r="O3" s="11">
        <v>34731</v>
      </c>
      <c r="P3" s="19" cm="1">
        <f t="array" ref="P3">IF(OR($O3&lt;P$387,$O3&gt;P$388),"",IFERROR(IF($O3=P$387,100,P2)*INDEX($B$2:$B$428,MATCH($O3,$A$2:$A$428,0))/INDEX($B$2:$B$428,MATCH($O3,$A$2:$A$428,0)-1),""))</f>
        <v>103.75395242223085</v>
      </c>
      <c r="Q3" s="19" t="str" cm="1">
        <f t="array" ref="Q3">IF(OR($O3&lt;Q$387,$O3&gt;Q$388),"",IFERROR(IF($O3=Q$387,100,Q2)*INDEX($B$2:$B$428,MATCH($O3,$A$2:$A$428,0))/INDEX($B$2:$B$428,MATCH($O3,$A$2:$A$428,0)-1),""))</f>
        <v/>
      </c>
      <c r="R3" s="19" t="str" cm="1">
        <f t="array" ref="R3">IF(OR($O3&lt;R$387,$O3&gt;R$388),"",IFERROR(IF($O3=R$387,100,R2)*INDEX($B$2:$B$428,MATCH($O3,$A$2:$A$428,0))/INDEX($B$2:$B$428,MATCH($O3,$A$2:$A$428,0)-1),""))</f>
        <v/>
      </c>
      <c r="S3" s="19" t="str" cm="1">
        <f t="array" ref="S3">IF(OR($O3&lt;S$387,$O3&gt;S$388),"",IFERROR(IF($O3=S$387,100,S2)*INDEX($B$2:$B$428,MATCH($O3,$A$2:$A$428,0))/INDEX($B$2:$B$428,MATCH($O3,$A$2:$A$428,0)-1),""))</f>
        <v/>
      </c>
      <c r="T3" s="19" t="str" cm="1">
        <f t="array" ref="T3">IF(OR($O3&lt;T$387,$O3&gt;T$388),"",IFERROR(IF($O3=T$387,100,T2)*INDEX($B$2:$B$428,MATCH($O3,$A$2:$A$428,0))/INDEX($B$2:$B$428,MATCH($O3,$A$2:$A$428,0)-1),""))</f>
        <v/>
      </c>
      <c r="U3" s="19" t="str" cm="1">
        <f t="array" ref="U3">IF(OR($O3&lt;U$387,$O3&gt;U$388),"",IFERROR(IF($O3=U$387,100,U2)*INDEX($B$2:$B$428,MATCH($O3,$A$2:$A$428,0))/INDEX($B$2:$B$428,MATCH($O3,$A$2:$A$428,0)-1),""))</f>
        <v/>
      </c>
      <c r="V3" s="19" t="str" cm="1">
        <f t="array" ref="V3">IF(OR($O3&lt;V$387,$O3&gt;V$388),"",IFERROR(IF($O3=V$387,100,V2)*INDEX($B$2:$B$428,MATCH($O3,$A$2:$A$428,0))/INDEX($B$2:$B$428,MATCH($O3,$A$2:$A$428,0)-1),""))</f>
        <v/>
      </c>
      <c r="W3" s="19" t="str" cm="1">
        <f t="array" ref="W3">IF(OR($O3&lt;W$387,$O3&gt;W$388),"",IFERROR(IF($O3=W$387,100,W2)*INDEX($B$2:$B$428,MATCH($O3,$A$2:$A$428,0))/INDEX($B$2:$B$428,MATCH($O3,$A$2:$A$428,0)-1),""))</f>
        <v/>
      </c>
      <c r="X3" s="19" t="str" cm="1">
        <f t="array" ref="X3">IF(OR($O3&lt;X$387,$O3&gt;X$388),"",IFERROR(IF($O3=X$387,100,X2)*INDEX($B$2:$B$428,MATCH($O3,$A$2:$A$428,0))/INDEX($B$2:$B$428,MATCH($O3,$A$2:$A$428,0)-1),""))</f>
        <v/>
      </c>
      <c r="AA3" s="19" cm="1">
        <f t="array" ref="AA3">IF(EDATE(AA$387,ROW()-2)&gt;AA$388,"",IFERROR(IF(ROW()=2,100,AA2)*INDEX($D$2:$D$428,MATCH(EDATE(AA$387,ROW()-2),$A$2:$A$428,0))/INDEX($D$2:$D$428,MATCH(EDATE(AA$387,ROW()-2),$A$2:$A$428,0)-1),""))</f>
        <v>117.37862527144573</v>
      </c>
      <c r="AB3" s="19" cm="1">
        <f t="array" ref="AB3">IF(EDATE(AB$387,ROW()-2)&gt;AB$388,"",IFERROR(IF(ROW()=2,100,AB2)*INDEX($D$2:$D$428,MATCH(EDATE(AB$387,ROW()-2),$A$2:$A$428,0))/INDEX($D$2:$D$428,MATCH(EDATE(AB$387,ROW()-2),$A$2:$A$428,0)-1),""))</f>
        <v>104.62642384454595</v>
      </c>
      <c r="AC3" s="19" cm="1">
        <f t="array" ref="AC3">IF(EDATE(AC$387,ROW()-2)&gt;AC$388,"",IFERROR(IF(ROW()=2,100,AC2)*INDEX($D$2:$D$428,MATCH(EDATE(AC$387,ROW()-2),$A$2:$A$428,0))/INDEX($D$2:$D$428,MATCH(EDATE(AC$387,ROW()-2),$A$2:$A$428,0)-1),""))</f>
        <v>102.21773058074139</v>
      </c>
      <c r="AD3" s="19" cm="1">
        <f t="array" ref="AD3">IF(EDATE(AD$387,ROW()-2)&gt;AD$388,"",IFERROR(IF(ROW()=2,100,AD2)*INDEX($D$2:$D$428,MATCH(EDATE(AD$387,ROW()-2),$A$2:$A$428,0))/INDEX($D$2:$D$428,MATCH(EDATE(AD$387,ROW()-2),$A$2:$A$428,0)-1),""))</f>
        <v>98.893977297416569</v>
      </c>
      <c r="AE3" s="19" cm="1">
        <f t="array" ref="AE3">IF(EDATE(AE$387,ROW()-2)&gt;AE$388,"",IFERROR(IF(ROW()=2,100,AE2)*INDEX($D$2:$D$428,MATCH(EDATE(AE$387,ROW()-2),$A$2:$A$428,0))/INDEX($D$2:$D$428,MATCH(EDATE(AE$387,ROW()-2),$A$2:$A$428,0)-1),""))</f>
        <v>100.33763204650077</v>
      </c>
      <c r="AF3" s="19" cm="1">
        <f t="array" ref="AF3">IF(EDATE(AF$387,ROW()-2)&gt;AF$388,"",IFERROR(IF(ROW()=2,100,AF2)*INDEX($D$2:$D$428,MATCH(EDATE(AF$387,ROW()-2),$A$2:$A$428,0))/INDEX($D$2:$D$428,MATCH(EDATE(AF$387,ROW()-2),$A$2:$A$428,0)-1),""))</f>
        <v>104.18338475568329</v>
      </c>
      <c r="AG3" s="19" cm="1">
        <f t="array" ref="AG3">IF(EDATE(AG$387,ROW()-2)&gt;AG$388,"",IFERROR(IF(ROW()=2,100,AG2)*INDEX($D$2:$D$428,MATCH(EDATE(AG$387,ROW()-2),$A$2:$A$428,0))/INDEX($D$2:$D$428,MATCH(EDATE(AG$387,ROW()-2),$A$2:$A$428,0)-1),""))</f>
        <v>100.33611878206543</v>
      </c>
      <c r="AH3" s="19" cm="1">
        <f t="array" ref="AH3">IF(EDATE(AH$387,ROW()-2)&gt;AH$388,"",IFERROR(IF(ROW()=2,100,AH2)*INDEX($D$2:$D$428,MATCH(EDATE(AH$387,ROW()-2),$A$2:$A$428,0))/INDEX($D$2:$D$428,MATCH(EDATE(AH$387,ROW()-2),$A$2:$A$428,0)-1),""))</f>
        <v>99.12893797746095</v>
      </c>
      <c r="AJ3" s="11">
        <v>32905</v>
      </c>
      <c r="AK3">
        <v>1.1000000000000001</v>
      </c>
      <c r="AN3" s="27">
        <f t="shared" ref="AN3:AU18" si="3">IF(EDATE(AN$387,ROW()-2)&gt;AN$388,"",IFERROR((INDEX($AL$2:$AL$441,MATCH(EDATE(AN$387,ROW()-2),$AJ$2:$AJ$441,0))-INDEX($AL$2:$AL$441,MATCH(EDATE(AN$387,-1),$AJ$2:$AJ$441,0)))*100,""))</f>
        <v>8.3986704756561341</v>
      </c>
      <c r="AO3" s="27">
        <f t="shared" si="2"/>
        <v>1.7817643121333937</v>
      </c>
      <c r="AP3" s="27">
        <f t="shared" si="2"/>
        <v>0.1028999099919381</v>
      </c>
      <c r="AQ3" s="27">
        <f t="shared" si="2"/>
        <v>-2.1210324046494256</v>
      </c>
      <c r="AR3" s="27">
        <f t="shared" si="2"/>
        <v>-0.14224503651254494</v>
      </c>
      <c r="AS3" s="27">
        <f t="shared" si="2"/>
        <v>2.2971152264105843</v>
      </c>
      <c r="AT3" s="27">
        <f t="shared" si="2"/>
        <v>-0.4656956407041557</v>
      </c>
      <c r="AU3" s="27">
        <f t="shared" si="2"/>
        <v>-2.065326719067484</v>
      </c>
    </row>
    <row r="4" spans="1:47" x14ac:dyDescent="0.3">
      <c r="A4" s="11">
        <v>33298</v>
      </c>
      <c r="B4">
        <v>4.93</v>
      </c>
      <c r="C4" t="s">
        <v>20</v>
      </c>
      <c r="D4" t="s">
        <v>20</v>
      </c>
      <c r="E4" s="11">
        <f t="shared" si="0"/>
        <v>33298</v>
      </c>
      <c r="I4" s="11">
        <f t="shared" si="1"/>
        <v>33298</v>
      </c>
      <c r="O4" s="11">
        <v>34759</v>
      </c>
      <c r="P4" s="19" cm="1">
        <f t="array" ref="P4">IF(OR($O4&lt;P$387,$O4&gt;P$388),"",IFERROR(IF($O4=P$387,100,P3)*INDEX($B$2:$B$428,MATCH($O4,$A$2:$A$428,0))/INDEX($B$2:$B$428,MATCH($O4,$A$2:$A$428,0)-1),""))</f>
        <v>108.29393125758604</v>
      </c>
      <c r="Q4" s="19" t="str" cm="1">
        <f t="array" ref="Q4">IF(OR($O4&lt;Q$387,$O4&gt;Q$388),"",IFERROR(IF($O4=Q$387,100,Q3)*INDEX($B$2:$B$428,MATCH($O4,$A$2:$A$428,0))/INDEX($B$2:$B$428,MATCH($O4,$A$2:$A$428,0)-1),""))</f>
        <v/>
      </c>
      <c r="R4" s="19" t="str" cm="1">
        <f t="array" ref="R4">IF(OR($O4&lt;R$387,$O4&gt;R$388),"",IFERROR(IF($O4=R$387,100,R3)*INDEX($B$2:$B$428,MATCH($O4,$A$2:$A$428,0))/INDEX($B$2:$B$428,MATCH($O4,$A$2:$A$428,0)-1),""))</f>
        <v/>
      </c>
      <c r="S4" s="19" t="str" cm="1">
        <f t="array" ref="S4">IF(OR($O4&lt;S$387,$O4&gt;S$388),"",IFERROR(IF($O4=S$387,100,S3)*INDEX($B$2:$B$428,MATCH($O4,$A$2:$A$428,0))/INDEX($B$2:$B$428,MATCH($O4,$A$2:$A$428,0)-1),""))</f>
        <v/>
      </c>
      <c r="T4" s="19" t="str" cm="1">
        <f t="array" ref="T4">IF(OR($O4&lt;T$387,$O4&gt;T$388),"",IFERROR(IF($O4=T$387,100,T3)*INDEX($B$2:$B$428,MATCH($O4,$A$2:$A$428,0))/INDEX($B$2:$B$428,MATCH($O4,$A$2:$A$428,0)-1),""))</f>
        <v/>
      </c>
      <c r="U4" s="19" t="str" cm="1">
        <f t="array" ref="U4">IF(OR($O4&lt;U$387,$O4&gt;U$388),"",IFERROR(IF($O4=U$387,100,U3)*INDEX($B$2:$B$428,MATCH($O4,$A$2:$A$428,0))/INDEX($B$2:$B$428,MATCH($O4,$A$2:$A$428,0)-1),""))</f>
        <v/>
      </c>
      <c r="V4" s="19" t="str" cm="1">
        <f t="array" ref="V4">IF(OR($O4&lt;V$387,$O4&gt;V$388),"",IFERROR(IF($O4=V$387,100,V3)*INDEX($B$2:$B$428,MATCH($O4,$A$2:$A$428,0))/INDEX($B$2:$B$428,MATCH($O4,$A$2:$A$428,0)-1),""))</f>
        <v/>
      </c>
      <c r="W4" s="19" t="str" cm="1">
        <f t="array" ref="W4">IF(OR($O4&lt;W$387,$O4&gt;W$388),"",IFERROR(IF($O4=W$387,100,W3)*INDEX($B$2:$B$428,MATCH($O4,$A$2:$A$428,0))/INDEX($B$2:$B$428,MATCH($O4,$A$2:$A$428,0)-1),""))</f>
        <v/>
      </c>
      <c r="X4" s="19" t="str" cm="1">
        <f t="array" ref="X4">IF(OR($O4&lt;X$387,$O4&gt;X$388),"",IFERROR(IF($O4=X$387,100,X3)*INDEX($B$2:$B$428,MATCH($O4,$A$2:$A$428,0))/INDEX($B$2:$B$428,MATCH($O4,$A$2:$A$428,0)-1),""))</f>
        <v/>
      </c>
      <c r="AA4" s="19" cm="1">
        <f t="array" ref="AA4">IF(EDATE(AA$387,ROW()-2)&gt;AA$388,"",IFERROR(IF(ROW()=2,100,AA3)*INDEX($D$2:$D$428,MATCH(EDATE(AA$387,ROW()-2),$A$2:$A$428,0))/INDEX($D$2:$D$428,MATCH(EDATE(AA$387,ROW()-2),$A$2:$A$428,0)-1),""))</f>
        <v>115.15893536799553</v>
      </c>
      <c r="AB4" s="19" cm="1">
        <f t="array" ref="AB4">IF(EDATE(AB$387,ROW()-2)&gt;AB$388,"",IFERROR(IF(ROW()=2,100,AB3)*INDEX($D$2:$D$428,MATCH(EDATE(AB$387,ROW()-2),$A$2:$A$428,0))/INDEX($D$2:$D$428,MATCH(EDATE(AB$387,ROW()-2),$A$2:$A$428,0)-1),""))</f>
        <v>103.70540743598579</v>
      </c>
      <c r="AC4" s="19" cm="1">
        <f t="array" ref="AC4">IF(EDATE(AC$387,ROW()-2)&gt;AC$388,"",IFERROR(IF(ROW()=2,100,AC3)*INDEX($D$2:$D$428,MATCH(EDATE(AC$387,ROW()-2),$A$2:$A$428,0))/INDEX($D$2:$D$428,MATCH(EDATE(AC$387,ROW()-2),$A$2:$A$428,0)-1),""))</f>
        <v>103.031782187285</v>
      </c>
      <c r="AD4" s="19" cm="1">
        <f t="array" ref="AD4">IF(EDATE(AD$387,ROW()-2)&gt;AD$388,"",IFERROR(IF(ROW()=2,100,AD3)*INDEX($D$2:$D$428,MATCH(EDATE(AD$387,ROW()-2),$A$2:$A$428,0))/INDEX($D$2:$D$428,MATCH(EDATE(AD$387,ROW()-2),$A$2:$A$428,0)-1),""))</f>
        <v>99.922875320370423</v>
      </c>
      <c r="AE4" s="19" cm="1">
        <f t="array" ref="AE4">IF(EDATE(AE$387,ROW()-2)&gt;AE$388,"",IFERROR(IF(ROW()=2,100,AE3)*INDEX($D$2:$D$428,MATCH(EDATE(AE$387,ROW()-2),$A$2:$A$428,0))/INDEX($D$2:$D$428,MATCH(EDATE(AE$387,ROW()-2),$A$2:$A$428,0)-1),""))</f>
        <v>104.99598114324085</v>
      </c>
      <c r="AF4" s="19" cm="1">
        <f t="array" ref="AF4">IF(EDATE(AF$387,ROW()-2)&gt;AF$388,"",IFERROR(IF(ROW()=2,100,AF3)*INDEX($D$2:$D$428,MATCH(EDATE(AF$387,ROW()-2),$A$2:$A$428,0))/INDEX($D$2:$D$428,MATCH(EDATE(AF$387,ROW()-2),$A$2:$A$428,0)-1),""))</f>
        <v>103.91462306546167</v>
      </c>
      <c r="AG4" s="19" cm="1">
        <f t="array" ref="AG4">IF(EDATE(AG$387,ROW()-2)&gt;AG$388,"",IFERROR(IF(ROW()=2,100,AG3)*INDEX($D$2:$D$428,MATCH(EDATE(AG$387,ROW()-2),$A$2:$A$428,0))/INDEX($D$2:$D$428,MATCH(EDATE(AG$387,ROW()-2),$A$2:$A$428,0)-1),""))</f>
        <v>101.17911711139841</v>
      </c>
      <c r="AH4" s="19" cm="1">
        <f t="array" ref="AH4">IF(EDATE(AH$387,ROW()-2)&gt;AH$388,"",IFERROR(IF(ROW()=2,100,AH3)*INDEX($D$2:$D$428,MATCH(EDATE(AH$387,ROW()-2),$A$2:$A$428,0))/INDEX($D$2:$D$428,MATCH(EDATE(AH$387,ROW()-2),$A$2:$A$428,0)-1),""))</f>
        <v>99.810961603364291</v>
      </c>
      <c r="AJ4" s="11">
        <v>32933</v>
      </c>
      <c r="AK4">
        <v>1.8</v>
      </c>
      <c r="AN4" s="27">
        <f t="shared" si="3"/>
        <v>6.8114129949711888</v>
      </c>
      <c r="AO4" s="27">
        <f t="shared" si="2"/>
        <v>1.0880691689507671E-2</v>
      </c>
      <c r="AP4" s="27">
        <f t="shared" si="2"/>
        <v>-0.10659930551711883</v>
      </c>
      <c r="AQ4" s="27">
        <f t="shared" si="2"/>
        <v>-2.0696684151187306</v>
      </c>
      <c r="AR4" s="27">
        <f t="shared" si="2"/>
        <v>2.296703620635876</v>
      </c>
      <c r="AS4" s="27">
        <f t="shared" si="2"/>
        <v>1.9290130252536453</v>
      </c>
      <c r="AT4" s="27">
        <f t="shared" si="2"/>
        <v>8.5219078573217644E-2</v>
      </c>
      <c r="AU4" s="27">
        <f t="shared" si="2"/>
        <v>-2.277167170078942</v>
      </c>
    </row>
    <row r="5" spans="1:47" x14ac:dyDescent="0.3">
      <c r="A5" s="11">
        <v>33329</v>
      </c>
      <c r="B5">
        <v>5.2</v>
      </c>
      <c r="C5" t="s">
        <v>20</v>
      </c>
      <c r="D5" t="s">
        <v>20</v>
      </c>
      <c r="E5" s="11">
        <f t="shared" si="0"/>
        <v>33329</v>
      </c>
      <c r="I5" s="11">
        <f t="shared" si="1"/>
        <v>33329</v>
      </c>
      <c r="O5" s="11">
        <v>34790</v>
      </c>
      <c r="P5" s="19" cm="1">
        <f t="array" ref="P5">IF(OR($O5&lt;P$387,$O5&gt;P$388),"",IFERROR(IF($O5=P$387,100,P4)*INDEX($B$2:$B$428,MATCH($O5,$A$2:$A$428,0))/INDEX($B$2:$B$428,MATCH($O5,$A$2:$A$428,0)-1),""))</f>
        <v>109.31172982162855</v>
      </c>
      <c r="Q5" s="19" t="str" cm="1">
        <f t="array" ref="Q5">IF(OR($O5&lt;Q$387,$O5&gt;Q$388),"",IFERROR(IF($O5=Q$387,100,Q4)*INDEX($B$2:$B$428,MATCH($O5,$A$2:$A$428,0))/INDEX($B$2:$B$428,MATCH($O5,$A$2:$A$428,0)-1),""))</f>
        <v/>
      </c>
      <c r="R5" s="19" t="str" cm="1">
        <f t="array" ref="R5">IF(OR($O5&lt;R$387,$O5&gt;R$388),"",IFERROR(IF($O5=R$387,100,R4)*INDEX($B$2:$B$428,MATCH($O5,$A$2:$A$428,0))/INDEX($B$2:$B$428,MATCH($O5,$A$2:$A$428,0)-1),""))</f>
        <v/>
      </c>
      <c r="S5" s="19" t="str" cm="1">
        <f t="array" ref="S5">IF(OR($O5&lt;S$387,$O5&gt;S$388),"",IFERROR(IF($O5=S$387,100,S4)*INDEX($B$2:$B$428,MATCH($O5,$A$2:$A$428,0))/INDEX($B$2:$B$428,MATCH($O5,$A$2:$A$428,0)-1),""))</f>
        <v/>
      </c>
      <c r="T5" s="19" t="str" cm="1">
        <f t="array" ref="T5">IF(OR($O5&lt;T$387,$O5&gt;T$388),"",IFERROR(IF($O5=T$387,100,T4)*INDEX($B$2:$B$428,MATCH($O5,$A$2:$A$428,0))/INDEX($B$2:$B$428,MATCH($O5,$A$2:$A$428,0)-1),""))</f>
        <v/>
      </c>
      <c r="U5" s="19" t="str" cm="1">
        <f t="array" ref="U5">IF(OR($O5&lt;U$387,$O5&gt;U$388),"",IFERROR(IF($O5=U$387,100,U4)*INDEX($B$2:$B$428,MATCH($O5,$A$2:$A$428,0))/INDEX($B$2:$B$428,MATCH($O5,$A$2:$A$428,0)-1),""))</f>
        <v/>
      </c>
      <c r="V5" s="19" t="str" cm="1">
        <f t="array" ref="V5">IF(OR($O5&lt;V$387,$O5&gt;V$388),"",IFERROR(IF($O5=V$387,100,V4)*INDEX($B$2:$B$428,MATCH($O5,$A$2:$A$428,0))/INDEX($B$2:$B$428,MATCH($O5,$A$2:$A$428,0)-1),""))</f>
        <v/>
      </c>
      <c r="W5" s="19" t="str" cm="1">
        <f t="array" ref="W5">IF(OR($O5&lt;W$387,$O5&gt;W$388),"",IFERROR(IF($O5=W$387,100,W4)*INDEX($B$2:$B$428,MATCH($O5,$A$2:$A$428,0))/INDEX($B$2:$B$428,MATCH($O5,$A$2:$A$428,0)-1),""))</f>
        <v/>
      </c>
      <c r="X5" s="19" t="str" cm="1">
        <f t="array" ref="X5">IF(OR($O5&lt;X$387,$O5&gt;X$388),"",IFERROR(IF($O5=X$387,100,X4)*INDEX($B$2:$B$428,MATCH($O5,$A$2:$A$428,0))/INDEX($B$2:$B$428,MATCH($O5,$A$2:$A$428,0)-1),""))</f>
        <v/>
      </c>
      <c r="AA5" s="19" cm="1">
        <f t="array" ref="AA5">IF(EDATE(AA$387,ROW()-2)&gt;AA$388,"",IFERROR(IF(ROW()=2,100,AA4)*INDEX($D$2:$D$428,MATCH(EDATE(AA$387,ROW()-2),$A$2:$A$428,0))/INDEX($D$2:$D$428,MATCH(EDATE(AA$387,ROW()-2),$A$2:$A$428,0)-1),""))</f>
        <v>119.12887423472981</v>
      </c>
      <c r="AB5" s="19" cm="1">
        <f t="array" ref="AB5">IF(EDATE(AB$387,ROW()-2)&gt;AB$388,"",IFERROR(IF(ROW()=2,100,AB4)*INDEX($D$2:$D$428,MATCH(EDATE(AB$387,ROW()-2),$A$2:$A$428,0))/INDEX($D$2:$D$428,MATCH(EDATE(AB$387,ROW()-2),$A$2:$A$428,0)-1),""))</f>
        <v>99.859035360447294</v>
      </c>
      <c r="AC5" s="19" cm="1">
        <f t="array" ref="AC5">IF(EDATE(AC$387,ROW()-2)&gt;AC$388,"",IFERROR(IF(ROW()=2,100,AC4)*INDEX($D$2:$D$428,MATCH(EDATE(AC$387,ROW()-2),$A$2:$A$428,0))/INDEX($D$2:$D$428,MATCH(EDATE(AC$387,ROW()-2),$A$2:$A$428,0)-1),""))</f>
        <v>102.94985931876661</v>
      </c>
      <c r="AD5" s="19" cm="1">
        <f t="array" ref="AD5">IF(EDATE(AD$387,ROW()-2)&gt;AD$388,"",IFERROR(IF(ROW()=2,100,AD4)*INDEX($D$2:$D$428,MATCH(EDATE(AD$387,ROW()-2),$A$2:$A$428,0))/INDEX($D$2:$D$428,MATCH(EDATE(AD$387,ROW()-2),$A$2:$A$428,0)-1),""))</f>
        <v>102.0259357285955</v>
      </c>
      <c r="AE5" s="19" cm="1">
        <f t="array" ref="AE5">IF(EDATE(AE$387,ROW()-2)&gt;AE$388,"",IFERROR(IF(ROW()=2,100,AE4)*INDEX($D$2:$D$428,MATCH(EDATE(AE$387,ROW()-2),$A$2:$A$428,0))/INDEX($D$2:$D$428,MATCH(EDATE(AE$387,ROW()-2),$A$2:$A$428,0)-1),""))</f>
        <v>104.92679579305153</v>
      </c>
      <c r="AF5" s="19" cm="1">
        <f t="array" ref="AF5">IF(EDATE(AF$387,ROW()-2)&gt;AF$388,"",IFERROR(IF(ROW()=2,100,AF4)*INDEX($D$2:$D$428,MATCH(EDATE(AF$387,ROW()-2),$A$2:$A$428,0))/INDEX($D$2:$D$428,MATCH(EDATE(AF$387,ROW()-2),$A$2:$A$428,0)-1),""))</f>
        <v>103.59585328243872</v>
      </c>
      <c r="AG5" s="19" cm="1">
        <f t="array" ref="AG5">IF(EDATE(AG$387,ROW()-2)&gt;AG$388,"",IFERROR(IF(ROW()=2,100,AG4)*INDEX($D$2:$D$428,MATCH(EDATE(AG$387,ROW()-2),$A$2:$A$428,0))/INDEX($D$2:$D$428,MATCH(EDATE(AG$387,ROW()-2),$A$2:$A$428,0)-1),""))</f>
        <v>101.03907223610098</v>
      </c>
      <c r="AH5" s="19" cm="1">
        <f t="array" ref="AH5">IF(EDATE(AH$387,ROW()-2)&gt;AH$388,"",IFERROR(IF(ROW()=2,100,AH4)*INDEX($D$2:$D$428,MATCH(EDATE(AH$387,ROW()-2),$A$2:$A$428,0))/INDEX($D$2:$D$428,MATCH(EDATE(AH$387,ROW()-2),$A$2:$A$428,0)-1),""))</f>
        <v>101.68450477103681</v>
      </c>
      <c r="AJ5" s="11">
        <v>32964</v>
      </c>
      <c r="AK5">
        <v>2.5</v>
      </c>
      <c r="AN5" s="27">
        <f t="shared" si="3"/>
        <v>8.4089712405908674</v>
      </c>
      <c r="AO5" s="27">
        <f t="shared" si="2"/>
        <v>-3.7775866554669357</v>
      </c>
      <c r="AP5" s="27">
        <f t="shared" si="2"/>
        <v>-0.93480355167006035</v>
      </c>
      <c r="AQ5" s="27">
        <f t="shared" si="2"/>
        <v>-1.4515228417050219</v>
      </c>
      <c r="AR5" s="27">
        <f t="shared" si="2"/>
        <v>2.0669178198283289</v>
      </c>
      <c r="AS5" s="27">
        <f t="shared" si="2"/>
        <v>1.3632366982059607</v>
      </c>
      <c r="AT5" s="27">
        <f t="shared" si="2"/>
        <v>-0.33733216645249753</v>
      </c>
      <c r="AU5" s="27">
        <f t="shared" si="2"/>
        <v>-1.3660648380299678</v>
      </c>
    </row>
    <row r="6" spans="1:47" x14ac:dyDescent="0.3">
      <c r="A6" s="11">
        <v>33359</v>
      </c>
      <c r="B6">
        <v>5.57</v>
      </c>
      <c r="C6" t="s">
        <v>20</v>
      </c>
      <c r="D6" t="s">
        <v>20</v>
      </c>
      <c r="E6" s="11">
        <f t="shared" si="0"/>
        <v>33359</v>
      </c>
      <c r="I6" s="11">
        <f t="shared" si="1"/>
        <v>33359</v>
      </c>
      <c r="O6" s="11">
        <v>34820</v>
      </c>
      <c r="P6" s="19" cm="1">
        <f t="array" ref="P6">IF(OR($O6&lt;P$387,$O6&gt;P$388),"",IFERROR(IF($O6=P$387,100,P5)*INDEX($B$2:$B$428,MATCH($O6,$A$2:$A$428,0))/INDEX($B$2:$B$428,MATCH($O6,$A$2:$A$428,0)-1),""))</f>
        <v>107.36157199814508</v>
      </c>
      <c r="Q6" s="19" t="str" cm="1">
        <f t="array" ref="Q6">IF(OR($O6&lt;Q$387,$O6&gt;Q$388),"",IFERROR(IF($O6=Q$387,100,Q5)*INDEX($B$2:$B$428,MATCH($O6,$A$2:$A$428,0))/INDEX($B$2:$B$428,MATCH($O6,$A$2:$A$428,0)-1),""))</f>
        <v/>
      </c>
      <c r="R6" s="19" t="str" cm="1">
        <f t="array" ref="R6">IF(OR($O6&lt;R$387,$O6&gt;R$388),"",IFERROR(IF($O6=R$387,100,R5)*INDEX($B$2:$B$428,MATCH($O6,$A$2:$A$428,0))/INDEX($B$2:$B$428,MATCH($O6,$A$2:$A$428,0)-1),""))</f>
        <v/>
      </c>
      <c r="S6" s="19" t="str" cm="1">
        <f t="array" ref="S6">IF(OR($O6&lt;S$387,$O6&gt;S$388),"",IFERROR(IF($O6=S$387,100,S5)*INDEX($B$2:$B$428,MATCH($O6,$A$2:$A$428,0))/INDEX($B$2:$B$428,MATCH($O6,$A$2:$A$428,0)-1),""))</f>
        <v/>
      </c>
      <c r="T6" s="19" t="str" cm="1">
        <f t="array" ref="T6">IF(OR($O6&lt;T$387,$O6&gt;T$388),"",IFERROR(IF($O6=T$387,100,T5)*INDEX($B$2:$B$428,MATCH($O6,$A$2:$A$428,0))/INDEX($B$2:$B$428,MATCH($O6,$A$2:$A$428,0)-1),""))</f>
        <v/>
      </c>
      <c r="U6" s="19" t="str" cm="1">
        <f t="array" ref="U6">IF(OR($O6&lt;U$387,$O6&gt;U$388),"",IFERROR(IF($O6=U$387,100,U5)*INDEX($B$2:$B$428,MATCH($O6,$A$2:$A$428,0))/INDEX($B$2:$B$428,MATCH($O6,$A$2:$A$428,0)-1),""))</f>
        <v/>
      </c>
      <c r="V6" s="19" t="str" cm="1">
        <f t="array" ref="V6">IF(OR($O6&lt;V$387,$O6&gt;V$388),"",IFERROR(IF($O6=V$387,100,V5)*INDEX($B$2:$B$428,MATCH($O6,$A$2:$A$428,0))/INDEX($B$2:$B$428,MATCH($O6,$A$2:$A$428,0)-1),""))</f>
        <v/>
      </c>
      <c r="W6" s="19" t="str" cm="1">
        <f t="array" ref="W6">IF(OR($O6&lt;W$387,$O6&gt;W$388),"",IFERROR(IF($O6=W$387,100,W5)*INDEX($B$2:$B$428,MATCH($O6,$A$2:$A$428,0))/INDEX($B$2:$B$428,MATCH($O6,$A$2:$A$428,0)-1),""))</f>
        <v/>
      </c>
      <c r="X6" s="19" t="str" cm="1">
        <f t="array" ref="X6">IF(OR($O6&lt;X$387,$O6&gt;X$388),"",IFERROR(IF($O6=X$387,100,X5)*INDEX($B$2:$B$428,MATCH($O6,$A$2:$A$428,0))/INDEX($B$2:$B$428,MATCH($O6,$A$2:$A$428,0)-1),""))</f>
        <v/>
      </c>
      <c r="AA6" s="19" cm="1">
        <f t="array" ref="AA6">IF(EDATE(AA$387,ROW()-2)&gt;AA$388,"",IFERROR(IF(ROW()=2,100,AA5)*INDEX($D$2:$D$428,MATCH(EDATE(AA$387,ROW()-2),$A$2:$A$428,0))/INDEX($D$2:$D$428,MATCH(EDATE(AA$387,ROW()-2),$A$2:$A$428,0)-1),""))</f>
        <v>111.05868520564874</v>
      </c>
      <c r="AB6" s="19" cm="1">
        <f t="array" ref="AB6">IF(EDATE(AB$387,ROW()-2)&gt;AB$388,"",IFERROR(IF(ROW()=2,100,AB5)*INDEX($D$2:$D$428,MATCH(EDATE(AB$387,ROW()-2),$A$2:$A$428,0))/INDEX($D$2:$D$428,MATCH(EDATE(AB$387,ROW()-2),$A$2:$A$428,0)-1),""))</f>
        <v>102.85896816969749</v>
      </c>
      <c r="AC6" s="19" cm="1">
        <f t="array" ref="AC6">IF(EDATE(AC$387,ROW()-2)&gt;AC$388,"",IFERROR(IF(ROW()=2,100,AC5)*INDEX($D$2:$D$428,MATCH(EDATE(AC$387,ROW()-2),$A$2:$A$428,0))/INDEX($D$2:$D$428,MATCH(EDATE(AC$387,ROW()-2),$A$2:$A$428,0)-1),""))</f>
        <v>104.65629716703806</v>
      </c>
      <c r="AD6" s="19" cm="1">
        <f t="array" ref="AD6">IF(EDATE(AD$387,ROW()-2)&gt;AD$388,"",IFERROR(IF(ROW()=2,100,AD5)*INDEX($D$2:$D$428,MATCH(EDATE(AD$387,ROW()-2),$A$2:$A$428,0))/INDEX($D$2:$D$428,MATCH(EDATE(AD$387,ROW()-2),$A$2:$A$428,0)-1),""))</f>
        <v>102.45476789164252</v>
      </c>
      <c r="AE6" s="19" cm="1">
        <f t="array" ref="AE6">IF(EDATE(AE$387,ROW()-2)&gt;AE$388,"",IFERROR(IF(ROW()=2,100,AE5)*INDEX($D$2:$D$428,MATCH(EDATE(AE$387,ROW()-2),$A$2:$A$428,0))/INDEX($D$2:$D$428,MATCH(EDATE(AE$387,ROW()-2),$A$2:$A$428,0)-1),""))</f>
        <v>106.18639142806329</v>
      </c>
      <c r="AF6" s="19" cm="1">
        <f t="array" ref="AF6">IF(EDATE(AF$387,ROW()-2)&gt;AF$388,"",IFERROR(IF(ROW()=2,100,AF5)*INDEX($D$2:$D$428,MATCH(EDATE(AF$387,ROW()-2),$A$2:$A$428,0))/INDEX($D$2:$D$428,MATCH(EDATE(AF$387,ROW()-2),$A$2:$A$428,0)-1),""))</f>
        <v>106.70506251293956</v>
      </c>
      <c r="AG6" s="19" cm="1">
        <f t="array" ref="AG6">IF(EDATE(AG$387,ROW()-2)&gt;AG$388,"",IFERROR(IF(ROW()=2,100,AG5)*INDEX($D$2:$D$428,MATCH(EDATE(AG$387,ROW()-2),$A$2:$A$428,0))/INDEX($D$2:$D$428,MATCH(EDATE(AG$387,ROW()-2),$A$2:$A$428,0)-1),""))</f>
        <v>100.77708466487084</v>
      </c>
      <c r="AH6" s="19" cm="1">
        <f t="array" ref="AH6">IF(EDATE(AH$387,ROW()-2)&gt;AH$388,"",IFERROR(IF(ROW()=2,100,AH5)*INDEX($D$2:$D$428,MATCH(EDATE(AH$387,ROW()-2),$A$2:$A$428,0))/INDEX($D$2:$D$428,MATCH(EDATE(AH$387,ROW()-2),$A$2:$A$428,0)-1),""))</f>
        <v>101.62746842317151</v>
      </c>
      <c r="AJ6" s="11">
        <v>32994</v>
      </c>
      <c r="AK6">
        <v>3.3</v>
      </c>
      <c r="AN6" s="27">
        <f t="shared" si="3"/>
        <v>4.1975080102198747</v>
      </c>
      <c r="AO6" s="27">
        <f t="shared" si="2"/>
        <v>-2.3827380974250523</v>
      </c>
      <c r="AP6" s="27">
        <f t="shared" si="2"/>
        <v>-0.61180882745965892</v>
      </c>
      <c r="AQ6" s="27">
        <f t="shared" si="2"/>
        <v>-1.9747525016159617</v>
      </c>
      <c r="AR6" s="27">
        <f t="shared" si="2"/>
        <v>2.7163943396640633</v>
      </c>
      <c r="AS6" s="27">
        <f t="shared" si="2"/>
        <v>3.23441881496217</v>
      </c>
      <c r="AT6" s="27">
        <f t="shared" si="2"/>
        <v>-1.1933668514829909</v>
      </c>
      <c r="AU6" s="27">
        <f t="shared" si="2"/>
        <v>-1.9641486178864409</v>
      </c>
    </row>
    <row r="7" spans="1:47" x14ac:dyDescent="0.3">
      <c r="A7" s="11">
        <v>33390</v>
      </c>
      <c r="B7">
        <v>6.12</v>
      </c>
      <c r="C7" t="s">
        <v>20</v>
      </c>
      <c r="D7" t="s">
        <v>20</v>
      </c>
      <c r="E7" s="11">
        <f t="shared" si="0"/>
        <v>33390</v>
      </c>
      <c r="I7" s="11">
        <f t="shared" si="1"/>
        <v>33390</v>
      </c>
      <c r="O7" s="11">
        <v>34851</v>
      </c>
      <c r="P7" s="19" cm="1">
        <f t="array" ref="P7">IF(OR($O7&lt;P$387,$O7&gt;P$388),"",IFERROR(IF($O7=P$387,100,P6)*INDEX($B$2:$B$428,MATCH($O7,$A$2:$A$428,0))/INDEX($B$2:$B$428,MATCH($O7,$A$2:$A$428,0)-1),""))</f>
        <v>115.21329979353308</v>
      </c>
      <c r="Q7" s="19" t="str" cm="1">
        <f t="array" ref="Q7">IF(OR($O7&lt;Q$387,$O7&gt;Q$388),"",IFERROR(IF($O7=Q$387,100,Q6)*INDEX($B$2:$B$428,MATCH($O7,$A$2:$A$428,0))/INDEX($B$2:$B$428,MATCH($O7,$A$2:$A$428,0)-1),""))</f>
        <v/>
      </c>
      <c r="R7" s="19" t="str" cm="1">
        <f t="array" ref="R7">IF(OR($O7&lt;R$387,$O7&gt;R$388),"",IFERROR(IF($O7=R$387,100,R6)*INDEX($B$2:$B$428,MATCH($O7,$A$2:$A$428,0))/INDEX($B$2:$B$428,MATCH($O7,$A$2:$A$428,0)-1),""))</f>
        <v/>
      </c>
      <c r="S7" s="19" t="str" cm="1">
        <f t="array" ref="S7">IF(OR($O7&lt;S$387,$O7&gt;S$388),"",IFERROR(IF($O7=S$387,100,S6)*INDEX($B$2:$B$428,MATCH($O7,$A$2:$A$428,0))/INDEX($B$2:$B$428,MATCH($O7,$A$2:$A$428,0)-1),""))</f>
        <v/>
      </c>
      <c r="T7" s="19" t="str" cm="1">
        <f t="array" ref="T7">IF(OR($O7&lt;T$387,$O7&gt;T$388),"",IFERROR(IF($O7=T$387,100,T6)*INDEX($B$2:$B$428,MATCH($O7,$A$2:$A$428,0))/INDEX($B$2:$B$428,MATCH($O7,$A$2:$A$428,0)-1),""))</f>
        <v/>
      </c>
      <c r="U7" s="19" t="str" cm="1">
        <f t="array" ref="U7">IF(OR($O7&lt;U$387,$O7&gt;U$388),"",IFERROR(IF($O7=U$387,100,U6)*INDEX($B$2:$B$428,MATCH($O7,$A$2:$A$428,0))/INDEX($B$2:$B$428,MATCH($O7,$A$2:$A$428,0)-1),""))</f>
        <v/>
      </c>
      <c r="V7" s="19" t="str" cm="1">
        <f t="array" ref="V7">IF(OR($O7&lt;V$387,$O7&gt;V$388),"",IFERROR(IF($O7=V$387,100,V6)*INDEX($B$2:$B$428,MATCH($O7,$A$2:$A$428,0))/INDEX($B$2:$B$428,MATCH($O7,$A$2:$A$428,0)-1),""))</f>
        <v/>
      </c>
      <c r="W7" s="19" t="str" cm="1">
        <f t="array" ref="W7">IF(OR($O7&lt;W$387,$O7&gt;W$388),"",IFERROR(IF($O7=W$387,100,W6)*INDEX($B$2:$B$428,MATCH($O7,$A$2:$A$428,0))/INDEX($B$2:$B$428,MATCH($O7,$A$2:$A$428,0)-1),""))</f>
        <v/>
      </c>
      <c r="X7" s="19" t="str" cm="1">
        <f t="array" ref="X7">IF(OR($O7&lt;X$387,$O7&gt;X$388),"",IFERROR(IF($O7=X$387,100,X6)*INDEX($B$2:$B$428,MATCH($O7,$A$2:$A$428,0))/INDEX($B$2:$B$428,MATCH($O7,$A$2:$A$428,0)-1),""))</f>
        <v/>
      </c>
      <c r="AA7" s="19" cm="1">
        <f t="array" ref="AA7">IF(EDATE(AA$387,ROW()-2)&gt;AA$388,"",IFERROR(IF(ROW()=2,100,AA6)*INDEX($D$2:$D$428,MATCH(EDATE(AA$387,ROW()-2),$A$2:$A$428,0))/INDEX($D$2:$D$428,MATCH(EDATE(AA$387,ROW()-2),$A$2:$A$428,0)-1),""))</f>
        <v>114.36854399392647</v>
      </c>
      <c r="AB7" s="19" cm="1">
        <f t="array" ref="AB7">IF(EDATE(AB$387,ROW()-2)&gt;AB$388,"",IFERROR(IF(ROW()=2,100,AB6)*INDEX($D$2:$D$428,MATCH(EDATE(AB$387,ROW()-2),$A$2:$A$428,0))/INDEX($D$2:$D$428,MATCH(EDATE(AB$387,ROW()-2),$A$2:$A$428,0)-1),""))</f>
        <v>103.31501699841229</v>
      </c>
      <c r="AC7" s="19" cm="1">
        <f t="array" ref="AC7">IF(EDATE(AC$387,ROW()-2)&gt;AC$388,"",IFERROR(IF(ROW()=2,100,AC6)*INDEX($D$2:$D$428,MATCH(EDATE(AC$387,ROW()-2),$A$2:$A$428,0))/INDEX($D$2:$D$428,MATCH(EDATE(AC$387,ROW()-2),$A$2:$A$428,0)-1),""))</f>
        <v>106.34786296065961</v>
      </c>
      <c r="AD7" s="19" cm="1">
        <f t="array" ref="AD7">IF(EDATE(AD$387,ROW()-2)&gt;AD$388,"",IFERROR(IF(ROW()=2,100,AD6)*INDEX($D$2:$D$428,MATCH(EDATE(AD$387,ROW()-2),$A$2:$A$428,0))/INDEX($D$2:$D$428,MATCH(EDATE(AD$387,ROW()-2),$A$2:$A$428,0)-1),""))</f>
        <v>104.70126506007458</v>
      </c>
      <c r="AE7" s="19" cm="1">
        <f t="array" ref="AE7">IF(EDATE(AE$387,ROW()-2)&gt;AE$388,"",IFERROR(IF(ROW()=2,100,AE6)*INDEX($D$2:$D$428,MATCH(EDATE(AE$387,ROW()-2),$A$2:$A$428,0))/INDEX($D$2:$D$428,MATCH(EDATE(AE$387,ROW()-2),$A$2:$A$428,0)-1),""))</f>
        <v>108.91254955953215</v>
      </c>
      <c r="AF7" s="19" cm="1">
        <f t="array" ref="AF7">IF(EDATE(AF$387,ROW()-2)&gt;AF$388,"",IFERROR(IF(ROW()=2,100,AF6)*INDEX($D$2:$D$428,MATCH(EDATE(AF$387,ROW()-2),$A$2:$A$428,0))/INDEX($D$2:$D$428,MATCH(EDATE(AF$387,ROW()-2),$A$2:$A$428,0)-1),""))</f>
        <v>106.58646058536182</v>
      </c>
      <c r="AG7" s="19" cm="1">
        <f t="array" ref="AG7">IF(EDATE(AG$387,ROW()-2)&gt;AG$388,"",IFERROR(IF(ROW()=2,100,AG6)*INDEX($D$2:$D$428,MATCH(EDATE(AG$387,ROW()-2),$A$2:$A$428,0))/INDEX($D$2:$D$428,MATCH(EDATE(AG$387,ROW()-2),$A$2:$A$428,0)-1),""))</f>
        <v>102.37137623424827</v>
      </c>
      <c r="AH7" s="19" cm="1">
        <f t="array" ref="AH7">IF(EDATE(AH$387,ROW()-2)&gt;AH$388,"",IFERROR(IF(ROW()=2,100,AH6)*INDEX($D$2:$D$428,MATCH(EDATE(AH$387,ROW()-2),$A$2:$A$428,0))/INDEX($D$2:$D$428,MATCH(EDATE(AH$387,ROW()-2),$A$2:$A$428,0)-1),""))</f>
        <v>103.87684449655437</v>
      </c>
      <c r="AJ7" s="11">
        <v>33025</v>
      </c>
      <c r="AK7">
        <v>4</v>
      </c>
      <c r="AN7" s="27">
        <f t="shared" si="3"/>
        <v>5.4928322163936283</v>
      </c>
      <c r="AO7" s="27">
        <f t="shared" si="2"/>
        <v>-2.7290731370597454</v>
      </c>
      <c r="AP7" s="27">
        <f t="shared" si="2"/>
        <v>-0.32313008657619546</v>
      </c>
      <c r="AQ7" s="27">
        <f t="shared" si="2"/>
        <v>-1.3514368286654976</v>
      </c>
      <c r="AR7" s="27">
        <f t="shared" si="2"/>
        <v>4.0338340168217695</v>
      </c>
      <c r="AS7" s="27">
        <f t="shared" si="2"/>
        <v>2.9327350356557647</v>
      </c>
      <c r="AT7" s="27">
        <f t="shared" si="2"/>
        <v>-2.4091328257069833E-2</v>
      </c>
      <c r="AU7" s="27">
        <f t="shared" si="2"/>
        <v>-0.64290952954904057</v>
      </c>
    </row>
    <row r="8" spans="1:47" x14ac:dyDescent="0.3">
      <c r="A8" s="11">
        <v>33420</v>
      </c>
      <c r="B8">
        <v>6.61</v>
      </c>
      <c r="C8" t="s">
        <v>20</v>
      </c>
      <c r="D8" t="s">
        <v>20</v>
      </c>
      <c r="E8" s="11">
        <f t="shared" si="0"/>
        <v>33420</v>
      </c>
      <c r="I8" s="11">
        <f t="shared" si="1"/>
        <v>33420</v>
      </c>
      <c r="O8" s="11">
        <v>34881</v>
      </c>
      <c r="P8" s="19" cm="1">
        <f t="array" ref="P8">IF(OR($O8&lt;P$387,$O8&gt;P$388),"",IFERROR(IF($O8=P$387,100,P7)*INDEX($B$2:$B$428,MATCH($O8,$A$2:$A$428,0))/INDEX($B$2:$B$428,MATCH($O8,$A$2:$A$428,0)-1),""))</f>
        <v>119.33291725024876</v>
      </c>
      <c r="Q8" s="19" t="str" cm="1">
        <f t="array" ref="Q8">IF(OR($O8&lt;Q$387,$O8&gt;Q$388),"",IFERROR(IF($O8=Q$387,100,Q7)*INDEX($B$2:$B$428,MATCH($O8,$A$2:$A$428,0))/INDEX($B$2:$B$428,MATCH($O8,$A$2:$A$428,0)-1),""))</f>
        <v/>
      </c>
      <c r="R8" s="19" t="str" cm="1">
        <f t="array" ref="R8">IF(OR($O8&lt;R$387,$O8&gt;R$388),"",IFERROR(IF($O8=R$387,100,R7)*INDEX($B$2:$B$428,MATCH($O8,$A$2:$A$428,0))/INDEX($B$2:$B$428,MATCH($O8,$A$2:$A$428,0)-1),""))</f>
        <v/>
      </c>
      <c r="S8" s="19" t="str" cm="1">
        <f t="array" ref="S8">IF(OR($O8&lt;S$387,$O8&gt;S$388),"",IFERROR(IF($O8=S$387,100,S7)*INDEX($B$2:$B$428,MATCH($O8,$A$2:$A$428,0))/INDEX($B$2:$B$428,MATCH($O8,$A$2:$A$428,0)-1),""))</f>
        <v/>
      </c>
      <c r="T8" s="19" t="str" cm="1">
        <f t="array" ref="T8">IF(OR($O8&lt;T$387,$O8&gt;T$388),"",IFERROR(IF($O8=T$387,100,T7)*INDEX($B$2:$B$428,MATCH($O8,$A$2:$A$428,0))/INDEX($B$2:$B$428,MATCH($O8,$A$2:$A$428,0)-1),""))</f>
        <v/>
      </c>
      <c r="U8" s="19" t="str" cm="1">
        <f t="array" ref="U8">IF(OR($O8&lt;U$387,$O8&gt;U$388),"",IFERROR(IF($O8=U$387,100,U7)*INDEX($B$2:$B$428,MATCH($O8,$A$2:$A$428,0))/INDEX($B$2:$B$428,MATCH($O8,$A$2:$A$428,0)-1),""))</f>
        <v/>
      </c>
      <c r="V8" s="19" t="str" cm="1">
        <f t="array" ref="V8">IF(OR($O8&lt;V$387,$O8&gt;V$388),"",IFERROR(IF($O8=V$387,100,V7)*INDEX($B$2:$B$428,MATCH($O8,$A$2:$A$428,0))/INDEX($B$2:$B$428,MATCH($O8,$A$2:$A$428,0)-1),""))</f>
        <v/>
      </c>
      <c r="W8" s="19" t="str" cm="1">
        <f t="array" ref="W8">IF(OR($O8&lt;W$387,$O8&gt;W$388),"",IFERROR(IF($O8=W$387,100,W7)*INDEX($B$2:$B$428,MATCH($O8,$A$2:$A$428,0))/INDEX($B$2:$B$428,MATCH($O8,$A$2:$A$428,0)-1),""))</f>
        <v/>
      </c>
      <c r="X8" s="19" t="str" cm="1">
        <f t="array" ref="X8">IF(OR($O8&lt;X$387,$O8&gt;X$388),"",IFERROR(IF($O8=X$387,100,X7)*INDEX($B$2:$B$428,MATCH($O8,$A$2:$A$428,0))/INDEX($B$2:$B$428,MATCH($O8,$A$2:$A$428,0)-1),""))</f>
        <v/>
      </c>
      <c r="AA8" s="19" cm="1">
        <f t="array" ref="AA8">IF(EDATE(AA$387,ROW()-2)&gt;AA$388,"",IFERROR(IF(ROW()=2,100,AA7)*INDEX($D$2:$D$428,MATCH(EDATE(AA$387,ROW()-2),$A$2:$A$428,0))/INDEX($D$2:$D$428,MATCH(EDATE(AA$387,ROW()-2),$A$2:$A$428,0)-1),""))</f>
        <v>115.29875239102574</v>
      </c>
      <c r="AB8" s="19" cm="1">
        <f t="array" ref="AB8">IF(EDATE(AB$387,ROW()-2)&gt;AB$388,"",IFERROR(IF(ROW()=2,100,AB7)*INDEX($D$2:$D$428,MATCH(EDATE(AB$387,ROW()-2),$A$2:$A$428,0))/INDEX($D$2:$D$428,MATCH(EDATE(AB$387,ROW()-2),$A$2:$A$428,0)-1),""))</f>
        <v>106.07118914669194</v>
      </c>
      <c r="AC8" s="19" cm="1">
        <f t="array" ref="AC8">IF(EDATE(AC$387,ROW()-2)&gt;AC$388,"",IFERROR(IF(ROW()=2,100,AC7)*INDEX($D$2:$D$428,MATCH(EDATE(AC$387,ROW()-2),$A$2:$A$428,0))/INDEX($D$2:$D$428,MATCH(EDATE(AC$387,ROW()-2),$A$2:$A$428,0)-1),""))</f>
        <v>103.9224241043034</v>
      </c>
      <c r="AD8" s="19" cm="1">
        <f t="array" ref="AD8">IF(EDATE(AD$387,ROW()-2)&gt;AD$388,"",IFERROR(IF(ROW()=2,100,AD7)*INDEX($D$2:$D$428,MATCH(EDATE(AD$387,ROW()-2),$A$2:$A$428,0))/INDEX($D$2:$D$428,MATCH(EDATE(AD$387,ROW()-2),$A$2:$A$428,0)-1),""))</f>
        <v>101.39213655465136</v>
      </c>
      <c r="AE8" s="19" cm="1">
        <f t="array" ref="AE8">IF(EDATE(AE$387,ROW()-2)&gt;AE$388,"",IFERROR(IF(ROW()=2,100,AE7)*INDEX($D$2:$D$428,MATCH(EDATE(AE$387,ROW()-2),$A$2:$A$428,0))/INDEX($D$2:$D$428,MATCH(EDATE(AE$387,ROW()-2),$A$2:$A$428,0)-1),""))</f>
        <v>109.35986738964836</v>
      </c>
      <c r="AF8" s="19" cm="1">
        <f t="array" ref="AF8">IF(EDATE(AF$387,ROW()-2)&gt;AF$388,"",IFERROR(IF(ROW()=2,100,AF7)*INDEX($D$2:$D$428,MATCH(EDATE(AF$387,ROW()-2),$A$2:$A$428,0))/INDEX($D$2:$D$428,MATCH(EDATE(AF$387,ROW()-2),$A$2:$A$428,0)-1),""))</f>
        <v>108.3454617678441</v>
      </c>
      <c r="AG8" s="19" cm="1">
        <f t="array" ref="AG8">IF(EDATE(AG$387,ROW()-2)&gt;AG$388,"",IFERROR(IF(ROW()=2,100,AG7)*INDEX($D$2:$D$428,MATCH(EDATE(AG$387,ROW()-2),$A$2:$A$428,0))/INDEX($D$2:$D$428,MATCH(EDATE(AG$387,ROW()-2),$A$2:$A$428,0)-1),""))</f>
        <v>101.80535258316125</v>
      </c>
      <c r="AH8" s="19" cm="1">
        <f t="array" ref="AH8">IF(EDATE(AH$387,ROW()-2)&gt;AH$388,"",IFERROR(IF(ROW()=2,100,AH7)*INDEX($D$2:$D$428,MATCH(EDATE(AH$387,ROW()-2),$A$2:$A$428,0))/INDEX($D$2:$D$428,MATCH(EDATE(AH$387,ROW()-2),$A$2:$A$428,0)-1),""))</f>
        <v>103.14071830087579</v>
      </c>
      <c r="AJ8" s="11">
        <v>33055</v>
      </c>
      <c r="AK8">
        <v>4.9000000000000004</v>
      </c>
      <c r="AN8" s="27">
        <f t="shared" si="3"/>
        <v>5.7152775348823459</v>
      </c>
      <c r="AO8" s="27">
        <f t="shared" si="2"/>
        <v>-1.6016355782758396</v>
      </c>
      <c r="AP8" s="27">
        <f t="shared" si="2"/>
        <v>-2.4509417366380681</v>
      </c>
      <c r="AQ8" s="27">
        <f t="shared" si="2"/>
        <v>-3.8238371384239689</v>
      </c>
      <c r="AR8" s="27">
        <f t="shared" si="2"/>
        <v>4.0791211258233373</v>
      </c>
      <c r="AS8" s="27">
        <f t="shared" si="2"/>
        <v>3.7697284242353635</v>
      </c>
      <c r="AT8" s="27">
        <f t="shared" si="2"/>
        <v>-0.96003622593846538</v>
      </c>
      <c r="AU8" s="27">
        <f t="shared" si="2"/>
        <v>-1.6412093198858835</v>
      </c>
    </row>
    <row r="9" spans="1:47" x14ac:dyDescent="0.3">
      <c r="A9" s="11">
        <v>33451</v>
      </c>
      <c r="B9">
        <v>7.51</v>
      </c>
      <c r="C9" t="s">
        <v>20</v>
      </c>
      <c r="D9" t="s">
        <v>20</v>
      </c>
      <c r="E9" s="11">
        <f t="shared" si="0"/>
        <v>33451</v>
      </c>
      <c r="I9" s="11">
        <f t="shared" si="1"/>
        <v>33451</v>
      </c>
      <c r="O9" s="11">
        <v>34912</v>
      </c>
      <c r="P9" s="19" cm="1">
        <f t="array" ref="P9">IF(OR($O9&lt;P$387,$O9&gt;P$388),"",IFERROR(IF($O9=P$387,100,P8)*INDEX($B$2:$B$428,MATCH($O9,$A$2:$A$428,0))/INDEX($B$2:$B$428,MATCH($O9,$A$2:$A$428,0)-1),""))</f>
        <v>119.17279260151822</v>
      </c>
      <c r="Q9" s="19" t="str" cm="1">
        <f t="array" ref="Q9">IF(OR($O9&lt;Q$387,$O9&gt;Q$388),"",IFERROR(IF($O9=Q$387,100,Q8)*INDEX($B$2:$B$428,MATCH($O9,$A$2:$A$428,0))/INDEX($B$2:$B$428,MATCH($O9,$A$2:$A$428,0)-1),""))</f>
        <v/>
      </c>
      <c r="R9" s="19" t="str" cm="1">
        <f t="array" ref="R9">IF(OR($O9&lt;R$387,$O9&gt;R$388),"",IFERROR(IF($O9=R$387,100,R8)*INDEX($B$2:$B$428,MATCH($O9,$A$2:$A$428,0))/INDEX($B$2:$B$428,MATCH($O9,$A$2:$A$428,0)-1),""))</f>
        <v/>
      </c>
      <c r="S9" s="19" t="str" cm="1">
        <f t="array" ref="S9">IF(OR($O9&lt;S$387,$O9&gt;S$388),"",IFERROR(IF($O9=S$387,100,S8)*INDEX($B$2:$B$428,MATCH($O9,$A$2:$A$428,0))/INDEX($B$2:$B$428,MATCH($O9,$A$2:$A$428,0)-1),""))</f>
        <v/>
      </c>
      <c r="T9" s="19" t="str" cm="1">
        <f t="array" ref="T9">IF(OR($O9&lt;T$387,$O9&gt;T$388),"",IFERROR(IF($O9=T$387,100,T8)*INDEX($B$2:$B$428,MATCH($O9,$A$2:$A$428,0))/INDEX($B$2:$B$428,MATCH($O9,$A$2:$A$428,0)-1),""))</f>
        <v/>
      </c>
      <c r="U9" s="19" t="str" cm="1">
        <f t="array" ref="U9">IF(OR($O9&lt;U$387,$O9&gt;U$388),"",IFERROR(IF($O9=U$387,100,U8)*INDEX($B$2:$B$428,MATCH($O9,$A$2:$A$428,0))/INDEX($B$2:$B$428,MATCH($O9,$A$2:$A$428,0)-1),""))</f>
        <v/>
      </c>
      <c r="V9" s="19" t="str" cm="1">
        <f t="array" ref="V9">IF(OR($O9&lt;V$387,$O9&gt;V$388),"",IFERROR(IF($O9=V$387,100,V8)*INDEX($B$2:$B$428,MATCH($O9,$A$2:$A$428,0))/INDEX($B$2:$B$428,MATCH($O9,$A$2:$A$428,0)-1),""))</f>
        <v/>
      </c>
      <c r="W9" s="19" t="str" cm="1">
        <f t="array" ref="W9">IF(OR($O9&lt;W$387,$O9&gt;W$388),"",IFERROR(IF($O9=W$387,100,W8)*INDEX($B$2:$B$428,MATCH($O9,$A$2:$A$428,0))/INDEX($B$2:$B$428,MATCH($O9,$A$2:$A$428,0)-1),""))</f>
        <v/>
      </c>
      <c r="X9" s="19" t="str" cm="1">
        <f t="array" ref="X9">IF(OR($O9&lt;X$387,$O9&gt;X$388),"",IFERROR(IF($O9=X$387,100,X8)*INDEX($B$2:$B$428,MATCH($O9,$A$2:$A$428,0))/INDEX($B$2:$B$428,MATCH($O9,$A$2:$A$428,0)-1),""))</f>
        <v/>
      </c>
      <c r="AA9" s="19" cm="1">
        <f t="array" ref="AA9">IF(EDATE(AA$387,ROW()-2)&gt;AA$388,"",IFERROR(IF(ROW()=2,100,AA8)*INDEX($D$2:$D$428,MATCH(EDATE(AA$387,ROW()-2),$A$2:$A$428,0))/INDEX($D$2:$D$428,MATCH(EDATE(AA$387,ROW()-2),$A$2:$A$428,0)-1),""))</f>
        <v>119.32530752803127</v>
      </c>
      <c r="AB9" s="19" cm="1">
        <f t="array" ref="AB9">IF(EDATE(AB$387,ROW()-2)&gt;AB$388,"",IFERROR(IF(ROW()=2,100,AB8)*INDEX($D$2:$D$428,MATCH(EDATE(AB$387,ROW()-2),$A$2:$A$428,0))/INDEX($D$2:$D$428,MATCH(EDATE(AB$387,ROW()-2),$A$2:$A$428,0)-1),""))</f>
        <v>106.87469412408595</v>
      </c>
      <c r="AC9" s="19" cm="1">
        <f t="array" ref="AC9">IF(EDATE(AC$387,ROW()-2)&gt;AC$388,"",IFERROR(IF(ROW()=2,100,AC8)*INDEX($D$2:$D$428,MATCH(EDATE(AC$387,ROW()-2),$A$2:$A$428,0))/INDEX($D$2:$D$428,MATCH(EDATE(AC$387,ROW()-2),$A$2:$A$428,0)-1),""))</f>
        <v>105.80493916431465</v>
      </c>
      <c r="AD9" s="19" cm="1">
        <f t="array" ref="AD9">IF(EDATE(AD$387,ROW()-2)&gt;AD$388,"",IFERROR(IF(ROW()=2,100,AD8)*INDEX($D$2:$D$428,MATCH(EDATE(AD$387,ROW()-2),$A$2:$A$428,0))/INDEX($D$2:$D$428,MATCH(EDATE(AD$387,ROW()-2),$A$2:$A$428,0)-1),""))</f>
        <v>103.28106034697345</v>
      </c>
      <c r="AE9" s="19" cm="1">
        <f t="array" ref="AE9">IF(EDATE(AE$387,ROW()-2)&gt;AE$388,"",IFERROR(IF(ROW()=2,100,AE8)*INDEX($D$2:$D$428,MATCH(EDATE(AE$387,ROW()-2),$A$2:$A$428,0))/INDEX($D$2:$D$428,MATCH(EDATE(AE$387,ROW()-2),$A$2:$A$428,0)-1),""))</f>
        <v>112.72449702816013</v>
      </c>
      <c r="AF9" s="19" cm="1">
        <f t="array" ref="AF9">IF(EDATE(AF$387,ROW()-2)&gt;AF$388,"",IFERROR(IF(ROW()=2,100,AF8)*INDEX($D$2:$D$428,MATCH(EDATE(AF$387,ROW()-2),$A$2:$A$428,0))/INDEX($D$2:$D$428,MATCH(EDATE(AF$387,ROW()-2),$A$2:$A$428,0)-1),""))</f>
        <v>112.79935161472301</v>
      </c>
      <c r="AG9" s="19" cm="1">
        <f t="array" ref="AG9">IF(EDATE(AG$387,ROW()-2)&gt;AG$388,"",IFERROR(IF(ROW()=2,100,AG8)*INDEX($D$2:$D$428,MATCH(EDATE(AG$387,ROW()-2),$A$2:$A$428,0))/INDEX($D$2:$D$428,MATCH(EDATE(AG$387,ROW()-2),$A$2:$A$428,0)-1),""))</f>
        <v>103.94621430564028</v>
      </c>
      <c r="AH9" s="19" cm="1">
        <f t="array" ref="AH9">IF(EDATE(AH$387,ROW()-2)&gt;AH$388,"",IFERROR(IF(ROW()=2,100,AH8)*INDEX($D$2:$D$428,MATCH(EDATE(AH$387,ROW()-2),$A$2:$A$428,0))/INDEX($D$2:$D$428,MATCH(EDATE(AH$387,ROW()-2),$A$2:$A$428,0)-1),""))</f>
        <v>104.7609136208102</v>
      </c>
      <c r="AJ9" s="11">
        <v>33086</v>
      </c>
      <c r="AK9">
        <v>5.9</v>
      </c>
      <c r="AN9" s="27">
        <f t="shared" si="3"/>
        <v>7.3516433447944447</v>
      </c>
      <c r="AO9" s="27">
        <f t="shared" si="2"/>
        <v>-1.8003246864352507</v>
      </c>
      <c r="AP9" s="27">
        <f t="shared" si="2"/>
        <v>-1.9296556367254691</v>
      </c>
      <c r="AQ9" s="27">
        <f t="shared" si="2"/>
        <v>-3.3303943302612882</v>
      </c>
      <c r="AR9" s="27">
        <f t="shared" si="2"/>
        <v>5.9030373037929351</v>
      </c>
      <c r="AS9" s="27">
        <f t="shared" si="2"/>
        <v>6.4481897599408917</v>
      </c>
      <c r="AT9" s="27">
        <f t="shared" si="2"/>
        <v>0.42913128316192095</v>
      </c>
      <c r="AU9" s="27">
        <f t="shared" si="2"/>
        <v>-0.80893002034527761</v>
      </c>
    </row>
    <row r="10" spans="1:47" x14ac:dyDescent="0.3">
      <c r="A10" s="11">
        <v>33482</v>
      </c>
      <c r="B10">
        <v>9.01</v>
      </c>
      <c r="C10" t="s">
        <v>20</v>
      </c>
      <c r="D10" t="s">
        <v>20</v>
      </c>
      <c r="E10" s="11">
        <f t="shared" si="0"/>
        <v>33482</v>
      </c>
      <c r="I10" s="11">
        <f t="shared" si="1"/>
        <v>33482</v>
      </c>
      <c r="O10" s="11">
        <v>34943</v>
      </c>
      <c r="P10" s="19" cm="1">
        <f t="array" ref="P10">IF(OR($O10&lt;P$387,$O10&gt;P$388),"",IFERROR(IF($O10=P$387,100,P9)*INDEX($B$2:$B$428,MATCH($O10,$A$2:$A$428,0))/INDEX($B$2:$B$428,MATCH($O10,$A$2:$A$428,0)-1),""))</f>
        <v>122.72945237886566</v>
      </c>
      <c r="Q10" s="19" t="str" cm="1">
        <f t="array" ref="Q10">IF(OR($O10&lt;Q$387,$O10&gt;Q$388),"",IFERROR(IF($O10=Q$387,100,Q9)*INDEX($B$2:$B$428,MATCH($O10,$A$2:$A$428,0))/INDEX($B$2:$B$428,MATCH($O10,$A$2:$A$428,0)-1),""))</f>
        <v/>
      </c>
      <c r="R10" s="19" t="str" cm="1">
        <f t="array" ref="R10">IF(OR($O10&lt;R$387,$O10&gt;R$388),"",IFERROR(IF($O10=R$387,100,R9)*INDEX($B$2:$B$428,MATCH($O10,$A$2:$A$428,0))/INDEX($B$2:$B$428,MATCH($O10,$A$2:$A$428,0)-1),""))</f>
        <v/>
      </c>
      <c r="S10" s="19" t="str" cm="1">
        <f t="array" ref="S10">IF(OR($O10&lt;S$387,$O10&gt;S$388),"",IFERROR(IF($O10=S$387,100,S9)*INDEX($B$2:$B$428,MATCH($O10,$A$2:$A$428,0))/INDEX($B$2:$B$428,MATCH($O10,$A$2:$A$428,0)-1),""))</f>
        <v/>
      </c>
      <c r="T10" s="19" t="str" cm="1">
        <f t="array" ref="T10">IF(OR($O10&lt;T$387,$O10&gt;T$388),"",IFERROR(IF($O10=T$387,100,T9)*INDEX($B$2:$B$428,MATCH($O10,$A$2:$A$428,0))/INDEX($B$2:$B$428,MATCH($O10,$A$2:$A$428,0)-1),""))</f>
        <v/>
      </c>
      <c r="U10" s="19" t="str" cm="1">
        <f t="array" ref="U10">IF(OR($O10&lt;U$387,$O10&gt;U$388),"",IFERROR(IF($O10=U$387,100,U9)*INDEX($B$2:$B$428,MATCH($O10,$A$2:$A$428,0))/INDEX($B$2:$B$428,MATCH($O10,$A$2:$A$428,0)-1),""))</f>
        <v/>
      </c>
      <c r="V10" s="19" t="str" cm="1">
        <f t="array" ref="V10">IF(OR($O10&lt;V$387,$O10&gt;V$388),"",IFERROR(IF($O10=V$387,100,V9)*INDEX($B$2:$B$428,MATCH($O10,$A$2:$A$428,0))/INDEX($B$2:$B$428,MATCH($O10,$A$2:$A$428,0)-1),""))</f>
        <v/>
      </c>
      <c r="W10" s="19" t="str" cm="1">
        <f t="array" ref="W10">IF(OR($O10&lt;W$387,$O10&gt;W$388),"",IFERROR(IF($O10=W$387,100,W9)*INDEX($B$2:$B$428,MATCH($O10,$A$2:$A$428,0))/INDEX($B$2:$B$428,MATCH($O10,$A$2:$A$428,0)-1),""))</f>
        <v/>
      </c>
      <c r="X10" s="19" t="str" cm="1">
        <f t="array" ref="X10">IF(OR($O10&lt;X$387,$O10&gt;X$388),"",IFERROR(IF($O10=X$387,100,X9)*INDEX($B$2:$B$428,MATCH($O10,$A$2:$A$428,0))/INDEX($B$2:$B$428,MATCH($O10,$A$2:$A$428,0)-1),""))</f>
        <v/>
      </c>
      <c r="AA10" s="19" cm="1">
        <f t="array" ref="AA10">IF(EDATE(AA$387,ROW()-2)&gt;AA$388,"",IFERROR(IF(ROW()=2,100,AA9)*INDEX($D$2:$D$428,MATCH(EDATE(AA$387,ROW()-2),$A$2:$A$428,0))/INDEX($D$2:$D$428,MATCH(EDATE(AA$387,ROW()-2),$A$2:$A$428,0)-1),""))</f>
        <v>121.81534268581214</v>
      </c>
      <c r="AB10" s="19" cm="1">
        <f t="array" ref="AB10">IF(EDATE(AB$387,ROW()-2)&gt;AB$388,"",IFERROR(IF(ROW()=2,100,AB9)*INDEX($D$2:$D$428,MATCH(EDATE(AB$387,ROW()-2),$A$2:$A$428,0))/INDEX($D$2:$D$428,MATCH(EDATE(AB$387,ROW()-2),$A$2:$A$428,0)-1),""))</f>
        <v>108.60738926651956</v>
      </c>
      <c r="AC10" s="19" cm="1">
        <f t="array" ref="AC10">IF(EDATE(AC$387,ROW()-2)&gt;AC$388,"",IFERROR(IF(ROW()=2,100,AC9)*INDEX($D$2:$D$428,MATCH(EDATE(AC$387,ROW()-2),$A$2:$A$428,0))/INDEX($D$2:$D$428,MATCH(EDATE(AC$387,ROW()-2),$A$2:$A$428,0)-1),""))</f>
        <v>106.32104983085317</v>
      </c>
      <c r="AD10" s="19" cm="1">
        <f t="array" ref="AD10">IF(EDATE(AD$387,ROW()-2)&gt;AD$388,"",IFERROR(IF(ROW()=2,100,AD9)*INDEX($D$2:$D$428,MATCH(EDATE(AD$387,ROW()-2),$A$2:$A$428,0))/INDEX($D$2:$D$428,MATCH(EDATE(AD$387,ROW()-2),$A$2:$A$428,0)-1),""))</f>
        <v>105.65129813223396</v>
      </c>
      <c r="AE10" s="19" cm="1">
        <f t="array" ref="AE10">IF(EDATE(AE$387,ROW()-2)&gt;AE$388,"",IFERROR(IF(ROW()=2,100,AE9)*INDEX($D$2:$D$428,MATCH(EDATE(AE$387,ROW()-2),$A$2:$A$428,0))/INDEX($D$2:$D$428,MATCH(EDATE(AE$387,ROW()-2),$A$2:$A$428,0)-1),""))</f>
        <v>116.50816650807006</v>
      </c>
      <c r="AF10" s="19" cm="1">
        <f t="array" ref="AF10">IF(EDATE(AF$387,ROW()-2)&gt;AF$388,"",IFERROR(IF(ROW()=2,100,AF9)*INDEX($D$2:$D$428,MATCH(EDATE(AF$387,ROW()-2),$A$2:$A$428,0))/INDEX($D$2:$D$428,MATCH(EDATE(AF$387,ROW()-2),$A$2:$A$428,0)-1),""))</f>
        <v>112.19391577135832</v>
      </c>
      <c r="AG10" s="19" cm="1">
        <f t="array" ref="AG10">IF(EDATE(AG$387,ROW()-2)&gt;AG$388,"",IFERROR(IF(ROW()=2,100,AG9)*INDEX($D$2:$D$428,MATCH(EDATE(AG$387,ROW()-2),$A$2:$A$428,0))/INDEX($D$2:$D$428,MATCH(EDATE(AG$387,ROW()-2),$A$2:$A$428,0)-1),""))</f>
        <v>105.56059427719056</v>
      </c>
      <c r="AH10" s="19" cm="1">
        <f t="array" ref="AH10">IF(EDATE(AH$387,ROW()-2)&gt;AH$388,"",IFERROR(IF(ROW()=2,100,AH9)*INDEX($D$2:$D$428,MATCH(EDATE(AH$387,ROW()-2),$A$2:$A$428,0))/INDEX($D$2:$D$428,MATCH(EDATE(AH$387,ROW()-2),$A$2:$A$428,0)-1),""))</f>
        <v>102.77064362313945</v>
      </c>
      <c r="AJ10" s="11">
        <v>33117</v>
      </c>
      <c r="AK10">
        <v>7</v>
      </c>
      <c r="AN10" s="27">
        <f t="shared" si="3"/>
        <v>8.2296191968616039</v>
      </c>
      <c r="AO10" s="27">
        <f t="shared" si="2"/>
        <v>-1.7463249067636633</v>
      </c>
      <c r="AP10" s="27">
        <f t="shared" si="2"/>
        <v>-2.1341965824810294</v>
      </c>
      <c r="AQ10" s="27">
        <f t="shared" si="2"/>
        <v>-2.4473754124898939</v>
      </c>
      <c r="AR10" s="27">
        <f t="shared" si="2"/>
        <v>8.0685119987687788</v>
      </c>
      <c r="AS10" s="27">
        <f t="shared" si="2"/>
        <v>5.6486570236062956</v>
      </c>
      <c r="AT10" s="27">
        <f t="shared" si="2"/>
        <v>1.2636172080800145</v>
      </c>
      <c r="AU10" s="27">
        <f t="shared" si="2"/>
        <v>-2.8235059986589151</v>
      </c>
    </row>
    <row r="11" spans="1:47" x14ac:dyDescent="0.3">
      <c r="A11" s="11">
        <v>33512</v>
      </c>
      <c r="B11">
        <v>11.95</v>
      </c>
      <c r="C11" t="s">
        <v>20</v>
      </c>
      <c r="D11" t="s">
        <v>20</v>
      </c>
      <c r="E11" s="11">
        <f t="shared" si="0"/>
        <v>33512</v>
      </c>
      <c r="I11" s="11">
        <f t="shared" si="1"/>
        <v>33512</v>
      </c>
      <c r="O11" s="11">
        <v>34973</v>
      </c>
      <c r="P11" s="19" cm="1">
        <f t="array" ref="P11">IF(OR($O11&lt;P$387,$O11&gt;P$388),"",IFERROR(IF($O11=P$387,100,P10)*INDEX($B$2:$B$428,MATCH($O11,$A$2:$A$428,0))/INDEX($B$2:$B$428,MATCH($O11,$A$2:$A$428,0)-1),""))</f>
        <v>127.00094674344103</v>
      </c>
      <c r="Q11" s="19" t="str" cm="1">
        <f t="array" ref="Q11">IF(OR($O11&lt;Q$387,$O11&gt;Q$388),"",IFERROR(IF($O11=Q$387,100,Q10)*INDEX($B$2:$B$428,MATCH($O11,$A$2:$A$428,0))/INDEX($B$2:$B$428,MATCH($O11,$A$2:$A$428,0)-1),""))</f>
        <v/>
      </c>
      <c r="R11" s="19" t="str" cm="1">
        <f t="array" ref="R11">IF(OR($O11&lt;R$387,$O11&gt;R$388),"",IFERROR(IF($O11=R$387,100,R10)*INDEX($B$2:$B$428,MATCH($O11,$A$2:$A$428,0))/INDEX($B$2:$B$428,MATCH($O11,$A$2:$A$428,0)-1),""))</f>
        <v/>
      </c>
      <c r="S11" s="19" t="str" cm="1">
        <f t="array" ref="S11">IF(OR($O11&lt;S$387,$O11&gt;S$388),"",IFERROR(IF($O11=S$387,100,S10)*INDEX($B$2:$B$428,MATCH($O11,$A$2:$A$428,0))/INDEX($B$2:$B$428,MATCH($O11,$A$2:$A$428,0)-1),""))</f>
        <v/>
      </c>
      <c r="T11" s="19" t="str" cm="1">
        <f t="array" ref="T11">IF(OR($O11&lt;T$387,$O11&gt;T$388),"",IFERROR(IF($O11=T$387,100,T10)*INDEX($B$2:$B$428,MATCH($O11,$A$2:$A$428,0))/INDEX($B$2:$B$428,MATCH($O11,$A$2:$A$428,0)-1),""))</f>
        <v/>
      </c>
      <c r="U11" s="19" t="str" cm="1">
        <f t="array" ref="U11">IF(OR($O11&lt;U$387,$O11&gt;U$388),"",IFERROR(IF($O11=U$387,100,U10)*INDEX($B$2:$B$428,MATCH($O11,$A$2:$A$428,0))/INDEX($B$2:$B$428,MATCH($O11,$A$2:$A$428,0)-1),""))</f>
        <v/>
      </c>
      <c r="V11" s="19" t="str" cm="1">
        <f t="array" ref="V11">IF(OR($O11&lt;V$387,$O11&gt;V$388),"",IFERROR(IF($O11=V$387,100,V10)*INDEX($B$2:$B$428,MATCH($O11,$A$2:$A$428,0))/INDEX($B$2:$B$428,MATCH($O11,$A$2:$A$428,0)-1),""))</f>
        <v/>
      </c>
      <c r="W11" s="19" t="str" cm="1">
        <f t="array" ref="W11">IF(OR($O11&lt;W$387,$O11&gt;W$388),"",IFERROR(IF($O11=W$387,100,W10)*INDEX($B$2:$B$428,MATCH($O11,$A$2:$A$428,0))/INDEX($B$2:$B$428,MATCH($O11,$A$2:$A$428,0)-1),""))</f>
        <v/>
      </c>
      <c r="X11" s="19" t="str" cm="1">
        <f t="array" ref="X11">IF(OR($O11&lt;X$387,$O11&gt;X$388),"",IFERROR(IF($O11=X$387,100,X10)*INDEX($B$2:$B$428,MATCH($O11,$A$2:$A$428,0))/INDEX($B$2:$B$428,MATCH($O11,$A$2:$A$428,0)-1),""))</f>
        <v/>
      </c>
      <c r="AA11" s="19" cm="1">
        <f t="array" ref="AA11">IF(EDATE(AA$387,ROW()-2)&gt;AA$388,"",IFERROR(IF(ROW()=2,100,AA10)*INDEX($D$2:$D$428,MATCH(EDATE(AA$387,ROW()-2),$A$2:$A$428,0))/INDEX($D$2:$D$428,MATCH(EDATE(AA$387,ROW()-2),$A$2:$A$428,0)-1),""))</f>
        <v>124.78266791137793</v>
      </c>
      <c r="AB11" s="19" cm="1">
        <f t="array" ref="AB11">IF(EDATE(AB$387,ROW()-2)&gt;AB$388,"",IFERROR(IF(ROW()=2,100,AB10)*INDEX($D$2:$D$428,MATCH(EDATE(AB$387,ROW()-2),$A$2:$A$428,0))/INDEX($D$2:$D$428,MATCH(EDATE(AB$387,ROW()-2),$A$2:$A$428,0)-1),""))</f>
        <v>108.7144195762562</v>
      </c>
      <c r="AC11" s="19" cm="1">
        <f t="array" ref="AC11">IF(EDATE(AC$387,ROW()-2)&gt;AC$388,"",IFERROR(IF(ROW()=2,100,AC10)*INDEX($D$2:$D$428,MATCH(EDATE(AC$387,ROW()-2),$A$2:$A$428,0))/INDEX($D$2:$D$428,MATCH(EDATE(AC$387,ROW()-2),$A$2:$A$428,0)-1),""))</f>
        <v>107.83250494292793</v>
      </c>
      <c r="AD11" s="19" cm="1">
        <f t="array" ref="AD11">IF(EDATE(AD$387,ROW()-2)&gt;AD$388,"",IFERROR(IF(ROW()=2,100,AD10)*INDEX($D$2:$D$428,MATCH(EDATE(AD$387,ROW()-2),$A$2:$A$428,0))/INDEX($D$2:$D$428,MATCH(EDATE(AD$387,ROW()-2),$A$2:$A$428,0)-1),""))</f>
        <v>106.20179923923523</v>
      </c>
      <c r="AE11" s="19" cm="1">
        <f t="array" ref="AE11">IF(EDATE(AE$387,ROW()-2)&gt;AE$388,"",IFERROR(IF(ROW()=2,100,AE10)*INDEX($D$2:$D$428,MATCH(EDATE(AE$387,ROW()-2),$A$2:$A$428,0))/INDEX($D$2:$D$428,MATCH(EDATE(AE$387,ROW()-2),$A$2:$A$428,0)-1),""))</f>
        <v>113.88604266264518</v>
      </c>
      <c r="AF11" s="19" cm="1">
        <f t="array" ref="AF11">IF(EDATE(AF$387,ROW()-2)&gt;AF$388,"",IFERROR(IF(ROW()=2,100,AF10)*INDEX($D$2:$D$428,MATCH(EDATE(AF$387,ROW()-2),$A$2:$A$428,0))/INDEX($D$2:$D$428,MATCH(EDATE(AF$387,ROW()-2),$A$2:$A$428,0)-1),""))</f>
        <v>114.63275944037451</v>
      </c>
      <c r="AG11" s="19" cm="1">
        <f t="array" ref="AG11">IF(EDATE(AG$387,ROW()-2)&gt;AG$388,"",IFERROR(IF(ROW()=2,100,AG10)*INDEX($D$2:$D$428,MATCH(EDATE(AG$387,ROW()-2),$A$2:$A$428,0))/INDEX($D$2:$D$428,MATCH(EDATE(AG$387,ROW()-2),$A$2:$A$428,0)-1),""))</f>
        <v>104.78164952830106</v>
      </c>
      <c r="AH11" s="19" cm="1">
        <f t="array" ref="AH11">IF(EDATE(AH$387,ROW()-2)&gt;AH$388,"",IFERROR(IF(ROW()=2,100,AH10)*INDEX($D$2:$D$428,MATCH(EDATE(AH$387,ROW()-2),$A$2:$A$428,0))/INDEX($D$2:$D$428,MATCH(EDATE(AH$387,ROW()-2),$A$2:$A$428,0)-1),""))</f>
        <v>103.94569408212516</v>
      </c>
      <c r="AJ11" s="11">
        <v>33147</v>
      </c>
      <c r="AK11">
        <v>8.3000000000000007</v>
      </c>
      <c r="AN11" s="27">
        <f t="shared" si="3"/>
        <v>9.1746851736894897</v>
      </c>
      <c r="AO11" s="27">
        <f t="shared" si="2"/>
        <v>-2.7902760979808927</v>
      </c>
      <c r="AP11" s="27">
        <f t="shared" si="2"/>
        <v>-1.8772115550294344</v>
      </c>
      <c r="AQ11" s="27">
        <f t="shared" si="2"/>
        <v>-2.5945518467300532</v>
      </c>
      <c r="AR11" s="27">
        <f t="shared" si="2"/>
        <v>6.369449077980482</v>
      </c>
      <c r="AS11" s="27">
        <f t="shared" si="2"/>
        <v>7.0563432571465912</v>
      </c>
      <c r="AT11" s="27">
        <f t="shared" si="2"/>
        <v>0.20141070579492437</v>
      </c>
      <c r="AU11" s="27">
        <f t="shared" si="2"/>
        <v>-2.4521098406051878</v>
      </c>
    </row>
    <row r="12" spans="1:47" x14ac:dyDescent="0.3">
      <c r="A12" s="11">
        <v>33543</v>
      </c>
      <c r="B12">
        <v>15.02</v>
      </c>
      <c r="C12" t="s">
        <v>20</v>
      </c>
      <c r="D12" t="s">
        <v>20</v>
      </c>
      <c r="E12" s="11">
        <f t="shared" si="0"/>
        <v>33543</v>
      </c>
      <c r="I12" s="11">
        <f t="shared" si="1"/>
        <v>33543</v>
      </c>
      <c r="O12" s="11">
        <v>35004</v>
      </c>
      <c r="P12" s="19" cm="1">
        <f t="array" ref="P12">IF(OR($O12&lt;P$387,$O12&gt;P$388),"",IFERROR(IF($O12=P$387,100,P11)*INDEX($B$2:$B$428,MATCH($O12,$A$2:$A$428,0))/INDEX($B$2:$B$428,MATCH($O12,$A$2:$A$428,0)-1),""))</f>
        <v>130.48993859154407</v>
      </c>
      <c r="Q12" s="19" t="str" cm="1">
        <f t="array" ref="Q12">IF(OR($O12&lt;Q$387,$O12&gt;Q$388),"",IFERROR(IF($O12=Q$387,100,Q11)*INDEX($B$2:$B$428,MATCH($O12,$A$2:$A$428,0))/INDEX($B$2:$B$428,MATCH($O12,$A$2:$A$428,0)-1),""))</f>
        <v/>
      </c>
      <c r="R12" s="19" t="str" cm="1">
        <f t="array" ref="R12">IF(OR($O12&lt;R$387,$O12&gt;R$388),"",IFERROR(IF($O12=R$387,100,R11)*INDEX($B$2:$B$428,MATCH($O12,$A$2:$A$428,0))/INDEX($B$2:$B$428,MATCH($O12,$A$2:$A$428,0)-1),""))</f>
        <v/>
      </c>
      <c r="S12" s="19" t="str" cm="1">
        <f t="array" ref="S12">IF(OR($O12&lt;S$387,$O12&gt;S$388),"",IFERROR(IF($O12=S$387,100,S11)*INDEX($B$2:$B$428,MATCH($O12,$A$2:$A$428,0))/INDEX($B$2:$B$428,MATCH($O12,$A$2:$A$428,0)-1),""))</f>
        <v/>
      </c>
      <c r="T12" s="19" t="str" cm="1">
        <f t="array" ref="T12">IF(OR($O12&lt;T$387,$O12&gt;T$388),"",IFERROR(IF($O12=T$387,100,T11)*INDEX($B$2:$B$428,MATCH($O12,$A$2:$A$428,0))/INDEX($B$2:$B$428,MATCH($O12,$A$2:$A$428,0)-1),""))</f>
        <v/>
      </c>
      <c r="U12" s="19" t="str" cm="1">
        <f t="array" ref="U12">IF(OR($O12&lt;U$387,$O12&gt;U$388),"",IFERROR(IF($O12=U$387,100,U11)*INDEX($B$2:$B$428,MATCH($O12,$A$2:$A$428,0))/INDEX($B$2:$B$428,MATCH($O12,$A$2:$A$428,0)-1),""))</f>
        <v/>
      </c>
      <c r="V12" s="19" t="str" cm="1">
        <f t="array" ref="V12">IF(OR($O12&lt;V$387,$O12&gt;V$388),"",IFERROR(IF($O12=V$387,100,V11)*INDEX($B$2:$B$428,MATCH($O12,$A$2:$A$428,0))/INDEX($B$2:$B$428,MATCH($O12,$A$2:$A$428,0)-1),""))</f>
        <v/>
      </c>
      <c r="W12" s="19" t="str" cm="1">
        <f t="array" ref="W12">IF(OR($O12&lt;W$387,$O12&gt;W$388),"",IFERROR(IF($O12=W$387,100,W11)*INDEX($B$2:$B$428,MATCH($O12,$A$2:$A$428,0))/INDEX($B$2:$B$428,MATCH($O12,$A$2:$A$428,0)-1),""))</f>
        <v/>
      </c>
      <c r="X12" s="19" t="str" cm="1">
        <f t="array" ref="X12">IF(OR($O12&lt;X$387,$O12&gt;X$388),"",IFERROR(IF($O12=X$387,100,X11)*INDEX($B$2:$B$428,MATCH($O12,$A$2:$A$428,0))/INDEX($B$2:$B$428,MATCH($O12,$A$2:$A$428,0)-1),""))</f>
        <v/>
      </c>
      <c r="AA12" s="19" cm="1">
        <f t="array" ref="AA12">IF(EDATE(AA$387,ROW()-2)&gt;AA$388,"",IFERROR(IF(ROW()=2,100,AA11)*INDEX($D$2:$D$428,MATCH(EDATE(AA$387,ROW()-2),$A$2:$A$428,0))/INDEX($D$2:$D$428,MATCH(EDATE(AA$387,ROW()-2),$A$2:$A$428,0)-1),""))</f>
        <v>126.62655420615425</v>
      </c>
      <c r="AB12" s="19" cm="1">
        <f t="array" ref="AB12">IF(EDATE(AB$387,ROW()-2)&gt;AB$388,"",IFERROR(IF(ROW()=2,100,AB11)*INDEX($D$2:$D$428,MATCH(EDATE(AB$387,ROW()-2),$A$2:$A$428,0))/INDEX($D$2:$D$428,MATCH(EDATE(AB$387,ROW()-2),$A$2:$A$428,0)-1),""))</f>
        <v>110.08545865419153</v>
      </c>
      <c r="AC12" s="19" cm="1">
        <f t="array" ref="AC12">IF(EDATE(AC$387,ROW()-2)&gt;AC$388,"",IFERROR(IF(ROW()=2,100,AC11)*INDEX($D$2:$D$428,MATCH(EDATE(AC$387,ROW()-2),$A$2:$A$428,0))/INDEX($D$2:$D$428,MATCH(EDATE(AC$387,ROW()-2),$A$2:$A$428,0)-1),""))</f>
        <v>109.50160589021766</v>
      </c>
      <c r="AD12" s="19" cm="1">
        <f t="array" ref="AD12">IF(EDATE(AD$387,ROW()-2)&gt;AD$388,"",IFERROR(IF(ROW()=2,100,AD11)*INDEX($D$2:$D$428,MATCH(EDATE(AD$387,ROW()-2),$A$2:$A$428,0))/INDEX($D$2:$D$428,MATCH(EDATE(AD$387,ROW()-2),$A$2:$A$428,0)-1),""))</f>
        <v>107.82847381227832</v>
      </c>
      <c r="AE12" s="19" cm="1">
        <f t="array" ref="AE12">IF(EDATE(AE$387,ROW()-2)&gt;AE$388,"",IFERROR(IF(ROW()=2,100,AE11)*INDEX($D$2:$D$428,MATCH(EDATE(AE$387,ROW()-2),$A$2:$A$428,0))/INDEX($D$2:$D$428,MATCH(EDATE(AE$387,ROW()-2),$A$2:$A$428,0)-1),""))</f>
        <v>116.23668034851991</v>
      </c>
      <c r="AF12" s="19" cm="1">
        <f t="array" ref="AF12">IF(EDATE(AF$387,ROW()-2)&gt;AF$388,"",IFERROR(IF(ROW()=2,100,AF11)*INDEX($D$2:$D$428,MATCH(EDATE(AF$387,ROW()-2),$A$2:$A$428,0))/INDEX($D$2:$D$428,MATCH(EDATE(AF$387,ROW()-2),$A$2:$A$428,0)-1),""))</f>
        <v>117.41290464192524</v>
      </c>
      <c r="AG12" s="19" cm="1">
        <f t="array" ref="AG12">IF(EDATE(AG$387,ROW()-2)&gt;AG$388,"",IFERROR(IF(ROW()=2,100,AG11)*INDEX($D$2:$D$428,MATCH(EDATE(AG$387,ROW()-2),$A$2:$A$428,0))/INDEX($D$2:$D$428,MATCH(EDATE(AG$387,ROW()-2),$A$2:$A$428,0)-1),""))</f>
        <v>107.18667837903783</v>
      </c>
      <c r="AH12" s="19" cm="1">
        <f t="array" ref="AH12">IF(EDATE(AH$387,ROW()-2)&gt;AH$388,"",IFERROR(IF(ROW()=2,100,AH11)*INDEX($D$2:$D$428,MATCH(EDATE(AH$387,ROW()-2),$A$2:$A$428,0))/INDEX($D$2:$D$428,MATCH(EDATE(AH$387,ROW()-2),$A$2:$A$428,0)-1),""))</f>
        <v>105.99490072917324</v>
      </c>
      <c r="AJ12" s="11">
        <v>33178</v>
      </c>
      <c r="AK12">
        <v>9.9</v>
      </c>
      <c r="AN12" s="27">
        <f t="shared" si="3"/>
        <v>9.3083882476634798</v>
      </c>
      <c r="AO12" s="27">
        <f t="shared" si="2"/>
        <v>-2.6871312573871431</v>
      </c>
      <c r="AP12" s="27">
        <f t="shared" si="2"/>
        <v>-1.4324730874525238</v>
      </c>
      <c r="AQ12" s="27">
        <f t="shared" si="2"/>
        <v>-2.1415609049584616</v>
      </c>
      <c r="AR12" s="27">
        <f t="shared" si="2"/>
        <v>7.5943760692191553</v>
      </c>
      <c r="AS12" s="27">
        <f t="shared" si="2"/>
        <v>8.5320991527627843</v>
      </c>
      <c r="AT12" s="27">
        <f t="shared" si="2"/>
        <v>1.79312816576922</v>
      </c>
      <c r="AU12" s="27">
        <f t="shared" si="2"/>
        <v>-1.4605312589346942</v>
      </c>
    </row>
    <row r="13" spans="1:47" x14ac:dyDescent="0.3">
      <c r="A13" s="11">
        <v>33573</v>
      </c>
      <c r="B13">
        <v>18.78</v>
      </c>
      <c r="C13" t="s">
        <v>20</v>
      </c>
      <c r="D13" t="s">
        <v>20</v>
      </c>
      <c r="E13" s="11">
        <f t="shared" si="0"/>
        <v>33573</v>
      </c>
      <c r="I13" s="11">
        <f t="shared" si="1"/>
        <v>33573</v>
      </c>
      <c r="O13" s="11">
        <v>35034</v>
      </c>
      <c r="P13" s="19" cm="1">
        <f t="array" ref="P13">IF(OR($O13&lt;P$387,$O13&gt;P$388),"",IFERROR(IF($O13=P$387,100,P12)*INDEX($B$2:$B$428,MATCH($O13,$A$2:$A$428,0))/INDEX($B$2:$B$428,MATCH($O13,$A$2:$A$428,0)-1),""))</f>
        <v>137.32002495283371</v>
      </c>
      <c r="Q13" s="19" t="str" cm="1">
        <f t="array" ref="Q13">IF(OR($O13&lt;Q$387,$O13&gt;Q$388),"",IFERROR(IF($O13=Q$387,100,Q12)*INDEX($B$2:$B$428,MATCH($O13,$A$2:$A$428,0))/INDEX($B$2:$B$428,MATCH($O13,$A$2:$A$428,0)-1),""))</f>
        <v/>
      </c>
      <c r="R13" s="19" t="str" cm="1">
        <f t="array" ref="R13">IF(OR($O13&lt;R$387,$O13&gt;R$388),"",IFERROR(IF($O13=R$387,100,R12)*INDEX($B$2:$B$428,MATCH($O13,$A$2:$A$428,0))/INDEX($B$2:$B$428,MATCH($O13,$A$2:$A$428,0)-1),""))</f>
        <v/>
      </c>
      <c r="S13" s="19" t="str" cm="1">
        <f t="array" ref="S13">IF(OR($O13&lt;S$387,$O13&gt;S$388),"",IFERROR(IF($O13=S$387,100,S12)*INDEX($B$2:$B$428,MATCH($O13,$A$2:$A$428,0))/INDEX($B$2:$B$428,MATCH($O13,$A$2:$A$428,0)-1),""))</f>
        <v/>
      </c>
      <c r="T13" s="19" t="str" cm="1">
        <f t="array" ref="T13">IF(OR($O13&lt;T$387,$O13&gt;T$388),"",IFERROR(IF($O13=T$387,100,T12)*INDEX($B$2:$B$428,MATCH($O13,$A$2:$A$428,0))/INDEX($B$2:$B$428,MATCH($O13,$A$2:$A$428,0)-1),""))</f>
        <v/>
      </c>
      <c r="U13" s="19" t="str" cm="1">
        <f t="array" ref="U13">IF(OR($O13&lt;U$387,$O13&gt;U$388),"",IFERROR(IF($O13=U$387,100,U12)*INDEX($B$2:$B$428,MATCH($O13,$A$2:$A$428,0))/INDEX($B$2:$B$428,MATCH($O13,$A$2:$A$428,0)-1),""))</f>
        <v/>
      </c>
      <c r="V13" s="19" t="str" cm="1">
        <f t="array" ref="V13">IF(OR($O13&lt;V$387,$O13&gt;V$388),"",IFERROR(IF($O13=V$387,100,V12)*INDEX($B$2:$B$428,MATCH($O13,$A$2:$A$428,0))/INDEX($B$2:$B$428,MATCH($O13,$A$2:$A$428,0)-1),""))</f>
        <v/>
      </c>
      <c r="W13" s="19" t="str" cm="1">
        <f t="array" ref="W13">IF(OR($O13&lt;W$387,$O13&gt;W$388),"",IFERROR(IF($O13=W$387,100,W12)*INDEX($B$2:$B$428,MATCH($O13,$A$2:$A$428,0))/INDEX($B$2:$B$428,MATCH($O13,$A$2:$A$428,0)-1),""))</f>
        <v/>
      </c>
      <c r="X13" s="19" t="str" cm="1">
        <f t="array" ref="X13">IF(OR($O13&lt;X$387,$O13&gt;X$388),"",IFERROR(IF($O13=X$387,100,X12)*INDEX($B$2:$B$428,MATCH($O13,$A$2:$A$428,0))/INDEX($B$2:$B$428,MATCH($O13,$A$2:$A$428,0)-1),""))</f>
        <v/>
      </c>
      <c r="AA13" s="19" cm="1">
        <f t="array" ref="AA13">IF(EDATE(AA$387,ROW()-2)&gt;AA$388,"",IFERROR(IF(ROW()=2,100,AA12)*INDEX($D$2:$D$428,MATCH(EDATE(AA$387,ROW()-2),$A$2:$A$428,0))/INDEX($D$2:$D$428,MATCH(EDATE(AA$387,ROW()-2),$A$2:$A$428,0)-1),""))</f>
        <v>122.48458928315614</v>
      </c>
      <c r="AB13" s="19" cm="1">
        <f t="array" ref="AB13">IF(EDATE(AB$387,ROW()-2)&gt;AB$388,"",IFERROR(IF(ROW()=2,100,AB12)*INDEX($D$2:$D$428,MATCH(EDATE(AB$387,ROW()-2),$A$2:$A$428,0))/INDEX($D$2:$D$428,MATCH(EDATE(AB$387,ROW()-2),$A$2:$A$428,0)-1),""))</f>
        <v>108.44520728522855</v>
      </c>
      <c r="AC13" s="19" cm="1">
        <f t="array" ref="AC13">IF(EDATE(AC$387,ROW()-2)&gt;AC$388,"",IFERROR(IF(ROW()=2,100,AC12)*INDEX($D$2:$D$428,MATCH(EDATE(AC$387,ROW()-2),$A$2:$A$428,0))/INDEX($D$2:$D$428,MATCH(EDATE(AC$387,ROW()-2),$A$2:$A$428,0)-1),""))</f>
        <v>110.14857881610091</v>
      </c>
      <c r="AD13" s="19" cm="1">
        <f t="array" ref="AD13">IF(EDATE(AD$387,ROW()-2)&gt;AD$388,"",IFERROR(IF(ROW()=2,100,AD12)*INDEX($D$2:$D$428,MATCH(EDATE(AD$387,ROW()-2),$A$2:$A$428,0))/INDEX($D$2:$D$428,MATCH(EDATE(AD$387,ROW()-2),$A$2:$A$428,0)-1),""))</f>
        <v>109.37751629834843</v>
      </c>
      <c r="AE13" s="19" cm="1">
        <f t="array" ref="AE13">IF(EDATE(AE$387,ROW()-2)&gt;AE$388,"",IFERROR(IF(ROW()=2,100,AE12)*INDEX($D$2:$D$428,MATCH(EDATE(AE$387,ROW()-2),$A$2:$A$428,0))/INDEX($D$2:$D$428,MATCH(EDATE(AE$387,ROW()-2),$A$2:$A$428,0)-1),""))</f>
        <v>120.77979972338386</v>
      </c>
      <c r="AF13" s="19" cm="1">
        <f t="array" ref="AF13">IF(EDATE(AF$387,ROW()-2)&gt;AF$388,"",IFERROR(IF(ROW()=2,100,AF12)*INDEX($D$2:$D$428,MATCH(EDATE(AF$387,ROW()-2),$A$2:$A$428,0))/INDEX($D$2:$D$428,MATCH(EDATE(AF$387,ROW()-2),$A$2:$A$428,0)-1),""))</f>
        <v>117.99681243463291</v>
      </c>
      <c r="AG13" s="19" cm="1">
        <f t="array" ref="AG13">IF(EDATE(AG$387,ROW()-2)&gt;AG$388,"",IFERROR(IF(ROW()=2,100,AG12)*INDEX($D$2:$D$428,MATCH(EDATE(AG$387,ROW()-2),$A$2:$A$428,0))/INDEX($D$2:$D$428,MATCH(EDATE(AG$387,ROW()-2),$A$2:$A$428,0)-1),""))</f>
        <v>108.41028863279907</v>
      </c>
      <c r="AH13" s="19" cm="1">
        <f t="array" ref="AH13">IF(EDATE(AH$387,ROW()-2)&gt;AH$388,"",IFERROR(IF(ROW()=2,100,AH12)*INDEX($D$2:$D$428,MATCH(EDATE(AH$387,ROW()-2),$A$2:$A$428,0))/INDEX($D$2:$D$428,MATCH(EDATE(AH$387,ROW()-2),$A$2:$A$428,0)-1),""))</f>
        <v>108.64819251955325</v>
      </c>
      <c r="AJ13" s="11">
        <v>33208</v>
      </c>
      <c r="AK13">
        <v>11.5</v>
      </c>
      <c r="AN13" s="27">
        <f t="shared" si="3"/>
        <v>6.5118309073724401</v>
      </c>
      <c r="AO13" s="27">
        <f t="shared" si="2"/>
        <v>-4.5814255074868582</v>
      </c>
      <c r="AP13" s="27">
        <f t="shared" si="2"/>
        <v>-1.5741609990893579</v>
      </c>
      <c r="AQ13" s="27">
        <f t="shared" si="2"/>
        <v>-1.7994922873968977</v>
      </c>
      <c r="AR13" s="27">
        <f t="shared" si="2"/>
        <v>10.11252735940278</v>
      </c>
      <c r="AS13" s="27">
        <f t="shared" si="2"/>
        <v>8.7100903773182026</v>
      </c>
      <c r="AT13" s="27">
        <f t="shared" si="2"/>
        <v>2.3414350288974983</v>
      </c>
      <c r="AU13" s="27">
        <f t="shared" si="2"/>
        <v>6.1683442112048237E-2</v>
      </c>
    </row>
    <row r="14" spans="1:47" x14ac:dyDescent="0.3">
      <c r="A14" s="11">
        <v>33604</v>
      </c>
      <c r="B14">
        <v>22.68</v>
      </c>
      <c r="C14" t="s">
        <v>20</v>
      </c>
      <c r="D14" t="s">
        <v>20</v>
      </c>
      <c r="E14" s="11">
        <f t="shared" si="0"/>
        <v>33604</v>
      </c>
      <c r="F14" s="9">
        <f t="shared" ref="F14:F77" si="4">B14/B2-1</f>
        <v>3.8984881209503239</v>
      </c>
      <c r="G14" s="9" t="e">
        <f t="shared" ref="G14:G77" si="5">C14/C2-1</f>
        <v>#VALUE!</v>
      </c>
      <c r="H14" s="9" t="e">
        <f t="shared" ref="H14:H77" si="6">D14/D2-1</f>
        <v>#VALUE!</v>
      </c>
      <c r="I14" s="11">
        <f t="shared" si="1"/>
        <v>33604</v>
      </c>
      <c r="O14" s="11">
        <v>35065</v>
      </c>
      <c r="P14" s="19" cm="1">
        <f t="array" ref="P14">IF(OR($O14&lt;P$387,$O14&gt;P$388),"",IFERROR(IF($O14=P$387,100,P13)*INDEX($B$2:$B$428,MATCH($O14,$A$2:$A$428,0))/INDEX($B$2:$B$428,MATCH($O14,$A$2:$A$428,0)-1),""))</f>
        <v>139.96320565840591</v>
      </c>
      <c r="Q14" s="19" t="str" cm="1">
        <f t="array" ref="Q14">IF(OR($O14&lt;Q$387,$O14&gt;Q$388),"",IFERROR(IF($O14=Q$387,100,Q13)*INDEX($B$2:$B$428,MATCH($O14,$A$2:$A$428,0))/INDEX($B$2:$B$428,MATCH($O14,$A$2:$A$428,0)-1),""))</f>
        <v/>
      </c>
      <c r="R14" s="19" t="str" cm="1">
        <f t="array" ref="R14">IF(OR($O14&lt;R$387,$O14&gt;R$388),"",IFERROR(IF($O14=R$387,100,R13)*INDEX($B$2:$B$428,MATCH($O14,$A$2:$A$428,0))/INDEX($B$2:$B$428,MATCH($O14,$A$2:$A$428,0)-1),""))</f>
        <v/>
      </c>
      <c r="S14" s="19" t="str" cm="1">
        <f t="array" ref="S14">IF(OR($O14&lt;S$387,$O14&gt;S$388),"",IFERROR(IF($O14=S$387,100,S13)*INDEX($B$2:$B$428,MATCH($O14,$A$2:$A$428,0))/INDEX($B$2:$B$428,MATCH($O14,$A$2:$A$428,0)-1),""))</f>
        <v/>
      </c>
      <c r="T14" s="19" t="str" cm="1">
        <f t="array" ref="T14">IF(OR($O14&lt;T$387,$O14&gt;T$388),"",IFERROR(IF($O14=T$387,100,T13)*INDEX($B$2:$B$428,MATCH($O14,$A$2:$A$428,0))/INDEX($B$2:$B$428,MATCH($O14,$A$2:$A$428,0)-1),""))</f>
        <v/>
      </c>
      <c r="U14" s="19" t="str" cm="1">
        <f t="array" ref="U14">IF(OR($O14&lt;U$387,$O14&gt;U$388),"",IFERROR(IF($O14=U$387,100,U13)*INDEX($B$2:$B$428,MATCH($O14,$A$2:$A$428,0))/INDEX($B$2:$B$428,MATCH($O14,$A$2:$A$428,0)-1),""))</f>
        <v/>
      </c>
      <c r="V14" s="19" t="str" cm="1">
        <f t="array" ref="V14">IF(OR($O14&lt;V$387,$O14&gt;V$388),"",IFERROR(IF($O14=V$387,100,V13)*INDEX($B$2:$B$428,MATCH($O14,$A$2:$A$428,0))/INDEX($B$2:$B$428,MATCH($O14,$A$2:$A$428,0)-1),""))</f>
        <v/>
      </c>
      <c r="W14" s="19" t="str" cm="1">
        <f t="array" ref="W14">IF(OR($O14&lt;W$387,$O14&gt;W$388),"",IFERROR(IF($O14=W$387,100,W13)*INDEX($B$2:$B$428,MATCH($O14,$A$2:$A$428,0))/INDEX($B$2:$B$428,MATCH($O14,$A$2:$A$428,0)-1),""))</f>
        <v/>
      </c>
      <c r="X14" s="19" t="str" cm="1">
        <f t="array" ref="X14">IF(OR($O14&lt;X$387,$O14&gt;X$388),"",IFERROR(IF($O14=X$387,100,X13)*INDEX($B$2:$B$428,MATCH($O14,$A$2:$A$428,0))/INDEX($B$2:$B$428,MATCH($O14,$A$2:$A$428,0)-1),""))</f>
        <v/>
      </c>
      <c r="AA14" s="19" cm="1">
        <f t="array" ref="AA14">IF(EDATE(AA$387,ROW()-2)&gt;AA$388,"",IFERROR(IF(ROW()=2,100,AA13)*INDEX($D$2:$D$428,MATCH(EDATE(AA$387,ROW()-2),$A$2:$A$428,0))/INDEX($D$2:$D$428,MATCH(EDATE(AA$387,ROW()-2),$A$2:$A$428,0)-1),""))</f>
        <v>123.9186603976723</v>
      </c>
      <c r="AB14" s="19" cm="1">
        <f t="array" ref="AB14">IF(EDATE(AB$387,ROW()-2)&gt;AB$388,"",IFERROR(IF(ROW()=2,100,AB13)*INDEX($D$2:$D$428,MATCH(EDATE(AB$387,ROW()-2),$A$2:$A$428,0))/INDEX($D$2:$D$428,MATCH(EDATE(AB$387,ROW()-2),$A$2:$A$428,0)-1),""))</f>
        <v>109.6592202038595</v>
      </c>
      <c r="AC14" s="19" cm="1">
        <f t="array" ref="AC14">IF(EDATE(AC$387,ROW()-2)&gt;AC$388,"",IFERROR(IF(ROW()=2,100,AC13)*INDEX($D$2:$D$428,MATCH(EDATE(AC$387,ROW()-2),$A$2:$A$428,0))/INDEX($D$2:$D$428,MATCH(EDATE(AC$387,ROW()-2),$A$2:$A$428,0)-1),""))</f>
        <v>108.16670984753725</v>
      </c>
      <c r="AD14" s="19" cm="1">
        <f t="array" ref="AD14">IF(EDATE(AD$387,ROW()-2)&gt;AD$388,"",IFERROR(IF(ROW()=2,100,AD13)*INDEX($D$2:$D$428,MATCH(EDATE(AD$387,ROW()-2),$A$2:$A$428,0))/INDEX($D$2:$D$428,MATCH(EDATE(AD$387,ROW()-2),$A$2:$A$428,0)-1),""))</f>
        <v>108.16046866466998</v>
      </c>
      <c r="AE14" s="19" cm="1">
        <f t="array" ref="AE14">IF(EDATE(AE$387,ROW()-2)&gt;AE$388,"",IFERROR(IF(ROW()=2,100,AE13)*INDEX($D$2:$D$428,MATCH(EDATE(AE$387,ROW()-2),$A$2:$A$428,0))/INDEX($D$2:$D$428,MATCH(EDATE(AE$387,ROW()-2),$A$2:$A$428,0)-1),""))</f>
        <v>118.84059240871267</v>
      </c>
      <c r="AF14" s="19" cm="1">
        <f t="array" ref="AF14">IF(EDATE(AF$387,ROW()-2)&gt;AF$388,"",IFERROR(IF(ROW()=2,100,AF13)*INDEX($D$2:$D$428,MATCH(EDATE(AF$387,ROW()-2),$A$2:$A$428,0))/INDEX($D$2:$D$428,MATCH(EDATE(AF$387,ROW()-2),$A$2:$A$428,0)-1),""))</f>
        <v>117.70223019050302</v>
      </c>
      <c r="AG14" s="19" cm="1">
        <f t="array" ref="AG14">IF(EDATE(AG$387,ROW()-2)&gt;AG$388,"",IFERROR(IF(ROW()=2,100,AG13)*INDEX($D$2:$D$428,MATCH(EDATE(AG$387,ROW()-2),$A$2:$A$428,0))/INDEX($D$2:$D$428,MATCH(EDATE(AG$387,ROW()-2),$A$2:$A$428,0)-1),""))</f>
        <v>108.2177563798937</v>
      </c>
      <c r="AH14" s="19" cm="1">
        <f t="array" ref="AH14">IF(EDATE(AH$387,ROW()-2)&gt;AH$388,"",IFERROR(IF(ROW()=2,100,AH13)*INDEX($D$2:$D$428,MATCH(EDATE(AH$387,ROW()-2),$A$2:$A$428,0))/INDEX($D$2:$D$428,MATCH(EDATE(AH$387,ROW()-2),$A$2:$A$428,0)-1),""))</f>
        <v>108.31522277125413</v>
      </c>
      <c r="AJ14" s="11">
        <v>33239</v>
      </c>
      <c r="AK14">
        <v>13.4</v>
      </c>
      <c r="AL14" s="26" t="e">
        <f>D2/AK14</f>
        <v>#VALUE!</v>
      </c>
      <c r="AN14" s="27">
        <f t="shared" si="3"/>
        <v>6.5686940191046812</v>
      </c>
      <c r="AO14" s="27">
        <f t="shared" si="2"/>
        <v>-4.4787465796072734</v>
      </c>
      <c r="AP14" s="27">
        <f t="shared" si="2"/>
        <v>-3.2977158067443946</v>
      </c>
      <c r="AQ14" s="27">
        <f t="shared" si="2"/>
        <v>-2.9713975464952469</v>
      </c>
      <c r="AR14" s="27">
        <f t="shared" si="2"/>
        <v>8.8607581308859036</v>
      </c>
      <c r="AS14" s="27">
        <f t="shared" si="2"/>
        <v>8.0963010842835086</v>
      </c>
      <c r="AT14" s="27">
        <f t="shared" si="2"/>
        <v>1.7592433698844778</v>
      </c>
      <c r="AU14" s="27">
        <f t="shared" si="2"/>
        <v>-0.81597176847792996</v>
      </c>
    </row>
    <row r="15" spans="1:47" x14ac:dyDescent="0.3">
      <c r="A15" s="11">
        <v>33635</v>
      </c>
      <c r="B15">
        <v>27.71</v>
      </c>
      <c r="C15" t="s">
        <v>20</v>
      </c>
      <c r="D15" t="s">
        <v>20</v>
      </c>
      <c r="E15" s="11">
        <f t="shared" si="0"/>
        <v>33635</v>
      </c>
      <c r="F15" s="9">
        <f t="shared" si="4"/>
        <v>4.9463519313304722</v>
      </c>
      <c r="G15" s="9" t="e">
        <f t="shared" si="5"/>
        <v>#VALUE!</v>
      </c>
      <c r="H15" s="9" t="e">
        <f t="shared" si="6"/>
        <v>#VALUE!</v>
      </c>
      <c r="I15" s="11">
        <f t="shared" si="1"/>
        <v>33635</v>
      </c>
      <c r="O15" s="11">
        <v>35096</v>
      </c>
      <c r="P15" s="19" cm="1">
        <f t="array" ref="P15">IF(OR($O15&lt;P$387,$O15&gt;P$388),"",IFERROR(IF($O15=P$387,100,P14)*INDEX($B$2:$B$428,MATCH($O15,$A$2:$A$428,0))/INDEX($B$2:$B$428,MATCH($O15,$A$2:$A$428,0)-1),""))</f>
        <v>142.87886559691086</v>
      </c>
      <c r="Q15" s="19" t="str" cm="1">
        <f t="array" ref="Q15">IF(OR($O15&lt;Q$387,$O15&gt;Q$388),"",IFERROR(IF($O15=Q$387,100,Q14)*INDEX($B$2:$B$428,MATCH($O15,$A$2:$A$428,0))/INDEX($B$2:$B$428,MATCH($O15,$A$2:$A$428,0)-1),""))</f>
        <v/>
      </c>
      <c r="R15" s="19" t="str" cm="1">
        <f t="array" ref="R15">IF(OR($O15&lt;R$387,$O15&gt;R$388),"",IFERROR(IF($O15=R$387,100,R14)*INDEX($B$2:$B$428,MATCH($O15,$A$2:$A$428,0))/INDEX($B$2:$B$428,MATCH($O15,$A$2:$A$428,0)-1),""))</f>
        <v/>
      </c>
      <c r="S15" s="19" t="str" cm="1">
        <f t="array" ref="S15">IF(OR($O15&lt;S$387,$O15&gt;S$388),"",IFERROR(IF($O15=S$387,100,S14)*INDEX($B$2:$B$428,MATCH($O15,$A$2:$A$428,0))/INDEX($B$2:$B$428,MATCH($O15,$A$2:$A$428,0)-1),""))</f>
        <v/>
      </c>
      <c r="T15" s="19" t="str" cm="1">
        <f t="array" ref="T15">IF(OR($O15&lt;T$387,$O15&gt;T$388),"",IFERROR(IF($O15=T$387,100,T14)*INDEX($B$2:$B$428,MATCH($O15,$A$2:$A$428,0))/INDEX($B$2:$B$428,MATCH($O15,$A$2:$A$428,0)-1),""))</f>
        <v/>
      </c>
      <c r="U15" s="19" t="str" cm="1">
        <f t="array" ref="U15">IF(OR($O15&lt;U$387,$O15&gt;U$388),"",IFERROR(IF($O15=U$387,100,U14)*INDEX($B$2:$B$428,MATCH($O15,$A$2:$A$428,0))/INDEX($B$2:$B$428,MATCH($O15,$A$2:$A$428,0)-1),""))</f>
        <v/>
      </c>
      <c r="V15" s="19" t="str" cm="1">
        <f t="array" ref="V15">IF(OR($O15&lt;V$387,$O15&gt;V$388),"",IFERROR(IF($O15=V$387,100,V14)*INDEX($B$2:$B$428,MATCH($O15,$A$2:$A$428,0))/INDEX($B$2:$B$428,MATCH($O15,$A$2:$A$428,0)-1),""))</f>
        <v/>
      </c>
      <c r="W15" s="19" t="str" cm="1">
        <f t="array" ref="W15">IF(OR($O15&lt;W$387,$O15&gt;W$388),"",IFERROR(IF($O15=W$387,100,W14)*INDEX($B$2:$B$428,MATCH($O15,$A$2:$A$428,0))/INDEX($B$2:$B$428,MATCH($O15,$A$2:$A$428,0)-1),""))</f>
        <v/>
      </c>
      <c r="X15" s="19" t="str" cm="1">
        <f t="array" ref="X15">IF(OR($O15&lt;X$387,$O15&gt;X$388),"",IFERROR(IF($O15=X$387,100,X14)*INDEX($B$2:$B$428,MATCH($O15,$A$2:$A$428,0))/INDEX($B$2:$B$428,MATCH($O15,$A$2:$A$428,0)-1),""))</f>
        <v/>
      </c>
      <c r="AA15" s="19" cm="1">
        <f t="array" ref="AA15">IF(EDATE(AA$387,ROW()-2)&gt;AA$388,"",IFERROR(IF(ROW()=2,100,AA14)*INDEX($D$2:$D$428,MATCH(EDATE(AA$387,ROW()-2),$A$2:$A$428,0))/INDEX($D$2:$D$428,MATCH(EDATE(AA$387,ROW()-2),$A$2:$A$428,0)-1),""))</f>
        <v>124.3886062063486</v>
      </c>
      <c r="AB15" s="19" cm="1">
        <f t="array" ref="AB15">IF(EDATE(AB$387,ROW()-2)&gt;AB$388,"",IFERROR(IF(ROW()=2,100,AB14)*INDEX($D$2:$D$428,MATCH(EDATE(AB$387,ROW()-2),$A$2:$A$428,0))/INDEX($D$2:$D$428,MATCH(EDATE(AB$387,ROW()-2),$A$2:$A$428,0)-1),""))</f>
        <v>110.55320584085693</v>
      </c>
      <c r="AC15" s="19" cm="1">
        <f t="array" ref="AC15">IF(EDATE(AC$387,ROW()-2)&gt;AC$388,"",IFERROR(IF(ROW()=2,100,AC14)*INDEX($D$2:$D$428,MATCH(EDATE(AC$387,ROW()-2),$A$2:$A$428,0))/INDEX($D$2:$D$428,MATCH(EDATE(AC$387,ROW()-2),$A$2:$A$428,0)-1),""))</f>
        <v>110.41881101353898</v>
      </c>
      <c r="AD15" s="19" cm="1">
        <f t="array" ref="AD15">IF(EDATE(AD$387,ROW()-2)&gt;AD$388,"",IFERROR(IF(ROW()=2,100,AD14)*INDEX($D$2:$D$428,MATCH(EDATE(AD$387,ROW()-2),$A$2:$A$428,0))/INDEX($D$2:$D$428,MATCH(EDATE(AD$387,ROW()-2),$A$2:$A$428,0)-1),""))</f>
        <v>112.10517453679088</v>
      </c>
      <c r="AE15" s="19" cm="1">
        <f t="array" ref="AE15">IF(EDATE(AE$387,ROW()-2)&gt;AE$388,"",IFERROR(IF(ROW()=2,100,AE14)*INDEX($D$2:$D$428,MATCH(EDATE(AE$387,ROW()-2),$A$2:$A$428,0))/INDEX($D$2:$D$428,MATCH(EDATE(AE$387,ROW()-2),$A$2:$A$428,0)-1),""))</f>
        <v>121.09801773554179</v>
      </c>
      <c r="AF15" s="19" cm="1">
        <f t="array" ref="AF15">IF(EDATE(AF$387,ROW()-2)&gt;AF$388,"",IFERROR(IF(ROW()=2,100,AF14)*INDEX($D$2:$D$428,MATCH(EDATE(AF$387,ROW()-2),$A$2:$A$428,0))/INDEX($D$2:$D$428,MATCH(EDATE(AF$387,ROW()-2),$A$2:$A$428,0)-1),""))</f>
        <v>120.2920878932882</v>
      </c>
      <c r="AG15" s="19" cm="1">
        <f t="array" ref="AG15">IF(EDATE(AG$387,ROW()-2)&gt;AG$388,"",IFERROR(IF(ROW()=2,100,AG14)*INDEX($D$2:$D$428,MATCH(EDATE(AG$387,ROW()-2),$A$2:$A$428,0))/INDEX($D$2:$D$428,MATCH(EDATE(AG$387,ROW()-2),$A$2:$A$428,0)-1),""))</f>
        <v>109.44679430661445</v>
      </c>
      <c r="AH15" s="19" cm="1">
        <f t="array" ref="AH15">IF(EDATE(AH$387,ROW()-2)&gt;AH$388,"",IFERROR(IF(ROW()=2,100,AH14)*INDEX($D$2:$D$428,MATCH(EDATE(AH$387,ROW()-2),$A$2:$A$428,0))/INDEX($D$2:$D$428,MATCH(EDATE(AH$387,ROW()-2),$A$2:$A$428,0)-1),""))</f>
        <v>110.14572501976184</v>
      </c>
      <c r="AJ15" s="11">
        <v>33270</v>
      </c>
      <c r="AK15">
        <v>15.4</v>
      </c>
      <c r="AL15" s="26" t="e">
        <f t="shared" ref="AL15:AL77" si="7">D3/AK15</f>
        <v>#VALUE!</v>
      </c>
      <c r="AN15" s="27">
        <f t="shared" si="3"/>
        <v>6.2251915530023627</v>
      </c>
      <c r="AO15" s="27">
        <f t="shared" si="2"/>
        <v>-4.3201249173393741</v>
      </c>
      <c r="AP15" s="27">
        <f t="shared" si="2"/>
        <v>-2.7071401723888111</v>
      </c>
      <c r="AQ15" s="27">
        <f t="shared" si="2"/>
        <v>-1.2906326934876033</v>
      </c>
      <c r="AR15" s="27">
        <f t="shared" si="2"/>
        <v>9.9307884264075774</v>
      </c>
      <c r="AS15" s="27">
        <f t="shared" si="2"/>
        <v>9.5731853243003826</v>
      </c>
      <c r="AT15" s="27">
        <f t="shared" si="2"/>
        <v>2.2608961012737461</v>
      </c>
      <c r="AU15" s="27">
        <f t="shared" si="2"/>
        <v>3.8044731202457882E-2</v>
      </c>
    </row>
    <row r="16" spans="1:47" x14ac:dyDescent="0.3">
      <c r="A16" s="11">
        <v>33664</v>
      </c>
      <c r="B16">
        <v>35.68</v>
      </c>
      <c r="C16" t="s">
        <v>20</v>
      </c>
      <c r="D16" t="s">
        <v>20</v>
      </c>
      <c r="E16" s="11">
        <f t="shared" si="0"/>
        <v>33664</v>
      </c>
      <c r="F16" s="9">
        <f t="shared" si="4"/>
        <v>6.2373225152129823</v>
      </c>
      <c r="G16" s="9" t="e">
        <f t="shared" si="5"/>
        <v>#VALUE!</v>
      </c>
      <c r="H16" s="9" t="e">
        <f t="shared" si="6"/>
        <v>#VALUE!</v>
      </c>
      <c r="I16" s="11">
        <f t="shared" si="1"/>
        <v>33664</v>
      </c>
      <c r="O16" s="11">
        <v>35125</v>
      </c>
      <c r="P16" s="19" cm="1">
        <f t="array" ref="P16">IF(OR($O16&lt;P$387,$O16&gt;P$388),"",IFERROR(IF($O16=P$387,100,P15)*INDEX($B$2:$B$428,MATCH($O16,$A$2:$A$428,0))/INDEX($B$2:$B$428,MATCH($O16,$A$2:$A$428,0)-1),""))</f>
        <v>139.211157507396</v>
      </c>
      <c r="Q16" s="19" t="str" cm="1">
        <f t="array" ref="Q16">IF(OR($O16&lt;Q$387,$O16&gt;Q$388),"",IFERROR(IF($O16=Q$387,100,Q15)*INDEX($B$2:$B$428,MATCH($O16,$A$2:$A$428,0))/INDEX($B$2:$B$428,MATCH($O16,$A$2:$A$428,0)-1),""))</f>
        <v/>
      </c>
      <c r="R16" s="19" t="str" cm="1">
        <f t="array" ref="R16">IF(OR($O16&lt;R$387,$O16&gt;R$388),"",IFERROR(IF($O16=R$387,100,R15)*INDEX($B$2:$B$428,MATCH($O16,$A$2:$A$428,0))/INDEX($B$2:$B$428,MATCH($O16,$A$2:$A$428,0)-1),""))</f>
        <v/>
      </c>
      <c r="S16" s="19" t="str" cm="1">
        <f t="array" ref="S16">IF(OR($O16&lt;S$387,$O16&gt;S$388),"",IFERROR(IF($O16=S$387,100,S15)*INDEX($B$2:$B$428,MATCH($O16,$A$2:$A$428,0))/INDEX($B$2:$B$428,MATCH($O16,$A$2:$A$428,0)-1),""))</f>
        <v/>
      </c>
      <c r="T16" s="19" t="str" cm="1">
        <f t="array" ref="T16">IF(OR($O16&lt;T$387,$O16&gt;T$388),"",IFERROR(IF($O16=T$387,100,T15)*INDEX($B$2:$B$428,MATCH($O16,$A$2:$A$428,0))/INDEX($B$2:$B$428,MATCH($O16,$A$2:$A$428,0)-1),""))</f>
        <v/>
      </c>
      <c r="U16" s="19" t="str" cm="1">
        <f t="array" ref="U16">IF(OR($O16&lt;U$387,$O16&gt;U$388),"",IFERROR(IF($O16=U$387,100,U15)*INDEX($B$2:$B$428,MATCH($O16,$A$2:$A$428,0))/INDEX($B$2:$B$428,MATCH($O16,$A$2:$A$428,0)-1),""))</f>
        <v/>
      </c>
      <c r="V16" s="19" t="str" cm="1">
        <f t="array" ref="V16">IF(OR($O16&lt;V$387,$O16&gt;V$388),"",IFERROR(IF($O16=V$387,100,V15)*INDEX($B$2:$B$428,MATCH($O16,$A$2:$A$428,0))/INDEX($B$2:$B$428,MATCH($O16,$A$2:$A$428,0)-1),""))</f>
        <v/>
      </c>
      <c r="W16" s="19" t="str" cm="1">
        <f t="array" ref="W16">IF(OR($O16&lt;W$387,$O16&gt;W$388),"",IFERROR(IF($O16=W$387,100,W15)*INDEX($B$2:$B$428,MATCH($O16,$A$2:$A$428,0))/INDEX($B$2:$B$428,MATCH($O16,$A$2:$A$428,0)-1),""))</f>
        <v/>
      </c>
      <c r="X16" s="19" t="str" cm="1">
        <f t="array" ref="X16">IF(OR($O16&lt;X$387,$O16&gt;X$388),"",IFERROR(IF($O16=X$387,100,X15)*INDEX($B$2:$B$428,MATCH($O16,$A$2:$A$428,0))/INDEX($B$2:$B$428,MATCH($O16,$A$2:$A$428,0)-1),""))</f>
        <v/>
      </c>
      <c r="AA16" s="19" cm="1">
        <f t="array" ref="AA16">IF(EDATE(AA$387,ROW()-2)&gt;AA$388,"",IFERROR(IF(ROW()=2,100,AA15)*INDEX($D$2:$D$428,MATCH(EDATE(AA$387,ROW()-2),$A$2:$A$428,0))/INDEX($D$2:$D$428,MATCH(EDATE(AA$387,ROW()-2),$A$2:$A$428,0)-1),""))</f>
        <v>126.28468328336189</v>
      </c>
      <c r="AB16" s="19" cm="1">
        <f t="array" ref="AB16">IF(EDATE(AB$387,ROW()-2)&gt;AB$388,"",IFERROR(IF(ROW()=2,100,AB15)*INDEX($D$2:$D$428,MATCH(EDATE(AB$387,ROW()-2),$A$2:$A$428,0))/INDEX($D$2:$D$428,MATCH(EDATE(AB$387,ROW()-2),$A$2:$A$428,0)-1),""))</f>
        <v>112.4943750255761</v>
      </c>
      <c r="AC16" s="19" cm="1">
        <f t="array" ref="AC16">IF(EDATE(AC$387,ROW()-2)&gt;AC$388,"",IFERROR(IF(ROW()=2,100,AC15)*INDEX($D$2:$D$428,MATCH(EDATE(AC$387,ROW()-2),$A$2:$A$428,0))/INDEX($D$2:$D$428,MATCH(EDATE(AC$387,ROW()-2),$A$2:$A$428,0)-1),""))</f>
        <v>111.45221000672375</v>
      </c>
      <c r="AD16" s="19" cm="1">
        <f t="array" ref="AD16">IF(EDATE(AD$387,ROW()-2)&gt;AD$388,"",IFERROR(IF(ROW()=2,100,AD15)*INDEX($D$2:$D$428,MATCH(EDATE(AD$387,ROW()-2),$A$2:$A$428,0))/INDEX($D$2:$D$428,MATCH(EDATE(AD$387,ROW()-2),$A$2:$A$428,0)-1),""))</f>
        <v>111.05963676806336</v>
      </c>
      <c r="AE16" s="19" cm="1">
        <f t="array" ref="AE16">IF(EDATE(AE$387,ROW()-2)&gt;AE$388,"",IFERROR(IF(ROW()=2,100,AE15)*INDEX($D$2:$D$428,MATCH(EDATE(AE$387,ROW()-2),$A$2:$A$428,0))/INDEX($D$2:$D$428,MATCH(EDATE(AE$387,ROW()-2),$A$2:$A$428,0)-1),""))</f>
        <v>123.10092599888807</v>
      </c>
      <c r="AF16" s="19" cm="1">
        <f t="array" ref="AF16">IF(EDATE(AF$387,ROW()-2)&gt;AF$388,"",IFERROR(IF(ROW()=2,100,AF15)*INDEX($D$2:$D$428,MATCH(EDATE(AF$387,ROW()-2),$A$2:$A$428,0))/INDEX($D$2:$D$428,MATCH(EDATE(AF$387,ROW()-2),$A$2:$A$428,0)-1),""))</f>
        <v>118.76693111455108</v>
      </c>
      <c r="AG16" s="19" cm="1">
        <f t="array" ref="AG16">IF(EDATE(AG$387,ROW()-2)&gt;AG$388,"",IFERROR(IF(ROW()=2,100,AG15)*INDEX($D$2:$D$428,MATCH(EDATE(AG$387,ROW()-2),$A$2:$A$428,0))/INDEX($D$2:$D$428,MATCH(EDATE(AG$387,ROW()-2),$A$2:$A$428,0)-1),""))</f>
        <v>108.12052981349912</v>
      </c>
      <c r="AH16" s="19" cm="1">
        <f t="array" ref="AH16">IF(EDATE(AH$387,ROW()-2)&gt;AH$388,"",IFERROR(IF(ROW()=2,100,AH15)*INDEX($D$2:$D$428,MATCH(EDATE(AH$387,ROW()-2),$A$2:$A$428,0))/INDEX($D$2:$D$428,MATCH(EDATE(AH$387,ROW()-2),$A$2:$A$428,0)-1),""))</f>
        <v>110.99510318137251</v>
      </c>
      <c r="AJ16" s="11">
        <v>33298</v>
      </c>
      <c r="AK16">
        <v>17.100000000000001</v>
      </c>
      <c r="AL16" s="26" t="e">
        <f t="shared" si="7"/>
        <v>#VALUE!</v>
      </c>
      <c r="AN16" s="27">
        <f t="shared" si="3"/>
        <v>6.895615731781124</v>
      </c>
      <c r="AO16" s="27">
        <f t="shared" si="2"/>
        <v>-3.9088710480805755</v>
      </c>
      <c r="AP16" s="27">
        <f t="shared" si="2"/>
        <v>-2.6640812502031652</v>
      </c>
      <c r="AQ16" s="27">
        <f t="shared" si="2"/>
        <v>-2.4159012274056924</v>
      </c>
      <c r="AR16" s="27">
        <f t="shared" si="2"/>
        <v>10.962745335484946</v>
      </c>
      <c r="AS16" s="27">
        <f t="shared" si="2"/>
        <v>8.2275822278253798</v>
      </c>
      <c r="AT16" s="27">
        <f t="shared" si="2"/>
        <v>0.82793897415855966</v>
      </c>
      <c r="AU16" s="27">
        <f t="shared" si="2"/>
        <v>0.45856221682892828</v>
      </c>
    </row>
    <row r="17" spans="1:47" x14ac:dyDescent="0.3">
      <c r="A17" s="11">
        <v>33695</v>
      </c>
      <c r="B17">
        <v>41.39</v>
      </c>
      <c r="C17" t="s">
        <v>20</v>
      </c>
      <c r="D17" t="s">
        <v>20</v>
      </c>
      <c r="E17" s="11">
        <f t="shared" si="0"/>
        <v>33695</v>
      </c>
      <c r="F17" s="9">
        <f t="shared" si="4"/>
        <v>6.9596153846153843</v>
      </c>
      <c r="G17" s="9" t="e">
        <f t="shared" si="5"/>
        <v>#VALUE!</v>
      </c>
      <c r="H17" s="9" t="e">
        <f t="shared" si="6"/>
        <v>#VALUE!</v>
      </c>
      <c r="I17" s="11">
        <f t="shared" si="1"/>
        <v>33695</v>
      </c>
      <c r="O17" s="11">
        <v>35156</v>
      </c>
      <c r="P17" s="19" cm="1">
        <f t="array" ref="P17">IF(OR($O17&lt;P$387,$O17&gt;P$388),"",IFERROR(IF($O17=P$387,100,P16)*INDEX($B$2:$B$428,MATCH($O17,$A$2:$A$428,0))/INDEX($B$2:$B$428,MATCH($O17,$A$2:$A$428,0)-1),""))</f>
        <v>145.4290883390766</v>
      </c>
      <c r="Q17" s="19" t="str" cm="1">
        <f t="array" ref="Q17">IF(OR($O17&lt;Q$387,$O17&gt;Q$388),"",IFERROR(IF($O17=Q$387,100,Q16)*INDEX($B$2:$B$428,MATCH($O17,$A$2:$A$428,0))/INDEX($B$2:$B$428,MATCH($O17,$A$2:$A$428,0)-1),""))</f>
        <v/>
      </c>
      <c r="R17" s="19" t="str" cm="1">
        <f t="array" ref="R17">IF(OR($O17&lt;R$387,$O17&gt;R$388),"",IFERROR(IF($O17=R$387,100,R16)*INDEX($B$2:$B$428,MATCH($O17,$A$2:$A$428,0))/INDEX($B$2:$B$428,MATCH($O17,$A$2:$A$428,0)-1),""))</f>
        <v/>
      </c>
      <c r="S17" s="19" t="str" cm="1">
        <f t="array" ref="S17">IF(OR($O17&lt;S$387,$O17&gt;S$388),"",IFERROR(IF($O17=S$387,100,S16)*INDEX($B$2:$B$428,MATCH($O17,$A$2:$A$428,0))/INDEX($B$2:$B$428,MATCH($O17,$A$2:$A$428,0)-1),""))</f>
        <v/>
      </c>
      <c r="T17" s="19" t="str" cm="1">
        <f t="array" ref="T17">IF(OR($O17&lt;T$387,$O17&gt;T$388),"",IFERROR(IF($O17=T$387,100,T16)*INDEX($B$2:$B$428,MATCH($O17,$A$2:$A$428,0))/INDEX($B$2:$B$428,MATCH($O17,$A$2:$A$428,0)-1),""))</f>
        <v/>
      </c>
      <c r="U17" s="19" t="str" cm="1">
        <f t="array" ref="U17">IF(OR($O17&lt;U$387,$O17&gt;U$388),"",IFERROR(IF($O17=U$387,100,U16)*INDEX($B$2:$B$428,MATCH($O17,$A$2:$A$428,0))/INDEX($B$2:$B$428,MATCH($O17,$A$2:$A$428,0)-1),""))</f>
        <v/>
      </c>
      <c r="V17" s="19" t="str" cm="1">
        <f t="array" ref="V17">IF(OR($O17&lt;V$387,$O17&gt;V$388),"",IFERROR(IF($O17=V$387,100,V16)*INDEX($B$2:$B$428,MATCH($O17,$A$2:$A$428,0))/INDEX($B$2:$B$428,MATCH($O17,$A$2:$A$428,0)-1),""))</f>
        <v/>
      </c>
      <c r="W17" s="19" t="str" cm="1">
        <f t="array" ref="W17">IF(OR($O17&lt;W$387,$O17&gt;W$388),"",IFERROR(IF($O17=W$387,100,W16)*INDEX($B$2:$B$428,MATCH($O17,$A$2:$A$428,0))/INDEX($B$2:$B$428,MATCH($O17,$A$2:$A$428,0)-1),""))</f>
        <v/>
      </c>
      <c r="X17" s="19" t="str" cm="1">
        <f t="array" ref="X17">IF(OR($O17&lt;X$387,$O17&gt;X$388),"",IFERROR(IF($O17=X$387,100,X16)*INDEX($B$2:$B$428,MATCH($O17,$A$2:$A$428,0))/INDEX($B$2:$B$428,MATCH($O17,$A$2:$A$428,0)-1),""))</f>
        <v/>
      </c>
      <c r="AA17" s="19" cm="1">
        <f t="array" ref="AA17">IF(EDATE(AA$387,ROW()-2)&gt;AA$388,"",IFERROR(IF(ROW()=2,100,AA16)*INDEX($D$2:$D$428,MATCH(EDATE(AA$387,ROW()-2),$A$2:$A$428,0))/INDEX($D$2:$D$428,MATCH(EDATE(AA$387,ROW()-2),$A$2:$A$428,0)-1),""))</f>
        <v>127.58127830813514</v>
      </c>
      <c r="AB17" s="19" cm="1">
        <f t="array" ref="AB17">IF(EDATE(AB$387,ROW()-2)&gt;AB$388,"",IFERROR(IF(ROW()=2,100,AB16)*INDEX($D$2:$D$428,MATCH(EDATE(AB$387,ROW()-2),$A$2:$A$428,0))/INDEX($D$2:$D$428,MATCH(EDATE(AB$387,ROW()-2),$A$2:$A$428,0)-1),""))</f>
        <v>112.11263323443737</v>
      </c>
      <c r="AC17" s="19" cm="1">
        <f t="array" ref="AC17">IF(EDATE(AC$387,ROW()-2)&gt;AC$388,"",IFERROR(IF(ROW()=2,100,AC16)*INDEX($D$2:$D$428,MATCH(EDATE(AC$387,ROW()-2),$A$2:$A$428,0))/INDEX($D$2:$D$428,MATCH(EDATE(AC$387,ROW()-2),$A$2:$A$428,0)-1),""))</f>
        <v>108.96640852074414</v>
      </c>
      <c r="AD17" s="19" cm="1">
        <f t="array" ref="AD17">IF(EDATE(AD$387,ROW()-2)&gt;AD$388,"",IFERROR(IF(ROW()=2,100,AD16)*INDEX($D$2:$D$428,MATCH(EDATE(AD$387,ROW()-2),$A$2:$A$428,0))/INDEX($D$2:$D$428,MATCH(EDATE(AD$387,ROW()-2),$A$2:$A$428,0)-1),""))</f>
        <v>113.44248760345329</v>
      </c>
      <c r="AE17" s="19" cm="1">
        <f t="array" ref="AE17">IF(EDATE(AE$387,ROW()-2)&gt;AE$388,"",IFERROR(IF(ROW()=2,100,AE16)*INDEX($D$2:$D$428,MATCH(EDATE(AE$387,ROW()-2),$A$2:$A$428,0))/INDEX($D$2:$D$428,MATCH(EDATE(AE$387,ROW()-2),$A$2:$A$428,0)-1),""))</f>
        <v>120.84509075252252</v>
      </c>
      <c r="AF17" s="19" cm="1">
        <f t="array" ref="AF17">IF(EDATE(AF$387,ROW()-2)&gt;AF$388,"",IFERROR(IF(ROW()=2,100,AF16)*INDEX($D$2:$D$428,MATCH(EDATE(AF$387,ROW()-2),$A$2:$A$428,0))/INDEX($D$2:$D$428,MATCH(EDATE(AF$387,ROW()-2),$A$2:$A$428,0)-1),""))</f>
        <v>121.8626467654525</v>
      </c>
      <c r="AG17" s="19" cm="1">
        <f t="array" ref="AG17">IF(EDATE(AG$387,ROW()-2)&gt;AG$388,"",IFERROR(IF(ROW()=2,100,AG16)*INDEX($D$2:$D$428,MATCH(EDATE(AG$387,ROW()-2),$A$2:$A$428,0))/INDEX($D$2:$D$428,MATCH(EDATE(AG$387,ROW()-2),$A$2:$A$428,0)-1),""))</f>
        <v>108.62084307050974</v>
      </c>
      <c r="AH17" s="19" cm="1">
        <f t="array" ref="AH17">IF(EDATE(AH$387,ROW()-2)&gt;AH$388,"",IFERROR(IF(ROW()=2,100,AH16)*INDEX($D$2:$D$428,MATCH(EDATE(AH$387,ROW()-2),$A$2:$A$428,0))/INDEX($D$2:$D$428,MATCH(EDATE(AH$387,ROW()-2),$A$2:$A$428,0)-1),""))</f>
        <v>112.15044170569104</v>
      </c>
      <c r="AJ17" s="11">
        <v>33329</v>
      </c>
      <c r="AK17">
        <v>19.5</v>
      </c>
      <c r="AL17" s="26" t="e">
        <f t="shared" si="7"/>
        <v>#VALUE!</v>
      </c>
      <c r="AN17" s="27">
        <f t="shared" si="3"/>
        <v>7.2968105611511564</v>
      </c>
      <c r="AO17" s="27">
        <f t="shared" si="2"/>
        <v>-4.8844011854261122</v>
      </c>
      <c r="AP17" s="27">
        <f t="shared" si="2"/>
        <v>-4.7772518654748408</v>
      </c>
      <c r="AQ17" s="27">
        <f t="shared" si="2"/>
        <v>-1.5523223900571148</v>
      </c>
      <c r="AR17" s="27">
        <f t="shared" si="2"/>
        <v>9.3568394999391185</v>
      </c>
      <c r="AS17" s="27">
        <f t="shared" si="2"/>
        <v>9.9694750340405864</v>
      </c>
      <c r="AT17" s="27">
        <f t="shared" si="2"/>
        <v>1.7289285898769546</v>
      </c>
      <c r="AU17" s="27">
        <f t="shared" si="2"/>
        <v>0.71278816473411277</v>
      </c>
    </row>
    <row r="18" spans="1:47" x14ac:dyDescent="0.3">
      <c r="A18" s="11">
        <v>33725</v>
      </c>
      <c r="B18">
        <v>49.09</v>
      </c>
      <c r="C18" t="s">
        <v>20</v>
      </c>
      <c r="D18" t="s">
        <v>20</v>
      </c>
      <c r="E18" s="11">
        <f t="shared" si="0"/>
        <v>33725</v>
      </c>
      <c r="F18" s="9">
        <f t="shared" si="4"/>
        <v>7.8132854578096946</v>
      </c>
      <c r="G18" s="9" t="e">
        <f t="shared" si="5"/>
        <v>#VALUE!</v>
      </c>
      <c r="H18" s="9" t="e">
        <f t="shared" si="6"/>
        <v>#VALUE!</v>
      </c>
      <c r="I18" s="11">
        <f t="shared" si="1"/>
        <v>33725</v>
      </c>
      <c r="O18" s="11">
        <v>35186</v>
      </c>
      <c r="P18" s="19" cm="1">
        <f t="array" ref="P18">IF(OR($O18&lt;P$387,$O18&gt;P$388),"",IFERROR(IF($O18=P$387,100,P17)*INDEX($B$2:$B$428,MATCH($O18,$A$2:$A$428,0))/INDEX($B$2:$B$428,MATCH($O18,$A$2:$A$428,0)-1),""))</f>
        <v>158.90405902769916</v>
      </c>
      <c r="Q18" s="19" t="str" cm="1">
        <f t="array" ref="Q18">IF(OR($O18&lt;Q$387,$O18&gt;Q$388),"",IFERROR(IF($O18=Q$387,100,Q17)*INDEX($B$2:$B$428,MATCH($O18,$A$2:$A$428,0))/INDEX($B$2:$B$428,MATCH($O18,$A$2:$A$428,0)-1),""))</f>
        <v/>
      </c>
      <c r="R18" s="19" t="str" cm="1">
        <f t="array" ref="R18">IF(OR($O18&lt;R$387,$O18&gt;R$388),"",IFERROR(IF($O18=R$387,100,R17)*INDEX($B$2:$B$428,MATCH($O18,$A$2:$A$428,0))/INDEX($B$2:$B$428,MATCH($O18,$A$2:$A$428,0)-1),""))</f>
        <v/>
      </c>
      <c r="S18" s="19" t="str" cm="1">
        <f t="array" ref="S18">IF(OR($O18&lt;S$387,$O18&gt;S$388),"",IFERROR(IF($O18=S$387,100,S17)*INDEX($B$2:$B$428,MATCH($O18,$A$2:$A$428,0))/INDEX($B$2:$B$428,MATCH($O18,$A$2:$A$428,0)-1),""))</f>
        <v/>
      </c>
      <c r="T18" s="19" t="str" cm="1">
        <f t="array" ref="T18">IF(OR($O18&lt;T$387,$O18&gt;T$388),"",IFERROR(IF($O18=T$387,100,T17)*INDEX($B$2:$B$428,MATCH($O18,$A$2:$A$428,0))/INDEX($B$2:$B$428,MATCH($O18,$A$2:$A$428,0)-1),""))</f>
        <v/>
      </c>
      <c r="U18" s="19" t="str" cm="1">
        <f t="array" ref="U18">IF(OR($O18&lt;U$387,$O18&gt;U$388),"",IFERROR(IF($O18=U$387,100,U17)*INDEX($B$2:$B$428,MATCH($O18,$A$2:$A$428,0))/INDEX($B$2:$B$428,MATCH($O18,$A$2:$A$428,0)-1),""))</f>
        <v/>
      </c>
      <c r="V18" s="19" t="str" cm="1">
        <f t="array" ref="V18">IF(OR($O18&lt;V$387,$O18&gt;V$388),"",IFERROR(IF($O18=V$387,100,V17)*INDEX($B$2:$B$428,MATCH($O18,$A$2:$A$428,0))/INDEX($B$2:$B$428,MATCH($O18,$A$2:$A$428,0)-1),""))</f>
        <v/>
      </c>
      <c r="W18" s="19" t="str" cm="1">
        <f t="array" ref="W18">IF(OR($O18&lt;W$387,$O18&gt;W$388),"",IFERROR(IF($O18=W$387,100,W17)*INDEX($B$2:$B$428,MATCH($O18,$A$2:$A$428,0))/INDEX($B$2:$B$428,MATCH($O18,$A$2:$A$428,0)-1),""))</f>
        <v/>
      </c>
      <c r="X18" s="19" t="str" cm="1">
        <f t="array" ref="X18">IF(OR($O18&lt;X$387,$O18&gt;X$388),"",IFERROR(IF($O18=X$387,100,X17)*INDEX($B$2:$B$428,MATCH($O18,$A$2:$A$428,0))/INDEX($B$2:$B$428,MATCH($O18,$A$2:$A$428,0)-1),""))</f>
        <v/>
      </c>
      <c r="AA18" s="19" cm="1">
        <f t="array" ref="AA18">IF(EDATE(AA$387,ROW()-2)&gt;AA$388,"",IFERROR(IF(ROW()=2,100,AA17)*INDEX($D$2:$D$428,MATCH(EDATE(AA$387,ROW()-2),$A$2:$A$428,0))/INDEX($D$2:$D$428,MATCH(EDATE(AA$387,ROW()-2),$A$2:$A$428,0)-1),""))</f>
        <v>136.85280392926541</v>
      </c>
      <c r="AB18" s="19" cm="1">
        <f t="array" ref="AB18">IF(EDATE(AB$387,ROW()-2)&gt;AB$388,"",IFERROR(IF(ROW()=2,100,AB17)*INDEX($D$2:$D$428,MATCH(EDATE(AB$387,ROW()-2),$A$2:$A$428,0))/INDEX($D$2:$D$428,MATCH(EDATE(AB$387,ROW()-2),$A$2:$A$428,0)-1),""))</f>
        <v>112.37935809071783</v>
      </c>
      <c r="AC18" s="19" cm="1">
        <f t="array" ref="AC18">IF(EDATE(AC$387,ROW()-2)&gt;AC$388,"",IFERROR(IF(ROW()=2,100,AC17)*INDEX($D$2:$D$428,MATCH(EDATE(AC$387,ROW()-2),$A$2:$A$428,0))/INDEX($D$2:$D$428,MATCH(EDATE(AC$387,ROW()-2),$A$2:$A$428,0)-1),""))</f>
        <v>110.43785338556977</v>
      </c>
      <c r="AD18" s="19" cm="1">
        <f t="array" ref="AD18">IF(EDATE(AD$387,ROW()-2)&gt;AD$388,"",IFERROR(IF(ROW()=2,100,AD17)*INDEX($D$2:$D$428,MATCH(EDATE(AD$387,ROW()-2),$A$2:$A$428,0))/INDEX($D$2:$D$428,MATCH(EDATE(AD$387,ROW()-2),$A$2:$A$428,0)-1),""))</f>
        <v>115.66214617972764</v>
      </c>
      <c r="AE18" s="19"/>
      <c r="AF18" s="19" cm="1">
        <f t="array" ref="AF18">IF(EDATE(AF$387,ROW()-2)&gt;AF$388,"",IFERROR(IF(ROW()=2,100,AF17)*INDEX($D$2:$D$428,MATCH(EDATE(AF$387,ROW()-2),$A$2:$A$428,0))/INDEX($D$2:$D$428,MATCH(EDATE(AF$387,ROW()-2),$A$2:$A$428,0)-1),""))</f>
        <v>122.97216415636755</v>
      </c>
      <c r="AG18" s="19" cm="1">
        <f t="array" ref="AG18">IF(EDATE(AG$387,ROW()-2)&gt;AG$388,"",IFERROR(IF(ROW()=2,100,AG17)*INDEX($D$2:$D$428,MATCH(EDATE(AG$387,ROW()-2),$A$2:$A$428,0))/INDEX($D$2:$D$428,MATCH(EDATE(AG$387,ROW()-2),$A$2:$A$428,0)-1),""))</f>
        <v>110.17030956220511</v>
      </c>
      <c r="AH18" s="19" cm="1">
        <f t="array" ref="AH18">IF(EDATE(AH$387,ROW()-2)&gt;AH$388,"",IFERROR(IF(ROW()=2,100,AH17)*INDEX($D$2:$D$428,MATCH(EDATE(AH$387,ROW()-2),$A$2:$A$428,0))/INDEX($D$2:$D$428,MATCH(EDATE(AH$387,ROW()-2),$A$2:$A$428,0)-1),""))</f>
        <v>114.79055501500403</v>
      </c>
      <c r="AJ18" s="11">
        <v>33359</v>
      </c>
      <c r="AK18">
        <v>22.3</v>
      </c>
      <c r="AL18" s="26" t="e">
        <f t="shared" si="7"/>
        <v>#VALUE!</v>
      </c>
      <c r="AN18" s="27">
        <f t="shared" si="3"/>
        <v>10.979785575977575</v>
      </c>
      <c r="AO18" s="27">
        <f t="shared" si="3"/>
        <v>-5.5086726941838364</v>
      </c>
      <c r="AP18" s="27">
        <f t="shared" si="3"/>
        <v>-4.566806561545067</v>
      </c>
      <c r="AQ18" s="27">
        <f t="shared" si="3"/>
        <v>-0.8188014820213807</v>
      </c>
      <c r="AR18" s="27"/>
      <c r="AS18" s="27">
        <f t="shared" si="3"/>
        <v>10.462142018296083</v>
      </c>
      <c r="AT18" s="27">
        <f t="shared" si="3"/>
        <v>3.4338811306986794</v>
      </c>
      <c r="AU18" s="27">
        <f t="shared" si="3"/>
        <v>2.2882644476951652</v>
      </c>
    </row>
    <row r="19" spans="1:47" x14ac:dyDescent="0.3">
      <c r="A19" s="11">
        <v>33756</v>
      </c>
      <c r="B19">
        <v>59.62</v>
      </c>
      <c r="C19" t="s">
        <v>20</v>
      </c>
      <c r="D19" t="s">
        <v>20</v>
      </c>
      <c r="E19" s="11">
        <f t="shared" si="0"/>
        <v>33756</v>
      </c>
      <c r="F19" s="9">
        <f t="shared" si="4"/>
        <v>8.7418300653594763</v>
      </c>
      <c r="G19" s="9" t="e">
        <f t="shared" si="5"/>
        <v>#VALUE!</v>
      </c>
      <c r="H19" s="9" t="e">
        <f t="shared" si="6"/>
        <v>#VALUE!</v>
      </c>
      <c r="I19" s="11">
        <f t="shared" si="1"/>
        <v>33756</v>
      </c>
      <c r="O19" s="11">
        <v>35217</v>
      </c>
      <c r="P19" s="19" cm="1">
        <f t="array" ref="P19">IF(OR($O19&lt;P$387,$O19&gt;P$388),"",IFERROR(IF($O19=P$387,100,P18)*INDEX($B$2:$B$428,MATCH($O19,$A$2:$A$428,0))/INDEX($B$2:$B$428,MATCH($O19,$A$2:$A$428,0)-1),""))</f>
        <v>170.74149620702644</v>
      </c>
      <c r="Q19" s="19" t="str" cm="1">
        <f t="array" ref="Q19">IF(OR($O19&lt;Q$387,$O19&gt;Q$388),"",IFERROR(IF($O19=Q$387,100,Q18)*INDEX($B$2:$B$428,MATCH($O19,$A$2:$A$428,0))/INDEX($B$2:$B$428,MATCH($O19,$A$2:$A$428,0)-1),""))</f>
        <v/>
      </c>
      <c r="R19" s="19" t="str" cm="1">
        <f t="array" ref="R19">IF(OR($O19&lt;R$387,$O19&gt;R$388),"",IFERROR(IF($O19=R$387,100,R18)*INDEX($B$2:$B$428,MATCH($O19,$A$2:$A$428,0))/INDEX($B$2:$B$428,MATCH($O19,$A$2:$A$428,0)-1),""))</f>
        <v/>
      </c>
      <c r="S19" s="19" t="str" cm="1">
        <f t="array" ref="S19">IF(OR($O19&lt;S$387,$O19&gt;S$388),"",IFERROR(IF($O19=S$387,100,S18)*INDEX($B$2:$B$428,MATCH($O19,$A$2:$A$428,0))/INDEX($B$2:$B$428,MATCH($O19,$A$2:$A$428,0)-1),""))</f>
        <v/>
      </c>
      <c r="T19" s="19" t="str" cm="1">
        <f t="array" ref="T19">IF(OR($O19&lt;T$387,$O19&gt;T$388),"",IFERROR(IF($O19=T$387,100,T18)*INDEX($B$2:$B$428,MATCH($O19,$A$2:$A$428,0))/INDEX($B$2:$B$428,MATCH($O19,$A$2:$A$428,0)-1),""))</f>
        <v/>
      </c>
      <c r="U19" s="19" t="str" cm="1">
        <f t="array" ref="U19">IF(OR($O19&lt;U$387,$O19&gt;U$388),"",IFERROR(IF($O19=U$387,100,U18)*INDEX($B$2:$B$428,MATCH($O19,$A$2:$A$428,0))/INDEX($B$2:$B$428,MATCH($O19,$A$2:$A$428,0)-1),""))</f>
        <v/>
      </c>
      <c r="V19" s="19" t="str" cm="1">
        <f t="array" ref="V19">IF(OR($O19&lt;V$387,$O19&gt;V$388),"",IFERROR(IF($O19=V$387,100,V18)*INDEX($B$2:$B$428,MATCH($O19,$A$2:$A$428,0))/INDEX($B$2:$B$428,MATCH($O19,$A$2:$A$428,0)-1),""))</f>
        <v/>
      </c>
      <c r="W19" s="19" t="str" cm="1">
        <f t="array" ref="W19">IF(OR($O19&lt;W$387,$O19&gt;W$388),"",IFERROR(IF($O19=W$387,100,W18)*INDEX($B$2:$B$428,MATCH($O19,$A$2:$A$428,0))/INDEX($B$2:$B$428,MATCH($O19,$A$2:$A$428,0)-1),""))</f>
        <v/>
      </c>
      <c r="X19" s="19" t="str" cm="1">
        <f t="array" ref="X19">IF(OR($O19&lt;X$387,$O19&gt;X$388),"",IFERROR(IF($O19=X$387,100,X18)*INDEX($B$2:$B$428,MATCH($O19,$A$2:$A$428,0))/INDEX($B$2:$B$428,MATCH($O19,$A$2:$A$428,0)-1),""))</f>
        <v/>
      </c>
      <c r="AA19" s="19" cm="1">
        <f t="array" ref="AA19">IF(EDATE(AA$387,ROW()-2)&gt;AA$388,"",IFERROR(IF(ROW()=2,100,AA18)*INDEX($D$2:$D$428,MATCH(EDATE(AA$387,ROW()-2),$A$2:$A$428,0))/INDEX($D$2:$D$428,MATCH(EDATE(AA$387,ROW()-2),$A$2:$A$428,0)-1),""))</f>
        <v>138.59092027116489</v>
      </c>
      <c r="AB19" s="19" cm="1">
        <f t="array" ref="AB19">IF(EDATE(AB$387,ROW()-2)&gt;AB$388,"",IFERROR(IF(ROW()=2,100,AB18)*INDEX($D$2:$D$428,MATCH(EDATE(AB$387,ROW()-2),$A$2:$A$428,0))/INDEX($D$2:$D$428,MATCH(EDATE(AB$387,ROW()-2),$A$2:$A$428,0)-1),""))</f>
        <v>114.28966119373354</v>
      </c>
      <c r="AC19" s="19" cm="1">
        <f t="array" ref="AC19">IF(EDATE(AC$387,ROW()-2)&gt;AC$388,"",IFERROR(IF(ROW()=2,100,AC18)*INDEX($D$2:$D$428,MATCH(EDATE(AC$387,ROW()-2),$A$2:$A$428,0))/INDEX($D$2:$D$428,MATCH(EDATE(AC$387,ROW()-2),$A$2:$A$428,0)-1),""))</f>
        <v>114.34525959297315</v>
      </c>
      <c r="AD19" s="19" cm="1">
        <f t="array" ref="AD19">IF(EDATE(AD$387,ROW()-2)&gt;AD$388,"",IFERROR(IF(ROW()=2,100,AD18)*INDEX($D$2:$D$428,MATCH(EDATE(AD$387,ROW()-2),$A$2:$A$428,0))/INDEX($D$2:$D$428,MATCH(EDATE(AD$387,ROW()-2),$A$2:$A$428,0)-1),""))</f>
        <v>118.02295303077373</v>
      </c>
      <c r="AE19" s="19"/>
      <c r="AF19" s="19" cm="1">
        <f t="array" ref="AF19">IF(EDATE(AF$387,ROW()-2)&gt;AF$388,"",IFERROR(IF(ROW()=2,100,AF18)*INDEX($D$2:$D$428,MATCH(EDATE(AF$387,ROW()-2),$A$2:$A$428,0))/INDEX($D$2:$D$428,MATCH(EDATE(AF$387,ROW()-2),$A$2:$A$428,0)-1),""))</f>
        <v>123.11235153530087</v>
      </c>
      <c r="AG19" s="19" cm="1">
        <f t="array" ref="AG19">IF(EDATE(AG$387,ROW()-2)&gt;AG$388,"",IFERROR(IF(ROW()=2,100,AG18)*INDEX($D$2:$D$428,MATCH(EDATE(AG$387,ROW()-2),$A$2:$A$428,0))/INDEX($D$2:$D$428,MATCH(EDATE(AG$387,ROW()-2),$A$2:$A$428,0)-1),""))</f>
        <v>112.82859175714979</v>
      </c>
      <c r="AH19" s="19" cm="1">
        <f t="array" ref="AH19">IF(EDATE(AH$387,ROW()-2)&gt;AH$388,"",IFERROR(IF(ROW()=2,100,AH18)*INDEX($D$2:$D$428,MATCH(EDATE(AH$387,ROW()-2),$A$2:$A$428,0))/INDEX($D$2:$D$428,MATCH(EDATE(AH$387,ROW()-2),$A$2:$A$428,0)-1),""))</f>
        <v>117.03835581667694</v>
      </c>
      <c r="AJ19" s="11">
        <v>33390</v>
      </c>
      <c r="AK19">
        <v>25.6</v>
      </c>
      <c r="AL19" s="26" t="e">
        <f t="shared" si="7"/>
        <v>#VALUE!</v>
      </c>
      <c r="AN19" s="27">
        <f t="shared" ref="AN19:AU34" si="8">IF(EDATE(AN$387,ROW()-2)&gt;AN$388,"",IFERROR((INDEX($AL$2:$AL$441,MATCH(EDATE(AN$387,ROW()-2),$AJ$2:$AJ$441,0))-INDEX($AL$2:$AL$441,MATCH(EDATE(AN$387,-1),$AJ$2:$AJ$441,0)))*100,""))</f>
        <v>11.162450807604973</v>
      </c>
      <c r="AO19" s="27">
        <f t="shared" si="8"/>
        <v>-5.2762514223841928</v>
      </c>
      <c r="AP19" s="27">
        <f t="shared" si="8"/>
        <v>-3.222936636420326</v>
      </c>
      <c r="AQ19" s="27">
        <f t="shared" si="8"/>
        <v>6.1603493804129883E-3</v>
      </c>
      <c r="AR19" s="27"/>
      <c r="AS19" s="27">
        <f t="shared" si="8"/>
        <v>10.190577592531424</v>
      </c>
      <c r="AT19" s="27">
        <f t="shared" si="8"/>
        <v>5.4462658092436218</v>
      </c>
      <c r="AU19" s="27">
        <f t="shared" si="8"/>
        <v>3.4269910217521904</v>
      </c>
    </row>
    <row r="20" spans="1:47" x14ac:dyDescent="0.3">
      <c r="A20" s="11">
        <v>33786</v>
      </c>
      <c r="B20">
        <v>72.959999999999994</v>
      </c>
      <c r="C20" t="s">
        <v>20</v>
      </c>
      <c r="D20" t="s">
        <v>20</v>
      </c>
      <c r="E20" s="11">
        <f t="shared" si="0"/>
        <v>33786</v>
      </c>
      <c r="F20" s="9">
        <f t="shared" si="4"/>
        <v>10.037821482602116</v>
      </c>
      <c r="G20" s="9" t="e">
        <f t="shared" si="5"/>
        <v>#VALUE!</v>
      </c>
      <c r="H20" s="9" t="e">
        <f t="shared" si="6"/>
        <v>#VALUE!</v>
      </c>
      <c r="I20" s="11">
        <f t="shared" si="1"/>
        <v>33786</v>
      </c>
      <c r="O20" s="11">
        <v>35247</v>
      </c>
      <c r="P20" s="19" cm="1">
        <f t="array" ref="P20">IF(OR($O20&lt;P$387,$O20&gt;P$388),"",IFERROR(IF($O20=P$387,100,P19)*INDEX($B$2:$B$428,MATCH($O20,$A$2:$A$428,0))/INDEX($B$2:$B$428,MATCH($O20,$A$2:$A$428,0)-1),""))</f>
        <v>175.37270143588154</v>
      </c>
      <c r="Q20" s="19" t="str" cm="1">
        <f t="array" ref="Q20">IF(OR($O20&lt;Q$387,$O20&gt;Q$388),"",IFERROR(IF($O20=Q$387,100,Q19)*INDEX($B$2:$B$428,MATCH($O20,$A$2:$A$428,0))/INDEX($B$2:$B$428,MATCH($O20,$A$2:$A$428,0)-1),""))</f>
        <v/>
      </c>
      <c r="R20" s="19" t="str" cm="1">
        <f t="array" ref="R20">IF(OR($O20&lt;R$387,$O20&gt;R$388),"",IFERROR(IF($O20=R$387,100,R19)*INDEX($B$2:$B$428,MATCH($O20,$A$2:$A$428,0))/INDEX($B$2:$B$428,MATCH($O20,$A$2:$A$428,0)-1),""))</f>
        <v/>
      </c>
      <c r="S20" s="19" t="str" cm="1">
        <f t="array" ref="S20">IF(OR($O20&lt;S$387,$O20&gt;S$388),"",IFERROR(IF($O20=S$387,100,S19)*INDEX($B$2:$B$428,MATCH($O20,$A$2:$A$428,0))/INDEX($B$2:$B$428,MATCH($O20,$A$2:$A$428,0)-1),""))</f>
        <v/>
      </c>
      <c r="T20" s="19" t="str" cm="1">
        <f t="array" ref="T20">IF(OR($O20&lt;T$387,$O20&gt;T$388),"",IFERROR(IF($O20=T$387,100,T19)*INDEX($B$2:$B$428,MATCH($O20,$A$2:$A$428,0))/INDEX($B$2:$B$428,MATCH($O20,$A$2:$A$428,0)-1),""))</f>
        <v/>
      </c>
      <c r="U20" s="19" t="str" cm="1">
        <f t="array" ref="U20">IF(OR($O20&lt;U$387,$O20&gt;U$388),"",IFERROR(IF($O20=U$387,100,U19)*INDEX($B$2:$B$428,MATCH($O20,$A$2:$A$428,0))/INDEX($B$2:$B$428,MATCH($O20,$A$2:$A$428,0)-1),""))</f>
        <v/>
      </c>
      <c r="V20" s="19" t="str" cm="1">
        <f t="array" ref="V20">IF(OR($O20&lt;V$387,$O20&gt;V$388),"",IFERROR(IF($O20=V$387,100,V19)*INDEX($B$2:$B$428,MATCH($O20,$A$2:$A$428,0))/INDEX($B$2:$B$428,MATCH($O20,$A$2:$A$428,0)-1),""))</f>
        <v/>
      </c>
      <c r="W20" s="19" t="str" cm="1">
        <f t="array" ref="W20">IF(OR($O20&lt;W$387,$O20&gt;W$388),"",IFERROR(IF($O20=W$387,100,W19)*INDEX($B$2:$B$428,MATCH($O20,$A$2:$A$428,0))/INDEX($B$2:$B$428,MATCH($O20,$A$2:$A$428,0)-1),""))</f>
        <v/>
      </c>
      <c r="X20" s="19" t="str" cm="1">
        <f t="array" ref="X20">IF(OR($O20&lt;X$387,$O20&gt;X$388),"",IFERROR(IF($O20=X$387,100,X19)*INDEX($B$2:$B$428,MATCH($O20,$A$2:$A$428,0))/INDEX($B$2:$B$428,MATCH($O20,$A$2:$A$428,0)-1),""))</f>
        <v/>
      </c>
      <c r="AA20" s="19" cm="1">
        <f t="array" ref="AA20">IF(EDATE(AA$387,ROW()-2)&gt;AA$388,"",IFERROR(IF(ROW()=2,100,AA19)*INDEX($D$2:$D$428,MATCH(EDATE(AA$387,ROW()-2),$A$2:$A$428,0))/INDEX($D$2:$D$428,MATCH(EDATE(AA$387,ROW()-2),$A$2:$A$428,0)-1),""))</f>
        <v>141.77832478001935</v>
      </c>
      <c r="AB20" s="19" cm="1">
        <f t="array" ref="AB20">IF(EDATE(AB$387,ROW()-2)&gt;AB$388,"",IFERROR(IF(ROW()=2,100,AB19)*INDEX($D$2:$D$428,MATCH(EDATE(AB$387,ROW()-2),$A$2:$A$428,0))/INDEX($D$2:$D$428,MATCH(EDATE(AB$387,ROW()-2),$A$2:$A$428,0)-1),""))</f>
        <v>113.76493250860425</v>
      </c>
      <c r="AC20" s="19" cm="1">
        <f t="array" ref="AC20">IF(EDATE(AC$387,ROW()-2)&gt;AC$388,"",IFERROR(IF(ROW()=2,100,AC19)*INDEX($D$2:$D$428,MATCH(EDATE(AC$387,ROW()-2),$A$2:$A$428,0))/INDEX($D$2:$D$428,MATCH(EDATE(AC$387,ROW()-2),$A$2:$A$428,0)-1),""))</f>
        <v>109.76235191662991</v>
      </c>
      <c r="AD20" s="19" cm="1">
        <f t="array" ref="AD20">IF(EDATE(AD$387,ROW()-2)&gt;AD$388,"",IFERROR(IF(ROW()=2,100,AD19)*INDEX($D$2:$D$428,MATCH(EDATE(AD$387,ROW()-2),$A$2:$A$428,0))/INDEX($D$2:$D$428,MATCH(EDATE(AD$387,ROW()-2),$A$2:$A$428,0)-1),""))</f>
        <v>113.66733912909855</v>
      </c>
      <c r="AE20" s="19"/>
      <c r="AF20" s="19" cm="1">
        <f t="array" ref="AF20">IF(EDATE(AF$387,ROW()-2)&gt;AF$388,"",IFERROR(IF(ROW()=2,100,AF19)*INDEX($D$2:$D$428,MATCH(EDATE(AF$387,ROW()-2),$A$2:$A$428,0))/INDEX($D$2:$D$428,MATCH(EDATE(AF$387,ROW()-2),$A$2:$A$428,0)-1),""))</f>
        <v>124.65170348355217</v>
      </c>
      <c r="AG20" s="19" cm="1">
        <f t="array" ref="AG20">IF(EDATE(AG$387,ROW()-2)&gt;AG$388,"",IFERROR(IF(ROW()=2,100,AG19)*INDEX($D$2:$D$428,MATCH(EDATE(AG$387,ROW()-2),$A$2:$A$428,0))/INDEX($D$2:$D$428,MATCH(EDATE(AG$387,ROW()-2),$A$2:$A$428,0)-1),""))</f>
        <v>110.97538053420345</v>
      </c>
      <c r="AH20" s="19" cm="1">
        <f t="array" ref="AH20">IF(EDATE(AH$387,ROW()-2)&gt;AH$388,"",IFERROR(IF(ROW()=2,100,AH19)*INDEX($D$2:$D$428,MATCH(EDATE(AH$387,ROW()-2),$A$2:$A$428,0))/INDEX($D$2:$D$428,MATCH(EDATE(AH$387,ROW()-2),$A$2:$A$428,0)-1),""))</f>
        <v>118.08084753948573</v>
      </c>
      <c r="AJ20" s="11">
        <v>33420</v>
      </c>
      <c r="AK20">
        <v>29.3</v>
      </c>
      <c r="AL20" s="26" t="e">
        <f t="shared" si="7"/>
        <v>#VALUE!</v>
      </c>
      <c r="AN20" s="27">
        <f t="shared" si="8"/>
        <v>11.913699284149459</v>
      </c>
      <c r="AO20" s="27">
        <f t="shared" si="8"/>
        <v>-6.4993423262269756</v>
      </c>
      <c r="AP20" s="27">
        <f t="shared" si="8"/>
        <v>-6.4918912192684193</v>
      </c>
      <c r="AQ20" s="27">
        <f t="shared" si="8"/>
        <v>-2.8398469811233285</v>
      </c>
      <c r="AR20" s="27"/>
      <c r="AS20" s="27">
        <f t="shared" si="8"/>
        <v>10.849073636862261</v>
      </c>
      <c r="AT20" s="27">
        <f t="shared" si="8"/>
        <v>3.8240062063454205</v>
      </c>
      <c r="AU20" s="27">
        <f t="shared" si="8"/>
        <v>3.4577587161039869</v>
      </c>
    </row>
    <row r="21" spans="1:47" x14ac:dyDescent="0.3">
      <c r="A21" s="11">
        <v>33817</v>
      </c>
      <c r="B21">
        <v>88.41</v>
      </c>
      <c r="C21" t="s">
        <v>20</v>
      </c>
      <c r="D21" t="s">
        <v>20</v>
      </c>
      <c r="E21" s="11">
        <f t="shared" si="0"/>
        <v>33817</v>
      </c>
      <c r="F21" s="9">
        <f t="shared" si="4"/>
        <v>10.772303595206392</v>
      </c>
      <c r="G21" s="9" t="e">
        <f t="shared" si="5"/>
        <v>#VALUE!</v>
      </c>
      <c r="H21" s="9" t="e">
        <f t="shared" si="6"/>
        <v>#VALUE!</v>
      </c>
      <c r="I21" s="11">
        <f t="shared" si="1"/>
        <v>33817</v>
      </c>
      <c r="O21" s="11">
        <v>35278</v>
      </c>
      <c r="P21" s="19" cm="1">
        <f t="array" ref="P21">IF(OR($O21&lt;P$387,$O21&gt;P$388),"",IFERROR(IF($O21=P$387,100,P20)*INDEX($B$2:$B$428,MATCH($O21,$A$2:$A$428,0))/INDEX($B$2:$B$428,MATCH($O21,$A$2:$A$428,0)-1),""))</f>
        <v>178.8098525112548</v>
      </c>
      <c r="Q21" s="19" t="str" cm="1">
        <f t="array" ref="Q21">IF(OR($O21&lt;Q$387,$O21&gt;Q$388),"",IFERROR(IF($O21=Q$387,100,Q20)*INDEX($B$2:$B$428,MATCH($O21,$A$2:$A$428,0))/INDEX($B$2:$B$428,MATCH($O21,$A$2:$A$428,0)-1),""))</f>
        <v/>
      </c>
      <c r="R21" s="19" t="str" cm="1">
        <f t="array" ref="R21">IF(OR($O21&lt;R$387,$O21&gt;R$388),"",IFERROR(IF($O21=R$387,100,R20)*INDEX($B$2:$B$428,MATCH($O21,$A$2:$A$428,0))/INDEX($B$2:$B$428,MATCH($O21,$A$2:$A$428,0)-1),""))</f>
        <v/>
      </c>
      <c r="S21" s="19" t="str" cm="1">
        <f t="array" ref="S21">IF(OR($O21&lt;S$387,$O21&gt;S$388),"",IFERROR(IF($O21=S$387,100,S20)*INDEX($B$2:$B$428,MATCH($O21,$A$2:$A$428,0))/INDEX($B$2:$B$428,MATCH($O21,$A$2:$A$428,0)-1),""))</f>
        <v/>
      </c>
      <c r="T21" s="19" t="str" cm="1">
        <f t="array" ref="T21">IF(OR($O21&lt;T$387,$O21&gt;T$388),"",IFERROR(IF($O21=T$387,100,T20)*INDEX($B$2:$B$428,MATCH($O21,$A$2:$A$428,0))/INDEX($B$2:$B$428,MATCH($O21,$A$2:$A$428,0)-1),""))</f>
        <v/>
      </c>
      <c r="U21" s="19" t="str" cm="1">
        <f t="array" ref="U21">IF(OR($O21&lt;U$387,$O21&gt;U$388),"",IFERROR(IF($O21=U$387,100,U20)*INDEX($B$2:$B$428,MATCH($O21,$A$2:$A$428,0))/INDEX($B$2:$B$428,MATCH($O21,$A$2:$A$428,0)-1),""))</f>
        <v/>
      </c>
      <c r="V21" s="19" t="str" cm="1">
        <f t="array" ref="V21">IF(OR($O21&lt;V$387,$O21&gt;V$388),"",IFERROR(IF($O21=V$387,100,V20)*INDEX($B$2:$B$428,MATCH($O21,$A$2:$A$428,0))/INDEX($B$2:$B$428,MATCH($O21,$A$2:$A$428,0)-1),""))</f>
        <v/>
      </c>
      <c r="W21" s="19" t="str" cm="1">
        <f t="array" ref="W21">IF(OR($O21&lt;W$387,$O21&gt;W$388),"",IFERROR(IF($O21=W$387,100,W20)*INDEX($B$2:$B$428,MATCH($O21,$A$2:$A$428,0))/INDEX($B$2:$B$428,MATCH($O21,$A$2:$A$428,0)-1),""))</f>
        <v/>
      </c>
      <c r="X21" s="19" t="str" cm="1">
        <f t="array" ref="X21">IF(OR($O21&lt;X$387,$O21&gt;X$388),"",IFERROR(IF($O21=X$387,100,X20)*INDEX($B$2:$B$428,MATCH($O21,$A$2:$A$428,0))/INDEX($B$2:$B$428,MATCH($O21,$A$2:$A$428,0)-1),""))</f>
        <v/>
      </c>
      <c r="AA21" s="19" cm="1">
        <f t="array" ref="AA21">IF(EDATE(AA$387,ROW()-2)&gt;AA$388,"",IFERROR(IF(ROW()=2,100,AA20)*INDEX($D$2:$D$428,MATCH(EDATE(AA$387,ROW()-2),$A$2:$A$428,0))/INDEX($D$2:$D$428,MATCH(EDATE(AA$387,ROW()-2),$A$2:$A$428,0)-1),""))</f>
        <v>142.74196099449</v>
      </c>
      <c r="AB21" s="19" cm="1">
        <f t="array" ref="AB21">IF(EDATE(AB$387,ROW()-2)&gt;AB$388,"",IFERROR(IF(ROW()=2,100,AB20)*INDEX($D$2:$D$428,MATCH(EDATE(AB$387,ROW()-2),$A$2:$A$428,0))/INDEX($D$2:$D$428,MATCH(EDATE(AB$387,ROW()-2),$A$2:$A$428,0)-1),""))</f>
        <v>114.0279050280819</v>
      </c>
      <c r="AC21" s="19" cm="1">
        <f t="array" ref="AC21">IF(EDATE(AC$387,ROW()-2)&gt;AC$388,"",IFERROR(IF(ROW()=2,100,AC20)*INDEX($D$2:$D$428,MATCH(EDATE(AC$387,ROW()-2),$A$2:$A$428,0))/INDEX($D$2:$D$428,MATCH(EDATE(AC$387,ROW()-2),$A$2:$A$428,0)-1),""))</f>
        <v>111.48482213278342</v>
      </c>
      <c r="AD21" s="19" cm="1">
        <f t="array" ref="AD21">IF(EDATE(AD$387,ROW()-2)&gt;AD$388,"",IFERROR(IF(ROW()=2,100,AD20)*INDEX($D$2:$D$428,MATCH(EDATE(AD$387,ROW()-2),$A$2:$A$428,0))/INDEX($D$2:$D$428,MATCH(EDATE(AD$387,ROW()-2),$A$2:$A$428,0)-1),""))</f>
        <v>114.00961938802222</v>
      </c>
      <c r="AE21" s="19"/>
      <c r="AF21" s="19" cm="1">
        <f t="array" ref="AF21">IF(EDATE(AF$387,ROW()-2)&gt;AF$388,"",IFERROR(IF(ROW()=2,100,AF20)*INDEX($D$2:$D$428,MATCH(EDATE(AF$387,ROW()-2),$A$2:$A$428,0))/INDEX($D$2:$D$428,MATCH(EDATE(AF$387,ROW()-2),$A$2:$A$428,0)-1),""))</f>
        <v>126.63364433140259</v>
      </c>
      <c r="AG21" s="19" cm="1">
        <f t="array" ref="AG21">IF(EDATE(AG$387,ROW()-2)&gt;AG$388,"",IFERROR(IF(ROW()=2,100,AG20)*INDEX($D$2:$D$428,MATCH(EDATE(AG$387,ROW()-2),$A$2:$A$428,0))/INDEX($D$2:$D$428,MATCH(EDATE(AG$387,ROW()-2),$A$2:$A$428,0)-1),""))</f>
        <v>112.16070724432858</v>
      </c>
      <c r="AH21" s="19" cm="1">
        <f t="array" ref="AH21">IF(EDATE(AH$387,ROW()-2)&gt;AH$388,"",IFERROR(IF(ROW()=2,100,AH20)*INDEX($D$2:$D$428,MATCH(EDATE(AH$387,ROW()-2),$A$2:$A$428,0))/INDEX($D$2:$D$428,MATCH(EDATE(AH$387,ROW()-2),$A$2:$A$428,0)-1),""))</f>
        <v>116.6595301547415</v>
      </c>
      <c r="AJ21" s="11">
        <v>33451</v>
      </c>
      <c r="AK21">
        <v>33.5</v>
      </c>
      <c r="AL21" s="26" t="e">
        <f t="shared" si="7"/>
        <v>#VALUE!</v>
      </c>
      <c r="AN21" s="27">
        <f t="shared" si="8"/>
        <v>11.640903064918472</v>
      </c>
      <c r="AO21" s="27">
        <f t="shared" si="8"/>
        <v>-7.2199889244733972</v>
      </c>
      <c r="AP21" s="27">
        <f t="shared" si="8"/>
        <v>-6.2673026304563955</v>
      </c>
      <c r="AQ21" s="27">
        <f t="shared" si="8"/>
        <v>-3.221863988829643</v>
      </c>
      <c r="AR21" s="27"/>
      <c r="AS21" s="27">
        <f t="shared" si="8"/>
        <v>11.770963983320726</v>
      </c>
      <c r="AT21" s="27">
        <f t="shared" si="8"/>
        <v>4.6859071960008496</v>
      </c>
      <c r="AU21" s="27">
        <f t="shared" si="8"/>
        <v>1.8692059428048413</v>
      </c>
    </row>
    <row r="22" spans="1:47" x14ac:dyDescent="0.3">
      <c r="A22" s="11">
        <v>33848</v>
      </c>
      <c r="B22">
        <v>111.79</v>
      </c>
      <c r="C22" t="s">
        <v>20</v>
      </c>
      <c r="D22" t="s">
        <v>20</v>
      </c>
      <c r="E22" s="11">
        <f t="shared" si="0"/>
        <v>33848</v>
      </c>
      <c r="F22" s="9">
        <f t="shared" si="4"/>
        <v>11.407325194228635</v>
      </c>
      <c r="G22" s="9" t="e">
        <f t="shared" si="5"/>
        <v>#VALUE!</v>
      </c>
      <c r="H22" s="9" t="e">
        <f t="shared" si="6"/>
        <v>#VALUE!</v>
      </c>
      <c r="I22" s="11">
        <f t="shared" si="1"/>
        <v>33848</v>
      </c>
      <c r="O22" s="11">
        <v>35309</v>
      </c>
      <c r="P22" s="19" cm="1">
        <f t="array" ref="P22">IF(OR($O22&lt;P$387,$O22&gt;P$388),"",IFERROR(IF($O22=P$387,100,P21)*INDEX($B$2:$B$428,MATCH($O22,$A$2:$A$428,0))/INDEX($B$2:$B$428,MATCH($O22,$A$2:$A$428,0)-1),""))</f>
        <v>180.95924719846417</v>
      </c>
      <c r="Q22" s="19" t="str" cm="1">
        <f t="array" ref="Q22">IF(OR($O22&lt;Q$387,$O22&gt;Q$388),"",IFERROR(IF($O22=Q$387,100,Q21)*INDEX($B$2:$B$428,MATCH($O22,$A$2:$A$428,0))/INDEX($B$2:$B$428,MATCH($O22,$A$2:$A$428,0)-1),""))</f>
        <v/>
      </c>
      <c r="R22" s="19" t="str" cm="1">
        <f t="array" ref="R22">IF(OR($O22&lt;R$387,$O22&gt;R$388),"",IFERROR(IF($O22=R$387,100,R21)*INDEX($B$2:$B$428,MATCH($O22,$A$2:$A$428,0))/INDEX($B$2:$B$428,MATCH($O22,$A$2:$A$428,0)-1),""))</f>
        <v/>
      </c>
      <c r="S22" s="19" t="str" cm="1">
        <f t="array" ref="S22">IF(OR($O22&lt;S$387,$O22&gt;S$388),"",IFERROR(IF($O22=S$387,100,S21)*INDEX($B$2:$B$428,MATCH($O22,$A$2:$A$428,0))/INDEX($B$2:$B$428,MATCH($O22,$A$2:$A$428,0)-1),""))</f>
        <v/>
      </c>
      <c r="T22" s="19" t="str" cm="1">
        <f t="array" ref="T22">IF(OR($O22&lt;T$387,$O22&gt;T$388),"",IFERROR(IF($O22=T$387,100,T21)*INDEX($B$2:$B$428,MATCH($O22,$A$2:$A$428,0))/INDEX($B$2:$B$428,MATCH($O22,$A$2:$A$428,0)-1),""))</f>
        <v/>
      </c>
      <c r="U22" s="19" t="str" cm="1">
        <f t="array" ref="U22">IF(OR($O22&lt;U$387,$O22&gt;U$388),"",IFERROR(IF($O22=U$387,100,U21)*INDEX($B$2:$B$428,MATCH($O22,$A$2:$A$428,0))/INDEX($B$2:$B$428,MATCH($O22,$A$2:$A$428,0)-1),""))</f>
        <v/>
      </c>
      <c r="V22" s="19" t="str" cm="1">
        <f t="array" ref="V22">IF(OR($O22&lt;V$387,$O22&gt;V$388),"",IFERROR(IF($O22=V$387,100,V21)*INDEX($B$2:$B$428,MATCH($O22,$A$2:$A$428,0))/INDEX($B$2:$B$428,MATCH($O22,$A$2:$A$428,0)-1),""))</f>
        <v/>
      </c>
      <c r="W22" s="19" t="str" cm="1">
        <f t="array" ref="W22">IF(OR($O22&lt;W$387,$O22&gt;W$388),"",IFERROR(IF($O22=W$387,100,W21)*INDEX($B$2:$B$428,MATCH($O22,$A$2:$A$428,0))/INDEX($B$2:$B$428,MATCH($O22,$A$2:$A$428,0)-1),""))</f>
        <v/>
      </c>
      <c r="X22" s="19" t="str" cm="1">
        <f t="array" ref="X22">IF(OR($O22&lt;X$387,$O22&gt;X$388),"",IFERROR(IF($O22=X$387,100,X21)*INDEX($B$2:$B$428,MATCH($O22,$A$2:$A$428,0))/INDEX($B$2:$B$428,MATCH($O22,$A$2:$A$428,0)-1),""))</f>
        <v/>
      </c>
      <c r="AA22" s="19" cm="1">
        <f t="array" ref="AA22">IF(EDATE(AA$387,ROW()-2)&gt;AA$388,"",IFERROR(IF(ROW()=2,100,AA21)*INDEX($D$2:$D$428,MATCH(EDATE(AA$387,ROW()-2),$A$2:$A$428,0))/INDEX($D$2:$D$428,MATCH(EDATE(AA$387,ROW()-2),$A$2:$A$428,0)-1),""))</f>
        <v>144.27968989713935</v>
      </c>
      <c r="AB22" s="19" cm="1">
        <f t="array" ref="AB22">IF(EDATE(AB$387,ROW()-2)&gt;AB$388,"",IFERROR(IF(ROW()=2,100,AB21)*INDEX($D$2:$D$428,MATCH(EDATE(AB$387,ROW()-2),$A$2:$A$428,0))/INDEX($D$2:$D$428,MATCH(EDATE(AB$387,ROW()-2),$A$2:$A$428,0)-1),""))</f>
        <v>114.70236174955957</v>
      </c>
      <c r="AC22" s="19" cm="1">
        <f t="array" ref="AC22">IF(EDATE(AC$387,ROW()-2)&gt;AC$388,"",IFERROR(IF(ROW()=2,100,AC21)*INDEX($D$2:$D$428,MATCH(EDATE(AC$387,ROW()-2),$A$2:$A$428,0))/INDEX($D$2:$D$428,MATCH(EDATE(AC$387,ROW()-2),$A$2:$A$428,0)-1),""))</f>
        <v>112.85956587606417</v>
      </c>
      <c r="AD22" s="19" cm="1">
        <f t="array" ref="AD22">IF(EDATE(AD$387,ROW()-2)&gt;AD$388,"",IFERROR(IF(ROW()=2,100,AD21)*INDEX($D$2:$D$428,MATCH(EDATE(AD$387,ROW()-2),$A$2:$A$428,0))/INDEX($D$2:$D$428,MATCH(EDATE(AD$387,ROW()-2),$A$2:$A$428,0)-1),""))</f>
        <v>115.93318207840558</v>
      </c>
      <c r="AE22" s="19"/>
      <c r="AF22" s="19" cm="1">
        <f t="array" ref="AF22">IF(EDATE(AF$387,ROW()-2)&gt;AF$388,"",IFERROR(IF(ROW()=2,100,AF21)*INDEX($D$2:$D$428,MATCH(EDATE(AF$387,ROW()-2),$A$2:$A$428,0))/INDEX($D$2:$D$428,MATCH(EDATE(AF$387,ROW()-2),$A$2:$A$428,0)-1),""))</f>
        <v>125.90125115675188</v>
      </c>
      <c r="AG22" s="19" cm="1">
        <f t="array" ref="AG22">IF(EDATE(AG$387,ROW()-2)&gt;AG$388,"",IFERROR(IF(ROW()=2,100,AG21)*INDEX($D$2:$D$428,MATCH(EDATE(AG$387,ROW()-2),$A$2:$A$428,0))/INDEX($D$2:$D$428,MATCH(EDATE(AG$387,ROW()-2),$A$2:$A$428,0)-1),""))</f>
        <v>114.255232581386</v>
      </c>
      <c r="AH22" s="19" cm="1">
        <f t="array" ref="AH22">IF(EDATE(AH$387,ROW()-2)&gt;AH$388,"",IFERROR(IF(ROW()=2,100,AH21)*INDEX($D$2:$D$428,MATCH(EDATE(AH$387,ROW()-2),$A$2:$A$428,0))/INDEX($D$2:$D$428,MATCH(EDATE(AH$387,ROW()-2),$A$2:$A$428,0)-1),""))</f>
        <v>115.69749146324587</v>
      </c>
      <c r="AJ22" s="11">
        <v>33482</v>
      </c>
      <c r="AK22">
        <v>37.9</v>
      </c>
      <c r="AL22" s="26" t="e">
        <f t="shared" si="7"/>
        <v>#VALUE!</v>
      </c>
      <c r="AN22" s="27">
        <f t="shared" si="8"/>
        <v>11.791286337664186</v>
      </c>
      <c r="AO22" s="27">
        <f t="shared" si="8"/>
        <v>-7.493328397769794</v>
      </c>
      <c r="AP22" s="27">
        <f t="shared" si="8"/>
        <v>-6.4422462292601734</v>
      </c>
      <c r="AQ22" s="27">
        <f t="shared" si="8"/>
        <v>-2.6395230859381336</v>
      </c>
      <c r="AR22" s="27"/>
      <c r="AS22" s="27">
        <f t="shared" si="8"/>
        <v>10.813911552799649</v>
      </c>
      <c r="AT22" s="27">
        <f t="shared" si="8"/>
        <v>5.9916230761879241</v>
      </c>
      <c r="AU22" s="27">
        <f t="shared" si="8"/>
        <v>0.58785222852599794</v>
      </c>
    </row>
    <row r="23" spans="1:47" x14ac:dyDescent="0.3">
      <c r="A23" s="11">
        <v>33878</v>
      </c>
      <c r="B23">
        <v>140.81</v>
      </c>
      <c r="C23" t="s">
        <v>20</v>
      </c>
      <c r="D23" t="s">
        <v>20</v>
      </c>
      <c r="E23" s="11">
        <f t="shared" si="0"/>
        <v>33878</v>
      </c>
      <c r="F23" s="9">
        <f t="shared" si="4"/>
        <v>10.783263598326361</v>
      </c>
      <c r="G23" s="9" t="e">
        <f t="shared" si="5"/>
        <v>#VALUE!</v>
      </c>
      <c r="H23" s="9" t="e">
        <f t="shared" si="6"/>
        <v>#VALUE!</v>
      </c>
      <c r="I23" s="11">
        <f t="shared" si="1"/>
        <v>33878</v>
      </c>
      <c r="O23" s="11">
        <v>35339</v>
      </c>
      <c r="P23" s="19" cm="1">
        <f t="array" ref="P23">IF(OR($O23&lt;P$387,$O23&gt;P$388),"",IFERROR(IF($O23=P$387,100,P22)*INDEX($B$2:$B$428,MATCH($O23,$A$2:$A$428,0))/INDEX($B$2:$B$428,MATCH($O23,$A$2:$A$428,0)-1),""))</f>
        <v>185.15831941115684</v>
      </c>
      <c r="Q23" s="19" t="str" cm="1">
        <f t="array" ref="Q23">IF(OR($O23&lt;Q$387,$O23&gt;Q$388),"",IFERROR(IF($O23=Q$387,100,Q22)*INDEX($B$2:$B$428,MATCH($O23,$A$2:$A$428,0))/INDEX($B$2:$B$428,MATCH($O23,$A$2:$A$428,0)-1),""))</f>
        <v/>
      </c>
      <c r="R23" s="19" t="str" cm="1">
        <f t="array" ref="R23">IF(OR($O23&lt;R$387,$O23&gt;R$388),"",IFERROR(IF($O23=R$387,100,R22)*INDEX($B$2:$B$428,MATCH($O23,$A$2:$A$428,0))/INDEX($B$2:$B$428,MATCH($O23,$A$2:$A$428,0)-1),""))</f>
        <v/>
      </c>
      <c r="S23" s="19" t="str" cm="1">
        <f t="array" ref="S23">IF(OR($O23&lt;S$387,$O23&gt;S$388),"",IFERROR(IF($O23=S$387,100,S22)*INDEX($B$2:$B$428,MATCH($O23,$A$2:$A$428,0))/INDEX($B$2:$B$428,MATCH($O23,$A$2:$A$428,0)-1),""))</f>
        <v/>
      </c>
      <c r="T23" s="19" t="str" cm="1">
        <f t="array" ref="T23">IF(OR($O23&lt;T$387,$O23&gt;T$388),"",IFERROR(IF($O23=T$387,100,T22)*INDEX($B$2:$B$428,MATCH($O23,$A$2:$A$428,0))/INDEX($B$2:$B$428,MATCH($O23,$A$2:$A$428,0)-1),""))</f>
        <v/>
      </c>
      <c r="U23" s="19" t="str" cm="1">
        <f t="array" ref="U23">IF(OR($O23&lt;U$387,$O23&gt;U$388),"",IFERROR(IF($O23=U$387,100,U22)*INDEX($B$2:$B$428,MATCH($O23,$A$2:$A$428,0))/INDEX($B$2:$B$428,MATCH($O23,$A$2:$A$428,0)-1),""))</f>
        <v/>
      </c>
      <c r="V23" s="19" t="str" cm="1">
        <f t="array" ref="V23">IF(OR($O23&lt;V$387,$O23&gt;V$388),"",IFERROR(IF($O23=V$387,100,V22)*INDEX($B$2:$B$428,MATCH($O23,$A$2:$A$428,0))/INDEX($B$2:$B$428,MATCH($O23,$A$2:$A$428,0)-1),""))</f>
        <v/>
      </c>
      <c r="W23" s="19" t="str" cm="1">
        <f t="array" ref="W23">IF(OR($O23&lt;W$387,$O23&gt;W$388),"",IFERROR(IF($O23=W$387,100,W22)*INDEX($B$2:$B$428,MATCH($O23,$A$2:$A$428,0))/INDEX($B$2:$B$428,MATCH($O23,$A$2:$A$428,0)-1),""))</f>
        <v/>
      </c>
      <c r="X23" s="19" t="str" cm="1">
        <f t="array" ref="X23">IF(OR($O23&lt;X$387,$O23&gt;X$388),"",IFERROR(IF($O23=X$387,100,X22)*INDEX($B$2:$B$428,MATCH($O23,$A$2:$A$428,0))/INDEX($B$2:$B$428,MATCH($O23,$A$2:$A$428,0)-1),""))</f>
        <v/>
      </c>
      <c r="AA23" s="19" cm="1">
        <f t="array" ref="AA23">IF(EDATE(AA$387,ROW()-2)&gt;AA$388,"",IFERROR(IF(ROW()=2,100,AA22)*INDEX($D$2:$D$428,MATCH(EDATE(AA$387,ROW()-2),$A$2:$A$428,0))/INDEX($D$2:$D$428,MATCH(EDATE(AA$387,ROW()-2),$A$2:$A$428,0)-1),""))</f>
        <v>145.43354123923763</v>
      </c>
      <c r="AB23" s="19" cm="1">
        <f t="array" ref="AB23">IF(EDATE(AB$387,ROW()-2)&gt;AB$388,"",IFERROR(IF(ROW()=2,100,AB22)*INDEX($D$2:$D$428,MATCH(EDATE(AB$387,ROW()-2),$A$2:$A$428,0))/INDEX($D$2:$D$428,MATCH(EDATE(AB$387,ROW()-2),$A$2:$A$428,0)-1),""))</f>
        <v>115.64258913393172</v>
      </c>
      <c r="AC23" s="19" cm="1">
        <f t="array" ref="AC23">IF(EDATE(AC$387,ROW()-2)&gt;AC$388,"",IFERROR(IF(ROW()=2,100,AC22)*INDEX($D$2:$D$428,MATCH(EDATE(AC$387,ROW()-2),$A$2:$A$428,0))/INDEX($D$2:$D$428,MATCH(EDATE(AC$387,ROW()-2),$A$2:$A$428,0)-1),""))</f>
        <v>113.89302204969061</v>
      </c>
      <c r="AD23" s="19" cm="1">
        <f t="array" ref="AD23">IF(EDATE(AD$387,ROW()-2)&gt;AD$388,"",IFERROR(IF(ROW()=2,100,AD22)*INDEX($D$2:$D$428,MATCH(EDATE(AD$387,ROW()-2),$A$2:$A$428,0))/INDEX($D$2:$D$428,MATCH(EDATE(AD$387,ROW()-2),$A$2:$A$428,0)-1),""))</f>
        <v>117.39803575239129</v>
      </c>
      <c r="AE23" s="19"/>
      <c r="AF23" s="19" cm="1">
        <f t="array" ref="AF23">IF(EDATE(AF$387,ROW()-2)&gt;AF$388,"",IFERROR(IF(ROW()=2,100,AF22)*INDEX($D$2:$D$428,MATCH(EDATE(AF$387,ROW()-2),$A$2:$A$428,0))/INDEX($D$2:$D$428,MATCH(EDATE(AF$387,ROW()-2),$A$2:$A$428,0)-1),""))</f>
        <v>127.44564925386344</v>
      </c>
      <c r="AG23" s="19" cm="1">
        <f t="array" ref="AG23">IF(EDATE(AG$387,ROW()-2)&gt;AG$388,"",IFERROR(IF(ROW()=2,100,AG22)*INDEX($D$2:$D$428,MATCH(EDATE(AG$387,ROW()-2),$A$2:$A$428,0))/INDEX($D$2:$D$428,MATCH(EDATE(AG$387,ROW()-2),$A$2:$A$428,0)-1),""))</f>
        <v>116.87697814546284</v>
      </c>
      <c r="AH23" s="19" cm="1">
        <f t="array" ref="AH23">IF(EDATE(AH$387,ROW()-2)&gt;AH$388,"",IFERROR(IF(ROW()=2,100,AH22)*INDEX($D$2:$D$428,MATCH(EDATE(AH$387,ROW()-2),$A$2:$A$428,0))/INDEX($D$2:$D$428,MATCH(EDATE(AH$387,ROW()-2),$A$2:$A$428,0)-1),""))</f>
        <v>117.54698136182904</v>
      </c>
      <c r="AJ23" s="11">
        <v>33512</v>
      </c>
      <c r="AK23">
        <v>44</v>
      </c>
      <c r="AL23" s="26" t="e">
        <f t="shared" si="7"/>
        <v>#VALUE!</v>
      </c>
      <c r="AN23" s="27">
        <f t="shared" si="8"/>
        <v>11.701747088225945</v>
      </c>
      <c r="AO23" s="27">
        <f t="shared" si="8"/>
        <v>-7.5118564924010478</v>
      </c>
      <c r="AP23" s="27">
        <f t="shared" si="8"/>
        <v>-6.6620951864631017</v>
      </c>
      <c r="AQ23" s="27">
        <f t="shared" si="8"/>
        <v>-2.4910026855013645</v>
      </c>
      <c r="AR23" s="27"/>
      <c r="AS23" s="27">
        <f t="shared" si="8"/>
        <v>11.448735704713997</v>
      </c>
      <c r="AT23" s="27">
        <f t="shared" si="8"/>
        <v>7.7594410025097149</v>
      </c>
      <c r="AU23" s="27">
        <f t="shared" si="8"/>
        <v>1.2632606243982769</v>
      </c>
    </row>
    <row r="24" spans="1:47" x14ac:dyDescent="0.3">
      <c r="A24" s="11">
        <v>33909</v>
      </c>
      <c r="B24">
        <v>169.72</v>
      </c>
      <c r="C24" t="s">
        <v>20</v>
      </c>
      <c r="D24" t="s">
        <v>20</v>
      </c>
      <c r="E24" s="11">
        <f t="shared" si="0"/>
        <v>33909</v>
      </c>
      <c r="F24" s="9">
        <f t="shared" si="4"/>
        <v>10.299600532623169</v>
      </c>
      <c r="G24" s="9" t="e">
        <f t="shared" si="5"/>
        <v>#VALUE!</v>
      </c>
      <c r="H24" s="9" t="e">
        <f t="shared" si="6"/>
        <v>#VALUE!</v>
      </c>
      <c r="I24" s="11">
        <f t="shared" si="1"/>
        <v>33909</v>
      </c>
      <c r="O24" s="11">
        <v>35370</v>
      </c>
      <c r="P24" s="19" cm="1">
        <f t="array" ref="P24">IF(OR($O24&lt;P$387,$O24&gt;P$388),"",IFERROR(IF($O24=P$387,100,P23)*INDEX($B$2:$B$428,MATCH($O24,$A$2:$A$428,0))/INDEX($B$2:$B$428,MATCH($O24,$A$2:$A$428,0)-1),""))</f>
        <v>189.72858553066766</v>
      </c>
      <c r="Q24" s="19" t="str" cm="1">
        <f t="array" ref="Q24">IF(OR($O24&lt;Q$387,$O24&gt;Q$388),"",IFERROR(IF($O24=Q$387,100,Q23)*INDEX($B$2:$B$428,MATCH($O24,$A$2:$A$428,0))/INDEX($B$2:$B$428,MATCH($O24,$A$2:$A$428,0)-1),""))</f>
        <v/>
      </c>
      <c r="R24" s="19" t="str" cm="1">
        <f t="array" ref="R24">IF(OR($O24&lt;R$387,$O24&gt;R$388),"",IFERROR(IF($O24=R$387,100,R23)*INDEX($B$2:$B$428,MATCH($O24,$A$2:$A$428,0))/INDEX($B$2:$B$428,MATCH($O24,$A$2:$A$428,0)-1),""))</f>
        <v/>
      </c>
      <c r="S24" s="19" t="str" cm="1">
        <f t="array" ref="S24">IF(OR($O24&lt;S$387,$O24&gt;S$388),"",IFERROR(IF($O24=S$387,100,S23)*INDEX($B$2:$B$428,MATCH($O24,$A$2:$A$428,0))/INDEX($B$2:$B$428,MATCH($O24,$A$2:$A$428,0)-1),""))</f>
        <v/>
      </c>
      <c r="T24" s="19" t="str" cm="1">
        <f t="array" ref="T24">IF(OR($O24&lt;T$387,$O24&gt;T$388),"",IFERROR(IF($O24=T$387,100,T23)*INDEX($B$2:$B$428,MATCH($O24,$A$2:$A$428,0))/INDEX($B$2:$B$428,MATCH($O24,$A$2:$A$428,0)-1),""))</f>
        <v/>
      </c>
      <c r="U24" s="19" t="str" cm="1">
        <f t="array" ref="U24">IF(OR($O24&lt;U$387,$O24&gt;U$388),"",IFERROR(IF($O24=U$387,100,U23)*INDEX($B$2:$B$428,MATCH($O24,$A$2:$A$428,0))/INDEX($B$2:$B$428,MATCH($O24,$A$2:$A$428,0)-1),""))</f>
        <v/>
      </c>
      <c r="V24" s="19" t="str" cm="1">
        <f t="array" ref="V24">IF(OR($O24&lt;V$387,$O24&gt;V$388),"",IFERROR(IF($O24=V$387,100,V23)*INDEX($B$2:$B$428,MATCH($O24,$A$2:$A$428,0))/INDEX($B$2:$B$428,MATCH($O24,$A$2:$A$428,0)-1),""))</f>
        <v/>
      </c>
      <c r="W24" s="19" t="str" cm="1">
        <f t="array" ref="W24">IF(OR($O24&lt;W$387,$O24&gt;W$388),"",IFERROR(IF($O24=W$387,100,W23)*INDEX($B$2:$B$428,MATCH($O24,$A$2:$A$428,0))/INDEX($B$2:$B$428,MATCH($O24,$A$2:$A$428,0)-1),""))</f>
        <v/>
      </c>
      <c r="X24" s="19" t="str" cm="1">
        <f t="array" ref="X24">IF(OR($O24&lt;X$387,$O24&gt;X$388),"",IFERROR(IF($O24=X$387,100,X23)*INDEX($B$2:$B$428,MATCH($O24,$A$2:$A$428,0))/INDEX($B$2:$B$428,MATCH($O24,$A$2:$A$428,0)-1),""))</f>
        <v/>
      </c>
      <c r="AA24" s="19" cm="1">
        <f t="array" ref="AA24">IF(EDATE(AA$387,ROW()-2)&gt;AA$388,"",IFERROR(IF(ROW()=2,100,AA23)*INDEX($D$2:$D$428,MATCH(EDATE(AA$387,ROW()-2),$A$2:$A$428,0))/INDEX($D$2:$D$428,MATCH(EDATE(AA$387,ROW()-2),$A$2:$A$428,0)-1),""))</f>
        <v>145.2629213206603</v>
      </c>
      <c r="AB24" s="19" cm="1">
        <f t="array" ref="AB24">IF(EDATE(AB$387,ROW()-2)&gt;AB$388,"",IFERROR(IF(ROW()=2,100,AB23)*INDEX($D$2:$D$428,MATCH(EDATE(AB$387,ROW()-2),$A$2:$A$428,0))/INDEX($D$2:$D$428,MATCH(EDATE(AB$387,ROW()-2),$A$2:$A$428,0)-1),""))</f>
        <v>115.55426489841892</v>
      </c>
      <c r="AC24" s="19" cm="1">
        <f t="array" ref="AC24">IF(EDATE(AC$387,ROW()-2)&gt;AC$388,"",IFERROR(IF(ROW()=2,100,AC23)*INDEX($D$2:$D$428,MATCH(EDATE(AC$387,ROW()-2),$A$2:$A$428,0))/INDEX($D$2:$D$428,MATCH(EDATE(AC$387,ROW()-2),$A$2:$A$428,0)-1),""))</f>
        <v>115.96738006142155</v>
      </c>
      <c r="AD24" s="19" cm="1">
        <f t="array" ref="AD24">IF(EDATE(AD$387,ROW()-2)&gt;AD$388,"",IFERROR(IF(ROW()=2,100,AD23)*INDEX($D$2:$D$428,MATCH(EDATE(AD$387,ROW()-2),$A$2:$A$428,0))/INDEX($D$2:$D$428,MATCH(EDATE(AD$387,ROW()-2),$A$2:$A$428,0)-1),""))</f>
        <v>119.27039440554343</v>
      </c>
      <c r="AE24" s="19"/>
      <c r="AF24" s="19" cm="1">
        <f t="array" ref="AF24">IF(EDATE(AF$387,ROW()-2)&gt;AF$388,"",IFERROR(IF(ROW()=2,100,AF23)*INDEX($D$2:$D$428,MATCH(EDATE(AF$387,ROW()-2),$A$2:$A$428,0))/INDEX($D$2:$D$428,MATCH(EDATE(AF$387,ROW()-2),$A$2:$A$428,0)-1),""))</f>
        <v>129.98890479355603</v>
      </c>
      <c r="AG24" s="19" cm="1">
        <f t="array" ref="AG24">IF(EDATE(AG$387,ROW()-2)&gt;AG$388,"",IFERROR(IF(ROW()=2,100,AG23)*INDEX($D$2:$D$428,MATCH(EDATE(AG$387,ROW()-2),$A$2:$A$428,0))/INDEX($D$2:$D$428,MATCH(EDATE(AG$387,ROW()-2),$A$2:$A$428,0)-1),""))</f>
        <v>119.16892752904178</v>
      </c>
      <c r="AH24" s="19" cm="1">
        <f t="array" ref="AH24">IF(EDATE(AH$387,ROW()-2)&gt;AH$388,"",IFERROR(IF(ROW()=2,100,AH23)*INDEX($D$2:$D$428,MATCH(EDATE(AH$387,ROW()-2),$A$2:$A$428,0))/INDEX($D$2:$D$428,MATCH(EDATE(AH$387,ROW()-2),$A$2:$A$428,0)-1),""))</f>
        <v>119.39586824148482</v>
      </c>
      <c r="AJ24" s="11">
        <v>33543</v>
      </c>
      <c r="AK24">
        <v>51.6</v>
      </c>
      <c r="AL24" s="26" t="e">
        <f t="shared" si="7"/>
        <v>#VALUE!</v>
      </c>
      <c r="AN24" s="27">
        <f t="shared" si="8"/>
        <v>11.205120984403516</v>
      </c>
      <c r="AO24" s="27">
        <f t="shared" si="8"/>
        <v>-8.3882102314510103</v>
      </c>
      <c r="AP24" s="27">
        <f t="shared" si="8"/>
        <v>-6.1579438153423265</v>
      </c>
      <c r="AQ24" s="27">
        <f t="shared" si="8"/>
        <v>-1.9812893907543816</v>
      </c>
      <c r="AR24" s="27"/>
      <c r="AS24" s="27">
        <f t="shared" si="8"/>
        <v>12.737838804054579</v>
      </c>
      <c r="AT24" s="27">
        <f t="shared" si="8"/>
        <v>9.0490334059658455</v>
      </c>
      <c r="AU24" s="27">
        <f t="shared" si="8"/>
        <v>2.177824382630289</v>
      </c>
    </row>
    <row r="25" spans="1:47" x14ac:dyDescent="0.3">
      <c r="A25" s="11">
        <v>33939</v>
      </c>
      <c r="B25">
        <v>221.82</v>
      </c>
      <c r="C25" t="s">
        <v>20</v>
      </c>
      <c r="D25" t="s">
        <v>20</v>
      </c>
      <c r="E25" s="11">
        <f t="shared" si="0"/>
        <v>33939</v>
      </c>
      <c r="F25" s="9">
        <f t="shared" si="4"/>
        <v>10.811501597444089</v>
      </c>
      <c r="G25" s="9" t="e">
        <f t="shared" si="5"/>
        <v>#VALUE!</v>
      </c>
      <c r="H25" s="9" t="e">
        <f t="shared" si="6"/>
        <v>#VALUE!</v>
      </c>
      <c r="I25" s="11">
        <f t="shared" si="1"/>
        <v>33939</v>
      </c>
      <c r="O25" s="11">
        <v>35400</v>
      </c>
      <c r="P25" s="19" cm="1">
        <f t="array" ref="P25">IF(OR($O25&lt;P$387,$O25&gt;P$388),"",IFERROR(IF($O25=P$387,100,P24)*INDEX($B$2:$B$428,MATCH($O25,$A$2:$A$428,0))/INDEX($B$2:$B$428,MATCH($O25,$A$2:$A$428,0)-1),""))</f>
        <v>195.04962390757302</v>
      </c>
      <c r="Q25" s="19" t="str" cm="1">
        <f t="array" ref="Q25">IF(OR($O25&lt;Q$387,$O25&gt;Q$388),"",IFERROR(IF($O25=Q$387,100,Q24)*INDEX($B$2:$B$428,MATCH($O25,$A$2:$A$428,0))/INDEX($B$2:$B$428,MATCH($O25,$A$2:$A$428,0)-1),""))</f>
        <v/>
      </c>
      <c r="R25" s="19" t="str" cm="1">
        <f t="array" ref="R25">IF(OR($O25&lt;R$387,$O25&gt;R$388),"",IFERROR(IF($O25=R$387,100,R24)*INDEX($B$2:$B$428,MATCH($O25,$A$2:$A$428,0))/INDEX($B$2:$B$428,MATCH($O25,$A$2:$A$428,0)-1),""))</f>
        <v/>
      </c>
      <c r="S25" s="19" t="str" cm="1">
        <f t="array" ref="S25">IF(OR($O25&lt;S$387,$O25&gt;S$388),"",IFERROR(IF($O25=S$387,100,S24)*INDEX($B$2:$B$428,MATCH($O25,$A$2:$A$428,0))/INDEX($B$2:$B$428,MATCH($O25,$A$2:$A$428,0)-1),""))</f>
        <v/>
      </c>
      <c r="T25" s="19" t="str" cm="1">
        <f t="array" ref="T25">IF(OR($O25&lt;T$387,$O25&gt;T$388),"",IFERROR(IF($O25=T$387,100,T24)*INDEX($B$2:$B$428,MATCH($O25,$A$2:$A$428,0))/INDEX($B$2:$B$428,MATCH($O25,$A$2:$A$428,0)-1),""))</f>
        <v/>
      </c>
      <c r="U25" s="19" t="str" cm="1">
        <f t="array" ref="U25">IF(OR($O25&lt;U$387,$O25&gt;U$388),"",IFERROR(IF($O25=U$387,100,U24)*INDEX($B$2:$B$428,MATCH($O25,$A$2:$A$428,0))/INDEX($B$2:$B$428,MATCH($O25,$A$2:$A$428,0)-1),""))</f>
        <v/>
      </c>
      <c r="V25" s="19" t="str" cm="1">
        <f t="array" ref="V25">IF(OR($O25&lt;V$387,$O25&gt;V$388),"",IFERROR(IF($O25=V$387,100,V24)*INDEX($B$2:$B$428,MATCH($O25,$A$2:$A$428,0))/INDEX($B$2:$B$428,MATCH($O25,$A$2:$A$428,0)-1),""))</f>
        <v/>
      </c>
      <c r="W25" s="19" t="str" cm="1">
        <f t="array" ref="W25">IF(OR($O25&lt;W$387,$O25&gt;W$388),"",IFERROR(IF($O25=W$387,100,W24)*INDEX($B$2:$B$428,MATCH($O25,$A$2:$A$428,0))/INDEX($B$2:$B$428,MATCH($O25,$A$2:$A$428,0)-1),""))</f>
        <v/>
      </c>
      <c r="X25" s="19" t="str" cm="1">
        <f t="array" ref="X25">IF(OR($O25&lt;X$387,$O25&gt;X$388),"",IFERROR(IF($O25=X$387,100,X24)*INDEX($B$2:$B$428,MATCH($O25,$A$2:$A$428,0))/INDEX($B$2:$B$428,MATCH($O25,$A$2:$A$428,0)-1),""))</f>
        <v/>
      </c>
      <c r="AA25" s="19" cm="1">
        <f t="array" ref="AA25">IF(EDATE(AA$387,ROW()-2)&gt;AA$388,"",IFERROR(IF(ROW()=2,100,AA24)*INDEX($D$2:$D$428,MATCH(EDATE(AA$387,ROW()-2),$A$2:$A$428,0))/INDEX($D$2:$D$428,MATCH(EDATE(AA$387,ROW()-2),$A$2:$A$428,0)-1),""))</f>
        <v>147.08384595893779</v>
      </c>
      <c r="AB25" s="19" cm="1">
        <f t="array" ref="AB25">IF(EDATE(AB$387,ROW()-2)&gt;AB$388,"",IFERROR(IF(ROW()=2,100,AB24)*INDEX($D$2:$D$428,MATCH(EDATE(AB$387,ROW()-2),$A$2:$A$428,0))/INDEX($D$2:$D$428,MATCH(EDATE(AB$387,ROW()-2),$A$2:$A$428,0)-1),""))</f>
        <v>117.55386231884492</v>
      </c>
      <c r="AC25" s="19" cm="1">
        <f t="array" ref="AC25">IF(EDATE(AC$387,ROW()-2)&gt;AC$388,"",IFERROR(IF(ROW()=2,100,AC24)*INDEX($D$2:$D$428,MATCH(EDATE(AC$387,ROW()-2),$A$2:$A$428,0))/INDEX($D$2:$D$428,MATCH(EDATE(AC$387,ROW()-2),$A$2:$A$428,0)-1),""))</f>
        <v>122.71587232560809</v>
      </c>
      <c r="AD25" s="19" cm="1">
        <f t="array" ref="AD25">IF(EDATE(AD$387,ROW()-2)&gt;AD$388,"",IFERROR(IF(ROW()=2,100,AD24)*INDEX($D$2:$D$428,MATCH(EDATE(AD$387,ROW()-2),$A$2:$A$428,0))/INDEX($D$2:$D$428,MATCH(EDATE(AD$387,ROW()-2),$A$2:$A$428,0)-1),""))</f>
        <v>122.2797494553615</v>
      </c>
      <c r="AE25" s="19"/>
      <c r="AF25" s="19" cm="1">
        <f t="array" ref="AF25">IF(EDATE(AF$387,ROW()-2)&gt;AF$388,"",IFERROR(IF(ROW()=2,100,AF24)*INDEX($D$2:$D$428,MATCH(EDATE(AF$387,ROW()-2),$A$2:$A$428,0))/INDEX($D$2:$D$428,MATCH(EDATE(AF$387,ROW()-2),$A$2:$A$428,0)-1),""))</f>
        <v>131.19913531215866</v>
      </c>
      <c r="AG25" s="19" cm="1">
        <f t="array" ref="AG25">IF(EDATE(AG$387,ROW()-2)&gt;AG$388,"",IFERROR(IF(ROW()=2,100,AG24)*INDEX($D$2:$D$428,MATCH(EDATE(AG$387,ROW()-2),$A$2:$A$428,0))/INDEX($D$2:$D$428,MATCH(EDATE(AG$387,ROW()-2),$A$2:$A$428,0)-1),""))</f>
        <v>123.03556526787941</v>
      </c>
      <c r="AH25" s="19" cm="1">
        <f t="array" ref="AH25">IF(EDATE(AH$387,ROW()-2)&gt;AH$388,"",IFERROR(IF(ROW()=2,100,AH24)*INDEX($D$2:$D$428,MATCH(EDATE(AH$387,ROW()-2),$A$2:$A$428,0))/INDEX($D$2:$D$428,MATCH(EDATE(AH$387,ROW()-2),$A$2:$A$428,0)-1),""))</f>
        <v>121.16204732854213</v>
      </c>
      <c r="AJ25" s="11">
        <v>33573</v>
      </c>
      <c r="AK25">
        <v>60.3</v>
      </c>
      <c r="AL25" s="26" t="e">
        <f t="shared" si="7"/>
        <v>#VALUE!</v>
      </c>
      <c r="AN25" s="27">
        <f t="shared" si="8"/>
        <v>11.61032905973045</v>
      </c>
      <c r="AO25" s="27">
        <f t="shared" si="8"/>
        <v>-8.0700674877264298</v>
      </c>
      <c r="AP25" s="27">
        <f t="shared" si="8"/>
        <v>-3.1787465689179339</v>
      </c>
      <c r="AQ25" s="27">
        <f t="shared" si="8"/>
        <v>-0.81894690576076457</v>
      </c>
      <c r="AR25" s="27"/>
      <c r="AS25" s="27">
        <f t="shared" si="8"/>
        <v>12.896439414340776</v>
      </c>
      <c r="AT25" s="27">
        <f t="shared" si="8"/>
        <v>11.229793113627595</v>
      </c>
      <c r="AU25" s="27">
        <f t="shared" si="8"/>
        <v>3.0890603101489278</v>
      </c>
    </row>
    <row r="26" spans="1:47" x14ac:dyDescent="0.3">
      <c r="A26" s="11">
        <v>33970</v>
      </c>
      <c r="B26">
        <v>270</v>
      </c>
      <c r="C26" t="s">
        <v>20</v>
      </c>
      <c r="D26" t="s">
        <v>20</v>
      </c>
      <c r="E26" s="11">
        <f t="shared" si="0"/>
        <v>33970</v>
      </c>
      <c r="F26" s="9">
        <f t="shared" si="4"/>
        <v>10.904761904761905</v>
      </c>
      <c r="G26" s="9" t="e">
        <f t="shared" si="5"/>
        <v>#VALUE!</v>
      </c>
      <c r="H26" s="9" t="e">
        <f t="shared" si="6"/>
        <v>#VALUE!</v>
      </c>
      <c r="I26" s="11">
        <f t="shared" si="1"/>
        <v>33970</v>
      </c>
      <c r="O26" s="11">
        <v>35431</v>
      </c>
      <c r="P26" s="19" cm="1">
        <f t="array" ref="P26">IF(OR($O26&lt;P$387,$O26&gt;P$388),"",IFERROR(IF($O26=P$387,100,P25)*INDEX($B$2:$B$428,MATCH($O26,$A$2:$A$428,0))/INDEX($B$2:$B$428,MATCH($O26,$A$2:$A$428,0)-1),""))</f>
        <v>199.4483734710731</v>
      </c>
      <c r="Q26" s="19" t="str" cm="1">
        <f t="array" ref="Q26">IF(OR($O26&lt;Q$387,$O26&gt;Q$388),"",IFERROR(IF($O26=Q$387,100,Q25)*INDEX($B$2:$B$428,MATCH($O26,$A$2:$A$428,0))/INDEX($B$2:$B$428,MATCH($O26,$A$2:$A$428,0)-1),""))</f>
        <v/>
      </c>
      <c r="R26" s="19" t="str" cm="1">
        <f t="array" ref="R26">IF(OR($O26&lt;R$387,$O26&gt;R$388),"",IFERROR(IF($O26=R$387,100,R25)*INDEX($B$2:$B$428,MATCH($O26,$A$2:$A$428,0))/INDEX($B$2:$B$428,MATCH($O26,$A$2:$A$428,0)-1),""))</f>
        <v/>
      </c>
      <c r="S26" s="19" t="str" cm="1">
        <f t="array" ref="S26">IF(OR($O26&lt;S$387,$O26&gt;S$388),"",IFERROR(IF($O26=S$387,100,S25)*INDEX($B$2:$B$428,MATCH($O26,$A$2:$A$428,0))/INDEX($B$2:$B$428,MATCH($O26,$A$2:$A$428,0)-1),""))</f>
        <v/>
      </c>
      <c r="T26" s="19" t="str" cm="1">
        <f t="array" ref="T26">IF(OR($O26&lt;T$387,$O26&gt;T$388),"",IFERROR(IF($O26=T$387,100,T25)*INDEX($B$2:$B$428,MATCH($O26,$A$2:$A$428,0))/INDEX($B$2:$B$428,MATCH($O26,$A$2:$A$428,0)-1),""))</f>
        <v/>
      </c>
      <c r="U26" s="19" t="str" cm="1">
        <f t="array" ref="U26">IF(OR($O26&lt;U$387,$O26&gt;U$388),"",IFERROR(IF($O26=U$387,100,U25)*INDEX($B$2:$B$428,MATCH($O26,$A$2:$A$428,0))/INDEX($B$2:$B$428,MATCH($O26,$A$2:$A$428,0)-1),""))</f>
        <v/>
      </c>
      <c r="V26" s="19" t="str" cm="1">
        <f t="array" ref="V26">IF(OR($O26&lt;V$387,$O26&gt;V$388),"",IFERROR(IF($O26=V$387,100,V25)*INDEX($B$2:$B$428,MATCH($O26,$A$2:$A$428,0))/INDEX($B$2:$B$428,MATCH($O26,$A$2:$A$428,0)-1),""))</f>
        <v/>
      </c>
      <c r="W26" s="19" t="str" cm="1">
        <f t="array" ref="W26">IF(OR($O26&lt;W$387,$O26&gt;W$388),"",IFERROR(IF($O26=W$387,100,W25)*INDEX($B$2:$B$428,MATCH($O26,$A$2:$A$428,0))/INDEX($B$2:$B$428,MATCH($O26,$A$2:$A$428,0)-1),""))</f>
        <v/>
      </c>
      <c r="X26" s="19" t="str" cm="1">
        <f t="array" ref="X26">IF(OR($O26&lt;X$387,$O26&gt;X$388),"",IFERROR(IF($O26=X$387,100,X25)*INDEX($B$2:$B$428,MATCH($O26,$A$2:$A$428,0))/INDEX($B$2:$B$428,MATCH($O26,$A$2:$A$428,0)-1),""))</f>
        <v/>
      </c>
      <c r="AA26" s="19" cm="1">
        <f t="array" ref="AA26">IF(EDATE(AA$387,ROW()-2)&gt;AA$388,"",IFERROR(IF(ROW()=2,100,AA25)*INDEX($D$2:$D$428,MATCH(EDATE(AA$387,ROW()-2),$A$2:$A$428,0))/INDEX($D$2:$D$428,MATCH(EDATE(AA$387,ROW()-2),$A$2:$A$428,0)-1),""))</f>
        <v>148.15016375094584</v>
      </c>
      <c r="AB26" s="19" cm="1">
        <f t="array" ref="AB26">IF(EDATE(AB$387,ROW()-2)&gt;AB$388,"",IFERROR(IF(ROW()=2,100,AB25)*INDEX($D$2:$D$428,MATCH(EDATE(AB$387,ROW()-2),$A$2:$A$428,0))/INDEX($D$2:$D$428,MATCH(EDATE(AB$387,ROW()-2),$A$2:$A$428,0)-1),""))</f>
        <v>118.24404072246685</v>
      </c>
      <c r="AC26" s="19" cm="1">
        <f t="array" ref="AC26">IF(EDATE(AC$387,ROW()-2)&gt;AC$388,"",IFERROR(IF(ROW()=2,100,AC25)*INDEX($D$2:$D$428,MATCH(EDATE(AC$387,ROW()-2),$A$2:$A$428,0))/INDEX($D$2:$D$428,MATCH(EDATE(AC$387,ROW()-2),$A$2:$A$428,0)-1),""))</f>
        <v>117.68051958595242</v>
      </c>
      <c r="AD26" s="19" cm="1">
        <f t="array" ref="AD26">IF(EDATE(AD$387,ROW()-2)&gt;AD$388,"",IFERROR(IF(ROW()=2,100,AD25)*INDEX($D$2:$D$428,MATCH(EDATE(AD$387,ROW()-2),$A$2:$A$428,0))/INDEX($D$2:$D$428,MATCH(EDATE(AD$387,ROW()-2),$A$2:$A$428,0)-1),""))</f>
        <v>118.27499103793328</v>
      </c>
      <c r="AE26" s="19"/>
      <c r="AF26" s="19" cm="1">
        <f t="array" ref="AF26">IF(EDATE(AF$387,ROW()-2)&gt;AF$388,"",IFERROR(IF(ROW()=2,100,AF25)*INDEX($D$2:$D$428,MATCH(EDATE(AF$387,ROW()-2),$A$2:$A$428,0))/INDEX($D$2:$D$428,MATCH(EDATE(AF$387,ROW()-2),$A$2:$A$428,0)-1),""))</f>
        <v>133.13557576498073</v>
      </c>
      <c r="AG26" s="19" cm="1">
        <f t="array" ref="AG26">IF(EDATE(AG$387,ROW()-2)&gt;AG$388,"",IFERROR(IF(ROW()=2,100,AG25)*INDEX($D$2:$D$428,MATCH(EDATE(AG$387,ROW()-2),$A$2:$A$428,0))/INDEX($D$2:$D$428,MATCH(EDATE(AG$387,ROW()-2),$A$2:$A$428,0)-1),""))</f>
        <v>123.4187504909772</v>
      </c>
      <c r="AH26" s="19" cm="1">
        <f t="array" ref="AH26">IF(EDATE(AH$387,ROW()-2)&gt;AH$388,"",IFERROR(IF(ROW()=2,100,AH25)*INDEX($D$2:$D$428,MATCH(EDATE(AH$387,ROW()-2),$A$2:$A$428,0))/INDEX($D$2:$D$428,MATCH(EDATE(AH$387,ROW()-2),$A$2:$A$428,0)-1),""))</f>
        <v>121.52145015504524</v>
      </c>
      <c r="AJ26" s="11">
        <v>33604</v>
      </c>
      <c r="AK26">
        <v>71.3</v>
      </c>
      <c r="AL26" s="26" t="e">
        <f t="shared" si="7"/>
        <v>#VALUE!</v>
      </c>
      <c r="AN26" s="27">
        <f t="shared" si="8"/>
        <v>11.545463369847775</v>
      </c>
      <c r="AO26" s="27">
        <f t="shared" si="8"/>
        <v>-8.3349259486816489</v>
      </c>
      <c r="AP26" s="27">
        <f t="shared" si="8"/>
        <v>-5.9246147720950599</v>
      </c>
      <c r="AQ26" s="27">
        <f t="shared" si="8"/>
        <v>-3.3851402898703142</v>
      </c>
      <c r="AR26" s="27"/>
      <c r="AS26" s="27">
        <f t="shared" si="8"/>
        <v>13.980454983558888</v>
      </c>
      <c r="AT26" s="27">
        <f t="shared" si="8"/>
        <v>10.714331473888695</v>
      </c>
      <c r="AU26" s="27">
        <f t="shared" si="8"/>
        <v>2.8672592548695697</v>
      </c>
    </row>
    <row r="27" spans="1:47" x14ac:dyDescent="0.3">
      <c r="A27" s="11">
        <v>34001</v>
      </c>
      <c r="B27">
        <v>349.73</v>
      </c>
      <c r="C27" t="s">
        <v>20</v>
      </c>
      <c r="D27" t="s">
        <v>20</v>
      </c>
      <c r="E27" s="11">
        <f t="shared" si="0"/>
        <v>34001</v>
      </c>
      <c r="F27" s="9">
        <f t="shared" si="4"/>
        <v>11.621075424034645</v>
      </c>
      <c r="G27" s="9" t="e">
        <f t="shared" si="5"/>
        <v>#VALUE!</v>
      </c>
      <c r="H27" s="9" t="e">
        <f t="shared" si="6"/>
        <v>#VALUE!</v>
      </c>
      <c r="I27" s="11">
        <f t="shared" si="1"/>
        <v>34001</v>
      </c>
      <c r="O27" s="11">
        <v>35462</v>
      </c>
      <c r="P27" s="19" cm="1">
        <f t="array" ref="P27">IF(OR($O27&lt;P$387,$O27&gt;P$388),"",IFERROR(IF($O27=P$387,100,P26)*INDEX($B$2:$B$428,MATCH($O27,$A$2:$A$428,0))/INDEX($B$2:$B$428,MATCH($O27,$A$2:$A$428,0)-1),""))</f>
        <v>201.20959271501192</v>
      </c>
      <c r="Q27" s="19" t="str" cm="1">
        <f t="array" ref="Q27">IF(OR($O27&lt;Q$387,$O27&gt;Q$388),"",IFERROR(IF($O27=Q$387,100,Q26)*INDEX($B$2:$B$428,MATCH($O27,$A$2:$A$428,0))/INDEX($B$2:$B$428,MATCH($O27,$A$2:$A$428,0)-1),""))</f>
        <v/>
      </c>
      <c r="R27" s="19" t="str" cm="1">
        <f t="array" ref="R27">IF(OR($O27&lt;R$387,$O27&gt;R$388),"",IFERROR(IF($O27=R$387,100,R26)*INDEX($B$2:$B$428,MATCH($O27,$A$2:$A$428,0))/INDEX($B$2:$B$428,MATCH($O27,$A$2:$A$428,0)-1),""))</f>
        <v/>
      </c>
      <c r="S27" s="19" t="str" cm="1">
        <f t="array" ref="S27">IF(OR($O27&lt;S$387,$O27&gt;S$388),"",IFERROR(IF($O27=S$387,100,S26)*INDEX($B$2:$B$428,MATCH($O27,$A$2:$A$428,0))/INDEX($B$2:$B$428,MATCH($O27,$A$2:$A$428,0)-1),""))</f>
        <v/>
      </c>
      <c r="T27" s="19" t="str" cm="1">
        <f t="array" ref="T27">IF(OR($O27&lt;T$387,$O27&gt;T$388),"",IFERROR(IF($O27=T$387,100,T26)*INDEX($B$2:$B$428,MATCH($O27,$A$2:$A$428,0))/INDEX($B$2:$B$428,MATCH($O27,$A$2:$A$428,0)-1),""))</f>
        <v/>
      </c>
      <c r="U27" s="19" t="str" cm="1">
        <f t="array" ref="U27">IF(OR($O27&lt;U$387,$O27&gt;U$388),"",IFERROR(IF($O27=U$387,100,U26)*INDEX($B$2:$B$428,MATCH($O27,$A$2:$A$428,0))/INDEX($B$2:$B$428,MATCH($O27,$A$2:$A$428,0)-1),""))</f>
        <v/>
      </c>
      <c r="V27" s="19" t="str" cm="1">
        <f t="array" ref="V27">IF(OR($O27&lt;V$387,$O27&gt;V$388),"",IFERROR(IF($O27=V$387,100,V26)*INDEX($B$2:$B$428,MATCH($O27,$A$2:$A$428,0))/INDEX($B$2:$B$428,MATCH($O27,$A$2:$A$428,0)-1),""))</f>
        <v/>
      </c>
      <c r="W27" s="19" t="str" cm="1">
        <f t="array" ref="W27">IF(OR($O27&lt;W$387,$O27&gt;W$388),"",IFERROR(IF($O27=W$387,100,W26)*INDEX($B$2:$B$428,MATCH($O27,$A$2:$A$428,0))/INDEX($B$2:$B$428,MATCH($O27,$A$2:$A$428,0)-1),""))</f>
        <v/>
      </c>
      <c r="X27" s="19" t="str" cm="1">
        <f t="array" ref="X27">IF(OR($O27&lt;X$387,$O27&gt;X$388),"",IFERROR(IF($O27=X$387,100,X26)*INDEX($B$2:$B$428,MATCH($O27,$A$2:$A$428,0))/INDEX($B$2:$B$428,MATCH($O27,$A$2:$A$428,0)-1),""))</f>
        <v/>
      </c>
      <c r="AA27" s="19" cm="1">
        <f t="array" ref="AA27">IF(EDATE(AA$387,ROW()-2)&gt;AA$388,"",IFERROR(IF(ROW()=2,100,AA26)*INDEX($D$2:$D$428,MATCH(EDATE(AA$387,ROW()-2),$A$2:$A$428,0))/INDEX($D$2:$D$428,MATCH(EDATE(AA$387,ROW()-2),$A$2:$A$428,0)-1),""))</f>
        <v>149.66216210886103</v>
      </c>
      <c r="AB27" s="19" cm="1">
        <f t="array" ref="AB27">IF(EDATE(AB$387,ROW()-2)&gt;AB$388,"",IFERROR(IF(ROW()=2,100,AB26)*INDEX($D$2:$D$428,MATCH(EDATE(AB$387,ROW()-2),$A$2:$A$428,0))/INDEX($D$2:$D$428,MATCH(EDATE(AB$387,ROW()-2),$A$2:$A$428,0)-1),""))</f>
        <v>119.35902672768938</v>
      </c>
      <c r="AC27" s="19" cm="1">
        <f t="array" ref="AC27">IF(EDATE(AC$387,ROW()-2)&gt;AC$388,"",IFERROR(IF(ROW()=2,100,AC26)*INDEX($D$2:$D$428,MATCH(EDATE(AC$387,ROW()-2),$A$2:$A$428,0))/INDEX($D$2:$D$428,MATCH(EDATE(AC$387,ROW()-2),$A$2:$A$428,0)-1),""))</f>
        <v>119.85223211820782</v>
      </c>
      <c r="AD27" s="19" cm="1">
        <f t="array" ref="AD27">IF(EDATE(AD$387,ROW()-2)&gt;AD$388,"",IFERROR(IF(ROW()=2,100,AD26)*INDEX($D$2:$D$428,MATCH(EDATE(AD$387,ROW()-2),$A$2:$A$428,0))/INDEX($D$2:$D$428,MATCH(EDATE(AD$387,ROW()-2),$A$2:$A$428,0)-1),""))</f>
        <v>119.53286249833941</v>
      </c>
      <c r="AE27" s="19"/>
      <c r="AF27" s="19" cm="1">
        <f t="array" ref="AF27">IF(EDATE(AF$387,ROW()-2)&gt;AF$388,"",IFERROR(IF(ROW()=2,100,AF26)*INDEX($D$2:$D$428,MATCH(EDATE(AF$387,ROW()-2),$A$2:$A$428,0))/INDEX($D$2:$D$428,MATCH(EDATE(AF$387,ROW()-2),$A$2:$A$428,0)-1),""))</f>
        <v>134.57148514746933</v>
      </c>
      <c r="AG27" s="19" cm="1">
        <f t="array" ref="AG27">IF(EDATE(AG$387,ROW()-2)&gt;AG$388,"",IFERROR(IF(ROW()=2,100,AG26)*INDEX($D$2:$D$428,MATCH(EDATE(AG$387,ROW()-2),$A$2:$A$428,0))/INDEX($D$2:$D$428,MATCH(EDATE(AG$387,ROW()-2),$A$2:$A$428,0)-1),""))</f>
        <v>126.46676937923195</v>
      </c>
      <c r="AH27" s="19" cm="1">
        <f t="array" ref="AH27">IF(EDATE(AH$387,ROW()-2)&gt;AH$388,"",IFERROR(IF(ROW()=2,100,AH26)*INDEX($D$2:$D$428,MATCH(EDATE(AH$387,ROW()-2),$A$2:$A$428,0))/INDEX($D$2:$D$428,MATCH(EDATE(AH$387,ROW()-2),$A$2:$A$428,0)-1),""))</f>
        <v>124.51161488797329</v>
      </c>
      <c r="AJ27" s="11">
        <v>33635</v>
      </c>
      <c r="AK27">
        <v>85.2</v>
      </c>
      <c r="AL27" s="26" t="e">
        <f t="shared" si="7"/>
        <v>#VALUE!</v>
      </c>
      <c r="AN27" s="27">
        <f t="shared" si="8"/>
        <v>11.671595709767868</v>
      </c>
      <c r="AO27" s="27">
        <f t="shared" si="8"/>
        <v>-8.3237343486693085</v>
      </c>
      <c r="AP27" s="27">
        <f t="shared" si="8"/>
        <v>-5.0424203743501872</v>
      </c>
      <c r="AQ27" s="27">
        <f t="shared" si="8"/>
        <v>-3.1300948302970255</v>
      </c>
      <c r="AR27" s="27"/>
      <c r="AS27" s="27">
        <f t="shared" si="8"/>
        <v>14.368725125380822</v>
      </c>
      <c r="AT27" s="27">
        <f t="shared" si="8"/>
        <v>11.949173138811364</v>
      </c>
      <c r="AU27" s="27">
        <f t="shared" si="8"/>
        <v>4.319028104407252</v>
      </c>
    </row>
    <row r="28" spans="1:47" x14ac:dyDescent="0.3">
      <c r="A28" s="11">
        <v>34029</v>
      </c>
      <c r="B28">
        <v>445.32</v>
      </c>
      <c r="C28" t="s">
        <v>20</v>
      </c>
      <c r="D28" t="s">
        <v>20</v>
      </c>
      <c r="E28" s="11">
        <f t="shared" si="0"/>
        <v>34029</v>
      </c>
      <c r="F28" s="9">
        <f t="shared" si="4"/>
        <v>11.480941704035875</v>
      </c>
      <c r="G28" s="9" t="e">
        <f t="shared" si="5"/>
        <v>#VALUE!</v>
      </c>
      <c r="H28" s="9" t="e">
        <f t="shared" si="6"/>
        <v>#VALUE!</v>
      </c>
      <c r="I28" s="11">
        <f t="shared" si="1"/>
        <v>34029</v>
      </c>
      <c r="O28" s="11">
        <v>35490</v>
      </c>
      <c r="P28" s="19" cm="1">
        <f t="array" ref="P28">IF(OR($O28&lt;P$387,$O28&gt;P$388),"",IFERROR(IF($O28=P$387,100,P27)*INDEX($B$2:$B$428,MATCH($O28,$A$2:$A$428,0))/INDEX($B$2:$B$428,MATCH($O28,$A$2:$A$428,0)-1),""))</f>
        <v>202.16880649721477</v>
      </c>
      <c r="Q28" s="19" t="str" cm="1">
        <f t="array" ref="Q28">IF(OR($O28&lt;Q$387,$O28&gt;Q$388),"",IFERROR(IF($O28=Q$387,100,Q27)*INDEX($B$2:$B$428,MATCH($O28,$A$2:$A$428,0))/INDEX($B$2:$B$428,MATCH($O28,$A$2:$A$428,0)-1),""))</f>
        <v/>
      </c>
      <c r="R28" s="19" t="str" cm="1">
        <f t="array" ref="R28">IF(OR($O28&lt;R$387,$O28&gt;R$388),"",IFERROR(IF($O28=R$387,100,R27)*INDEX($B$2:$B$428,MATCH($O28,$A$2:$A$428,0))/INDEX($B$2:$B$428,MATCH($O28,$A$2:$A$428,0)-1),""))</f>
        <v/>
      </c>
      <c r="S28" s="19" t="str" cm="1">
        <f t="array" ref="S28">IF(OR($O28&lt;S$387,$O28&gt;S$388),"",IFERROR(IF($O28=S$387,100,S27)*INDEX($B$2:$B$428,MATCH($O28,$A$2:$A$428,0))/INDEX($B$2:$B$428,MATCH($O28,$A$2:$A$428,0)-1),""))</f>
        <v/>
      </c>
      <c r="T28" s="19" t="str" cm="1">
        <f t="array" ref="T28">IF(OR($O28&lt;T$387,$O28&gt;T$388),"",IFERROR(IF($O28=T$387,100,T27)*INDEX($B$2:$B$428,MATCH($O28,$A$2:$A$428,0))/INDEX($B$2:$B$428,MATCH($O28,$A$2:$A$428,0)-1),""))</f>
        <v/>
      </c>
      <c r="U28" s="19" t="str" cm="1">
        <f t="array" ref="U28">IF(OR($O28&lt;U$387,$O28&gt;U$388),"",IFERROR(IF($O28=U$387,100,U27)*INDEX($B$2:$B$428,MATCH($O28,$A$2:$A$428,0))/INDEX($B$2:$B$428,MATCH($O28,$A$2:$A$428,0)-1),""))</f>
        <v/>
      </c>
      <c r="V28" s="19" t="str" cm="1">
        <f t="array" ref="V28">IF(OR($O28&lt;V$387,$O28&gt;V$388),"",IFERROR(IF($O28=V$387,100,V27)*INDEX($B$2:$B$428,MATCH($O28,$A$2:$A$428,0))/INDEX($B$2:$B$428,MATCH($O28,$A$2:$A$428,0)-1),""))</f>
        <v/>
      </c>
      <c r="W28" s="19" t="str" cm="1">
        <f t="array" ref="W28">IF(OR($O28&lt;W$387,$O28&gt;W$388),"",IFERROR(IF($O28=W$387,100,W27)*INDEX($B$2:$B$428,MATCH($O28,$A$2:$A$428,0))/INDEX($B$2:$B$428,MATCH($O28,$A$2:$A$428,0)-1),""))</f>
        <v/>
      </c>
      <c r="X28" s="19" t="str" cm="1">
        <f t="array" ref="X28">IF(OR($O28&lt;X$387,$O28&gt;X$388),"",IFERROR(IF($O28=X$387,100,X27)*INDEX($B$2:$B$428,MATCH($O28,$A$2:$A$428,0))/INDEX($B$2:$B$428,MATCH($O28,$A$2:$A$428,0)-1),""))</f>
        <v/>
      </c>
      <c r="AA28" s="19" cm="1">
        <f t="array" ref="AA28">IF(EDATE(AA$387,ROW()-2)&gt;AA$388,"",IFERROR(IF(ROW()=2,100,AA27)*INDEX($D$2:$D$428,MATCH(EDATE(AA$387,ROW()-2),$A$2:$A$428,0))/INDEX($D$2:$D$428,MATCH(EDATE(AA$387,ROW()-2),$A$2:$A$428,0)-1),""))</f>
        <v>153.99768099693861</v>
      </c>
      <c r="AB28" s="19" cm="1">
        <f t="array" ref="AB28">IF(EDATE(AB$387,ROW()-2)&gt;AB$388,"",IFERROR(IF(ROW()=2,100,AB27)*INDEX($D$2:$D$428,MATCH(EDATE(AB$387,ROW()-2),$A$2:$A$428,0))/INDEX($D$2:$D$428,MATCH(EDATE(AB$387,ROW()-2),$A$2:$A$428,0)-1),""))</f>
        <v>122.44832535265169</v>
      </c>
      <c r="AC28" s="19" cm="1">
        <f t="array" ref="AC28">IF(EDATE(AC$387,ROW()-2)&gt;AC$388,"",IFERROR(IF(ROW()=2,100,AC27)*INDEX($D$2:$D$428,MATCH(EDATE(AC$387,ROW()-2),$A$2:$A$428,0))/INDEX($D$2:$D$428,MATCH(EDATE(AC$387,ROW()-2),$A$2:$A$428,0)-1),""))</f>
        <v>121.98078112672272</v>
      </c>
      <c r="AD28" s="19" cm="1">
        <f t="array" ref="AD28">IF(EDATE(AD$387,ROW()-2)&gt;AD$388,"",IFERROR(IF(ROW()=2,100,AD27)*INDEX($D$2:$D$428,MATCH(EDATE(AD$387,ROW()-2),$A$2:$A$428,0))/INDEX($D$2:$D$428,MATCH(EDATE(AD$387,ROW()-2),$A$2:$A$428,0)-1),""))</f>
        <v>120.1343096108928</v>
      </c>
      <c r="AE28" s="19"/>
      <c r="AF28" s="19" cm="1">
        <f t="array" ref="AF28">IF(EDATE(AF$387,ROW()-2)&gt;AF$388,"",IFERROR(IF(ROW()=2,100,AF27)*INDEX($D$2:$D$428,MATCH(EDATE(AF$387,ROW()-2),$A$2:$A$428,0))/INDEX($D$2:$D$428,MATCH(EDATE(AF$387,ROW()-2),$A$2:$A$428,0)-1),""))</f>
        <v>133.83048279760092</v>
      </c>
      <c r="AG28" s="19" cm="1">
        <f t="array" ref="AG28">IF(EDATE(AG$387,ROW()-2)&gt;AG$388,"",IFERROR(IF(ROW()=2,100,AG27)*INDEX($D$2:$D$428,MATCH(EDATE(AG$387,ROW()-2),$A$2:$A$428,0))/INDEX($D$2:$D$428,MATCH(EDATE(AG$387,ROW()-2),$A$2:$A$428,0)-1),""))</f>
        <v>127.5227219830584</v>
      </c>
      <c r="AH28" s="19" cm="1">
        <f t="array" ref="AH28">IF(EDATE(AH$387,ROW()-2)&gt;AH$388,"",IFERROR(IF(ROW()=2,100,AH27)*INDEX($D$2:$D$428,MATCH(EDATE(AH$387,ROW()-2),$A$2:$A$428,0))/INDEX($D$2:$D$428,MATCH(EDATE(AH$387,ROW()-2),$A$2:$A$428,0)-1),""))</f>
        <v>125.00027450244194</v>
      </c>
      <c r="AJ28" s="11">
        <v>33664</v>
      </c>
      <c r="AK28">
        <v>102.3</v>
      </c>
      <c r="AL28" s="26" t="e">
        <f t="shared" si="7"/>
        <v>#VALUE!</v>
      </c>
      <c r="AN28" s="27">
        <f t="shared" si="8"/>
        <v>12.659272615610584</v>
      </c>
      <c r="AO28" s="27">
        <f t="shared" si="8"/>
        <v>-7.1715112925574198</v>
      </c>
      <c r="AP28" s="27">
        <f t="shared" si="8"/>
        <v>-4.3997985817513801</v>
      </c>
      <c r="AQ28" s="27">
        <f t="shared" si="8"/>
        <v>-3.2777660351478555</v>
      </c>
      <c r="AR28" s="27"/>
      <c r="AS28" s="27">
        <f t="shared" si="8"/>
        <v>13.352379996496245</v>
      </c>
      <c r="AT28" s="27">
        <f t="shared" si="8"/>
        <v>11.095467595175279</v>
      </c>
      <c r="AU28" s="27">
        <f t="shared" si="8"/>
        <v>3.9077759913867527</v>
      </c>
    </row>
    <row r="29" spans="1:47" x14ac:dyDescent="0.3">
      <c r="A29" s="11">
        <v>34060</v>
      </c>
      <c r="B29">
        <v>563.65</v>
      </c>
      <c r="C29" t="s">
        <v>20</v>
      </c>
      <c r="D29" t="s">
        <v>20</v>
      </c>
      <c r="E29" s="11">
        <f t="shared" si="0"/>
        <v>34060</v>
      </c>
      <c r="F29" s="9">
        <f t="shared" si="4"/>
        <v>12.618023677216719</v>
      </c>
      <c r="G29" s="9" t="e">
        <f t="shared" si="5"/>
        <v>#VALUE!</v>
      </c>
      <c r="H29" s="9" t="e">
        <f t="shared" si="6"/>
        <v>#VALUE!</v>
      </c>
      <c r="I29" s="11">
        <f t="shared" si="1"/>
        <v>34060</v>
      </c>
      <c r="O29" s="11">
        <v>35521</v>
      </c>
      <c r="P29" s="19" cm="1">
        <f t="array" ref="P29">IF(OR($O29&lt;P$387,$O29&gt;P$388),"",IFERROR(IF($O29=P$387,100,P28)*INDEX($B$2:$B$428,MATCH($O29,$A$2:$A$428,0))/INDEX($B$2:$B$428,MATCH($O29,$A$2:$A$428,0)-1),""))</f>
        <v>204.59860918482391</v>
      </c>
      <c r="Q29" s="19" t="str" cm="1">
        <f t="array" ref="Q29">IF(OR($O29&lt;Q$387,$O29&gt;Q$388),"",IFERROR(IF($O29=Q$387,100,Q28)*INDEX($B$2:$B$428,MATCH($O29,$A$2:$A$428,0))/INDEX($B$2:$B$428,MATCH($O29,$A$2:$A$428,0)-1),""))</f>
        <v/>
      </c>
      <c r="R29" s="19" t="str" cm="1">
        <f t="array" ref="R29">IF(OR($O29&lt;R$387,$O29&gt;R$388),"",IFERROR(IF($O29=R$387,100,R28)*INDEX($B$2:$B$428,MATCH($O29,$A$2:$A$428,0))/INDEX($B$2:$B$428,MATCH($O29,$A$2:$A$428,0)-1),""))</f>
        <v/>
      </c>
      <c r="S29" s="19" t="str" cm="1">
        <f t="array" ref="S29">IF(OR($O29&lt;S$387,$O29&gt;S$388),"",IFERROR(IF($O29=S$387,100,S28)*INDEX($B$2:$B$428,MATCH($O29,$A$2:$A$428,0))/INDEX($B$2:$B$428,MATCH($O29,$A$2:$A$428,0)-1),""))</f>
        <v/>
      </c>
      <c r="T29" s="19" t="str" cm="1">
        <f t="array" ref="T29">IF(OR($O29&lt;T$387,$O29&gt;T$388),"",IFERROR(IF($O29=T$387,100,T28)*INDEX($B$2:$B$428,MATCH($O29,$A$2:$A$428,0))/INDEX($B$2:$B$428,MATCH($O29,$A$2:$A$428,0)-1),""))</f>
        <v/>
      </c>
      <c r="U29" s="19" t="str" cm="1">
        <f t="array" ref="U29">IF(OR($O29&lt;U$387,$O29&gt;U$388),"",IFERROR(IF($O29=U$387,100,U28)*INDEX($B$2:$B$428,MATCH($O29,$A$2:$A$428,0))/INDEX($B$2:$B$428,MATCH($O29,$A$2:$A$428,0)-1),""))</f>
        <v/>
      </c>
      <c r="V29" s="19" t="str" cm="1">
        <f t="array" ref="V29">IF(OR($O29&lt;V$387,$O29&gt;V$388),"",IFERROR(IF($O29=V$387,100,V28)*INDEX($B$2:$B$428,MATCH($O29,$A$2:$A$428,0))/INDEX($B$2:$B$428,MATCH($O29,$A$2:$A$428,0)-1),""))</f>
        <v/>
      </c>
      <c r="W29" s="19" t="str" cm="1">
        <f t="array" ref="W29">IF(OR($O29&lt;W$387,$O29&gt;W$388),"",IFERROR(IF($O29=W$387,100,W28)*INDEX($B$2:$B$428,MATCH($O29,$A$2:$A$428,0))/INDEX($B$2:$B$428,MATCH($O29,$A$2:$A$428,0)-1),""))</f>
        <v/>
      </c>
      <c r="X29" s="19" t="str" cm="1">
        <f t="array" ref="X29">IF(OR($O29&lt;X$387,$O29&gt;X$388),"",IFERROR(IF($O29=X$387,100,X28)*INDEX($B$2:$B$428,MATCH($O29,$A$2:$A$428,0))/INDEX($B$2:$B$428,MATCH($O29,$A$2:$A$428,0)-1),""))</f>
        <v/>
      </c>
      <c r="AA29" s="19" cm="1">
        <f t="array" ref="AA29">IF(EDATE(AA$387,ROW()-2)&gt;AA$388,"",IFERROR(IF(ROW()=2,100,AA28)*INDEX($D$2:$D$428,MATCH(EDATE(AA$387,ROW()-2),$A$2:$A$428,0))/INDEX($D$2:$D$428,MATCH(EDATE(AA$387,ROW()-2),$A$2:$A$428,0)-1),""))</f>
        <v>155.71214937670828</v>
      </c>
      <c r="AB29" s="19" cm="1">
        <f t="array" ref="AB29">IF(EDATE(AB$387,ROW()-2)&gt;AB$388,"",IFERROR(IF(ROW()=2,100,AB28)*INDEX($D$2:$D$428,MATCH(EDATE(AB$387,ROW()-2),$A$2:$A$428,0))/INDEX($D$2:$D$428,MATCH(EDATE(AB$387,ROW()-2),$A$2:$A$428,0)-1),""))</f>
        <v>121.293678091907</v>
      </c>
      <c r="AC29" s="19" cm="1">
        <f t="array" ref="AC29">IF(EDATE(AC$387,ROW()-2)&gt;AC$388,"",IFERROR(IF(ROW()=2,100,AC28)*INDEX($D$2:$D$428,MATCH(EDATE(AC$387,ROW()-2),$A$2:$A$428,0))/INDEX($D$2:$D$428,MATCH(EDATE(AC$387,ROW()-2),$A$2:$A$428,0)-1),""))</f>
        <v>120.47034177058374</v>
      </c>
      <c r="AD29" s="19" cm="1">
        <f t="array" ref="AD29">IF(EDATE(AD$387,ROW()-2)&gt;AD$388,"",IFERROR(IF(ROW()=2,100,AD28)*INDEX($D$2:$D$428,MATCH(EDATE(AD$387,ROW()-2),$A$2:$A$428,0))/INDEX($D$2:$D$428,MATCH(EDATE(AD$387,ROW()-2),$A$2:$A$428,0)-1),""))</f>
        <v>120.3424166942045</v>
      </c>
      <c r="AE29" s="19"/>
      <c r="AF29" s="19" cm="1">
        <f t="array" ref="AF29">IF(EDATE(AF$387,ROW()-2)&gt;AF$388,"",IFERROR(IF(ROW()=2,100,AF28)*INDEX($D$2:$D$428,MATCH(EDATE(AF$387,ROW()-2),$A$2:$A$428,0))/INDEX($D$2:$D$428,MATCH(EDATE(AF$387,ROW()-2),$A$2:$A$428,0)-1),""))</f>
        <v>134.88079985024319</v>
      </c>
      <c r="AG29" s="19" cm="1">
        <f t="array" ref="AG29">IF(EDATE(AG$387,ROW()-2)&gt;AG$388,"",IFERROR(IF(ROW()=2,100,AG28)*INDEX($D$2:$D$428,MATCH(EDATE(AG$387,ROW()-2),$A$2:$A$428,0))/INDEX($D$2:$D$428,MATCH(EDATE(AG$387,ROW()-2),$A$2:$A$428,0)-1),""))</f>
        <v>125.10760169234274</v>
      </c>
      <c r="AH29" s="19" cm="1">
        <f t="array" ref="AH29">IF(EDATE(AH$387,ROW()-2)&gt;AH$388,"",IFERROR(IF(ROW()=2,100,AH28)*INDEX($D$2:$D$428,MATCH(EDATE(AH$387,ROW()-2),$A$2:$A$428,0))/INDEX($D$2:$D$428,MATCH(EDATE(AH$387,ROW()-2),$A$2:$A$428,0)-1),""))</f>
        <v>126.46535720913535</v>
      </c>
      <c r="AJ29" s="11">
        <v>33695</v>
      </c>
      <c r="AK29">
        <v>122.8</v>
      </c>
      <c r="AL29" s="26" t="e">
        <f t="shared" si="7"/>
        <v>#VALUE!</v>
      </c>
      <c r="AN29" s="27">
        <f t="shared" si="8"/>
        <v>12.53537080960221</v>
      </c>
      <c r="AO29" s="27">
        <f t="shared" si="8"/>
        <v>-8.4534056826686577</v>
      </c>
      <c r="AP29" s="27">
        <f t="shared" si="8"/>
        <v>-5.3376376702626853</v>
      </c>
      <c r="AQ29" s="27">
        <f t="shared" si="8"/>
        <v>-3.8955947507468669</v>
      </c>
      <c r="AR29" s="27"/>
      <c r="AS29" s="27">
        <f t="shared" si="8"/>
        <v>13.482640759104857</v>
      </c>
      <c r="AT29" s="27">
        <f t="shared" si="8"/>
        <v>7.3019037498394219</v>
      </c>
      <c r="AU29" s="27">
        <f t="shared" si="8"/>
        <v>4.2417977612941531</v>
      </c>
    </row>
    <row r="30" spans="1:47" x14ac:dyDescent="0.3">
      <c r="A30" s="11">
        <v>34090</v>
      </c>
      <c r="B30">
        <v>693.21</v>
      </c>
      <c r="C30" t="s">
        <v>20</v>
      </c>
      <c r="D30" t="s">
        <v>20</v>
      </c>
      <c r="E30" s="11">
        <f t="shared" si="0"/>
        <v>34090</v>
      </c>
      <c r="F30" s="9">
        <f t="shared" si="4"/>
        <v>13.1212059482583</v>
      </c>
      <c r="G30" s="9" t="e">
        <f t="shared" si="5"/>
        <v>#VALUE!</v>
      </c>
      <c r="H30" s="9" t="e">
        <f t="shared" si="6"/>
        <v>#VALUE!</v>
      </c>
      <c r="I30" s="11">
        <f t="shared" si="1"/>
        <v>34090</v>
      </c>
      <c r="O30" s="11">
        <v>35551</v>
      </c>
      <c r="P30" s="19" cm="1">
        <f t="array" ref="P30">IF(OR($O30&lt;P$387,$O30&gt;P$388),"",IFERROR(IF($O30=P$387,100,P29)*INDEX($B$2:$B$428,MATCH($O30,$A$2:$A$428,0))/INDEX($B$2:$B$428,MATCH($O30,$A$2:$A$428,0)-1),""))</f>
        <v>204.21840807664955</v>
      </c>
      <c r="Q30" s="19" t="str" cm="1">
        <f t="array" ref="Q30">IF(OR($O30&lt;Q$387,$O30&gt;Q$388),"",IFERROR(IF($O30=Q$387,100,Q29)*INDEX($B$2:$B$428,MATCH($O30,$A$2:$A$428,0))/INDEX($B$2:$B$428,MATCH($O30,$A$2:$A$428,0)-1),""))</f>
        <v/>
      </c>
      <c r="R30" s="19" t="str" cm="1">
        <f t="array" ref="R30">IF(OR($O30&lt;R$387,$O30&gt;R$388),"",IFERROR(IF($O30=R$387,100,R29)*INDEX($B$2:$B$428,MATCH($O30,$A$2:$A$428,0))/INDEX($B$2:$B$428,MATCH($O30,$A$2:$A$428,0)-1),""))</f>
        <v/>
      </c>
      <c r="S30" s="19" t="str" cm="1">
        <f t="array" ref="S30">IF(OR($O30&lt;S$387,$O30&gt;S$388),"",IFERROR(IF($O30=S$387,100,S29)*INDEX($B$2:$B$428,MATCH($O30,$A$2:$A$428,0))/INDEX($B$2:$B$428,MATCH($O30,$A$2:$A$428,0)-1),""))</f>
        <v/>
      </c>
      <c r="T30" s="19" t="str" cm="1">
        <f t="array" ref="T30">IF(OR($O30&lt;T$387,$O30&gt;T$388),"",IFERROR(IF($O30=T$387,100,T29)*INDEX($B$2:$B$428,MATCH($O30,$A$2:$A$428,0))/INDEX($B$2:$B$428,MATCH($O30,$A$2:$A$428,0)-1),""))</f>
        <v/>
      </c>
      <c r="U30" s="19" t="str" cm="1">
        <f t="array" ref="U30">IF(OR($O30&lt;U$387,$O30&gt;U$388),"",IFERROR(IF($O30=U$387,100,U29)*INDEX($B$2:$B$428,MATCH($O30,$A$2:$A$428,0))/INDEX($B$2:$B$428,MATCH($O30,$A$2:$A$428,0)-1),""))</f>
        <v/>
      </c>
      <c r="V30" s="19" t="str" cm="1">
        <f t="array" ref="V30">IF(OR($O30&lt;V$387,$O30&gt;V$388),"",IFERROR(IF($O30=V$387,100,V29)*INDEX($B$2:$B$428,MATCH($O30,$A$2:$A$428,0))/INDEX($B$2:$B$428,MATCH($O30,$A$2:$A$428,0)-1),""))</f>
        <v/>
      </c>
      <c r="W30" s="19" t="str" cm="1">
        <f t="array" ref="W30">IF(OR($O30&lt;W$387,$O30&gt;W$388),"",IFERROR(IF($O30=W$387,100,W29)*INDEX($B$2:$B$428,MATCH($O30,$A$2:$A$428,0))/INDEX($B$2:$B$428,MATCH($O30,$A$2:$A$428,0)-1),""))</f>
        <v/>
      </c>
      <c r="X30" s="19" t="str" cm="1">
        <f t="array" ref="X30">IF(OR($O30&lt;X$387,$O30&gt;X$388),"",IFERROR(IF($O30=X$387,100,X29)*INDEX($B$2:$B$428,MATCH($O30,$A$2:$A$428,0))/INDEX($B$2:$B$428,MATCH($O30,$A$2:$A$428,0)-1),""))</f>
        <v/>
      </c>
      <c r="AA30" s="19" cm="1">
        <f t="array" ref="AA30">IF(EDATE(AA$387,ROW()-2)&gt;AA$388,"",IFERROR(IF(ROW()=2,100,AA29)*INDEX($D$2:$D$428,MATCH(EDATE(AA$387,ROW()-2),$A$2:$A$428,0))/INDEX($D$2:$D$428,MATCH(EDATE(AA$387,ROW()-2),$A$2:$A$428,0)-1),""))</f>
        <v>159.21111889274763</v>
      </c>
      <c r="AB30" s="19" cm="1">
        <f t="array" ref="AB30">IF(EDATE(AB$387,ROW()-2)&gt;AB$388,"",IFERROR(IF(ROW()=2,100,AB29)*INDEX($D$2:$D$428,MATCH(EDATE(AB$387,ROW()-2),$A$2:$A$428,0))/INDEX($D$2:$D$428,MATCH(EDATE(AB$387,ROW()-2),$A$2:$A$428,0)-1),""))</f>
        <v>122.08787328424819</v>
      </c>
      <c r="AC30" s="19" cm="1">
        <f t="array" ref="AC30">IF(EDATE(AC$387,ROW()-2)&gt;AC$388,"",IFERROR(IF(ROW()=2,100,AC29)*INDEX($D$2:$D$428,MATCH(EDATE(AC$387,ROW()-2),$A$2:$A$428,0))/INDEX($D$2:$D$428,MATCH(EDATE(AC$387,ROW()-2),$A$2:$A$428,0)-1),""))</f>
        <v>120.69038431720119</v>
      </c>
      <c r="AD30" s="19" cm="1">
        <f t="array" ref="AD30">IF(EDATE(AD$387,ROW()-2)&gt;AD$388,"",IFERROR(IF(ROW()=2,100,AD29)*INDEX($D$2:$D$428,MATCH(EDATE(AD$387,ROW()-2),$A$2:$A$428,0))/INDEX($D$2:$D$428,MATCH(EDATE(AD$387,ROW()-2),$A$2:$A$428,0)-1),""))</f>
        <v>120.33622888019984</v>
      </c>
      <c r="AE30" s="19"/>
      <c r="AF30" s="19" cm="1">
        <f t="array" ref="AF30">IF(EDATE(AF$387,ROW()-2)&gt;AF$388,"",IFERROR(IF(ROW()=2,100,AF29)*INDEX($D$2:$D$428,MATCH(EDATE(AF$387,ROW()-2),$A$2:$A$428,0))/INDEX($D$2:$D$428,MATCH(EDATE(AF$387,ROW()-2),$A$2:$A$428,0)-1),""))</f>
        <v>135.49474238417756</v>
      </c>
      <c r="AG30" s="19" cm="1">
        <f t="array" ref="AG30">IF(EDATE(AG$387,ROW()-2)&gt;AG$388,"",IFERROR(IF(ROW()=2,100,AG29)*INDEX($D$2:$D$428,MATCH(EDATE(AG$387,ROW()-2),$A$2:$A$428,0))/INDEX($D$2:$D$428,MATCH(EDATE(AG$387,ROW()-2),$A$2:$A$428,0)-1),""))</f>
        <v>126.43542077446456</v>
      </c>
      <c r="AH30" s="19" cm="1">
        <f t="array" ref="AH30">IF(EDATE(AH$387,ROW()-2)&gt;AH$388,"",IFERROR(IF(ROW()=2,100,AH29)*INDEX($D$2:$D$428,MATCH(EDATE(AH$387,ROW()-2),$A$2:$A$428,0))/INDEX($D$2:$D$428,MATCH(EDATE(AH$387,ROW()-2),$A$2:$A$428,0)-1),""))</f>
        <v>127.2081638900773</v>
      </c>
      <c r="AJ30" s="11">
        <v>33725</v>
      </c>
      <c r="AK30">
        <v>149.30000000000001</v>
      </c>
      <c r="AL30" s="26" t="e">
        <f t="shared" si="7"/>
        <v>#VALUE!</v>
      </c>
      <c r="AN30" s="27">
        <f t="shared" si="8"/>
        <v>13.316434329726402</v>
      </c>
      <c r="AO30" s="27">
        <f t="shared" si="8"/>
        <v>-8.6090477098664344</v>
      </c>
      <c r="AP30" s="27">
        <f t="shared" si="8"/>
        <v>-5.472080903138421</v>
      </c>
      <c r="AQ30" s="27">
        <f t="shared" si="8"/>
        <v>-4.3580602921757583</v>
      </c>
      <c r="AR30" s="27"/>
      <c r="AS30" s="27">
        <f t="shared" si="8"/>
        <v>13.470505299685742</v>
      </c>
      <c r="AT30" s="27">
        <f t="shared" si="8"/>
        <v>6.5350700861130262</v>
      </c>
      <c r="AU30" s="27">
        <f t="shared" si="8"/>
        <v>4.0605548228724082</v>
      </c>
    </row>
    <row r="31" spans="1:47" x14ac:dyDescent="0.3">
      <c r="A31" s="11">
        <v>34121</v>
      </c>
      <c r="B31">
        <v>886.02</v>
      </c>
      <c r="C31" t="s">
        <v>20</v>
      </c>
      <c r="D31" t="s">
        <v>20</v>
      </c>
      <c r="E31" s="11">
        <f t="shared" si="0"/>
        <v>34121</v>
      </c>
      <c r="F31" s="9">
        <f t="shared" si="4"/>
        <v>13.861120429386112</v>
      </c>
      <c r="G31" s="9" t="e">
        <f t="shared" si="5"/>
        <v>#VALUE!</v>
      </c>
      <c r="H31" s="9" t="e">
        <f t="shared" si="6"/>
        <v>#VALUE!</v>
      </c>
      <c r="I31" s="11">
        <f t="shared" si="1"/>
        <v>34121</v>
      </c>
      <c r="O31" s="11">
        <v>35582</v>
      </c>
      <c r="P31" s="19" cm="1">
        <f t="array" ref="P31">IF(OR($O31&lt;P$387,$O31&gt;P$388),"",IFERROR(IF($O31=P$387,100,P30)*INDEX($B$2:$B$428,MATCH($O31,$A$2:$A$428,0))/INDEX($B$2:$B$428,MATCH($O31,$A$2:$A$428,0)-1),""))</f>
        <v>197.86362246550942</v>
      </c>
      <c r="Q31" s="19" t="str" cm="1">
        <f t="array" ref="Q31">IF(OR($O31&lt;Q$387,$O31&gt;Q$388),"",IFERROR(IF($O31=Q$387,100,Q30)*INDEX($B$2:$B$428,MATCH($O31,$A$2:$A$428,0))/INDEX($B$2:$B$428,MATCH($O31,$A$2:$A$428,0)-1),""))</f>
        <v/>
      </c>
      <c r="R31" s="19" t="str" cm="1">
        <f t="array" ref="R31">IF(OR($O31&lt;R$387,$O31&gt;R$388),"",IFERROR(IF($O31=R$387,100,R30)*INDEX($B$2:$B$428,MATCH($O31,$A$2:$A$428,0))/INDEX($B$2:$B$428,MATCH($O31,$A$2:$A$428,0)-1),""))</f>
        <v/>
      </c>
      <c r="S31" s="19" t="str" cm="1">
        <f t="array" ref="S31">IF(OR($O31&lt;S$387,$O31&gt;S$388),"",IFERROR(IF($O31=S$387,100,S30)*INDEX($B$2:$B$428,MATCH($O31,$A$2:$A$428,0))/INDEX($B$2:$B$428,MATCH($O31,$A$2:$A$428,0)-1),""))</f>
        <v/>
      </c>
      <c r="T31" s="19" t="str" cm="1">
        <f t="array" ref="T31">IF(OR($O31&lt;T$387,$O31&gt;T$388),"",IFERROR(IF($O31=T$387,100,T30)*INDEX($B$2:$B$428,MATCH($O31,$A$2:$A$428,0))/INDEX($B$2:$B$428,MATCH($O31,$A$2:$A$428,0)-1),""))</f>
        <v/>
      </c>
      <c r="U31" s="19" t="str" cm="1">
        <f t="array" ref="U31">IF(OR($O31&lt;U$387,$O31&gt;U$388),"",IFERROR(IF($O31=U$387,100,U30)*INDEX($B$2:$B$428,MATCH($O31,$A$2:$A$428,0))/INDEX($B$2:$B$428,MATCH($O31,$A$2:$A$428,0)-1),""))</f>
        <v/>
      </c>
      <c r="V31" s="19" t="str" cm="1">
        <f t="array" ref="V31">IF(OR($O31&lt;V$387,$O31&gt;V$388),"",IFERROR(IF($O31=V$387,100,V30)*INDEX($B$2:$B$428,MATCH($O31,$A$2:$A$428,0))/INDEX($B$2:$B$428,MATCH($O31,$A$2:$A$428,0)-1),""))</f>
        <v/>
      </c>
      <c r="W31" s="19" t="str" cm="1">
        <f t="array" ref="W31">IF(OR($O31&lt;W$387,$O31&gt;W$388),"",IFERROR(IF($O31=W$387,100,W30)*INDEX($B$2:$B$428,MATCH($O31,$A$2:$A$428,0))/INDEX($B$2:$B$428,MATCH($O31,$A$2:$A$428,0)-1),""))</f>
        <v/>
      </c>
      <c r="X31" s="19" t="str" cm="1">
        <f t="array" ref="X31">IF(OR($O31&lt;X$387,$O31&gt;X$388),"",IFERROR(IF($O31=X$387,100,X30)*INDEX($B$2:$B$428,MATCH($O31,$A$2:$A$428,0))/INDEX($B$2:$B$428,MATCH($O31,$A$2:$A$428,0)-1),""))</f>
        <v/>
      </c>
      <c r="AA31" s="19" cm="1">
        <f t="array" ref="AA31">IF(EDATE(AA$387,ROW()-2)&gt;AA$388,"",IFERROR(IF(ROW()=2,100,AA30)*INDEX($D$2:$D$428,MATCH(EDATE(AA$387,ROW()-2),$A$2:$A$428,0))/INDEX($D$2:$D$428,MATCH(EDATE(AA$387,ROW()-2),$A$2:$A$428,0)-1),""))</f>
        <v>162.42882537292431</v>
      </c>
      <c r="AB31" s="19" cm="1">
        <f t="array" ref="AB31">IF(EDATE(AB$387,ROW()-2)&gt;AB$388,"",IFERROR(IF(ROW()=2,100,AB30)*INDEX($D$2:$D$428,MATCH(EDATE(AB$387,ROW()-2),$A$2:$A$428,0))/INDEX($D$2:$D$428,MATCH(EDATE(AB$387,ROW()-2),$A$2:$A$428,0)-1),""))</f>
        <v>123.42495773038051</v>
      </c>
      <c r="AC31" s="19" cm="1">
        <f t="array" ref="AC31">IF(EDATE(AC$387,ROW()-2)&gt;AC$388,"",IFERROR(IF(ROW()=2,100,AC30)*INDEX($D$2:$D$428,MATCH(EDATE(AC$387,ROW()-2),$A$2:$A$428,0))/INDEX($D$2:$D$428,MATCH(EDATE(AC$387,ROW()-2),$A$2:$A$428,0)-1),""))</f>
        <v>125.17464480955203</v>
      </c>
      <c r="AD31" s="19" cm="1">
        <f t="array" ref="AD31">IF(EDATE(AD$387,ROW()-2)&gt;AD$388,"",IFERROR(IF(ROW()=2,100,AD30)*INDEX($D$2:$D$428,MATCH(EDATE(AD$387,ROW()-2),$A$2:$A$428,0))/INDEX($D$2:$D$428,MATCH(EDATE(AD$387,ROW()-2),$A$2:$A$428,0)-1),""))</f>
        <v>122.43341556409995</v>
      </c>
      <c r="AE31" s="19"/>
      <c r="AF31" s="19" cm="1">
        <f t="array" ref="AF31">IF(EDATE(AF$387,ROW()-2)&gt;AF$388,"",IFERROR(IF(ROW()=2,100,AF30)*INDEX($D$2:$D$428,MATCH(EDATE(AF$387,ROW()-2),$A$2:$A$428,0))/INDEX($D$2:$D$428,MATCH(EDATE(AF$387,ROW()-2),$A$2:$A$428,0)-1),""))</f>
        <v>134.48465322839004</v>
      </c>
      <c r="AG31" s="19" cm="1">
        <f t="array" ref="AG31">IF(EDATE(AG$387,ROW()-2)&gt;AG$388,"",IFERROR(IF(ROW()=2,100,AG30)*INDEX($D$2:$D$428,MATCH(EDATE(AG$387,ROW()-2),$A$2:$A$428,0))/INDEX($D$2:$D$428,MATCH(EDATE(AG$387,ROW()-2),$A$2:$A$428,0)-1),""))</f>
        <v>129.1705196397069</v>
      </c>
      <c r="AH31" s="19" cm="1">
        <f t="array" ref="AH31">IF(EDATE(AH$387,ROW()-2)&gt;AH$388,"",IFERROR(IF(ROW()=2,100,AH30)*INDEX($D$2:$D$428,MATCH(EDATE(AH$387,ROW()-2),$A$2:$A$428,0))/INDEX($D$2:$D$428,MATCH(EDATE(AH$387,ROW()-2),$A$2:$A$428,0)-1),""))</f>
        <v>130.19140454267938</v>
      </c>
      <c r="AJ31" s="11">
        <v>33756</v>
      </c>
      <c r="AK31">
        <v>182.8</v>
      </c>
      <c r="AL31" s="26" t="e">
        <f t="shared" si="7"/>
        <v>#VALUE!</v>
      </c>
      <c r="AN31" s="27">
        <f t="shared" si="8"/>
        <v>14.491320627828564</v>
      </c>
      <c r="AO31" s="27">
        <f t="shared" si="8"/>
        <v>-8.4292663660330511</v>
      </c>
      <c r="AP31" s="27">
        <f t="shared" si="8"/>
        <v>-3.4834502811613821</v>
      </c>
      <c r="AQ31" s="27">
        <f t="shared" si="8"/>
        <v>-3.8051117076203567</v>
      </c>
      <c r="AR31" s="27"/>
      <c r="AS31" s="27">
        <f t="shared" si="8"/>
        <v>12.314011833246042</v>
      </c>
      <c r="AT31" s="27">
        <f t="shared" si="8"/>
        <v>7.0895329177230737</v>
      </c>
      <c r="AU31" s="27">
        <f t="shared" si="8"/>
        <v>5.5811218497443189</v>
      </c>
    </row>
    <row r="32" spans="1:47" x14ac:dyDescent="0.3">
      <c r="A32" s="11">
        <v>34151</v>
      </c>
      <c r="B32" s="18">
        <v>1152.6199999999999</v>
      </c>
      <c r="C32" t="s">
        <v>20</v>
      </c>
      <c r="D32" t="s">
        <v>20</v>
      </c>
      <c r="E32" s="11">
        <f t="shared" si="0"/>
        <v>34151</v>
      </c>
      <c r="F32" s="9">
        <f t="shared" si="4"/>
        <v>14.79797149122807</v>
      </c>
      <c r="G32" s="9" t="e">
        <f t="shared" si="5"/>
        <v>#VALUE!</v>
      </c>
      <c r="H32" s="9" t="e">
        <f t="shared" si="6"/>
        <v>#VALUE!</v>
      </c>
      <c r="I32" s="11">
        <f t="shared" si="1"/>
        <v>34151</v>
      </c>
      <c r="O32" s="11">
        <v>35612</v>
      </c>
      <c r="P32" s="19" cm="1">
        <f t="array" ref="P32">IF(OR($O32&lt;P$387,$O32&gt;P$388),"",IFERROR(IF($O32=P$387,100,P31)*INDEX($B$2:$B$428,MATCH($O32,$A$2:$A$428,0))/INDEX($B$2:$B$428,MATCH($O32,$A$2:$A$428,0)-1),""))</f>
        <v>201.32483324905849</v>
      </c>
      <c r="Q32" s="19" t="str" cm="1">
        <f t="array" ref="Q32">IF(OR($O32&lt;Q$387,$O32&gt;Q$388),"",IFERROR(IF($O32=Q$387,100,Q31)*INDEX($B$2:$B$428,MATCH($O32,$A$2:$A$428,0))/INDEX($B$2:$B$428,MATCH($O32,$A$2:$A$428,0)-1),""))</f>
        <v/>
      </c>
      <c r="R32" s="19" t="str" cm="1">
        <f t="array" ref="R32">IF(OR($O32&lt;R$387,$O32&gt;R$388),"",IFERROR(IF($O32=R$387,100,R31)*INDEX($B$2:$B$428,MATCH($O32,$A$2:$A$428,0))/INDEX($B$2:$B$428,MATCH($O32,$A$2:$A$428,0)-1),""))</f>
        <v/>
      </c>
      <c r="S32" s="19" t="str" cm="1">
        <f t="array" ref="S32">IF(OR($O32&lt;S$387,$O32&gt;S$388),"",IFERROR(IF($O32=S$387,100,S31)*INDEX($B$2:$B$428,MATCH($O32,$A$2:$A$428,0))/INDEX($B$2:$B$428,MATCH($O32,$A$2:$A$428,0)-1),""))</f>
        <v/>
      </c>
      <c r="T32" s="19" t="str" cm="1">
        <f t="array" ref="T32">IF(OR($O32&lt;T$387,$O32&gt;T$388),"",IFERROR(IF($O32=T$387,100,T31)*INDEX($B$2:$B$428,MATCH($O32,$A$2:$A$428,0))/INDEX($B$2:$B$428,MATCH($O32,$A$2:$A$428,0)-1),""))</f>
        <v/>
      </c>
      <c r="U32" s="19" t="str" cm="1">
        <f t="array" ref="U32">IF(OR($O32&lt;U$387,$O32&gt;U$388),"",IFERROR(IF($O32=U$387,100,U31)*INDEX($B$2:$B$428,MATCH($O32,$A$2:$A$428,0))/INDEX($B$2:$B$428,MATCH($O32,$A$2:$A$428,0)-1),""))</f>
        <v/>
      </c>
      <c r="V32" s="19" t="str" cm="1">
        <f t="array" ref="V32">IF(OR($O32&lt;V$387,$O32&gt;V$388),"",IFERROR(IF($O32=V$387,100,V31)*INDEX($B$2:$B$428,MATCH($O32,$A$2:$A$428,0))/INDEX($B$2:$B$428,MATCH($O32,$A$2:$A$428,0)-1),""))</f>
        <v/>
      </c>
      <c r="W32" s="19" t="str" cm="1">
        <f t="array" ref="W32">IF(OR($O32&lt;W$387,$O32&gt;W$388),"",IFERROR(IF($O32=W$387,100,W31)*INDEX($B$2:$B$428,MATCH($O32,$A$2:$A$428,0))/INDEX($B$2:$B$428,MATCH($O32,$A$2:$A$428,0)-1),""))</f>
        <v/>
      </c>
      <c r="X32" s="19" t="str" cm="1">
        <f t="array" ref="X32">IF(OR($O32&lt;X$387,$O32&gt;X$388),"",IFERROR(IF($O32=X$387,100,X31)*INDEX($B$2:$B$428,MATCH($O32,$A$2:$A$428,0))/INDEX($B$2:$B$428,MATCH($O32,$A$2:$A$428,0)-1),""))</f>
        <v/>
      </c>
      <c r="AA32" s="19" cm="1">
        <f t="array" ref="AA32">IF(EDATE(AA$387,ROW()-2)&gt;AA$388,"",IFERROR(IF(ROW()=2,100,AA31)*INDEX($D$2:$D$428,MATCH(EDATE(AA$387,ROW()-2),$A$2:$A$428,0))/INDEX($D$2:$D$428,MATCH(EDATE(AA$387,ROW()-2),$A$2:$A$428,0)-1),""))</f>
        <v>163.68011436533925</v>
      </c>
      <c r="AB32" s="19" cm="1">
        <f t="array" ref="AB32">IF(EDATE(AB$387,ROW()-2)&gt;AB$388,"",IFERROR(IF(ROW()=2,100,AB31)*INDEX($D$2:$D$428,MATCH(EDATE(AB$387,ROW()-2),$A$2:$A$428,0))/INDEX($D$2:$D$428,MATCH(EDATE(AB$387,ROW()-2),$A$2:$A$428,0)-1),""))</f>
        <v>123.97940940707926</v>
      </c>
      <c r="AC32" s="19" cm="1">
        <f t="array" ref="AC32">IF(EDATE(AC$387,ROW()-2)&gt;AC$388,"",IFERROR(IF(ROW()=2,100,AC31)*INDEX($D$2:$D$428,MATCH(EDATE(AC$387,ROW()-2),$A$2:$A$428,0))/INDEX($D$2:$D$428,MATCH(EDATE(AC$387,ROW()-2),$A$2:$A$428,0)-1),""))</f>
        <v>126.1918643076509</v>
      </c>
      <c r="AD32" s="19" cm="1">
        <f t="array" ref="AD32">IF(EDATE(AD$387,ROW()-2)&gt;AD$388,"",IFERROR(IF(ROW()=2,100,AD31)*INDEX($D$2:$D$428,MATCH(EDATE(AD$387,ROW()-2),$A$2:$A$428,0))/INDEX($D$2:$D$428,MATCH(EDATE(AD$387,ROW()-2),$A$2:$A$428,0)-1),""))</f>
        <v>121.29268801286634</v>
      </c>
      <c r="AE32" s="19"/>
      <c r="AF32" s="19" cm="1">
        <f t="array" ref="AF32">IF(EDATE(AF$387,ROW()-2)&gt;AF$388,"",IFERROR(IF(ROW()=2,100,AF31)*INDEX($D$2:$D$428,MATCH(EDATE(AF$387,ROW()-2),$A$2:$A$428,0))/INDEX($D$2:$D$428,MATCH(EDATE(AF$387,ROW()-2),$A$2:$A$428,0)-1),""))</f>
        <v>136.40872952426446</v>
      </c>
      <c r="AG32" s="19" cm="1">
        <f t="array" ref="AG32">IF(EDATE(AG$387,ROW()-2)&gt;AG$388,"",IFERROR(IF(ROW()=2,100,AG31)*INDEX($D$2:$D$428,MATCH(EDATE(AG$387,ROW()-2),$A$2:$A$428,0))/INDEX($D$2:$D$428,MATCH(EDATE(AG$387,ROW()-2),$A$2:$A$428,0)-1),""))</f>
        <v>129.91937346671281</v>
      </c>
      <c r="AH32" s="19" cm="1">
        <f t="array" ref="AH32">IF(EDATE(AH$387,ROW()-2)&gt;AH$388,"",IFERROR(IF(ROW()=2,100,AH31)*INDEX($D$2:$D$428,MATCH(EDATE(AH$387,ROW()-2),$A$2:$A$428,0))/INDEX($D$2:$D$428,MATCH(EDATE(AH$387,ROW()-2),$A$2:$A$428,0)-1),""))</f>
        <v>130.93668263204387</v>
      </c>
      <c r="AJ32" s="11">
        <v>33786</v>
      </c>
      <c r="AK32">
        <v>224.3</v>
      </c>
      <c r="AL32" s="26" t="e">
        <f t="shared" si="7"/>
        <v>#VALUE!</v>
      </c>
      <c r="AN32" s="27">
        <f t="shared" si="8"/>
        <v>14.614066061809272</v>
      </c>
      <c r="AO32" s="27">
        <f t="shared" si="8"/>
        <v>-8.565060192121221</v>
      </c>
      <c r="AP32" s="27">
        <f t="shared" si="8"/>
        <v>-3.1826007244698751</v>
      </c>
      <c r="AQ32" s="27">
        <f t="shared" si="8"/>
        <v>-4.8465742292734042</v>
      </c>
      <c r="AR32" s="27"/>
      <c r="AS32" s="27">
        <f t="shared" si="8"/>
        <v>13.101170509780957</v>
      </c>
      <c r="AT32" s="27">
        <f t="shared" si="8"/>
        <v>6.2964152533604434</v>
      </c>
      <c r="AU32" s="27">
        <f t="shared" si="8"/>
        <v>5.5396048734129399</v>
      </c>
    </row>
    <row r="33" spans="1:47" x14ac:dyDescent="0.3">
      <c r="A33" s="11">
        <v>34182</v>
      </c>
      <c r="B33" s="18">
        <v>1581.05</v>
      </c>
      <c r="C33" t="s">
        <v>20</v>
      </c>
      <c r="D33" t="s">
        <v>20</v>
      </c>
      <c r="E33" s="11">
        <f t="shared" si="0"/>
        <v>34182</v>
      </c>
      <c r="F33" s="9">
        <f t="shared" si="4"/>
        <v>16.883158013799346</v>
      </c>
      <c r="G33" s="9" t="e">
        <f t="shared" si="5"/>
        <v>#VALUE!</v>
      </c>
      <c r="H33" s="9" t="e">
        <f t="shared" si="6"/>
        <v>#VALUE!</v>
      </c>
      <c r="I33" s="11">
        <f t="shared" si="1"/>
        <v>34182</v>
      </c>
      <c r="O33" s="11">
        <v>35643</v>
      </c>
      <c r="P33" s="19" cm="1">
        <f t="array" ref="P33">IF(OR($O33&lt;P$387,$O33&gt;P$388),"",IFERROR(IF($O33=P$387,100,P32)*INDEX($B$2:$B$428,MATCH($O33,$A$2:$A$428,0))/INDEX($B$2:$B$428,MATCH($O33,$A$2:$A$428,0)-1),""))</f>
        <v>200.88016913488786</v>
      </c>
      <c r="Q33" s="19" t="str" cm="1">
        <f t="array" ref="Q33">IF(OR($O33&lt;Q$387,$O33&gt;Q$388),"",IFERROR(IF($O33=Q$387,100,Q32)*INDEX($B$2:$B$428,MATCH($O33,$A$2:$A$428,0))/INDEX($B$2:$B$428,MATCH($O33,$A$2:$A$428,0)-1),""))</f>
        <v/>
      </c>
      <c r="R33" s="19" t="str" cm="1">
        <f t="array" ref="R33">IF(OR($O33&lt;R$387,$O33&gt;R$388),"",IFERROR(IF($O33=R$387,100,R32)*INDEX($B$2:$B$428,MATCH($O33,$A$2:$A$428,0))/INDEX($B$2:$B$428,MATCH($O33,$A$2:$A$428,0)-1),""))</f>
        <v/>
      </c>
      <c r="S33" s="19" t="str" cm="1">
        <f t="array" ref="S33">IF(OR($O33&lt;S$387,$O33&gt;S$388),"",IFERROR(IF($O33=S$387,100,S32)*INDEX($B$2:$B$428,MATCH($O33,$A$2:$A$428,0))/INDEX($B$2:$B$428,MATCH($O33,$A$2:$A$428,0)-1),""))</f>
        <v/>
      </c>
      <c r="T33" s="19" t="str" cm="1">
        <f t="array" ref="T33">IF(OR($O33&lt;T$387,$O33&gt;T$388),"",IFERROR(IF($O33=T$387,100,T32)*INDEX($B$2:$B$428,MATCH($O33,$A$2:$A$428,0))/INDEX($B$2:$B$428,MATCH($O33,$A$2:$A$428,0)-1),""))</f>
        <v/>
      </c>
      <c r="U33" s="19" t="str" cm="1">
        <f t="array" ref="U33">IF(OR($O33&lt;U$387,$O33&gt;U$388),"",IFERROR(IF($O33=U$387,100,U32)*INDEX($B$2:$B$428,MATCH($O33,$A$2:$A$428,0))/INDEX($B$2:$B$428,MATCH($O33,$A$2:$A$428,0)-1),""))</f>
        <v/>
      </c>
      <c r="V33" s="19" t="str" cm="1">
        <f t="array" ref="V33">IF(OR($O33&lt;V$387,$O33&gt;V$388),"",IFERROR(IF($O33=V$387,100,V32)*INDEX($B$2:$B$428,MATCH($O33,$A$2:$A$428,0))/INDEX($B$2:$B$428,MATCH($O33,$A$2:$A$428,0)-1),""))</f>
        <v/>
      </c>
      <c r="W33" s="19" t="str" cm="1">
        <f t="array" ref="W33">IF(OR($O33&lt;W$387,$O33&gt;W$388),"",IFERROR(IF($O33=W$387,100,W32)*INDEX($B$2:$B$428,MATCH($O33,$A$2:$A$428,0))/INDEX($B$2:$B$428,MATCH($O33,$A$2:$A$428,0)-1),""))</f>
        <v/>
      </c>
      <c r="X33" s="19" t="str" cm="1">
        <f t="array" ref="X33">IF(OR($O33&lt;X$387,$O33&gt;X$388),"",IFERROR(IF($O33=X$387,100,X32)*INDEX($B$2:$B$428,MATCH($O33,$A$2:$A$428,0))/INDEX($B$2:$B$428,MATCH($O33,$A$2:$A$428,0)-1),""))</f>
        <v/>
      </c>
      <c r="AA33" s="19" cm="1">
        <f t="array" ref="AA33">IF(EDATE(AA$387,ROW()-2)&gt;AA$388,"",IFERROR(IF(ROW()=2,100,AA32)*INDEX($D$2:$D$428,MATCH(EDATE(AA$387,ROW()-2),$A$2:$A$428,0))/INDEX($D$2:$D$428,MATCH(EDATE(AA$387,ROW()-2),$A$2:$A$428,0)-1),""))</f>
        <v>167.37896053569074</v>
      </c>
      <c r="AB33" s="19" cm="1">
        <f t="array" ref="AB33">IF(EDATE(AB$387,ROW()-2)&gt;AB$388,"",IFERROR(IF(ROW()=2,100,AB32)*INDEX($D$2:$D$428,MATCH(EDATE(AB$387,ROW()-2),$A$2:$A$428,0))/INDEX($D$2:$D$428,MATCH(EDATE(AB$387,ROW()-2),$A$2:$A$428,0)-1),""))</f>
        <v>124.64208832804877</v>
      </c>
      <c r="AC33" s="19" cm="1">
        <f t="array" ref="AC33">IF(EDATE(AC$387,ROW()-2)&gt;AC$388,"",IFERROR(IF(ROW()=2,100,AC32)*INDEX($D$2:$D$428,MATCH(EDATE(AC$387,ROW()-2),$A$2:$A$428,0))/INDEX($D$2:$D$428,MATCH(EDATE(AC$387,ROW()-2),$A$2:$A$428,0)-1),""))</f>
        <v>129.94980148299851</v>
      </c>
      <c r="AD33" s="19" cm="1">
        <f t="array" ref="AD33">IF(EDATE(AD$387,ROW()-2)&gt;AD$388,"",IFERROR(IF(ROW()=2,100,AD32)*INDEX($D$2:$D$428,MATCH(EDATE(AD$387,ROW()-2),$A$2:$A$428,0))/INDEX($D$2:$D$428,MATCH(EDATE(AD$387,ROW()-2),$A$2:$A$428,0)-1),""))</f>
        <v>122.94440402451932</v>
      </c>
      <c r="AE33" s="19"/>
      <c r="AF33" s="19" cm="1">
        <f t="array" ref="AF33">IF(EDATE(AF$387,ROW()-2)&gt;AF$388,"",IFERROR(IF(ROW()=2,100,AF32)*INDEX($D$2:$D$428,MATCH(EDATE(AF$387,ROW()-2),$A$2:$A$428,0))/INDEX($D$2:$D$428,MATCH(EDATE(AF$387,ROW()-2),$A$2:$A$428,0)-1),""))</f>
        <v>137.9918328891743</v>
      </c>
      <c r="AG33" s="19" cm="1">
        <f t="array" ref="AG33">IF(EDATE(AG$387,ROW()-2)&gt;AG$388,"",IFERROR(IF(ROW()=2,100,AG32)*INDEX($D$2:$D$428,MATCH(EDATE(AG$387,ROW()-2),$A$2:$A$428,0))/INDEX($D$2:$D$428,MATCH(EDATE(AG$387,ROW()-2),$A$2:$A$428,0)-1),""))</f>
        <v>131.46633368675896</v>
      </c>
      <c r="AH33" s="19" cm="1">
        <f t="array" ref="AH33">IF(EDATE(AH$387,ROW()-2)&gt;AH$388,"",IFERROR(IF(ROW()=2,100,AH32)*INDEX($D$2:$D$428,MATCH(EDATE(AH$387,ROW()-2),$A$2:$A$428,0))/INDEX($D$2:$D$428,MATCH(EDATE(AH$387,ROW()-2),$A$2:$A$428,0)-1),""))</f>
        <v>133.56217645543634</v>
      </c>
      <c r="AJ33" s="11">
        <v>33817</v>
      </c>
      <c r="AK33">
        <v>275.7</v>
      </c>
      <c r="AL33" s="26" t="e">
        <f t="shared" si="7"/>
        <v>#VALUE!</v>
      </c>
      <c r="AN33" s="27">
        <f t="shared" si="8"/>
        <v>15.676925838568268</v>
      </c>
      <c r="AO33" s="27">
        <f t="shared" si="8"/>
        <v>-8.8072784620522917</v>
      </c>
      <c r="AP33" s="27">
        <f t="shared" si="8"/>
        <v>-1.6286956563794308</v>
      </c>
      <c r="AQ33" s="27">
        <f t="shared" si="8"/>
        <v>-4.4598404994595668</v>
      </c>
      <c r="AR33" s="27"/>
      <c r="AS33" s="27">
        <f t="shared" si="8"/>
        <v>13.803057088773096</v>
      </c>
      <c r="AT33" s="27">
        <f t="shared" si="8"/>
        <v>5.9862484768431923</v>
      </c>
      <c r="AU33" s="27">
        <f t="shared" si="8"/>
        <v>6.8805986506363386</v>
      </c>
    </row>
    <row r="34" spans="1:47" x14ac:dyDescent="0.3">
      <c r="A34" s="11">
        <v>34213</v>
      </c>
      <c r="B34" s="18">
        <v>2090.98</v>
      </c>
      <c r="C34" t="s">
        <v>20</v>
      </c>
      <c r="D34" t="s">
        <v>20</v>
      </c>
      <c r="E34" s="11">
        <f t="shared" si="0"/>
        <v>34213</v>
      </c>
      <c r="F34" s="9">
        <f t="shared" si="4"/>
        <v>17.704535289381877</v>
      </c>
      <c r="G34" s="9" t="e">
        <f t="shared" si="5"/>
        <v>#VALUE!</v>
      </c>
      <c r="H34" s="9" t="e">
        <f t="shared" si="6"/>
        <v>#VALUE!</v>
      </c>
      <c r="I34" s="11">
        <f t="shared" si="1"/>
        <v>34213</v>
      </c>
      <c r="O34" s="11">
        <v>35674</v>
      </c>
      <c r="P34" s="19" cm="1">
        <f t="array" ref="P34">IF(OR($O34&lt;P$387,$O34&gt;P$388),"",IFERROR(IF($O34=P$387,100,P33)*INDEX($B$2:$B$428,MATCH($O34,$A$2:$A$428,0))/INDEX($B$2:$B$428,MATCH($O34,$A$2:$A$428,0)-1),""))</f>
        <v>217.48817254213137</v>
      </c>
      <c r="Q34" s="19" t="str" cm="1">
        <f t="array" ref="Q34">IF(OR($O34&lt;Q$387,$O34&gt;Q$388),"",IFERROR(IF($O34=Q$387,100,Q33)*INDEX($B$2:$B$428,MATCH($O34,$A$2:$A$428,0))/INDEX($B$2:$B$428,MATCH($O34,$A$2:$A$428,0)-1),""))</f>
        <v/>
      </c>
      <c r="R34" s="19" t="str" cm="1">
        <f t="array" ref="R34">IF(OR($O34&lt;R$387,$O34&gt;R$388),"",IFERROR(IF($O34=R$387,100,R33)*INDEX($B$2:$B$428,MATCH($O34,$A$2:$A$428,0))/INDEX($B$2:$B$428,MATCH($O34,$A$2:$A$428,0)-1),""))</f>
        <v/>
      </c>
      <c r="S34" s="19" t="str" cm="1">
        <f t="array" ref="S34">IF(OR($O34&lt;S$387,$O34&gt;S$388),"",IFERROR(IF($O34=S$387,100,S33)*INDEX($B$2:$B$428,MATCH($O34,$A$2:$A$428,0))/INDEX($B$2:$B$428,MATCH($O34,$A$2:$A$428,0)-1),""))</f>
        <v/>
      </c>
      <c r="T34" s="19" t="str" cm="1">
        <f t="array" ref="T34">IF(OR($O34&lt;T$387,$O34&gt;T$388),"",IFERROR(IF($O34=T$387,100,T33)*INDEX($B$2:$B$428,MATCH($O34,$A$2:$A$428,0))/INDEX($B$2:$B$428,MATCH($O34,$A$2:$A$428,0)-1),""))</f>
        <v/>
      </c>
      <c r="U34" s="19" t="str" cm="1">
        <f t="array" ref="U34">IF(OR($O34&lt;U$387,$O34&gt;U$388),"",IFERROR(IF($O34=U$387,100,U33)*INDEX($B$2:$B$428,MATCH($O34,$A$2:$A$428,0))/INDEX($B$2:$B$428,MATCH($O34,$A$2:$A$428,0)-1),""))</f>
        <v/>
      </c>
      <c r="V34" s="19" t="str" cm="1">
        <f t="array" ref="V34">IF(OR($O34&lt;V$387,$O34&gt;V$388),"",IFERROR(IF($O34=V$387,100,V33)*INDEX($B$2:$B$428,MATCH($O34,$A$2:$A$428,0))/INDEX($B$2:$B$428,MATCH($O34,$A$2:$A$428,0)-1),""))</f>
        <v/>
      </c>
      <c r="W34" s="19" t="str" cm="1">
        <f t="array" ref="W34">IF(OR($O34&lt;W$387,$O34&gt;W$388),"",IFERROR(IF($O34=W$387,100,W33)*INDEX($B$2:$B$428,MATCH($O34,$A$2:$A$428,0))/INDEX($B$2:$B$428,MATCH($O34,$A$2:$A$428,0)-1),""))</f>
        <v/>
      </c>
      <c r="X34" s="19" t="str" cm="1">
        <f t="array" ref="X34">IF(OR($O34&lt;X$387,$O34&gt;X$388),"",IFERROR(IF($O34=X$387,100,X33)*INDEX($B$2:$B$428,MATCH($O34,$A$2:$A$428,0))/INDEX($B$2:$B$428,MATCH($O34,$A$2:$A$428,0)-1),""))</f>
        <v/>
      </c>
      <c r="AA34" s="19" cm="1">
        <f t="array" ref="AA34">IF(EDATE(AA$387,ROW()-2)&gt;AA$388,"",IFERROR(IF(ROW()=2,100,AA33)*INDEX($D$2:$D$428,MATCH(EDATE(AA$387,ROW()-2),$A$2:$A$428,0))/INDEX($D$2:$D$428,MATCH(EDATE(AA$387,ROW()-2),$A$2:$A$428,0)-1),""))</f>
        <v>172.63442084639942</v>
      </c>
      <c r="AB34" s="19" cm="1">
        <f t="array" ref="AB34">IF(EDATE(AB$387,ROW()-2)&gt;AB$388,"",IFERROR(IF(ROW()=2,100,AB33)*INDEX($D$2:$D$428,MATCH(EDATE(AB$387,ROW()-2),$A$2:$A$428,0))/INDEX($D$2:$D$428,MATCH(EDATE(AB$387,ROW()-2),$A$2:$A$428,0)-1),""))</f>
        <v>125.54880154546493</v>
      </c>
      <c r="AC34" s="19" cm="1">
        <f t="array" ref="AC34">IF(EDATE(AC$387,ROW()-2)&gt;AC$388,"",IFERROR(IF(ROW()=2,100,AC33)*INDEX($D$2:$D$428,MATCH(EDATE(AC$387,ROW()-2),$A$2:$A$428,0))/INDEX($D$2:$D$428,MATCH(EDATE(AC$387,ROW()-2),$A$2:$A$428,0)-1),""))</f>
        <v>130.89376448311521</v>
      </c>
      <c r="AD34" s="19" cm="1">
        <f t="array" ref="AD34">IF(EDATE(AD$387,ROW()-2)&gt;AD$388,"",IFERROR(IF(ROW()=2,100,AD33)*INDEX($D$2:$D$428,MATCH(EDATE(AD$387,ROW()-2),$A$2:$A$428,0))/INDEX($D$2:$D$428,MATCH(EDATE(AD$387,ROW()-2),$A$2:$A$428,0)-1),""))</f>
        <v>123.52388217152377</v>
      </c>
      <c r="AE34" s="19"/>
      <c r="AF34" s="19"/>
      <c r="AG34" s="19" cm="1">
        <f t="array" ref="AG34">IF(EDATE(AG$387,ROW()-2)&gt;AG$388,"",IFERROR(IF(ROW()=2,100,AG33)*INDEX($D$2:$D$428,MATCH(EDATE(AG$387,ROW()-2),$A$2:$A$428,0))/INDEX($D$2:$D$428,MATCH(EDATE(AG$387,ROW()-2),$A$2:$A$428,0)-1),""))</f>
        <v>131.10131868050377</v>
      </c>
      <c r="AH34" s="19" cm="1">
        <f t="array" ref="AH34">IF(EDATE(AH$387,ROW()-2)&gt;AH$388,"",IFERROR(IF(ROW()=2,100,AH33)*INDEX($D$2:$D$428,MATCH(EDATE(AH$387,ROW()-2),$A$2:$A$428,0))/INDEX($D$2:$D$428,MATCH(EDATE(AH$387,ROW()-2),$A$2:$A$428,0)-1),""))</f>
        <v>133.48537144042933</v>
      </c>
      <c r="AJ34" s="11">
        <v>33848</v>
      </c>
      <c r="AK34">
        <v>341</v>
      </c>
      <c r="AL34" s="26" t="e">
        <f t="shared" si="7"/>
        <v>#VALUE!</v>
      </c>
      <c r="AN34" s="27">
        <f t="shared" si="8"/>
        <v>17.312576663987866</v>
      </c>
      <c r="AO34" s="27">
        <f t="shared" si="8"/>
        <v>-8.8149105632496791</v>
      </c>
      <c r="AP34" s="27">
        <f t="shared" si="8"/>
        <v>-1.4877812332212415</v>
      </c>
      <c r="AQ34" s="27">
        <f t="shared" si="8"/>
        <v>-4.6925599450338034</v>
      </c>
      <c r="AR34" s="27"/>
      <c r="AS34" s="27"/>
      <c r="AT34" s="27">
        <f t="shared" si="8"/>
        <v>4.5416064929137301</v>
      </c>
      <c r="AU34" s="27">
        <f t="shared" si="8"/>
        <v>6.2354817006631702</v>
      </c>
    </row>
    <row r="35" spans="1:47" x14ac:dyDescent="0.3">
      <c r="A35" s="11">
        <v>34243</v>
      </c>
      <c r="B35" s="18">
        <v>2783.05</v>
      </c>
      <c r="C35" t="s">
        <v>20</v>
      </c>
      <c r="D35" t="s">
        <v>20</v>
      </c>
      <c r="E35" s="11">
        <f t="shared" si="0"/>
        <v>34243</v>
      </c>
      <c r="F35" s="9">
        <f t="shared" si="4"/>
        <v>18.764576379518502</v>
      </c>
      <c r="G35" s="9" t="e">
        <f t="shared" si="5"/>
        <v>#VALUE!</v>
      </c>
      <c r="H35" s="9" t="e">
        <f t="shared" si="6"/>
        <v>#VALUE!</v>
      </c>
      <c r="I35" s="11">
        <f t="shared" si="1"/>
        <v>34243</v>
      </c>
      <c r="O35" s="11">
        <v>35704</v>
      </c>
      <c r="P35" s="19" cm="1">
        <f t="array" ref="P35">IF(OR($O35&lt;P$387,$O35&gt;P$388),"",IFERROR(IF($O35=P$387,100,P34)*INDEX($B$2:$B$428,MATCH($O35,$A$2:$A$428,0))/INDEX($B$2:$B$428,MATCH($O35,$A$2:$A$428,0)-1),""))</f>
        <v>226.91889463260404</v>
      </c>
      <c r="Q35" s="19" t="str" cm="1">
        <f t="array" ref="Q35">IF(OR($O35&lt;Q$387,$O35&gt;Q$388),"",IFERROR(IF($O35=Q$387,100,Q34)*INDEX($B$2:$B$428,MATCH($O35,$A$2:$A$428,0))/INDEX($B$2:$B$428,MATCH($O35,$A$2:$A$428,0)-1),""))</f>
        <v/>
      </c>
      <c r="R35" s="19" t="str" cm="1">
        <f t="array" ref="R35">IF(OR($O35&lt;R$387,$O35&gt;R$388),"",IFERROR(IF($O35=R$387,100,R34)*INDEX($B$2:$B$428,MATCH($O35,$A$2:$A$428,0))/INDEX($B$2:$B$428,MATCH($O35,$A$2:$A$428,0)-1),""))</f>
        <v/>
      </c>
      <c r="S35" s="19" t="str" cm="1">
        <f t="array" ref="S35">IF(OR($O35&lt;S$387,$O35&gt;S$388),"",IFERROR(IF($O35=S$387,100,S34)*INDEX($B$2:$B$428,MATCH($O35,$A$2:$A$428,0))/INDEX($B$2:$B$428,MATCH($O35,$A$2:$A$428,0)-1),""))</f>
        <v/>
      </c>
      <c r="T35" s="19" t="str" cm="1">
        <f t="array" ref="T35">IF(OR($O35&lt;T$387,$O35&gt;T$388),"",IFERROR(IF($O35=T$387,100,T34)*INDEX($B$2:$B$428,MATCH($O35,$A$2:$A$428,0))/INDEX($B$2:$B$428,MATCH($O35,$A$2:$A$428,0)-1),""))</f>
        <v/>
      </c>
      <c r="U35" s="19" t="str" cm="1">
        <f t="array" ref="U35">IF(OR($O35&lt;U$387,$O35&gt;U$388),"",IFERROR(IF($O35=U$387,100,U34)*INDEX($B$2:$B$428,MATCH($O35,$A$2:$A$428,0))/INDEX($B$2:$B$428,MATCH($O35,$A$2:$A$428,0)-1),""))</f>
        <v/>
      </c>
      <c r="V35" s="19" t="str" cm="1">
        <f t="array" ref="V35">IF(OR($O35&lt;V$387,$O35&gt;V$388),"",IFERROR(IF($O35=V$387,100,V34)*INDEX($B$2:$B$428,MATCH($O35,$A$2:$A$428,0))/INDEX($B$2:$B$428,MATCH($O35,$A$2:$A$428,0)-1),""))</f>
        <v/>
      </c>
      <c r="W35" s="19" t="str" cm="1">
        <f t="array" ref="W35">IF(OR($O35&lt;W$387,$O35&gt;W$388),"",IFERROR(IF($O35=W$387,100,W34)*INDEX($B$2:$B$428,MATCH($O35,$A$2:$A$428,0))/INDEX($B$2:$B$428,MATCH($O35,$A$2:$A$428,0)-1),""))</f>
        <v/>
      </c>
      <c r="X35" s="19" t="str" cm="1">
        <f t="array" ref="X35">IF(OR($O35&lt;X$387,$O35&gt;X$388),"",IFERROR(IF($O35=X$387,100,X34)*INDEX($B$2:$B$428,MATCH($O35,$A$2:$A$428,0))/INDEX($B$2:$B$428,MATCH($O35,$A$2:$A$428,0)-1),""))</f>
        <v/>
      </c>
      <c r="AA35" s="19" cm="1">
        <f t="array" ref="AA35">IF(EDATE(AA$387,ROW()-2)&gt;AA$388,"",IFERROR(IF(ROW()=2,100,AA34)*INDEX($D$2:$D$428,MATCH(EDATE(AA$387,ROW()-2),$A$2:$A$428,0))/INDEX($D$2:$D$428,MATCH(EDATE(AA$387,ROW()-2),$A$2:$A$428,0)-1),""))</f>
        <v>177.82952964871876</v>
      </c>
      <c r="AB35" s="19" cm="1">
        <f t="array" ref="AB35">IF(EDATE(AB$387,ROW()-2)&gt;AB$388,"",IFERROR(IF(ROW()=2,100,AB34)*INDEX($D$2:$D$428,MATCH(EDATE(AB$387,ROW()-2),$A$2:$A$428,0))/INDEX($D$2:$D$428,MATCH(EDATE(AB$387,ROW()-2),$A$2:$A$428,0)-1),""))</f>
        <v>125.90020687195072</v>
      </c>
      <c r="AC35" s="19" cm="1">
        <f t="array" ref="AC35">IF(EDATE(AC$387,ROW()-2)&gt;AC$388,"",IFERROR(IF(ROW()=2,100,AC34)*INDEX($D$2:$D$428,MATCH(EDATE(AC$387,ROW()-2),$A$2:$A$428,0))/INDEX($D$2:$D$428,MATCH(EDATE(AC$387,ROW()-2),$A$2:$A$428,0)-1),""))</f>
        <v>130.98025214981433</v>
      </c>
      <c r="AD35" s="19" cm="1">
        <f t="array" ref="AD35">IF(EDATE(AD$387,ROW()-2)&gt;AD$388,"",IFERROR(IF(ROW()=2,100,AD34)*INDEX($D$2:$D$428,MATCH(EDATE(AD$387,ROW()-2),$A$2:$A$428,0))/INDEX($D$2:$D$428,MATCH(EDATE(AD$387,ROW()-2),$A$2:$A$428,0)-1),""))</f>
        <v>125.32645149929806</v>
      </c>
      <c r="AE35" s="19"/>
      <c r="AF35" s="19"/>
      <c r="AG35" s="19" cm="1">
        <f t="array" ref="AG35">IF(EDATE(AG$387,ROW()-2)&gt;AG$388,"",IFERROR(IF(ROW()=2,100,AG34)*INDEX($D$2:$D$428,MATCH(EDATE(AG$387,ROW()-2),$A$2:$A$428,0))/INDEX($D$2:$D$428,MATCH(EDATE(AG$387,ROW()-2),$A$2:$A$428,0)-1),""))</f>
        <v>130.43582272102225</v>
      </c>
      <c r="AH35" s="19" cm="1">
        <f t="array" ref="AH35">IF(EDATE(AH$387,ROW()-2)&gt;AH$388,"",IFERROR(IF(ROW()=2,100,AH34)*INDEX($D$2:$D$428,MATCH(EDATE(AH$387,ROW()-2),$A$2:$A$428,0))/INDEX($D$2:$D$428,MATCH(EDATE(AH$387,ROW()-2),$A$2:$A$428,0)-1),""))</f>
        <v>134.92025521453527</v>
      </c>
      <c r="AJ35" s="11">
        <v>33878</v>
      </c>
      <c r="AK35">
        <v>422.5</v>
      </c>
      <c r="AL35" s="26" t="e">
        <f t="shared" si="7"/>
        <v>#VALUE!</v>
      </c>
      <c r="AN35" s="27">
        <f t="shared" ref="AN35:AU49" si="9">IF(EDATE(AN$387,ROW()-2)&gt;AN$388,"",IFERROR((INDEX($AL$2:$AL$441,MATCH(EDATE(AN$387,ROW()-2),$AJ$2:$AJ$441,0))-INDEX($AL$2:$AL$441,MATCH(EDATE(AN$387,-1),$AJ$2:$AJ$441,0)))*100,""))</f>
        <v>18.860951007849604</v>
      </c>
      <c r="AO35" s="27">
        <f t="shared" si="9"/>
        <v>-9.2137031382337202</v>
      </c>
      <c r="AP35" s="27">
        <f t="shared" si="9"/>
        <v>-1.9165153952396041</v>
      </c>
      <c r="AQ35" s="27">
        <f t="shared" si="9"/>
        <v>-4.3460017854880739</v>
      </c>
      <c r="AR35" s="27"/>
      <c r="AS35" s="27"/>
      <c r="AT35" s="27">
        <f t="shared" si="9"/>
        <v>3.0955841011063856</v>
      </c>
      <c r="AU35" s="27">
        <f t="shared" si="9"/>
        <v>6.7369488243400388</v>
      </c>
    </row>
    <row r="36" spans="1:47" x14ac:dyDescent="0.3">
      <c r="A36" s="11">
        <v>34274</v>
      </c>
      <c r="B36" s="18">
        <v>3690.82</v>
      </c>
      <c r="C36" t="s">
        <v>20</v>
      </c>
      <c r="D36" t="s">
        <v>20</v>
      </c>
      <c r="E36" s="11">
        <f t="shared" si="0"/>
        <v>34274</v>
      </c>
      <c r="F36" s="9">
        <f t="shared" si="4"/>
        <v>20.746523686071178</v>
      </c>
      <c r="G36" s="9" t="e">
        <f t="shared" si="5"/>
        <v>#VALUE!</v>
      </c>
      <c r="H36" s="9" t="e">
        <f t="shared" si="6"/>
        <v>#VALUE!</v>
      </c>
      <c r="I36" s="11">
        <f t="shared" si="1"/>
        <v>34274</v>
      </c>
      <c r="O36" s="11">
        <v>35735</v>
      </c>
      <c r="P36" s="19" cm="1">
        <f t="array" ref="P36">IF(OR($O36&lt;P$387,$O36&gt;P$388),"",IFERROR(IF($O36=P$387,100,P35)*INDEX($B$2:$B$428,MATCH($O36,$A$2:$A$428,0))/INDEX($B$2:$B$428,MATCH($O36,$A$2:$A$428,0)-1),""))</f>
        <v>233.798148465715</v>
      </c>
      <c r="Q36" s="19" t="str" cm="1">
        <f t="array" ref="Q36">IF(OR($O36&lt;Q$387,$O36&gt;Q$388),"",IFERROR(IF($O36=Q$387,100,Q35)*INDEX($B$2:$B$428,MATCH($O36,$A$2:$A$428,0))/INDEX($B$2:$B$428,MATCH($O36,$A$2:$A$428,0)-1),""))</f>
        <v/>
      </c>
      <c r="R36" s="19" t="str" cm="1">
        <f t="array" ref="R36">IF(OR($O36&lt;R$387,$O36&gt;R$388),"",IFERROR(IF($O36=R$387,100,R35)*INDEX($B$2:$B$428,MATCH($O36,$A$2:$A$428,0))/INDEX($B$2:$B$428,MATCH($O36,$A$2:$A$428,0)-1),""))</f>
        <v/>
      </c>
      <c r="S36" s="19" t="str" cm="1">
        <f t="array" ref="S36">IF(OR($O36&lt;S$387,$O36&gt;S$388),"",IFERROR(IF($O36=S$387,100,S35)*INDEX($B$2:$B$428,MATCH($O36,$A$2:$A$428,0))/INDEX($B$2:$B$428,MATCH($O36,$A$2:$A$428,0)-1),""))</f>
        <v/>
      </c>
      <c r="T36" s="19" t="str" cm="1">
        <f t="array" ref="T36">IF(OR($O36&lt;T$387,$O36&gt;T$388),"",IFERROR(IF($O36=T$387,100,T35)*INDEX($B$2:$B$428,MATCH($O36,$A$2:$A$428,0))/INDEX($B$2:$B$428,MATCH($O36,$A$2:$A$428,0)-1),""))</f>
        <v/>
      </c>
      <c r="U36" s="19" t="str" cm="1">
        <f t="array" ref="U36">IF(OR($O36&lt;U$387,$O36&gt;U$388),"",IFERROR(IF($O36=U$387,100,U35)*INDEX($B$2:$B$428,MATCH($O36,$A$2:$A$428,0))/INDEX($B$2:$B$428,MATCH($O36,$A$2:$A$428,0)-1),""))</f>
        <v/>
      </c>
      <c r="V36" s="19" t="str" cm="1">
        <f t="array" ref="V36">IF(OR($O36&lt;V$387,$O36&gt;V$388),"",IFERROR(IF($O36=V$387,100,V35)*INDEX($B$2:$B$428,MATCH($O36,$A$2:$A$428,0))/INDEX($B$2:$B$428,MATCH($O36,$A$2:$A$428,0)-1),""))</f>
        <v/>
      </c>
      <c r="W36" s="19" t="str" cm="1">
        <f t="array" ref="W36">IF(OR($O36&lt;W$387,$O36&gt;W$388),"",IFERROR(IF($O36=W$387,100,W35)*INDEX($B$2:$B$428,MATCH($O36,$A$2:$A$428,0))/INDEX($B$2:$B$428,MATCH($O36,$A$2:$A$428,0)-1),""))</f>
        <v/>
      </c>
      <c r="X36" s="19" t="str" cm="1">
        <f t="array" ref="X36">IF(OR($O36&lt;X$387,$O36&gt;X$388),"",IFERROR(IF($O36=X$387,100,X35)*INDEX($B$2:$B$428,MATCH($O36,$A$2:$A$428,0))/INDEX($B$2:$B$428,MATCH($O36,$A$2:$A$428,0)-1),""))</f>
        <v/>
      </c>
      <c r="AA36" s="19" cm="1">
        <f t="array" ref="AA36">IF(EDATE(AA$387,ROW()-2)&gt;AA$388,"",IFERROR(IF(ROW()=2,100,AA35)*INDEX($D$2:$D$428,MATCH(EDATE(AA$387,ROW()-2),$A$2:$A$428,0))/INDEX($D$2:$D$428,MATCH(EDATE(AA$387,ROW()-2),$A$2:$A$428,0)-1),""))</f>
        <v>175.63612248993573</v>
      </c>
      <c r="AB36" s="19" cm="1">
        <f t="array" ref="AB36">IF(EDATE(AB$387,ROW()-2)&gt;AB$388,"",IFERROR(IF(ROW()=2,100,AB35)*INDEX($D$2:$D$428,MATCH(EDATE(AB$387,ROW()-2),$A$2:$A$428,0))/INDEX($D$2:$D$428,MATCH(EDATE(AB$387,ROW()-2),$A$2:$A$428,0)-1),""))</f>
        <v>128.17153049900412</v>
      </c>
      <c r="AC36" s="19" cm="1">
        <f t="array" ref="AC36">IF(EDATE(AC$387,ROW()-2)&gt;AC$388,"",IFERROR(IF(ROW()=2,100,AC35)*INDEX($D$2:$D$428,MATCH(EDATE(AC$387,ROW()-2),$A$2:$A$428,0))/INDEX($D$2:$D$428,MATCH(EDATE(AC$387,ROW()-2),$A$2:$A$428,0)-1),""))</f>
        <v>132.4212050622603</v>
      </c>
      <c r="AD36" s="19" cm="1">
        <f t="array" ref="AD36">IF(EDATE(AD$387,ROW()-2)&gt;AD$388,"",IFERROR(IF(ROW()=2,100,AD35)*INDEX($D$2:$D$428,MATCH(EDATE(AD$387,ROW()-2),$A$2:$A$428,0))/INDEX($D$2:$D$428,MATCH(EDATE(AD$387,ROW()-2),$A$2:$A$428,0)-1),""))</f>
        <v>128.1071327746522</v>
      </c>
      <c r="AE36" s="19"/>
      <c r="AF36" s="19"/>
      <c r="AG36" s="19" cm="1">
        <f t="array" ref="AG36">IF(EDATE(AG$387,ROW()-2)&gt;AG$388,"",IFERROR(IF(ROW()=2,100,AG35)*INDEX($D$2:$D$428,MATCH(EDATE(AG$387,ROW()-2),$A$2:$A$428,0))/INDEX($D$2:$D$428,MATCH(EDATE(AG$387,ROW()-2),$A$2:$A$428,0)-1),""))</f>
        <v>132.68330691823175</v>
      </c>
      <c r="AH36" s="19" cm="1">
        <f t="array" ref="AH36">IF(EDATE(AH$387,ROW()-2)&gt;AH$388,"",IFERROR(IF(ROW()=2,100,AH35)*INDEX($D$2:$D$428,MATCH(EDATE(AH$387,ROW()-2),$A$2:$A$428,0))/INDEX($D$2:$D$428,MATCH(EDATE(AH$387,ROW()-2),$A$2:$A$428,0)-1),""))</f>
        <v>138.03389876928142</v>
      </c>
      <c r="AJ36" s="11">
        <v>33909</v>
      </c>
      <c r="AK36">
        <v>523.79999999999995</v>
      </c>
      <c r="AL36" s="26" t="e">
        <f t="shared" si="7"/>
        <v>#VALUE!</v>
      </c>
      <c r="AN36" s="27">
        <f t="shared" si="9"/>
        <v>17.469500766077228</v>
      </c>
      <c r="AO36" s="27">
        <f t="shared" si="9"/>
        <v>-8.5897971916927833</v>
      </c>
      <c r="AP36" s="27">
        <f t="shared" si="9"/>
        <v>-1.9173184066046067</v>
      </c>
      <c r="AQ36" s="27">
        <f t="shared" si="9"/>
        <v>-3.5488133016007395</v>
      </c>
      <c r="AR36" s="27"/>
      <c r="AS36" s="27"/>
      <c r="AT36" s="27">
        <f t="shared" si="9"/>
        <v>3.526620020657012</v>
      </c>
      <c r="AU36" s="27">
        <f t="shared" si="9"/>
        <v>8.3540387364518409</v>
      </c>
    </row>
    <row r="37" spans="1:47" x14ac:dyDescent="0.3">
      <c r="A37" s="11">
        <v>34304</v>
      </c>
      <c r="B37" s="18">
        <v>5194.2299999999996</v>
      </c>
      <c r="C37" t="s">
        <v>20</v>
      </c>
      <c r="D37" t="s">
        <v>20</v>
      </c>
      <c r="E37" s="11">
        <f t="shared" si="0"/>
        <v>34304</v>
      </c>
      <c r="F37" s="9">
        <f t="shared" si="4"/>
        <v>22.41641871787936</v>
      </c>
      <c r="G37" s="9" t="e">
        <f t="shared" si="5"/>
        <v>#VALUE!</v>
      </c>
      <c r="H37" s="9" t="e">
        <f t="shared" si="6"/>
        <v>#VALUE!</v>
      </c>
      <c r="I37" s="11">
        <f t="shared" si="1"/>
        <v>34304</v>
      </c>
      <c r="O37" s="11">
        <v>35765</v>
      </c>
      <c r="P37" s="19" cm="1">
        <f t="array" ref="P37">IF(OR($O37&lt;P$387,$O37&gt;P$388),"",IFERROR(IF($O37=P$387,100,P36)*INDEX($B$2:$B$428,MATCH($O37,$A$2:$A$428,0))/INDEX($B$2:$B$428,MATCH($O37,$A$2:$A$428,0)-1),""))</f>
        <v>254.78656806034235</v>
      </c>
      <c r="Q37" s="19" t="str" cm="1">
        <f t="array" ref="Q37">IF(OR($O37&lt;Q$387,$O37&gt;Q$388),"",IFERROR(IF($O37=Q$387,100,Q36)*INDEX($B$2:$B$428,MATCH($O37,$A$2:$A$428,0))/INDEX($B$2:$B$428,MATCH($O37,$A$2:$A$428,0)-1),""))</f>
        <v/>
      </c>
      <c r="R37" s="19" t="str" cm="1">
        <f t="array" ref="R37">IF(OR($O37&lt;R$387,$O37&gt;R$388),"",IFERROR(IF($O37=R$387,100,R36)*INDEX($B$2:$B$428,MATCH($O37,$A$2:$A$428,0))/INDEX($B$2:$B$428,MATCH($O37,$A$2:$A$428,0)-1),""))</f>
        <v/>
      </c>
      <c r="S37" s="19" t="str" cm="1">
        <f t="array" ref="S37">IF(OR($O37&lt;S$387,$O37&gt;S$388),"",IFERROR(IF($O37=S$387,100,S36)*INDEX($B$2:$B$428,MATCH($O37,$A$2:$A$428,0))/INDEX($B$2:$B$428,MATCH($O37,$A$2:$A$428,0)-1),""))</f>
        <v/>
      </c>
      <c r="T37" s="19" t="str" cm="1">
        <f t="array" ref="T37">IF(OR($O37&lt;T$387,$O37&gt;T$388),"",IFERROR(IF($O37=T$387,100,T36)*INDEX($B$2:$B$428,MATCH($O37,$A$2:$A$428,0))/INDEX($B$2:$B$428,MATCH($O37,$A$2:$A$428,0)-1),""))</f>
        <v/>
      </c>
      <c r="U37" s="19" t="str" cm="1">
        <f t="array" ref="U37">IF(OR($O37&lt;U$387,$O37&gt;U$388),"",IFERROR(IF($O37=U$387,100,U36)*INDEX($B$2:$B$428,MATCH($O37,$A$2:$A$428,0))/INDEX($B$2:$B$428,MATCH($O37,$A$2:$A$428,0)-1),""))</f>
        <v/>
      </c>
      <c r="V37" s="19" t="str" cm="1">
        <f t="array" ref="V37">IF(OR($O37&lt;V$387,$O37&gt;V$388),"",IFERROR(IF($O37=V$387,100,V36)*INDEX($B$2:$B$428,MATCH($O37,$A$2:$A$428,0))/INDEX($B$2:$B$428,MATCH($O37,$A$2:$A$428,0)-1),""))</f>
        <v/>
      </c>
      <c r="W37" s="19" t="str" cm="1">
        <f t="array" ref="W37">IF(OR($O37&lt;W$387,$O37&gt;W$388),"",IFERROR(IF($O37=W$387,100,W36)*INDEX($B$2:$B$428,MATCH($O37,$A$2:$A$428,0))/INDEX($B$2:$B$428,MATCH($O37,$A$2:$A$428,0)-1),""))</f>
        <v/>
      </c>
      <c r="X37" s="19" t="str" cm="1">
        <f t="array" ref="X37">IF(OR($O37&lt;X$387,$O37&gt;X$388),"",IFERROR(IF($O37=X$387,100,X36)*INDEX($B$2:$B$428,MATCH($O37,$A$2:$A$428,0))/INDEX($B$2:$B$428,MATCH($O37,$A$2:$A$428,0)-1),""))</f>
        <v/>
      </c>
      <c r="AA37" s="19" cm="1">
        <f t="array" ref="AA37">IF(EDATE(AA$387,ROW()-2)&gt;AA$388,"",IFERROR(IF(ROW()=2,100,AA36)*INDEX($D$2:$D$428,MATCH(EDATE(AA$387,ROW()-2),$A$2:$A$428,0))/INDEX($D$2:$D$428,MATCH(EDATE(AA$387,ROW()-2),$A$2:$A$428,0)-1),""))</f>
        <v>174.71353247976893</v>
      </c>
      <c r="AB37" s="19" cm="1">
        <f t="array" ref="AB37">IF(EDATE(AB$387,ROW()-2)&gt;AB$388,"",IFERROR(IF(ROW()=2,100,AB36)*INDEX($D$2:$D$428,MATCH(EDATE(AB$387,ROW()-2),$A$2:$A$428,0))/INDEX($D$2:$D$428,MATCH(EDATE(AB$387,ROW()-2),$A$2:$A$428,0)-1),""))</f>
        <v>128.30925388220774</v>
      </c>
      <c r="AC37" s="19" cm="1">
        <f t="array" ref="AC37">IF(EDATE(AC$387,ROW()-2)&gt;AC$388,"",IFERROR(IF(ROW()=2,100,AC36)*INDEX($D$2:$D$428,MATCH(EDATE(AC$387,ROW()-2),$A$2:$A$428,0))/INDEX($D$2:$D$428,MATCH(EDATE(AC$387,ROW()-2),$A$2:$A$428,0)-1),""))</f>
        <v>138.55200335660757</v>
      </c>
      <c r="AD37" s="19" cm="1">
        <f t="array" ref="AD37">IF(EDATE(AD$387,ROW()-2)&gt;AD$388,"",IFERROR(IF(ROW()=2,100,AD36)*INDEX($D$2:$D$428,MATCH(EDATE(AD$387,ROW()-2),$A$2:$A$428,0))/INDEX($D$2:$D$428,MATCH(EDATE(AD$387,ROW()-2),$A$2:$A$428,0)-1),""))</f>
        <v>130.96803387321174</v>
      </c>
      <c r="AE37" s="19"/>
      <c r="AF37" s="19"/>
      <c r="AG37" s="19" cm="1">
        <f t="array" ref="AG37">IF(EDATE(AG$387,ROW()-2)&gt;AG$388,"",IFERROR(IF(ROW()=2,100,AG36)*INDEX($D$2:$D$428,MATCH(EDATE(AG$387,ROW()-2),$A$2:$A$428,0))/INDEX($D$2:$D$428,MATCH(EDATE(AG$387,ROW()-2),$A$2:$A$428,0)-1),""))</f>
        <v>134.97832169332793</v>
      </c>
      <c r="AH37" s="19" cm="1">
        <f t="array" ref="AH37">IF(EDATE(AH$387,ROW()-2)&gt;AH$388,"",IFERROR(IF(ROW()=2,100,AH36)*INDEX($D$2:$D$428,MATCH(EDATE(AH$387,ROW()-2),$A$2:$A$428,0))/INDEX($D$2:$D$428,MATCH(EDATE(AH$387,ROW()-2),$A$2:$A$428,0)-1),""))</f>
        <v>140.51686856095725</v>
      </c>
      <c r="AJ37" s="11">
        <v>33939</v>
      </c>
      <c r="AK37">
        <v>641</v>
      </c>
      <c r="AL37" s="26" t="e">
        <f t="shared" si="7"/>
        <v>#VALUE!</v>
      </c>
      <c r="AN37" s="27">
        <f t="shared" si="9"/>
        <v>16.743343757353934</v>
      </c>
      <c r="AO37" s="27">
        <f t="shared" si="9"/>
        <v>-9.1265898591341159</v>
      </c>
      <c r="AP37" s="27">
        <f t="shared" si="9"/>
        <v>0.10275425632492174</v>
      </c>
      <c r="AQ37" s="27">
        <f t="shared" si="9"/>
        <v>-2.838519981349541</v>
      </c>
      <c r="AR37" s="27"/>
      <c r="AS37" s="27"/>
      <c r="AT37" s="27">
        <f t="shared" si="9"/>
        <v>4.157226701036965</v>
      </c>
      <c r="AU37" s="27">
        <f t="shared" si="9"/>
        <v>9.3903496853885002</v>
      </c>
    </row>
    <row r="38" spans="1:47" x14ac:dyDescent="0.3">
      <c r="A38" s="11">
        <v>34335</v>
      </c>
      <c r="B38" s="18">
        <v>7196.67</v>
      </c>
      <c r="C38" t="s">
        <v>20</v>
      </c>
      <c r="D38" t="s">
        <v>20</v>
      </c>
      <c r="E38" s="11">
        <f t="shared" si="0"/>
        <v>34335</v>
      </c>
      <c r="F38" s="9">
        <f t="shared" si="4"/>
        <v>25.654333333333334</v>
      </c>
      <c r="G38" s="9" t="e">
        <f t="shared" si="5"/>
        <v>#VALUE!</v>
      </c>
      <c r="H38" s="9" t="e">
        <f t="shared" si="6"/>
        <v>#VALUE!</v>
      </c>
      <c r="I38" s="11">
        <f t="shared" si="1"/>
        <v>34335</v>
      </c>
      <c r="O38" s="11">
        <v>35796</v>
      </c>
      <c r="P38" s="19" cm="1">
        <f t="array" ref="P38">IF(OR($O38&lt;P$387,$O38&gt;P$388),"",IFERROR(IF($O38=P$387,100,P37)*INDEX($B$2:$B$428,MATCH($O38,$A$2:$A$428,0))/INDEX($B$2:$B$428,MATCH($O38,$A$2:$A$428,0)-1),""))</f>
        <v>264.01402814651675</v>
      </c>
      <c r="Q38" s="19" t="str" cm="1">
        <f t="array" ref="Q38">IF(OR($O38&lt;Q$387,$O38&gt;Q$388),"",IFERROR(IF($O38=Q$387,100,Q37)*INDEX($B$2:$B$428,MATCH($O38,$A$2:$A$428,0))/INDEX($B$2:$B$428,MATCH($O38,$A$2:$A$428,0)-1),""))</f>
        <v/>
      </c>
      <c r="R38" s="19" t="str" cm="1">
        <f t="array" ref="R38">IF(OR($O38&lt;R$387,$O38&gt;R$388),"",IFERROR(IF($O38=R$387,100,R37)*INDEX($B$2:$B$428,MATCH($O38,$A$2:$A$428,0))/INDEX($B$2:$B$428,MATCH($O38,$A$2:$A$428,0)-1),""))</f>
        <v/>
      </c>
      <c r="S38" s="19" t="str" cm="1">
        <f t="array" ref="S38">IF(OR($O38&lt;S$387,$O38&gt;S$388),"",IFERROR(IF($O38=S$387,100,S37)*INDEX($B$2:$B$428,MATCH($O38,$A$2:$A$428,0))/INDEX($B$2:$B$428,MATCH($O38,$A$2:$A$428,0)-1),""))</f>
        <v/>
      </c>
      <c r="T38" s="19" t="str" cm="1">
        <f t="array" ref="T38">IF(OR($O38&lt;T$387,$O38&gt;T$388),"",IFERROR(IF($O38=T$387,100,T37)*INDEX($B$2:$B$428,MATCH($O38,$A$2:$A$428,0))/INDEX($B$2:$B$428,MATCH($O38,$A$2:$A$428,0)-1),""))</f>
        <v/>
      </c>
      <c r="U38" s="19" t="str" cm="1">
        <f t="array" ref="U38">IF(OR($O38&lt;U$387,$O38&gt;U$388),"",IFERROR(IF($O38=U$387,100,U37)*INDEX($B$2:$B$428,MATCH($O38,$A$2:$A$428,0))/INDEX($B$2:$B$428,MATCH($O38,$A$2:$A$428,0)-1),""))</f>
        <v/>
      </c>
      <c r="V38" s="19" t="str" cm="1">
        <f t="array" ref="V38">IF(OR($O38&lt;V$387,$O38&gt;V$388),"",IFERROR(IF($O38=V$387,100,V37)*INDEX($B$2:$B$428,MATCH($O38,$A$2:$A$428,0))/INDEX($B$2:$B$428,MATCH($O38,$A$2:$A$428,0)-1),""))</f>
        <v/>
      </c>
      <c r="W38" s="19" t="str" cm="1">
        <f t="array" ref="W38">IF(OR($O38&lt;W$387,$O38&gt;W$388),"",IFERROR(IF($O38=W$387,100,W37)*INDEX($B$2:$B$428,MATCH($O38,$A$2:$A$428,0))/INDEX($B$2:$B$428,MATCH($O38,$A$2:$A$428,0)-1),""))</f>
        <v/>
      </c>
      <c r="X38" s="19" t="str" cm="1">
        <f t="array" ref="X38">IF(OR($O38&lt;X$387,$O38&gt;X$388),"",IFERROR(IF($O38=X$387,100,X37)*INDEX($B$2:$B$428,MATCH($O38,$A$2:$A$428,0))/INDEX($B$2:$B$428,MATCH($O38,$A$2:$A$428,0)-1),""))</f>
        <v/>
      </c>
      <c r="AA38" s="19" cm="1">
        <f t="array" ref="AA38">IF(EDATE(AA$387,ROW()-2)&gt;AA$388,"",IFERROR(IF(ROW()=2,100,AA37)*INDEX($D$2:$D$428,MATCH(EDATE(AA$387,ROW()-2),$A$2:$A$428,0))/INDEX($D$2:$D$428,MATCH(EDATE(AA$387,ROW()-2),$A$2:$A$428,0)-1),""))</f>
        <v>178.7287635738632</v>
      </c>
      <c r="AB38" s="19" cm="1">
        <f t="array" ref="AB38">IF(EDATE(AB$387,ROW()-2)&gt;AB$388,"",IFERROR(IF(ROW()=2,100,AB37)*INDEX($D$2:$D$428,MATCH(EDATE(AB$387,ROW()-2),$A$2:$A$428,0))/INDEX($D$2:$D$428,MATCH(EDATE(AB$387,ROW()-2),$A$2:$A$428,0)-1),""))</f>
        <v>128.72548786645572</v>
      </c>
      <c r="AC38" s="19" cm="1">
        <f t="array" ref="AC38">IF(EDATE(AC$387,ROW()-2)&gt;AC$388,"",IFERROR(IF(ROW()=2,100,AC37)*INDEX($D$2:$D$428,MATCH(EDATE(AC$387,ROW()-2),$A$2:$A$428,0))/INDEX($D$2:$D$428,MATCH(EDATE(AC$387,ROW()-2),$A$2:$A$428,0)-1),""))</f>
        <v>133.67048463688101</v>
      </c>
      <c r="AD38" s="19" cm="1">
        <f t="array" ref="AD38">IF(EDATE(AD$387,ROW()-2)&gt;AD$388,"",IFERROR(IF(ROW()=2,100,AD37)*INDEX($D$2:$D$428,MATCH(EDATE(AD$387,ROW()-2),$A$2:$A$428,0))/INDEX($D$2:$D$428,MATCH(EDATE(AD$387,ROW()-2),$A$2:$A$428,0)-1),""))</f>
        <v>127.94720589407009</v>
      </c>
      <c r="AE38" s="19"/>
      <c r="AF38" s="19"/>
      <c r="AG38" s="19" cm="1">
        <f t="array" ref="AG38">IF(EDATE(AG$387,ROW()-2)&gt;AG$388,"",IFERROR(IF(ROW()=2,100,AG37)*INDEX($D$2:$D$428,MATCH(EDATE(AG$387,ROW()-2),$A$2:$A$428,0))/INDEX($D$2:$D$428,MATCH(EDATE(AG$387,ROW()-2),$A$2:$A$428,0)-1),""))</f>
        <v>134.64066246866236</v>
      </c>
      <c r="AH38" s="19" cm="1">
        <f t="array" ref="AH38">IF(EDATE(AH$387,ROW()-2)&gt;AH$388,"",IFERROR(IF(ROW()=2,100,AH37)*INDEX($D$2:$D$428,MATCH(EDATE(AH$387,ROW()-2),$A$2:$A$428,0))/INDEX($D$2:$D$428,MATCH(EDATE(AH$387,ROW()-2),$A$2:$A$428,0)-1),""))</f>
        <v>140.31148341093632</v>
      </c>
      <c r="AJ38" s="11">
        <v>33970</v>
      </c>
      <c r="AK38">
        <v>791.9</v>
      </c>
      <c r="AL38" s="26" t="e">
        <f t="shared" si="7"/>
        <v>#VALUE!</v>
      </c>
      <c r="AN38" s="27">
        <f t="shared" si="9"/>
        <v>17.779225183838911</v>
      </c>
      <c r="AO38" s="27">
        <f t="shared" si="9"/>
        <v>-9.5246062173148349</v>
      </c>
      <c r="AP38" s="27">
        <f t="shared" si="9"/>
        <v>-2.909833603831824</v>
      </c>
      <c r="AQ38" s="27">
        <f t="shared" si="9"/>
        <v>-4.6937037368775965</v>
      </c>
      <c r="AR38" s="27"/>
      <c r="AS38" s="27"/>
      <c r="AT38" s="27">
        <f t="shared" si="9"/>
        <v>3.5074716299195341</v>
      </c>
      <c r="AU38" s="27">
        <f t="shared" si="9"/>
        <v>8.7476608670444591</v>
      </c>
    </row>
    <row r="39" spans="1:47" x14ac:dyDescent="0.3">
      <c r="A39" s="11">
        <v>34366</v>
      </c>
      <c r="B39" s="18">
        <v>10250.42</v>
      </c>
      <c r="C39" t="s">
        <v>20</v>
      </c>
      <c r="D39" t="s">
        <v>20</v>
      </c>
      <c r="E39" s="11">
        <f t="shared" si="0"/>
        <v>34366</v>
      </c>
      <c r="F39" s="9">
        <f t="shared" si="4"/>
        <v>28.309524490321103</v>
      </c>
      <c r="G39" s="9" t="e">
        <f t="shared" si="5"/>
        <v>#VALUE!</v>
      </c>
      <c r="H39" s="9" t="e">
        <f t="shared" si="6"/>
        <v>#VALUE!</v>
      </c>
      <c r="I39" s="11">
        <f t="shared" si="1"/>
        <v>34366</v>
      </c>
      <c r="O39" s="11">
        <v>35827</v>
      </c>
      <c r="P39" s="19" cm="1">
        <f t="array" ref="P39">IF(OR($O39&lt;P$387,$O39&gt;P$388),"",IFERROR(IF($O39=P$387,100,P38)*INDEX($B$2:$B$428,MATCH($O39,$A$2:$A$428,0))/INDEX($B$2:$B$428,MATCH($O39,$A$2:$A$428,0)-1),""))</f>
        <v>269.44122391006391</v>
      </c>
      <c r="Q39" s="19" t="str" cm="1">
        <f t="array" ref="Q39">IF(OR($O39&lt;Q$387,$O39&gt;Q$388),"",IFERROR(IF($O39=Q$387,100,Q38)*INDEX($B$2:$B$428,MATCH($O39,$A$2:$A$428,0))/INDEX($B$2:$B$428,MATCH($O39,$A$2:$A$428,0)-1),""))</f>
        <v/>
      </c>
      <c r="R39" s="19" t="str" cm="1">
        <f t="array" ref="R39">IF(OR($O39&lt;R$387,$O39&gt;R$388),"",IFERROR(IF($O39=R$387,100,R38)*INDEX($B$2:$B$428,MATCH($O39,$A$2:$A$428,0))/INDEX($B$2:$B$428,MATCH($O39,$A$2:$A$428,0)-1),""))</f>
        <v/>
      </c>
      <c r="S39" s="19" t="str" cm="1">
        <f t="array" ref="S39">IF(OR($O39&lt;S$387,$O39&gt;S$388),"",IFERROR(IF($O39=S$387,100,S38)*INDEX($B$2:$B$428,MATCH($O39,$A$2:$A$428,0))/INDEX($B$2:$B$428,MATCH($O39,$A$2:$A$428,0)-1),""))</f>
        <v/>
      </c>
      <c r="T39" s="19" t="str" cm="1">
        <f t="array" ref="T39">IF(OR($O39&lt;T$387,$O39&gt;T$388),"",IFERROR(IF($O39=T$387,100,T38)*INDEX($B$2:$B$428,MATCH($O39,$A$2:$A$428,0))/INDEX($B$2:$B$428,MATCH($O39,$A$2:$A$428,0)-1),""))</f>
        <v/>
      </c>
      <c r="U39" s="19" t="str" cm="1">
        <f t="array" ref="U39">IF(OR($O39&lt;U$387,$O39&gt;U$388),"",IFERROR(IF($O39=U$387,100,U38)*INDEX($B$2:$B$428,MATCH($O39,$A$2:$A$428,0))/INDEX($B$2:$B$428,MATCH($O39,$A$2:$A$428,0)-1),""))</f>
        <v/>
      </c>
      <c r="V39" s="19" t="str" cm="1">
        <f t="array" ref="V39">IF(OR($O39&lt;V$387,$O39&gt;V$388),"",IFERROR(IF($O39=V$387,100,V38)*INDEX($B$2:$B$428,MATCH($O39,$A$2:$A$428,0))/INDEX($B$2:$B$428,MATCH($O39,$A$2:$A$428,0)-1),""))</f>
        <v/>
      </c>
      <c r="W39" s="19" t="str" cm="1">
        <f t="array" ref="W39">IF(OR($O39&lt;W$387,$O39&gt;W$388),"",IFERROR(IF($O39=W$387,100,W38)*INDEX($B$2:$B$428,MATCH($O39,$A$2:$A$428,0))/INDEX($B$2:$B$428,MATCH($O39,$A$2:$A$428,0)-1),""))</f>
        <v/>
      </c>
      <c r="X39" s="19" t="str" cm="1">
        <f t="array" ref="X39">IF(OR($O39&lt;X$387,$O39&gt;X$388),"",IFERROR(IF($O39=X$387,100,X38)*INDEX($B$2:$B$428,MATCH($O39,$A$2:$A$428,0))/INDEX($B$2:$B$428,MATCH($O39,$A$2:$A$428,0)-1),""))</f>
        <v/>
      </c>
      <c r="AA39" s="19" cm="1">
        <f t="array" ref="AA39">IF(EDATE(AA$387,ROW()-2)&gt;AA$388,"",IFERROR(IF(ROW()=2,100,AA38)*INDEX($D$2:$D$428,MATCH(EDATE(AA$387,ROW()-2),$A$2:$A$428,0))/INDEX($D$2:$D$428,MATCH(EDATE(AA$387,ROW()-2),$A$2:$A$428,0)-1),""))</f>
        <v>178.45913815158801</v>
      </c>
      <c r="AB39" s="19" cm="1">
        <f t="array" ref="AB39">IF(EDATE(AB$387,ROW()-2)&gt;AB$388,"",IFERROR(IF(ROW()=2,100,AB38)*INDEX($D$2:$D$428,MATCH(EDATE(AB$387,ROW()-2),$A$2:$A$428,0))/INDEX($D$2:$D$428,MATCH(EDATE(AB$387,ROW()-2),$A$2:$A$428,0)-1),""))</f>
        <v>130.23365274302265</v>
      </c>
      <c r="AC39" s="19" cm="1">
        <f t="array" ref="AC39">IF(EDATE(AC$387,ROW()-2)&gt;AC$388,"",IFERROR(IF(ROW()=2,100,AC38)*INDEX($D$2:$D$428,MATCH(EDATE(AC$387,ROW()-2),$A$2:$A$428,0))/INDEX($D$2:$D$428,MATCH(EDATE(AC$387,ROW()-2),$A$2:$A$428,0)-1),""))</f>
        <v>136.21395548943354</v>
      </c>
      <c r="AD39" s="19" cm="1">
        <f t="array" ref="AD39">IF(EDATE(AD$387,ROW()-2)&gt;AD$388,"",IFERROR(IF(ROW()=2,100,AD38)*INDEX($D$2:$D$428,MATCH(EDATE(AD$387,ROW()-2),$A$2:$A$428,0))/INDEX($D$2:$D$428,MATCH(EDATE(AD$387,ROW()-2),$A$2:$A$428,0)-1),""))</f>
        <v>129.3996451940755</v>
      </c>
      <c r="AE39" s="19"/>
      <c r="AF39" s="19"/>
      <c r="AG39" s="19" cm="1">
        <f t="array" ref="AG39">IF(EDATE(AG$387,ROW()-2)&gt;AG$388,"",IFERROR(IF(ROW()=2,100,AG38)*INDEX($D$2:$D$428,MATCH(EDATE(AG$387,ROW()-2),$A$2:$A$428,0))/INDEX($D$2:$D$428,MATCH(EDATE(AG$387,ROW()-2),$A$2:$A$428,0)-1),""))</f>
        <v>136.61107009981865</v>
      </c>
      <c r="AH39" s="19" cm="1">
        <f t="array" ref="AH39">IF(EDATE(AH$387,ROW()-2)&gt;AH$388,"",IFERROR(IF(ROW()=2,100,AH38)*INDEX($D$2:$D$428,MATCH(EDATE(AH$387,ROW()-2),$A$2:$A$428,0))/INDEX($D$2:$D$428,MATCH(EDATE(AH$387,ROW()-2),$A$2:$A$428,0)-1),""))</f>
        <v>142.77619846519229</v>
      </c>
      <c r="AJ39" s="11">
        <v>34001</v>
      </c>
      <c r="AK39">
        <v>982.5</v>
      </c>
      <c r="AL39" s="26" t="e">
        <f t="shared" si="7"/>
        <v>#VALUE!</v>
      </c>
      <c r="AN39" s="27">
        <f t="shared" si="9"/>
        <v>17.17300833849329</v>
      </c>
      <c r="AO39" s="27">
        <f t="shared" si="9"/>
        <v>-9.2639503167042054</v>
      </c>
      <c r="AP39" s="27">
        <f t="shared" si="9"/>
        <v>-2.488460624112987</v>
      </c>
      <c r="AQ39" s="27">
        <f t="shared" si="9"/>
        <v>-4.6553454563559526</v>
      </c>
      <c r="AR39" s="27"/>
      <c r="AS39" s="27"/>
      <c r="AT39" s="27">
        <f t="shared" si="9"/>
        <v>4.341635505951313</v>
      </c>
      <c r="AU39" s="27">
        <f t="shared" si="9"/>
        <v>9.9697898662408306</v>
      </c>
    </row>
    <row r="40" spans="1:47" x14ac:dyDescent="0.3">
      <c r="A40" s="11">
        <v>34394</v>
      </c>
      <c r="B40" s="18">
        <v>14638.16</v>
      </c>
      <c r="C40" t="s">
        <v>20</v>
      </c>
      <c r="D40" t="s">
        <v>20</v>
      </c>
      <c r="E40" s="11">
        <f t="shared" si="0"/>
        <v>34394</v>
      </c>
      <c r="F40" s="9">
        <f t="shared" si="4"/>
        <v>31.871103925267221</v>
      </c>
      <c r="G40" s="9" t="e">
        <f t="shared" si="5"/>
        <v>#VALUE!</v>
      </c>
      <c r="H40" s="9" t="e">
        <f t="shared" si="6"/>
        <v>#VALUE!</v>
      </c>
      <c r="I40" s="11">
        <f t="shared" si="1"/>
        <v>34394</v>
      </c>
      <c r="O40" s="11">
        <v>35855</v>
      </c>
      <c r="P40" s="19" cm="1">
        <f t="array" ref="P40">IF(OR($O40&lt;P$387,$O40&gt;P$388),"",IFERROR(IF($O40=P$387,100,P39)*INDEX($B$2:$B$428,MATCH($O40,$A$2:$A$428,0))/INDEX($B$2:$B$428,MATCH($O40,$A$2:$A$428,0)-1),""))</f>
        <v>269.64746299946472</v>
      </c>
      <c r="Q40" s="19" t="str" cm="1">
        <f t="array" ref="Q40">IF(OR($O40&lt;Q$387,$O40&gt;Q$388),"",IFERROR(IF($O40=Q$387,100,Q39)*INDEX($B$2:$B$428,MATCH($O40,$A$2:$A$428,0))/INDEX($B$2:$B$428,MATCH($O40,$A$2:$A$428,0)-1),""))</f>
        <v/>
      </c>
      <c r="R40" s="19" t="str" cm="1">
        <f t="array" ref="R40">IF(OR($O40&lt;R$387,$O40&gt;R$388),"",IFERROR(IF($O40=R$387,100,R39)*INDEX($B$2:$B$428,MATCH($O40,$A$2:$A$428,0))/INDEX($B$2:$B$428,MATCH($O40,$A$2:$A$428,0)-1),""))</f>
        <v/>
      </c>
      <c r="S40" s="19" t="str" cm="1">
        <f t="array" ref="S40">IF(OR($O40&lt;S$387,$O40&gt;S$388),"",IFERROR(IF($O40=S$387,100,S39)*INDEX($B$2:$B$428,MATCH($O40,$A$2:$A$428,0))/INDEX($B$2:$B$428,MATCH($O40,$A$2:$A$428,0)-1),""))</f>
        <v/>
      </c>
      <c r="T40" s="19" t="str" cm="1">
        <f t="array" ref="T40">IF(OR($O40&lt;T$387,$O40&gt;T$388),"",IFERROR(IF($O40=T$387,100,T39)*INDEX($B$2:$B$428,MATCH($O40,$A$2:$A$428,0))/INDEX($B$2:$B$428,MATCH($O40,$A$2:$A$428,0)-1),""))</f>
        <v/>
      </c>
      <c r="U40" s="19" t="str" cm="1">
        <f t="array" ref="U40">IF(OR($O40&lt;U$387,$O40&gt;U$388),"",IFERROR(IF($O40=U$387,100,U39)*INDEX($B$2:$B$428,MATCH($O40,$A$2:$A$428,0))/INDEX($B$2:$B$428,MATCH($O40,$A$2:$A$428,0)-1),""))</f>
        <v/>
      </c>
      <c r="V40" s="19" t="str" cm="1">
        <f t="array" ref="V40">IF(OR($O40&lt;V$387,$O40&gt;V$388),"",IFERROR(IF($O40=V$387,100,V39)*INDEX($B$2:$B$428,MATCH($O40,$A$2:$A$428,0))/INDEX($B$2:$B$428,MATCH($O40,$A$2:$A$428,0)-1),""))</f>
        <v/>
      </c>
      <c r="W40" s="19" t="str" cm="1">
        <f t="array" ref="W40">IF(OR($O40&lt;W$387,$O40&gt;W$388),"",IFERROR(IF($O40=W$387,100,W39)*INDEX($B$2:$B$428,MATCH($O40,$A$2:$A$428,0))/INDEX($B$2:$B$428,MATCH($O40,$A$2:$A$428,0)-1),""))</f>
        <v/>
      </c>
      <c r="X40" s="19" t="str" cm="1">
        <f t="array" ref="X40">IF(OR($O40&lt;X$387,$O40&gt;X$388),"",IFERROR(IF($O40=X$387,100,X39)*INDEX($B$2:$B$428,MATCH($O40,$A$2:$A$428,0))/INDEX($B$2:$B$428,MATCH($O40,$A$2:$A$428,0)-1),""))</f>
        <v/>
      </c>
      <c r="AA40" s="19" cm="1">
        <f t="array" ref="AA40">IF(EDATE(AA$387,ROW()-2)&gt;AA$388,"",IFERROR(IF(ROW()=2,100,AA39)*INDEX($D$2:$D$428,MATCH(EDATE(AA$387,ROW()-2),$A$2:$A$428,0))/INDEX($D$2:$D$428,MATCH(EDATE(AA$387,ROW()-2),$A$2:$A$428,0)-1),""))</f>
        <v>178.81708795314313</v>
      </c>
      <c r="AB40" s="19" cm="1">
        <f t="array" ref="AB40">IF(EDATE(AB$387,ROW()-2)&gt;AB$388,"",IFERROR(IF(ROW()=2,100,AB39)*INDEX($D$2:$D$428,MATCH(EDATE(AB$387,ROW()-2),$A$2:$A$428,0))/INDEX($D$2:$D$428,MATCH(EDATE(AB$387,ROW()-2),$A$2:$A$428,0)-1),""))</f>
        <v>131.57520715706121</v>
      </c>
      <c r="AC40" s="19" cm="1">
        <f t="array" ref="AC40">IF(EDATE(AC$387,ROW()-2)&gt;AC$388,"",IFERROR(IF(ROW()=2,100,AC39)*INDEX($D$2:$D$428,MATCH(EDATE(AC$387,ROW()-2),$A$2:$A$428,0))/INDEX($D$2:$D$428,MATCH(EDATE(AC$387,ROW()-2),$A$2:$A$428,0)-1),""))</f>
        <v>140.15679750875222</v>
      </c>
      <c r="AD40" s="19" cm="1">
        <f t="array" ref="AD40">IF(EDATE(AD$387,ROW()-2)&gt;AD$388,"",IFERROR(IF(ROW()=2,100,AD39)*INDEX($D$2:$D$428,MATCH(EDATE(AD$387,ROW()-2),$A$2:$A$428,0))/INDEX($D$2:$D$428,MATCH(EDATE(AD$387,ROW()-2),$A$2:$A$428,0)-1),""))</f>
        <v>130.39300162028232</v>
      </c>
      <c r="AE40" s="19"/>
      <c r="AF40" s="19"/>
      <c r="AG40" s="19" cm="1">
        <f t="array" ref="AG40">IF(EDATE(AG$387,ROW()-2)&gt;AG$388,"",IFERROR(IF(ROW()=2,100,AG39)*INDEX($D$2:$D$428,MATCH(EDATE(AG$387,ROW()-2),$A$2:$A$428,0))/INDEX($D$2:$D$428,MATCH(EDATE(AG$387,ROW()-2),$A$2:$A$428,0)-1),""))</f>
        <v>134.08029956941959</v>
      </c>
      <c r="AH40" s="19" cm="1">
        <f t="array" ref="AH40">IF(EDATE(AH$387,ROW()-2)&gt;AH$388,"",IFERROR(IF(ROW()=2,100,AH39)*INDEX($D$2:$D$428,MATCH(EDATE(AH$387,ROW()-2),$A$2:$A$428,0))/INDEX($D$2:$D$428,MATCH(EDATE(AH$387,ROW()-2),$A$2:$A$428,0)-1),""))</f>
        <v>140.66851080145304</v>
      </c>
      <c r="AJ40" s="11">
        <v>34029</v>
      </c>
      <c r="AK40">
        <v>1257.5</v>
      </c>
      <c r="AL40" s="26" t="e">
        <f t="shared" si="7"/>
        <v>#VALUE!</v>
      </c>
      <c r="AN40" s="27">
        <f t="shared" si="9"/>
        <v>16.797224614050187</v>
      </c>
      <c r="AO40" s="27">
        <f t="shared" si="9"/>
        <v>-9.1058402322414906</v>
      </c>
      <c r="AP40" s="27">
        <f t="shared" si="9"/>
        <v>-1.6097318641638103</v>
      </c>
      <c r="AQ40" s="27">
        <f t="shared" si="9"/>
        <v>-4.664417735797322</v>
      </c>
      <c r="AR40" s="27"/>
      <c r="AS40" s="27"/>
      <c r="AT40" s="27">
        <f t="shared" si="9"/>
        <v>1.9974417699292313</v>
      </c>
      <c r="AU40" s="27">
        <f t="shared" si="9"/>
        <v>7.8605733155923341</v>
      </c>
    </row>
    <row r="41" spans="1:47" x14ac:dyDescent="0.3">
      <c r="A41" s="11">
        <v>34425</v>
      </c>
      <c r="B41" s="18">
        <v>27200.79</v>
      </c>
      <c r="C41" t="s">
        <v>20</v>
      </c>
      <c r="D41" t="s">
        <v>20</v>
      </c>
      <c r="E41" s="11">
        <f t="shared" si="0"/>
        <v>34425</v>
      </c>
      <c r="F41" s="9">
        <f t="shared" si="4"/>
        <v>47.258298589550257</v>
      </c>
      <c r="G41" s="9" t="e">
        <f t="shared" si="5"/>
        <v>#VALUE!</v>
      </c>
      <c r="H41" s="9" t="e">
        <f t="shared" si="6"/>
        <v>#VALUE!</v>
      </c>
      <c r="I41" s="11">
        <f t="shared" si="1"/>
        <v>34425</v>
      </c>
      <c r="O41" s="11">
        <v>35886</v>
      </c>
      <c r="P41" s="19" cm="1">
        <f t="array" ref="P41">IF(OR($O41&lt;P$387,$O41&gt;P$388),"",IFERROR(IF($O41=P$387,100,P40)*INDEX($B$2:$B$428,MATCH($O41,$A$2:$A$428,0))/INDEX($B$2:$B$428,MATCH($O41,$A$2:$A$428,0)-1),""))</f>
        <v>277.06360982808684</v>
      </c>
      <c r="Q41" s="19" t="str" cm="1">
        <f t="array" ref="Q41">IF(OR($O41&lt;Q$387,$O41&gt;Q$388),"",IFERROR(IF($O41=Q$387,100,Q40)*INDEX($B$2:$B$428,MATCH($O41,$A$2:$A$428,0))/INDEX($B$2:$B$428,MATCH($O41,$A$2:$A$428,0)-1),""))</f>
        <v/>
      </c>
      <c r="R41" s="19" t="str" cm="1">
        <f t="array" ref="R41">IF(OR($O41&lt;R$387,$O41&gt;R$388),"",IFERROR(IF($O41=R$387,100,R40)*INDEX($B$2:$B$428,MATCH($O41,$A$2:$A$428,0))/INDEX($B$2:$B$428,MATCH($O41,$A$2:$A$428,0)-1),""))</f>
        <v/>
      </c>
      <c r="S41" s="19" t="str" cm="1">
        <f t="array" ref="S41">IF(OR($O41&lt;S$387,$O41&gt;S$388),"",IFERROR(IF($O41=S$387,100,S40)*INDEX($B$2:$B$428,MATCH($O41,$A$2:$A$428,0))/INDEX($B$2:$B$428,MATCH($O41,$A$2:$A$428,0)-1),""))</f>
        <v/>
      </c>
      <c r="T41" s="19" t="str" cm="1">
        <f t="array" ref="T41">IF(OR($O41&lt;T$387,$O41&gt;T$388),"",IFERROR(IF($O41=T$387,100,T40)*INDEX($B$2:$B$428,MATCH($O41,$A$2:$A$428,0))/INDEX($B$2:$B$428,MATCH($O41,$A$2:$A$428,0)-1),""))</f>
        <v/>
      </c>
      <c r="U41" s="19" t="str" cm="1">
        <f t="array" ref="U41">IF(OR($O41&lt;U$387,$O41&gt;U$388),"",IFERROR(IF($O41=U$387,100,U40)*INDEX($B$2:$B$428,MATCH($O41,$A$2:$A$428,0))/INDEX($B$2:$B$428,MATCH($O41,$A$2:$A$428,0)-1),""))</f>
        <v/>
      </c>
      <c r="V41" s="19" t="str" cm="1">
        <f t="array" ref="V41">IF(OR($O41&lt;V$387,$O41&gt;V$388),"",IFERROR(IF($O41=V$387,100,V40)*INDEX($B$2:$B$428,MATCH($O41,$A$2:$A$428,0))/INDEX($B$2:$B$428,MATCH($O41,$A$2:$A$428,0)-1),""))</f>
        <v/>
      </c>
      <c r="W41" s="19" t="str" cm="1">
        <f t="array" ref="W41">IF(OR($O41&lt;W$387,$O41&gt;W$388),"",IFERROR(IF($O41=W$387,100,W40)*INDEX($B$2:$B$428,MATCH($O41,$A$2:$A$428,0))/INDEX($B$2:$B$428,MATCH($O41,$A$2:$A$428,0)-1),""))</f>
        <v/>
      </c>
      <c r="X41" s="19" t="str" cm="1">
        <f t="array" ref="X41">IF(OR($O41&lt;X$387,$O41&gt;X$388),"",IFERROR(IF($O41=X$387,100,X40)*INDEX($B$2:$B$428,MATCH($O41,$A$2:$A$428,0))/INDEX($B$2:$B$428,MATCH($O41,$A$2:$A$428,0)-1),""))</f>
        <v/>
      </c>
      <c r="AA41" s="19" cm="1">
        <f t="array" ref="AA41">IF(EDATE(AA$387,ROW()-2)&gt;AA$388,"",IFERROR(IF(ROW()=2,100,AA40)*INDEX($D$2:$D$428,MATCH(EDATE(AA$387,ROW()-2),$A$2:$A$428,0))/INDEX($D$2:$D$428,MATCH(EDATE(AA$387,ROW()-2),$A$2:$A$428,0)-1),""))</f>
        <v>183.24273967528117</v>
      </c>
      <c r="AB41" s="19" cm="1">
        <f t="array" ref="AB41">IF(EDATE(AB$387,ROW()-2)&gt;AB$388,"",IFERROR(IF(ROW()=2,100,AB40)*INDEX($D$2:$D$428,MATCH(EDATE(AB$387,ROW()-2),$A$2:$A$428,0))/INDEX($D$2:$D$428,MATCH(EDATE(AB$387,ROW()-2),$A$2:$A$428,0)-1),""))</f>
        <v>126.90224144881192</v>
      </c>
      <c r="AC41" s="19" cm="1">
        <f t="array" ref="AC41">IF(EDATE(AC$387,ROW()-2)&gt;AC$388,"",IFERROR(IF(ROW()=2,100,AC40)*INDEX($D$2:$D$428,MATCH(EDATE(AC$387,ROW()-2),$A$2:$A$428,0))/INDEX($D$2:$D$428,MATCH(EDATE(AC$387,ROW()-2),$A$2:$A$428,0)-1),""))</f>
        <v>145.66416708469424</v>
      </c>
      <c r="AD41" s="19" cm="1">
        <f t="array" ref="AD41">IF(EDATE(AD$387,ROW()-2)&gt;AD$388,"",IFERROR(IF(ROW()=2,100,AD40)*INDEX($D$2:$D$428,MATCH(EDATE(AD$387,ROW()-2),$A$2:$A$428,0))/INDEX($D$2:$D$428,MATCH(EDATE(AD$387,ROW()-2),$A$2:$A$428,0)-1),""))</f>
        <v>129.59890912779647</v>
      </c>
      <c r="AE41" s="19"/>
      <c r="AF41" s="19"/>
      <c r="AG41" s="19" cm="1">
        <f t="array" ref="AG41">IF(EDATE(AG$387,ROW()-2)&gt;AG$388,"",IFERROR(IF(ROW()=2,100,AG40)*INDEX($D$2:$D$428,MATCH(EDATE(AG$387,ROW()-2),$A$2:$A$428,0))/INDEX($D$2:$D$428,MATCH(EDATE(AG$387,ROW()-2),$A$2:$A$428,0)-1),""))</f>
        <v>134.94704567309765</v>
      </c>
      <c r="AH41" s="19" cm="1">
        <f t="array" ref="AH41">IF(EDATE(AH$387,ROW()-2)&gt;AH$388,"",IFERROR(IF(ROW()=2,100,AH40)*INDEX($D$2:$D$428,MATCH(EDATE(AH$387,ROW()-2),$A$2:$A$428,0))/INDEX($D$2:$D$428,MATCH(EDATE(AH$387,ROW()-2),$A$2:$A$428,0)-1),""))</f>
        <v>142.94061957738748</v>
      </c>
      <c r="AJ41" s="11">
        <v>34060</v>
      </c>
      <c r="AK41">
        <v>1602.1</v>
      </c>
      <c r="AL41" s="26" t="e">
        <f t="shared" si="7"/>
        <v>#VALUE!</v>
      </c>
      <c r="AN41" s="27">
        <f t="shared" si="9"/>
        <v>17.813582781515301</v>
      </c>
      <c r="AO41" s="27">
        <f t="shared" si="9"/>
        <v>-11.793273440622054</v>
      </c>
      <c r="AP41" s="27">
        <f t="shared" si="9"/>
        <v>-3.3458556006948914E-2</v>
      </c>
      <c r="AQ41" s="27">
        <f t="shared" si="9"/>
        <v>-5.3624181777607083</v>
      </c>
      <c r="AR41" s="27"/>
      <c r="AS41" s="27"/>
      <c r="AT41" s="27">
        <f t="shared" si="9"/>
        <v>1.6721820466508275</v>
      </c>
      <c r="AU41" s="27">
        <f t="shared" si="9"/>
        <v>8.8208112740662532</v>
      </c>
    </row>
    <row r="42" spans="1:47" x14ac:dyDescent="0.3">
      <c r="A42" s="11">
        <v>34455</v>
      </c>
      <c r="B42" s="18">
        <v>38731.61</v>
      </c>
      <c r="C42" t="s">
        <v>20</v>
      </c>
      <c r="D42" t="s">
        <v>20</v>
      </c>
      <c r="E42" s="11">
        <f t="shared" si="0"/>
        <v>34455</v>
      </c>
      <c r="F42" s="9">
        <f t="shared" si="4"/>
        <v>54.872837956751923</v>
      </c>
      <c r="G42" s="9" t="e">
        <f t="shared" si="5"/>
        <v>#VALUE!</v>
      </c>
      <c r="H42" s="9" t="e">
        <f t="shared" si="6"/>
        <v>#VALUE!</v>
      </c>
      <c r="I42" s="11">
        <f t="shared" si="1"/>
        <v>34455</v>
      </c>
      <c r="O42" s="11">
        <v>35916</v>
      </c>
      <c r="P42" s="19" cm="1">
        <f t="array" ref="P42">IF(OR($O42&lt;P$387,$O42&gt;P$388),"",IFERROR(IF($O42=P$387,100,P41)*INDEX($B$2:$B$428,MATCH($O42,$A$2:$A$428,0))/INDEX($B$2:$B$428,MATCH($O42,$A$2:$A$428,0)-1),""))</f>
        <v>283.11325940542434</v>
      </c>
      <c r="Q42" s="19" t="str" cm="1">
        <f t="array" ref="Q42">IF(OR($O42&lt;Q$387,$O42&gt;Q$388),"",IFERROR(IF($O42=Q$387,100,Q41)*INDEX($B$2:$B$428,MATCH($O42,$A$2:$A$428,0))/INDEX($B$2:$B$428,MATCH($O42,$A$2:$A$428,0)-1),""))</f>
        <v/>
      </c>
      <c r="R42" s="19" t="str" cm="1">
        <f t="array" ref="R42">IF(OR($O42&lt;R$387,$O42&gt;R$388),"",IFERROR(IF($O42=R$387,100,R41)*INDEX($B$2:$B$428,MATCH($O42,$A$2:$A$428,0))/INDEX($B$2:$B$428,MATCH($O42,$A$2:$A$428,0)-1),""))</f>
        <v/>
      </c>
      <c r="S42" s="19" t="str" cm="1">
        <f t="array" ref="S42">IF(OR($O42&lt;S$387,$O42&gt;S$388),"",IFERROR(IF($O42=S$387,100,S41)*INDEX($B$2:$B$428,MATCH($O42,$A$2:$A$428,0))/INDEX($B$2:$B$428,MATCH($O42,$A$2:$A$428,0)-1),""))</f>
        <v/>
      </c>
      <c r="T42" s="19" t="str" cm="1">
        <f t="array" ref="T42">IF(OR($O42&lt;T$387,$O42&gt;T$388),"",IFERROR(IF($O42=T$387,100,T41)*INDEX($B$2:$B$428,MATCH($O42,$A$2:$A$428,0))/INDEX($B$2:$B$428,MATCH($O42,$A$2:$A$428,0)-1),""))</f>
        <v/>
      </c>
      <c r="U42" s="19" t="str" cm="1">
        <f t="array" ref="U42">IF(OR($O42&lt;U$387,$O42&gt;U$388),"",IFERROR(IF($O42=U$387,100,U41)*INDEX($B$2:$B$428,MATCH($O42,$A$2:$A$428,0))/INDEX($B$2:$B$428,MATCH($O42,$A$2:$A$428,0)-1),""))</f>
        <v/>
      </c>
      <c r="V42" s="19" t="str" cm="1">
        <f t="array" ref="V42">IF(OR($O42&lt;V$387,$O42&gt;V$388),"",IFERROR(IF($O42=V$387,100,V41)*INDEX($B$2:$B$428,MATCH($O42,$A$2:$A$428,0))/INDEX($B$2:$B$428,MATCH($O42,$A$2:$A$428,0)-1),""))</f>
        <v/>
      </c>
      <c r="W42" s="19" t="str" cm="1">
        <f t="array" ref="W42">IF(OR($O42&lt;W$387,$O42&gt;W$388),"",IFERROR(IF($O42=W$387,100,W41)*INDEX($B$2:$B$428,MATCH($O42,$A$2:$A$428,0))/INDEX($B$2:$B$428,MATCH($O42,$A$2:$A$428,0)-1),""))</f>
        <v/>
      </c>
      <c r="X42" s="19" t="str" cm="1">
        <f t="array" ref="X42">IF(OR($O42&lt;X$387,$O42&gt;X$388),"",IFERROR(IF($O42=X$387,100,X41)*INDEX($B$2:$B$428,MATCH($O42,$A$2:$A$428,0))/INDEX($B$2:$B$428,MATCH($O42,$A$2:$A$428,0)-1),""))</f>
        <v/>
      </c>
      <c r="AA42" s="19" cm="1">
        <f t="array" ref="AA42">IF(EDATE(AA$387,ROW()-2)&gt;AA$388,"",IFERROR(IF(ROW()=2,100,AA41)*INDEX($D$2:$D$428,MATCH(EDATE(AA$387,ROW()-2),$A$2:$A$428,0))/INDEX($D$2:$D$428,MATCH(EDATE(AA$387,ROW()-2),$A$2:$A$428,0)-1),""))</f>
        <v>188.62929816650686</v>
      </c>
      <c r="AB42" s="19" cm="1">
        <f t="array" ref="AB42">IF(EDATE(AB$387,ROW()-2)&gt;AB$388,"",IFERROR(IF(ROW()=2,100,AB41)*INDEX($D$2:$D$428,MATCH(EDATE(AB$387,ROW()-2),$A$2:$A$428,0))/INDEX($D$2:$D$428,MATCH(EDATE(AB$387,ROW()-2),$A$2:$A$428,0)-1),""))</f>
        <v>126.32698641436934</v>
      </c>
      <c r="AC42" s="19" cm="1">
        <f t="array" ref="AC42">IF(EDATE(AC$387,ROW()-2)&gt;AC$388,"",IFERROR(IF(ROW()=2,100,AC41)*INDEX($D$2:$D$428,MATCH(EDATE(AC$387,ROW()-2),$A$2:$A$428,0))/INDEX($D$2:$D$428,MATCH(EDATE(AC$387,ROW()-2),$A$2:$A$428,0)-1),""))</f>
        <v>148.43784832285203</v>
      </c>
      <c r="AD42" s="19" cm="1">
        <f t="array" ref="AD42">IF(EDATE(AD$387,ROW()-2)&gt;AD$388,"",IFERROR(IF(ROW()=2,100,AD41)*INDEX($D$2:$D$428,MATCH(EDATE(AD$387,ROW()-2),$A$2:$A$428,0))/INDEX($D$2:$D$428,MATCH(EDATE(AD$387,ROW()-2),$A$2:$A$428,0)-1),""))</f>
        <v>132.78022085780532</v>
      </c>
      <c r="AE42" s="19"/>
      <c r="AF42" s="19"/>
      <c r="AG42" s="19" cm="1">
        <f t="array" ref="AG42">IF(EDATE(AG$387,ROW()-2)&gt;AG$388,"",IFERROR(IF(ROW()=2,100,AG41)*INDEX($D$2:$D$428,MATCH(EDATE(AG$387,ROW()-2),$A$2:$A$428,0))/INDEX($D$2:$D$428,MATCH(EDATE(AG$387,ROW()-2),$A$2:$A$428,0)-1),""))</f>
        <v>136.8688686506884</v>
      </c>
      <c r="AH42" s="19" cm="1">
        <f t="array" ref="AH42">IF(EDATE(AH$387,ROW()-2)&gt;AH$388,"",IFERROR(IF(ROW()=2,100,AH41)*INDEX($D$2:$D$428,MATCH(EDATE(AH$387,ROW()-2),$A$2:$A$428,0))/INDEX($D$2:$D$428,MATCH(EDATE(AH$387,ROW()-2),$A$2:$A$428,0)-1),""))</f>
        <v>145.99455799411143</v>
      </c>
      <c r="AJ42" s="11">
        <v>34090</v>
      </c>
      <c r="AK42">
        <v>2053.6</v>
      </c>
      <c r="AL42" s="26" t="e">
        <f t="shared" si="7"/>
        <v>#VALUE!</v>
      </c>
      <c r="AN42" s="27">
        <f t="shared" si="9"/>
        <v>19.189877327154591</v>
      </c>
      <c r="AO42" s="27">
        <f t="shared" si="9"/>
        <v>-12.669200956724469</v>
      </c>
      <c r="AP42" s="27">
        <f t="shared" si="9"/>
        <v>0.32308858423881759</v>
      </c>
      <c r="AQ42" s="27">
        <f t="shared" si="9"/>
        <v>-4.3824308303567534</v>
      </c>
      <c r="AR42" s="27"/>
      <c r="AS42" s="27"/>
      <c r="AT42" s="27">
        <f t="shared" si="9"/>
        <v>1.8664951240513261</v>
      </c>
      <c r="AU42" s="27">
        <f t="shared" si="9"/>
        <v>10.303386705434381</v>
      </c>
    </row>
    <row r="43" spans="1:47" x14ac:dyDescent="0.3">
      <c r="A43" s="11">
        <v>34486</v>
      </c>
      <c r="B43" s="18">
        <v>56875.76</v>
      </c>
      <c r="C43" t="s">
        <v>20</v>
      </c>
      <c r="D43" t="s">
        <v>20</v>
      </c>
      <c r="E43" s="11">
        <f t="shared" si="0"/>
        <v>34486</v>
      </c>
      <c r="F43" s="9">
        <f t="shared" si="4"/>
        <v>63.192411006523557</v>
      </c>
      <c r="G43" s="9" t="e">
        <f t="shared" si="5"/>
        <v>#VALUE!</v>
      </c>
      <c r="H43" s="9" t="e">
        <f t="shared" si="6"/>
        <v>#VALUE!</v>
      </c>
      <c r="I43" s="11">
        <f t="shared" si="1"/>
        <v>34486</v>
      </c>
      <c r="O43" s="11">
        <v>35947</v>
      </c>
      <c r="P43" s="19" cm="1">
        <f t="array" ref="P43">IF(OR($O43&lt;P$387,$O43&gt;P$388),"",IFERROR(IF($O43=P$387,100,P42)*INDEX($B$2:$B$428,MATCH($O43,$A$2:$A$428,0))/INDEX($B$2:$B$428,MATCH($O43,$A$2:$A$428,0)-1),""))</f>
        <v>297.40502984603751</v>
      </c>
      <c r="Q43" s="19" t="str" cm="1">
        <f t="array" ref="Q43">IF(OR($O43&lt;Q$387,$O43&gt;Q$388),"",IFERROR(IF($O43=Q$387,100,Q42)*INDEX($B$2:$B$428,MATCH($O43,$A$2:$A$428,0))/INDEX($B$2:$B$428,MATCH($O43,$A$2:$A$428,0)-1),""))</f>
        <v/>
      </c>
      <c r="R43" s="19" t="str" cm="1">
        <f t="array" ref="R43">IF(OR($O43&lt;R$387,$O43&gt;R$388),"",IFERROR(IF($O43=R$387,100,R42)*INDEX($B$2:$B$428,MATCH($O43,$A$2:$A$428,0))/INDEX($B$2:$B$428,MATCH($O43,$A$2:$A$428,0)-1),""))</f>
        <v/>
      </c>
      <c r="S43" s="19" t="str" cm="1">
        <f t="array" ref="S43">IF(OR($O43&lt;S$387,$O43&gt;S$388),"",IFERROR(IF($O43=S$387,100,S42)*INDEX($B$2:$B$428,MATCH($O43,$A$2:$A$428,0))/INDEX($B$2:$B$428,MATCH($O43,$A$2:$A$428,0)-1),""))</f>
        <v/>
      </c>
      <c r="T43" s="19" t="str" cm="1">
        <f t="array" ref="T43">IF(OR($O43&lt;T$387,$O43&gt;T$388),"",IFERROR(IF($O43=T$387,100,T42)*INDEX($B$2:$B$428,MATCH($O43,$A$2:$A$428,0))/INDEX($B$2:$B$428,MATCH($O43,$A$2:$A$428,0)-1),""))</f>
        <v/>
      </c>
      <c r="U43" s="19" t="str" cm="1">
        <f t="array" ref="U43">IF(OR($O43&lt;U$387,$O43&gt;U$388),"",IFERROR(IF($O43=U$387,100,U42)*INDEX($B$2:$B$428,MATCH($O43,$A$2:$A$428,0))/INDEX($B$2:$B$428,MATCH($O43,$A$2:$A$428,0)-1),""))</f>
        <v/>
      </c>
      <c r="V43" s="19" t="str" cm="1">
        <f t="array" ref="V43">IF(OR($O43&lt;V$387,$O43&gt;V$388),"",IFERROR(IF($O43=V$387,100,V42)*INDEX($B$2:$B$428,MATCH($O43,$A$2:$A$428,0))/INDEX($B$2:$B$428,MATCH($O43,$A$2:$A$428,0)-1),""))</f>
        <v/>
      </c>
      <c r="W43" s="19" t="str" cm="1">
        <f t="array" ref="W43">IF(OR($O43&lt;W$387,$O43&gt;W$388),"",IFERROR(IF($O43=W$387,100,W42)*INDEX($B$2:$B$428,MATCH($O43,$A$2:$A$428,0))/INDEX($B$2:$B$428,MATCH($O43,$A$2:$A$428,0)-1),""))</f>
        <v/>
      </c>
      <c r="X43" s="19" t="str" cm="1">
        <f t="array" ref="X43">IF(OR($O43&lt;X$387,$O43&gt;X$388),"",IFERROR(IF($O43=X$387,100,X42)*INDEX($B$2:$B$428,MATCH($O43,$A$2:$A$428,0))/INDEX($B$2:$B$428,MATCH($O43,$A$2:$A$428,0)-1),""))</f>
        <v/>
      </c>
      <c r="AA43" s="19" cm="1">
        <f t="array" ref="AA43">IF(EDATE(AA$387,ROW()-2)&gt;AA$388,"",IFERROR(IF(ROW()=2,100,AA42)*INDEX($D$2:$D$428,MATCH(EDATE(AA$387,ROW()-2),$A$2:$A$428,0))/INDEX($D$2:$D$428,MATCH(EDATE(AA$387,ROW()-2),$A$2:$A$428,0)-1),""))</f>
        <v>197.14518748292122</v>
      </c>
      <c r="AB43" s="19" cm="1">
        <f t="array" ref="AB43">IF(EDATE(AB$387,ROW()-2)&gt;AB$388,"",IFERROR(IF(ROW()=2,100,AB42)*INDEX($D$2:$D$428,MATCH(EDATE(AB$387,ROW()-2),$A$2:$A$428,0))/INDEX($D$2:$D$428,MATCH(EDATE(AB$387,ROW()-2),$A$2:$A$428,0)-1),""))</f>
        <v>129.37318215567629</v>
      </c>
      <c r="AC43" s="19" cm="1">
        <f t="array" ref="AC43">IF(EDATE(AC$387,ROW()-2)&gt;AC$388,"",IFERROR(IF(ROW()=2,100,AC42)*INDEX($D$2:$D$428,MATCH(EDATE(AC$387,ROW()-2),$A$2:$A$428,0))/INDEX($D$2:$D$428,MATCH(EDATE(AC$387,ROW()-2),$A$2:$A$428,0)-1),""))</f>
        <v>148.50920630167531</v>
      </c>
      <c r="AD43" s="19" cm="1">
        <f t="array" ref="AD43">IF(EDATE(AD$387,ROW()-2)&gt;AD$388,"",IFERROR(IF(ROW()=2,100,AD42)*INDEX($D$2:$D$428,MATCH(EDATE(AD$387,ROW()-2),$A$2:$A$428,0))/INDEX($D$2:$D$428,MATCH(EDATE(AD$387,ROW()-2),$A$2:$A$428,0)-1),""))</f>
        <v>136.29768026635136</v>
      </c>
      <c r="AE43" s="19"/>
      <c r="AF43" s="19"/>
      <c r="AG43" s="19" cm="1">
        <f t="array" ref="AG43">IF(EDATE(AG$387,ROW()-2)&gt;AG$388,"",IFERROR(IF(ROW()=2,100,AG42)*INDEX($D$2:$D$428,MATCH(EDATE(AG$387,ROW()-2),$A$2:$A$428,0))/INDEX($D$2:$D$428,MATCH(EDATE(AG$387,ROW()-2),$A$2:$A$428,0)-1),""))</f>
        <v>139.90688114581164</v>
      </c>
      <c r="AH43" s="19" cm="1">
        <f t="array" ref="AH43">IF(EDATE(AH$387,ROW()-2)&gt;AH$388,"",IFERROR(IF(ROW()=2,100,AH42)*INDEX($D$2:$D$428,MATCH(EDATE(AH$387,ROW()-2),$A$2:$A$428,0))/INDEX($D$2:$D$428,MATCH(EDATE(AH$387,ROW()-2),$A$2:$A$428,0)-1),""))</f>
        <v>149.31612748638963</v>
      </c>
      <c r="AJ43" s="11">
        <v>34121</v>
      </c>
      <c r="AK43">
        <v>2629.5</v>
      </c>
      <c r="AL43" s="26" t="e">
        <f t="shared" si="7"/>
        <v>#VALUE!</v>
      </c>
      <c r="AN43" s="27">
        <f t="shared" si="9"/>
        <v>21.370203265386923</v>
      </c>
      <c r="AO43" s="27">
        <f t="shared" si="9"/>
        <v>-11.572978201336326</v>
      </c>
      <c r="AP43" s="27">
        <f t="shared" si="9"/>
        <v>-0.45927451058734858</v>
      </c>
      <c r="AQ43" s="27">
        <f t="shared" si="9"/>
        <v>-3.128630089003237</v>
      </c>
      <c r="AR43" s="27"/>
      <c r="AS43" s="27"/>
      <c r="AT43" s="27">
        <f t="shared" si="9"/>
        <v>2.7735260384006755</v>
      </c>
      <c r="AU43" s="27">
        <f t="shared" si="9"/>
        <v>11.838938105295382</v>
      </c>
    </row>
    <row r="44" spans="1:47" x14ac:dyDescent="0.3">
      <c r="A44" s="11">
        <v>34516</v>
      </c>
      <c r="B44" s="18">
        <v>68176.070000000007</v>
      </c>
      <c r="C44" t="s">
        <v>20</v>
      </c>
      <c r="D44" t="s">
        <v>20</v>
      </c>
      <c r="E44" s="11">
        <f t="shared" si="0"/>
        <v>34516</v>
      </c>
      <c r="F44" s="9">
        <f t="shared" si="4"/>
        <v>58.148782773160292</v>
      </c>
      <c r="G44" s="9" t="e">
        <f t="shared" si="5"/>
        <v>#VALUE!</v>
      </c>
      <c r="H44" s="9" t="e">
        <f t="shared" si="6"/>
        <v>#VALUE!</v>
      </c>
      <c r="I44" s="11">
        <f t="shared" si="1"/>
        <v>34516</v>
      </c>
      <c r="O44" s="11">
        <v>35977</v>
      </c>
      <c r="P44" s="19" cm="1">
        <f t="array" ref="P44">IF(OR($O44&lt;P$387,$O44&gt;P$388),"",IFERROR(IF($O44=P$387,100,P43)*INDEX($B$2:$B$428,MATCH($O44,$A$2:$A$428,0))/INDEX($B$2:$B$428,MATCH($O44,$A$2:$A$428,0)-1),""))</f>
        <v>302.47514247858425</v>
      </c>
      <c r="Q44" s="19" t="str" cm="1">
        <f t="array" ref="Q44">IF(OR($O44&lt;Q$387,$O44&gt;Q$388),"",IFERROR(IF($O44=Q$387,100,Q43)*INDEX($B$2:$B$428,MATCH($O44,$A$2:$A$428,0))/INDEX($B$2:$B$428,MATCH($O44,$A$2:$A$428,0)-1),""))</f>
        <v/>
      </c>
      <c r="R44" s="19" t="str" cm="1">
        <f t="array" ref="R44">IF(OR($O44&lt;R$387,$O44&gt;R$388),"",IFERROR(IF($O44=R$387,100,R43)*INDEX($B$2:$B$428,MATCH($O44,$A$2:$A$428,0))/INDEX($B$2:$B$428,MATCH($O44,$A$2:$A$428,0)-1),""))</f>
        <v/>
      </c>
      <c r="S44" s="19" t="str" cm="1">
        <f t="array" ref="S44">IF(OR($O44&lt;S$387,$O44&gt;S$388),"",IFERROR(IF($O44=S$387,100,S43)*INDEX($B$2:$B$428,MATCH($O44,$A$2:$A$428,0))/INDEX($B$2:$B$428,MATCH($O44,$A$2:$A$428,0)-1),""))</f>
        <v/>
      </c>
      <c r="T44" s="19" t="str" cm="1">
        <f t="array" ref="T44">IF(OR($O44&lt;T$387,$O44&gt;T$388),"",IFERROR(IF($O44=T$387,100,T43)*INDEX($B$2:$B$428,MATCH($O44,$A$2:$A$428,0))/INDEX($B$2:$B$428,MATCH($O44,$A$2:$A$428,0)-1),""))</f>
        <v/>
      </c>
      <c r="U44" s="19" t="str" cm="1">
        <f t="array" ref="U44">IF(OR($O44&lt;U$387,$O44&gt;U$388),"",IFERROR(IF($O44=U$387,100,U43)*INDEX($B$2:$B$428,MATCH($O44,$A$2:$A$428,0))/INDEX($B$2:$B$428,MATCH($O44,$A$2:$A$428,0)-1),""))</f>
        <v/>
      </c>
      <c r="V44" s="19" t="str" cm="1">
        <f t="array" ref="V44">IF(OR($O44&lt;V$387,$O44&gt;V$388),"",IFERROR(IF($O44=V$387,100,V43)*INDEX($B$2:$B$428,MATCH($O44,$A$2:$A$428,0))/INDEX($B$2:$B$428,MATCH($O44,$A$2:$A$428,0)-1),""))</f>
        <v/>
      </c>
      <c r="W44" s="19" t="str" cm="1">
        <f t="array" ref="W44">IF(OR($O44&lt;W$387,$O44&gt;W$388),"",IFERROR(IF($O44=W$387,100,W43)*INDEX($B$2:$B$428,MATCH($O44,$A$2:$A$428,0))/INDEX($B$2:$B$428,MATCH($O44,$A$2:$A$428,0)-1),""))</f>
        <v/>
      </c>
      <c r="X44" s="19" t="str" cm="1">
        <f t="array" ref="X44">IF(OR($O44&lt;X$387,$O44&gt;X$388),"",IFERROR(IF($O44=X$387,100,X43)*INDEX($B$2:$B$428,MATCH($O44,$A$2:$A$428,0))/INDEX($B$2:$B$428,MATCH($O44,$A$2:$A$428,0)-1),""))</f>
        <v/>
      </c>
      <c r="AA44" s="19" cm="1">
        <f t="array" ref="AA44">IF(EDATE(AA$387,ROW()-2)&gt;AA$388,"",IFERROR(IF(ROW()=2,100,AA43)*INDEX($D$2:$D$428,MATCH(EDATE(AA$387,ROW()-2),$A$2:$A$428,0))/INDEX($D$2:$D$428,MATCH(EDATE(AA$387,ROW()-2),$A$2:$A$428,0)-1),""))</f>
        <v>216.38520181487604</v>
      </c>
      <c r="AB44" s="19" cm="1">
        <f t="array" ref="AB44">IF(EDATE(AB$387,ROW()-2)&gt;AB$388,"",IFERROR(IF(ROW()=2,100,AB43)*INDEX($D$2:$D$428,MATCH(EDATE(AB$387,ROW()-2),$A$2:$A$428,0))/INDEX($D$2:$D$428,MATCH(EDATE(AB$387,ROW()-2),$A$2:$A$428,0)-1),""))</f>
        <v>128.12633915877959</v>
      </c>
      <c r="AC44" s="19" cm="1">
        <f t="array" ref="AC44">IF(EDATE(AC$387,ROW()-2)&gt;AC$388,"",IFERROR(IF(ROW()=2,100,AC43)*INDEX($D$2:$D$428,MATCH(EDATE(AC$387,ROW()-2),$A$2:$A$428,0))/INDEX($D$2:$D$428,MATCH(EDATE(AC$387,ROW()-2),$A$2:$A$428,0)-1),""))</f>
        <v>147.83488570522752</v>
      </c>
      <c r="AD44" s="19" cm="1">
        <f t="array" ref="AD44">IF(EDATE(AD$387,ROW()-2)&gt;AD$388,"",IFERROR(IF(ROW()=2,100,AD43)*INDEX($D$2:$D$428,MATCH(EDATE(AD$387,ROW()-2),$A$2:$A$428,0))/INDEX($D$2:$D$428,MATCH(EDATE(AD$387,ROW()-2),$A$2:$A$428,0)-1),""))</f>
        <v>133.90473157141665</v>
      </c>
      <c r="AE44" s="19"/>
      <c r="AF44" s="19"/>
      <c r="AG44" s="19" cm="1">
        <f t="array" ref="AG44">IF(EDATE(AG$387,ROW()-2)&gt;AG$388,"",IFERROR(IF(ROW()=2,100,AG43)*INDEX($D$2:$D$428,MATCH(EDATE(AG$387,ROW()-2),$A$2:$A$428,0))/INDEX($D$2:$D$428,MATCH(EDATE(AG$387,ROW()-2),$A$2:$A$428,0)-1),""))</f>
        <v>138.92844360688903</v>
      </c>
      <c r="AH44" s="19" cm="1">
        <f t="array" ref="AH44">IF(EDATE(AH$387,ROW()-2)&gt;AH$388,"",IFERROR(IF(ROW()=2,100,AH43)*INDEX($D$2:$D$428,MATCH(EDATE(AH$387,ROW()-2),$A$2:$A$428,0))/INDEX($D$2:$D$428,MATCH(EDATE(AH$387,ROW()-2),$A$2:$A$428,0)-1),""))</f>
        <v>149.54171483421194</v>
      </c>
      <c r="AJ44" s="11">
        <v>34151</v>
      </c>
      <c r="AK44">
        <v>3424.9</v>
      </c>
      <c r="AL44" s="26" t="e">
        <f t="shared" si="7"/>
        <v>#VALUE!</v>
      </c>
      <c r="AN44" s="27">
        <f t="shared" si="9"/>
        <v>27.488066191363401</v>
      </c>
      <c r="AO44" s="27">
        <f t="shared" si="9"/>
        <v>-12.802655542914898</v>
      </c>
      <c r="AP44" s="27">
        <f t="shared" si="9"/>
        <v>-1.580041237682972</v>
      </c>
      <c r="AQ44" s="27">
        <f t="shared" si="9"/>
        <v>-4.526064153290033</v>
      </c>
      <c r="AR44" s="27"/>
      <c r="AS44" s="27"/>
      <c r="AT44" s="27">
        <f t="shared" si="9"/>
        <v>1.2259714411051559</v>
      </c>
      <c r="AU44" s="27">
        <f t="shared" si="9"/>
        <v>11.489823045833692</v>
      </c>
    </row>
    <row r="45" spans="1:47" x14ac:dyDescent="0.3">
      <c r="A45" s="11">
        <v>34547</v>
      </c>
      <c r="B45" s="18">
        <v>66728.83</v>
      </c>
      <c r="C45" t="s">
        <v>20</v>
      </c>
      <c r="D45" t="s">
        <v>20</v>
      </c>
      <c r="E45" s="11">
        <f t="shared" si="0"/>
        <v>34547</v>
      </c>
      <c r="F45" s="9">
        <f t="shared" si="4"/>
        <v>41.205388823882863</v>
      </c>
      <c r="G45" s="9" t="e">
        <f t="shared" si="5"/>
        <v>#VALUE!</v>
      </c>
      <c r="H45" s="9" t="e">
        <f t="shared" si="6"/>
        <v>#VALUE!</v>
      </c>
      <c r="I45" s="11">
        <f t="shared" si="1"/>
        <v>34547</v>
      </c>
      <c r="O45" s="11">
        <v>36008</v>
      </c>
      <c r="P45" s="19" cm="1">
        <f t="array" ref="P45">IF(OR($O45&lt;P$387,$O45&gt;P$388),"",IFERROR(IF($O45=P$387,100,P44)*INDEX($B$2:$B$428,MATCH($O45,$A$2:$A$428,0))/INDEX($B$2:$B$428,MATCH($O45,$A$2:$A$428,0)-1),""))</f>
        <v>297.10353922256451</v>
      </c>
      <c r="Q45" s="19" t="str" cm="1">
        <f t="array" ref="Q45">IF(OR($O45&lt;Q$387,$O45&gt;Q$388),"",IFERROR(IF($O45=Q$387,100,Q44)*INDEX($B$2:$B$428,MATCH($O45,$A$2:$A$428,0))/INDEX($B$2:$B$428,MATCH($O45,$A$2:$A$428,0)-1),""))</f>
        <v/>
      </c>
      <c r="R45" s="19" t="str" cm="1">
        <f t="array" ref="R45">IF(OR($O45&lt;R$387,$O45&gt;R$388),"",IFERROR(IF($O45=R$387,100,R44)*INDEX($B$2:$B$428,MATCH($O45,$A$2:$A$428,0))/INDEX($B$2:$B$428,MATCH($O45,$A$2:$A$428,0)-1),""))</f>
        <v/>
      </c>
      <c r="S45" s="19" t="str" cm="1">
        <f t="array" ref="S45">IF(OR($O45&lt;S$387,$O45&gt;S$388),"",IFERROR(IF($O45=S$387,100,S44)*INDEX($B$2:$B$428,MATCH($O45,$A$2:$A$428,0))/INDEX($B$2:$B$428,MATCH($O45,$A$2:$A$428,0)-1),""))</f>
        <v/>
      </c>
      <c r="T45" s="19" t="str" cm="1">
        <f t="array" ref="T45">IF(OR($O45&lt;T$387,$O45&gt;T$388),"",IFERROR(IF($O45=T$387,100,T44)*INDEX($B$2:$B$428,MATCH($O45,$A$2:$A$428,0))/INDEX($B$2:$B$428,MATCH($O45,$A$2:$A$428,0)-1),""))</f>
        <v/>
      </c>
      <c r="U45" s="19" t="str" cm="1">
        <f t="array" ref="U45">IF(OR($O45&lt;U$387,$O45&gt;U$388),"",IFERROR(IF($O45=U$387,100,U44)*INDEX($B$2:$B$428,MATCH($O45,$A$2:$A$428,0))/INDEX($B$2:$B$428,MATCH($O45,$A$2:$A$428,0)-1),""))</f>
        <v/>
      </c>
      <c r="V45" s="19" t="str" cm="1">
        <f t="array" ref="V45">IF(OR($O45&lt;V$387,$O45&gt;V$388),"",IFERROR(IF($O45=V$387,100,V44)*INDEX($B$2:$B$428,MATCH($O45,$A$2:$A$428,0))/INDEX($B$2:$B$428,MATCH($O45,$A$2:$A$428,0)-1),""))</f>
        <v/>
      </c>
      <c r="W45" s="19" t="str" cm="1">
        <f t="array" ref="W45">IF(OR($O45&lt;W$387,$O45&gt;W$388),"",IFERROR(IF($O45=W$387,100,W44)*INDEX($B$2:$B$428,MATCH($O45,$A$2:$A$428,0))/INDEX($B$2:$B$428,MATCH($O45,$A$2:$A$428,0)-1),""))</f>
        <v/>
      </c>
      <c r="X45" s="19" t="str" cm="1">
        <f t="array" ref="X45">IF(OR($O45&lt;X$387,$O45&gt;X$388),"",IFERROR(IF($O45=X$387,100,X44)*INDEX($B$2:$B$428,MATCH($O45,$A$2:$A$428,0))/INDEX($B$2:$B$428,MATCH($O45,$A$2:$A$428,0)-1),""))</f>
        <v/>
      </c>
      <c r="AA45" s="19" cm="1">
        <f t="array" ref="AA45">IF(EDATE(AA$387,ROW()-2)&gt;AA$388,"",IFERROR(IF(ROW()=2,100,AA44)*INDEX($D$2:$D$428,MATCH(EDATE(AA$387,ROW()-2),$A$2:$A$428,0))/INDEX($D$2:$D$428,MATCH(EDATE(AA$387,ROW()-2),$A$2:$A$428,0)-1),""))</f>
        <v>207.35086775852892</v>
      </c>
      <c r="AB45" s="19" cm="1">
        <f t="array" ref="AB45">IF(EDATE(AB$387,ROW()-2)&gt;AB$388,"",IFERROR(IF(ROW()=2,100,AB44)*INDEX($D$2:$D$428,MATCH(EDATE(AB$387,ROW()-2),$A$2:$A$428,0))/INDEX($D$2:$D$428,MATCH(EDATE(AB$387,ROW()-2),$A$2:$A$428,0)-1),""))</f>
        <v>129.94032610499039</v>
      </c>
      <c r="AC45" s="19" cm="1">
        <f t="array" ref="AC45">IF(EDATE(AC$387,ROW()-2)&gt;AC$388,"",IFERROR(IF(ROW()=2,100,AC44)*INDEX($D$2:$D$428,MATCH(EDATE(AC$387,ROW()-2),$A$2:$A$428,0))/INDEX($D$2:$D$428,MATCH(EDATE(AC$387,ROW()-2),$A$2:$A$428,0)-1),""))</f>
        <v>148.60722257337866</v>
      </c>
      <c r="AD45" s="19" cm="1">
        <f t="array" ref="AD45">IF(EDATE(AD$387,ROW()-2)&gt;AD$388,"",IFERROR(IF(ROW()=2,100,AD44)*INDEX($D$2:$D$428,MATCH(EDATE(AD$387,ROW()-2),$A$2:$A$428,0))/INDEX($D$2:$D$428,MATCH(EDATE(AD$387,ROW()-2),$A$2:$A$428,0)-1),""))</f>
        <v>134.98315395254039</v>
      </c>
      <c r="AE45" s="19"/>
      <c r="AF45" s="19"/>
      <c r="AG45" s="19" cm="1">
        <f t="array" ref="AG45">IF(EDATE(AG$387,ROW()-2)&gt;AG$388,"",IFERROR(IF(ROW()=2,100,AG44)*INDEX($D$2:$D$428,MATCH(EDATE(AG$387,ROW()-2),$A$2:$A$428,0))/INDEX($D$2:$D$428,MATCH(EDATE(AG$387,ROW()-2),$A$2:$A$428,0)-1),""))</f>
        <v>138.39588041693827</v>
      </c>
      <c r="AH45" s="19"/>
      <c r="AJ45" s="11">
        <v>34182</v>
      </c>
      <c r="AK45">
        <v>4517.7</v>
      </c>
      <c r="AL45" s="26" t="e">
        <f t="shared" si="7"/>
        <v>#VALUE!</v>
      </c>
      <c r="AN45" s="27">
        <f t="shared" si="9"/>
        <v>23.451986338214269</v>
      </c>
      <c r="AO45" s="27">
        <f t="shared" si="9"/>
        <v>-12.51886449487486</v>
      </c>
      <c r="AP45" s="27">
        <f t="shared" si="9"/>
        <v>-2.1042272972085052</v>
      </c>
      <c r="AQ45" s="27">
        <f t="shared" si="9"/>
        <v>-4.3702102498797029</v>
      </c>
      <c r="AR45" s="27"/>
      <c r="AS45" s="27"/>
      <c r="AT45" s="27">
        <f t="shared" si="9"/>
        <v>-4.3114143738987032E-2</v>
      </c>
      <c r="AU45" s="27"/>
    </row>
    <row r="46" spans="1:47" x14ac:dyDescent="0.3">
      <c r="A46" s="11">
        <v>34578</v>
      </c>
      <c r="B46" s="18">
        <v>65874.41</v>
      </c>
      <c r="C46" t="s">
        <v>20</v>
      </c>
      <c r="D46" t="s">
        <v>20</v>
      </c>
      <c r="E46" s="11">
        <f t="shared" si="0"/>
        <v>34578</v>
      </c>
      <c r="F46" s="9">
        <f t="shared" si="4"/>
        <v>30.504084209318119</v>
      </c>
      <c r="G46" s="9" t="e">
        <f t="shared" si="5"/>
        <v>#VALUE!</v>
      </c>
      <c r="H46" s="9" t="e">
        <f t="shared" si="6"/>
        <v>#VALUE!</v>
      </c>
      <c r="I46" s="11">
        <f t="shared" si="1"/>
        <v>34578</v>
      </c>
      <c r="O46" s="11">
        <v>36039</v>
      </c>
      <c r="P46" s="19" cm="1">
        <f t="array" ref="P46">IF(OR($O46&lt;P$387,$O46&gt;P$388),"",IFERROR(IF($O46=P$387,100,P45)*INDEX($B$2:$B$428,MATCH($O46,$A$2:$A$428,0))/INDEX($B$2:$B$428,MATCH($O46,$A$2:$A$428,0)-1),""))</f>
        <v>306.07644334326039</v>
      </c>
      <c r="Q46" s="19" t="str" cm="1">
        <f t="array" ref="Q46">IF(OR($O46&lt;Q$387,$O46&gt;Q$388),"",IFERROR(IF($O46=Q$387,100,Q45)*INDEX($B$2:$B$428,MATCH($O46,$A$2:$A$428,0))/INDEX($B$2:$B$428,MATCH($O46,$A$2:$A$428,0)-1),""))</f>
        <v/>
      </c>
      <c r="R46" s="19" t="str" cm="1">
        <f t="array" ref="R46">IF(OR($O46&lt;R$387,$O46&gt;R$388),"",IFERROR(IF($O46=R$387,100,R45)*INDEX($B$2:$B$428,MATCH($O46,$A$2:$A$428,0))/INDEX($B$2:$B$428,MATCH($O46,$A$2:$A$428,0)-1),""))</f>
        <v/>
      </c>
      <c r="S46" s="19" t="str" cm="1">
        <f t="array" ref="S46">IF(OR($O46&lt;S$387,$O46&gt;S$388),"",IFERROR(IF($O46=S$387,100,S45)*INDEX($B$2:$B$428,MATCH($O46,$A$2:$A$428,0))/INDEX($B$2:$B$428,MATCH($O46,$A$2:$A$428,0)-1),""))</f>
        <v/>
      </c>
      <c r="T46" s="19" t="str" cm="1">
        <f t="array" ref="T46">IF(OR($O46&lt;T$387,$O46&gt;T$388),"",IFERROR(IF($O46=T$387,100,T45)*INDEX($B$2:$B$428,MATCH($O46,$A$2:$A$428,0))/INDEX($B$2:$B$428,MATCH($O46,$A$2:$A$428,0)-1),""))</f>
        <v/>
      </c>
      <c r="U46" s="19" t="str" cm="1">
        <f t="array" ref="U46">IF(OR($O46&lt;U$387,$O46&gt;U$388),"",IFERROR(IF($O46=U$387,100,U45)*INDEX($B$2:$B$428,MATCH($O46,$A$2:$A$428,0))/INDEX($B$2:$B$428,MATCH($O46,$A$2:$A$428,0)-1),""))</f>
        <v/>
      </c>
      <c r="V46" s="19" t="str" cm="1">
        <f t="array" ref="V46">IF(OR($O46&lt;V$387,$O46&gt;V$388),"",IFERROR(IF($O46=V$387,100,V45)*INDEX($B$2:$B$428,MATCH($O46,$A$2:$A$428,0))/INDEX($B$2:$B$428,MATCH($O46,$A$2:$A$428,0)-1),""))</f>
        <v/>
      </c>
      <c r="W46" s="19" t="str" cm="1">
        <f t="array" ref="W46">IF(OR($O46&lt;W$387,$O46&gt;W$388),"",IFERROR(IF($O46=W$387,100,W45)*INDEX($B$2:$B$428,MATCH($O46,$A$2:$A$428,0))/INDEX($B$2:$B$428,MATCH($O46,$A$2:$A$428,0)-1),""))</f>
        <v/>
      </c>
      <c r="X46" s="19" t="str" cm="1">
        <f t="array" ref="X46">IF(OR($O46&lt;X$387,$O46&gt;X$388),"",IFERROR(IF($O46=X$387,100,X45)*INDEX($B$2:$B$428,MATCH($O46,$A$2:$A$428,0))/INDEX($B$2:$B$428,MATCH($O46,$A$2:$A$428,0)-1),""))</f>
        <v/>
      </c>
      <c r="AA46" s="19" cm="1">
        <f t="array" ref="AA46">IF(EDATE(AA$387,ROW()-2)&gt;AA$388,"",IFERROR(IF(ROW()=2,100,AA45)*INDEX($D$2:$D$428,MATCH(EDATE(AA$387,ROW()-2),$A$2:$A$428,0))/INDEX($D$2:$D$428,MATCH(EDATE(AA$387,ROW()-2),$A$2:$A$428,0)-1),""))</f>
        <v>229.53875607341035</v>
      </c>
      <c r="AB46" s="19" cm="1">
        <f t="array" ref="AB46">IF(EDATE(AB$387,ROW()-2)&gt;AB$388,"",IFERROR(IF(ROW()=2,100,AB45)*INDEX($D$2:$D$428,MATCH(EDATE(AB$387,ROW()-2),$A$2:$A$428,0))/INDEX($D$2:$D$428,MATCH(EDATE(AB$387,ROW()-2),$A$2:$A$428,0)-1),""))</f>
        <v>133.39079884293506</v>
      </c>
      <c r="AC46" s="19" cm="1">
        <f t="array" ref="AC46">IF(EDATE(AC$387,ROW()-2)&gt;AC$388,"",IFERROR(IF(ROW()=2,100,AC45)*INDEX($D$2:$D$428,MATCH(EDATE(AC$387,ROW()-2),$A$2:$A$428,0))/INDEX($D$2:$D$428,MATCH(EDATE(AC$387,ROW()-2),$A$2:$A$428,0)-1),""))</f>
        <v>150.10919665424254</v>
      </c>
      <c r="AD46" s="19" cm="1">
        <f t="array" ref="AD46">IF(EDATE(AD$387,ROW()-2)&gt;AD$388,"",IFERROR(IF(ROW()=2,100,AD45)*INDEX($D$2:$D$428,MATCH(EDATE(AD$387,ROW()-2),$A$2:$A$428,0))/INDEX($D$2:$D$428,MATCH(EDATE(AD$387,ROW()-2),$A$2:$A$428,0)-1),""))</f>
        <v>136.02024303863712</v>
      </c>
      <c r="AE46" s="19"/>
      <c r="AF46" s="19"/>
      <c r="AG46" s="19" cm="1">
        <f t="array" ref="AG46">IF(EDATE(AG$387,ROW()-2)&gt;AG$388,"",IFERROR(IF(ROW()=2,100,AG45)*INDEX($D$2:$D$428,MATCH(EDATE(AG$387,ROW()-2),$A$2:$A$428,0))/INDEX($D$2:$D$428,MATCH(EDATE(AG$387,ROW()-2),$A$2:$A$428,0)-1),""))</f>
        <v>137.19307245363919</v>
      </c>
      <c r="AH46" s="19"/>
      <c r="AJ46" s="11">
        <v>34213</v>
      </c>
      <c r="AK46">
        <v>6025.3</v>
      </c>
      <c r="AL46" s="26" t="e">
        <f t="shared" si="7"/>
        <v>#VALUE!</v>
      </c>
      <c r="AN46" s="27">
        <f t="shared" si="9"/>
        <v>30.436827652575193</v>
      </c>
      <c r="AO46" s="27">
        <f t="shared" si="9"/>
        <v>-11.419618817508336</v>
      </c>
      <c r="AP46" s="27">
        <f t="shared" si="9"/>
        <v>-2.277309481711931</v>
      </c>
      <c r="AQ46" s="27">
        <f t="shared" si="9"/>
        <v>-4.3738468178220247</v>
      </c>
      <c r="AR46" s="27"/>
      <c r="AS46" s="27"/>
      <c r="AT46" s="27">
        <f t="shared" si="9"/>
        <v>-1.6011391073980197</v>
      </c>
      <c r="AU46" s="27"/>
    </row>
    <row r="47" spans="1:47" x14ac:dyDescent="0.3">
      <c r="A47" s="11">
        <v>34608</v>
      </c>
      <c r="B47" s="18">
        <v>64942.25</v>
      </c>
      <c r="C47" t="s">
        <v>20</v>
      </c>
      <c r="D47" t="s">
        <v>20</v>
      </c>
      <c r="E47" s="11">
        <f t="shared" si="0"/>
        <v>34608</v>
      </c>
      <c r="F47" s="9">
        <f t="shared" si="4"/>
        <v>22.334920321230303</v>
      </c>
      <c r="G47" s="9" t="e">
        <f t="shared" si="5"/>
        <v>#VALUE!</v>
      </c>
      <c r="H47" s="9" t="e">
        <f t="shared" si="6"/>
        <v>#VALUE!</v>
      </c>
      <c r="I47" s="11">
        <f t="shared" si="1"/>
        <v>34608</v>
      </c>
      <c r="O47" s="11">
        <v>36069</v>
      </c>
      <c r="P47" s="19" cm="1">
        <f t="array" ref="P47">IF(OR($O47&lt;P$387,$O47&gt;P$388),"",IFERROR(IF($O47=P$387,100,P46)*INDEX($B$2:$B$428,MATCH($O47,$A$2:$A$428,0))/INDEX($B$2:$B$428,MATCH($O47,$A$2:$A$428,0)-1),""))</f>
        <v>316.00227291334045</v>
      </c>
      <c r="Q47" s="19" t="str" cm="1">
        <f t="array" ref="Q47">IF(OR($O47&lt;Q$387,$O47&gt;Q$388),"",IFERROR(IF($O47=Q$387,100,Q46)*INDEX($B$2:$B$428,MATCH($O47,$A$2:$A$428,0))/INDEX($B$2:$B$428,MATCH($O47,$A$2:$A$428,0)-1),""))</f>
        <v/>
      </c>
      <c r="R47" s="19" t="str" cm="1">
        <f t="array" ref="R47">IF(OR($O47&lt;R$387,$O47&gt;R$388),"",IFERROR(IF($O47=R$387,100,R46)*INDEX($B$2:$B$428,MATCH($O47,$A$2:$A$428,0))/INDEX($B$2:$B$428,MATCH($O47,$A$2:$A$428,0)-1),""))</f>
        <v/>
      </c>
      <c r="S47" s="19" t="str" cm="1">
        <f t="array" ref="S47">IF(OR($O47&lt;S$387,$O47&gt;S$388),"",IFERROR(IF($O47=S$387,100,S46)*INDEX($B$2:$B$428,MATCH($O47,$A$2:$A$428,0))/INDEX($B$2:$B$428,MATCH($O47,$A$2:$A$428,0)-1),""))</f>
        <v/>
      </c>
      <c r="T47" s="19" t="str" cm="1">
        <f t="array" ref="T47">IF(OR($O47&lt;T$387,$O47&gt;T$388),"",IFERROR(IF($O47=T$387,100,T46)*INDEX($B$2:$B$428,MATCH($O47,$A$2:$A$428,0))/INDEX($B$2:$B$428,MATCH($O47,$A$2:$A$428,0)-1),""))</f>
        <v/>
      </c>
      <c r="U47" s="19" t="str" cm="1">
        <f t="array" ref="U47">IF(OR($O47&lt;U$387,$O47&gt;U$388),"",IFERROR(IF($O47=U$387,100,U46)*INDEX($B$2:$B$428,MATCH($O47,$A$2:$A$428,0))/INDEX($B$2:$B$428,MATCH($O47,$A$2:$A$428,0)-1),""))</f>
        <v/>
      </c>
      <c r="V47" s="19" t="str" cm="1">
        <f t="array" ref="V47">IF(OR($O47&lt;V$387,$O47&gt;V$388),"",IFERROR(IF($O47=V$387,100,V46)*INDEX($B$2:$B$428,MATCH($O47,$A$2:$A$428,0))/INDEX($B$2:$B$428,MATCH($O47,$A$2:$A$428,0)-1),""))</f>
        <v/>
      </c>
      <c r="W47" s="19" t="str" cm="1">
        <f t="array" ref="W47">IF(OR($O47&lt;W$387,$O47&gt;W$388),"",IFERROR(IF($O47=W$387,100,W46)*INDEX($B$2:$B$428,MATCH($O47,$A$2:$A$428,0))/INDEX($B$2:$B$428,MATCH($O47,$A$2:$A$428,0)-1),""))</f>
        <v/>
      </c>
      <c r="X47" s="19" t="str" cm="1">
        <f t="array" ref="X47">IF(OR($O47&lt;X$387,$O47&gt;X$388),"",IFERROR(IF($O47=X$387,100,X46)*INDEX($B$2:$B$428,MATCH($O47,$A$2:$A$428,0))/INDEX($B$2:$B$428,MATCH($O47,$A$2:$A$428,0)-1),""))</f>
        <v/>
      </c>
      <c r="AA47" s="19" cm="1">
        <f t="array" ref="AA47">IF(EDATE(AA$387,ROW()-2)&gt;AA$388,"",IFERROR(IF(ROW()=2,100,AA46)*INDEX($D$2:$D$428,MATCH(EDATE(AA$387,ROW()-2),$A$2:$A$428,0))/INDEX($D$2:$D$428,MATCH(EDATE(AA$387,ROW()-2),$A$2:$A$428,0)-1),""))</f>
        <v>221.98392932535046</v>
      </c>
      <c r="AB47" s="19" cm="1">
        <f t="array" ref="AB47">IF(EDATE(AB$387,ROW()-2)&gt;AB$388,"",IFERROR(IF(ROW()=2,100,AB46)*INDEX($D$2:$D$428,MATCH(EDATE(AB$387,ROW()-2),$A$2:$A$428,0))/INDEX($D$2:$D$428,MATCH(EDATE(AB$387,ROW()-2),$A$2:$A$428,0)-1),""))</f>
        <v>133.66022298078295</v>
      </c>
      <c r="AC47" s="19" cm="1">
        <f t="array" ref="AC47">IF(EDATE(AC$387,ROW()-2)&gt;AC$388,"",IFERROR(IF(ROW()=2,100,AC46)*INDEX($D$2:$D$428,MATCH(EDATE(AC$387,ROW()-2),$A$2:$A$428,0))/INDEX($D$2:$D$428,MATCH(EDATE(AC$387,ROW()-2),$A$2:$A$428,0)-1),""))</f>
        <v>151.69903779965134</v>
      </c>
      <c r="AD47" s="19" cm="1">
        <f t="array" ref="AD47">IF(EDATE(AD$387,ROW()-2)&gt;AD$388,"",IFERROR(IF(ROW()=2,100,AD46)*INDEX($D$2:$D$428,MATCH(EDATE(AD$387,ROW()-2),$A$2:$A$428,0))/INDEX($D$2:$D$428,MATCH(EDATE(AD$387,ROW()-2),$A$2:$A$428,0)-1),""))</f>
        <v>135.32798402610788</v>
      </c>
      <c r="AE47" s="19"/>
      <c r="AF47" s="19"/>
      <c r="AG47" s="19" cm="1">
        <f t="array" ref="AG47">IF(EDATE(AG$387,ROW()-2)&gt;AG$388,"",IFERROR(IF(ROW()=2,100,AG46)*INDEX($D$2:$D$428,MATCH(EDATE(AG$387,ROW()-2),$A$2:$A$428,0))/INDEX($D$2:$D$428,MATCH(EDATE(AG$387,ROW()-2),$A$2:$A$428,0)-1),""))</f>
        <v>138.07751756410244</v>
      </c>
      <c r="AH47" s="19"/>
      <c r="AJ47" s="11">
        <v>34243</v>
      </c>
      <c r="AK47">
        <v>8007.5</v>
      </c>
      <c r="AL47" s="26" t="e">
        <f t="shared" si="7"/>
        <v>#VALUE!</v>
      </c>
      <c r="AN47" s="27">
        <f t="shared" si="9"/>
        <v>26.854331334857207</v>
      </c>
      <c r="AO47" s="27">
        <f t="shared" si="9"/>
        <v>-12.004535453083953</v>
      </c>
      <c r="AP47" s="27">
        <f t="shared" si="9"/>
        <v>-2.3116880133647211</v>
      </c>
      <c r="AQ47" s="27">
        <f t="shared" si="9"/>
        <v>-5.0053721638500299</v>
      </c>
      <c r="AR47" s="27"/>
      <c r="AS47" s="27"/>
      <c r="AT47" s="27">
        <f t="shared" si="9"/>
        <v>-1.9731476973912199</v>
      </c>
      <c r="AU47" s="27"/>
    </row>
    <row r="48" spans="1:47" x14ac:dyDescent="0.3">
      <c r="A48" s="11">
        <v>34639</v>
      </c>
      <c r="B48" s="18">
        <v>65486.67</v>
      </c>
      <c r="C48" t="s">
        <v>20</v>
      </c>
      <c r="D48" t="s">
        <v>20</v>
      </c>
      <c r="E48" s="11">
        <f t="shared" si="0"/>
        <v>34639</v>
      </c>
      <c r="F48" s="9">
        <f t="shared" si="4"/>
        <v>16.743122124622712</v>
      </c>
      <c r="G48" s="9" t="e">
        <f t="shared" si="5"/>
        <v>#VALUE!</v>
      </c>
      <c r="H48" s="9" t="e">
        <f t="shared" si="6"/>
        <v>#VALUE!</v>
      </c>
      <c r="I48" s="11">
        <f t="shared" si="1"/>
        <v>34639</v>
      </c>
      <c r="O48" s="11">
        <v>36100</v>
      </c>
      <c r="P48" s="19" cm="1">
        <f t="array" ref="P48">IF(OR($O48&lt;P$387,$O48&gt;P$388),"",IFERROR(IF($O48=P$387,100,P47)*INDEX($B$2:$B$428,MATCH($O48,$A$2:$A$428,0))/INDEX($B$2:$B$428,MATCH($O48,$A$2:$A$428,0)-1),""))</f>
        <v>343.00470819933275</v>
      </c>
      <c r="Q48" s="19" t="str" cm="1">
        <f t="array" ref="Q48">IF(OR($O48&lt;Q$387,$O48&gt;Q$388),"",IFERROR(IF($O48=Q$387,100,Q47)*INDEX($B$2:$B$428,MATCH($O48,$A$2:$A$428,0))/INDEX($B$2:$B$428,MATCH($O48,$A$2:$A$428,0)-1),""))</f>
        <v/>
      </c>
      <c r="R48" s="19" t="str" cm="1">
        <f t="array" ref="R48">IF(OR($O48&lt;R$387,$O48&gt;R$388),"",IFERROR(IF($O48=R$387,100,R47)*INDEX($B$2:$B$428,MATCH($O48,$A$2:$A$428,0))/INDEX($B$2:$B$428,MATCH($O48,$A$2:$A$428,0)-1),""))</f>
        <v/>
      </c>
      <c r="S48" s="19" t="str" cm="1">
        <f t="array" ref="S48">IF(OR($O48&lt;S$387,$O48&gt;S$388),"",IFERROR(IF($O48=S$387,100,S47)*INDEX($B$2:$B$428,MATCH($O48,$A$2:$A$428,0))/INDEX($B$2:$B$428,MATCH($O48,$A$2:$A$428,0)-1),""))</f>
        <v/>
      </c>
      <c r="T48" s="19" t="str" cm="1">
        <f t="array" ref="T48">IF(OR($O48&lt;T$387,$O48&gt;T$388),"",IFERROR(IF($O48=T$387,100,T47)*INDEX($B$2:$B$428,MATCH($O48,$A$2:$A$428,0))/INDEX($B$2:$B$428,MATCH($O48,$A$2:$A$428,0)-1),""))</f>
        <v/>
      </c>
      <c r="U48" s="19" t="str" cm="1">
        <f t="array" ref="U48">IF(OR($O48&lt;U$387,$O48&gt;U$388),"",IFERROR(IF($O48=U$387,100,U47)*INDEX($B$2:$B$428,MATCH($O48,$A$2:$A$428,0))/INDEX($B$2:$B$428,MATCH($O48,$A$2:$A$428,0)-1),""))</f>
        <v/>
      </c>
      <c r="V48" s="19" t="str" cm="1">
        <f t="array" ref="V48">IF(OR($O48&lt;V$387,$O48&gt;V$388),"",IFERROR(IF($O48=V$387,100,V47)*INDEX($B$2:$B$428,MATCH($O48,$A$2:$A$428,0))/INDEX($B$2:$B$428,MATCH($O48,$A$2:$A$428,0)-1),""))</f>
        <v/>
      </c>
      <c r="W48" s="19" t="str" cm="1">
        <f t="array" ref="W48">IF(OR($O48&lt;W$387,$O48&gt;W$388),"",IFERROR(IF($O48=W$387,100,W47)*INDEX($B$2:$B$428,MATCH($O48,$A$2:$A$428,0))/INDEX($B$2:$B$428,MATCH($O48,$A$2:$A$428,0)-1),""))</f>
        <v/>
      </c>
      <c r="X48" s="19" t="str" cm="1">
        <f t="array" ref="X48">IF(OR($O48&lt;X$387,$O48&gt;X$388),"",IFERROR(IF($O48=X$387,100,X47)*INDEX($B$2:$B$428,MATCH($O48,$A$2:$A$428,0))/INDEX($B$2:$B$428,MATCH($O48,$A$2:$A$428,0)-1),""))</f>
        <v/>
      </c>
      <c r="AA48" s="19" cm="1">
        <f t="array" ref="AA48">IF(EDATE(AA$387,ROW()-2)&gt;AA$388,"",IFERROR(IF(ROW()=2,100,AA47)*INDEX($D$2:$D$428,MATCH(EDATE(AA$387,ROW()-2),$A$2:$A$428,0))/INDEX($D$2:$D$428,MATCH(EDATE(AA$387,ROW()-2),$A$2:$A$428,0)-1),""))</f>
        <v>224.46174114318634</v>
      </c>
      <c r="AB48" s="19" cm="1">
        <f t="array" ref="AB48">IF(EDATE(AB$387,ROW()-2)&gt;AB$388,"",IFERROR(IF(ROW()=2,100,AB47)*INDEX($D$2:$D$428,MATCH(EDATE(AB$387,ROW()-2),$A$2:$A$428,0))/INDEX($D$2:$D$428,MATCH(EDATE(AB$387,ROW()-2),$A$2:$A$428,0)-1),""))</f>
        <v>135.92441443155624</v>
      </c>
      <c r="AC48" s="19" cm="1">
        <f t="array" ref="AC48">IF(EDATE(AC$387,ROW()-2)&gt;AC$388,"",IFERROR(IF(ROW()=2,100,AC47)*INDEX($D$2:$D$428,MATCH(EDATE(AC$387,ROW()-2),$A$2:$A$428,0))/INDEX($D$2:$D$428,MATCH(EDATE(AC$387,ROW()-2),$A$2:$A$428,0)-1),""))</f>
        <v>153.45167615984067</v>
      </c>
      <c r="AD48" s="19" cm="1">
        <f t="array" ref="AD48">IF(EDATE(AD$387,ROW()-2)&gt;AD$388,"",IFERROR(IF(ROW()=2,100,AD47)*INDEX($D$2:$D$428,MATCH(EDATE(AD$387,ROW()-2),$A$2:$A$428,0))/INDEX($D$2:$D$428,MATCH(EDATE(AD$387,ROW()-2),$A$2:$A$428,0)-1),""))</f>
        <v>139.32431313389083</v>
      </c>
      <c r="AE48" s="19"/>
      <c r="AF48" s="19"/>
      <c r="AG48" s="19" cm="1">
        <f t="array" ref="AG48">IF(EDATE(AG$387,ROW()-2)&gt;AG$388,"",IFERROR(IF(ROW()=2,100,AG47)*INDEX($D$2:$D$428,MATCH(EDATE(AG$387,ROW()-2),$A$2:$A$428,0))/INDEX($D$2:$D$428,MATCH(EDATE(AG$387,ROW()-2),$A$2:$A$428,0)-1),""))</f>
        <v>140.59176003965672</v>
      </c>
      <c r="AH48" s="19"/>
      <c r="AJ48" s="11">
        <v>34274</v>
      </c>
      <c r="AK48">
        <v>10689.9</v>
      </c>
      <c r="AL48" s="26" t="e">
        <f t="shared" si="7"/>
        <v>#VALUE!</v>
      </c>
      <c r="AN48" s="27">
        <f t="shared" si="9"/>
        <v>26.756405908511439</v>
      </c>
      <c r="AO48" s="27">
        <f t="shared" si="9"/>
        <v>-11.589440126792494</v>
      </c>
      <c r="AP48" s="27">
        <f t="shared" si="9"/>
        <v>-2.4202024440424297</v>
      </c>
      <c r="AQ48" s="27">
        <f t="shared" si="9"/>
        <v>-3.5996173761897565</v>
      </c>
      <c r="AR48" s="27"/>
      <c r="AS48" s="27"/>
      <c r="AT48" s="27">
        <f t="shared" si="9"/>
        <v>-1.2527726255874616</v>
      </c>
      <c r="AU48" s="27"/>
    </row>
    <row r="49" spans="1:47" x14ac:dyDescent="0.3">
      <c r="A49" s="11">
        <v>34669</v>
      </c>
      <c r="B49" s="18">
        <v>65836.210000000006</v>
      </c>
      <c r="C49" t="s">
        <v>20</v>
      </c>
      <c r="D49" t="s">
        <v>20</v>
      </c>
      <c r="E49" s="11">
        <f t="shared" si="0"/>
        <v>34669</v>
      </c>
      <c r="F49" s="9">
        <f t="shared" si="4"/>
        <v>11.674873850407089</v>
      </c>
      <c r="G49" s="9" t="e">
        <f t="shared" si="5"/>
        <v>#VALUE!</v>
      </c>
      <c r="H49" s="9" t="e">
        <f t="shared" si="6"/>
        <v>#VALUE!</v>
      </c>
      <c r="I49" s="11">
        <f t="shared" si="1"/>
        <v>34669</v>
      </c>
      <c r="J49">
        <v>100</v>
      </c>
      <c r="O49" s="11">
        <v>36130</v>
      </c>
      <c r="P49" s="19" cm="1">
        <f t="array" ref="P49">IF(OR($O49&lt;P$387,$O49&gt;P$388),"",IFERROR(IF($O49=P$387,100,P48)*INDEX($B$2:$B$428,MATCH($O49,$A$2:$A$428,0))/INDEX($B$2:$B$428,MATCH($O49,$A$2:$A$428,0)-1),""))</f>
        <v>351.27742013095821</v>
      </c>
      <c r="Q49" s="19" t="str" cm="1">
        <f t="array" ref="Q49">IF(OR($O49&lt;Q$387,$O49&gt;Q$388),"",IFERROR(IF($O49=Q$387,100,Q48)*INDEX($B$2:$B$428,MATCH($O49,$A$2:$A$428,0))/INDEX($B$2:$B$428,MATCH($O49,$A$2:$A$428,0)-1),""))</f>
        <v/>
      </c>
      <c r="R49" s="19" t="str" cm="1">
        <f t="array" ref="R49">IF(OR($O49&lt;R$387,$O49&gt;R$388),"",IFERROR(IF($O49=R$387,100,R48)*INDEX($B$2:$B$428,MATCH($O49,$A$2:$A$428,0))/INDEX($B$2:$B$428,MATCH($O49,$A$2:$A$428,0)-1),""))</f>
        <v/>
      </c>
      <c r="S49" s="19" t="str" cm="1">
        <f t="array" ref="S49">IF(OR($O49&lt;S$387,$O49&gt;S$388),"",IFERROR(IF($O49=S$387,100,S48)*INDEX($B$2:$B$428,MATCH($O49,$A$2:$A$428,0))/INDEX($B$2:$B$428,MATCH($O49,$A$2:$A$428,0)-1),""))</f>
        <v/>
      </c>
      <c r="T49" s="19" t="str" cm="1">
        <f t="array" ref="T49">IF(OR($O49&lt;T$387,$O49&gt;T$388),"",IFERROR(IF($O49=T$387,100,T48)*INDEX($B$2:$B$428,MATCH($O49,$A$2:$A$428,0))/INDEX($B$2:$B$428,MATCH($O49,$A$2:$A$428,0)-1),""))</f>
        <v/>
      </c>
      <c r="U49" s="19" t="str" cm="1">
        <f t="array" ref="U49">IF(OR($O49&lt;U$387,$O49&gt;U$388),"",IFERROR(IF($O49=U$387,100,U48)*INDEX($B$2:$B$428,MATCH($O49,$A$2:$A$428,0))/INDEX($B$2:$B$428,MATCH($O49,$A$2:$A$428,0)-1),""))</f>
        <v/>
      </c>
      <c r="V49" s="19" t="str" cm="1">
        <f t="array" ref="V49">IF(OR($O49&lt;V$387,$O49&gt;V$388),"",IFERROR(IF($O49=V$387,100,V48)*INDEX($B$2:$B$428,MATCH($O49,$A$2:$A$428,0))/INDEX($B$2:$B$428,MATCH($O49,$A$2:$A$428,0)-1),""))</f>
        <v/>
      </c>
      <c r="W49" s="19" t="str" cm="1">
        <f t="array" ref="W49">IF(OR($O49&lt;W$387,$O49&gt;W$388),"",IFERROR(IF($O49=W$387,100,W48)*INDEX($B$2:$B$428,MATCH($O49,$A$2:$A$428,0))/INDEX($B$2:$B$428,MATCH($O49,$A$2:$A$428,0)-1),""))</f>
        <v/>
      </c>
      <c r="X49" s="19" t="str" cm="1">
        <f t="array" ref="X49">IF(OR($O49&lt;X$387,$O49&gt;X$388),"",IFERROR(IF($O49=X$387,100,X48)*INDEX($B$2:$B$428,MATCH($O49,$A$2:$A$428,0))/INDEX($B$2:$B$428,MATCH($O49,$A$2:$A$428,0)-1),""))</f>
        <v/>
      </c>
      <c r="AA49" s="19" cm="1">
        <f t="array" ref="AA49">IF(EDATE(AA$387,ROW()-2)&gt;AA$388,"",IFERROR(IF(ROW()=2,100,AA48)*INDEX($D$2:$D$428,MATCH(EDATE(AA$387,ROW()-2),$A$2:$A$428,0))/INDEX($D$2:$D$428,MATCH(EDATE(AA$387,ROW()-2),$A$2:$A$428,0)-1),""))</f>
        <v>223.42286177141946</v>
      </c>
      <c r="AB49" s="19" cm="1">
        <f t="array" ref="AB49">IF(EDATE(AB$387,ROW()-2)&gt;AB$388,"",IFERROR(IF(ROW()=2,100,AB48)*INDEX($D$2:$D$428,MATCH(EDATE(AB$387,ROW()-2),$A$2:$A$428,0))/INDEX($D$2:$D$428,MATCH(EDATE(AB$387,ROW()-2),$A$2:$A$428,0)-1),""))</f>
        <v>137.38939433382492</v>
      </c>
      <c r="AC49" s="19" cm="1">
        <f t="array" ref="AC49">IF(EDATE(AC$387,ROW()-2)&gt;AC$388,"",IFERROR(IF(ROW()=2,100,AC48)*INDEX($D$2:$D$428,MATCH(EDATE(AC$387,ROW()-2),$A$2:$A$428,0))/INDEX($D$2:$D$428,MATCH(EDATE(AC$387,ROW()-2),$A$2:$A$428,0)-1),""))</f>
        <v>155.86866066302866</v>
      </c>
      <c r="AD49" s="19" cm="1">
        <f t="array" ref="AD49">IF(EDATE(AD$387,ROW()-2)&gt;AD$388,"",IFERROR(IF(ROW()=2,100,AD48)*INDEX($D$2:$D$428,MATCH(EDATE(AD$387,ROW()-2),$A$2:$A$428,0))/INDEX($D$2:$D$428,MATCH(EDATE(AD$387,ROW()-2),$A$2:$A$428,0)-1),""))</f>
        <v>146.77411103037204</v>
      </c>
      <c r="AE49" s="19"/>
      <c r="AF49" s="19"/>
      <c r="AG49" s="19" cm="1">
        <f t="array" ref="AG49">IF(EDATE(AG$387,ROW()-2)&gt;AG$388,"",IFERROR(IF(ROW()=2,100,AG48)*INDEX($D$2:$D$428,MATCH(EDATE(AG$387,ROW()-2),$A$2:$A$428,0))/INDEX($D$2:$D$428,MATCH(EDATE(AG$387,ROW()-2),$A$2:$A$428,0)-1),""))</f>
        <v>142.48736383204013</v>
      </c>
      <c r="AH49" s="19"/>
      <c r="AJ49" s="11">
        <v>34304</v>
      </c>
      <c r="AK49">
        <v>14097.1</v>
      </c>
      <c r="AL49" s="26" t="e">
        <f t="shared" si="7"/>
        <v>#VALUE!</v>
      </c>
      <c r="AN49" s="27">
        <f t="shared" si="9"/>
        <v>25.507749118251599</v>
      </c>
      <c r="AO49" s="27">
        <f t="shared" si="9"/>
        <v>-11.496267950483908</v>
      </c>
      <c r="AP49" s="27">
        <f t="shared" si="9"/>
        <v>-2.1656205068046885</v>
      </c>
      <c r="AQ49" s="27">
        <f t="shared" si="9"/>
        <v>-0.81605266009913136</v>
      </c>
      <c r="AR49" s="27"/>
      <c r="AS49" s="27"/>
      <c r="AT49" s="27">
        <f t="shared" si="9"/>
        <v>-0.83821644261832251</v>
      </c>
      <c r="AU49" s="27"/>
    </row>
    <row r="50" spans="1:47" x14ac:dyDescent="0.3">
      <c r="A50" s="11">
        <v>34700</v>
      </c>
      <c r="B50" s="18">
        <v>65274.64</v>
      </c>
      <c r="C50" t="s">
        <v>20</v>
      </c>
      <c r="D50" t="s">
        <v>20</v>
      </c>
      <c r="E50" s="11">
        <f t="shared" si="0"/>
        <v>34700</v>
      </c>
      <c r="F50" s="9">
        <f t="shared" si="4"/>
        <v>8.0701171514047463</v>
      </c>
      <c r="G50" s="9" t="e">
        <f t="shared" si="5"/>
        <v>#VALUE!</v>
      </c>
      <c r="H50" s="9" t="e">
        <f t="shared" si="6"/>
        <v>#VALUE!</v>
      </c>
      <c r="I50" s="11">
        <f t="shared" si="1"/>
        <v>34700</v>
      </c>
      <c r="J50">
        <f t="shared" ref="J50:J81" si="10">J49*(1+(B50/B49-1))</f>
        <v>99.147019550487485</v>
      </c>
      <c r="O50" s="11">
        <v>36161</v>
      </c>
      <c r="P50" s="19" t="str" cm="1">
        <f t="array" ref="P50">IF(OR($O50&lt;P$387,$O50&gt;P$388),"",IFERROR(IF($O50=P$387,100,P49)*INDEX($B$2:$B$428,MATCH($O50,$A$2:$A$428,0))/INDEX($B$2:$B$428,MATCH($O50,$A$2:$A$428,0)-1),""))</f>
        <v/>
      </c>
      <c r="Q50" s="19" cm="1">
        <f t="array" ref="Q50">IF(OR($O50&lt;Q$387,$O50&gt;Q$388),"",IFERROR(IF($O50=Q$387,100,Q49)*INDEX($B$2:$B$428,MATCH($O50,$A$2:$A$428,0))/INDEX($B$2:$B$428,MATCH($O50,$A$2:$A$428,0)-1),""))</f>
        <v>132.10536843573598</v>
      </c>
      <c r="R50" s="19" t="str" cm="1">
        <f t="array" ref="R50">IF(OR($O50&lt;R$387,$O50&gt;R$388),"",IFERROR(IF($O50=R$387,100,R49)*INDEX($B$2:$B$428,MATCH($O50,$A$2:$A$428,0))/INDEX($B$2:$B$428,MATCH($O50,$A$2:$A$428,0)-1),""))</f>
        <v/>
      </c>
      <c r="S50" s="19" t="str" cm="1">
        <f t="array" ref="S50">IF(OR($O50&lt;S$387,$O50&gt;S$388),"",IFERROR(IF($O50=S$387,100,S49)*INDEX($B$2:$B$428,MATCH($O50,$A$2:$A$428,0))/INDEX($B$2:$B$428,MATCH($O50,$A$2:$A$428,0)-1),""))</f>
        <v/>
      </c>
      <c r="T50" s="19" t="str" cm="1">
        <f t="array" ref="T50">IF(OR($O50&lt;T$387,$O50&gt;T$388),"",IFERROR(IF($O50=T$387,100,T49)*INDEX($B$2:$B$428,MATCH($O50,$A$2:$A$428,0))/INDEX($B$2:$B$428,MATCH($O50,$A$2:$A$428,0)-1),""))</f>
        <v/>
      </c>
      <c r="U50" s="19" t="str" cm="1">
        <f t="array" ref="U50">IF(OR($O50&lt;U$387,$O50&gt;U$388),"",IFERROR(IF($O50=U$387,100,U49)*INDEX($B$2:$B$428,MATCH($O50,$A$2:$A$428,0))/INDEX($B$2:$B$428,MATCH($O50,$A$2:$A$428,0)-1),""))</f>
        <v/>
      </c>
      <c r="V50" s="19" t="str" cm="1">
        <f t="array" ref="V50">IF(OR($O50&lt;V$387,$O50&gt;V$388),"",IFERROR(IF($O50=V$387,100,V49)*INDEX($B$2:$B$428,MATCH($O50,$A$2:$A$428,0))/INDEX($B$2:$B$428,MATCH($O50,$A$2:$A$428,0)-1),""))</f>
        <v/>
      </c>
      <c r="W50" s="19" t="str" cm="1">
        <f t="array" ref="W50">IF(OR($O50&lt;W$387,$O50&gt;W$388),"",IFERROR(IF($O50=W$387,100,W49)*INDEX($B$2:$B$428,MATCH($O50,$A$2:$A$428,0))/INDEX($B$2:$B$428,MATCH($O50,$A$2:$A$428,0)-1),""))</f>
        <v/>
      </c>
      <c r="X50" s="19" t="str" cm="1">
        <f t="array" ref="X50">IF(OR($O50&lt;X$387,$O50&gt;X$388),"",IFERROR(IF($O50=X$387,100,X49)*INDEX($B$2:$B$428,MATCH($O50,$A$2:$A$428,0))/INDEX($B$2:$B$428,MATCH($O50,$A$2:$A$428,0)-1),""))</f>
        <v/>
      </c>
      <c r="AA50" s="19"/>
      <c r="AB50" s="19"/>
      <c r="AC50" s="19"/>
      <c r="AD50" s="19"/>
      <c r="AE50" s="19"/>
      <c r="AF50" s="19"/>
      <c r="AG50" s="19"/>
      <c r="AH50" s="19"/>
      <c r="AJ50" s="11">
        <v>34335</v>
      </c>
      <c r="AK50">
        <v>18495.900000000001</v>
      </c>
      <c r="AL50" s="26" t="e">
        <f t="shared" si="7"/>
        <v>#VALUE!</v>
      </c>
    </row>
    <row r="51" spans="1:47" x14ac:dyDescent="0.3">
      <c r="A51" s="11">
        <v>34731</v>
      </c>
      <c r="B51" s="18">
        <v>68307.67</v>
      </c>
      <c r="C51" t="s">
        <v>20</v>
      </c>
      <c r="D51" t="s">
        <v>20</v>
      </c>
      <c r="E51" s="11">
        <f t="shared" si="0"/>
        <v>34731</v>
      </c>
      <c r="F51" s="9">
        <f t="shared" si="4"/>
        <v>5.6638898698785027</v>
      </c>
      <c r="G51" s="9" t="e">
        <f t="shared" si="5"/>
        <v>#VALUE!</v>
      </c>
      <c r="H51" s="9" t="e">
        <f t="shared" si="6"/>
        <v>#VALUE!</v>
      </c>
      <c r="I51" s="11">
        <f t="shared" si="1"/>
        <v>34731</v>
      </c>
      <c r="J51">
        <f t="shared" si="10"/>
        <v>103.75395242223085</v>
      </c>
      <c r="O51" s="11">
        <v>36192</v>
      </c>
      <c r="P51" s="19" t="str" cm="1">
        <f t="array" ref="P51">IF(OR($O51&lt;P$387,$O51&gt;P$388),"",IFERROR(IF($O51=P$387,100,P50)*INDEX($B$2:$B$428,MATCH($O51,$A$2:$A$428,0))/INDEX($B$2:$B$428,MATCH($O51,$A$2:$A$428,0)-1),""))</f>
        <v/>
      </c>
      <c r="Q51" s="19" cm="1">
        <f t="array" ref="Q51">IF(OR($O51&lt;Q$387,$O51&gt;Q$388),"",IFERROR(IF($O51=Q$387,100,Q50)*INDEX($B$2:$B$428,MATCH($O51,$A$2:$A$428,0))/INDEX($B$2:$B$428,MATCH($O51,$A$2:$A$428,0)-1),""))</f>
        <v>137.42671589215166</v>
      </c>
      <c r="R51" s="19" t="str" cm="1">
        <f t="array" ref="R51">IF(OR($O51&lt;R$387,$O51&gt;R$388),"",IFERROR(IF($O51=R$387,100,R50)*INDEX($B$2:$B$428,MATCH($O51,$A$2:$A$428,0))/INDEX($B$2:$B$428,MATCH($O51,$A$2:$A$428,0)-1),""))</f>
        <v/>
      </c>
      <c r="S51" s="19" t="str" cm="1">
        <f t="array" ref="S51">IF(OR($O51&lt;S$387,$O51&gt;S$388),"",IFERROR(IF($O51=S$387,100,S50)*INDEX($B$2:$B$428,MATCH($O51,$A$2:$A$428,0))/INDEX($B$2:$B$428,MATCH($O51,$A$2:$A$428,0)-1),""))</f>
        <v/>
      </c>
      <c r="T51" s="19" t="str" cm="1">
        <f t="array" ref="T51">IF(OR($O51&lt;T$387,$O51&gt;T$388),"",IFERROR(IF($O51=T$387,100,T50)*INDEX($B$2:$B$428,MATCH($O51,$A$2:$A$428,0))/INDEX($B$2:$B$428,MATCH($O51,$A$2:$A$428,0)-1),""))</f>
        <v/>
      </c>
      <c r="U51" s="19" t="str" cm="1">
        <f t="array" ref="U51">IF(OR($O51&lt;U$387,$O51&gt;U$388),"",IFERROR(IF($O51=U$387,100,U50)*INDEX($B$2:$B$428,MATCH($O51,$A$2:$A$428,0))/INDEX($B$2:$B$428,MATCH($O51,$A$2:$A$428,0)-1),""))</f>
        <v/>
      </c>
      <c r="V51" s="19" t="str" cm="1">
        <f t="array" ref="V51">IF(OR($O51&lt;V$387,$O51&gt;V$388),"",IFERROR(IF($O51=V$387,100,V50)*INDEX($B$2:$B$428,MATCH($O51,$A$2:$A$428,0))/INDEX($B$2:$B$428,MATCH($O51,$A$2:$A$428,0)-1),""))</f>
        <v/>
      </c>
      <c r="W51" s="19" t="str" cm="1">
        <f t="array" ref="W51">IF(OR($O51&lt;W$387,$O51&gt;W$388),"",IFERROR(IF($O51=W$387,100,W50)*INDEX($B$2:$B$428,MATCH($O51,$A$2:$A$428,0))/INDEX($B$2:$B$428,MATCH($O51,$A$2:$A$428,0)-1),""))</f>
        <v/>
      </c>
      <c r="X51" s="19" t="str" cm="1">
        <f t="array" ref="X51">IF(OR($O51&lt;X$387,$O51&gt;X$388),"",IFERROR(IF($O51=X$387,100,X50)*INDEX($B$2:$B$428,MATCH($O51,$A$2:$A$428,0))/INDEX($B$2:$B$428,MATCH($O51,$A$2:$A$428,0)-1),""))</f>
        <v/>
      </c>
      <c r="AA51" s="19"/>
      <c r="AB51" s="19"/>
      <c r="AC51" s="19"/>
      <c r="AD51" s="19"/>
      <c r="AE51" s="19"/>
      <c r="AF51" s="19"/>
      <c r="AG51" s="19"/>
      <c r="AH51" s="19"/>
      <c r="AJ51" s="11">
        <v>34366</v>
      </c>
      <c r="AK51">
        <v>24082</v>
      </c>
      <c r="AL51" s="26" t="e">
        <f t="shared" si="7"/>
        <v>#VALUE!</v>
      </c>
    </row>
    <row r="52" spans="1:47" x14ac:dyDescent="0.3">
      <c r="A52" s="11">
        <v>34759</v>
      </c>
      <c r="B52" s="18">
        <v>71296.62</v>
      </c>
      <c r="C52" t="s">
        <v>20</v>
      </c>
      <c r="D52" t="s">
        <v>20</v>
      </c>
      <c r="E52" s="11">
        <f t="shared" si="0"/>
        <v>34759</v>
      </c>
      <c r="F52" s="9">
        <f t="shared" si="4"/>
        <v>3.8705998568126043</v>
      </c>
      <c r="G52" s="9" t="e">
        <f t="shared" si="5"/>
        <v>#VALUE!</v>
      </c>
      <c r="H52" s="9" t="e">
        <f t="shared" si="6"/>
        <v>#VALUE!</v>
      </c>
      <c r="I52" s="11">
        <f t="shared" si="1"/>
        <v>34759</v>
      </c>
      <c r="J52">
        <f t="shared" si="10"/>
        <v>108.29393125758604</v>
      </c>
      <c r="O52" s="11">
        <v>36220</v>
      </c>
      <c r="P52" s="19" t="str" cm="1">
        <f t="array" ref="P52">IF(OR($O52&lt;P$387,$O52&gt;P$388),"",IFERROR(IF($O52=P$387,100,P51)*INDEX($B$2:$B$428,MATCH($O52,$A$2:$A$428,0))/INDEX($B$2:$B$428,MATCH($O52,$A$2:$A$428,0)-1),""))</f>
        <v/>
      </c>
      <c r="Q52" s="19" cm="1">
        <f t="array" ref="Q52">IF(OR($O52&lt;Q$387,$O52&gt;Q$388),"",IFERROR(IF($O52=Q$387,100,Q51)*INDEX($B$2:$B$428,MATCH($O52,$A$2:$A$428,0))/INDEX($B$2:$B$428,MATCH($O52,$A$2:$A$428,0)-1),""))</f>
        <v>125.46754683554224</v>
      </c>
      <c r="R52" s="19" t="str" cm="1">
        <f t="array" ref="R52">IF(OR($O52&lt;R$387,$O52&gt;R$388),"",IFERROR(IF($O52=R$387,100,R51)*INDEX($B$2:$B$428,MATCH($O52,$A$2:$A$428,0))/INDEX($B$2:$B$428,MATCH($O52,$A$2:$A$428,0)-1),""))</f>
        <v/>
      </c>
      <c r="S52" s="19" t="str" cm="1">
        <f t="array" ref="S52">IF(OR($O52&lt;S$387,$O52&gt;S$388),"",IFERROR(IF($O52=S$387,100,S51)*INDEX($B$2:$B$428,MATCH($O52,$A$2:$A$428,0))/INDEX($B$2:$B$428,MATCH($O52,$A$2:$A$428,0)-1),""))</f>
        <v/>
      </c>
      <c r="T52" s="19" t="str" cm="1">
        <f t="array" ref="T52">IF(OR($O52&lt;T$387,$O52&gt;T$388),"",IFERROR(IF($O52=T$387,100,T51)*INDEX($B$2:$B$428,MATCH($O52,$A$2:$A$428,0))/INDEX($B$2:$B$428,MATCH($O52,$A$2:$A$428,0)-1),""))</f>
        <v/>
      </c>
      <c r="U52" s="19" t="str" cm="1">
        <f t="array" ref="U52">IF(OR($O52&lt;U$387,$O52&gt;U$388),"",IFERROR(IF($O52=U$387,100,U51)*INDEX($B$2:$B$428,MATCH($O52,$A$2:$A$428,0))/INDEX($B$2:$B$428,MATCH($O52,$A$2:$A$428,0)-1),""))</f>
        <v/>
      </c>
      <c r="V52" s="19" t="str" cm="1">
        <f t="array" ref="V52">IF(OR($O52&lt;V$387,$O52&gt;V$388),"",IFERROR(IF($O52=V$387,100,V51)*INDEX($B$2:$B$428,MATCH($O52,$A$2:$A$428,0))/INDEX($B$2:$B$428,MATCH($O52,$A$2:$A$428,0)-1),""))</f>
        <v/>
      </c>
      <c r="W52" s="19" t="str" cm="1">
        <f t="array" ref="W52">IF(OR($O52&lt;W$387,$O52&gt;W$388),"",IFERROR(IF($O52=W$387,100,W51)*INDEX($B$2:$B$428,MATCH($O52,$A$2:$A$428,0))/INDEX($B$2:$B$428,MATCH($O52,$A$2:$A$428,0)-1),""))</f>
        <v/>
      </c>
      <c r="X52" s="19" t="str" cm="1">
        <f t="array" ref="X52">IF(OR($O52&lt;X$387,$O52&gt;X$388),"",IFERROR(IF($O52=X$387,100,X51)*INDEX($B$2:$B$428,MATCH($O52,$A$2:$A$428,0))/INDEX($B$2:$B$428,MATCH($O52,$A$2:$A$428,0)-1),""))</f>
        <v/>
      </c>
      <c r="AA52" s="19"/>
      <c r="AB52" s="19"/>
      <c r="AC52" s="19"/>
      <c r="AD52" s="19"/>
      <c r="AE52" s="19"/>
      <c r="AF52" s="19"/>
      <c r="AG52" s="19"/>
      <c r="AH52" s="19"/>
      <c r="AJ52" s="11">
        <v>34394</v>
      </c>
      <c r="AK52">
        <v>32307.8</v>
      </c>
      <c r="AL52" s="26" t="e">
        <f t="shared" si="7"/>
        <v>#VALUE!</v>
      </c>
    </row>
    <row r="53" spans="1:47" x14ac:dyDescent="0.3">
      <c r="A53" s="11">
        <v>34790</v>
      </c>
      <c r="B53" s="18">
        <v>71966.7</v>
      </c>
      <c r="C53" t="s">
        <v>20</v>
      </c>
      <c r="D53" t="s">
        <v>20</v>
      </c>
      <c r="E53" s="11">
        <f t="shared" si="0"/>
        <v>34790</v>
      </c>
      <c r="F53" s="9">
        <f t="shared" si="4"/>
        <v>1.6457577151251854</v>
      </c>
      <c r="G53" s="9" t="e">
        <f t="shared" si="5"/>
        <v>#VALUE!</v>
      </c>
      <c r="H53" s="9" t="e">
        <f t="shared" si="6"/>
        <v>#VALUE!</v>
      </c>
      <c r="I53" s="11">
        <f t="shared" si="1"/>
        <v>34790</v>
      </c>
      <c r="J53">
        <f t="shared" si="10"/>
        <v>109.31172982162852</v>
      </c>
      <c r="O53" s="11">
        <v>36251</v>
      </c>
      <c r="P53" s="19" t="str" cm="1">
        <f t="array" ref="P53">IF(OR($O53&lt;P$387,$O53&gt;P$388),"",IFERROR(IF($O53=P$387,100,P52)*INDEX($B$2:$B$428,MATCH($O53,$A$2:$A$428,0))/INDEX($B$2:$B$428,MATCH($O53,$A$2:$A$428,0)-1),""))</f>
        <v/>
      </c>
      <c r="Q53" s="19" cm="1">
        <f t="array" ref="Q53">IF(OR($O53&lt;Q$387,$O53&gt;Q$388),"",IFERROR(IF($O53=Q$387,100,Q52)*INDEX($B$2:$B$428,MATCH($O53,$A$2:$A$428,0))/INDEX($B$2:$B$428,MATCH($O53,$A$2:$A$428,0)-1),""))</f>
        <v>124.16636232965307</v>
      </c>
      <c r="R53" s="19" t="str" cm="1">
        <f t="array" ref="R53">IF(OR($O53&lt;R$387,$O53&gt;R$388),"",IFERROR(IF($O53=R$387,100,R52)*INDEX($B$2:$B$428,MATCH($O53,$A$2:$A$428,0))/INDEX($B$2:$B$428,MATCH($O53,$A$2:$A$428,0)-1),""))</f>
        <v/>
      </c>
      <c r="S53" s="19" t="str" cm="1">
        <f t="array" ref="S53">IF(OR($O53&lt;S$387,$O53&gt;S$388),"",IFERROR(IF($O53=S$387,100,S52)*INDEX($B$2:$B$428,MATCH($O53,$A$2:$A$428,0))/INDEX($B$2:$B$428,MATCH($O53,$A$2:$A$428,0)-1),""))</f>
        <v/>
      </c>
      <c r="T53" s="19" t="str" cm="1">
        <f t="array" ref="T53">IF(OR($O53&lt;T$387,$O53&gt;T$388),"",IFERROR(IF($O53=T$387,100,T52)*INDEX($B$2:$B$428,MATCH($O53,$A$2:$A$428,0))/INDEX($B$2:$B$428,MATCH($O53,$A$2:$A$428,0)-1),""))</f>
        <v/>
      </c>
      <c r="U53" s="19" t="str" cm="1">
        <f t="array" ref="U53">IF(OR($O53&lt;U$387,$O53&gt;U$388),"",IFERROR(IF($O53=U$387,100,U52)*INDEX($B$2:$B$428,MATCH($O53,$A$2:$A$428,0))/INDEX($B$2:$B$428,MATCH($O53,$A$2:$A$428,0)-1),""))</f>
        <v/>
      </c>
      <c r="V53" s="19" t="str" cm="1">
        <f t="array" ref="V53">IF(OR($O53&lt;V$387,$O53&gt;V$388),"",IFERROR(IF($O53=V$387,100,V52)*INDEX($B$2:$B$428,MATCH($O53,$A$2:$A$428,0))/INDEX($B$2:$B$428,MATCH($O53,$A$2:$A$428,0)-1),""))</f>
        <v/>
      </c>
      <c r="W53" s="19" t="str" cm="1">
        <f t="array" ref="W53">IF(OR($O53&lt;W$387,$O53&gt;W$388),"",IFERROR(IF($O53=W$387,100,W52)*INDEX($B$2:$B$428,MATCH($O53,$A$2:$A$428,0))/INDEX($B$2:$B$428,MATCH($O53,$A$2:$A$428,0)-1),""))</f>
        <v/>
      </c>
      <c r="X53" s="19" t="str" cm="1">
        <f t="array" ref="X53">IF(OR($O53&lt;X$387,$O53&gt;X$388),"",IFERROR(IF($O53=X$387,100,X52)*INDEX($B$2:$B$428,MATCH($O53,$A$2:$A$428,0))/INDEX($B$2:$B$428,MATCH($O53,$A$2:$A$428,0)-1),""))</f>
        <v/>
      </c>
      <c r="AA53" s="19"/>
      <c r="AB53" s="19"/>
      <c r="AC53" s="19"/>
      <c r="AD53" s="19"/>
      <c r="AE53" s="19"/>
      <c r="AF53" s="19"/>
      <c r="AG53" s="19"/>
      <c r="AH53" s="19"/>
      <c r="AJ53" s="11">
        <v>34425</v>
      </c>
      <c r="AK53">
        <v>44768.5</v>
      </c>
      <c r="AL53" s="26" t="e">
        <f t="shared" si="7"/>
        <v>#VALUE!</v>
      </c>
    </row>
    <row r="54" spans="1:47" x14ac:dyDescent="0.3">
      <c r="A54" s="11">
        <v>34820</v>
      </c>
      <c r="B54" s="18">
        <v>70682.789999999994</v>
      </c>
      <c r="C54" t="s">
        <v>20</v>
      </c>
      <c r="D54" t="s">
        <v>20</v>
      </c>
      <c r="E54" s="11">
        <f t="shared" si="0"/>
        <v>34820</v>
      </c>
      <c r="F54" s="9">
        <f t="shared" si="4"/>
        <v>0.82493808029152405</v>
      </c>
      <c r="G54" s="9" t="e">
        <f t="shared" si="5"/>
        <v>#VALUE!</v>
      </c>
      <c r="H54" s="9" t="e">
        <f t="shared" si="6"/>
        <v>#VALUE!</v>
      </c>
      <c r="I54" s="11">
        <f t="shared" si="1"/>
        <v>34820</v>
      </c>
      <c r="J54">
        <f t="shared" si="10"/>
        <v>107.36157199814505</v>
      </c>
      <c r="O54" s="11">
        <v>36281</v>
      </c>
      <c r="P54" s="19" t="str" cm="1">
        <f t="array" ref="P54">IF(OR($O54&lt;P$387,$O54&gt;P$388),"",IFERROR(IF($O54=P$387,100,P53)*INDEX($B$2:$B$428,MATCH($O54,$A$2:$A$428,0))/INDEX($B$2:$B$428,MATCH($O54,$A$2:$A$428,0)-1),""))</f>
        <v/>
      </c>
      <c r="Q54" s="19" cm="1">
        <f t="array" ref="Q54">IF(OR($O54&lt;Q$387,$O54&gt;Q$388),"",IFERROR(IF($O54=Q$387,100,Q53)*INDEX($B$2:$B$428,MATCH($O54,$A$2:$A$428,0))/INDEX($B$2:$B$428,MATCH($O54,$A$2:$A$428,0)-1),""))</f>
        <v>128.89498985029218</v>
      </c>
      <c r="R54" s="19" t="str" cm="1">
        <f t="array" ref="R54">IF(OR($O54&lt;R$387,$O54&gt;R$388),"",IFERROR(IF($O54=R$387,100,R53)*INDEX($B$2:$B$428,MATCH($O54,$A$2:$A$428,0))/INDEX($B$2:$B$428,MATCH($O54,$A$2:$A$428,0)-1),""))</f>
        <v/>
      </c>
      <c r="S54" s="19" t="str" cm="1">
        <f t="array" ref="S54">IF(OR($O54&lt;S$387,$O54&gt;S$388),"",IFERROR(IF($O54=S$387,100,S53)*INDEX($B$2:$B$428,MATCH($O54,$A$2:$A$428,0))/INDEX($B$2:$B$428,MATCH($O54,$A$2:$A$428,0)-1),""))</f>
        <v/>
      </c>
      <c r="T54" s="19" t="str" cm="1">
        <f t="array" ref="T54">IF(OR($O54&lt;T$387,$O54&gt;T$388),"",IFERROR(IF($O54=T$387,100,T53)*INDEX($B$2:$B$428,MATCH($O54,$A$2:$A$428,0))/INDEX($B$2:$B$428,MATCH($O54,$A$2:$A$428,0)-1),""))</f>
        <v/>
      </c>
      <c r="U54" s="19" t="str" cm="1">
        <f t="array" ref="U54">IF(OR($O54&lt;U$387,$O54&gt;U$388),"",IFERROR(IF($O54=U$387,100,U53)*INDEX($B$2:$B$428,MATCH($O54,$A$2:$A$428,0))/INDEX($B$2:$B$428,MATCH($O54,$A$2:$A$428,0)-1),""))</f>
        <v/>
      </c>
      <c r="V54" s="19" t="str" cm="1">
        <f t="array" ref="V54">IF(OR($O54&lt;V$387,$O54&gt;V$388),"",IFERROR(IF($O54=V$387,100,V53)*INDEX($B$2:$B$428,MATCH($O54,$A$2:$A$428,0))/INDEX($B$2:$B$428,MATCH($O54,$A$2:$A$428,0)-1),""))</f>
        <v/>
      </c>
      <c r="W54" s="19" t="str" cm="1">
        <f t="array" ref="W54">IF(OR($O54&lt;W$387,$O54&gt;W$388),"",IFERROR(IF($O54=W$387,100,W53)*INDEX($B$2:$B$428,MATCH($O54,$A$2:$A$428,0))/INDEX($B$2:$B$428,MATCH($O54,$A$2:$A$428,0)-1),""))</f>
        <v/>
      </c>
      <c r="X54" s="19" t="str" cm="1">
        <f t="array" ref="X54">IF(OR($O54&lt;X$387,$O54&gt;X$388),"",IFERROR(IF($O54=X$387,100,X53)*INDEX($B$2:$B$428,MATCH($O54,$A$2:$A$428,0))/INDEX($B$2:$B$428,MATCH($O54,$A$2:$A$428,0)-1),""))</f>
        <v/>
      </c>
      <c r="AA54" s="19"/>
      <c r="AB54" s="19"/>
      <c r="AC54" s="19"/>
      <c r="AD54" s="19"/>
      <c r="AE54" s="19"/>
      <c r="AF54" s="19"/>
      <c r="AG54" s="19"/>
      <c r="AH54" s="19"/>
      <c r="AJ54" s="11">
        <v>34455</v>
      </c>
      <c r="AK54">
        <v>64791</v>
      </c>
      <c r="AL54" s="26" t="e">
        <f t="shared" si="7"/>
        <v>#VALUE!</v>
      </c>
    </row>
    <row r="55" spans="1:47" x14ac:dyDescent="0.3">
      <c r="A55" s="11">
        <v>34851</v>
      </c>
      <c r="B55" s="18">
        <v>75852.070000000007</v>
      </c>
      <c r="C55" t="s">
        <v>20</v>
      </c>
      <c r="D55" t="s">
        <v>20</v>
      </c>
      <c r="E55" s="11">
        <f t="shared" si="0"/>
        <v>34851</v>
      </c>
      <c r="F55" s="9">
        <f t="shared" si="4"/>
        <v>0.33364494821695567</v>
      </c>
      <c r="G55" s="9" t="e">
        <f t="shared" si="5"/>
        <v>#VALUE!</v>
      </c>
      <c r="H55" s="9" t="e">
        <f t="shared" si="6"/>
        <v>#VALUE!</v>
      </c>
      <c r="I55" s="11">
        <f t="shared" si="1"/>
        <v>34851</v>
      </c>
      <c r="J55">
        <f t="shared" si="10"/>
        <v>115.21329979353304</v>
      </c>
      <c r="O55" s="11">
        <v>36312</v>
      </c>
      <c r="P55" s="19" t="str" cm="1">
        <f t="array" ref="P55">IF(OR($O55&lt;P$387,$O55&gt;P$388),"",IFERROR(IF($O55=P$387,100,P54)*INDEX($B$2:$B$428,MATCH($O55,$A$2:$A$428,0))/INDEX($B$2:$B$428,MATCH($O55,$A$2:$A$428,0)-1),""))</f>
        <v/>
      </c>
      <c r="Q55" s="19" cm="1">
        <f t="array" ref="Q55">IF(OR($O55&lt;Q$387,$O55&gt;Q$388),"",IFERROR(IF($O55=Q$387,100,Q54)*INDEX($B$2:$B$428,MATCH($O55,$A$2:$A$428,0))/INDEX($B$2:$B$428,MATCH($O55,$A$2:$A$428,0)-1),""))</f>
        <v>130.6707282217572</v>
      </c>
      <c r="R55" s="19" t="str" cm="1">
        <f t="array" ref="R55">IF(OR($O55&lt;R$387,$O55&gt;R$388),"",IFERROR(IF($O55=R$387,100,R54)*INDEX($B$2:$B$428,MATCH($O55,$A$2:$A$428,0))/INDEX($B$2:$B$428,MATCH($O55,$A$2:$A$428,0)-1),""))</f>
        <v/>
      </c>
      <c r="S55" s="19" t="str" cm="1">
        <f t="array" ref="S55">IF(OR($O55&lt;S$387,$O55&gt;S$388),"",IFERROR(IF($O55=S$387,100,S54)*INDEX($B$2:$B$428,MATCH($O55,$A$2:$A$428,0))/INDEX($B$2:$B$428,MATCH($O55,$A$2:$A$428,0)-1),""))</f>
        <v/>
      </c>
      <c r="T55" s="19" t="str" cm="1">
        <f t="array" ref="T55">IF(OR($O55&lt;T$387,$O55&gt;T$388),"",IFERROR(IF($O55=T$387,100,T54)*INDEX($B$2:$B$428,MATCH($O55,$A$2:$A$428,0))/INDEX($B$2:$B$428,MATCH($O55,$A$2:$A$428,0)-1),""))</f>
        <v/>
      </c>
      <c r="U55" s="19" t="str" cm="1">
        <f t="array" ref="U55">IF(OR($O55&lt;U$387,$O55&gt;U$388),"",IFERROR(IF($O55=U$387,100,U54)*INDEX($B$2:$B$428,MATCH($O55,$A$2:$A$428,0))/INDEX($B$2:$B$428,MATCH($O55,$A$2:$A$428,0)-1),""))</f>
        <v/>
      </c>
      <c r="V55" s="19" t="str" cm="1">
        <f t="array" ref="V55">IF(OR($O55&lt;V$387,$O55&gt;V$388),"",IFERROR(IF($O55=V$387,100,V54)*INDEX($B$2:$B$428,MATCH($O55,$A$2:$A$428,0))/INDEX($B$2:$B$428,MATCH($O55,$A$2:$A$428,0)-1),""))</f>
        <v/>
      </c>
      <c r="W55" s="19" t="str" cm="1">
        <f t="array" ref="W55">IF(OR($O55&lt;W$387,$O55&gt;W$388),"",IFERROR(IF($O55=W$387,100,W54)*INDEX($B$2:$B$428,MATCH($O55,$A$2:$A$428,0))/INDEX($B$2:$B$428,MATCH($O55,$A$2:$A$428,0)-1),""))</f>
        <v/>
      </c>
      <c r="X55" s="19" t="str" cm="1">
        <f t="array" ref="X55">IF(OR($O55&lt;X$387,$O55&gt;X$388),"",IFERROR(IF($O55=X$387,100,X54)*INDEX($B$2:$B$428,MATCH($O55,$A$2:$A$428,0))/INDEX($B$2:$B$428,MATCH($O55,$A$2:$A$428,0)-1),""))</f>
        <v/>
      </c>
      <c r="AA55" s="19"/>
      <c r="AB55" s="19"/>
      <c r="AC55" s="19"/>
      <c r="AD55" s="19"/>
      <c r="AE55" s="19"/>
      <c r="AF55" s="19"/>
      <c r="AG55" s="19"/>
      <c r="AH55" s="19"/>
      <c r="AJ55" s="11">
        <v>34486</v>
      </c>
      <c r="AK55">
        <v>97304.2</v>
      </c>
      <c r="AL55" s="26" t="e">
        <f t="shared" si="7"/>
        <v>#VALUE!</v>
      </c>
    </row>
    <row r="56" spans="1:47" x14ac:dyDescent="0.3">
      <c r="A56" s="11">
        <v>34881</v>
      </c>
      <c r="B56" s="18">
        <v>78564.27</v>
      </c>
      <c r="C56" t="s">
        <v>20</v>
      </c>
      <c r="D56" t="s">
        <v>20</v>
      </c>
      <c r="E56" s="11">
        <f t="shared" si="0"/>
        <v>34881</v>
      </c>
      <c r="F56" s="9">
        <f t="shared" si="4"/>
        <v>0.15237311273589094</v>
      </c>
      <c r="G56" s="9" t="e">
        <f t="shared" si="5"/>
        <v>#VALUE!</v>
      </c>
      <c r="H56" s="9" t="e">
        <f t="shared" si="6"/>
        <v>#VALUE!</v>
      </c>
      <c r="I56" s="11">
        <f t="shared" si="1"/>
        <v>34881</v>
      </c>
      <c r="J56">
        <f t="shared" si="10"/>
        <v>119.33291725024873</v>
      </c>
      <c r="O56" s="11">
        <v>36342</v>
      </c>
      <c r="P56" s="19" t="str" cm="1">
        <f t="array" ref="P56">IF(OR($O56&lt;P$387,$O56&gt;P$388),"",IFERROR(IF($O56=P$387,100,P55)*INDEX($B$2:$B$428,MATCH($O56,$A$2:$A$428,0))/INDEX($B$2:$B$428,MATCH($O56,$A$2:$A$428,0)-1),""))</f>
        <v/>
      </c>
      <c r="Q56" s="19" cm="1">
        <f t="array" ref="Q56">IF(OR($O56&lt;Q$387,$O56&gt;Q$388),"",IFERROR(IF($O56=Q$387,100,Q55)*INDEX($B$2:$B$428,MATCH($O56,$A$2:$A$428,0))/INDEX($B$2:$B$428,MATCH($O56,$A$2:$A$428,0)-1),""))</f>
        <v>132.3551827851131</v>
      </c>
      <c r="R56" s="19" t="str" cm="1">
        <f t="array" ref="R56">IF(OR($O56&lt;R$387,$O56&gt;R$388),"",IFERROR(IF($O56=R$387,100,R55)*INDEX($B$2:$B$428,MATCH($O56,$A$2:$A$428,0))/INDEX($B$2:$B$428,MATCH($O56,$A$2:$A$428,0)-1),""))</f>
        <v/>
      </c>
      <c r="S56" s="19" t="str" cm="1">
        <f t="array" ref="S56">IF(OR($O56&lt;S$387,$O56&gt;S$388),"",IFERROR(IF($O56=S$387,100,S55)*INDEX($B$2:$B$428,MATCH($O56,$A$2:$A$428,0))/INDEX($B$2:$B$428,MATCH($O56,$A$2:$A$428,0)-1),""))</f>
        <v/>
      </c>
      <c r="T56" s="19" t="str" cm="1">
        <f t="array" ref="T56">IF(OR($O56&lt;T$387,$O56&gt;T$388),"",IFERROR(IF($O56=T$387,100,T55)*INDEX($B$2:$B$428,MATCH($O56,$A$2:$A$428,0))/INDEX($B$2:$B$428,MATCH($O56,$A$2:$A$428,0)-1),""))</f>
        <v/>
      </c>
      <c r="U56" s="19" t="str" cm="1">
        <f t="array" ref="U56">IF(OR($O56&lt;U$387,$O56&gt;U$388),"",IFERROR(IF($O56=U$387,100,U55)*INDEX($B$2:$B$428,MATCH($O56,$A$2:$A$428,0))/INDEX($B$2:$B$428,MATCH($O56,$A$2:$A$428,0)-1),""))</f>
        <v/>
      </c>
      <c r="V56" s="19" t="str" cm="1">
        <f t="array" ref="V56">IF(OR($O56&lt;V$387,$O56&gt;V$388),"",IFERROR(IF($O56=V$387,100,V55)*INDEX($B$2:$B$428,MATCH($O56,$A$2:$A$428,0))/INDEX($B$2:$B$428,MATCH($O56,$A$2:$A$428,0)-1),""))</f>
        <v/>
      </c>
      <c r="W56" s="19" t="str" cm="1">
        <f t="array" ref="W56">IF(OR($O56&lt;W$387,$O56&gt;W$388),"",IFERROR(IF($O56=W$387,100,W55)*INDEX($B$2:$B$428,MATCH($O56,$A$2:$A$428,0))/INDEX($B$2:$B$428,MATCH($O56,$A$2:$A$428,0)-1),""))</f>
        <v/>
      </c>
      <c r="X56" s="19" t="str" cm="1">
        <f t="array" ref="X56">IF(OR($O56&lt;X$387,$O56&gt;X$388),"",IFERROR(IF($O56=X$387,100,X55)*INDEX($B$2:$B$428,MATCH($O56,$A$2:$A$428,0))/INDEX($B$2:$B$428,MATCH($O56,$A$2:$A$428,0)-1),""))</f>
        <v/>
      </c>
      <c r="AA56" s="19"/>
      <c r="AB56" s="19"/>
      <c r="AC56" s="19"/>
      <c r="AD56" s="19"/>
      <c r="AE56" s="19"/>
      <c r="AF56" s="19"/>
      <c r="AG56" s="19"/>
      <c r="AH56" s="19"/>
      <c r="AJ56" s="11">
        <v>34516</v>
      </c>
      <c r="AK56">
        <v>137250.79999999999</v>
      </c>
      <c r="AL56" s="26" t="e">
        <f t="shared" si="7"/>
        <v>#VALUE!</v>
      </c>
    </row>
    <row r="57" spans="1:47" x14ac:dyDescent="0.3">
      <c r="A57" s="11">
        <v>34912</v>
      </c>
      <c r="B57" s="18">
        <v>78458.850000000006</v>
      </c>
      <c r="C57" t="s">
        <v>20</v>
      </c>
      <c r="D57" t="s">
        <v>20</v>
      </c>
      <c r="E57" s="11">
        <f t="shared" si="0"/>
        <v>34912</v>
      </c>
      <c r="F57" s="9">
        <f t="shared" si="4"/>
        <v>0.17578638798252566</v>
      </c>
      <c r="G57" s="9" t="e">
        <f t="shared" si="5"/>
        <v>#VALUE!</v>
      </c>
      <c r="H57" s="9" t="e">
        <f t="shared" si="6"/>
        <v>#VALUE!</v>
      </c>
      <c r="I57" s="11">
        <f t="shared" si="1"/>
        <v>34912</v>
      </c>
      <c r="J57">
        <f t="shared" si="10"/>
        <v>119.1727926015182</v>
      </c>
      <c r="O57" s="11">
        <v>36373</v>
      </c>
      <c r="P57" s="19" t="str" cm="1">
        <f t="array" ref="P57">IF(OR($O57&lt;P$387,$O57&gt;P$388),"",IFERROR(IF($O57=P$387,100,P56)*INDEX($B$2:$B$428,MATCH($O57,$A$2:$A$428,0))/INDEX($B$2:$B$428,MATCH($O57,$A$2:$A$428,0)-1),""))</f>
        <v/>
      </c>
      <c r="Q57" s="19" cm="1">
        <f t="array" ref="Q57">IF(OR($O57&lt;Q$387,$O57&gt;Q$388),"",IFERROR(IF($O57=Q$387,100,Q56)*INDEX($B$2:$B$428,MATCH($O57,$A$2:$A$428,0))/INDEX($B$2:$B$428,MATCH($O57,$A$2:$A$428,0)-1),""))</f>
        <v>137.35572025739521</v>
      </c>
      <c r="R57" s="19" t="str" cm="1">
        <f t="array" ref="R57">IF(OR($O57&lt;R$387,$O57&gt;R$388),"",IFERROR(IF($O57=R$387,100,R56)*INDEX($B$2:$B$428,MATCH($O57,$A$2:$A$428,0))/INDEX($B$2:$B$428,MATCH($O57,$A$2:$A$428,0)-1),""))</f>
        <v/>
      </c>
      <c r="S57" s="19" t="str" cm="1">
        <f t="array" ref="S57">IF(OR($O57&lt;S$387,$O57&gt;S$388),"",IFERROR(IF($O57=S$387,100,S56)*INDEX($B$2:$B$428,MATCH($O57,$A$2:$A$428,0))/INDEX($B$2:$B$428,MATCH($O57,$A$2:$A$428,0)-1),""))</f>
        <v/>
      </c>
      <c r="T57" s="19" t="str" cm="1">
        <f t="array" ref="T57">IF(OR($O57&lt;T$387,$O57&gt;T$388),"",IFERROR(IF($O57=T$387,100,T56)*INDEX($B$2:$B$428,MATCH($O57,$A$2:$A$428,0))/INDEX($B$2:$B$428,MATCH($O57,$A$2:$A$428,0)-1),""))</f>
        <v/>
      </c>
      <c r="U57" s="19" t="str" cm="1">
        <f t="array" ref="U57">IF(OR($O57&lt;U$387,$O57&gt;U$388),"",IFERROR(IF($O57=U$387,100,U56)*INDEX($B$2:$B$428,MATCH($O57,$A$2:$A$428,0))/INDEX($B$2:$B$428,MATCH($O57,$A$2:$A$428,0)-1),""))</f>
        <v/>
      </c>
      <c r="V57" s="19" t="str" cm="1">
        <f t="array" ref="V57">IF(OR($O57&lt;V$387,$O57&gt;V$388),"",IFERROR(IF($O57=V$387,100,V56)*INDEX($B$2:$B$428,MATCH($O57,$A$2:$A$428,0))/INDEX($B$2:$B$428,MATCH($O57,$A$2:$A$428,0)-1),""))</f>
        <v/>
      </c>
      <c r="W57" s="19" t="str" cm="1">
        <f t="array" ref="W57">IF(OR($O57&lt;W$387,$O57&gt;W$388),"",IFERROR(IF($O57=W$387,100,W56)*INDEX($B$2:$B$428,MATCH($O57,$A$2:$A$428,0))/INDEX($B$2:$B$428,MATCH($O57,$A$2:$A$428,0)-1),""))</f>
        <v/>
      </c>
      <c r="X57" s="19" t="str" cm="1">
        <f t="array" ref="X57">IF(OR($O57&lt;X$387,$O57&gt;X$388),"",IFERROR(IF($O57=X$387,100,X56)*INDEX($B$2:$B$428,MATCH($O57,$A$2:$A$428,0))/INDEX($B$2:$B$428,MATCH($O57,$A$2:$A$428,0)-1),""))</f>
        <v/>
      </c>
      <c r="AA57" s="19"/>
      <c r="AB57" s="19"/>
      <c r="AC57" s="19"/>
      <c r="AD57" s="19"/>
      <c r="AE57" s="19"/>
      <c r="AF57" s="19"/>
      <c r="AG57" s="19"/>
      <c r="AH57" s="19"/>
      <c r="AJ57" s="11">
        <v>34547</v>
      </c>
      <c r="AK57">
        <v>179974.6</v>
      </c>
      <c r="AL57" s="26" t="e">
        <f t="shared" si="7"/>
        <v>#VALUE!</v>
      </c>
    </row>
    <row r="58" spans="1:47" x14ac:dyDescent="0.3">
      <c r="A58" s="11">
        <v>34943</v>
      </c>
      <c r="B58" s="18">
        <v>80800.42</v>
      </c>
      <c r="C58" t="s">
        <v>20</v>
      </c>
      <c r="D58" t="s">
        <v>20</v>
      </c>
      <c r="E58" s="11">
        <f t="shared" si="0"/>
        <v>34943</v>
      </c>
      <c r="F58" s="9">
        <f t="shared" si="4"/>
        <v>0.22658282632056959</v>
      </c>
      <c r="G58" s="9" t="e">
        <f t="shared" si="5"/>
        <v>#VALUE!</v>
      </c>
      <c r="H58" s="9" t="e">
        <f t="shared" si="6"/>
        <v>#VALUE!</v>
      </c>
      <c r="I58" s="11">
        <f t="shared" si="1"/>
        <v>34943</v>
      </c>
      <c r="J58">
        <f t="shared" si="10"/>
        <v>122.72945237886563</v>
      </c>
      <c r="O58" s="11">
        <v>36404</v>
      </c>
      <c r="P58" s="19" t="str" cm="1">
        <f t="array" ref="P58">IF(OR($O58&lt;P$387,$O58&gt;P$388),"",IFERROR(IF($O58=P$387,100,P57)*INDEX($B$2:$B$428,MATCH($O58,$A$2:$A$428,0))/INDEX($B$2:$B$428,MATCH($O58,$A$2:$A$428,0)-1),""))</f>
        <v/>
      </c>
      <c r="Q58" s="19" cm="1">
        <f t="array" ref="Q58">IF(OR($O58&lt;Q$387,$O58&gt;Q$388),"",IFERROR(IF($O58=Q$387,100,Q57)*INDEX($B$2:$B$428,MATCH($O58,$A$2:$A$428,0))/INDEX($B$2:$B$428,MATCH($O58,$A$2:$A$428,0)-1),""))</f>
        <v>136.50782854539077</v>
      </c>
      <c r="R58" s="19" t="str" cm="1">
        <f t="array" ref="R58">IF(OR($O58&lt;R$387,$O58&gt;R$388),"",IFERROR(IF($O58=R$387,100,R57)*INDEX($B$2:$B$428,MATCH($O58,$A$2:$A$428,0))/INDEX($B$2:$B$428,MATCH($O58,$A$2:$A$428,0)-1),""))</f>
        <v/>
      </c>
      <c r="S58" s="19" t="str" cm="1">
        <f t="array" ref="S58">IF(OR($O58&lt;S$387,$O58&gt;S$388),"",IFERROR(IF($O58=S$387,100,S57)*INDEX($B$2:$B$428,MATCH($O58,$A$2:$A$428,0))/INDEX($B$2:$B$428,MATCH($O58,$A$2:$A$428,0)-1),""))</f>
        <v/>
      </c>
      <c r="T58" s="19" t="str" cm="1">
        <f t="array" ref="T58">IF(OR($O58&lt;T$387,$O58&gt;T$388),"",IFERROR(IF($O58=T$387,100,T57)*INDEX($B$2:$B$428,MATCH($O58,$A$2:$A$428,0))/INDEX($B$2:$B$428,MATCH($O58,$A$2:$A$428,0)-1),""))</f>
        <v/>
      </c>
      <c r="U58" s="19" t="str" cm="1">
        <f t="array" ref="U58">IF(OR($O58&lt;U$387,$O58&gt;U$388),"",IFERROR(IF($O58=U$387,100,U57)*INDEX($B$2:$B$428,MATCH($O58,$A$2:$A$428,0))/INDEX($B$2:$B$428,MATCH($O58,$A$2:$A$428,0)-1),""))</f>
        <v/>
      </c>
      <c r="V58" s="19" t="str" cm="1">
        <f t="array" ref="V58">IF(OR($O58&lt;V$387,$O58&gt;V$388),"",IFERROR(IF($O58=V$387,100,V57)*INDEX($B$2:$B$428,MATCH($O58,$A$2:$A$428,0))/INDEX($B$2:$B$428,MATCH($O58,$A$2:$A$428,0)-1),""))</f>
        <v/>
      </c>
      <c r="W58" s="19" t="str" cm="1">
        <f t="array" ref="W58">IF(OR($O58&lt;W$387,$O58&gt;W$388),"",IFERROR(IF($O58=W$387,100,W57)*INDEX($B$2:$B$428,MATCH($O58,$A$2:$A$428,0))/INDEX($B$2:$B$428,MATCH($O58,$A$2:$A$428,0)-1),""))</f>
        <v/>
      </c>
      <c r="X58" s="19" t="str" cm="1">
        <f t="array" ref="X58">IF(OR($O58&lt;X$387,$O58&gt;X$388),"",IFERROR(IF($O58=X$387,100,X57)*INDEX($B$2:$B$428,MATCH($O58,$A$2:$A$428,0))/INDEX($B$2:$B$428,MATCH($O58,$A$2:$A$428,0)-1),""))</f>
        <v/>
      </c>
      <c r="AA58" s="19"/>
      <c r="AB58" s="19"/>
      <c r="AC58" s="19"/>
      <c r="AD58" s="19"/>
      <c r="AE58" s="19"/>
      <c r="AF58" s="19"/>
      <c r="AG58" s="19"/>
      <c r="AH58" s="19"/>
      <c r="AJ58" s="11">
        <v>34578</v>
      </c>
      <c r="AK58">
        <v>222232.5</v>
      </c>
      <c r="AL58" s="26" t="e">
        <f t="shared" si="7"/>
        <v>#VALUE!</v>
      </c>
    </row>
    <row r="59" spans="1:47" x14ac:dyDescent="0.3">
      <c r="A59" s="11">
        <v>34973</v>
      </c>
      <c r="B59" s="18">
        <v>83612.61</v>
      </c>
      <c r="C59" t="s">
        <v>20</v>
      </c>
      <c r="D59" t="s">
        <v>20</v>
      </c>
      <c r="E59" s="11">
        <f t="shared" si="0"/>
        <v>34973</v>
      </c>
      <c r="F59" s="9">
        <f t="shared" si="4"/>
        <v>0.28749173303973907</v>
      </c>
      <c r="G59" s="9" t="e">
        <f t="shared" si="5"/>
        <v>#VALUE!</v>
      </c>
      <c r="H59" s="9" t="e">
        <f t="shared" si="6"/>
        <v>#VALUE!</v>
      </c>
      <c r="I59" s="11">
        <f t="shared" si="1"/>
        <v>34973</v>
      </c>
      <c r="J59">
        <f t="shared" si="10"/>
        <v>127.00094674344099</v>
      </c>
      <c r="O59" s="11">
        <v>36434</v>
      </c>
      <c r="P59" s="19" t="str" cm="1">
        <f t="array" ref="P59">IF(OR($O59&lt;P$387,$O59&gt;P$388),"",IFERROR(IF($O59=P$387,100,P58)*INDEX($B$2:$B$428,MATCH($O59,$A$2:$A$428,0))/INDEX($B$2:$B$428,MATCH($O59,$A$2:$A$428,0)-1),""))</f>
        <v/>
      </c>
      <c r="Q59" s="19" cm="1">
        <f t="array" ref="Q59">IF(OR($O59&lt;Q$387,$O59&gt;Q$388),"",IFERROR(IF($O59=Q$387,100,Q58)*INDEX($B$2:$B$428,MATCH($O59,$A$2:$A$428,0))/INDEX($B$2:$B$428,MATCH($O59,$A$2:$A$428,0)-1),""))</f>
        <v>139.07420464263632</v>
      </c>
      <c r="R59" s="19" t="str" cm="1">
        <f t="array" ref="R59">IF(OR($O59&lt;R$387,$O59&gt;R$388),"",IFERROR(IF($O59=R$387,100,R58)*INDEX($B$2:$B$428,MATCH($O59,$A$2:$A$428,0))/INDEX($B$2:$B$428,MATCH($O59,$A$2:$A$428,0)-1),""))</f>
        <v/>
      </c>
      <c r="S59" s="19" t="str" cm="1">
        <f t="array" ref="S59">IF(OR($O59&lt;S$387,$O59&gt;S$388),"",IFERROR(IF($O59=S$387,100,S58)*INDEX($B$2:$B$428,MATCH($O59,$A$2:$A$428,0))/INDEX($B$2:$B$428,MATCH($O59,$A$2:$A$428,0)-1),""))</f>
        <v/>
      </c>
      <c r="T59" s="19" t="str" cm="1">
        <f t="array" ref="T59">IF(OR($O59&lt;T$387,$O59&gt;T$388),"",IFERROR(IF($O59=T$387,100,T58)*INDEX($B$2:$B$428,MATCH($O59,$A$2:$A$428,0))/INDEX($B$2:$B$428,MATCH($O59,$A$2:$A$428,0)-1),""))</f>
        <v/>
      </c>
      <c r="U59" s="19" t="str" cm="1">
        <f t="array" ref="U59">IF(OR($O59&lt;U$387,$O59&gt;U$388),"",IFERROR(IF($O59=U$387,100,U58)*INDEX($B$2:$B$428,MATCH($O59,$A$2:$A$428,0))/INDEX($B$2:$B$428,MATCH($O59,$A$2:$A$428,0)-1),""))</f>
        <v/>
      </c>
      <c r="V59" s="19" t="str" cm="1">
        <f t="array" ref="V59">IF(OR($O59&lt;V$387,$O59&gt;V$388),"",IFERROR(IF($O59=V$387,100,V58)*INDEX($B$2:$B$428,MATCH($O59,$A$2:$A$428,0))/INDEX($B$2:$B$428,MATCH($O59,$A$2:$A$428,0)-1),""))</f>
        <v/>
      </c>
      <c r="W59" s="19" t="str" cm="1">
        <f t="array" ref="W59">IF(OR($O59&lt;W$387,$O59&gt;W$388),"",IFERROR(IF($O59=W$387,100,W58)*INDEX($B$2:$B$428,MATCH($O59,$A$2:$A$428,0))/INDEX($B$2:$B$428,MATCH($O59,$A$2:$A$428,0)-1),""))</f>
        <v/>
      </c>
      <c r="X59" s="19" t="str" cm="1">
        <f t="array" ref="X59">IF(OR($O59&lt;X$387,$O59&gt;X$388),"",IFERROR(IF($O59=X$387,100,X58)*INDEX($B$2:$B$428,MATCH($O59,$A$2:$A$428,0))/INDEX($B$2:$B$428,MATCH($O59,$A$2:$A$428,0)-1),""))</f>
        <v/>
      </c>
      <c r="AA59" s="19"/>
      <c r="AB59" s="19"/>
      <c r="AC59" s="19"/>
      <c r="AD59" s="19"/>
      <c r="AE59" s="19"/>
      <c r="AF59" s="19"/>
      <c r="AG59" s="19"/>
      <c r="AH59" s="19"/>
      <c r="AJ59" s="11">
        <v>34608</v>
      </c>
      <c r="AK59">
        <v>265396.09999999998</v>
      </c>
      <c r="AL59" s="26" t="e">
        <f t="shared" si="7"/>
        <v>#VALUE!</v>
      </c>
    </row>
    <row r="60" spans="1:47" x14ac:dyDescent="0.3">
      <c r="A60" s="11">
        <v>35004</v>
      </c>
      <c r="B60" s="18">
        <v>85909.63</v>
      </c>
      <c r="C60" t="s">
        <v>20</v>
      </c>
      <c r="D60" t="s">
        <v>20</v>
      </c>
      <c r="E60" s="11">
        <f t="shared" si="0"/>
        <v>35004</v>
      </c>
      <c r="F60" s="9">
        <f t="shared" si="4"/>
        <v>0.31186438400364547</v>
      </c>
      <c r="G60" s="9" t="e">
        <f t="shared" si="5"/>
        <v>#VALUE!</v>
      </c>
      <c r="H60" s="9" t="e">
        <f t="shared" si="6"/>
        <v>#VALUE!</v>
      </c>
      <c r="I60" s="11">
        <f t="shared" si="1"/>
        <v>35004</v>
      </c>
      <c r="J60">
        <f t="shared" si="10"/>
        <v>130.48993859154402</v>
      </c>
      <c r="O60" s="11">
        <v>36465</v>
      </c>
      <c r="P60" s="19" t="str" cm="1">
        <f t="array" ref="P60">IF(OR($O60&lt;P$387,$O60&gt;P$388),"",IFERROR(IF($O60=P$387,100,P59)*INDEX($B$2:$B$428,MATCH($O60,$A$2:$A$428,0))/INDEX($B$2:$B$428,MATCH($O60,$A$2:$A$428,0)-1),""))</f>
        <v/>
      </c>
      <c r="Q60" s="19" cm="1">
        <f t="array" ref="Q60">IF(OR($O60&lt;Q$387,$O60&gt;Q$388),"",IFERROR(IF($O60=Q$387,100,Q59)*INDEX($B$2:$B$428,MATCH($O60,$A$2:$A$428,0))/INDEX($B$2:$B$428,MATCH($O60,$A$2:$A$428,0)-1),""))</f>
        <v>137.67548383531573</v>
      </c>
      <c r="R60" s="19" t="str" cm="1">
        <f t="array" ref="R60">IF(OR($O60&lt;R$387,$O60&gt;R$388),"",IFERROR(IF($O60=R$387,100,R59)*INDEX($B$2:$B$428,MATCH($O60,$A$2:$A$428,0))/INDEX($B$2:$B$428,MATCH($O60,$A$2:$A$428,0)-1),""))</f>
        <v/>
      </c>
      <c r="S60" s="19" t="str" cm="1">
        <f t="array" ref="S60">IF(OR($O60&lt;S$387,$O60&gt;S$388),"",IFERROR(IF($O60=S$387,100,S59)*INDEX($B$2:$B$428,MATCH($O60,$A$2:$A$428,0))/INDEX($B$2:$B$428,MATCH($O60,$A$2:$A$428,0)-1),""))</f>
        <v/>
      </c>
      <c r="T60" s="19" t="str" cm="1">
        <f t="array" ref="T60">IF(OR($O60&lt;T$387,$O60&gt;T$388),"",IFERROR(IF($O60=T$387,100,T59)*INDEX($B$2:$B$428,MATCH($O60,$A$2:$A$428,0))/INDEX($B$2:$B$428,MATCH($O60,$A$2:$A$428,0)-1),""))</f>
        <v/>
      </c>
      <c r="U60" s="19" t="str" cm="1">
        <f t="array" ref="U60">IF(OR($O60&lt;U$387,$O60&gt;U$388),"",IFERROR(IF($O60=U$387,100,U59)*INDEX($B$2:$B$428,MATCH($O60,$A$2:$A$428,0))/INDEX($B$2:$B$428,MATCH($O60,$A$2:$A$428,0)-1),""))</f>
        <v/>
      </c>
      <c r="V60" s="19" t="str" cm="1">
        <f t="array" ref="V60">IF(OR($O60&lt;V$387,$O60&gt;V$388),"",IFERROR(IF($O60=V$387,100,V59)*INDEX($B$2:$B$428,MATCH($O60,$A$2:$A$428,0))/INDEX($B$2:$B$428,MATCH($O60,$A$2:$A$428,0)-1),""))</f>
        <v/>
      </c>
      <c r="W60" s="19" t="str" cm="1">
        <f t="array" ref="W60">IF(OR($O60&lt;W$387,$O60&gt;W$388),"",IFERROR(IF($O60=W$387,100,W59)*INDEX($B$2:$B$428,MATCH($O60,$A$2:$A$428,0))/INDEX($B$2:$B$428,MATCH($O60,$A$2:$A$428,0)-1),""))</f>
        <v/>
      </c>
      <c r="X60" s="19" t="str" cm="1">
        <f t="array" ref="X60">IF(OR($O60&lt;X$387,$O60&gt;X$388),"",IFERROR(IF($O60=X$387,100,X59)*INDEX($B$2:$B$428,MATCH($O60,$A$2:$A$428,0))/INDEX($B$2:$B$428,MATCH($O60,$A$2:$A$428,0)-1),""))</f>
        <v/>
      </c>
      <c r="AA60" s="19"/>
      <c r="AB60" s="19"/>
      <c r="AC60" s="19"/>
      <c r="AD60" s="19"/>
      <c r="AE60" s="19"/>
      <c r="AF60" s="19"/>
      <c r="AG60" s="19"/>
      <c r="AH60" s="19"/>
      <c r="AJ60" s="11">
        <v>34639</v>
      </c>
      <c r="AK60">
        <v>308529.40000000002</v>
      </c>
      <c r="AL60" s="26" t="e">
        <f t="shared" si="7"/>
        <v>#VALUE!</v>
      </c>
    </row>
    <row r="61" spans="1:47" x14ac:dyDescent="0.3">
      <c r="A61" s="11">
        <v>35034</v>
      </c>
      <c r="B61" s="18">
        <v>90406.3</v>
      </c>
      <c r="C61" t="s">
        <v>20</v>
      </c>
      <c r="D61" t="s">
        <v>20</v>
      </c>
      <c r="E61" s="11">
        <f t="shared" si="0"/>
        <v>35034</v>
      </c>
      <c r="F61" s="9">
        <f t="shared" si="4"/>
        <v>0.37320024952833708</v>
      </c>
      <c r="G61" s="9" t="e">
        <f t="shared" si="5"/>
        <v>#VALUE!</v>
      </c>
      <c r="H61" s="9" t="e">
        <f t="shared" si="6"/>
        <v>#VALUE!</v>
      </c>
      <c r="I61" s="11">
        <f t="shared" si="1"/>
        <v>35034</v>
      </c>
      <c r="J61">
        <f t="shared" si="10"/>
        <v>137.32002495283365</v>
      </c>
      <c r="O61" s="11">
        <v>36495</v>
      </c>
      <c r="P61" s="19" t="str" cm="1">
        <f t="array" ref="P61">IF(OR($O61&lt;P$387,$O61&gt;P$388),"",IFERROR(IF($O61=P$387,100,P60)*INDEX($B$2:$B$428,MATCH($O61,$A$2:$A$428,0))/INDEX($B$2:$B$428,MATCH($O61,$A$2:$A$428,0)-1),""))</f>
        <v/>
      </c>
      <c r="Q61" s="19" cm="1">
        <f t="array" ref="Q61">IF(OR($O61&lt;Q$387,$O61&gt;Q$388),"",IFERROR(IF($O61=Q$387,100,Q60)*INDEX($B$2:$B$428,MATCH($O61,$A$2:$A$428,0))/INDEX($B$2:$B$428,MATCH($O61,$A$2:$A$428,0)-1),""))</f>
        <v>136.73402524710104</v>
      </c>
      <c r="R61" s="19" t="str" cm="1">
        <f t="array" ref="R61">IF(OR($O61&lt;R$387,$O61&gt;R$388),"",IFERROR(IF($O61=R$387,100,R60)*INDEX($B$2:$B$428,MATCH($O61,$A$2:$A$428,0))/INDEX($B$2:$B$428,MATCH($O61,$A$2:$A$428,0)-1),""))</f>
        <v/>
      </c>
      <c r="S61" s="19" t="str" cm="1">
        <f t="array" ref="S61">IF(OR($O61&lt;S$387,$O61&gt;S$388),"",IFERROR(IF($O61=S$387,100,S60)*INDEX($B$2:$B$428,MATCH($O61,$A$2:$A$428,0))/INDEX($B$2:$B$428,MATCH($O61,$A$2:$A$428,0)-1),""))</f>
        <v/>
      </c>
      <c r="T61" s="19" t="str" cm="1">
        <f t="array" ref="T61">IF(OR($O61&lt;T$387,$O61&gt;T$388),"",IFERROR(IF($O61=T$387,100,T60)*INDEX($B$2:$B$428,MATCH($O61,$A$2:$A$428,0))/INDEX($B$2:$B$428,MATCH($O61,$A$2:$A$428,0)-1),""))</f>
        <v/>
      </c>
      <c r="U61" s="19" t="str" cm="1">
        <f t="array" ref="U61">IF(OR($O61&lt;U$387,$O61&gt;U$388),"",IFERROR(IF($O61=U$387,100,U60)*INDEX($B$2:$B$428,MATCH($O61,$A$2:$A$428,0))/INDEX($B$2:$B$428,MATCH($O61,$A$2:$A$428,0)-1),""))</f>
        <v/>
      </c>
      <c r="V61" s="19" t="str" cm="1">
        <f t="array" ref="V61">IF(OR($O61&lt;V$387,$O61&gt;V$388),"",IFERROR(IF($O61=V$387,100,V60)*INDEX($B$2:$B$428,MATCH($O61,$A$2:$A$428,0))/INDEX($B$2:$B$428,MATCH($O61,$A$2:$A$428,0)-1),""))</f>
        <v/>
      </c>
      <c r="W61" s="19" t="str" cm="1">
        <f t="array" ref="W61">IF(OR($O61&lt;W$387,$O61&gt;W$388),"",IFERROR(IF($O61=W$387,100,W60)*INDEX($B$2:$B$428,MATCH($O61,$A$2:$A$428,0))/INDEX($B$2:$B$428,MATCH($O61,$A$2:$A$428,0)-1),""))</f>
        <v/>
      </c>
      <c r="X61" s="19" t="str" cm="1">
        <f t="array" ref="X61">IF(OR($O61&lt;X$387,$O61&gt;X$388),"",IFERROR(IF($O61=X$387,100,X60)*INDEX($B$2:$B$428,MATCH($O61,$A$2:$A$428,0))/INDEX($B$2:$B$428,MATCH($O61,$A$2:$A$428,0)-1),""))</f>
        <v/>
      </c>
      <c r="AA61" s="19"/>
      <c r="AB61" s="19"/>
      <c r="AC61" s="19"/>
      <c r="AD61" s="19"/>
      <c r="AE61" s="19"/>
      <c r="AF61" s="19"/>
      <c r="AG61" s="19"/>
      <c r="AH61" s="19"/>
      <c r="AJ61" s="11">
        <v>34669</v>
      </c>
      <c r="AK61">
        <v>349204.7</v>
      </c>
      <c r="AL61" s="26" t="e">
        <f t="shared" si="7"/>
        <v>#VALUE!</v>
      </c>
    </row>
    <row r="62" spans="1:47" x14ac:dyDescent="0.3">
      <c r="A62" s="11">
        <v>35065</v>
      </c>
      <c r="B62" s="18">
        <v>92146.47</v>
      </c>
      <c r="C62" t="s">
        <v>20</v>
      </c>
      <c r="D62" t="s">
        <v>20</v>
      </c>
      <c r="E62" s="11">
        <f t="shared" si="0"/>
        <v>35065</v>
      </c>
      <c r="F62" s="9">
        <f t="shared" si="4"/>
        <v>0.41167335430727769</v>
      </c>
      <c r="G62" s="9" t="e">
        <f t="shared" si="5"/>
        <v>#VALUE!</v>
      </c>
      <c r="H62" s="9" t="e">
        <f t="shared" si="6"/>
        <v>#VALUE!</v>
      </c>
      <c r="I62" s="11">
        <f t="shared" si="1"/>
        <v>35065</v>
      </c>
      <c r="J62">
        <f t="shared" si="10"/>
        <v>139.96320565840585</v>
      </c>
      <c r="O62" s="11">
        <v>36526</v>
      </c>
      <c r="P62" s="19" t="str" cm="1">
        <f t="array" ref="P62">IF(OR($O62&lt;P$387,$O62&gt;P$388),"",IFERROR(IF($O62=P$387,100,P61)*INDEX($B$2:$B$428,MATCH($O62,$A$2:$A$428,0))/INDEX($B$2:$B$428,MATCH($O62,$A$2:$A$428,0)-1),""))</f>
        <v/>
      </c>
      <c r="Q62" s="19" cm="1">
        <f t="array" ref="Q62">IF(OR($O62&lt;Q$387,$O62&gt;Q$388),"",IFERROR(IF($O62=Q$387,100,Q61)*INDEX($B$2:$B$428,MATCH($O62,$A$2:$A$428,0))/INDEX($B$2:$B$428,MATCH($O62,$A$2:$A$428,0)-1),""))</f>
        <v>139.14515271347398</v>
      </c>
      <c r="R62" s="19" t="str" cm="1">
        <f t="array" ref="R62">IF(OR($O62&lt;R$387,$O62&gt;R$388),"",IFERROR(IF($O62=R$387,100,R61)*INDEX($B$2:$B$428,MATCH($O62,$A$2:$A$428,0))/INDEX($B$2:$B$428,MATCH($O62,$A$2:$A$428,0)-1),""))</f>
        <v/>
      </c>
      <c r="S62" s="19" t="str" cm="1">
        <f t="array" ref="S62">IF(OR($O62&lt;S$387,$O62&gt;S$388),"",IFERROR(IF($O62=S$387,100,S61)*INDEX($B$2:$B$428,MATCH($O62,$A$2:$A$428,0))/INDEX($B$2:$B$428,MATCH($O62,$A$2:$A$428,0)-1),""))</f>
        <v/>
      </c>
      <c r="T62" s="19" t="str" cm="1">
        <f t="array" ref="T62">IF(OR($O62&lt;T$387,$O62&gt;T$388),"",IFERROR(IF($O62=T$387,100,T61)*INDEX($B$2:$B$428,MATCH($O62,$A$2:$A$428,0))/INDEX($B$2:$B$428,MATCH($O62,$A$2:$A$428,0)-1),""))</f>
        <v/>
      </c>
      <c r="U62" s="19" t="str" cm="1">
        <f t="array" ref="U62">IF(OR($O62&lt;U$387,$O62&gt;U$388),"",IFERROR(IF($O62=U$387,100,U61)*INDEX($B$2:$B$428,MATCH($O62,$A$2:$A$428,0))/INDEX($B$2:$B$428,MATCH($O62,$A$2:$A$428,0)-1),""))</f>
        <v/>
      </c>
      <c r="V62" s="19" t="str" cm="1">
        <f t="array" ref="V62">IF(OR($O62&lt;V$387,$O62&gt;V$388),"",IFERROR(IF($O62=V$387,100,V61)*INDEX($B$2:$B$428,MATCH($O62,$A$2:$A$428,0))/INDEX($B$2:$B$428,MATCH($O62,$A$2:$A$428,0)-1),""))</f>
        <v/>
      </c>
      <c r="W62" s="19" t="str" cm="1">
        <f t="array" ref="W62">IF(OR($O62&lt;W$387,$O62&gt;W$388),"",IFERROR(IF($O62=W$387,100,W61)*INDEX($B$2:$B$428,MATCH($O62,$A$2:$A$428,0))/INDEX($B$2:$B$428,MATCH($O62,$A$2:$A$428,0)-1),""))</f>
        <v/>
      </c>
      <c r="X62" s="19" t="str" cm="1">
        <f t="array" ref="X62">IF(OR($O62&lt;X$387,$O62&gt;X$388),"",IFERROR(IF($O62=X$387,100,X61)*INDEX($B$2:$B$428,MATCH($O62,$A$2:$A$428,0))/INDEX($B$2:$B$428,MATCH($O62,$A$2:$A$428,0)-1),""))</f>
        <v/>
      </c>
      <c r="AA62" s="19"/>
      <c r="AB62" s="19"/>
      <c r="AC62" s="19"/>
      <c r="AD62" s="19"/>
      <c r="AE62" s="19"/>
      <c r="AF62" s="19"/>
      <c r="AG62" s="19"/>
      <c r="AH62" s="19"/>
      <c r="AJ62" s="11">
        <v>34700</v>
      </c>
      <c r="AK62">
        <v>391670.5</v>
      </c>
      <c r="AL62" s="26" t="e">
        <f t="shared" si="7"/>
        <v>#VALUE!</v>
      </c>
    </row>
    <row r="63" spans="1:47" x14ac:dyDescent="0.3">
      <c r="A63" s="11">
        <v>35096</v>
      </c>
      <c r="B63" s="18">
        <v>94066.03</v>
      </c>
      <c r="C63" t="s">
        <v>20</v>
      </c>
      <c r="D63" t="s">
        <v>20</v>
      </c>
      <c r="E63" s="11">
        <f t="shared" si="0"/>
        <v>35096</v>
      </c>
      <c r="F63" s="9">
        <f t="shared" si="4"/>
        <v>0.37709323125792471</v>
      </c>
      <c r="G63" s="9" t="e">
        <f t="shared" si="5"/>
        <v>#VALUE!</v>
      </c>
      <c r="H63" s="9" t="e">
        <f t="shared" si="6"/>
        <v>#VALUE!</v>
      </c>
      <c r="I63" s="11">
        <f t="shared" si="1"/>
        <v>35096</v>
      </c>
      <c r="J63">
        <f t="shared" si="10"/>
        <v>142.8788655969108</v>
      </c>
      <c r="O63" s="11">
        <v>36557</v>
      </c>
      <c r="P63" s="19" t="str" cm="1">
        <f t="array" ref="P63">IF(OR($O63&lt;P$387,$O63&gt;P$388),"",IFERROR(IF($O63=P$387,100,P62)*INDEX($B$2:$B$428,MATCH($O63,$A$2:$A$428,0))/INDEX($B$2:$B$428,MATCH($O63,$A$2:$A$428,0)-1),""))</f>
        <v/>
      </c>
      <c r="Q63" s="19" cm="1">
        <f t="array" ref="Q63">IF(OR($O63&lt;Q$387,$O63&gt;Q$388),"",IFERROR(IF($O63=Q$387,100,Q62)*INDEX($B$2:$B$428,MATCH($O63,$A$2:$A$428,0))/INDEX($B$2:$B$428,MATCH($O63,$A$2:$A$428,0)-1),""))</f>
        <v>139.87511617487161</v>
      </c>
      <c r="R63" s="19" t="str" cm="1">
        <f t="array" ref="R63">IF(OR($O63&lt;R$387,$O63&gt;R$388),"",IFERROR(IF($O63=R$387,100,R62)*INDEX($B$2:$B$428,MATCH($O63,$A$2:$A$428,0))/INDEX($B$2:$B$428,MATCH($O63,$A$2:$A$428,0)-1),""))</f>
        <v/>
      </c>
      <c r="S63" s="19" t="str" cm="1">
        <f t="array" ref="S63">IF(OR($O63&lt;S$387,$O63&gt;S$388),"",IFERROR(IF($O63=S$387,100,S62)*INDEX($B$2:$B$428,MATCH($O63,$A$2:$A$428,0))/INDEX($B$2:$B$428,MATCH($O63,$A$2:$A$428,0)-1),""))</f>
        <v/>
      </c>
      <c r="T63" s="19" t="str" cm="1">
        <f t="array" ref="T63">IF(OR($O63&lt;T$387,$O63&gt;T$388),"",IFERROR(IF($O63=T$387,100,T62)*INDEX($B$2:$B$428,MATCH($O63,$A$2:$A$428,0))/INDEX($B$2:$B$428,MATCH($O63,$A$2:$A$428,0)-1),""))</f>
        <v/>
      </c>
      <c r="U63" s="19" t="str" cm="1">
        <f t="array" ref="U63">IF(OR($O63&lt;U$387,$O63&gt;U$388),"",IFERROR(IF($O63=U$387,100,U62)*INDEX($B$2:$B$428,MATCH($O63,$A$2:$A$428,0))/INDEX($B$2:$B$428,MATCH($O63,$A$2:$A$428,0)-1),""))</f>
        <v/>
      </c>
      <c r="V63" s="19" t="str" cm="1">
        <f t="array" ref="V63">IF(OR($O63&lt;V$387,$O63&gt;V$388),"",IFERROR(IF($O63=V$387,100,V62)*INDEX($B$2:$B$428,MATCH($O63,$A$2:$A$428,0))/INDEX($B$2:$B$428,MATCH($O63,$A$2:$A$428,0)-1),""))</f>
        <v/>
      </c>
      <c r="W63" s="19" t="str" cm="1">
        <f t="array" ref="W63">IF(OR($O63&lt;W$387,$O63&gt;W$388),"",IFERROR(IF($O63=W$387,100,W62)*INDEX($B$2:$B$428,MATCH($O63,$A$2:$A$428,0))/INDEX($B$2:$B$428,MATCH($O63,$A$2:$A$428,0)-1),""))</f>
        <v/>
      </c>
      <c r="X63" s="19" t="str" cm="1">
        <f t="array" ref="X63">IF(OR($O63&lt;X$387,$O63&gt;X$388),"",IFERROR(IF($O63=X$387,100,X62)*INDEX($B$2:$B$428,MATCH($O63,$A$2:$A$428,0))/INDEX($B$2:$B$428,MATCH($O63,$A$2:$A$428,0)-1),""))</f>
        <v/>
      </c>
      <c r="AA63" s="19"/>
      <c r="AB63" s="19"/>
      <c r="AC63" s="19"/>
      <c r="AD63" s="19"/>
      <c r="AE63" s="19"/>
      <c r="AF63" s="19"/>
      <c r="AG63" s="19"/>
      <c r="AH63" s="19"/>
      <c r="AJ63" s="11">
        <v>34731</v>
      </c>
      <c r="AK63">
        <v>435832</v>
      </c>
      <c r="AL63" s="26" t="e">
        <f t="shared" si="7"/>
        <v>#VALUE!</v>
      </c>
    </row>
    <row r="64" spans="1:47" x14ac:dyDescent="0.3">
      <c r="A64" s="11">
        <v>35125</v>
      </c>
      <c r="B64" s="18">
        <v>91651.35</v>
      </c>
      <c r="C64" t="s">
        <v>20</v>
      </c>
      <c r="D64" t="s">
        <v>20</v>
      </c>
      <c r="E64" s="11">
        <f t="shared" si="0"/>
        <v>35125</v>
      </c>
      <c r="F64" s="9">
        <f t="shared" si="4"/>
        <v>0.28549361807053431</v>
      </c>
      <c r="G64" s="9" t="e">
        <f t="shared" si="5"/>
        <v>#VALUE!</v>
      </c>
      <c r="H64" s="9" t="e">
        <f t="shared" si="6"/>
        <v>#VALUE!</v>
      </c>
      <c r="I64" s="11">
        <f t="shared" si="1"/>
        <v>35125</v>
      </c>
      <c r="J64">
        <f t="shared" si="10"/>
        <v>139.21115750739594</v>
      </c>
      <c r="O64" s="11">
        <v>36586</v>
      </c>
      <c r="P64" s="19" t="str" cm="1">
        <f t="array" ref="P64">IF(OR($O64&lt;P$387,$O64&gt;P$388),"",IFERROR(IF($O64=P$387,100,P63)*INDEX($B$2:$B$428,MATCH($O64,$A$2:$A$428,0))/INDEX($B$2:$B$428,MATCH($O64,$A$2:$A$428,0)-1),""))</f>
        <v/>
      </c>
      <c r="Q64" s="19" cm="1">
        <f t="array" ref="Q64">IF(OR($O64&lt;Q$387,$O64&gt;Q$388),"",IFERROR(IF($O64=Q$387,100,Q63)*INDEX($B$2:$B$428,MATCH($O64,$A$2:$A$428,0))/INDEX($B$2:$B$428,MATCH($O64,$A$2:$A$428,0)-1),""))</f>
        <v>139.20029226730887</v>
      </c>
      <c r="R64" s="19" t="str" cm="1">
        <f t="array" ref="R64">IF(OR($O64&lt;R$387,$O64&gt;R$388),"",IFERROR(IF($O64=R$387,100,R63)*INDEX($B$2:$B$428,MATCH($O64,$A$2:$A$428,0))/INDEX($B$2:$B$428,MATCH($O64,$A$2:$A$428,0)-1),""))</f>
        <v/>
      </c>
      <c r="S64" s="19" t="str" cm="1">
        <f t="array" ref="S64">IF(OR($O64&lt;S$387,$O64&gt;S$388),"",IFERROR(IF($O64=S$387,100,S63)*INDEX($B$2:$B$428,MATCH($O64,$A$2:$A$428,0))/INDEX($B$2:$B$428,MATCH($O64,$A$2:$A$428,0)-1),""))</f>
        <v/>
      </c>
      <c r="T64" s="19" t="str" cm="1">
        <f t="array" ref="T64">IF(OR($O64&lt;T$387,$O64&gt;T$388),"",IFERROR(IF($O64=T$387,100,T63)*INDEX($B$2:$B$428,MATCH($O64,$A$2:$A$428,0))/INDEX($B$2:$B$428,MATCH($O64,$A$2:$A$428,0)-1),""))</f>
        <v/>
      </c>
      <c r="U64" s="19" t="str" cm="1">
        <f t="array" ref="U64">IF(OR($O64&lt;U$387,$O64&gt;U$388),"",IFERROR(IF($O64=U$387,100,U63)*INDEX($B$2:$B$428,MATCH($O64,$A$2:$A$428,0))/INDEX($B$2:$B$428,MATCH($O64,$A$2:$A$428,0)-1),""))</f>
        <v/>
      </c>
      <c r="V64" s="19" t="str" cm="1">
        <f t="array" ref="V64">IF(OR($O64&lt;V$387,$O64&gt;V$388),"",IFERROR(IF($O64=V$387,100,V63)*INDEX($B$2:$B$428,MATCH($O64,$A$2:$A$428,0))/INDEX($B$2:$B$428,MATCH($O64,$A$2:$A$428,0)-1),""))</f>
        <v/>
      </c>
      <c r="W64" s="19" t="str" cm="1">
        <f t="array" ref="W64">IF(OR($O64&lt;W$387,$O64&gt;W$388),"",IFERROR(IF($O64=W$387,100,W63)*INDEX($B$2:$B$428,MATCH($O64,$A$2:$A$428,0))/INDEX($B$2:$B$428,MATCH($O64,$A$2:$A$428,0)-1),""))</f>
        <v/>
      </c>
      <c r="X64" s="19" t="str" cm="1">
        <f t="array" ref="X64">IF(OR($O64&lt;X$387,$O64&gt;X$388),"",IFERROR(IF($O64=X$387,100,X63)*INDEX($B$2:$B$428,MATCH($O64,$A$2:$A$428,0))/INDEX($B$2:$B$428,MATCH($O64,$A$2:$A$428,0)-1),""))</f>
        <v/>
      </c>
      <c r="AA64" s="19"/>
      <c r="AB64" s="19"/>
      <c r="AC64" s="19"/>
      <c r="AD64" s="19"/>
      <c r="AE64" s="19"/>
      <c r="AF64" s="19"/>
      <c r="AG64" s="19"/>
      <c r="AH64" s="19"/>
      <c r="AJ64" s="11">
        <v>34759</v>
      </c>
      <c r="AK64">
        <v>487335.9</v>
      </c>
      <c r="AL64" s="26" t="e">
        <f t="shared" si="7"/>
        <v>#VALUE!</v>
      </c>
    </row>
    <row r="65" spans="1:38" x14ac:dyDescent="0.3">
      <c r="A65" s="11">
        <v>35156</v>
      </c>
      <c r="B65" s="18">
        <v>95745</v>
      </c>
      <c r="C65" t="s">
        <v>20</v>
      </c>
      <c r="D65" t="s">
        <v>20</v>
      </c>
      <c r="E65" s="11">
        <f t="shared" si="0"/>
        <v>35156</v>
      </c>
      <c r="F65" s="9">
        <f t="shared" si="4"/>
        <v>0.33040697989486811</v>
      </c>
      <c r="G65" s="9" t="e">
        <f t="shared" si="5"/>
        <v>#VALUE!</v>
      </c>
      <c r="H65" s="9" t="e">
        <f t="shared" si="6"/>
        <v>#VALUE!</v>
      </c>
      <c r="I65" s="11">
        <f t="shared" si="1"/>
        <v>35156</v>
      </c>
      <c r="J65">
        <f t="shared" si="10"/>
        <v>145.42908833907654</v>
      </c>
      <c r="O65" s="11">
        <v>36617</v>
      </c>
      <c r="P65" s="19" t="str" cm="1">
        <f t="array" ref="P65">IF(OR($O65&lt;P$387,$O65&gt;P$388),"",IFERROR(IF($O65=P$387,100,P64)*INDEX($B$2:$B$428,MATCH($O65,$A$2:$A$428,0))/INDEX($B$2:$B$428,MATCH($O65,$A$2:$A$428,0)-1),""))</f>
        <v/>
      </c>
      <c r="Q65" s="19" cm="1">
        <f t="array" ref="Q65">IF(OR($O65&lt;Q$387,$O65&gt;Q$388),"",IFERROR(IF($O65=Q$387,100,Q64)*INDEX($B$2:$B$428,MATCH($O65,$A$2:$A$428,0))/INDEX($B$2:$B$428,MATCH($O65,$A$2:$A$428,0)-1),""))</f>
        <v>142.5269689581435</v>
      </c>
      <c r="R65" s="19" t="str" cm="1">
        <f t="array" ref="R65">IF(OR($O65&lt;R$387,$O65&gt;R$388),"",IFERROR(IF($O65=R$387,100,R64)*INDEX($B$2:$B$428,MATCH($O65,$A$2:$A$428,0))/INDEX($B$2:$B$428,MATCH($O65,$A$2:$A$428,0)-1),""))</f>
        <v/>
      </c>
      <c r="S65" s="19" t="str" cm="1">
        <f t="array" ref="S65">IF(OR($O65&lt;S$387,$O65&gt;S$388),"",IFERROR(IF($O65=S$387,100,S64)*INDEX($B$2:$B$428,MATCH($O65,$A$2:$A$428,0))/INDEX($B$2:$B$428,MATCH($O65,$A$2:$A$428,0)-1),""))</f>
        <v/>
      </c>
      <c r="T65" s="19" t="str" cm="1">
        <f t="array" ref="T65">IF(OR($O65&lt;T$387,$O65&gt;T$388),"",IFERROR(IF($O65=T$387,100,T64)*INDEX($B$2:$B$428,MATCH($O65,$A$2:$A$428,0))/INDEX($B$2:$B$428,MATCH($O65,$A$2:$A$428,0)-1),""))</f>
        <v/>
      </c>
      <c r="U65" s="19" t="str" cm="1">
        <f t="array" ref="U65">IF(OR($O65&lt;U$387,$O65&gt;U$388),"",IFERROR(IF($O65=U$387,100,U64)*INDEX($B$2:$B$428,MATCH($O65,$A$2:$A$428,0))/INDEX($B$2:$B$428,MATCH($O65,$A$2:$A$428,0)-1),""))</f>
        <v/>
      </c>
      <c r="V65" s="19" t="str" cm="1">
        <f t="array" ref="V65">IF(OR($O65&lt;V$387,$O65&gt;V$388),"",IFERROR(IF($O65=V$387,100,V64)*INDEX($B$2:$B$428,MATCH($O65,$A$2:$A$428,0))/INDEX($B$2:$B$428,MATCH($O65,$A$2:$A$428,0)-1),""))</f>
        <v/>
      </c>
      <c r="W65" s="19" t="str" cm="1">
        <f t="array" ref="W65">IF(OR($O65&lt;W$387,$O65&gt;W$388),"",IFERROR(IF($O65=W$387,100,W64)*INDEX($B$2:$B$428,MATCH($O65,$A$2:$A$428,0))/INDEX($B$2:$B$428,MATCH($O65,$A$2:$A$428,0)-1),""))</f>
        <v/>
      </c>
      <c r="X65" s="19" t="str" cm="1">
        <f t="array" ref="X65">IF(OR($O65&lt;X$387,$O65&gt;X$388),"",IFERROR(IF($O65=X$387,100,X64)*INDEX($B$2:$B$428,MATCH($O65,$A$2:$A$428,0))/INDEX($B$2:$B$428,MATCH($O65,$A$2:$A$428,0)-1),""))</f>
        <v/>
      </c>
      <c r="AA65" s="19"/>
      <c r="AB65" s="19"/>
      <c r="AC65" s="19"/>
      <c r="AD65" s="19"/>
      <c r="AE65" s="19"/>
      <c r="AF65" s="19"/>
      <c r="AG65" s="19"/>
      <c r="AH65" s="19"/>
      <c r="AJ65" s="11">
        <v>34790</v>
      </c>
      <c r="AK65">
        <v>532296.6</v>
      </c>
      <c r="AL65" s="26" t="e">
        <f t="shared" si="7"/>
        <v>#VALUE!</v>
      </c>
    </row>
    <row r="66" spans="1:38" x14ac:dyDescent="0.3">
      <c r="A66" s="11">
        <v>35186</v>
      </c>
      <c r="B66" s="18">
        <v>104616.41</v>
      </c>
      <c r="C66" t="s">
        <v>20</v>
      </c>
      <c r="D66" t="s">
        <v>20</v>
      </c>
      <c r="E66" s="11">
        <f t="shared" ref="E66:E129" si="11">A66</f>
        <v>35186</v>
      </c>
      <c r="F66" s="9">
        <f t="shared" si="4"/>
        <v>0.48008319988500747</v>
      </c>
      <c r="G66" s="9" t="e">
        <f t="shared" si="5"/>
        <v>#VALUE!</v>
      </c>
      <c r="H66" s="9" t="e">
        <f t="shared" si="6"/>
        <v>#VALUE!</v>
      </c>
      <c r="I66" s="11">
        <f t="shared" ref="I66:I129" si="12">A66</f>
        <v>35186</v>
      </c>
      <c r="J66">
        <f t="shared" si="10"/>
        <v>158.90405902769911</v>
      </c>
      <c r="O66" s="11">
        <v>36647</v>
      </c>
      <c r="P66" s="19" t="str" cm="1">
        <f t="array" ref="P66">IF(OR($O66&lt;P$387,$O66&gt;P$388),"",IFERROR(IF($O66=P$387,100,P65)*INDEX($B$2:$B$428,MATCH($O66,$A$2:$A$428,0))/INDEX($B$2:$B$428,MATCH($O66,$A$2:$A$428,0)-1),""))</f>
        <v/>
      </c>
      <c r="Q66" s="19" cm="1">
        <f t="array" ref="Q66">IF(OR($O66&lt;Q$387,$O66&gt;Q$388),"",IFERROR(IF($O66=Q$387,100,Q65)*INDEX($B$2:$B$428,MATCH($O66,$A$2:$A$428,0))/INDEX($B$2:$B$428,MATCH($O66,$A$2:$A$428,0)-1),""))</f>
        <v>144.40890026425649</v>
      </c>
      <c r="R66" s="19" t="str" cm="1">
        <f t="array" ref="R66">IF(OR($O66&lt;R$387,$O66&gt;R$388),"",IFERROR(IF($O66=R$387,100,R65)*INDEX($B$2:$B$428,MATCH($O66,$A$2:$A$428,0))/INDEX($B$2:$B$428,MATCH($O66,$A$2:$A$428,0)-1),""))</f>
        <v/>
      </c>
      <c r="S66" s="19" t="str" cm="1">
        <f t="array" ref="S66">IF(OR($O66&lt;S$387,$O66&gt;S$388),"",IFERROR(IF($O66=S$387,100,S65)*INDEX($B$2:$B$428,MATCH($O66,$A$2:$A$428,0))/INDEX($B$2:$B$428,MATCH($O66,$A$2:$A$428,0)-1),""))</f>
        <v/>
      </c>
      <c r="T66" s="19" t="str" cm="1">
        <f t="array" ref="T66">IF(OR($O66&lt;T$387,$O66&gt;T$388),"",IFERROR(IF($O66=T$387,100,T65)*INDEX($B$2:$B$428,MATCH($O66,$A$2:$A$428,0))/INDEX($B$2:$B$428,MATCH($O66,$A$2:$A$428,0)-1),""))</f>
        <v/>
      </c>
      <c r="U66" s="19" t="str" cm="1">
        <f t="array" ref="U66">IF(OR($O66&lt;U$387,$O66&gt;U$388),"",IFERROR(IF($O66=U$387,100,U65)*INDEX($B$2:$B$428,MATCH($O66,$A$2:$A$428,0))/INDEX($B$2:$B$428,MATCH($O66,$A$2:$A$428,0)-1),""))</f>
        <v/>
      </c>
      <c r="V66" s="19" t="str" cm="1">
        <f t="array" ref="V66">IF(OR($O66&lt;V$387,$O66&gt;V$388),"",IFERROR(IF($O66=V$387,100,V65)*INDEX($B$2:$B$428,MATCH($O66,$A$2:$A$428,0))/INDEX($B$2:$B$428,MATCH($O66,$A$2:$A$428,0)-1),""))</f>
        <v/>
      </c>
      <c r="W66" s="19" t="str" cm="1">
        <f t="array" ref="W66">IF(OR($O66&lt;W$387,$O66&gt;W$388),"",IFERROR(IF($O66=W$387,100,W65)*INDEX($B$2:$B$428,MATCH($O66,$A$2:$A$428,0))/INDEX($B$2:$B$428,MATCH($O66,$A$2:$A$428,0)-1),""))</f>
        <v/>
      </c>
      <c r="X66" s="19" t="str" cm="1">
        <f t="array" ref="X66">IF(OR($O66&lt;X$387,$O66&gt;X$388),"",IFERROR(IF($O66=X$387,100,X65)*INDEX($B$2:$B$428,MATCH($O66,$A$2:$A$428,0))/INDEX($B$2:$B$428,MATCH($O66,$A$2:$A$428,0)-1),""))</f>
        <v/>
      </c>
      <c r="AA66" s="19"/>
      <c r="AB66" s="19"/>
      <c r="AC66" s="19"/>
      <c r="AD66" s="19"/>
      <c r="AE66" s="19"/>
      <c r="AF66" s="19"/>
      <c r="AG66" s="19"/>
      <c r="AH66" s="19"/>
      <c r="AJ66" s="11">
        <v>34820</v>
      </c>
      <c r="AK66">
        <v>568142.9</v>
      </c>
      <c r="AL66" s="26" t="e">
        <f t="shared" si="7"/>
        <v>#VALUE!</v>
      </c>
    </row>
    <row r="67" spans="1:38" x14ac:dyDescent="0.3">
      <c r="A67" s="11">
        <v>35217</v>
      </c>
      <c r="B67" s="18">
        <v>112409.73</v>
      </c>
      <c r="C67" t="s">
        <v>20</v>
      </c>
      <c r="D67" t="s">
        <v>20</v>
      </c>
      <c r="E67" s="11">
        <f t="shared" si="11"/>
        <v>35217</v>
      </c>
      <c r="F67" s="9">
        <f t="shared" si="4"/>
        <v>0.48195995178509943</v>
      </c>
      <c r="G67" s="9" t="e">
        <f t="shared" si="5"/>
        <v>#VALUE!</v>
      </c>
      <c r="H67" s="9" t="e">
        <f t="shared" si="6"/>
        <v>#VALUE!</v>
      </c>
      <c r="I67" s="11">
        <f t="shared" si="12"/>
        <v>35217</v>
      </c>
      <c r="J67">
        <f t="shared" si="10"/>
        <v>170.74149620702639</v>
      </c>
      <c r="O67" s="11">
        <v>36678</v>
      </c>
      <c r="P67" s="19" t="str" cm="1">
        <f t="array" ref="P67">IF(OR($O67&lt;P$387,$O67&gt;P$388),"",IFERROR(IF($O67=P$387,100,P66)*INDEX($B$2:$B$428,MATCH($O67,$A$2:$A$428,0))/INDEX($B$2:$B$428,MATCH($O67,$A$2:$A$428,0)-1),""))</f>
        <v/>
      </c>
      <c r="Q67" s="19" cm="1">
        <f t="array" ref="Q67">IF(OR($O67&lt;Q$387,$O67&gt;Q$388),"",IFERROR(IF($O67=Q$387,100,Q66)*INDEX($B$2:$B$428,MATCH($O67,$A$2:$A$428,0))/INDEX($B$2:$B$428,MATCH($O67,$A$2:$A$428,0)-1),""))</f>
        <v>144.54071717914482</v>
      </c>
      <c r="R67" s="19" t="str" cm="1">
        <f t="array" ref="R67">IF(OR($O67&lt;R$387,$O67&gt;R$388),"",IFERROR(IF($O67=R$387,100,R66)*INDEX($B$2:$B$428,MATCH($O67,$A$2:$A$428,0))/INDEX($B$2:$B$428,MATCH($O67,$A$2:$A$428,0)-1),""))</f>
        <v/>
      </c>
      <c r="S67" s="19" t="str" cm="1">
        <f t="array" ref="S67">IF(OR($O67&lt;S$387,$O67&gt;S$388),"",IFERROR(IF($O67=S$387,100,S66)*INDEX($B$2:$B$428,MATCH($O67,$A$2:$A$428,0))/INDEX($B$2:$B$428,MATCH($O67,$A$2:$A$428,0)-1),""))</f>
        <v/>
      </c>
      <c r="T67" s="19" t="str" cm="1">
        <f t="array" ref="T67">IF(OR($O67&lt;T$387,$O67&gt;T$388),"",IFERROR(IF($O67=T$387,100,T66)*INDEX($B$2:$B$428,MATCH($O67,$A$2:$A$428,0))/INDEX($B$2:$B$428,MATCH($O67,$A$2:$A$428,0)-1),""))</f>
        <v/>
      </c>
      <c r="U67" s="19" t="str" cm="1">
        <f t="array" ref="U67">IF(OR($O67&lt;U$387,$O67&gt;U$388),"",IFERROR(IF($O67=U$387,100,U66)*INDEX($B$2:$B$428,MATCH($O67,$A$2:$A$428,0))/INDEX($B$2:$B$428,MATCH($O67,$A$2:$A$428,0)-1),""))</f>
        <v/>
      </c>
      <c r="V67" s="19" t="str" cm="1">
        <f t="array" ref="V67">IF(OR($O67&lt;V$387,$O67&gt;V$388),"",IFERROR(IF($O67=V$387,100,V66)*INDEX($B$2:$B$428,MATCH($O67,$A$2:$A$428,0))/INDEX($B$2:$B$428,MATCH($O67,$A$2:$A$428,0)-1),""))</f>
        <v/>
      </c>
      <c r="W67" s="19" t="str" cm="1">
        <f t="array" ref="W67">IF(OR($O67&lt;W$387,$O67&gt;W$388),"",IFERROR(IF($O67=W$387,100,W66)*INDEX($B$2:$B$428,MATCH($O67,$A$2:$A$428,0))/INDEX($B$2:$B$428,MATCH($O67,$A$2:$A$428,0)-1),""))</f>
        <v/>
      </c>
      <c r="X67" s="19" t="str" cm="1">
        <f t="array" ref="X67">IF(OR($O67&lt;X$387,$O67&gt;X$388),"",IFERROR(IF($O67=X$387,100,X66)*INDEX($B$2:$B$428,MATCH($O67,$A$2:$A$428,0))/INDEX($B$2:$B$428,MATCH($O67,$A$2:$A$428,0)-1),""))</f>
        <v/>
      </c>
      <c r="AA67" s="19"/>
      <c r="AB67" s="19"/>
      <c r="AC67" s="19"/>
      <c r="AD67" s="19"/>
      <c r="AE67" s="19"/>
      <c r="AF67" s="19"/>
      <c r="AG67" s="19"/>
      <c r="AH67" s="19"/>
      <c r="AJ67" s="11">
        <v>34851</v>
      </c>
      <c r="AK67">
        <v>591742.5</v>
      </c>
      <c r="AL67" s="26" t="e">
        <f t="shared" si="7"/>
        <v>#VALUE!</v>
      </c>
    </row>
    <row r="68" spans="1:38" x14ac:dyDescent="0.3">
      <c r="A68" s="11">
        <v>35247</v>
      </c>
      <c r="B68" s="18">
        <v>115458.74</v>
      </c>
      <c r="C68" t="s">
        <v>20</v>
      </c>
      <c r="D68" t="s">
        <v>20</v>
      </c>
      <c r="E68" s="11">
        <f t="shared" si="11"/>
        <v>35247</v>
      </c>
      <c r="F68" s="9">
        <f t="shared" si="4"/>
        <v>0.46960876744606672</v>
      </c>
      <c r="G68" s="9" t="e">
        <f t="shared" si="5"/>
        <v>#VALUE!</v>
      </c>
      <c r="H68" s="9" t="e">
        <f t="shared" si="6"/>
        <v>#VALUE!</v>
      </c>
      <c r="I68" s="11">
        <f t="shared" si="12"/>
        <v>35247</v>
      </c>
      <c r="J68">
        <f t="shared" si="10"/>
        <v>175.37270143588145</v>
      </c>
      <c r="O68" s="11">
        <v>36708</v>
      </c>
      <c r="P68" s="19" t="str" cm="1">
        <f t="array" ref="P68">IF(OR($O68&lt;P$387,$O68&gt;P$388),"",IFERROR(IF($O68=P$387,100,P67)*INDEX($B$2:$B$428,MATCH($O68,$A$2:$A$428,0))/INDEX($B$2:$B$428,MATCH($O68,$A$2:$A$428,0)-1),""))</f>
        <v/>
      </c>
      <c r="Q68" s="19" cm="1">
        <f t="array" ref="Q68">IF(OR($O68&lt;Q$387,$O68&gt;Q$388),"",IFERROR(IF($O68=Q$387,100,Q67)*INDEX($B$2:$B$428,MATCH($O68,$A$2:$A$428,0))/INDEX($B$2:$B$428,MATCH($O68,$A$2:$A$428,0)-1),""))</f>
        <v>145.12458157804457</v>
      </c>
      <c r="R68" s="19" t="str" cm="1">
        <f t="array" ref="R68">IF(OR($O68&lt;R$387,$O68&gt;R$388),"",IFERROR(IF($O68=R$387,100,R67)*INDEX($B$2:$B$428,MATCH($O68,$A$2:$A$428,0))/INDEX($B$2:$B$428,MATCH($O68,$A$2:$A$428,0)-1),""))</f>
        <v/>
      </c>
      <c r="S68" s="19" t="str" cm="1">
        <f t="array" ref="S68">IF(OR($O68&lt;S$387,$O68&gt;S$388),"",IFERROR(IF($O68=S$387,100,S67)*INDEX($B$2:$B$428,MATCH($O68,$A$2:$A$428,0))/INDEX($B$2:$B$428,MATCH($O68,$A$2:$A$428,0)-1),""))</f>
        <v/>
      </c>
      <c r="T68" s="19" t="str" cm="1">
        <f t="array" ref="T68">IF(OR($O68&lt;T$387,$O68&gt;T$388),"",IFERROR(IF($O68=T$387,100,T67)*INDEX($B$2:$B$428,MATCH($O68,$A$2:$A$428,0))/INDEX($B$2:$B$428,MATCH($O68,$A$2:$A$428,0)-1),""))</f>
        <v/>
      </c>
      <c r="U68" s="19" t="str" cm="1">
        <f t="array" ref="U68">IF(OR($O68&lt;U$387,$O68&gt;U$388),"",IFERROR(IF($O68=U$387,100,U67)*INDEX($B$2:$B$428,MATCH($O68,$A$2:$A$428,0))/INDEX($B$2:$B$428,MATCH($O68,$A$2:$A$428,0)-1),""))</f>
        <v/>
      </c>
      <c r="V68" s="19" t="str" cm="1">
        <f t="array" ref="V68">IF(OR($O68&lt;V$387,$O68&gt;V$388),"",IFERROR(IF($O68=V$387,100,V67)*INDEX($B$2:$B$428,MATCH($O68,$A$2:$A$428,0))/INDEX($B$2:$B$428,MATCH($O68,$A$2:$A$428,0)-1),""))</f>
        <v/>
      </c>
      <c r="W68" s="19" t="str" cm="1">
        <f t="array" ref="W68">IF(OR($O68&lt;W$387,$O68&gt;W$388),"",IFERROR(IF($O68=W$387,100,W67)*INDEX($B$2:$B$428,MATCH($O68,$A$2:$A$428,0))/INDEX($B$2:$B$428,MATCH($O68,$A$2:$A$428,0)-1),""))</f>
        <v/>
      </c>
      <c r="X68" s="19" t="str" cm="1">
        <f t="array" ref="X68">IF(OR($O68&lt;X$387,$O68&gt;X$388),"",IFERROR(IF($O68=X$387,100,X67)*INDEX($B$2:$B$428,MATCH($O68,$A$2:$A$428,0))/INDEX($B$2:$B$428,MATCH($O68,$A$2:$A$428,0)-1),""))</f>
        <v/>
      </c>
      <c r="AA68" s="19"/>
      <c r="AB68" s="19"/>
      <c r="AC68" s="19"/>
      <c r="AD68" s="19"/>
      <c r="AE68" s="19"/>
      <c r="AF68" s="19"/>
      <c r="AG68" s="19"/>
      <c r="AH68" s="19"/>
      <c r="AJ68" s="11">
        <v>34881</v>
      </c>
      <c r="AK68">
        <v>609742.5</v>
      </c>
      <c r="AL68" s="26" t="e">
        <f t="shared" si="7"/>
        <v>#VALUE!</v>
      </c>
    </row>
    <row r="69" spans="1:38" x14ac:dyDescent="0.3">
      <c r="A69" s="11">
        <v>35278</v>
      </c>
      <c r="B69" s="18">
        <v>117721.63</v>
      </c>
      <c r="C69" t="s">
        <v>20</v>
      </c>
      <c r="D69" t="s">
        <v>20</v>
      </c>
      <c r="E69" s="11">
        <f t="shared" si="11"/>
        <v>35278</v>
      </c>
      <c r="F69" s="9">
        <f t="shared" si="4"/>
        <v>0.50042512731196021</v>
      </c>
      <c r="G69" s="9" t="e">
        <f t="shared" si="5"/>
        <v>#VALUE!</v>
      </c>
      <c r="H69" s="9" t="e">
        <f t="shared" si="6"/>
        <v>#VALUE!</v>
      </c>
      <c r="I69" s="11">
        <f t="shared" si="12"/>
        <v>35278</v>
      </c>
      <c r="J69">
        <f t="shared" si="10"/>
        <v>178.80985251125472</v>
      </c>
      <c r="O69" s="11">
        <v>36739</v>
      </c>
      <c r="P69" s="19" t="str" cm="1">
        <f t="array" ref="P69">IF(OR($O69&lt;P$387,$O69&gt;P$388),"",IFERROR(IF($O69=P$387,100,P68)*INDEX($B$2:$B$428,MATCH($O69,$A$2:$A$428,0))/INDEX($B$2:$B$428,MATCH($O69,$A$2:$A$428,0)-1),""))</f>
        <v/>
      </c>
      <c r="Q69" s="19" cm="1">
        <f t="array" ref="Q69">IF(OR($O69&lt;Q$387,$O69&gt;Q$388),"",IFERROR(IF($O69=Q$387,100,Q68)*INDEX($B$2:$B$428,MATCH($O69,$A$2:$A$428,0))/INDEX($B$2:$B$428,MATCH($O69,$A$2:$A$428,0)-1),""))</f>
        <v>143.07289464583343</v>
      </c>
      <c r="R69" s="19" t="str" cm="1">
        <f t="array" ref="R69">IF(OR($O69&lt;R$387,$O69&gt;R$388),"",IFERROR(IF($O69=R$387,100,R68)*INDEX($B$2:$B$428,MATCH($O69,$A$2:$A$428,0))/INDEX($B$2:$B$428,MATCH($O69,$A$2:$A$428,0)-1),""))</f>
        <v/>
      </c>
      <c r="S69" s="19" t="str" cm="1">
        <f t="array" ref="S69">IF(OR($O69&lt;S$387,$O69&gt;S$388),"",IFERROR(IF($O69=S$387,100,S68)*INDEX($B$2:$B$428,MATCH($O69,$A$2:$A$428,0))/INDEX($B$2:$B$428,MATCH($O69,$A$2:$A$428,0)-1),""))</f>
        <v/>
      </c>
      <c r="T69" s="19" t="str" cm="1">
        <f t="array" ref="T69">IF(OR($O69&lt;T$387,$O69&gt;T$388),"",IFERROR(IF($O69=T$387,100,T68)*INDEX($B$2:$B$428,MATCH($O69,$A$2:$A$428,0))/INDEX($B$2:$B$428,MATCH($O69,$A$2:$A$428,0)-1),""))</f>
        <v/>
      </c>
      <c r="U69" s="19" t="str" cm="1">
        <f t="array" ref="U69">IF(OR($O69&lt;U$387,$O69&gt;U$388),"",IFERROR(IF($O69=U$387,100,U68)*INDEX($B$2:$B$428,MATCH($O69,$A$2:$A$428,0))/INDEX($B$2:$B$428,MATCH($O69,$A$2:$A$428,0)-1),""))</f>
        <v/>
      </c>
      <c r="V69" s="19" t="str" cm="1">
        <f t="array" ref="V69">IF(OR($O69&lt;V$387,$O69&gt;V$388),"",IFERROR(IF($O69=V$387,100,V68)*INDEX($B$2:$B$428,MATCH($O69,$A$2:$A$428,0))/INDEX($B$2:$B$428,MATCH($O69,$A$2:$A$428,0)-1),""))</f>
        <v/>
      </c>
      <c r="W69" s="19" t="str" cm="1">
        <f t="array" ref="W69">IF(OR($O69&lt;W$387,$O69&gt;W$388),"",IFERROR(IF($O69=W$387,100,W68)*INDEX($B$2:$B$428,MATCH($O69,$A$2:$A$428,0))/INDEX($B$2:$B$428,MATCH($O69,$A$2:$A$428,0)-1),""))</f>
        <v/>
      </c>
      <c r="X69" s="19" t="str" cm="1">
        <f t="array" ref="X69">IF(OR($O69&lt;X$387,$O69&gt;X$388),"",IFERROR(IF($O69=X$387,100,X68)*INDEX($B$2:$B$428,MATCH($O69,$A$2:$A$428,0))/INDEX($B$2:$B$428,MATCH($O69,$A$2:$A$428,0)-1),""))</f>
        <v/>
      </c>
      <c r="AA69" s="19"/>
      <c r="AB69" s="19"/>
      <c r="AC69" s="19"/>
      <c r="AD69" s="19"/>
      <c r="AE69" s="19"/>
      <c r="AF69" s="19"/>
      <c r="AG69" s="19"/>
      <c r="AH69" s="19"/>
      <c r="AJ69" s="11">
        <v>34912</v>
      </c>
      <c r="AK69">
        <v>626819.5</v>
      </c>
      <c r="AL69" s="26" t="e">
        <f t="shared" si="7"/>
        <v>#VALUE!</v>
      </c>
    </row>
    <row r="70" spans="1:38" x14ac:dyDescent="0.3">
      <c r="A70" s="11">
        <v>35309</v>
      </c>
      <c r="B70" s="18">
        <v>119136.71</v>
      </c>
      <c r="C70" t="s">
        <v>20</v>
      </c>
      <c r="D70" t="s">
        <v>20</v>
      </c>
      <c r="E70" s="11">
        <f t="shared" si="11"/>
        <v>35309</v>
      </c>
      <c r="F70" s="9">
        <f t="shared" si="4"/>
        <v>0.47445656841882755</v>
      </c>
      <c r="G70" s="9" t="e">
        <f t="shared" si="5"/>
        <v>#VALUE!</v>
      </c>
      <c r="H70" s="9" t="e">
        <f t="shared" si="6"/>
        <v>#VALUE!</v>
      </c>
      <c r="I70" s="11">
        <f t="shared" si="12"/>
        <v>35309</v>
      </c>
      <c r="J70">
        <f t="shared" si="10"/>
        <v>180.95924719846408</v>
      </c>
      <c r="O70" s="11">
        <v>36770</v>
      </c>
      <c r="P70" s="19" t="str" cm="1">
        <f t="array" ref="P70">IF(OR($O70&lt;P$387,$O70&gt;P$388),"",IFERROR(IF($O70=P$387,100,P69)*INDEX($B$2:$B$428,MATCH($O70,$A$2:$A$428,0))/INDEX($B$2:$B$428,MATCH($O70,$A$2:$A$428,0)-1),""))</f>
        <v/>
      </c>
      <c r="Q70" s="19" cm="1">
        <f t="array" ref="Q70">IF(OR($O70&lt;Q$387,$O70&gt;Q$388),"",IFERROR(IF($O70=Q$387,100,Q69)*INDEX($B$2:$B$428,MATCH($O70,$A$2:$A$428,0))/INDEX($B$2:$B$428,MATCH($O70,$A$2:$A$428,0)-1),""))</f>
        <v>143.57095373526803</v>
      </c>
      <c r="R70" s="19" t="str" cm="1">
        <f t="array" ref="R70">IF(OR($O70&lt;R$387,$O70&gt;R$388),"",IFERROR(IF($O70=R$387,100,R69)*INDEX($B$2:$B$428,MATCH($O70,$A$2:$A$428,0))/INDEX($B$2:$B$428,MATCH($O70,$A$2:$A$428,0)-1),""))</f>
        <v/>
      </c>
      <c r="S70" s="19" t="str" cm="1">
        <f t="array" ref="S70">IF(OR($O70&lt;S$387,$O70&gt;S$388),"",IFERROR(IF($O70=S$387,100,S69)*INDEX($B$2:$B$428,MATCH($O70,$A$2:$A$428,0))/INDEX($B$2:$B$428,MATCH($O70,$A$2:$A$428,0)-1),""))</f>
        <v/>
      </c>
      <c r="T70" s="19" t="str" cm="1">
        <f t="array" ref="T70">IF(OR($O70&lt;T$387,$O70&gt;T$388),"",IFERROR(IF($O70=T$387,100,T69)*INDEX($B$2:$B$428,MATCH($O70,$A$2:$A$428,0))/INDEX($B$2:$B$428,MATCH($O70,$A$2:$A$428,0)-1),""))</f>
        <v/>
      </c>
      <c r="U70" s="19" t="str" cm="1">
        <f t="array" ref="U70">IF(OR($O70&lt;U$387,$O70&gt;U$388),"",IFERROR(IF($O70=U$387,100,U69)*INDEX($B$2:$B$428,MATCH($O70,$A$2:$A$428,0))/INDEX($B$2:$B$428,MATCH($O70,$A$2:$A$428,0)-1),""))</f>
        <v/>
      </c>
      <c r="V70" s="19" t="str" cm="1">
        <f t="array" ref="V70">IF(OR($O70&lt;V$387,$O70&gt;V$388),"",IFERROR(IF($O70=V$387,100,V69)*INDEX($B$2:$B$428,MATCH($O70,$A$2:$A$428,0))/INDEX($B$2:$B$428,MATCH($O70,$A$2:$A$428,0)-1),""))</f>
        <v/>
      </c>
      <c r="W70" s="19" t="str" cm="1">
        <f t="array" ref="W70">IF(OR($O70&lt;W$387,$O70&gt;W$388),"",IFERROR(IF($O70=W$387,100,W69)*INDEX($B$2:$B$428,MATCH($O70,$A$2:$A$428,0))/INDEX($B$2:$B$428,MATCH($O70,$A$2:$A$428,0)-1),""))</f>
        <v/>
      </c>
      <c r="X70" s="19" t="str" cm="1">
        <f t="array" ref="X70">IF(OR($O70&lt;X$387,$O70&gt;X$388),"",IFERROR(IF($O70=X$387,100,X69)*INDEX($B$2:$B$428,MATCH($O70,$A$2:$A$428,0))/INDEX($B$2:$B$428,MATCH($O70,$A$2:$A$428,0)-1),""))</f>
        <v/>
      </c>
      <c r="AA70" s="19"/>
      <c r="AB70" s="19"/>
      <c r="AC70" s="19"/>
      <c r="AD70" s="19"/>
      <c r="AE70" s="19"/>
      <c r="AF70" s="19"/>
      <c r="AG70" s="19"/>
      <c r="AH70" s="19"/>
      <c r="AJ70" s="11">
        <v>34943</v>
      </c>
      <c r="AK70">
        <v>643594.1</v>
      </c>
      <c r="AL70" s="26" t="e">
        <f t="shared" si="7"/>
        <v>#VALUE!</v>
      </c>
    </row>
    <row r="71" spans="1:38" x14ac:dyDescent="0.3">
      <c r="A71" s="11">
        <v>35339</v>
      </c>
      <c r="B71" s="18">
        <v>121901.22</v>
      </c>
      <c r="C71" t="s">
        <v>20</v>
      </c>
      <c r="D71" t="s">
        <v>20</v>
      </c>
      <c r="E71" s="11">
        <f t="shared" si="11"/>
        <v>35339</v>
      </c>
      <c r="F71" s="9">
        <f t="shared" si="4"/>
        <v>0.45792865454146203</v>
      </c>
      <c r="G71" s="9" t="e">
        <f t="shared" si="5"/>
        <v>#VALUE!</v>
      </c>
      <c r="H71" s="9" t="e">
        <f t="shared" si="6"/>
        <v>#VALUE!</v>
      </c>
      <c r="I71" s="11">
        <f t="shared" si="12"/>
        <v>35339</v>
      </c>
      <c r="J71">
        <f t="shared" si="10"/>
        <v>185.15831941115675</v>
      </c>
      <c r="O71" s="11">
        <v>36800</v>
      </c>
      <c r="P71" s="19" t="str" cm="1">
        <f t="array" ref="P71">IF(OR($O71&lt;P$387,$O71&gt;P$388),"",IFERROR(IF($O71=P$387,100,P70)*INDEX($B$2:$B$428,MATCH($O71,$A$2:$A$428,0))/INDEX($B$2:$B$428,MATCH($O71,$A$2:$A$428,0)-1),""))</f>
        <v/>
      </c>
      <c r="Q71" s="19" cm="1">
        <f t="array" ref="Q71">IF(OR($O71&lt;Q$387,$O71&gt;Q$388),"",IFERROR(IF($O71=Q$387,100,Q70)*INDEX($B$2:$B$428,MATCH($O71,$A$2:$A$428,0))/INDEX($B$2:$B$428,MATCH($O71,$A$2:$A$428,0)-1),""))</f>
        <v>148.00203002805321</v>
      </c>
      <c r="R71" s="19" t="str" cm="1">
        <f t="array" ref="R71">IF(OR($O71&lt;R$387,$O71&gt;R$388),"",IFERROR(IF($O71=R$387,100,R70)*INDEX($B$2:$B$428,MATCH($O71,$A$2:$A$428,0))/INDEX($B$2:$B$428,MATCH($O71,$A$2:$A$428,0)-1),""))</f>
        <v/>
      </c>
      <c r="S71" s="19" t="str" cm="1">
        <f t="array" ref="S71">IF(OR($O71&lt;S$387,$O71&gt;S$388),"",IFERROR(IF($O71=S$387,100,S70)*INDEX($B$2:$B$428,MATCH($O71,$A$2:$A$428,0))/INDEX($B$2:$B$428,MATCH($O71,$A$2:$A$428,0)-1),""))</f>
        <v/>
      </c>
      <c r="T71" s="19" t="str" cm="1">
        <f t="array" ref="T71">IF(OR($O71&lt;T$387,$O71&gt;T$388),"",IFERROR(IF($O71=T$387,100,T70)*INDEX($B$2:$B$428,MATCH($O71,$A$2:$A$428,0))/INDEX($B$2:$B$428,MATCH($O71,$A$2:$A$428,0)-1),""))</f>
        <v/>
      </c>
      <c r="U71" s="19" t="str" cm="1">
        <f t="array" ref="U71">IF(OR($O71&lt;U$387,$O71&gt;U$388),"",IFERROR(IF($O71=U$387,100,U70)*INDEX($B$2:$B$428,MATCH($O71,$A$2:$A$428,0))/INDEX($B$2:$B$428,MATCH($O71,$A$2:$A$428,0)-1),""))</f>
        <v/>
      </c>
      <c r="V71" s="19" t="str" cm="1">
        <f t="array" ref="V71">IF(OR($O71&lt;V$387,$O71&gt;V$388),"",IFERROR(IF($O71=V$387,100,V70)*INDEX($B$2:$B$428,MATCH($O71,$A$2:$A$428,0))/INDEX($B$2:$B$428,MATCH($O71,$A$2:$A$428,0)-1),""))</f>
        <v/>
      </c>
      <c r="W71" s="19" t="str" cm="1">
        <f t="array" ref="W71">IF(OR($O71&lt;W$387,$O71&gt;W$388),"",IFERROR(IF($O71=W$387,100,W70)*INDEX($B$2:$B$428,MATCH($O71,$A$2:$A$428,0))/INDEX($B$2:$B$428,MATCH($O71,$A$2:$A$428,0)-1),""))</f>
        <v/>
      </c>
      <c r="X71" s="19" t="str" cm="1">
        <f t="array" ref="X71">IF(OR($O71&lt;X$387,$O71&gt;X$388),"",IFERROR(IF($O71=X$387,100,X70)*INDEX($B$2:$B$428,MATCH($O71,$A$2:$A$428,0))/INDEX($B$2:$B$428,MATCH($O71,$A$2:$A$428,0)-1),""))</f>
        <v/>
      </c>
      <c r="AA71" s="19"/>
      <c r="AB71" s="19"/>
      <c r="AC71" s="19"/>
      <c r="AD71" s="19"/>
      <c r="AE71" s="19"/>
      <c r="AF71" s="19"/>
      <c r="AG71" s="19"/>
      <c r="AH71" s="19"/>
      <c r="AJ71" s="11">
        <v>34973</v>
      </c>
      <c r="AK71">
        <v>661787.30000000005</v>
      </c>
      <c r="AL71" s="26" t="e">
        <f t="shared" si="7"/>
        <v>#VALUE!</v>
      </c>
    </row>
    <row r="72" spans="1:38" x14ac:dyDescent="0.3">
      <c r="A72" s="11">
        <v>35370</v>
      </c>
      <c r="B72" s="18">
        <v>124910.11</v>
      </c>
      <c r="C72" t="s">
        <v>20</v>
      </c>
      <c r="D72" t="s">
        <v>20</v>
      </c>
      <c r="E72" s="11">
        <f t="shared" si="11"/>
        <v>35370</v>
      </c>
      <c r="F72" s="9">
        <f t="shared" si="4"/>
        <v>0.45397099254181383</v>
      </c>
      <c r="G72" s="9" t="e">
        <f t="shared" si="5"/>
        <v>#VALUE!</v>
      </c>
      <c r="H72" s="9" t="e">
        <f t="shared" si="6"/>
        <v>#VALUE!</v>
      </c>
      <c r="I72" s="11">
        <f t="shared" si="12"/>
        <v>35370</v>
      </c>
      <c r="J72">
        <f t="shared" si="10"/>
        <v>189.7285855306676</v>
      </c>
      <c r="O72" s="11">
        <v>36831</v>
      </c>
      <c r="P72" s="19" t="str" cm="1">
        <f t="array" ref="P72">IF(OR($O72&lt;P$387,$O72&gt;P$388),"",IFERROR(IF($O72=P$387,100,P71)*INDEX($B$2:$B$428,MATCH($O72,$A$2:$A$428,0))/INDEX($B$2:$B$428,MATCH($O72,$A$2:$A$428,0)-1),""))</f>
        <v/>
      </c>
      <c r="Q72" s="19" cm="1">
        <f t="array" ref="Q72">IF(OR($O72&lt;Q$387,$O72&gt;Q$388),"",IFERROR(IF($O72=Q$387,100,Q71)*INDEX($B$2:$B$428,MATCH($O72,$A$2:$A$428,0))/INDEX($B$2:$B$428,MATCH($O72,$A$2:$A$428,0)-1),""))</f>
        <v>150.68771372955001</v>
      </c>
      <c r="R72" s="19" t="str" cm="1">
        <f t="array" ref="R72">IF(OR($O72&lt;R$387,$O72&gt;R$388),"",IFERROR(IF($O72=R$387,100,R71)*INDEX($B$2:$B$428,MATCH($O72,$A$2:$A$428,0))/INDEX($B$2:$B$428,MATCH($O72,$A$2:$A$428,0)-1),""))</f>
        <v/>
      </c>
      <c r="S72" s="19" t="str" cm="1">
        <f t="array" ref="S72">IF(OR($O72&lt;S$387,$O72&gt;S$388),"",IFERROR(IF($O72=S$387,100,S71)*INDEX($B$2:$B$428,MATCH($O72,$A$2:$A$428,0))/INDEX($B$2:$B$428,MATCH($O72,$A$2:$A$428,0)-1),""))</f>
        <v/>
      </c>
      <c r="T72" s="19" t="str" cm="1">
        <f t="array" ref="T72">IF(OR($O72&lt;T$387,$O72&gt;T$388),"",IFERROR(IF($O72=T$387,100,T71)*INDEX($B$2:$B$428,MATCH($O72,$A$2:$A$428,0))/INDEX($B$2:$B$428,MATCH($O72,$A$2:$A$428,0)-1),""))</f>
        <v/>
      </c>
      <c r="U72" s="19" t="str" cm="1">
        <f t="array" ref="U72">IF(OR($O72&lt;U$387,$O72&gt;U$388),"",IFERROR(IF($O72=U$387,100,U71)*INDEX($B$2:$B$428,MATCH($O72,$A$2:$A$428,0))/INDEX($B$2:$B$428,MATCH($O72,$A$2:$A$428,0)-1),""))</f>
        <v/>
      </c>
      <c r="V72" s="19" t="str" cm="1">
        <f t="array" ref="V72">IF(OR($O72&lt;V$387,$O72&gt;V$388),"",IFERROR(IF($O72=V$387,100,V71)*INDEX($B$2:$B$428,MATCH($O72,$A$2:$A$428,0))/INDEX($B$2:$B$428,MATCH($O72,$A$2:$A$428,0)-1),""))</f>
        <v/>
      </c>
      <c r="W72" s="19" t="str" cm="1">
        <f t="array" ref="W72">IF(OR($O72&lt;W$387,$O72&gt;W$388),"",IFERROR(IF($O72=W$387,100,W71)*INDEX($B$2:$B$428,MATCH($O72,$A$2:$A$428,0))/INDEX($B$2:$B$428,MATCH($O72,$A$2:$A$428,0)-1),""))</f>
        <v/>
      </c>
      <c r="X72" s="19" t="str" cm="1">
        <f t="array" ref="X72">IF(OR($O72&lt;X$387,$O72&gt;X$388),"",IFERROR(IF($O72=X$387,100,X71)*INDEX($B$2:$B$428,MATCH($O72,$A$2:$A$428,0))/INDEX($B$2:$B$428,MATCH($O72,$A$2:$A$428,0)-1),""))</f>
        <v/>
      </c>
      <c r="AA72" s="19"/>
      <c r="AB72" s="19"/>
      <c r="AC72" s="19"/>
      <c r="AD72" s="19"/>
      <c r="AE72" s="19"/>
      <c r="AF72" s="19"/>
      <c r="AG72" s="19"/>
      <c r="AH72" s="19"/>
      <c r="AJ72" s="11">
        <v>35004</v>
      </c>
      <c r="AK72">
        <v>683624.1</v>
      </c>
      <c r="AL72" s="26" t="e">
        <f t="shared" si="7"/>
        <v>#VALUE!</v>
      </c>
    </row>
    <row r="73" spans="1:38" x14ac:dyDescent="0.3">
      <c r="A73" s="11">
        <v>35400</v>
      </c>
      <c r="B73" s="18">
        <v>128413.28</v>
      </c>
      <c r="C73" t="s">
        <v>20</v>
      </c>
      <c r="D73" t="s">
        <v>20</v>
      </c>
      <c r="E73" s="11">
        <f t="shared" si="11"/>
        <v>35400</v>
      </c>
      <c r="F73" s="9">
        <f t="shared" si="4"/>
        <v>0.42040189677046835</v>
      </c>
      <c r="G73" s="9" t="e">
        <f t="shared" si="5"/>
        <v>#VALUE!</v>
      </c>
      <c r="H73" s="9" t="e">
        <f t="shared" si="6"/>
        <v>#VALUE!</v>
      </c>
      <c r="I73" s="11">
        <f t="shared" si="12"/>
        <v>35400</v>
      </c>
      <c r="J73">
        <f t="shared" si="10"/>
        <v>195.04962390757296</v>
      </c>
      <c r="O73" s="11">
        <v>36861</v>
      </c>
      <c r="P73" s="19" t="str" cm="1">
        <f t="array" ref="P73">IF(OR($O73&lt;P$387,$O73&gt;P$388),"",IFERROR(IF($O73=P$387,100,P72)*INDEX($B$2:$B$428,MATCH($O73,$A$2:$A$428,0))/INDEX($B$2:$B$428,MATCH($O73,$A$2:$A$428,0)-1),""))</f>
        <v/>
      </c>
      <c r="Q73" s="19" cm="1">
        <f t="array" ref="Q73">IF(OR($O73&lt;Q$387,$O73&gt;Q$388),"",IFERROR(IF($O73=Q$387,100,Q72)*INDEX($B$2:$B$428,MATCH($O73,$A$2:$A$428,0))/INDEX($B$2:$B$428,MATCH($O73,$A$2:$A$428,0)-1),""))</f>
        <v>152.62264853714575</v>
      </c>
      <c r="R73" s="19" t="str" cm="1">
        <f t="array" ref="R73">IF(OR($O73&lt;R$387,$O73&gt;R$388),"",IFERROR(IF($O73=R$387,100,R72)*INDEX($B$2:$B$428,MATCH($O73,$A$2:$A$428,0))/INDEX($B$2:$B$428,MATCH($O73,$A$2:$A$428,0)-1),""))</f>
        <v/>
      </c>
      <c r="S73" s="19" t="str" cm="1">
        <f t="array" ref="S73">IF(OR($O73&lt;S$387,$O73&gt;S$388),"",IFERROR(IF($O73=S$387,100,S72)*INDEX($B$2:$B$428,MATCH($O73,$A$2:$A$428,0))/INDEX($B$2:$B$428,MATCH($O73,$A$2:$A$428,0)-1),""))</f>
        <v/>
      </c>
      <c r="T73" s="19" t="str" cm="1">
        <f t="array" ref="T73">IF(OR($O73&lt;T$387,$O73&gt;T$388),"",IFERROR(IF($O73=T$387,100,T72)*INDEX($B$2:$B$428,MATCH($O73,$A$2:$A$428,0))/INDEX($B$2:$B$428,MATCH($O73,$A$2:$A$428,0)-1),""))</f>
        <v/>
      </c>
      <c r="U73" s="19" t="str" cm="1">
        <f t="array" ref="U73">IF(OR($O73&lt;U$387,$O73&gt;U$388),"",IFERROR(IF($O73=U$387,100,U72)*INDEX($B$2:$B$428,MATCH($O73,$A$2:$A$428,0))/INDEX($B$2:$B$428,MATCH($O73,$A$2:$A$428,0)-1),""))</f>
        <v/>
      </c>
      <c r="V73" s="19" t="str" cm="1">
        <f t="array" ref="V73">IF(OR($O73&lt;V$387,$O73&gt;V$388),"",IFERROR(IF($O73=V$387,100,V72)*INDEX($B$2:$B$428,MATCH($O73,$A$2:$A$428,0))/INDEX($B$2:$B$428,MATCH($O73,$A$2:$A$428,0)-1),""))</f>
        <v/>
      </c>
      <c r="W73" s="19" t="str" cm="1">
        <f t="array" ref="W73">IF(OR($O73&lt;W$387,$O73&gt;W$388),"",IFERROR(IF($O73=W$387,100,W72)*INDEX($B$2:$B$428,MATCH($O73,$A$2:$A$428,0))/INDEX($B$2:$B$428,MATCH($O73,$A$2:$A$428,0)-1),""))</f>
        <v/>
      </c>
      <c r="X73" s="19" t="str" cm="1">
        <f t="array" ref="X73">IF(OR($O73&lt;X$387,$O73&gt;X$388),"",IFERROR(IF($O73=X$387,100,X72)*INDEX($B$2:$B$428,MATCH($O73,$A$2:$A$428,0))/INDEX($B$2:$B$428,MATCH($O73,$A$2:$A$428,0)-1),""))</f>
        <v/>
      </c>
      <c r="AA73" s="19"/>
      <c r="AB73" s="19"/>
      <c r="AC73" s="19"/>
      <c r="AD73" s="19"/>
      <c r="AE73" s="19"/>
      <c r="AF73" s="19"/>
      <c r="AG73" s="19"/>
      <c r="AH73" s="19"/>
      <c r="AJ73" s="11">
        <v>35034</v>
      </c>
      <c r="AK73">
        <v>705991.6</v>
      </c>
      <c r="AL73" s="26" t="e">
        <f t="shared" si="7"/>
        <v>#VALUE!</v>
      </c>
    </row>
    <row r="74" spans="1:38" x14ac:dyDescent="0.3">
      <c r="A74" s="11">
        <v>35431</v>
      </c>
      <c r="B74" s="18">
        <v>131309.25</v>
      </c>
      <c r="C74" t="s">
        <v>20</v>
      </c>
      <c r="D74" t="s">
        <v>20</v>
      </c>
      <c r="E74" s="11">
        <f t="shared" si="11"/>
        <v>35431</v>
      </c>
      <c r="F74" s="9">
        <f t="shared" si="4"/>
        <v>0.42500575442553568</v>
      </c>
      <c r="G74" s="9" t="e">
        <f t="shared" si="5"/>
        <v>#VALUE!</v>
      </c>
      <c r="H74" s="9" t="e">
        <f t="shared" si="6"/>
        <v>#VALUE!</v>
      </c>
      <c r="I74" s="11">
        <f t="shared" si="12"/>
        <v>35431</v>
      </c>
      <c r="J74">
        <f t="shared" si="10"/>
        <v>199.44837347107304</v>
      </c>
      <c r="O74" s="11">
        <v>36892</v>
      </c>
      <c r="P74" s="19" t="str" cm="1">
        <f t="array" ref="P74">IF(OR($O74&lt;P$387,$O74&gt;P$388),"",IFERROR(IF($O74=P$387,100,P73)*INDEX($B$2:$B$428,MATCH($O74,$A$2:$A$428,0))/INDEX($B$2:$B$428,MATCH($O74,$A$2:$A$428,0)-1),""))</f>
        <v/>
      </c>
      <c r="Q74" s="19" cm="1">
        <f t="array" ref="Q74">IF(OR($O74&lt;Q$387,$O74&gt;Q$388),"",IFERROR(IF($O74=Q$387,100,Q73)*INDEX($B$2:$B$428,MATCH($O74,$A$2:$A$428,0))/INDEX($B$2:$B$428,MATCH($O74,$A$2:$A$428,0)-1),""))</f>
        <v>145.98317517177279</v>
      </c>
      <c r="R74" s="19" t="str" cm="1">
        <f t="array" ref="R74">IF(OR($O74&lt;R$387,$O74&gt;R$388),"",IFERROR(IF($O74=R$387,100,R73)*INDEX($B$2:$B$428,MATCH($O74,$A$2:$A$428,0))/INDEX($B$2:$B$428,MATCH($O74,$A$2:$A$428,0)-1),""))</f>
        <v/>
      </c>
      <c r="S74" s="19" t="str" cm="1">
        <f t="array" ref="S74">IF(OR($O74&lt;S$387,$O74&gt;S$388),"",IFERROR(IF($O74=S$387,100,S73)*INDEX($B$2:$B$428,MATCH($O74,$A$2:$A$428,0))/INDEX($B$2:$B$428,MATCH($O74,$A$2:$A$428,0)-1),""))</f>
        <v/>
      </c>
      <c r="T74" s="19" t="str" cm="1">
        <f t="array" ref="T74">IF(OR($O74&lt;T$387,$O74&gt;T$388),"",IFERROR(IF($O74=T$387,100,T73)*INDEX($B$2:$B$428,MATCH($O74,$A$2:$A$428,0))/INDEX($B$2:$B$428,MATCH($O74,$A$2:$A$428,0)-1),""))</f>
        <v/>
      </c>
      <c r="U74" s="19" t="str" cm="1">
        <f t="array" ref="U74">IF(OR($O74&lt;U$387,$O74&gt;U$388),"",IFERROR(IF($O74=U$387,100,U73)*INDEX($B$2:$B$428,MATCH($O74,$A$2:$A$428,0))/INDEX($B$2:$B$428,MATCH($O74,$A$2:$A$428,0)-1),""))</f>
        <v/>
      </c>
      <c r="V74" s="19" t="str" cm="1">
        <f t="array" ref="V74">IF(OR($O74&lt;V$387,$O74&gt;V$388),"",IFERROR(IF($O74=V$387,100,V73)*INDEX($B$2:$B$428,MATCH($O74,$A$2:$A$428,0))/INDEX($B$2:$B$428,MATCH($O74,$A$2:$A$428,0)-1),""))</f>
        <v/>
      </c>
      <c r="W74" s="19" t="str" cm="1">
        <f t="array" ref="W74">IF(OR($O74&lt;W$387,$O74&gt;W$388),"",IFERROR(IF($O74=W$387,100,W73)*INDEX($B$2:$B$428,MATCH($O74,$A$2:$A$428,0))/INDEX($B$2:$B$428,MATCH($O74,$A$2:$A$428,0)-1),""))</f>
        <v/>
      </c>
      <c r="X74" s="19" t="str" cm="1">
        <f t="array" ref="X74">IF(OR($O74&lt;X$387,$O74&gt;X$388),"",IFERROR(IF($O74=X$387,100,X73)*INDEX($B$2:$B$428,MATCH($O74,$A$2:$A$428,0))/INDEX($B$2:$B$428,MATCH($O74,$A$2:$A$428,0)-1),""))</f>
        <v/>
      </c>
      <c r="AA74" s="19"/>
      <c r="AB74" s="19"/>
      <c r="AC74" s="19"/>
      <c r="AD74" s="19"/>
      <c r="AE74" s="19"/>
      <c r="AF74" s="19"/>
      <c r="AG74" s="19"/>
      <c r="AH74" s="19"/>
      <c r="AJ74" s="11">
        <v>35065</v>
      </c>
      <c r="AK74">
        <v>723096.2</v>
      </c>
      <c r="AL74" s="26" t="e">
        <f t="shared" si="7"/>
        <v>#VALUE!</v>
      </c>
    </row>
    <row r="75" spans="1:38" x14ac:dyDescent="0.3">
      <c r="A75" s="11">
        <v>35462</v>
      </c>
      <c r="B75" s="18">
        <v>132468.76999999999</v>
      </c>
      <c r="C75" t="s">
        <v>20</v>
      </c>
      <c r="D75" t="s">
        <v>20</v>
      </c>
      <c r="E75" s="11">
        <f t="shared" si="11"/>
        <v>35462</v>
      </c>
      <c r="F75" s="9">
        <f t="shared" si="4"/>
        <v>0.40825301120925372</v>
      </c>
      <c r="G75" s="9" t="e">
        <f t="shared" si="5"/>
        <v>#VALUE!</v>
      </c>
      <c r="H75" s="9" t="e">
        <f t="shared" si="6"/>
        <v>#VALUE!</v>
      </c>
      <c r="I75" s="11">
        <f t="shared" si="12"/>
        <v>35462</v>
      </c>
      <c r="J75">
        <f t="shared" si="10"/>
        <v>201.20959271501189</v>
      </c>
      <c r="O75" s="11">
        <v>36923</v>
      </c>
      <c r="P75" s="19" t="str" cm="1">
        <f t="array" ref="P75">IF(OR($O75&lt;P$387,$O75&gt;P$388),"",IFERROR(IF($O75=P$387,100,P74)*INDEX($B$2:$B$428,MATCH($O75,$A$2:$A$428,0))/INDEX($B$2:$B$428,MATCH($O75,$A$2:$A$428,0)-1),""))</f>
        <v/>
      </c>
      <c r="Q75" s="19" cm="1">
        <f t="array" ref="Q75">IF(OR($O75&lt;Q$387,$O75&gt;Q$388),"",IFERROR(IF($O75=Q$387,100,Q74)*INDEX($B$2:$B$428,MATCH($O75,$A$2:$A$428,0))/INDEX($B$2:$B$428,MATCH($O75,$A$2:$A$428,0)-1),""))</f>
        <v>149.84904509379476</v>
      </c>
      <c r="R75" s="19" t="str" cm="1">
        <f t="array" ref="R75">IF(OR($O75&lt;R$387,$O75&gt;R$388),"",IFERROR(IF($O75=R$387,100,R74)*INDEX($B$2:$B$428,MATCH($O75,$A$2:$A$428,0))/INDEX($B$2:$B$428,MATCH($O75,$A$2:$A$428,0)-1),""))</f>
        <v/>
      </c>
      <c r="S75" s="19" t="str" cm="1">
        <f t="array" ref="S75">IF(OR($O75&lt;S$387,$O75&gt;S$388),"",IFERROR(IF($O75=S$387,100,S74)*INDEX($B$2:$B$428,MATCH($O75,$A$2:$A$428,0))/INDEX($B$2:$B$428,MATCH($O75,$A$2:$A$428,0)-1),""))</f>
        <v/>
      </c>
      <c r="T75" s="19" t="str" cm="1">
        <f t="array" ref="T75">IF(OR($O75&lt;T$387,$O75&gt;T$388),"",IFERROR(IF($O75=T$387,100,T74)*INDEX($B$2:$B$428,MATCH($O75,$A$2:$A$428,0))/INDEX($B$2:$B$428,MATCH($O75,$A$2:$A$428,0)-1),""))</f>
        <v/>
      </c>
      <c r="U75" s="19" t="str" cm="1">
        <f t="array" ref="U75">IF(OR($O75&lt;U$387,$O75&gt;U$388),"",IFERROR(IF($O75=U$387,100,U74)*INDEX($B$2:$B$428,MATCH($O75,$A$2:$A$428,0))/INDEX($B$2:$B$428,MATCH($O75,$A$2:$A$428,0)-1),""))</f>
        <v/>
      </c>
      <c r="V75" s="19" t="str" cm="1">
        <f t="array" ref="V75">IF(OR($O75&lt;V$387,$O75&gt;V$388),"",IFERROR(IF($O75=V$387,100,V74)*INDEX($B$2:$B$428,MATCH($O75,$A$2:$A$428,0))/INDEX($B$2:$B$428,MATCH($O75,$A$2:$A$428,0)-1),""))</f>
        <v/>
      </c>
      <c r="W75" s="19" t="str" cm="1">
        <f t="array" ref="W75">IF(OR($O75&lt;W$387,$O75&gt;W$388),"",IFERROR(IF($O75=W$387,100,W74)*INDEX($B$2:$B$428,MATCH($O75,$A$2:$A$428,0))/INDEX($B$2:$B$428,MATCH($O75,$A$2:$A$428,0)-1),""))</f>
        <v/>
      </c>
      <c r="X75" s="19" t="str" cm="1">
        <f t="array" ref="X75">IF(OR($O75&lt;X$387,$O75&gt;X$388),"",IFERROR(IF($O75=X$387,100,X74)*INDEX($B$2:$B$428,MATCH($O75,$A$2:$A$428,0))/INDEX($B$2:$B$428,MATCH($O75,$A$2:$A$428,0)-1),""))</f>
        <v/>
      </c>
      <c r="AA75" s="19"/>
      <c r="AB75" s="19"/>
      <c r="AC75" s="19"/>
      <c r="AD75" s="19"/>
      <c r="AE75" s="19"/>
      <c r="AF75" s="19"/>
      <c r="AG75" s="19"/>
      <c r="AH75" s="19"/>
      <c r="AJ75" s="11">
        <v>35096</v>
      </c>
      <c r="AK75">
        <v>735343.8</v>
      </c>
      <c r="AL75" s="26" t="e">
        <f t="shared" si="7"/>
        <v>#VALUE!</v>
      </c>
    </row>
    <row r="76" spans="1:38" x14ac:dyDescent="0.3">
      <c r="A76" s="11">
        <v>35490</v>
      </c>
      <c r="B76" s="18">
        <v>133100.28</v>
      </c>
      <c r="C76" t="s">
        <v>20</v>
      </c>
      <c r="D76" t="s">
        <v>20</v>
      </c>
      <c r="E76" s="11">
        <f t="shared" si="11"/>
        <v>35490</v>
      </c>
      <c r="F76" s="9">
        <f t="shared" si="4"/>
        <v>0.45224571160162941</v>
      </c>
      <c r="G76" s="9" t="e">
        <f t="shared" si="5"/>
        <v>#VALUE!</v>
      </c>
      <c r="H76" s="9" t="e">
        <f t="shared" si="6"/>
        <v>#VALUE!</v>
      </c>
      <c r="I76" s="11">
        <f t="shared" si="12"/>
        <v>35490</v>
      </c>
      <c r="J76">
        <f t="shared" si="10"/>
        <v>202.16880649721475</v>
      </c>
      <c r="O76" s="11">
        <v>36951</v>
      </c>
      <c r="P76" s="19" t="str" cm="1">
        <f t="array" ref="P76">IF(OR($O76&lt;P$387,$O76&gt;P$388),"",IFERROR(IF($O76=P$387,100,P75)*INDEX($B$2:$B$428,MATCH($O76,$A$2:$A$428,0))/INDEX($B$2:$B$428,MATCH($O76,$A$2:$A$428,0)-1),""))</f>
        <v/>
      </c>
      <c r="Q76" s="19" cm="1">
        <f t="array" ref="Q76">IF(OR($O76&lt;Q$387,$O76&gt;Q$388),"",IFERROR(IF($O76=Q$387,100,Q75)*INDEX($B$2:$B$428,MATCH($O76,$A$2:$A$428,0))/INDEX($B$2:$B$428,MATCH($O76,$A$2:$A$428,0)-1),""))</f>
        <v>153.51795282818088</v>
      </c>
      <c r="R76" s="19" t="str" cm="1">
        <f t="array" ref="R76">IF(OR($O76&lt;R$387,$O76&gt;R$388),"",IFERROR(IF($O76=R$387,100,R75)*INDEX($B$2:$B$428,MATCH($O76,$A$2:$A$428,0))/INDEX($B$2:$B$428,MATCH($O76,$A$2:$A$428,0)-1),""))</f>
        <v/>
      </c>
      <c r="S76" s="19" t="str" cm="1">
        <f t="array" ref="S76">IF(OR($O76&lt;S$387,$O76&gt;S$388),"",IFERROR(IF($O76=S$387,100,S75)*INDEX($B$2:$B$428,MATCH($O76,$A$2:$A$428,0))/INDEX($B$2:$B$428,MATCH($O76,$A$2:$A$428,0)-1),""))</f>
        <v/>
      </c>
      <c r="T76" s="19" t="str" cm="1">
        <f t="array" ref="T76">IF(OR($O76&lt;T$387,$O76&gt;T$388),"",IFERROR(IF($O76=T$387,100,T75)*INDEX($B$2:$B$428,MATCH($O76,$A$2:$A$428,0))/INDEX($B$2:$B$428,MATCH($O76,$A$2:$A$428,0)-1),""))</f>
        <v/>
      </c>
      <c r="U76" s="19" t="str" cm="1">
        <f t="array" ref="U76">IF(OR($O76&lt;U$387,$O76&gt;U$388),"",IFERROR(IF($O76=U$387,100,U75)*INDEX($B$2:$B$428,MATCH($O76,$A$2:$A$428,0))/INDEX($B$2:$B$428,MATCH($O76,$A$2:$A$428,0)-1),""))</f>
        <v/>
      </c>
      <c r="V76" s="19" t="str" cm="1">
        <f t="array" ref="V76">IF(OR($O76&lt;V$387,$O76&gt;V$388),"",IFERROR(IF($O76=V$387,100,V75)*INDEX($B$2:$B$428,MATCH($O76,$A$2:$A$428,0))/INDEX($B$2:$B$428,MATCH($O76,$A$2:$A$428,0)-1),""))</f>
        <v/>
      </c>
      <c r="W76" s="19" t="str" cm="1">
        <f t="array" ref="W76">IF(OR($O76&lt;W$387,$O76&gt;W$388),"",IFERROR(IF($O76=W$387,100,W75)*INDEX($B$2:$B$428,MATCH($O76,$A$2:$A$428,0))/INDEX($B$2:$B$428,MATCH($O76,$A$2:$A$428,0)-1),""))</f>
        <v/>
      </c>
      <c r="X76" s="19" t="str" cm="1">
        <f t="array" ref="X76">IF(OR($O76&lt;X$387,$O76&gt;X$388),"",IFERROR(IF($O76=X$387,100,X75)*INDEX($B$2:$B$428,MATCH($O76,$A$2:$A$428,0))/INDEX($B$2:$B$428,MATCH($O76,$A$2:$A$428,0)-1),""))</f>
        <v/>
      </c>
      <c r="AA76" s="19"/>
      <c r="AB76" s="19"/>
      <c r="AC76" s="19"/>
      <c r="AD76" s="19"/>
      <c r="AE76" s="19"/>
      <c r="AF76" s="19"/>
      <c r="AG76" s="19"/>
      <c r="AH76" s="19"/>
      <c r="AJ76" s="11">
        <v>35125</v>
      </c>
      <c r="AK76">
        <v>738307.4</v>
      </c>
      <c r="AL76" s="26" t="e">
        <f t="shared" si="7"/>
        <v>#VALUE!</v>
      </c>
    </row>
    <row r="77" spans="1:38" x14ac:dyDescent="0.3">
      <c r="A77" s="11">
        <v>35521</v>
      </c>
      <c r="B77" s="18">
        <v>134699.97</v>
      </c>
      <c r="C77" t="s">
        <v>20</v>
      </c>
      <c r="D77" t="s">
        <v>20</v>
      </c>
      <c r="E77" s="11">
        <f t="shared" si="11"/>
        <v>35521</v>
      </c>
      <c r="F77" s="9">
        <f t="shared" si="4"/>
        <v>0.40686166379445399</v>
      </c>
      <c r="G77" s="9" t="e">
        <f t="shared" si="5"/>
        <v>#VALUE!</v>
      </c>
      <c r="H77" s="9" t="e">
        <f t="shared" si="6"/>
        <v>#VALUE!</v>
      </c>
      <c r="I77" s="11">
        <f t="shared" si="12"/>
        <v>35521</v>
      </c>
      <c r="J77">
        <f t="shared" si="10"/>
        <v>204.59860918482389</v>
      </c>
      <c r="O77" s="11">
        <v>36982</v>
      </c>
      <c r="P77" s="19" t="str" cm="1">
        <f t="array" ref="P77">IF(OR($O77&lt;P$387,$O77&gt;P$388),"",IFERROR(IF($O77=P$387,100,P76)*INDEX($B$2:$B$428,MATCH($O77,$A$2:$A$428,0))/INDEX($B$2:$B$428,MATCH($O77,$A$2:$A$428,0)-1),""))</f>
        <v/>
      </c>
      <c r="Q77" s="19" cm="1">
        <f t="array" ref="Q77">IF(OR($O77&lt;Q$387,$O77&gt;Q$388),"",IFERROR(IF($O77=Q$387,100,Q76)*INDEX($B$2:$B$428,MATCH($O77,$A$2:$A$428,0))/INDEX($B$2:$B$428,MATCH($O77,$A$2:$A$428,0)-1),""))</f>
        <v>155.96404409884406</v>
      </c>
      <c r="R77" s="19" t="str" cm="1">
        <f t="array" ref="R77">IF(OR($O77&lt;R$387,$O77&gt;R$388),"",IFERROR(IF($O77=R$387,100,R76)*INDEX($B$2:$B$428,MATCH($O77,$A$2:$A$428,0))/INDEX($B$2:$B$428,MATCH($O77,$A$2:$A$428,0)-1),""))</f>
        <v/>
      </c>
      <c r="S77" s="19" t="str" cm="1">
        <f t="array" ref="S77">IF(OR($O77&lt;S$387,$O77&gt;S$388),"",IFERROR(IF($O77=S$387,100,S76)*INDEX($B$2:$B$428,MATCH($O77,$A$2:$A$428,0))/INDEX($B$2:$B$428,MATCH($O77,$A$2:$A$428,0)-1),""))</f>
        <v/>
      </c>
      <c r="T77" s="19" t="str" cm="1">
        <f t="array" ref="T77">IF(OR($O77&lt;T$387,$O77&gt;T$388),"",IFERROR(IF($O77=T$387,100,T76)*INDEX($B$2:$B$428,MATCH($O77,$A$2:$A$428,0))/INDEX($B$2:$B$428,MATCH($O77,$A$2:$A$428,0)-1),""))</f>
        <v/>
      </c>
      <c r="U77" s="19" t="str" cm="1">
        <f t="array" ref="U77">IF(OR($O77&lt;U$387,$O77&gt;U$388),"",IFERROR(IF($O77=U$387,100,U76)*INDEX($B$2:$B$428,MATCH($O77,$A$2:$A$428,0))/INDEX($B$2:$B$428,MATCH($O77,$A$2:$A$428,0)-1),""))</f>
        <v/>
      </c>
      <c r="V77" s="19" t="str" cm="1">
        <f t="array" ref="V77">IF(OR($O77&lt;V$387,$O77&gt;V$388),"",IFERROR(IF($O77=V$387,100,V76)*INDEX($B$2:$B$428,MATCH($O77,$A$2:$A$428,0))/INDEX($B$2:$B$428,MATCH($O77,$A$2:$A$428,0)-1),""))</f>
        <v/>
      </c>
      <c r="W77" s="19" t="str" cm="1">
        <f t="array" ref="W77">IF(OR($O77&lt;W$387,$O77&gt;W$388),"",IFERROR(IF($O77=W$387,100,W76)*INDEX($B$2:$B$428,MATCH($O77,$A$2:$A$428,0))/INDEX($B$2:$B$428,MATCH($O77,$A$2:$A$428,0)-1),""))</f>
        <v/>
      </c>
      <c r="X77" s="19" t="str" cm="1">
        <f t="array" ref="X77">IF(OR($O77&lt;X$387,$O77&gt;X$388),"",IFERROR(IF($O77=X$387,100,X76)*INDEX($B$2:$B$428,MATCH($O77,$A$2:$A$428,0))/INDEX($B$2:$B$428,MATCH($O77,$A$2:$A$428,0)-1),""))</f>
        <v/>
      </c>
      <c r="AA77" s="19"/>
      <c r="AB77" s="19"/>
      <c r="AC77" s="19"/>
      <c r="AD77" s="19"/>
      <c r="AE77" s="19"/>
      <c r="AF77" s="19"/>
      <c r="AG77" s="19"/>
      <c r="AH77" s="19"/>
      <c r="AJ77" s="11">
        <v>35156</v>
      </c>
      <c r="AK77">
        <v>744537</v>
      </c>
      <c r="AL77" s="26" t="e">
        <f t="shared" si="7"/>
        <v>#VALUE!</v>
      </c>
    </row>
    <row r="78" spans="1:38" x14ac:dyDescent="0.3">
      <c r="A78" s="11">
        <v>35551</v>
      </c>
      <c r="B78" s="18">
        <v>134449.66</v>
      </c>
      <c r="C78" t="s">
        <v>20</v>
      </c>
      <c r="D78" t="s">
        <v>20</v>
      </c>
      <c r="E78" s="11">
        <f t="shared" si="11"/>
        <v>35551</v>
      </c>
      <c r="F78" s="9">
        <f t="shared" ref="F78:F141" si="13">B78/B66-1</f>
        <v>0.28516797699328422</v>
      </c>
      <c r="G78" s="9" t="e">
        <f t="shared" ref="G78:G141" si="14">C78/C66-1</f>
        <v>#VALUE!</v>
      </c>
      <c r="H78" s="9" t="e">
        <f t="shared" ref="H78:H141" si="15">D78/D66-1</f>
        <v>#VALUE!</v>
      </c>
      <c r="I78" s="11">
        <f t="shared" si="12"/>
        <v>35551</v>
      </c>
      <c r="J78">
        <f t="shared" si="10"/>
        <v>204.21840807664952</v>
      </c>
      <c r="O78" s="11">
        <v>37012</v>
      </c>
      <c r="P78" s="19" t="str" cm="1">
        <f t="array" ref="P78">IF(OR($O78&lt;P$387,$O78&gt;P$388),"",IFERROR(IF($O78=P$387,100,P77)*INDEX($B$2:$B$428,MATCH($O78,$A$2:$A$428,0))/INDEX($B$2:$B$428,MATCH($O78,$A$2:$A$428,0)-1),""))</f>
        <v/>
      </c>
      <c r="Q78" s="19" cm="1">
        <f t="array" ref="Q78">IF(OR($O78&lt;Q$387,$O78&gt;Q$388),"",IFERROR(IF($O78=Q$387,100,Q77)*INDEX($B$2:$B$428,MATCH($O78,$A$2:$A$428,0))/INDEX($B$2:$B$428,MATCH($O78,$A$2:$A$428,0)-1),""))</f>
        <v>162.09783085180837</v>
      </c>
      <c r="R78" s="19" t="str" cm="1">
        <f t="array" ref="R78">IF(OR($O78&lt;R$387,$O78&gt;R$388),"",IFERROR(IF($O78=R$387,100,R77)*INDEX($B$2:$B$428,MATCH($O78,$A$2:$A$428,0))/INDEX($B$2:$B$428,MATCH($O78,$A$2:$A$428,0)-1),""))</f>
        <v/>
      </c>
      <c r="S78" s="19" t="str" cm="1">
        <f t="array" ref="S78">IF(OR($O78&lt;S$387,$O78&gt;S$388),"",IFERROR(IF($O78=S$387,100,S77)*INDEX($B$2:$B$428,MATCH($O78,$A$2:$A$428,0))/INDEX($B$2:$B$428,MATCH($O78,$A$2:$A$428,0)-1),""))</f>
        <v/>
      </c>
      <c r="T78" s="19" t="str" cm="1">
        <f t="array" ref="T78">IF(OR($O78&lt;T$387,$O78&gt;T$388),"",IFERROR(IF($O78=T$387,100,T77)*INDEX($B$2:$B$428,MATCH($O78,$A$2:$A$428,0))/INDEX($B$2:$B$428,MATCH($O78,$A$2:$A$428,0)-1),""))</f>
        <v/>
      </c>
      <c r="U78" s="19" t="str" cm="1">
        <f t="array" ref="U78">IF(OR($O78&lt;U$387,$O78&gt;U$388),"",IFERROR(IF($O78=U$387,100,U77)*INDEX($B$2:$B$428,MATCH($O78,$A$2:$A$428,0))/INDEX($B$2:$B$428,MATCH($O78,$A$2:$A$428,0)-1),""))</f>
        <v/>
      </c>
      <c r="V78" s="19" t="str" cm="1">
        <f t="array" ref="V78">IF(OR($O78&lt;V$387,$O78&gt;V$388),"",IFERROR(IF($O78=V$387,100,V77)*INDEX($B$2:$B$428,MATCH($O78,$A$2:$A$428,0))/INDEX($B$2:$B$428,MATCH($O78,$A$2:$A$428,0)-1),""))</f>
        <v/>
      </c>
      <c r="W78" s="19" t="str" cm="1">
        <f t="array" ref="W78">IF(OR($O78&lt;W$387,$O78&gt;W$388),"",IFERROR(IF($O78=W$387,100,W77)*INDEX($B$2:$B$428,MATCH($O78,$A$2:$A$428,0))/INDEX($B$2:$B$428,MATCH($O78,$A$2:$A$428,0)-1),""))</f>
        <v/>
      </c>
      <c r="X78" s="19" t="str" cm="1">
        <f t="array" ref="X78">IF(OR($O78&lt;X$387,$O78&gt;X$388),"",IFERROR(IF($O78=X$387,100,X77)*INDEX($B$2:$B$428,MATCH($O78,$A$2:$A$428,0))/INDEX($B$2:$B$428,MATCH($O78,$A$2:$A$428,0)-1),""))</f>
        <v/>
      </c>
      <c r="AA78" s="19"/>
      <c r="AB78" s="19"/>
      <c r="AC78" s="19"/>
      <c r="AD78" s="19"/>
      <c r="AE78" s="19"/>
      <c r="AF78" s="19"/>
      <c r="AG78" s="19"/>
      <c r="AH78" s="19"/>
      <c r="AJ78" s="11">
        <v>35186</v>
      </c>
      <c r="AK78">
        <v>757675.1</v>
      </c>
      <c r="AL78" s="26" t="e">
        <f t="shared" ref="AL78:AL141" si="16">D66/AK78</f>
        <v>#VALUE!</v>
      </c>
    </row>
    <row r="79" spans="1:38" x14ac:dyDescent="0.3">
      <c r="A79" s="11">
        <v>35582</v>
      </c>
      <c r="B79" s="18">
        <v>130265.91</v>
      </c>
      <c r="C79" t="s">
        <v>20</v>
      </c>
      <c r="D79" t="s">
        <v>20</v>
      </c>
      <c r="E79" s="11">
        <f t="shared" si="11"/>
        <v>35582</v>
      </c>
      <c r="F79" s="9">
        <f t="shared" si="13"/>
        <v>0.15884906048613412</v>
      </c>
      <c r="G79" s="9" t="e">
        <f t="shared" si="14"/>
        <v>#VALUE!</v>
      </c>
      <c r="H79" s="9" t="e">
        <f t="shared" si="15"/>
        <v>#VALUE!</v>
      </c>
      <c r="I79" s="11">
        <f t="shared" si="12"/>
        <v>35582</v>
      </c>
      <c r="J79">
        <f t="shared" si="10"/>
        <v>197.86362246550939</v>
      </c>
      <c r="O79" s="11">
        <v>37043</v>
      </c>
      <c r="P79" s="19" t="str" cm="1">
        <f t="array" ref="P79">IF(OR($O79&lt;P$387,$O79&gt;P$388),"",IFERROR(IF($O79=P$387,100,P78)*INDEX($B$2:$B$428,MATCH($O79,$A$2:$A$428,0))/INDEX($B$2:$B$428,MATCH($O79,$A$2:$A$428,0)-1),""))</f>
        <v/>
      </c>
      <c r="Q79" s="19" cm="1">
        <f t="array" ref="Q79">IF(OR($O79&lt;Q$387,$O79&gt;Q$388),"",IFERROR(IF($O79=Q$387,100,Q78)*INDEX($B$2:$B$428,MATCH($O79,$A$2:$A$428,0))/INDEX($B$2:$B$428,MATCH($O79,$A$2:$A$428,0)-1),""))</f>
        <v>163.6107526281011</v>
      </c>
      <c r="R79" s="19" t="str" cm="1">
        <f t="array" ref="R79">IF(OR($O79&lt;R$387,$O79&gt;R$388),"",IFERROR(IF($O79=R$387,100,R78)*INDEX($B$2:$B$428,MATCH($O79,$A$2:$A$428,0))/INDEX($B$2:$B$428,MATCH($O79,$A$2:$A$428,0)-1),""))</f>
        <v/>
      </c>
      <c r="S79" s="19" t="str" cm="1">
        <f t="array" ref="S79">IF(OR($O79&lt;S$387,$O79&gt;S$388),"",IFERROR(IF($O79=S$387,100,S78)*INDEX($B$2:$B$428,MATCH($O79,$A$2:$A$428,0))/INDEX($B$2:$B$428,MATCH($O79,$A$2:$A$428,0)-1),""))</f>
        <v/>
      </c>
      <c r="T79" s="19" t="str" cm="1">
        <f t="array" ref="T79">IF(OR($O79&lt;T$387,$O79&gt;T$388),"",IFERROR(IF($O79=T$387,100,T78)*INDEX($B$2:$B$428,MATCH($O79,$A$2:$A$428,0))/INDEX($B$2:$B$428,MATCH($O79,$A$2:$A$428,0)-1),""))</f>
        <v/>
      </c>
      <c r="U79" s="19" t="str" cm="1">
        <f t="array" ref="U79">IF(OR($O79&lt;U$387,$O79&gt;U$388),"",IFERROR(IF($O79=U$387,100,U78)*INDEX($B$2:$B$428,MATCH($O79,$A$2:$A$428,0))/INDEX($B$2:$B$428,MATCH($O79,$A$2:$A$428,0)-1),""))</f>
        <v/>
      </c>
      <c r="V79" s="19" t="str" cm="1">
        <f t="array" ref="V79">IF(OR($O79&lt;V$387,$O79&gt;V$388),"",IFERROR(IF($O79=V$387,100,V78)*INDEX($B$2:$B$428,MATCH($O79,$A$2:$A$428,0))/INDEX($B$2:$B$428,MATCH($O79,$A$2:$A$428,0)-1),""))</f>
        <v/>
      </c>
      <c r="W79" s="19" t="str" cm="1">
        <f t="array" ref="W79">IF(OR($O79&lt;W$387,$O79&gt;W$388),"",IFERROR(IF($O79=W$387,100,W78)*INDEX($B$2:$B$428,MATCH($O79,$A$2:$A$428,0))/INDEX($B$2:$B$428,MATCH($O79,$A$2:$A$428,0)-1),""))</f>
        <v/>
      </c>
      <c r="X79" s="19" t="str" cm="1">
        <f t="array" ref="X79">IF(OR($O79&lt;X$387,$O79&gt;X$388),"",IFERROR(IF($O79=X$387,100,X78)*INDEX($B$2:$B$428,MATCH($O79,$A$2:$A$428,0))/INDEX($B$2:$B$428,MATCH($O79,$A$2:$A$428,0)-1),""))</f>
        <v/>
      </c>
      <c r="AA79" s="19"/>
      <c r="AB79" s="19"/>
      <c r="AC79" s="19"/>
      <c r="AD79" s="19"/>
      <c r="AE79" s="19"/>
      <c r="AF79" s="19"/>
      <c r="AG79" s="19"/>
      <c r="AH79" s="19"/>
      <c r="AJ79" s="11">
        <v>35217</v>
      </c>
      <c r="AK79">
        <v>772051.9</v>
      </c>
      <c r="AL79" s="26" t="e">
        <f t="shared" si="16"/>
        <v>#VALUE!</v>
      </c>
    </row>
    <row r="80" spans="1:38" x14ac:dyDescent="0.3">
      <c r="A80" s="11">
        <v>35612</v>
      </c>
      <c r="B80" s="18">
        <v>132544.64000000001</v>
      </c>
      <c r="C80" t="s">
        <v>20</v>
      </c>
      <c r="D80" t="s">
        <v>20</v>
      </c>
      <c r="E80" s="11">
        <f t="shared" si="11"/>
        <v>35612</v>
      </c>
      <c r="F80" s="9">
        <f t="shared" si="13"/>
        <v>0.14798273391862771</v>
      </c>
      <c r="G80" s="9" t="e">
        <f t="shared" si="14"/>
        <v>#VALUE!</v>
      </c>
      <c r="H80" s="9" t="e">
        <f t="shared" si="15"/>
        <v>#VALUE!</v>
      </c>
      <c r="I80" s="11">
        <f t="shared" si="12"/>
        <v>35612</v>
      </c>
      <c r="J80">
        <f t="shared" si="10"/>
        <v>201.32483324905849</v>
      </c>
      <c r="O80" s="11">
        <v>37073</v>
      </c>
      <c r="P80" s="19" t="str" cm="1">
        <f t="array" ref="P80">IF(OR($O80&lt;P$387,$O80&gt;P$388),"",IFERROR(IF($O80=P$387,100,P79)*INDEX($B$2:$B$428,MATCH($O80,$A$2:$A$428,0))/INDEX($B$2:$B$428,MATCH($O80,$A$2:$A$428,0)-1),""))</f>
        <v/>
      </c>
      <c r="Q80" s="19" cm="1">
        <f t="array" ref="Q80">IF(OR($O80&lt;Q$387,$O80&gt;Q$388),"",IFERROR(IF($O80=Q$387,100,Q79)*INDEX($B$2:$B$428,MATCH($O80,$A$2:$A$428,0))/INDEX($B$2:$B$428,MATCH($O80,$A$2:$A$428,0)-1),""))</f>
        <v>170.90621026521035</v>
      </c>
      <c r="R80" s="19" t="str" cm="1">
        <f t="array" ref="R80">IF(OR($O80&lt;R$387,$O80&gt;R$388),"",IFERROR(IF($O80=R$387,100,R79)*INDEX($B$2:$B$428,MATCH($O80,$A$2:$A$428,0))/INDEX($B$2:$B$428,MATCH($O80,$A$2:$A$428,0)-1),""))</f>
        <v/>
      </c>
      <c r="S80" s="19" t="str" cm="1">
        <f t="array" ref="S80">IF(OR($O80&lt;S$387,$O80&gt;S$388),"",IFERROR(IF($O80=S$387,100,S79)*INDEX($B$2:$B$428,MATCH($O80,$A$2:$A$428,0))/INDEX($B$2:$B$428,MATCH($O80,$A$2:$A$428,0)-1),""))</f>
        <v/>
      </c>
      <c r="T80" s="19" t="str" cm="1">
        <f t="array" ref="T80">IF(OR($O80&lt;T$387,$O80&gt;T$388),"",IFERROR(IF($O80=T$387,100,T79)*INDEX($B$2:$B$428,MATCH($O80,$A$2:$A$428,0))/INDEX($B$2:$B$428,MATCH($O80,$A$2:$A$428,0)-1),""))</f>
        <v/>
      </c>
      <c r="U80" s="19" t="str" cm="1">
        <f t="array" ref="U80">IF(OR($O80&lt;U$387,$O80&gt;U$388),"",IFERROR(IF($O80=U$387,100,U79)*INDEX($B$2:$B$428,MATCH($O80,$A$2:$A$428,0))/INDEX($B$2:$B$428,MATCH($O80,$A$2:$A$428,0)-1),""))</f>
        <v/>
      </c>
      <c r="V80" s="19" t="str" cm="1">
        <f t="array" ref="V80">IF(OR($O80&lt;V$387,$O80&gt;V$388),"",IFERROR(IF($O80=V$387,100,V79)*INDEX($B$2:$B$428,MATCH($O80,$A$2:$A$428,0))/INDEX($B$2:$B$428,MATCH($O80,$A$2:$A$428,0)-1),""))</f>
        <v/>
      </c>
      <c r="W80" s="19" t="str" cm="1">
        <f t="array" ref="W80">IF(OR($O80&lt;W$387,$O80&gt;W$388),"",IFERROR(IF($O80=W$387,100,W79)*INDEX($B$2:$B$428,MATCH($O80,$A$2:$A$428,0))/INDEX($B$2:$B$428,MATCH($O80,$A$2:$A$428,0)-1),""))</f>
        <v/>
      </c>
      <c r="X80" s="19" t="str" cm="1">
        <f t="array" ref="X80">IF(OR($O80&lt;X$387,$O80&gt;X$388),"",IFERROR(IF($O80=X$387,100,X79)*INDEX($B$2:$B$428,MATCH($O80,$A$2:$A$428,0))/INDEX($B$2:$B$428,MATCH($O80,$A$2:$A$428,0)-1),""))</f>
        <v/>
      </c>
      <c r="AA80" s="19"/>
      <c r="AB80" s="19"/>
      <c r="AC80" s="19"/>
      <c r="AD80" s="19"/>
      <c r="AE80" s="19"/>
      <c r="AF80" s="19"/>
      <c r="AG80" s="19"/>
      <c r="AH80" s="19"/>
      <c r="AJ80" s="11">
        <v>35247</v>
      </c>
      <c r="AK80">
        <v>788233.8</v>
      </c>
      <c r="AL80" s="26" t="e">
        <f t="shared" si="16"/>
        <v>#VALUE!</v>
      </c>
    </row>
    <row r="81" spans="1:38" x14ac:dyDescent="0.3">
      <c r="A81" s="11">
        <v>35643</v>
      </c>
      <c r="B81" s="18">
        <v>132251.89000000001</v>
      </c>
      <c r="C81" t="s">
        <v>20</v>
      </c>
      <c r="D81" t="s">
        <v>20</v>
      </c>
      <c r="E81" s="11">
        <f t="shared" si="11"/>
        <v>35643</v>
      </c>
      <c r="F81" s="9">
        <f t="shared" si="13"/>
        <v>0.12342897392773122</v>
      </c>
      <c r="G81" s="9" t="e">
        <f t="shared" si="14"/>
        <v>#VALUE!</v>
      </c>
      <c r="H81" s="9" t="e">
        <f t="shared" si="15"/>
        <v>#VALUE!</v>
      </c>
      <c r="I81" s="11">
        <f t="shared" si="12"/>
        <v>35643</v>
      </c>
      <c r="J81">
        <f t="shared" si="10"/>
        <v>200.88016913488789</v>
      </c>
      <c r="O81" s="11">
        <v>37104</v>
      </c>
      <c r="P81" s="19" t="str" cm="1">
        <f t="array" ref="P81">IF(OR($O81&lt;P$387,$O81&gt;P$388),"",IFERROR(IF($O81=P$387,100,P80)*INDEX($B$2:$B$428,MATCH($O81,$A$2:$A$428,0))/INDEX($B$2:$B$428,MATCH($O81,$A$2:$A$428,0)-1),""))</f>
        <v/>
      </c>
      <c r="Q81" s="19" cm="1">
        <f t="array" ref="Q81">IF(OR($O81&lt;Q$387,$O81&gt;Q$388),"",IFERROR(IF($O81=Q$387,100,Q80)*INDEX($B$2:$B$428,MATCH($O81,$A$2:$A$428,0))/INDEX($B$2:$B$428,MATCH($O81,$A$2:$A$428,0)-1),""))</f>
        <v>176.60529739253732</v>
      </c>
      <c r="R81" s="19" t="str" cm="1">
        <f t="array" ref="R81">IF(OR($O81&lt;R$387,$O81&gt;R$388),"",IFERROR(IF($O81=R$387,100,R80)*INDEX($B$2:$B$428,MATCH($O81,$A$2:$A$428,0))/INDEX($B$2:$B$428,MATCH($O81,$A$2:$A$428,0)-1),""))</f>
        <v/>
      </c>
      <c r="S81" s="19" t="str" cm="1">
        <f t="array" ref="S81">IF(OR($O81&lt;S$387,$O81&gt;S$388),"",IFERROR(IF($O81=S$387,100,S80)*INDEX($B$2:$B$428,MATCH($O81,$A$2:$A$428,0))/INDEX($B$2:$B$428,MATCH($O81,$A$2:$A$428,0)-1),""))</f>
        <v/>
      </c>
      <c r="T81" s="19" t="str" cm="1">
        <f t="array" ref="T81">IF(OR($O81&lt;T$387,$O81&gt;T$388),"",IFERROR(IF($O81=T$387,100,T80)*INDEX($B$2:$B$428,MATCH($O81,$A$2:$A$428,0))/INDEX($B$2:$B$428,MATCH($O81,$A$2:$A$428,0)-1),""))</f>
        <v/>
      </c>
      <c r="U81" s="19" t="str" cm="1">
        <f t="array" ref="U81">IF(OR($O81&lt;U$387,$O81&gt;U$388),"",IFERROR(IF($O81=U$387,100,U80)*INDEX($B$2:$B$428,MATCH($O81,$A$2:$A$428,0))/INDEX($B$2:$B$428,MATCH($O81,$A$2:$A$428,0)-1),""))</f>
        <v/>
      </c>
      <c r="V81" s="19" t="str" cm="1">
        <f t="array" ref="V81">IF(OR($O81&lt;V$387,$O81&gt;V$388),"",IFERROR(IF($O81=V$387,100,V80)*INDEX($B$2:$B$428,MATCH($O81,$A$2:$A$428,0))/INDEX($B$2:$B$428,MATCH($O81,$A$2:$A$428,0)-1),""))</f>
        <v/>
      </c>
      <c r="W81" s="19" t="str" cm="1">
        <f t="array" ref="W81">IF(OR($O81&lt;W$387,$O81&gt;W$388),"",IFERROR(IF($O81=W$387,100,W80)*INDEX($B$2:$B$428,MATCH($O81,$A$2:$A$428,0))/INDEX($B$2:$B$428,MATCH($O81,$A$2:$A$428,0)-1),""))</f>
        <v/>
      </c>
      <c r="X81" s="19" t="str" cm="1">
        <f t="array" ref="X81">IF(OR($O81&lt;X$387,$O81&gt;X$388),"",IFERROR(IF($O81=X$387,100,X80)*INDEX($B$2:$B$428,MATCH($O81,$A$2:$A$428,0))/INDEX($B$2:$B$428,MATCH($O81,$A$2:$A$428,0)-1),""))</f>
        <v/>
      </c>
      <c r="AA81" s="19"/>
      <c r="AB81" s="19"/>
      <c r="AC81" s="19"/>
      <c r="AD81" s="19"/>
      <c r="AE81" s="19"/>
      <c r="AF81" s="19"/>
      <c r="AG81" s="19"/>
      <c r="AH81" s="19"/>
      <c r="AJ81" s="11">
        <v>35278</v>
      </c>
      <c r="AK81">
        <v>802082.2</v>
      </c>
      <c r="AL81" s="26" t="e">
        <f t="shared" si="16"/>
        <v>#VALUE!</v>
      </c>
    </row>
    <row r="82" spans="1:38" x14ac:dyDescent="0.3">
      <c r="A82" s="11">
        <v>35674</v>
      </c>
      <c r="B82" s="18">
        <v>143185.97</v>
      </c>
      <c r="C82" t="s">
        <v>20</v>
      </c>
      <c r="D82" t="s">
        <v>20</v>
      </c>
      <c r="E82" s="11">
        <f t="shared" si="11"/>
        <v>35674</v>
      </c>
      <c r="F82" s="9">
        <f t="shared" si="13"/>
        <v>0.20186271720949822</v>
      </c>
      <c r="G82" s="9" t="e">
        <f t="shared" si="14"/>
        <v>#VALUE!</v>
      </c>
      <c r="H82" s="9" t="e">
        <f t="shared" si="15"/>
        <v>#VALUE!</v>
      </c>
      <c r="I82" s="11">
        <f t="shared" si="12"/>
        <v>35674</v>
      </c>
      <c r="J82">
        <f t="shared" ref="J82:J113" si="17">J81*(1+(B82/B81-1))</f>
        <v>217.48817254213139</v>
      </c>
      <c r="O82" s="11">
        <v>37135</v>
      </c>
      <c r="P82" s="19" t="str" cm="1">
        <f t="array" ref="P82">IF(OR($O82&lt;P$387,$O82&gt;P$388),"",IFERROR(IF($O82=P$387,100,P81)*INDEX($B$2:$B$428,MATCH($O82,$A$2:$A$428,0))/INDEX($B$2:$B$428,MATCH($O82,$A$2:$A$428,0)-1),""))</f>
        <v/>
      </c>
      <c r="Q82" s="19" cm="1">
        <f t="array" ref="Q82">IF(OR($O82&lt;Q$387,$O82&gt;Q$388),"",IFERROR(IF($O82=Q$387,100,Q81)*INDEX($B$2:$B$428,MATCH($O82,$A$2:$A$428,0))/INDEX($B$2:$B$428,MATCH($O82,$A$2:$A$428,0)-1),""))</f>
        <v>180.9407572366124</v>
      </c>
      <c r="R82" s="19" t="str" cm="1">
        <f t="array" ref="R82">IF(OR($O82&lt;R$387,$O82&gt;R$388),"",IFERROR(IF($O82=R$387,100,R81)*INDEX($B$2:$B$428,MATCH($O82,$A$2:$A$428,0))/INDEX($B$2:$B$428,MATCH($O82,$A$2:$A$428,0)-1),""))</f>
        <v/>
      </c>
      <c r="S82" s="19" t="str" cm="1">
        <f t="array" ref="S82">IF(OR($O82&lt;S$387,$O82&gt;S$388),"",IFERROR(IF($O82=S$387,100,S81)*INDEX($B$2:$B$428,MATCH($O82,$A$2:$A$428,0))/INDEX($B$2:$B$428,MATCH($O82,$A$2:$A$428,0)-1),""))</f>
        <v/>
      </c>
      <c r="T82" s="19" t="str" cm="1">
        <f t="array" ref="T82">IF(OR($O82&lt;T$387,$O82&gt;T$388),"",IFERROR(IF($O82=T$387,100,T81)*INDEX($B$2:$B$428,MATCH($O82,$A$2:$A$428,0))/INDEX($B$2:$B$428,MATCH($O82,$A$2:$A$428,0)-1),""))</f>
        <v/>
      </c>
      <c r="U82" s="19" t="str" cm="1">
        <f t="array" ref="U82">IF(OR($O82&lt;U$387,$O82&gt;U$388),"",IFERROR(IF($O82=U$387,100,U81)*INDEX($B$2:$B$428,MATCH($O82,$A$2:$A$428,0))/INDEX($B$2:$B$428,MATCH($O82,$A$2:$A$428,0)-1),""))</f>
        <v/>
      </c>
      <c r="V82" s="19" t="str" cm="1">
        <f t="array" ref="V82">IF(OR($O82&lt;V$387,$O82&gt;V$388),"",IFERROR(IF($O82=V$387,100,V81)*INDEX($B$2:$B$428,MATCH($O82,$A$2:$A$428,0))/INDEX($B$2:$B$428,MATCH($O82,$A$2:$A$428,0)-1),""))</f>
        <v/>
      </c>
      <c r="W82" s="19" t="str" cm="1">
        <f t="array" ref="W82">IF(OR($O82&lt;W$387,$O82&gt;W$388),"",IFERROR(IF($O82=W$387,100,W81)*INDEX($B$2:$B$428,MATCH($O82,$A$2:$A$428,0))/INDEX($B$2:$B$428,MATCH($O82,$A$2:$A$428,0)-1),""))</f>
        <v/>
      </c>
      <c r="X82" s="19" t="str" cm="1">
        <f t="array" ref="X82">IF(OR($O82&lt;X$387,$O82&gt;X$388),"",IFERROR(IF($O82=X$387,100,X81)*INDEX($B$2:$B$428,MATCH($O82,$A$2:$A$428,0))/INDEX($B$2:$B$428,MATCH($O82,$A$2:$A$428,0)-1),""))</f>
        <v/>
      </c>
      <c r="AA82" s="19"/>
      <c r="AB82" s="19"/>
      <c r="AC82" s="19"/>
      <c r="AD82" s="19"/>
      <c r="AE82" s="19"/>
      <c r="AF82" s="19"/>
      <c r="AG82" s="19"/>
      <c r="AH82" s="19"/>
      <c r="AJ82" s="11">
        <v>35309</v>
      </c>
      <c r="AK82">
        <v>813215.9</v>
      </c>
      <c r="AL82" s="26" t="e">
        <f t="shared" si="16"/>
        <v>#VALUE!</v>
      </c>
    </row>
    <row r="83" spans="1:38" x14ac:dyDescent="0.3">
      <c r="A83" s="11">
        <v>35704</v>
      </c>
      <c r="B83" s="18">
        <v>149394.79999999999</v>
      </c>
      <c r="C83" t="s">
        <v>20</v>
      </c>
      <c r="D83" t="s">
        <v>20</v>
      </c>
      <c r="E83" s="11">
        <f t="shared" si="11"/>
        <v>35704</v>
      </c>
      <c r="F83" s="9">
        <f t="shared" si="13"/>
        <v>0.22553982642667547</v>
      </c>
      <c r="G83" s="9" t="e">
        <f t="shared" si="14"/>
        <v>#VALUE!</v>
      </c>
      <c r="H83" s="9" t="e">
        <f t="shared" si="15"/>
        <v>#VALUE!</v>
      </c>
      <c r="I83" s="11">
        <f t="shared" si="12"/>
        <v>35704</v>
      </c>
      <c r="J83">
        <f t="shared" si="17"/>
        <v>226.91889463260409</v>
      </c>
      <c r="O83" s="11">
        <v>37165</v>
      </c>
      <c r="P83" s="19" t="str" cm="1">
        <f t="array" ref="P83">IF(OR($O83&lt;P$387,$O83&gt;P$388),"",IFERROR(IF($O83=P$387,100,P82)*INDEX($B$2:$B$428,MATCH($O83,$A$2:$A$428,0))/INDEX($B$2:$B$428,MATCH($O83,$A$2:$A$428,0)-1),""))</f>
        <v/>
      </c>
      <c r="Q83" s="19" cm="1">
        <f t="array" ref="Q83">IF(OR($O83&lt;Q$387,$O83&gt;Q$388),"",IFERROR(IF($O83=Q$387,100,Q82)*INDEX($B$2:$B$428,MATCH($O83,$A$2:$A$428,0))/INDEX($B$2:$B$428,MATCH($O83,$A$2:$A$428,0)-1),""))</f>
        <v>181.13509043673798</v>
      </c>
      <c r="R83" s="19" t="str" cm="1">
        <f t="array" ref="R83">IF(OR($O83&lt;R$387,$O83&gt;R$388),"",IFERROR(IF($O83=R$387,100,R82)*INDEX($B$2:$B$428,MATCH($O83,$A$2:$A$428,0))/INDEX($B$2:$B$428,MATCH($O83,$A$2:$A$428,0)-1),""))</f>
        <v/>
      </c>
      <c r="S83" s="19" t="str" cm="1">
        <f t="array" ref="S83">IF(OR($O83&lt;S$387,$O83&gt;S$388),"",IFERROR(IF($O83=S$387,100,S82)*INDEX($B$2:$B$428,MATCH($O83,$A$2:$A$428,0))/INDEX($B$2:$B$428,MATCH($O83,$A$2:$A$428,0)-1),""))</f>
        <v/>
      </c>
      <c r="T83" s="19" t="str" cm="1">
        <f t="array" ref="T83">IF(OR($O83&lt;T$387,$O83&gt;T$388),"",IFERROR(IF($O83=T$387,100,T82)*INDEX($B$2:$B$428,MATCH($O83,$A$2:$A$428,0))/INDEX($B$2:$B$428,MATCH($O83,$A$2:$A$428,0)-1),""))</f>
        <v/>
      </c>
      <c r="U83" s="19" t="str" cm="1">
        <f t="array" ref="U83">IF(OR($O83&lt;U$387,$O83&gt;U$388),"",IFERROR(IF($O83=U$387,100,U82)*INDEX($B$2:$B$428,MATCH($O83,$A$2:$A$428,0))/INDEX($B$2:$B$428,MATCH($O83,$A$2:$A$428,0)-1),""))</f>
        <v/>
      </c>
      <c r="V83" s="19" t="str" cm="1">
        <f t="array" ref="V83">IF(OR($O83&lt;V$387,$O83&gt;V$388),"",IFERROR(IF($O83=V$387,100,V82)*INDEX($B$2:$B$428,MATCH($O83,$A$2:$A$428,0))/INDEX($B$2:$B$428,MATCH($O83,$A$2:$A$428,0)-1),""))</f>
        <v/>
      </c>
      <c r="W83" s="19" t="str" cm="1">
        <f t="array" ref="W83">IF(OR($O83&lt;W$387,$O83&gt;W$388),"",IFERROR(IF($O83=W$387,100,W82)*INDEX($B$2:$B$428,MATCH($O83,$A$2:$A$428,0))/INDEX($B$2:$B$428,MATCH($O83,$A$2:$A$428,0)-1),""))</f>
        <v/>
      </c>
      <c r="X83" s="19" t="str" cm="1">
        <f t="array" ref="X83">IF(OR($O83&lt;X$387,$O83&gt;X$388),"",IFERROR(IF($O83=X$387,100,X82)*INDEX($B$2:$B$428,MATCH($O83,$A$2:$A$428,0))/INDEX($B$2:$B$428,MATCH($O83,$A$2:$A$428,0)-1),""))</f>
        <v/>
      </c>
      <c r="AA83" s="19"/>
      <c r="AB83" s="19"/>
      <c r="AC83" s="19"/>
      <c r="AD83" s="19"/>
      <c r="AE83" s="19"/>
      <c r="AF83" s="19"/>
      <c r="AG83" s="19"/>
      <c r="AH83" s="19"/>
      <c r="AJ83" s="11">
        <v>35339</v>
      </c>
      <c r="AK83">
        <v>826987.9</v>
      </c>
      <c r="AL83" s="26" t="e">
        <f t="shared" si="16"/>
        <v>#VALUE!</v>
      </c>
    </row>
    <row r="84" spans="1:38" x14ac:dyDescent="0.3">
      <c r="A84" s="11">
        <v>35735</v>
      </c>
      <c r="B84" s="18">
        <v>153923.84</v>
      </c>
      <c r="C84" t="s">
        <v>20</v>
      </c>
      <c r="D84" t="s">
        <v>20</v>
      </c>
      <c r="E84" s="11">
        <f t="shared" si="11"/>
        <v>35735</v>
      </c>
      <c r="F84" s="9">
        <f t="shared" si="13"/>
        <v>0.23227687494631133</v>
      </c>
      <c r="G84" s="9" t="e">
        <f t="shared" si="14"/>
        <v>#VALUE!</v>
      </c>
      <c r="H84" s="9" t="e">
        <f t="shared" si="15"/>
        <v>#VALUE!</v>
      </c>
      <c r="I84" s="11">
        <f t="shared" si="12"/>
        <v>35735</v>
      </c>
      <c r="J84">
        <f t="shared" si="17"/>
        <v>233.79814846571509</v>
      </c>
      <c r="O84" s="11">
        <v>37196</v>
      </c>
      <c r="P84" s="19" t="str" cm="1">
        <f t="array" ref="P84">IF(OR($O84&lt;P$387,$O84&gt;P$388),"",IFERROR(IF($O84=P$387,100,P83)*INDEX($B$2:$B$428,MATCH($O84,$A$2:$A$428,0))/INDEX($B$2:$B$428,MATCH($O84,$A$2:$A$428,0)-1),""))</f>
        <v/>
      </c>
      <c r="Q84" s="19" cm="1">
        <f t="array" ref="Q84">IF(OR($O84&lt;Q$387,$O84&gt;Q$388),"",IFERROR(IF($O84=Q$387,100,Q83)*INDEX($B$2:$B$428,MATCH($O84,$A$2:$A$428,0))/INDEX($B$2:$B$428,MATCH($O84,$A$2:$A$428,0)-1),""))</f>
        <v>175.48179871520344</v>
      </c>
      <c r="R84" s="19" t="str" cm="1">
        <f t="array" ref="R84">IF(OR($O84&lt;R$387,$O84&gt;R$388),"",IFERROR(IF($O84=R$387,100,R83)*INDEX($B$2:$B$428,MATCH($O84,$A$2:$A$428,0))/INDEX($B$2:$B$428,MATCH($O84,$A$2:$A$428,0)-1),""))</f>
        <v/>
      </c>
      <c r="S84" s="19" t="str" cm="1">
        <f t="array" ref="S84">IF(OR($O84&lt;S$387,$O84&gt;S$388),"",IFERROR(IF($O84=S$387,100,S83)*INDEX($B$2:$B$428,MATCH($O84,$A$2:$A$428,0))/INDEX($B$2:$B$428,MATCH($O84,$A$2:$A$428,0)-1),""))</f>
        <v/>
      </c>
      <c r="T84" s="19" t="str" cm="1">
        <f t="array" ref="T84">IF(OR($O84&lt;T$387,$O84&gt;T$388),"",IFERROR(IF($O84=T$387,100,T83)*INDEX($B$2:$B$428,MATCH($O84,$A$2:$A$428,0))/INDEX($B$2:$B$428,MATCH($O84,$A$2:$A$428,0)-1),""))</f>
        <v/>
      </c>
      <c r="U84" s="19" t="str" cm="1">
        <f t="array" ref="U84">IF(OR($O84&lt;U$387,$O84&gt;U$388),"",IFERROR(IF($O84=U$387,100,U83)*INDEX($B$2:$B$428,MATCH($O84,$A$2:$A$428,0))/INDEX($B$2:$B$428,MATCH($O84,$A$2:$A$428,0)-1),""))</f>
        <v/>
      </c>
      <c r="V84" s="19" t="str" cm="1">
        <f t="array" ref="V84">IF(OR($O84&lt;V$387,$O84&gt;V$388),"",IFERROR(IF($O84=V$387,100,V83)*INDEX($B$2:$B$428,MATCH($O84,$A$2:$A$428,0))/INDEX($B$2:$B$428,MATCH($O84,$A$2:$A$428,0)-1),""))</f>
        <v/>
      </c>
      <c r="W84" s="19" t="str" cm="1">
        <f t="array" ref="W84">IF(OR($O84&lt;W$387,$O84&gt;W$388),"",IFERROR(IF($O84=W$387,100,W83)*INDEX($B$2:$B$428,MATCH($O84,$A$2:$A$428,0))/INDEX($B$2:$B$428,MATCH($O84,$A$2:$A$428,0)-1),""))</f>
        <v/>
      </c>
      <c r="X84" s="19" t="str" cm="1">
        <f t="array" ref="X84">IF(OR($O84&lt;X$387,$O84&gt;X$388),"",IFERROR(IF($O84=X$387,100,X83)*INDEX($B$2:$B$428,MATCH($O84,$A$2:$A$428,0))/INDEX($B$2:$B$428,MATCH($O84,$A$2:$A$428,0)-1),""))</f>
        <v/>
      </c>
      <c r="AA84" s="19"/>
      <c r="AB84" s="19"/>
      <c r="AC84" s="19"/>
      <c r="AD84" s="19"/>
      <c r="AE84" s="19"/>
      <c r="AF84" s="19"/>
      <c r="AG84" s="19"/>
      <c r="AH84" s="19"/>
      <c r="AJ84" s="11">
        <v>35370</v>
      </c>
      <c r="AK84">
        <v>839674.2</v>
      </c>
      <c r="AL84" s="26" t="e">
        <f t="shared" si="16"/>
        <v>#VALUE!</v>
      </c>
    </row>
    <row r="85" spans="1:38" x14ac:dyDescent="0.3">
      <c r="A85" s="11">
        <v>35765</v>
      </c>
      <c r="B85" s="18">
        <v>167741.82</v>
      </c>
      <c r="C85" t="s">
        <v>20</v>
      </c>
      <c r="D85" t="s">
        <v>20</v>
      </c>
      <c r="E85" s="11">
        <f t="shared" si="11"/>
        <v>35765</v>
      </c>
      <c r="F85" s="9">
        <f t="shared" si="13"/>
        <v>0.30626536445451746</v>
      </c>
      <c r="G85" s="9" t="e">
        <f t="shared" si="14"/>
        <v>#VALUE!</v>
      </c>
      <c r="H85" s="9" t="e">
        <f t="shared" si="15"/>
        <v>#VALUE!</v>
      </c>
      <c r="I85" s="11">
        <f t="shared" si="12"/>
        <v>35765</v>
      </c>
      <c r="J85">
        <f t="shared" si="17"/>
        <v>254.78656806034246</v>
      </c>
      <c r="O85" s="11">
        <v>37226</v>
      </c>
      <c r="P85" s="19" t="str" cm="1">
        <f t="array" ref="P85">IF(OR($O85&lt;P$387,$O85&gt;P$388),"",IFERROR(IF($O85=P$387,100,P84)*INDEX($B$2:$B$428,MATCH($O85,$A$2:$A$428,0))/INDEX($B$2:$B$428,MATCH($O85,$A$2:$A$428,0)-1),""))</f>
        <v/>
      </c>
      <c r="Q85" s="19" cm="1">
        <f t="array" ref="Q85">IF(OR($O85&lt;Q$387,$O85&gt;Q$388),"",IFERROR(IF($O85=Q$387,100,Q84)*INDEX($B$2:$B$428,MATCH($O85,$A$2:$A$428,0))/INDEX($B$2:$B$428,MATCH($O85,$A$2:$A$428,0)-1),""))</f>
        <v>178.04989143751743</v>
      </c>
      <c r="R85" s="19" t="str" cm="1">
        <f t="array" ref="R85">IF(OR($O85&lt;R$387,$O85&gt;R$388),"",IFERROR(IF($O85=R$387,100,R84)*INDEX($B$2:$B$428,MATCH($O85,$A$2:$A$428,0))/INDEX($B$2:$B$428,MATCH($O85,$A$2:$A$428,0)-1),""))</f>
        <v/>
      </c>
      <c r="S85" s="19" t="str" cm="1">
        <f t="array" ref="S85">IF(OR($O85&lt;S$387,$O85&gt;S$388),"",IFERROR(IF($O85=S$387,100,S84)*INDEX($B$2:$B$428,MATCH($O85,$A$2:$A$428,0))/INDEX($B$2:$B$428,MATCH($O85,$A$2:$A$428,0)-1),""))</f>
        <v/>
      </c>
      <c r="T85" s="19" t="str" cm="1">
        <f t="array" ref="T85">IF(OR($O85&lt;T$387,$O85&gt;T$388),"",IFERROR(IF($O85=T$387,100,T84)*INDEX($B$2:$B$428,MATCH($O85,$A$2:$A$428,0))/INDEX($B$2:$B$428,MATCH($O85,$A$2:$A$428,0)-1),""))</f>
        <v/>
      </c>
      <c r="U85" s="19" t="str" cm="1">
        <f t="array" ref="U85">IF(OR($O85&lt;U$387,$O85&gt;U$388),"",IFERROR(IF($O85=U$387,100,U84)*INDEX($B$2:$B$428,MATCH($O85,$A$2:$A$428,0))/INDEX($B$2:$B$428,MATCH($O85,$A$2:$A$428,0)-1),""))</f>
        <v/>
      </c>
      <c r="V85" s="19" t="str" cm="1">
        <f t="array" ref="V85">IF(OR($O85&lt;V$387,$O85&gt;V$388),"",IFERROR(IF($O85=V$387,100,V84)*INDEX($B$2:$B$428,MATCH($O85,$A$2:$A$428,0))/INDEX($B$2:$B$428,MATCH($O85,$A$2:$A$428,0)-1),""))</f>
        <v/>
      </c>
      <c r="W85" s="19" t="str" cm="1">
        <f t="array" ref="W85">IF(OR($O85&lt;W$387,$O85&gt;W$388),"",IFERROR(IF($O85=W$387,100,W84)*INDEX($B$2:$B$428,MATCH($O85,$A$2:$A$428,0))/INDEX($B$2:$B$428,MATCH($O85,$A$2:$A$428,0)-1),""))</f>
        <v/>
      </c>
      <c r="X85" s="19" t="str" cm="1">
        <f t="array" ref="X85">IF(OR($O85&lt;X$387,$O85&gt;X$388),"",IFERROR(IF($O85=X$387,100,X84)*INDEX($B$2:$B$428,MATCH($O85,$A$2:$A$428,0))/INDEX($B$2:$B$428,MATCH($O85,$A$2:$A$428,0)-1),""))</f>
        <v/>
      </c>
      <c r="AA85" s="19"/>
      <c r="AB85" s="19"/>
      <c r="AC85" s="19"/>
      <c r="AD85" s="19"/>
      <c r="AE85" s="19"/>
      <c r="AF85" s="19"/>
      <c r="AG85" s="19"/>
      <c r="AH85" s="19"/>
      <c r="AJ85" s="11">
        <v>35400</v>
      </c>
      <c r="AK85">
        <v>854763.6</v>
      </c>
      <c r="AL85" s="26" t="e">
        <f t="shared" si="16"/>
        <v>#VALUE!</v>
      </c>
    </row>
    <row r="86" spans="1:38" x14ac:dyDescent="0.3">
      <c r="A86" s="11">
        <v>35796</v>
      </c>
      <c r="B86" s="18">
        <v>173816.83</v>
      </c>
      <c r="C86" s="18">
        <v>291693.71999999997</v>
      </c>
      <c r="D86" s="18">
        <v>383553.42</v>
      </c>
      <c r="E86" s="11">
        <f t="shared" si="11"/>
        <v>35796</v>
      </c>
      <c r="F86" s="9">
        <f t="shared" si="13"/>
        <v>0.3237211392190571</v>
      </c>
      <c r="G86" s="9" t="e">
        <f t="shared" si="14"/>
        <v>#VALUE!</v>
      </c>
      <c r="H86" s="9" t="e">
        <f t="shared" si="15"/>
        <v>#VALUE!</v>
      </c>
      <c r="I86" s="11">
        <f t="shared" si="12"/>
        <v>35796</v>
      </c>
      <c r="J86">
        <f t="shared" si="17"/>
        <v>264.01402814651692</v>
      </c>
      <c r="O86" s="11">
        <v>37257</v>
      </c>
      <c r="P86" s="19" t="str" cm="1">
        <f t="array" ref="P86">IF(OR($O86&lt;P$387,$O86&gt;P$388),"",IFERROR(IF($O86=P$387,100,P85)*INDEX($B$2:$B$428,MATCH($O86,$A$2:$A$428,0))/INDEX($B$2:$B$428,MATCH($O86,$A$2:$A$428,0)-1),""))</f>
        <v/>
      </c>
      <c r="Q86" s="19" cm="1">
        <f t="array" ref="Q86">IF(OR($O86&lt;Q$387,$O86&gt;Q$388),"",IFERROR(IF($O86=Q$387,100,Q85)*INDEX($B$2:$B$428,MATCH($O86,$A$2:$A$428,0))/INDEX($B$2:$B$428,MATCH($O86,$A$2:$A$428,0)-1),""))</f>
        <v>184.65367456784077</v>
      </c>
      <c r="R86" s="19" t="str" cm="1">
        <f t="array" ref="R86">IF(OR($O86&lt;R$387,$O86&gt;R$388),"",IFERROR(IF($O86=R$387,100,R85)*INDEX($B$2:$B$428,MATCH($O86,$A$2:$A$428,0))/INDEX($B$2:$B$428,MATCH($O86,$A$2:$A$428,0)-1),""))</f>
        <v/>
      </c>
      <c r="S86" s="19" t="str" cm="1">
        <f t="array" ref="S86">IF(OR($O86&lt;S$387,$O86&gt;S$388),"",IFERROR(IF($O86=S$387,100,S85)*INDEX($B$2:$B$428,MATCH($O86,$A$2:$A$428,0))/INDEX($B$2:$B$428,MATCH($O86,$A$2:$A$428,0)-1),""))</f>
        <v/>
      </c>
      <c r="T86" s="19" t="str" cm="1">
        <f t="array" ref="T86">IF(OR($O86&lt;T$387,$O86&gt;T$388),"",IFERROR(IF($O86=T$387,100,T85)*INDEX($B$2:$B$428,MATCH($O86,$A$2:$A$428,0))/INDEX($B$2:$B$428,MATCH($O86,$A$2:$A$428,0)-1),""))</f>
        <v/>
      </c>
      <c r="U86" s="19" t="str" cm="1">
        <f t="array" ref="U86">IF(OR($O86&lt;U$387,$O86&gt;U$388),"",IFERROR(IF($O86=U$387,100,U85)*INDEX($B$2:$B$428,MATCH($O86,$A$2:$A$428,0))/INDEX($B$2:$B$428,MATCH($O86,$A$2:$A$428,0)-1),""))</f>
        <v/>
      </c>
      <c r="V86" s="19" t="str" cm="1">
        <f t="array" ref="V86">IF(OR($O86&lt;V$387,$O86&gt;V$388),"",IFERROR(IF($O86=V$387,100,V85)*INDEX($B$2:$B$428,MATCH($O86,$A$2:$A$428,0))/INDEX($B$2:$B$428,MATCH($O86,$A$2:$A$428,0)-1),""))</f>
        <v/>
      </c>
      <c r="W86" s="19" t="str" cm="1">
        <f t="array" ref="W86">IF(OR($O86&lt;W$387,$O86&gt;W$388),"",IFERROR(IF($O86=W$387,100,W85)*INDEX($B$2:$B$428,MATCH($O86,$A$2:$A$428,0))/INDEX($B$2:$B$428,MATCH($O86,$A$2:$A$428,0)-1),""))</f>
        <v/>
      </c>
      <c r="X86" s="19" t="str" cm="1">
        <f t="array" ref="X86">IF(OR($O86&lt;X$387,$O86&gt;X$388),"",IFERROR(IF($O86=X$387,100,X85)*INDEX($B$2:$B$428,MATCH($O86,$A$2:$A$428,0))/INDEX($B$2:$B$428,MATCH($O86,$A$2:$A$428,0)-1),""))</f>
        <v/>
      </c>
      <c r="AA86" s="19"/>
      <c r="AB86" s="19"/>
      <c r="AC86" s="19"/>
      <c r="AD86" s="19"/>
      <c r="AE86" s="19"/>
      <c r="AF86" s="19"/>
      <c r="AG86" s="19"/>
      <c r="AH86" s="19"/>
      <c r="AJ86" s="11">
        <v>35431</v>
      </c>
      <c r="AK86">
        <v>868213</v>
      </c>
      <c r="AL86" s="26" t="e">
        <f t="shared" si="16"/>
        <v>#VALUE!</v>
      </c>
    </row>
    <row r="87" spans="1:38" x14ac:dyDescent="0.3">
      <c r="A87" s="11">
        <v>35827</v>
      </c>
      <c r="B87" s="18">
        <v>177389.89</v>
      </c>
      <c r="C87" s="18">
        <v>298259.88</v>
      </c>
      <c r="D87" s="18">
        <v>389801.68</v>
      </c>
      <c r="E87" s="11">
        <f t="shared" si="11"/>
        <v>35827</v>
      </c>
      <c r="F87" s="9">
        <f t="shared" si="13"/>
        <v>0.33910724769317357</v>
      </c>
      <c r="G87" s="9" t="e">
        <f t="shared" si="14"/>
        <v>#VALUE!</v>
      </c>
      <c r="H87" s="9" t="e">
        <f t="shared" si="15"/>
        <v>#VALUE!</v>
      </c>
      <c r="I87" s="11">
        <f t="shared" si="12"/>
        <v>35827</v>
      </c>
      <c r="J87">
        <f t="shared" si="17"/>
        <v>269.44122391006414</v>
      </c>
      <c r="O87" s="11">
        <v>37288</v>
      </c>
      <c r="P87" s="19" t="str" cm="1">
        <f t="array" ref="P87">IF(OR($O87&lt;P$387,$O87&gt;P$388),"",IFERROR(IF($O87=P$387,100,P86)*INDEX($B$2:$B$428,MATCH($O87,$A$2:$A$428,0))/INDEX($B$2:$B$428,MATCH($O87,$A$2:$A$428,0)-1),""))</f>
        <v/>
      </c>
      <c r="Q87" s="19" cm="1">
        <f t="array" ref="Q87">IF(OR($O87&lt;Q$387,$O87&gt;Q$388),"",IFERROR(IF($O87=Q$387,100,Q86)*INDEX($B$2:$B$428,MATCH($O87,$A$2:$A$428,0))/INDEX($B$2:$B$428,MATCH($O87,$A$2:$A$428,0)-1),""))</f>
        <v>182.96680289261275</v>
      </c>
      <c r="R87" s="19" t="str" cm="1">
        <f t="array" ref="R87">IF(OR($O87&lt;R$387,$O87&gt;R$388),"",IFERROR(IF($O87=R$387,100,R86)*INDEX($B$2:$B$428,MATCH($O87,$A$2:$A$428,0))/INDEX($B$2:$B$428,MATCH($O87,$A$2:$A$428,0)-1),""))</f>
        <v/>
      </c>
      <c r="S87" s="19" t="str" cm="1">
        <f t="array" ref="S87">IF(OR($O87&lt;S$387,$O87&gt;S$388),"",IFERROR(IF($O87=S$387,100,S86)*INDEX($B$2:$B$428,MATCH($O87,$A$2:$A$428,0))/INDEX($B$2:$B$428,MATCH($O87,$A$2:$A$428,0)-1),""))</f>
        <v/>
      </c>
      <c r="T87" s="19" t="str" cm="1">
        <f t="array" ref="T87">IF(OR($O87&lt;T$387,$O87&gt;T$388),"",IFERROR(IF($O87=T$387,100,T86)*INDEX($B$2:$B$428,MATCH($O87,$A$2:$A$428,0))/INDEX($B$2:$B$428,MATCH($O87,$A$2:$A$428,0)-1),""))</f>
        <v/>
      </c>
      <c r="U87" s="19" t="str" cm="1">
        <f t="array" ref="U87">IF(OR($O87&lt;U$387,$O87&gt;U$388),"",IFERROR(IF($O87=U$387,100,U86)*INDEX($B$2:$B$428,MATCH($O87,$A$2:$A$428,0))/INDEX($B$2:$B$428,MATCH($O87,$A$2:$A$428,0)-1),""))</f>
        <v/>
      </c>
      <c r="V87" s="19" t="str" cm="1">
        <f t="array" ref="V87">IF(OR($O87&lt;V$387,$O87&gt;V$388),"",IFERROR(IF($O87=V$387,100,V86)*INDEX($B$2:$B$428,MATCH($O87,$A$2:$A$428,0))/INDEX($B$2:$B$428,MATCH($O87,$A$2:$A$428,0)-1),""))</f>
        <v/>
      </c>
      <c r="W87" s="19" t="str" cm="1">
        <f t="array" ref="W87">IF(OR($O87&lt;W$387,$O87&gt;W$388),"",IFERROR(IF($O87=W$387,100,W86)*INDEX($B$2:$B$428,MATCH($O87,$A$2:$A$428,0))/INDEX($B$2:$B$428,MATCH($O87,$A$2:$A$428,0)-1),""))</f>
        <v/>
      </c>
      <c r="X87" s="19" t="str" cm="1">
        <f t="array" ref="X87">IF(OR($O87&lt;X$387,$O87&gt;X$388),"",IFERROR(IF($O87=X$387,100,X86)*INDEX($B$2:$B$428,MATCH($O87,$A$2:$A$428,0))/INDEX($B$2:$B$428,MATCH($O87,$A$2:$A$428,0)-1),""))</f>
        <v/>
      </c>
      <c r="AA87" s="19"/>
      <c r="AB87" s="19"/>
      <c r="AC87" s="19"/>
      <c r="AD87" s="19"/>
      <c r="AE87" s="19"/>
      <c r="AF87" s="19"/>
      <c r="AG87" s="19"/>
      <c r="AH87" s="19"/>
      <c r="AJ87" s="11">
        <v>35462</v>
      </c>
      <c r="AK87">
        <v>877083.6</v>
      </c>
      <c r="AL87" s="26" t="e">
        <f t="shared" si="16"/>
        <v>#VALUE!</v>
      </c>
    </row>
    <row r="88" spans="1:38" x14ac:dyDescent="0.3">
      <c r="A88" s="11">
        <v>35855</v>
      </c>
      <c r="B88" s="18">
        <v>177525.67</v>
      </c>
      <c r="C88" s="18">
        <v>299917.75</v>
      </c>
      <c r="D88" s="18">
        <v>398650.15</v>
      </c>
      <c r="E88" s="11">
        <f t="shared" si="11"/>
        <v>35855</v>
      </c>
      <c r="F88" s="9">
        <f t="shared" si="13"/>
        <v>0.33377382827444091</v>
      </c>
      <c r="G88" s="9" t="e">
        <f t="shared" si="14"/>
        <v>#VALUE!</v>
      </c>
      <c r="H88" s="9" t="e">
        <f t="shared" si="15"/>
        <v>#VALUE!</v>
      </c>
      <c r="I88" s="11">
        <f t="shared" si="12"/>
        <v>35855</v>
      </c>
      <c r="J88">
        <f t="shared" si="17"/>
        <v>269.64746299946495</v>
      </c>
      <c r="O88" s="11">
        <v>37316</v>
      </c>
      <c r="P88" s="19" t="str" cm="1">
        <f t="array" ref="P88">IF(OR($O88&lt;P$387,$O88&gt;P$388),"",IFERROR(IF($O88=P$387,100,P87)*INDEX($B$2:$B$428,MATCH($O88,$A$2:$A$428,0))/INDEX($B$2:$B$428,MATCH($O88,$A$2:$A$428,0)-1),""))</f>
        <v/>
      </c>
      <c r="Q88" s="19" cm="1">
        <f t="array" ref="Q88">IF(OR($O88&lt;Q$387,$O88&gt;Q$388),"",IFERROR(IF($O88=Q$387,100,Q87)*INDEX($B$2:$B$428,MATCH($O88,$A$2:$A$428,0))/INDEX($B$2:$B$428,MATCH($O88,$A$2:$A$428,0)-1),""))</f>
        <v>182.77732121220197</v>
      </c>
      <c r="R88" s="19" t="str" cm="1">
        <f t="array" ref="R88">IF(OR($O88&lt;R$387,$O88&gt;R$388),"",IFERROR(IF($O88=R$387,100,R87)*INDEX($B$2:$B$428,MATCH($O88,$A$2:$A$428,0))/INDEX($B$2:$B$428,MATCH($O88,$A$2:$A$428,0)-1),""))</f>
        <v/>
      </c>
      <c r="S88" s="19" t="str" cm="1">
        <f t="array" ref="S88">IF(OR($O88&lt;S$387,$O88&gt;S$388),"",IFERROR(IF($O88=S$387,100,S87)*INDEX($B$2:$B$428,MATCH($O88,$A$2:$A$428,0))/INDEX($B$2:$B$428,MATCH($O88,$A$2:$A$428,0)-1),""))</f>
        <v/>
      </c>
      <c r="T88" s="19" t="str" cm="1">
        <f t="array" ref="T88">IF(OR($O88&lt;T$387,$O88&gt;T$388),"",IFERROR(IF($O88=T$387,100,T87)*INDEX($B$2:$B$428,MATCH($O88,$A$2:$A$428,0))/INDEX($B$2:$B$428,MATCH($O88,$A$2:$A$428,0)-1),""))</f>
        <v/>
      </c>
      <c r="U88" s="19" t="str" cm="1">
        <f t="array" ref="U88">IF(OR($O88&lt;U$387,$O88&gt;U$388),"",IFERROR(IF($O88=U$387,100,U87)*INDEX($B$2:$B$428,MATCH($O88,$A$2:$A$428,0))/INDEX($B$2:$B$428,MATCH($O88,$A$2:$A$428,0)-1),""))</f>
        <v/>
      </c>
      <c r="V88" s="19" t="str" cm="1">
        <f t="array" ref="V88">IF(OR($O88&lt;V$387,$O88&gt;V$388),"",IFERROR(IF($O88=V$387,100,V87)*INDEX($B$2:$B$428,MATCH($O88,$A$2:$A$428,0))/INDEX($B$2:$B$428,MATCH($O88,$A$2:$A$428,0)-1),""))</f>
        <v/>
      </c>
      <c r="W88" s="19" t="str" cm="1">
        <f t="array" ref="W88">IF(OR($O88&lt;W$387,$O88&gt;W$388),"",IFERROR(IF($O88=W$387,100,W87)*INDEX($B$2:$B$428,MATCH($O88,$A$2:$A$428,0))/INDEX($B$2:$B$428,MATCH($O88,$A$2:$A$428,0)-1),""))</f>
        <v/>
      </c>
      <c r="X88" s="19" t="str" cm="1">
        <f t="array" ref="X88">IF(OR($O88&lt;X$387,$O88&gt;X$388),"",IFERROR(IF($O88=X$387,100,X87)*INDEX($B$2:$B$428,MATCH($O88,$A$2:$A$428,0))/INDEX($B$2:$B$428,MATCH($O88,$A$2:$A$428,0)-1),""))</f>
        <v/>
      </c>
      <c r="AA88" s="19"/>
      <c r="AB88" s="19"/>
      <c r="AC88" s="19"/>
      <c r="AD88" s="19"/>
      <c r="AE88" s="19"/>
      <c r="AF88" s="19"/>
      <c r="AG88" s="19"/>
      <c r="AH88" s="19"/>
      <c r="AJ88" s="11">
        <v>35490</v>
      </c>
      <c r="AK88">
        <v>884557.4</v>
      </c>
      <c r="AL88" s="26" t="e">
        <f t="shared" si="16"/>
        <v>#VALUE!</v>
      </c>
    </row>
    <row r="89" spans="1:38" x14ac:dyDescent="0.3">
      <c r="A89" s="11">
        <v>35886</v>
      </c>
      <c r="B89" s="18">
        <v>182408.18</v>
      </c>
      <c r="C89" s="18">
        <v>303963.92</v>
      </c>
      <c r="D89" s="18">
        <v>403347.27</v>
      </c>
      <c r="E89" s="11">
        <f t="shared" si="11"/>
        <v>35886</v>
      </c>
      <c r="F89" s="9">
        <f t="shared" si="13"/>
        <v>0.35418129640266427</v>
      </c>
      <c r="G89" s="9" t="e">
        <f t="shared" si="14"/>
        <v>#VALUE!</v>
      </c>
      <c r="H89" s="9" t="e">
        <f t="shared" si="15"/>
        <v>#VALUE!</v>
      </c>
      <c r="I89" s="11">
        <f t="shared" si="12"/>
        <v>35886</v>
      </c>
      <c r="J89">
        <f t="shared" si="17"/>
        <v>277.06360982808701</v>
      </c>
      <c r="O89" s="11">
        <v>37347</v>
      </c>
      <c r="P89" s="19" t="str" cm="1">
        <f t="array" ref="P89">IF(OR($O89&lt;P$387,$O89&gt;P$388),"",IFERROR(IF($O89=P$387,100,P88)*INDEX($B$2:$B$428,MATCH($O89,$A$2:$A$428,0))/INDEX($B$2:$B$428,MATCH($O89,$A$2:$A$428,0)-1),""))</f>
        <v/>
      </c>
      <c r="Q89" s="19" cm="1">
        <f t="array" ref="Q89">IF(OR($O89&lt;Q$387,$O89&gt;Q$388),"",IFERROR(IF($O89=Q$387,100,Q88)*INDEX($B$2:$B$428,MATCH($O89,$A$2:$A$428,0))/INDEX($B$2:$B$428,MATCH($O89,$A$2:$A$428,0)-1),""))</f>
        <v>185.03599767092464</v>
      </c>
      <c r="R89" s="19" t="str" cm="1">
        <f t="array" ref="R89">IF(OR($O89&lt;R$387,$O89&gt;R$388),"",IFERROR(IF($O89=R$387,100,R88)*INDEX($B$2:$B$428,MATCH($O89,$A$2:$A$428,0))/INDEX($B$2:$B$428,MATCH($O89,$A$2:$A$428,0)-1),""))</f>
        <v/>
      </c>
      <c r="S89" s="19" t="str" cm="1">
        <f t="array" ref="S89">IF(OR($O89&lt;S$387,$O89&gt;S$388),"",IFERROR(IF($O89=S$387,100,S88)*INDEX($B$2:$B$428,MATCH($O89,$A$2:$A$428,0))/INDEX($B$2:$B$428,MATCH($O89,$A$2:$A$428,0)-1),""))</f>
        <v/>
      </c>
      <c r="T89" s="19" t="str" cm="1">
        <f t="array" ref="T89">IF(OR($O89&lt;T$387,$O89&gt;T$388),"",IFERROR(IF($O89=T$387,100,T88)*INDEX($B$2:$B$428,MATCH($O89,$A$2:$A$428,0))/INDEX($B$2:$B$428,MATCH($O89,$A$2:$A$428,0)-1),""))</f>
        <v/>
      </c>
      <c r="U89" s="19" t="str" cm="1">
        <f t="array" ref="U89">IF(OR($O89&lt;U$387,$O89&gt;U$388),"",IFERROR(IF($O89=U$387,100,U88)*INDEX($B$2:$B$428,MATCH($O89,$A$2:$A$428,0))/INDEX($B$2:$B$428,MATCH($O89,$A$2:$A$428,0)-1),""))</f>
        <v/>
      </c>
      <c r="V89" s="19" t="str" cm="1">
        <f t="array" ref="V89">IF(OR($O89&lt;V$387,$O89&gt;V$388),"",IFERROR(IF($O89=V$387,100,V88)*INDEX($B$2:$B$428,MATCH($O89,$A$2:$A$428,0))/INDEX($B$2:$B$428,MATCH($O89,$A$2:$A$428,0)-1),""))</f>
        <v/>
      </c>
      <c r="W89" s="19" t="str" cm="1">
        <f t="array" ref="W89">IF(OR($O89&lt;W$387,$O89&gt;W$388),"",IFERROR(IF($O89=W$387,100,W88)*INDEX($B$2:$B$428,MATCH($O89,$A$2:$A$428,0))/INDEX($B$2:$B$428,MATCH($O89,$A$2:$A$428,0)-1),""))</f>
        <v/>
      </c>
      <c r="X89" s="19" t="str" cm="1">
        <f t="array" ref="X89">IF(OR($O89&lt;X$387,$O89&gt;X$388),"",IFERROR(IF($O89=X$387,100,X88)*INDEX($B$2:$B$428,MATCH($O89,$A$2:$A$428,0))/INDEX($B$2:$B$428,MATCH($O89,$A$2:$A$428,0)-1),""))</f>
        <v/>
      </c>
      <c r="AA89" s="19"/>
      <c r="AB89" s="19"/>
      <c r="AC89" s="19"/>
      <c r="AD89" s="19"/>
      <c r="AE89" s="19"/>
      <c r="AF89" s="19"/>
      <c r="AG89" s="19"/>
      <c r="AH89" s="19"/>
      <c r="AJ89" s="11">
        <v>35521</v>
      </c>
      <c r="AK89">
        <v>894114.7</v>
      </c>
      <c r="AL89" s="26" t="e">
        <f t="shared" si="16"/>
        <v>#VALUE!</v>
      </c>
    </row>
    <row r="90" spans="1:38" x14ac:dyDescent="0.3">
      <c r="A90" s="11">
        <v>35916</v>
      </c>
      <c r="B90" s="18">
        <v>186391.04000000001</v>
      </c>
      <c r="C90" s="18">
        <v>308819.71000000002</v>
      </c>
      <c r="D90" s="18">
        <v>399773.41</v>
      </c>
      <c r="E90" s="11">
        <f t="shared" si="11"/>
        <v>35916</v>
      </c>
      <c r="F90" s="9">
        <f t="shared" si="13"/>
        <v>0.38632585608621106</v>
      </c>
      <c r="G90" s="9" t="e">
        <f t="shared" si="14"/>
        <v>#VALUE!</v>
      </c>
      <c r="H90" s="9" t="e">
        <f t="shared" si="15"/>
        <v>#VALUE!</v>
      </c>
      <c r="I90" s="11">
        <f t="shared" si="12"/>
        <v>35916</v>
      </c>
      <c r="J90">
        <f t="shared" si="17"/>
        <v>283.11325940542446</v>
      </c>
      <c r="O90" s="11">
        <v>37377</v>
      </c>
      <c r="P90" s="19" t="str" cm="1">
        <f t="array" ref="P90">IF(OR($O90&lt;P$387,$O90&gt;P$388),"",IFERROR(IF($O90=P$387,100,P89)*INDEX($B$2:$B$428,MATCH($O90,$A$2:$A$428,0))/INDEX($B$2:$B$428,MATCH($O90,$A$2:$A$428,0)-1),""))</f>
        <v/>
      </c>
      <c r="Q90" s="19" cm="1">
        <f t="array" ref="Q90">IF(OR($O90&lt;Q$387,$O90&gt;Q$388),"",IFERROR(IF($O90=Q$387,100,Q89)*INDEX($B$2:$B$428,MATCH($O90,$A$2:$A$428,0))/INDEX($B$2:$B$428,MATCH($O90,$A$2:$A$428,0)-1),""))</f>
        <v>193.32240199173481</v>
      </c>
      <c r="R90" s="19" t="str" cm="1">
        <f t="array" ref="R90">IF(OR($O90&lt;R$387,$O90&gt;R$388),"",IFERROR(IF($O90=R$387,100,R89)*INDEX($B$2:$B$428,MATCH($O90,$A$2:$A$428,0))/INDEX($B$2:$B$428,MATCH($O90,$A$2:$A$428,0)-1),""))</f>
        <v/>
      </c>
      <c r="S90" s="19" t="str" cm="1">
        <f t="array" ref="S90">IF(OR($O90&lt;S$387,$O90&gt;S$388),"",IFERROR(IF($O90=S$387,100,S89)*INDEX($B$2:$B$428,MATCH($O90,$A$2:$A$428,0))/INDEX($B$2:$B$428,MATCH($O90,$A$2:$A$428,0)-1),""))</f>
        <v/>
      </c>
      <c r="T90" s="19" t="str" cm="1">
        <f t="array" ref="T90">IF(OR($O90&lt;T$387,$O90&gt;T$388),"",IFERROR(IF($O90=T$387,100,T89)*INDEX($B$2:$B$428,MATCH($O90,$A$2:$A$428,0))/INDEX($B$2:$B$428,MATCH($O90,$A$2:$A$428,0)-1),""))</f>
        <v/>
      </c>
      <c r="U90" s="19" t="str" cm="1">
        <f t="array" ref="U90">IF(OR($O90&lt;U$387,$O90&gt;U$388),"",IFERROR(IF($O90=U$387,100,U89)*INDEX($B$2:$B$428,MATCH($O90,$A$2:$A$428,0))/INDEX($B$2:$B$428,MATCH($O90,$A$2:$A$428,0)-1),""))</f>
        <v/>
      </c>
      <c r="V90" s="19" t="str" cm="1">
        <f t="array" ref="V90">IF(OR($O90&lt;V$387,$O90&gt;V$388),"",IFERROR(IF($O90=V$387,100,V89)*INDEX($B$2:$B$428,MATCH($O90,$A$2:$A$428,0))/INDEX($B$2:$B$428,MATCH($O90,$A$2:$A$428,0)-1),""))</f>
        <v/>
      </c>
      <c r="W90" s="19" t="str" cm="1">
        <f t="array" ref="W90">IF(OR($O90&lt;W$387,$O90&gt;W$388),"",IFERROR(IF($O90=W$387,100,W89)*INDEX($B$2:$B$428,MATCH($O90,$A$2:$A$428,0))/INDEX($B$2:$B$428,MATCH($O90,$A$2:$A$428,0)-1),""))</f>
        <v/>
      </c>
      <c r="X90" s="19" t="str" cm="1">
        <f t="array" ref="X90">IF(OR($O90&lt;X$387,$O90&gt;X$388),"",IFERROR(IF($O90=X$387,100,X89)*INDEX($B$2:$B$428,MATCH($O90,$A$2:$A$428,0))/INDEX($B$2:$B$428,MATCH($O90,$A$2:$A$428,0)-1),""))</f>
        <v/>
      </c>
      <c r="AA90" s="19"/>
      <c r="AB90" s="19"/>
      <c r="AC90" s="19"/>
      <c r="AD90" s="19"/>
      <c r="AE90" s="19"/>
      <c r="AF90" s="19"/>
      <c r="AG90" s="19"/>
      <c r="AH90" s="19"/>
      <c r="AJ90" s="11">
        <v>35551</v>
      </c>
      <c r="AK90">
        <v>902736.7</v>
      </c>
      <c r="AL90" s="26" t="e">
        <f t="shared" si="16"/>
        <v>#VALUE!</v>
      </c>
    </row>
    <row r="91" spans="1:38" x14ac:dyDescent="0.3">
      <c r="A91" s="11">
        <v>35947</v>
      </c>
      <c r="B91" s="18">
        <v>195800.2</v>
      </c>
      <c r="C91" s="18">
        <v>316869</v>
      </c>
      <c r="D91" s="18">
        <v>425626.1</v>
      </c>
      <c r="E91" s="11">
        <f t="shared" si="11"/>
        <v>35947</v>
      </c>
      <c r="F91" s="9">
        <f t="shared" si="13"/>
        <v>0.50308089046474258</v>
      </c>
      <c r="G91" s="9" t="e">
        <f t="shared" si="14"/>
        <v>#VALUE!</v>
      </c>
      <c r="H91" s="9" t="e">
        <f t="shared" si="15"/>
        <v>#VALUE!</v>
      </c>
      <c r="I91" s="11">
        <f t="shared" si="12"/>
        <v>35947</v>
      </c>
      <c r="J91">
        <f t="shared" si="17"/>
        <v>297.40502984603762</v>
      </c>
      <c r="O91" s="11">
        <v>37408</v>
      </c>
      <c r="P91" s="19" t="str" cm="1">
        <f t="array" ref="P91">IF(OR($O91&lt;P$387,$O91&gt;P$388),"",IFERROR(IF($O91=P$387,100,P90)*INDEX($B$2:$B$428,MATCH($O91,$A$2:$A$428,0))/INDEX($B$2:$B$428,MATCH($O91,$A$2:$A$428,0)-1),""))</f>
        <v/>
      </c>
      <c r="Q91" s="19" cm="1">
        <f t="array" ref="Q91">IF(OR($O91&lt;Q$387,$O91&gt;Q$388),"",IFERROR(IF($O91=Q$387,100,Q90)*INDEX($B$2:$B$428,MATCH($O91,$A$2:$A$428,0))/INDEX($B$2:$B$428,MATCH($O91,$A$2:$A$428,0)-1),""))</f>
        <v>208.33917865068432</v>
      </c>
      <c r="R91" s="19" t="str" cm="1">
        <f t="array" ref="R91">IF(OR($O91&lt;R$387,$O91&gt;R$388),"",IFERROR(IF($O91=R$387,100,R90)*INDEX($B$2:$B$428,MATCH($O91,$A$2:$A$428,0))/INDEX($B$2:$B$428,MATCH($O91,$A$2:$A$428,0)-1),""))</f>
        <v/>
      </c>
      <c r="S91" s="19" t="str" cm="1">
        <f t="array" ref="S91">IF(OR($O91&lt;S$387,$O91&gt;S$388),"",IFERROR(IF($O91=S$387,100,S90)*INDEX($B$2:$B$428,MATCH($O91,$A$2:$A$428,0))/INDEX($B$2:$B$428,MATCH($O91,$A$2:$A$428,0)-1),""))</f>
        <v/>
      </c>
      <c r="T91" s="19" t="str" cm="1">
        <f t="array" ref="T91">IF(OR($O91&lt;T$387,$O91&gt;T$388),"",IFERROR(IF($O91=T$387,100,T90)*INDEX($B$2:$B$428,MATCH($O91,$A$2:$A$428,0))/INDEX($B$2:$B$428,MATCH($O91,$A$2:$A$428,0)-1),""))</f>
        <v/>
      </c>
      <c r="U91" s="19" t="str" cm="1">
        <f t="array" ref="U91">IF(OR($O91&lt;U$387,$O91&gt;U$388),"",IFERROR(IF($O91=U$387,100,U90)*INDEX($B$2:$B$428,MATCH($O91,$A$2:$A$428,0))/INDEX($B$2:$B$428,MATCH($O91,$A$2:$A$428,0)-1),""))</f>
        <v/>
      </c>
      <c r="V91" s="19" t="str" cm="1">
        <f t="array" ref="V91">IF(OR($O91&lt;V$387,$O91&gt;V$388),"",IFERROR(IF($O91=V$387,100,V90)*INDEX($B$2:$B$428,MATCH($O91,$A$2:$A$428,0))/INDEX($B$2:$B$428,MATCH($O91,$A$2:$A$428,0)-1),""))</f>
        <v/>
      </c>
      <c r="W91" s="19" t="str" cm="1">
        <f t="array" ref="W91">IF(OR($O91&lt;W$387,$O91&gt;W$388),"",IFERROR(IF($O91=W$387,100,W90)*INDEX($B$2:$B$428,MATCH($O91,$A$2:$A$428,0))/INDEX($B$2:$B$428,MATCH($O91,$A$2:$A$428,0)-1),""))</f>
        <v/>
      </c>
      <c r="X91" s="19" t="str" cm="1">
        <f t="array" ref="X91">IF(OR($O91&lt;X$387,$O91&gt;X$388),"",IFERROR(IF($O91=X$387,100,X90)*INDEX($B$2:$B$428,MATCH($O91,$A$2:$A$428,0))/INDEX($B$2:$B$428,MATCH($O91,$A$2:$A$428,0)-1),""))</f>
        <v/>
      </c>
      <c r="AA91" s="19"/>
      <c r="AB91" s="19"/>
      <c r="AC91" s="19"/>
      <c r="AD91" s="19"/>
      <c r="AE91" s="19"/>
      <c r="AF91" s="19"/>
      <c r="AG91" s="19"/>
      <c r="AH91" s="19"/>
      <c r="AJ91" s="11">
        <v>35582</v>
      </c>
      <c r="AK91">
        <v>912836.2</v>
      </c>
      <c r="AL91" s="26" t="e">
        <f t="shared" si="16"/>
        <v>#VALUE!</v>
      </c>
    </row>
    <row r="92" spans="1:38" x14ac:dyDescent="0.3">
      <c r="A92" s="11">
        <v>35977</v>
      </c>
      <c r="B92" s="18">
        <v>199138.17</v>
      </c>
      <c r="C92" s="18">
        <v>320226.59000000003</v>
      </c>
      <c r="D92" s="18">
        <v>434172.44</v>
      </c>
      <c r="E92" s="11">
        <f t="shared" si="11"/>
        <v>35977</v>
      </c>
      <c r="F92" s="9">
        <f t="shared" si="13"/>
        <v>0.50242340995456325</v>
      </c>
      <c r="G92" s="9" t="e">
        <f t="shared" si="14"/>
        <v>#VALUE!</v>
      </c>
      <c r="H92" s="9" t="e">
        <f t="shared" si="15"/>
        <v>#VALUE!</v>
      </c>
      <c r="I92" s="11">
        <f t="shared" si="12"/>
        <v>35977</v>
      </c>
      <c r="J92">
        <f t="shared" si="17"/>
        <v>302.47514247858436</v>
      </c>
      <c r="O92" s="11">
        <v>37438</v>
      </c>
      <c r="P92" s="19" t="str" cm="1">
        <f t="array" ref="P92">IF(OR($O92&lt;P$387,$O92&gt;P$388),"",IFERROR(IF($O92=P$387,100,P91)*INDEX($B$2:$B$428,MATCH($O92,$A$2:$A$428,0))/INDEX($B$2:$B$428,MATCH($O92,$A$2:$A$428,0)-1),""))</f>
        <v/>
      </c>
      <c r="Q92" s="19" cm="1">
        <f t="array" ref="Q92">IF(OR($O92&lt;Q$387,$O92&gt;Q$388),"",IFERROR(IF($O92=Q$387,100,Q91)*INDEX($B$2:$B$428,MATCH($O92,$A$2:$A$428,0))/INDEX($B$2:$B$428,MATCH($O92,$A$2:$A$428,0)-1),""))</f>
        <v>231.62290598766617</v>
      </c>
      <c r="R92" s="19" t="str" cm="1">
        <f t="array" ref="R92">IF(OR($O92&lt;R$387,$O92&gt;R$388),"",IFERROR(IF($O92=R$387,100,R91)*INDEX($B$2:$B$428,MATCH($O92,$A$2:$A$428,0))/INDEX($B$2:$B$428,MATCH($O92,$A$2:$A$428,0)-1),""))</f>
        <v/>
      </c>
      <c r="S92" s="19" t="str" cm="1">
        <f t="array" ref="S92">IF(OR($O92&lt;S$387,$O92&gt;S$388),"",IFERROR(IF($O92=S$387,100,S91)*INDEX($B$2:$B$428,MATCH($O92,$A$2:$A$428,0))/INDEX($B$2:$B$428,MATCH($O92,$A$2:$A$428,0)-1),""))</f>
        <v/>
      </c>
      <c r="T92" s="19" t="str" cm="1">
        <f t="array" ref="T92">IF(OR($O92&lt;T$387,$O92&gt;T$388),"",IFERROR(IF($O92=T$387,100,T91)*INDEX($B$2:$B$428,MATCH($O92,$A$2:$A$428,0))/INDEX($B$2:$B$428,MATCH($O92,$A$2:$A$428,0)-1),""))</f>
        <v/>
      </c>
      <c r="U92" s="19" t="str" cm="1">
        <f t="array" ref="U92">IF(OR($O92&lt;U$387,$O92&gt;U$388),"",IFERROR(IF($O92=U$387,100,U91)*INDEX($B$2:$B$428,MATCH($O92,$A$2:$A$428,0))/INDEX($B$2:$B$428,MATCH($O92,$A$2:$A$428,0)-1),""))</f>
        <v/>
      </c>
      <c r="V92" s="19" t="str" cm="1">
        <f t="array" ref="V92">IF(OR($O92&lt;V$387,$O92&gt;V$388),"",IFERROR(IF($O92=V$387,100,V91)*INDEX($B$2:$B$428,MATCH($O92,$A$2:$A$428,0))/INDEX($B$2:$B$428,MATCH($O92,$A$2:$A$428,0)-1),""))</f>
        <v/>
      </c>
      <c r="W92" s="19" t="str" cm="1">
        <f t="array" ref="W92">IF(OR($O92&lt;W$387,$O92&gt;W$388),"",IFERROR(IF($O92=W$387,100,W91)*INDEX($B$2:$B$428,MATCH($O92,$A$2:$A$428,0))/INDEX($B$2:$B$428,MATCH($O92,$A$2:$A$428,0)-1),""))</f>
        <v/>
      </c>
      <c r="X92" s="19" t="str" cm="1">
        <f t="array" ref="X92">IF(OR($O92&lt;X$387,$O92&gt;X$388),"",IFERROR(IF($O92=X$387,100,X91)*INDEX($B$2:$B$428,MATCH($O92,$A$2:$A$428,0))/INDEX($B$2:$B$428,MATCH($O92,$A$2:$A$428,0)-1),""))</f>
        <v/>
      </c>
      <c r="AA92" s="19"/>
      <c r="AB92" s="19"/>
      <c r="AC92" s="19"/>
      <c r="AD92" s="19"/>
      <c r="AE92" s="19"/>
      <c r="AF92" s="19"/>
      <c r="AG92" s="19"/>
      <c r="AH92" s="19"/>
      <c r="AJ92" s="11">
        <v>35612</v>
      </c>
      <c r="AK92">
        <v>919924.9</v>
      </c>
      <c r="AL92" s="26" t="e">
        <f t="shared" si="16"/>
        <v>#VALUE!</v>
      </c>
    </row>
    <row r="93" spans="1:38" x14ac:dyDescent="0.3">
      <c r="A93" s="11">
        <v>36008</v>
      </c>
      <c r="B93" s="18">
        <v>195601.71</v>
      </c>
      <c r="C93" s="18">
        <v>319590.12</v>
      </c>
      <c r="D93" s="18">
        <v>434965.81</v>
      </c>
      <c r="E93" s="11">
        <f t="shared" si="11"/>
        <v>36008</v>
      </c>
      <c r="F93" s="9">
        <f t="shared" si="13"/>
        <v>0.47900880660382228</v>
      </c>
      <c r="G93" s="9" t="e">
        <f t="shared" si="14"/>
        <v>#VALUE!</v>
      </c>
      <c r="H93" s="9" t="e">
        <f t="shared" si="15"/>
        <v>#VALUE!</v>
      </c>
      <c r="I93" s="11">
        <f t="shared" si="12"/>
        <v>36008</v>
      </c>
      <c r="J93">
        <f t="shared" si="17"/>
        <v>297.10353922256462</v>
      </c>
      <c r="O93" s="11">
        <v>37469</v>
      </c>
      <c r="P93" s="19" t="str" cm="1">
        <f t="array" ref="P93">IF(OR($O93&lt;P$387,$O93&gt;P$388),"",IFERROR(IF($O93=P$387,100,P92)*INDEX($B$2:$B$428,MATCH($O93,$A$2:$A$428,0))/INDEX($B$2:$B$428,MATCH($O93,$A$2:$A$428,0)-1),""))</f>
        <v/>
      </c>
      <c r="Q93" s="19" cm="1">
        <f t="array" ref="Q93">IF(OR($O93&lt;Q$387,$O93&gt;Q$388),"",IFERROR(IF($O93=Q$387,100,Q92)*INDEX($B$2:$B$428,MATCH($O93,$A$2:$A$428,0))/INDEX($B$2:$B$428,MATCH($O93,$A$2:$A$428,0)-1),""))</f>
        <v>218.26074834302449</v>
      </c>
      <c r="R93" s="19" t="str" cm="1">
        <f t="array" ref="R93">IF(OR($O93&lt;R$387,$O93&gt;R$388),"",IFERROR(IF($O93=R$387,100,R92)*INDEX($B$2:$B$428,MATCH($O93,$A$2:$A$428,0))/INDEX($B$2:$B$428,MATCH($O93,$A$2:$A$428,0)-1),""))</f>
        <v/>
      </c>
      <c r="S93" s="19" t="str" cm="1">
        <f t="array" ref="S93">IF(OR($O93&lt;S$387,$O93&gt;S$388),"",IFERROR(IF($O93=S$387,100,S92)*INDEX($B$2:$B$428,MATCH($O93,$A$2:$A$428,0))/INDEX($B$2:$B$428,MATCH($O93,$A$2:$A$428,0)-1),""))</f>
        <v/>
      </c>
      <c r="T93" s="19" t="str" cm="1">
        <f t="array" ref="T93">IF(OR($O93&lt;T$387,$O93&gt;T$388),"",IFERROR(IF($O93=T$387,100,T92)*INDEX($B$2:$B$428,MATCH($O93,$A$2:$A$428,0))/INDEX($B$2:$B$428,MATCH($O93,$A$2:$A$428,0)-1),""))</f>
        <v/>
      </c>
      <c r="U93" s="19" t="str" cm="1">
        <f t="array" ref="U93">IF(OR($O93&lt;U$387,$O93&gt;U$388),"",IFERROR(IF($O93=U$387,100,U92)*INDEX($B$2:$B$428,MATCH($O93,$A$2:$A$428,0))/INDEX($B$2:$B$428,MATCH($O93,$A$2:$A$428,0)-1),""))</f>
        <v/>
      </c>
      <c r="V93" s="19" t="str" cm="1">
        <f t="array" ref="V93">IF(OR($O93&lt;V$387,$O93&gt;V$388),"",IFERROR(IF($O93=V$387,100,V92)*INDEX($B$2:$B$428,MATCH($O93,$A$2:$A$428,0))/INDEX($B$2:$B$428,MATCH($O93,$A$2:$A$428,0)-1),""))</f>
        <v/>
      </c>
      <c r="W93" s="19" t="str" cm="1">
        <f t="array" ref="W93">IF(OR($O93&lt;W$387,$O93&gt;W$388),"",IFERROR(IF($O93=W$387,100,W92)*INDEX($B$2:$B$428,MATCH($O93,$A$2:$A$428,0))/INDEX($B$2:$B$428,MATCH($O93,$A$2:$A$428,0)-1),""))</f>
        <v/>
      </c>
      <c r="X93" s="19" t="str" cm="1">
        <f t="array" ref="X93">IF(OR($O93&lt;X$387,$O93&gt;X$388),"",IFERROR(IF($O93=X$387,100,X92)*INDEX($B$2:$B$428,MATCH($O93,$A$2:$A$428,0))/INDEX($B$2:$B$428,MATCH($O93,$A$2:$A$428,0)-1),""))</f>
        <v/>
      </c>
      <c r="AA93" s="19"/>
      <c r="AB93" s="19"/>
      <c r="AC93" s="19"/>
      <c r="AD93" s="19"/>
      <c r="AE93" s="19"/>
      <c r="AF93" s="19"/>
      <c r="AG93" s="19"/>
      <c r="AH93" s="19"/>
      <c r="AJ93" s="11">
        <v>35643</v>
      </c>
      <c r="AK93">
        <v>927258.7</v>
      </c>
      <c r="AL93" s="26" t="e">
        <f t="shared" si="16"/>
        <v>#VALUE!</v>
      </c>
    </row>
    <row r="94" spans="1:38" x14ac:dyDescent="0.3">
      <c r="A94" s="11">
        <v>36039</v>
      </c>
      <c r="B94" s="18">
        <v>201509.13</v>
      </c>
      <c r="C94" s="18">
        <v>326932.65000000002</v>
      </c>
      <c r="D94" s="18">
        <v>438566.41</v>
      </c>
      <c r="E94" s="11">
        <f t="shared" si="11"/>
        <v>36039</v>
      </c>
      <c r="F94" s="9">
        <f t="shared" si="13"/>
        <v>0.40732454443686072</v>
      </c>
      <c r="G94" s="9" t="e">
        <f t="shared" si="14"/>
        <v>#VALUE!</v>
      </c>
      <c r="H94" s="9" t="e">
        <f t="shared" si="15"/>
        <v>#VALUE!</v>
      </c>
      <c r="I94" s="11">
        <f t="shared" si="12"/>
        <v>36039</v>
      </c>
      <c r="J94">
        <f t="shared" si="17"/>
        <v>306.07644334326056</v>
      </c>
      <c r="O94" s="11">
        <v>37500</v>
      </c>
      <c r="P94" s="19" t="str" cm="1">
        <f t="array" ref="P94">IF(OR($O94&lt;P$387,$O94&gt;P$388),"",IFERROR(IF($O94=P$387,100,P93)*INDEX($B$2:$B$428,MATCH($O94,$A$2:$A$428,0))/INDEX($B$2:$B$428,MATCH($O94,$A$2:$A$428,0)-1),""))</f>
        <v/>
      </c>
      <c r="Q94" s="19" cm="1">
        <f t="array" ref="Q94">IF(OR($O94&lt;Q$387,$O94&gt;Q$388),"",IFERROR(IF($O94=Q$387,100,Q93)*INDEX($B$2:$B$428,MATCH($O94,$A$2:$A$428,0))/INDEX($B$2:$B$428,MATCH($O94,$A$2:$A$428,0)-1),""))</f>
        <v>254.10464079425873</v>
      </c>
      <c r="R94" s="19" t="str" cm="1">
        <f t="array" ref="R94">IF(OR($O94&lt;R$387,$O94&gt;R$388),"",IFERROR(IF($O94=R$387,100,R93)*INDEX($B$2:$B$428,MATCH($O94,$A$2:$A$428,0))/INDEX($B$2:$B$428,MATCH($O94,$A$2:$A$428,0)-1),""))</f>
        <v/>
      </c>
      <c r="S94" s="19" t="str" cm="1">
        <f t="array" ref="S94">IF(OR($O94&lt;S$387,$O94&gt;S$388),"",IFERROR(IF($O94=S$387,100,S93)*INDEX($B$2:$B$428,MATCH($O94,$A$2:$A$428,0))/INDEX($B$2:$B$428,MATCH($O94,$A$2:$A$428,0)-1),""))</f>
        <v/>
      </c>
      <c r="T94" s="19" t="str" cm="1">
        <f t="array" ref="T94">IF(OR($O94&lt;T$387,$O94&gt;T$388),"",IFERROR(IF($O94=T$387,100,T93)*INDEX($B$2:$B$428,MATCH($O94,$A$2:$A$428,0))/INDEX($B$2:$B$428,MATCH($O94,$A$2:$A$428,0)-1),""))</f>
        <v/>
      </c>
      <c r="U94" s="19" t="str" cm="1">
        <f t="array" ref="U94">IF(OR($O94&lt;U$387,$O94&gt;U$388),"",IFERROR(IF($O94=U$387,100,U93)*INDEX($B$2:$B$428,MATCH($O94,$A$2:$A$428,0))/INDEX($B$2:$B$428,MATCH($O94,$A$2:$A$428,0)-1),""))</f>
        <v/>
      </c>
      <c r="V94" s="19" t="str" cm="1">
        <f t="array" ref="V94">IF(OR($O94&lt;V$387,$O94&gt;V$388),"",IFERROR(IF($O94=V$387,100,V93)*INDEX($B$2:$B$428,MATCH($O94,$A$2:$A$428,0))/INDEX($B$2:$B$428,MATCH($O94,$A$2:$A$428,0)-1),""))</f>
        <v/>
      </c>
      <c r="W94" s="19" t="str" cm="1">
        <f t="array" ref="W94">IF(OR($O94&lt;W$387,$O94&gt;W$388),"",IFERROR(IF($O94=W$387,100,W93)*INDEX($B$2:$B$428,MATCH($O94,$A$2:$A$428,0))/INDEX($B$2:$B$428,MATCH($O94,$A$2:$A$428,0)-1),""))</f>
        <v/>
      </c>
      <c r="X94" s="19" t="str" cm="1">
        <f t="array" ref="X94">IF(OR($O94&lt;X$387,$O94&gt;X$388),"",IFERROR(IF($O94=X$387,100,X93)*INDEX($B$2:$B$428,MATCH($O94,$A$2:$A$428,0))/INDEX($B$2:$B$428,MATCH($O94,$A$2:$A$428,0)-1),""))</f>
        <v/>
      </c>
      <c r="AA94" s="19"/>
      <c r="AB94" s="19"/>
      <c r="AC94" s="19"/>
      <c r="AD94" s="19"/>
      <c r="AE94" s="19"/>
      <c r="AF94" s="19"/>
      <c r="AG94" s="19"/>
      <c r="AH94" s="19"/>
      <c r="AJ94" s="11">
        <v>35674</v>
      </c>
      <c r="AK94">
        <v>937501.4</v>
      </c>
      <c r="AL94" s="26" t="e">
        <f t="shared" si="16"/>
        <v>#VALUE!</v>
      </c>
    </row>
    <row r="95" spans="1:38" x14ac:dyDescent="0.3">
      <c r="A95" s="11">
        <v>36069</v>
      </c>
      <c r="B95" s="18">
        <v>208043.92</v>
      </c>
      <c r="C95" s="18">
        <v>335651.22</v>
      </c>
      <c r="D95" s="18">
        <v>453012.08</v>
      </c>
      <c r="E95" s="11">
        <f t="shared" si="11"/>
        <v>36069</v>
      </c>
      <c r="F95" s="9">
        <f t="shared" si="13"/>
        <v>0.3925780549256066</v>
      </c>
      <c r="G95" s="9" t="e">
        <f t="shared" si="14"/>
        <v>#VALUE!</v>
      </c>
      <c r="H95" s="9" t="e">
        <f t="shared" si="15"/>
        <v>#VALUE!</v>
      </c>
      <c r="I95" s="11">
        <f t="shared" si="12"/>
        <v>36069</v>
      </c>
      <c r="J95">
        <f t="shared" si="17"/>
        <v>316.00227291334062</v>
      </c>
      <c r="O95" s="11">
        <v>37530</v>
      </c>
      <c r="P95" s="19" t="str" cm="1">
        <f t="array" ref="P95">IF(OR($O95&lt;P$387,$O95&gt;P$388),"",IFERROR(IF($O95=P$387,100,P94)*INDEX($B$2:$B$428,MATCH($O95,$A$2:$A$428,0))/INDEX($B$2:$B$428,MATCH($O95,$A$2:$A$428,0)-1),""))</f>
        <v/>
      </c>
      <c r="Q95" s="19" cm="1">
        <f t="array" ref="Q95">IF(OR($O95&lt;Q$387,$O95&gt;Q$388),"",IFERROR(IF($O95=Q$387,100,Q94)*INDEX($B$2:$B$428,MATCH($O95,$A$2:$A$428,0))/INDEX($B$2:$B$428,MATCH($O95,$A$2:$A$428,0)-1),""))</f>
        <v>245.86931579821731</v>
      </c>
      <c r="R95" s="19" t="str" cm="1">
        <f t="array" ref="R95">IF(OR($O95&lt;R$387,$O95&gt;R$388),"",IFERROR(IF($O95=R$387,100,R94)*INDEX($B$2:$B$428,MATCH($O95,$A$2:$A$428,0))/INDEX($B$2:$B$428,MATCH($O95,$A$2:$A$428,0)-1),""))</f>
        <v/>
      </c>
      <c r="S95" s="19" t="str" cm="1">
        <f t="array" ref="S95">IF(OR($O95&lt;S$387,$O95&gt;S$388),"",IFERROR(IF($O95=S$387,100,S94)*INDEX($B$2:$B$428,MATCH($O95,$A$2:$A$428,0))/INDEX($B$2:$B$428,MATCH($O95,$A$2:$A$428,0)-1),""))</f>
        <v/>
      </c>
      <c r="T95" s="19" t="str" cm="1">
        <f t="array" ref="T95">IF(OR($O95&lt;T$387,$O95&gt;T$388),"",IFERROR(IF($O95=T$387,100,T94)*INDEX($B$2:$B$428,MATCH($O95,$A$2:$A$428,0))/INDEX($B$2:$B$428,MATCH($O95,$A$2:$A$428,0)-1),""))</f>
        <v/>
      </c>
      <c r="U95" s="19" t="str" cm="1">
        <f t="array" ref="U95">IF(OR($O95&lt;U$387,$O95&gt;U$388),"",IFERROR(IF($O95=U$387,100,U94)*INDEX($B$2:$B$428,MATCH($O95,$A$2:$A$428,0))/INDEX($B$2:$B$428,MATCH($O95,$A$2:$A$428,0)-1),""))</f>
        <v/>
      </c>
      <c r="V95" s="19" t="str" cm="1">
        <f t="array" ref="V95">IF(OR($O95&lt;V$387,$O95&gt;V$388),"",IFERROR(IF($O95=V$387,100,V94)*INDEX($B$2:$B$428,MATCH($O95,$A$2:$A$428,0))/INDEX($B$2:$B$428,MATCH($O95,$A$2:$A$428,0)-1),""))</f>
        <v/>
      </c>
      <c r="W95" s="19" t="str" cm="1">
        <f t="array" ref="W95">IF(OR($O95&lt;W$387,$O95&gt;W$388),"",IFERROR(IF($O95=W$387,100,W94)*INDEX($B$2:$B$428,MATCH($O95,$A$2:$A$428,0))/INDEX($B$2:$B$428,MATCH($O95,$A$2:$A$428,0)-1),""))</f>
        <v/>
      </c>
      <c r="X95" s="19" t="str" cm="1">
        <f t="array" ref="X95">IF(OR($O95&lt;X$387,$O95&gt;X$388),"",IFERROR(IF($O95=X$387,100,X94)*INDEX($B$2:$B$428,MATCH($O95,$A$2:$A$428,0))/INDEX($B$2:$B$428,MATCH($O95,$A$2:$A$428,0)-1),""))</f>
        <v/>
      </c>
      <c r="AA95" s="19"/>
      <c r="AB95" s="19"/>
      <c r="AC95" s="19"/>
      <c r="AD95" s="19"/>
      <c r="AE95" s="19"/>
      <c r="AF95" s="19"/>
      <c r="AG95" s="19"/>
      <c r="AH95" s="19"/>
      <c r="AJ95" s="11">
        <v>35704</v>
      </c>
      <c r="AK95">
        <v>947598.5</v>
      </c>
      <c r="AL95" s="26" t="e">
        <f t="shared" si="16"/>
        <v>#VALUE!</v>
      </c>
    </row>
    <row r="96" spans="1:38" x14ac:dyDescent="0.3">
      <c r="A96" s="11">
        <v>36100</v>
      </c>
      <c r="B96" s="18">
        <v>225821.3</v>
      </c>
      <c r="C96" s="18">
        <v>352279.1</v>
      </c>
      <c r="D96" s="18">
        <v>482371.68</v>
      </c>
      <c r="E96" s="11">
        <f t="shared" si="11"/>
        <v>36100</v>
      </c>
      <c r="F96" s="9">
        <f t="shared" si="13"/>
        <v>0.46709762438359115</v>
      </c>
      <c r="G96" s="9" t="e">
        <f t="shared" si="14"/>
        <v>#VALUE!</v>
      </c>
      <c r="H96" s="9" t="e">
        <f t="shared" si="15"/>
        <v>#VALUE!</v>
      </c>
      <c r="I96" s="11">
        <f t="shared" si="12"/>
        <v>36100</v>
      </c>
      <c r="J96">
        <f t="shared" si="17"/>
        <v>343.00470819933292</v>
      </c>
      <c r="O96" s="11">
        <v>37561</v>
      </c>
      <c r="P96" s="19" t="str" cm="1">
        <f t="array" ref="P96">IF(OR($O96&lt;P$387,$O96&gt;P$388),"",IFERROR(IF($O96=P$387,100,P95)*INDEX($B$2:$B$428,MATCH($O96,$A$2:$A$428,0))/INDEX($B$2:$B$428,MATCH($O96,$A$2:$A$428,0)-1),""))</f>
        <v/>
      </c>
      <c r="Q96" s="19" cm="1">
        <f t="array" ref="Q96">IF(OR($O96&lt;Q$387,$O96&gt;Q$388),"",IFERROR(IF($O96=Q$387,100,Q95)*INDEX($B$2:$B$428,MATCH($O96,$A$2:$A$428,0))/INDEX($B$2:$B$428,MATCH($O96,$A$2:$A$428,0)-1),""))</f>
        <v>244.41874167144977</v>
      </c>
      <c r="R96" s="19" t="str" cm="1">
        <f t="array" ref="R96">IF(OR($O96&lt;R$387,$O96&gt;R$388),"",IFERROR(IF($O96=R$387,100,R95)*INDEX($B$2:$B$428,MATCH($O96,$A$2:$A$428,0))/INDEX($B$2:$B$428,MATCH($O96,$A$2:$A$428,0)-1),""))</f>
        <v/>
      </c>
      <c r="S96" s="19" t="str" cm="1">
        <f t="array" ref="S96">IF(OR($O96&lt;S$387,$O96&gt;S$388),"",IFERROR(IF($O96=S$387,100,S95)*INDEX($B$2:$B$428,MATCH($O96,$A$2:$A$428,0))/INDEX($B$2:$B$428,MATCH($O96,$A$2:$A$428,0)-1),""))</f>
        <v/>
      </c>
      <c r="T96" s="19" t="str" cm="1">
        <f t="array" ref="T96">IF(OR($O96&lt;T$387,$O96&gt;T$388),"",IFERROR(IF($O96=T$387,100,T95)*INDEX($B$2:$B$428,MATCH($O96,$A$2:$A$428,0))/INDEX($B$2:$B$428,MATCH($O96,$A$2:$A$428,0)-1),""))</f>
        <v/>
      </c>
      <c r="U96" s="19" t="str" cm="1">
        <f t="array" ref="U96">IF(OR($O96&lt;U$387,$O96&gt;U$388),"",IFERROR(IF($O96=U$387,100,U95)*INDEX($B$2:$B$428,MATCH($O96,$A$2:$A$428,0))/INDEX($B$2:$B$428,MATCH($O96,$A$2:$A$428,0)-1),""))</f>
        <v/>
      </c>
      <c r="V96" s="19" t="str" cm="1">
        <f t="array" ref="V96">IF(OR($O96&lt;V$387,$O96&gt;V$388),"",IFERROR(IF($O96=V$387,100,V95)*INDEX($B$2:$B$428,MATCH($O96,$A$2:$A$428,0))/INDEX($B$2:$B$428,MATCH($O96,$A$2:$A$428,0)-1),""))</f>
        <v/>
      </c>
      <c r="W96" s="19" t="str" cm="1">
        <f t="array" ref="W96">IF(OR($O96&lt;W$387,$O96&gt;W$388),"",IFERROR(IF($O96=W$387,100,W95)*INDEX($B$2:$B$428,MATCH($O96,$A$2:$A$428,0))/INDEX($B$2:$B$428,MATCH($O96,$A$2:$A$428,0)-1),""))</f>
        <v/>
      </c>
      <c r="X96" s="19" t="str" cm="1">
        <f t="array" ref="X96">IF(OR($O96&lt;X$387,$O96&gt;X$388),"",IFERROR(IF($O96=X$387,100,X95)*INDEX($B$2:$B$428,MATCH($O96,$A$2:$A$428,0))/INDEX($B$2:$B$428,MATCH($O96,$A$2:$A$428,0)-1),""))</f>
        <v/>
      </c>
      <c r="AA96" s="19"/>
      <c r="AB96" s="19"/>
      <c r="AC96" s="19"/>
      <c r="AD96" s="19"/>
      <c r="AE96" s="19"/>
      <c r="AF96" s="19"/>
      <c r="AG96" s="19"/>
      <c r="AH96" s="19"/>
      <c r="AJ96" s="11">
        <v>35735</v>
      </c>
      <c r="AK96">
        <v>952539.5</v>
      </c>
      <c r="AL96" s="26" t="e">
        <f t="shared" si="16"/>
        <v>#VALUE!</v>
      </c>
    </row>
    <row r="97" spans="1:38" x14ac:dyDescent="0.3">
      <c r="A97" s="11">
        <v>36130</v>
      </c>
      <c r="B97" s="18">
        <v>231267.74</v>
      </c>
      <c r="C97" s="18">
        <v>367939.77</v>
      </c>
      <c r="D97" s="18">
        <v>507062.72</v>
      </c>
      <c r="E97" s="11">
        <f t="shared" si="11"/>
        <v>36130</v>
      </c>
      <c r="F97" s="9">
        <f t="shared" si="13"/>
        <v>0.37871247611358916</v>
      </c>
      <c r="G97" s="9" t="e">
        <f t="shared" si="14"/>
        <v>#VALUE!</v>
      </c>
      <c r="H97" s="9" t="e">
        <f t="shared" si="15"/>
        <v>#VALUE!</v>
      </c>
      <c r="I97" s="11">
        <f t="shared" si="12"/>
        <v>36130</v>
      </c>
      <c r="J97">
        <f t="shared" si="17"/>
        <v>351.27742013095838</v>
      </c>
      <c r="O97" s="11">
        <v>37591</v>
      </c>
      <c r="P97" s="19" t="str" cm="1">
        <f t="array" ref="P97">IF(OR($O97&lt;P$387,$O97&gt;P$388),"",IFERROR(IF($O97=P$387,100,P96)*INDEX($B$2:$B$428,MATCH($O97,$A$2:$A$428,0))/INDEX($B$2:$B$428,MATCH($O97,$A$2:$A$428,0)-1),""))</f>
        <v/>
      </c>
      <c r="Q97" s="19" cm="1">
        <f t="array" ref="Q97">IF(OR($O97&lt;Q$387,$O97&gt;Q$388),"",IFERROR(IF($O97=Q$387,100,Q96)*INDEX($B$2:$B$428,MATCH($O97,$A$2:$A$428,0))/INDEX($B$2:$B$428,MATCH($O97,$A$2:$A$428,0)-1),""))</f>
        <v>242.50196763283981</v>
      </c>
      <c r="R97" s="19" t="str" cm="1">
        <f t="array" ref="R97">IF(OR($O97&lt;R$387,$O97&gt;R$388),"",IFERROR(IF($O97=R$387,100,R96)*INDEX($B$2:$B$428,MATCH($O97,$A$2:$A$428,0))/INDEX($B$2:$B$428,MATCH($O97,$A$2:$A$428,0)-1),""))</f>
        <v/>
      </c>
      <c r="S97" s="19" t="str" cm="1">
        <f t="array" ref="S97">IF(OR($O97&lt;S$387,$O97&gt;S$388),"",IFERROR(IF($O97=S$387,100,S96)*INDEX($B$2:$B$428,MATCH($O97,$A$2:$A$428,0))/INDEX($B$2:$B$428,MATCH($O97,$A$2:$A$428,0)-1),""))</f>
        <v/>
      </c>
      <c r="T97" s="19" t="str" cm="1">
        <f t="array" ref="T97">IF(OR($O97&lt;T$387,$O97&gt;T$388),"",IFERROR(IF($O97=T$387,100,T96)*INDEX($B$2:$B$428,MATCH($O97,$A$2:$A$428,0))/INDEX($B$2:$B$428,MATCH($O97,$A$2:$A$428,0)-1),""))</f>
        <v/>
      </c>
      <c r="U97" s="19" t="str" cm="1">
        <f t="array" ref="U97">IF(OR($O97&lt;U$387,$O97&gt;U$388),"",IFERROR(IF($O97=U$387,100,U96)*INDEX($B$2:$B$428,MATCH($O97,$A$2:$A$428,0))/INDEX($B$2:$B$428,MATCH($O97,$A$2:$A$428,0)-1),""))</f>
        <v/>
      </c>
      <c r="V97" s="19" t="str" cm="1">
        <f t="array" ref="V97">IF(OR($O97&lt;V$387,$O97&gt;V$388),"",IFERROR(IF($O97=V$387,100,V96)*INDEX($B$2:$B$428,MATCH($O97,$A$2:$A$428,0))/INDEX($B$2:$B$428,MATCH($O97,$A$2:$A$428,0)-1),""))</f>
        <v/>
      </c>
      <c r="W97" s="19" t="str" cm="1">
        <f t="array" ref="W97">IF(OR($O97&lt;W$387,$O97&gt;W$388),"",IFERROR(IF($O97=W$387,100,W96)*INDEX($B$2:$B$428,MATCH($O97,$A$2:$A$428,0))/INDEX($B$2:$B$428,MATCH($O97,$A$2:$A$428,0)-1),""))</f>
        <v/>
      </c>
      <c r="X97" s="19" t="str" cm="1">
        <f t="array" ref="X97">IF(OR($O97&lt;X$387,$O97&gt;X$388),"",IFERROR(IF($O97=X$387,100,X96)*INDEX($B$2:$B$428,MATCH($O97,$A$2:$A$428,0))/INDEX($B$2:$B$428,MATCH($O97,$A$2:$A$428,0)-1),""))</f>
        <v/>
      </c>
      <c r="AA97" s="19"/>
      <c r="AB97" s="19"/>
      <c r="AC97" s="19"/>
      <c r="AD97" s="19"/>
      <c r="AE97" s="19"/>
      <c r="AF97" s="19"/>
      <c r="AG97" s="19"/>
      <c r="AH97" s="19"/>
      <c r="AJ97" s="11">
        <v>35765</v>
      </c>
      <c r="AK97">
        <v>952089.2</v>
      </c>
      <c r="AL97" s="26" t="e">
        <f t="shared" si="16"/>
        <v>#VALUE!</v>
      </c>
    </row>
    <row r="98" spans="1:38" x14ac:dyDescent="0.3">
      <c r="A98" s="11">
        <v>36161</v>
      </c>
      <c r="B98" s="18">
        <v>305517.09999999998</v>
      </c>
      <c r="C98" s="18">
        <v>446437.53</v>
      </c>
      <c r="D98" s="18">
        <v>582138.49</v>
      </c>
      <c r="E98" s="11">
        <f t="shared" si="11"/>
        <v>36161</v>
      </c>
      <c r="F98" s="9">
        <f t="shared" si="13"/>
        <v>0.75769573061480866</v>
      </c>
      <c r="G98" s="9">
        <f t="shared" si="14"/>
        <v>0.53050099947300922</v>
      </c>
      <c r="H98" s="9">
        <f t="shared" si="15"/>
        <v>0.51775074773156771</v>
      </c>
      <c r="I98" s="11">
        <f t="shared" si="12"/>
        <v>36161</v>
      </c>
      <c r="J98">
        <f t="shared" si="17"/>
        <v>464.05633009555078</v>
      </c>
      <c r="O98" s="11">
        <v>37622</v>
      </c>
      <c r="P98" s="19" t="str" cm="1">
        <f t="array" ref="P98">IF(OR($O98&lt;P$387,$O98&gt;P$388),"",IFERROR(IF($O98=P$387,100,P97)*INDEX($B$2:$B$428,MATCH($O98,$A$2:$A$428,0))/INDEX($B$2:$B$428,MATCH($O98,$A$2:$A$428,0)-1),""))</f>
        <v/>
      </c>
      <c r="Q98" s="19" t="str" cm="1">
        <f t="array" ref="Q98">IF(OR($O98&lt;Q$387,$O98&gt;Q$388),"",IFERROR(IF($O98=Q$387,100,Q97)*INDEX($B$2:$B$428,MATCH($O98,$A$2:$A$428,0))/INDEX($B$2:$B$428,MATCH($O98,$A$2:$A$428,0)-1),""))</f>
        <v/>
      </c>
      <c r="R98" s="19" cm="1">
        <f t="array" ref="R98">IF(OR($O98&lt;R$387,$O98&gt;R$388),"",IFERROR(IF($O98=R$387,100,R97)*INDEX($B$2:$B$428,MATCH($O98,$A$2:$A$428,0))/INDEX($B$2:$B$428,MATCH($O98,$A$2:$A$428,0)-1),""))</f>
        <v>100.63897928783332</v>
      </c>
      <c r="S98" s="19" t="str" cm="1">
        <f t="array" ref="S98">IF(OR($O98&lt;S$387,$O98&gt;S$388),"",IFERROR(IF($O98=S$387,100,S97)*INDEX($B$2:$B$428,MATCH($O98,$A$2:$A$428,0))/INDEX($B$2:$B$428,MATCH($O98,$A$2:$A$428,0)-1),""))</f>
        <v/>
      </c>
      <c r="T98" s="19" t="str" cm="1">
        <f t="array" ref="T98">IF(OR($O98&lt;T$387,$O98&gt;T$388),"",IFERROR(IF($O98=T$387,100,T97)*INDEX($B$2:$B$428,MATCH($O98,$A$2:$A$428,0))/INDEX($B$2:$B$428,MATCH($O98,$A$2:$A$428,0)-1),""))</f>
        <v/>
      </c>
      <c r="U98" s="19" t="str" cm="1">
        <f t="array" ref="U98">IF(OR($O98&lt;U$387,$O98&gt;U$388),"",IFERROR(IF($O98=U$387,100,U97)*INDEX($B$2:$B$428,MATCH($O98,$A$2:$A$428,0))/INDEX($B$2:$B$428,MATCH($O98,$A$2:$A$428,0)-1),""))</f>
        <v/>
      </c>
      <c r="V98" s="19" t="str" cm="1">
        <f t="array" ref="V98">IF(OR($O98&lt;V$387,$O98&gt;V$388),"",IFERROR(IF($O98=V$387,100,V97)*INDEX($B$2:$B$428,MATCH($O98,$A$2:$A$428,0))/INDEX($B$2:$B$428,MATCH($O98,$A$2:$A$428,0)-1),""))</f>
        <v/>
      </c>
      <c r="W98" s="19" t="str" cm="1">
        <f t="array" ref="W98">IF(OR($O98&lt;W$387,$O98&gt;W$388),"",IFERROR(IF($O98=W$387,100,W97)*INDEX($B$2:$B$428,MATCH($O98,$A$2:$A$428,0))/INDEX($B$2:$B$428,MATCH($O98,$A$2:$A$428,0)-1),""))</f>
        <v/>
      </c>
      <c r="X98" s="19" t="str" cm="1">
        <f t="array" ref="X98">IF(OR($O98&lt;X$387,$O98&gt;X$388),"",IFERROR(IF($O98=X$387,100,X97)*INDEX($B$2:$B$428,MATCH($O98,$A$2:$A$428,0))/INDEX($B$2:$B$428,MATCH($O98,$A$2:$A$428,0)-1),""))</f>
        <v/>
      </c>
      <c r="AA98" s="19"/>
      <c r="AB98" s="19"/>
      <c r="AC98" s="19"/>
      <c r="AD98" s="19"/>
      <c r="AE98" s="19"/>
      <c r="AF98" s="19"/>
      <c r="AG98" s="19"/>
      <c r="AH98" s="19"/>
      <c r="AJ98" s="11">
        <v>35796</v>
      </c>
      <c r="AK98">
        <v>953870.4</v>
      </c>
      <c r="AL98" s="26">
        <f t="shared" si="16"/>
        <v>0.40210223527221306</v>
      </c>
    </row>
    <row r="99" spans="1:38" x14ac:dyDescent="0.3">
      <c r="A99" s="11">
        <v>36192</v>
      </c>
      <c r="B99" s="18">
        <v>317823.65999999997</v>
      </c>
      <c r="C99" s="18">
        <v>458344.47</v>
      </c>
      <c r="D99" s="18">
        <v>595183.25</v>
      </c>
      <c r="E99" s="11">
        <f t="shared" si="11"/>
        <v>36192</v>
      </c>
      <c r="F99" s="9">
        <f t="shared" si="13"/>
        <v>0.79166727032752515</v>
      </c>
      <c r="G99" s="9">
        <f t="shared" si="14"/>
        <v>0.53672854022471927</v>
      </c>
      <c r="H99" s="9">
        <f t="shared" si="15"/>
        <v>0.52688733922337128</v>
      </c>
      <c r="I99" s="11">
        <f t="shared" si="12"/>
        <v>36192</v>
      </c>
      <c r="J99">
        <f t="shared" si="17"/>
        <v>482.74902215665213</v>
      </c>
      <c r="O99" s="11">
        <v>37653</v>
      </c>
      <c r="P99" s="19" t="str" cm="1">
        <f t="array" ref="P99">IF(OR($O99&lt;P$387,$O99&gt;P$388),"",IFERROR(IF($O99=P$387,100,P98)*INDEX($B$2:$B$428,MATCH($O99,$A$2:$A$428,0))/INDEX($B$2:$B$428,MATCH($O99,$A$2:$A$428,0)-1),""))</f>
        <v/>
      </c>
      <c r="Q99" s="19" t="str" cm="1">
        <f t="array" ref="Q99">IF(OR($O99&lt;Q$387,$O99&gt;Q$388),"",IFERROR(IF($O99=Q$387,100,Q98)*INDEX($B$2:$B$428,MATCH($O99,$A$2:$A$428,0))/INDEX($B$2:$B$428,MATCH($O99,$A$2:$A$428,0)-1),""))</f>
        <v/>
      </c>
      <c r="R99" s="19" cm="1">
        <f t="array" ref="R99">IF(OR($O99&lt;R$387,$O99&gt;R$388),"",IFERROR(IF($O99=R$387,100,R98)*INDEX($B$2:$B$428,MATCH($O99,$A$2:$A$428,0))/INDEX($B$2:$B$428,MATCH($O99,$A$2:$A$428,0)-1),""))</f>
        <v>102.53407626234331</v>
      </c>
      <c r="S99" s="19" t="str" cm="1">
        <f t="array" ref="S99">IF(OR($O99&lt;S$387,$O99&gt;S$388),"",IFERROR(IF($O99=S$387,100,S98)*INDEX($B$2:$B$428,MATCH($O99,$A$2:$A$428,0))/INDEX($B$2:$B$428,MATCH($O99,$A$2:$A$428,0)-1),""))</f>
        <v/>
      </c>
      <c r="T99" s="19" t="str" cm="1">
        <f t="array" ref="T99">IF(OR($O99&lt;T$387,$O99&gt;T$388),"",IFERROR(IF($O99=T$387,100,T98)*INDEX($B$2:$B$428,MATCH($O99,$A$2:$A$428,0))/INDEX($B$2:$B$428,MATCH($O99,$A$2:$A$428,0)-1),""))</f>
        <v/>
      </c>
      <c r="U99" s="19" t="str" cm="1">
        <f t="array" ref="U99">IF(OR($O99&lt;U$387,$O99&gt;U$388),"",IFERROR(IF($O99=U$387,100,U98)*INDEX($B$2:$B$428,MATCH($O99,$A$2:$A$428,0))/INDEX($B$2:$B$428,MATCH($O99,$A$2:$A$428,0)-1),""))</f>
        <v/>
      </c>
      <c r="V99" s="19" t="str" cm="1">
        <f t="array" ref="V99">IF(OR($O99&lt;V$387,$O99&gt;V$388),"",IFERROR(IF($O99=V$387,100,V98)*INDEX($B$2:$B$428,MATCH($O99,$A$2:$A$428,0))/INDEX($B$2:$B$428,MATCH($O99,$A$2:$A$428,0)-1),""))</f>
        <v/>
      </c>
      <c r="W99" s="19" t="str" cm="1">
        <f t="array" ref="W99">IF(OR($O99&lt;W$387,$O99&gt;W$388),"",IFERROR(IF($O99=W$387,100,W98)*INDEX($B$2:$B$428,MATCH($O99,$A$2:$A$428,0))/INDEX($B$2:$B$428,MATCH($O99,$A$2:$A$428,0)-1),""))</f>
        <v/>
      </c>
      <c r="X99" s="19" t="str" cm="1">
        <f t="array" ref="X99">IF(OR($O99&lt;X$387,$O99&gt;X$388),"",IFERROR(IF($O99=X$387,100,X98)*INDEX($B$2:$B$428,MATCH($O99,$A$2:$A$428,0))/INDEX($B$2:$B$428,MATCH($O99,$A$2:$A$428,0)-1),""))</f>
        <v/>
      </c>
      <c r="AA99" s="19"/>
      <c r="AB99" s="19"/>
      <c r="AC99" s="19"/>
      <c r="AD99" s="19"/>
      <c r="AE99" s="19"/>
      <c r="AF99" s="19"/>
      <c r="AG99" s="19"/>
      <c r="AH99" s="19"/>
      <c r="AJ99" s="11">
        <v>35827</v>
      </c>
      <c r="AK99">
        <v>958625.8</v>
      </c>
      <c r="AL99" s="26">
        <f t="shared" si="16"/>
        <v>0.40662548410443361</v>
      </c>
    </row>
    <row r="100" spans="1:38" x14ac:dyDescent="0.3">
      <c r="A100" s="11">
        <v>36220</v>
      </c>
      <c r="B100" s="18">
        <v>290165.96000000002</v>
      </c>
      <c r="C100" s="18">
        <v>433747.54</v>
      </c>
      <c r="D100" s="18">
        <v>583928.03</v>
      </c>
      <c r="E100" s="11">
        <f t="shared" si="11"/>
        <v>36220</v>
      </c>
      <c r="F100" s="9">
        <f t="shared" si="13"/>
        <v>0.63450142168172063</v>
      </c>
      <c r="G100" s="9">
        <f t="shared" si="14"/>
        <v>0.44622163909938628</v>
      </c>
      <c r="H100" s="9">
        <f t="shared" si="15"/>
        <v>0.4647631011803206</v>
      </c>
      <c r="I100" s="11">
        <f t="shared" si="12"/>
        <v>36220</v>
      </c>
      <c r="J100">
        <f t="shared" si="17"/>
        <v>440.73916162549466</v>
      </c>
      <c r="O100" s="11">
        <v>37681</v>
      </c>
      <c r="P100" s="19" t="str" cm="1">
        <f t="array" ref="P100">IF(OR($O100&lt;P$387,$O100&gt;P$388),"",IFERROR(IF($O100=P$387,100,P99)*INDEX($B$2:$B$428,MATCH($O100,$A$2:$A$428,0))/INDEX($B$2:$B$428,MATCH($O100,$A$2:$A$428,0)-1),""))</f>
        <v/>
      </c>
      <c r="Q100" s="19" t="str" cm="1">
        <f t="array" ref="Q100">IF(OR($O100&lt;Q$387,$O100&gt;Q$388),"",IFERROR(IF($O100=Q$387,100,Q99)*INDEX($B$2:$B$428,MATCH($O100,$A$2:$A$428,0))/INDEX($B$2:$B$428,MATCH($O100,$A$2:$A$428,0)-1),""))</f>
        <v/>
      </c>
      <c r="R100" s="19" cm="1">
        <f t="array" ref="R100">IF(OR($O100&lt;R$387,$O100&gt;R$388),"",IFERROR(IF($O100=R$387,100,R99)*INDEX($B$2:$B$428,MATCH($O100,$A$2:$A$428,0))/INDEX($B$2:$B$428,MATCH($O100,$A$2:$A$428,0)-1),""))</f>
        <v>99.657879564748484</v>
      </c>
      <c r="S100" s="19" t="str" cm="1">
        <f t="array" ref="S100">IF(OR($O100&lt;S$387,$O100&gt;S$388),"",IFERROR(IF($O100=S$387,100,S99)*INDEX($B$2:$B$428,MATCH($O100,$A$2:$A$428,0))/INDEX($B$2:$B$428,MATCH($O100,$A$2:$A$428,0)-1),""))</f>
        <v/>
      </c>
      <c r="T100" s="19" t="str" cm="1">
        <f t="array" ref="T100">IF(OR($O100&lt;T$387,$O100&gt;T$388),"",IFERROR(IF($O100=T$387,100,T99)*INDEX($B$2:$B$428,MATCH($O100,$A$2:$A$428,0))/INDEX($B$2:$B$428,MATCH($O100,$A$2:$A$428,0)-1),""))</f>
        <v/>
      </c>
      <c r="U100" s="19" t="str" cm="1">
        <f t="array" ref="U100">IF(OR($O100&lt;U$387,$O100&gt;U$388),"",IFERROR(IF($O100=U$387,100,U99)*INDEX($B$2:$B$428,MATCH($O100,$A$2:$A$428,0))/INDEX($B$2:$B$428,MATCH($O100,$A$2:$A$428,0)-1),""))</f>
        <v/>
      </c>
      <c r="V100" s="19" t="str" cm="1">
        <f t="array" ref="V100">IF(OR($O100&lt;V$387,$O100&gt;V$388),"",IFERROR(IF($O100=V$387,100,V99)*INDEX($B$2:$B$428,MATCH($O100,$A$2:$A$428,0))/INDEX($B$2:$B$428,MATCH($O100,$A$2:$A$428,0)-1),""))</f>
        <v/>
      </c>
      <c r="W100" s="19" t="str" cm="1">
        <f t="array" ref="W100">IF(OR($O100&lt;W$387,$O100&gt;W$388),"",IFERROR(IF($O100=W$387,100,W99)*INDEX($B$2:$B$428,MATCH($O100,$A$2:$A$428,0))/INDEX($B$2:$B$428,MATCH($O100,$A$2:$A$428,0)-1),""))</f>
        <v/>
      </c>
      <c r="X100" s="19" t="str" cm="1">
        <f t="array" ref="X100">IF(OR($O100&lt;X$387,$O100&gt;X$388),"",IFERROR(IF($O100=X$387,100,X99)*INDEX($B$2:$B$428,MATCH($O100,$A$2:$A$428,0))/INDEX($B$2:$B$428,MATCH($O100,$A$2:$A$428,0)-1),""))</f>
        <v/>
      </c>
      <c r="AA100" s="19"/>
      <c r="AB100" s="19"/>
      <c r="AC100" s="19"/>
      <c r="AD100" s="19"/>
      <c r="AE100" s="19"/>
      <c r="AF100" s="19"/>
      <c r="AG100" s="19"/>
      <c r="AH100" s="19"/>
      <c r="AJ100" s="11">
        <v>35855</v>
      </c>
      <c r="AK100">
        <v>968672.8</v>
      </c>
      <c r="AL100" s="26">
        <f t="shared" si="16"/>
        <v>0.4115426282228633</v>
      </c>
    </row>
    <row r="101" spans="1:38" x14ac:dyDescent="0.3">
      <c r="A101" s="11">
        <v>36251</v>
      </c>
      <c r="B101" s="18">
        <v>287156.74</v>
      </c>
      <c r="C101" s="18">
        <v>433328.25</v>
      </c>
      <c r="D101" s="18">
        <v>604058.11</v>
      </c>
      <c r="E101" s="11">
        <f t="shared" si="11"/>
        <v>36251</v>
      </c>
      <c r="F101" s="9">
        <f t="shared" si="13"/>
        <v>0.57425363270441054</v>
      </c>
      <c r="G101" s="9">
        <f t="shared" si="14"/>
        <v>0.4255910701506942</v>
      </c>
      <c r="H101" s="9">
        <f t="shared" si="15"/>
        <v>0.49761298743883886</v>
      </c>
      <c r="I101" s="11">
        <f t="shared" si="12"/>
        <v>36251</v>
      </c>
      <c r="J101">
        <f t="shared" si="17"/>
        <v>436.16839426206349</v>
      </c>
      <c r="O101" s="11">
        <v>37712</v>
      </c>
      <c r="P101" s="19" t="str" cm="1">
        <f t="array" ref="P101">IF(OR($O101&lt;P$387,$O101&gt;P$388),"",IFERROR(IF($O101=P$387,100,P100)*INDEX($B$2:$B$428,MATCH($O101,$A$2:$A$428,0))/INDEX($B$2:$B$428,MATCH($O101,$A$2:$A$428,0)-1),""))</f>
        <v/>
      </c>
      <c r="Q101" s="19" t="str" cm="1">
        <f t="array" ref="Q101">IF(OR($O101&lt;Q$387,$O101&gt;Q$388),"",IFERROR(IF($O101=Q$387,100,Q100)*INDEX($B$2:$B$428,MATCH($O101,$A$2:$A$428,0))/INDEX($B$2:$B$428,MATCH($O101,$A$2:$A$428,0)-1),""))</f>
        <v/>
      </c>
      <c r="R101" s="19" cm="1">
        <f t="array" ref="R101">IF(OR($O101&lt;R$387,$O101&gt;R$388),"",IFERROR(IF($O101=R$387,100,R100)*INDEX($B$2:$B$428,MATCH($O101,$A$2:$A$428,0))/INDEX($B$2:$B$428,MATCH($O101,$A$2:$A$428,0)-1),""))</f>
        <v>91.057731305605884</v>
      </c>
      <c r="S101" s="19" t="str" cm="1">
        <f t="array" ref="S101">IF(OR($O101&lt;S$387,$O101&gt;S$388),"",IFERROR(IF($O101=S$387,100,S100)*INDEX($B$2:$B$428,MATCH($O101,$A$2:$A$428,0))/INDEX($B$2:$B$428,MATCH($O101,$A$2:$A$428,0)-1),""))</f>
        <v/>
      </c>
      <c r="T101" s="19" t="str" cm="1">
        <f t="array" ref="T101">IF(OR($O101&lt;T$387,$O101&gt;T$388),"",IFERROR(IF($O101=T$387,100,T100)*INDEX($B$2:$B$428,MATCH($O101,$A$2:$A$428,0))/INDEX($B$2:$B$428,MATCH($O101,$A$2:$A$428,0)-1),""))</f>
        <v/>
      </c>
      <c r="U101" s="19" t="str" cm="1">
        <f t="array" ref="U101">IF(OR($O101&lt;U$387,$O101&gt;U$388),"",IFERROR(IF($O101=U$387,100,U100)*INDEX($B$2:$B$428,MATCH($O101,$A$2:$A$428,0))/INDEX($B$2:$B$428,MATCH($O101,$A$2:$A$428,0)-1),""))</f>
        <v/>
      </c>
      <c r="V101" s="19" t="str" cm="1">
        <f t="array" ref="V101">IF(OR($O101&lt;V$387,$O101&gt;V$388),"",IFERROR(IF($O101=V$387,100,V100)*INDEX($B$2:$B$428,MATCH($O101,$A$2:$A$428,0))/INDEX($B$2:$B$428,MATCH($O101,$A$2:$A$428,0)-1),""))</f>
        <v/>
      </c>
      <c r="W101" s="19" t="str" cm="1">
        <f t="array" ref="W101">IF(OR($O101&lt;W$387,$O101&gt;W$388),"",IFERROR(IF($O101=W$387,100,W100)*INDEX($B$2:$B$428,MATCH($O101,$A$2:$A$428,0))/INDEX($B$2:$B$428,MATCH($O101,$A$2:$A$428,0)-1),""))</f>
        <v/>
      </c>
      <c r="X101" s="19" t="str" cm="1">
        <f t="array" ref="X101">IF(OR($O101&lt;X$387,$O101&gt;X$388),"",IFERROR(IF($O101=X$387,100,X100)*INDEX($B$2:$B$428,MATCH($O101,$A$2:$A$428,0))/INDEX($B$2:$B$428,MATCH($O101,$A$2:$A$428,0)-1),""))</f>
        <v/>
      </c>
      <c r="AA101" s="19"/>
      <c r="AB101" s="19"/>
      <c r="AC101" s="19"/>
      <c r="AD101" s="19"/>
      <c r="AE101" s="19"/>
      <c r="AF101" s="19"/>
      <c r="AG101" s="19"/>
      <c r="AH101" s="19"/>
      <c r="AJ101" s="11">
        <v>35886</v>
      </c>
      <c r="AK101">
        <v>976262.5</v>
      </c>
      <c r="AL101" s="26">
        <f t="shared" si="16"/>
        <v>0.41315452555024906</v>
      </c>
    </row>
    <row r="102" spans="1:38" x14ac:dyDescent="0.3">
      <c r="A102" s="11">
        <v>36281</v>
      </c>
      <c r="B102" s="18">
        <v>298092.53000000003</v>
      </c>
      <c r="C102" s="18">
        <v>443412.11</v>
      </c>
      <c r="D102" s="18">
        <v>563137.18999999994</v>
      </c>
      <c r="E102" s="11">
        <f t="shared" si="11"/>
        <v>36281</v>
      </c>
      <c r="F102" s="9">
        <f t="shared" si="13"/>
        <v>0.59928572746844488</v>
      </c>
      <c r="G102" s="9">
        <f t="shared" si="14"/>
        <v>0.4358283996834269</v>
      </c>
      <c r="H102" s="9">
        <f t="shared" si="15"/>
        <v>0.40864093487358244</v>
      </c>
      <c r="I102" s="11">
        <f t="shared" si="12"/>
        <v>36281</v>
      </c>
      <c r="J102">
        <f t="shared" si="17"/>
        <v>452.77899502416693</v>
      </c>
      <c r="O102" s="11">
        <v>37742</v>
      </c>
      <c r="P102" s="19" t="str" cm="1">
        <f t="array" ref="P102">IF(OR($O102&lt;P$387,$O102&gt;P$388),"",IFERROR(IF($O102=P$387,100,P101)*INDEX($B$2:$B$428,MATCH($O102,$A$2:$A$428,0))/INDEX($B$2:$B$428,MATCH($O102,$A$2:$A$428,0)-1),""))</f>
        <v/>
      </c>
      <c r="Q102" s="19" t="str" cm="1">
        <f t="array" ref="Q102">IF(OR($O102&lt;Q$387,$O102&gt;Q$388),"",IFERROR(IF($O102=Q$387,100,Q101)*INDEX($B$2:$B$428,MATCH($O102,$A$2:$A$428,0))/INDEX($B$2:$B$428,MATCH($O102,$A$2:$A$428,0)-1),""))</f>
        <v/>
      </c>
      <c r="R102" s="19" cm="1">
        <f t="array" ref="R102">IF(OR($O102&lt;R$387,$O102&gt;R$388),"",IFERROR(IF($O102=R$387,100,R101)*INDEX($B$2:$B$428,MATCH($O102,$A$2:$A$428,0))/INDEX($B$2:$B$428,MATCH($O102,$A$2:$A$428,0)-1),""))</f>
        <v>93.808433382578315</v>
      </c>
      <c r="S102" s="19" t="str" cm="1">
        <f t="array" ref="S102">IF(OR($O102&lt;S$387,$O102&gt;S$388),"",IFERROR(IF($O102=S$387,100,S101)*INDEX($B$2:$B$428,MATCH($O102,$A$2:$A$428,0))/INDEX($B$2:$B$428,MATCH($O102,$A$2:$A$428,0)-1),""))</f>
        <v/>
      </c>
      <c r="T102" s="19" t="str" cm="1">
        <f t="array" ref="T102">IF(OR($O102&lt;T$387,$O102&gt;T$388),"",IFERROR(IF($O102=T$387,100,T101)*INDEX($B$2:$B$428,MATCH($O102,$A$2:$A$428,0))/INDEX($B$2:$B$428,MATCH($O102,$A$2:$A$428,0)-1),""))</f>
        <v/>
      </c>
      <c r="U102" s="19" t="str" cm="1">
        <f t="array" ref="U102">IF(OR($O102&lt;U$387,$O102&gt;U$388),"",IFERROR(IF($O102=U$387,100,U101)*INDEX($B$2:$B$428,MATCH($O102,$A$2:$A$428,0))/INDEX($B$2:$B$428,MATCH($O102,$A$2:$A$428,0)-1),""))</f>
        <v/>
      </c>
      <c r="V102" s="19" t="str" cm="1">
        <f t="array" ref="V102">IF(OR($O102&lt;V$387,$O102&gt;V$388),"",IFERROR(IF($O102=V$387,100,V101)*INDEX($B$2:$B$428,MATCH($O102,$A$2:$A$428,0))/INDEX($B$2:$B$428,MATCH($O102,$A$2:$A$428,0)-1),""))</f>
        <v/>
      </c>
      <c r="W102" s="19" t="str" cm="1">
        <f t="array" ref="W102">IF(OR($O102&lt;W$387,$O102&gt;W$388),"",IFERROR(IF($O102=W$387,100,W101)*INDEX($B$2:$B$428,MATCH($O102,$A$2:$A$428,0))/INDEX($B$2:$B$428,MATCH($O102,$A$2:$A$428,0)-1),""))</f>
        <v/>
      </c>
      <c r="X102" s="19" t="str" cm="1">
        <f t="array" ref="X102">IF(OR($O102&lt;X$387,$O102&gt;X$388),"",IFERROR(IF($O102=X$387,100,X101)*INDEX($B$2:$B$428,MATCH($O102,$A$2:$A$428,0))/INDEX($B$2:$B$428,MATCH($O102,$A$2:$A$428,0)-1),""))</f>
        <v/>
      </c>
      <c r="AA102" s="19"/>
      <c r="AB102" s="19"/>
      <c r="AC102" s="19"/>
      <c r="AD102" s="19"/>
      <c r="AE102" s="19"/>
      <c r="AF102" s="19"/>
      <c r="AG102" s="19"/>
      <c r="AH102" s="19"/>
      <c r="AJ102" s="11">
        <v>35916</v>
      </c>
      <c r="AK102">
        <v>983359.2</v>
      </c>
      <c r="AL102" s="26">
        <f t="shared" si="16"/>
        <v>0.40653853647782012</v>
      </c>
    </row>
    <row r="103" spans="1:38" x14ac:dyDescent="0.3">
      <c r="A103" s="11">
        <v>36312</v>
      </c>
      <c r="B103" s="18">
        <v>302199.24</v>
      </c>
      <c r="C103" s="18">
        <v>452544.99</v>
      </c>
      <c r="D103" s="18">
        <v>579920.25</v>
      </c>
      <c r="E103" s="11">
        <f t="shared" si="11"/>
        <v>36312</v>
      </c>
      <c r="F103" s="9">
        <f t="shared" si="13"/>
        <v>0.54340618651053463</v>
      </c>
      <c r="G103" s="9">
        <f t="shared" si="14"/>
        <v>0.42817691222555698</v>
      </c>
      <c r="H103" s="9">
        <f t="shared" si="15"/>
        <v>0.36251101612424619</v>
      </c>
      <c r="I103" s="11">
        <f t="shared" si="12"/>
        <v>36312</v>
      </c>
      <c r="J103">
        <f t="shared" si="17"/>
        <v>459.01676296372477</v>
      </c>
      <c r="O103" s="11">
        <v>37773</v>
      </c>
      <c r="P103" s="19" t="str" cm="1">
        <f t="array" ref="P103">IF(OR($O103&lt;P$387,$O103&gt;P$388),"",IFERROR(IF($O103=P$387,100,P102)*INDEX($B$2:$B$428,MATCH($O103,$A$2:$A$428,0))/INDEX($B$2:$B$428,MATCH($O103,$A$2:$A$428,0)-1),""))</f>
        <v/>
      </c>
      <c r="Q103" s="19" t="str" cm="1">
        <f t="array" ref="Q103">IF(OR($O103&lt;Q$387,$O103&gt;Q$388),"",IFERROR(IF($O103=Q$387,100,Q102)*INDEX($B$2:$B$428,MATCH($O103,$A$2:$A$428,0))/INDEX($B$2:$B$428,MATCH($O103,$A$2:$A$428,0)-1),""))</f>
        <v/>
      </c>
      <c r="R103" s="19" cm="1">
        <f t="array" ref="R103">IF(OR($O103&lt;R$387,$O103&gt;R$388),"",IFERROR(IF($O103=R$387,100,R102)*INDEX($B$2:$B$428,MATCH($O103,$A$2:$A$428,0))/INDEX($B$2:$B$428,MATCH($O103,$A$2:$A$428,0)-1),""))</f>
        <v>94.007317598264663</v>
      </c>
      <c r="S103" s="19" t="str" cm="1">
        <f t="array" ref="S103">IF(OR($O103&lt;S$387,$O103&gt;S$388),"",IFERROR(IF($O103=S$387,100,S102)*INDEX($B$2:$B$428,MATCH($O103,$A$2:$A$428,0))/INDEX($B$2:$B$428,MATCH($O103,$A$2:$A$428,0)-1),""))</f>
        <v/>
      </c>
      <c r="T103" s="19" t="str" cm="1">
        <f t="array" ref="T103">IF(OR($O103&lt;T$387,$O103&gt;T$388),"",IFERROR(IF($O103=T$387,100,T102)*INDEX($B$2:$B$428,MATCH($O103,$A$2:$A$428,0))/INDEX($B$2:$B$428,MATCH($O103,$A$2:$A$428,0)-1),""))</f>
        <v/>
      </c>
      <c r="U103" s="19" t="str" cm="1">
        <f t="array" ref="U103">IF(OR($O103&lt;U$387,$O103&gt;U$388),"",IFERROR(IF($O103=U$387,100,U102)*INDEX($B$2:$B$428,MATCH($O103,$A$2:$A$428,0))/INDEX($B$2:$B$428,MATCH($O103,$A$2:$A$428,0)-1),""))</f>
        <v/>
      </c>
      <c r="V103" s="19" t="str" cm="1">
        <f t="array" ref="V103">IF(OR($O103&lt;V$387,$O103&gt;V$388),"",IFERROR(IF($O103=V$387,100,V102)*INDEX($B$2:$B$428,MATCH($O103,$A$2:$A$428,0))/INDEX($B$2:$B$428,MATCH($O103,$A$2:$A$428,0)-1),""))</f>
        <v/>
      </c>
      <c r="W103" s="19" t="str" cm="1">
        <f t="array" ref="W103">IF(OR($O103&lt;W$387,$O103&gt;W$388),"",IFERROR(IF($O103=W$387,100,W102)*INDEX($B$2:$B$428,MATCH($O103,$A$2:$A$428,0))/INDEX($B$2:$B$428,MATCH($O103,$A$2:$A$428,0)-1),""))</f>
        <v/>
      </c>
      <c r="X103" s="19" t="str" cm="1">
        <f t="array" ref="X103">IF(OR($O103&lt;X$387,$O103&gt;X$388),"",IFERROR(IF($O103=X$387,100,X102)*INDEX($B$2:$B$428,MATCH($O103,$A$2:$A$428,0))/INDEX($B$2:$B$428,MATCH($O103,$A$2:$A$428,0)-1),""))</f>
        <v/>
      </c>
      <c r="AA103" s="19"/>
      <c r="AB103" s="19"/>
      <c r="AC103" s="19"/>
      <c r="AD103" s="19"/>
      <c r="AE103" s="19"/>
      <c r="AF103" s="19"/>
      <c r="AG103" s="19"/>
      <c r="AH103" s="19"/>
      <c r="AJ103" s="11">
        <v>35947</v>
      </c>
      <c r="AK103">
        <v>987719.2</v>
      </c>
      <c r="AL103" s="26">
        <f t="shared" si="16"/>
        <v>0.43091811923874718</v>
      </c>
    </row>
    <row r="104" spans="1:38" x14ac:dyDescent="0.3">
      <c r="A104" s="11">
        <v>36342</v>
      </c>
      <c r="B104" s="18">
        <v>306094.84000000003</v>
      </c>
      <c r="C104" s="18">
        <v>460525.33</v>
      </c>
      <c r="D104" s="18">
        <v>584636.99</v>
      </c>
      <c r="E104" s="11">
        <f t="shared" si="11"/>
        <v>36342</v>
      </c>
      <c r="F104" s="9">
        <f t="shared" si="13"/>
        <v>0.53709778491988747</v>
      </c>
      <c r="G104" s="9">
        <f t="shared" si="14"/>
        <v>0.43812333010822102</v>
      </c>
      <c r="H104" s="9">
        <f t="shared" si="15"/>
        <v>0.34655481586993409</v>
      </c>
      <c r="I104" s="11">
        <f t="shared" si="12"/>
        <v>36342</v>
      </c>
      <c r="J104">
        <f t="shared" si="17"/>
        <v>464.93387149715954</v>
      </c>
      <c r="O104" s="11">
        <v>37803</v>
      </c>
      <c r="P104" s="19" t="str" cm="1">
        <f t="array" ref="P104">IF(OR($O104&lt;P$387,$O104&gt;P$388),"",IFERROR(IF($O104=P$387,100,P103)*INDEX($B$2:$B$428,MATCH($O104,$A$2:$A$428,0))/INDEX($B$2:$B$428,MATCH($O104,$A$2:$A$428,0)-1),""))</f>
        <v/>
      </c>
      <c r="Q104" s="19" t="str" cm="1">
        <f t="array" ref="Q104">IF(OR($O104&lt;Q$387,$O104&gt;Q$388),"",IFERROR(IF($O104=Q$387,100,Q103)*INDEX($B$2:$B$428,MATCH($O104,$A$2:$A$428,0))/INDEX($B$2:$B$428,MATCH($O104,$A$2:$A$428,0)-1),""))</f>
        <v/>
      </c>
      <c r="R104" s="19" cm="1">
        <f t="array" ref="R104">IF(OR($O104&lt;R$387,$O104&gt;R$388),"",IFERROR(IF($O104=R$387,100,R103)*INDEX($B$2:$B$428,MATCH($O104,$A$2:$A$428,0))/INDEX($B$2:$B$428,MATCH($O104,$A$2:$A$428,0)-1),""))</f>
        <v>97.470894951511241</v>
      </c>
      <c r="S104" s="19" t="str" cm="1">
        <f t="array" ref="S104">IF(OR($O104&lt;S$387,$O104&gt;S$388),"",IFERROR(IF($O104=S$387,100,S103)*INDEX($B$2:$B$428,MATCH($O104,$A$2:$A$428,0))/INDEX($B$2:$B$428,MATCH($O104,$A$2:$A$428,0)-1),""))</f>
        <v/>
      </c>
      <c r="T104" s="19" t="str" cm="1">
        <f t="array" ref="T104">IF(OR($O104&lt;T$387,$O104&gt;T$388),"",IFERROR(IF($O104=T$387,100,T103)*INDEX($B$2:$B$428,MATCH($O104,$A$2:$A$428,0))/INDEX($B$2:$B$428,MATCH($O104,$A$2:$A$428,0)-1),""))</f>
        <v/>
      </c>
      <c r="U104" s="19" t="str" cm="1">
        <f t="array" ref="U104">IF(OR($O104&lt;U$387,$O104&gt;U$388),"",IFERROR(IF($O104=U$387,100,U103)*INDEX($B$2:$B$428,MATCH($O104,$A$2:$A$428,0))/INDEX($B$2:$B$428,MATCH($O104,$A$2:$A$428,0)-1),""))</f>
        <v/>
      </c>
      <c r="V104" s="19" t="str" cm="1">
        <f t="array" ref="V104">IF(OR($O104&lt;V$387,$O104&gt;V$388),"",IFERROR(IF($O104=V$387,100,V103)*INDEX($B$2:$B$428,MATCH($O104,$A$2:$A$428,0))/INDEX($B$2:$B$428,MATCH($O104,$A$2:$A$428,0)-1),""))</f>
        <v/>
      </c>
      <c r="W104" s="19" t="str" cm="1">
        <f t="array" ref="W104">IF(OR($O104&lt;W$387,$O104&gt;W$388),"",IFERROR(IF($O104=W$387,100,W103)*INDEX($B$2:$B$428,MATCH($O104,$A$2:$A$428,0))/INDEX($B$2:$B$428,MATCH($O104,$A$2:$A$428,0)-1),""))</f>
        <v/>
      </c>
      <c r="X104" s="19" t="str" cm="1">
        <f t="array" ref="X104">IF(OR($O104&lt;X$387,$O104&gt;X$388),"",IFERROR(IF($O104=X$387,100,X103)*INDEX($B$2:$B$428,MATCH($O104,$A$2:$A$428,0))/INDEX($B$2:$B$428,MATCH($O104,$A$2:$A$428,0)-1),""))</f>
        <v/>
      </c>
      <c r="AA104" s="19"/>
      <c r="AB104" s="19"/>
      <c r="AC104" s="19"/>
      <c r="AD104" s="19"/>
      <c r="AE104" s="19"/>
      <c r="AF104" s="19"/>
      <c r="AG104" s="19"/>
      <c r="AH104" s="19"/>
      <c r="AJ104" s="11">
        <v>35977</v>
      </c>
      <c r="AK104">
        <v>992599</v>
      </c>
      <c r="AL104" s="26">
        <f t="shared" si="16"/>
        <v>0.43740970925822009</v>
      </c>
    </row>
    <row r="105" spans="1:38" x14ac:dyDescent="0.3">
      <c r="A105" s="11">
        <v>36373</v>
      </c>
      <c r="B105" s="18">
        <v>317659.46999999997</v>
      </c>
      <c r="C105" s="18">
        <v>473480.22</v>
      </c>
      <c r="D105" s="18">
        <v>605054.15</v>
      </c>
      <c r="E105" s="11">
        <f t="shared" si="11"/>
        <v>36373</v>
      </c>
      <c r="F105" s="9">
        <f t="shared" si="13"/>
        <v>0.62401172259690352</v>
      </c>
      <c r="G105" s="9">
        <f t="shared" si="14"/>
        <v>0.48152333370005307</v>
      </c>
      <c r="H105" s="9">
        <f t="shared" si="15"/>
        <v>0.3910384128812332</v>
      </c>
      <c r="I105" s="11">
        <f t="shared" si="12"/>
        <v>36373</v>
      </c>
      <c r="J105">
        <f t="shared" si="17"/>
        <v>482.49963052247398</v>
      </c>
      <c r="O105" s="11">
        <v>37834</v>
      </c>
      <c r="P105" s="19" t="str" cm="1">
        <f t="array" ref="P105">IF(OR($O105&lt;P$387,$O105&gt;P$388),"",IFERROR(IF($O105=P$387,100,P104)*INDEX($B$2:$B$428,MATCH($O105,$A$2:$A$428,0))/INDEX($B$2:$B$428,MATCH($O105,$A$2:$A$428,0)-1),""))</f>
        <v/>
      </c>
      <c r="Q105" s="19" t="str" cm="1">
        <f t="array" ref="Q105">IF(OR($O105&lt;Q$387,$O105&gt;Q$388),"",IFERROR(IF($O105=Q$387,100,Q104)*INDEX($B$2:$B$428,MATCH($O105,$A$2:$A$428,0))/INDEX($B$2:$B$428,MATCH($O105,$A$2:$A$428,0)-1),""))</f>
        <v/>
      </c>
      <c r="R105" s="19" cm="1">
        <f t="array" ref="R105">IF(OR($O105&lt;R$387,$O105&gt;R$388),"",IFERROR(IF($O105=R$387,100,R104)*INDEX($B$2:$B$428,MATCH($O105,$A$2:$A$428,0))/INDEX($B$2:$B$428,MATCH($O105,$A$2:$A$428,0)-1),""))</f>
        <v>100.01037749807509</v>
      </c>
      <c r="S105" s="19" t="str" cm="1">
        <f t="array" ref="S105">IF(OR($O105&lt;S$387,$O105&gt;S$388),"",IFERROR(IF($O105=S$387,100,S104)*INDEX($B$2:$B$428,MATCH($O105,$A$2:$A$428,0))/INDEX($B$2:$B$428,MATCH($O105,$A$2:$A$428,0)-1),""))</f>
        <v/>
      </c>
      <c r="T105" s="19" t="str" cm="1">
        <f t="array" ref="T105">IF(OR($O105&lt;T$387,$O105&gt;T$388),"",IFERROR(IF($O105=T$387,100,T104)*INDEX($B$2:$B$428,MATCH($O105,$A$2:$A$428,0))/INDEX($B$2:$B$428,MATCH($O105,$A$2:$A$428,0)-1),""))</f>
        <v/>
      </c>
      <c r="U105" s="19" t="str" cm="1">
        <f t="array" ref="U105">IF(OR($O105&lt;U$387,$O105&gt;U$388),"",IFERROR(IF($O105=U$387,100,U104)*INDEX($B$2:$B$428,MATCH($O105,$A$2:$A$428,0))/INDEX($B$2:$B$428,MATCH($O105,$A$2:$A$428,0)-1),""))</f>
        <v/>
      </c>
      <c r="V105" s="19" t="str" cm="1">
        <f t="array" ref="V105">IF(OR($O105&lt;V$387,$O105&gt;V$388),"",IFERROR(IF($O105=V$387,100,V104)*INDEX($B$2:$B$428,MATCH($O105,$A$2:$A$428,0))/INDEX($B$2:$B$428,MATCH($O105,$A$2:$A$428,0)-1),""))</f>
        <v/>
      </c>
      <c r="W105" s="19" t="str" cm="1">
        <f t="array" ref="W105">IF(OR($O105&lt;W$387,$O105&gt;W$388),"",IFERROR(IF($O105=W$387,100,W104)*INDEX($B$2:$B$428,MATCH($O105,$A$2:$A$428,0))/INDEX($B$2:$B$428,MATCH($O105,$A$2:$A$428,0)-1),""))</f>
        <v/>
      </c>
      <c r="X105" s="19" t="str" cm="1">
        <f t="array" ref="X105">IF(OR($O105&lt;X$387,$O105&gt;X$388),"",IFERROR(IF($O105=X$387,100,X104)*INDEX($B$2:$B$428,MATCH($O105,$A$2:$A$428,0))/INDEX($B$2:$B$428,MATCH($O105,$A$2:$A$428,0)-1),""))</f>
        <v/>
      </c>
      <c r="AA105" s="19"/>
      <c r="AB105" s="19"/>
      <c r="AC105" s="19"/>
      <c r="AD105" s="19"/>
      <c r="AE105" s="19"/>
      <c r="AF105" s="19"/>
      <c r="AG105" s="19"/>
      <c r="AH105" s="19"/>
      <c r="AJ105" s="11">
        <v>36008</v>
      </c>
      <c r="AK105">
        <v>996837.8</v>
      </c>
      <c r="AL105" s="26">
        <f t="shared" si="16"/>
        <v>0.43634562212628775</v>
      </c>
    </row>
    <row r="106" spans="1:38" x14ac:dyDescent="0.3">
      <c r="A106" s="11">
        <v>36404</v>
      </c>
      <c r="B106" s="18">
        <v>315698.57</v>
      </c>
      <c r="C106" s="18">
        <v>474535.25</v>
      </c>
      <c r="D106" s="18">
        <v>617680.18999999994</v>
      </c>
      <c r="E106" s="11">
        <f t="shared" si="11"/>
        <v>36404</v>
      </c>
      <c r="F106" s="9">
        <f t="shared" si="13"/>
        <v>0.56667129672983063</v>
      </c>
      <c r="G106" s="9">
        <f t="shared" si="14"/>
        <v>0.4514770855709882</v>
      </c>
      <c r="H106" s="9">
        <f t="shared" si="15"/>
        <v>0.40840742910520667</v>
      </c>
      <c r="I106" s="11">
        <f t="shared" si="12"/>
        <v>36404</v>
      </c>
      <c r="J106">
        <f t="shared" si="17"/>
        <v>479.52117839104056</v>
      </c>
      <c r="O106" s="11">
        <v>37865</v>
      </c>
      <c r="P106" s="19" t="str" cm="1">
        <f t="array" ref="P106">IF(OR($O106&lt;P$387,$O106&gt;P$388),"",IFERROR(IF($O106=P$387,100,P105)*INDEX($B$2:$B$428,MATCH($O106,$A$2:$A$428,0))/INDEX($B$2:$B$428,MATCH($O106,$A$2:$A$428,0)-1),""))</f>
        <v/>
      </c>
      <c r="Q106" s="19" t="str" cm="1">
        <f t="array" ref="Q106">IF(OR($O106&lt;Q$387,$O106&gt;Q$388),"",IFERROR(IF($O106=Q$387,100,Q105)*INDEX($B$2:$B$428,MATCH($O106,$A$2:$A$428,0))/INDEX($B$2:$B$428,MATCH($O106,$A$2:$A$428,0)-1),""))</f>
        <v/>
      </c>
      <c r="R106" s="19" cm="1">
        <f t="array" ref="R106">IF(OR($O106&lt;R$387,$O106&gt;R$388),"",IFERROR(IF($O106=R$387,100,R105)*INDEX($B$2:$B$428,MATCH($O106,$A$2:$A$428,0))/INDEX($B$2:$B$428,MATCH($O106,$A$2:$A$428,0)-1),""))</f>
        <v>100.06018413960966</v>
      </c>
      <c r="S106" s="19" t="str" cm="1">
        <f t="array" ref="S106">IF(OR($O106&lt;S$387,$O106&gt;S$388),"",IFERROR(IF($O106=S$387,100,S105)*INDEX($B$2:$B$428,MATCH($O106,$A$2:$A$428,0))/INDEX($B$2:$B$428,MATCH($O106,$A$2:$A$428,0)-1),""))</f>
        <v/>
      </c>
      <c r="T106" s="19" t="str" cm="1">
        <f t="array" ref="T106">IF(OR($O106&lt;T$387,$O106&gt;T$388),"",IFERROR(IF($O106=T$387,100,T105)*INDEX($B$2:$B$428,MATCH($O106,$A$2:$A$428,0))/INDEX($B$2:$B$428,MATCH($O106,$A$2:$A$428,0)-1),""))</f>
        <v/>
      </c>
      <c r="U106" s="19" t="str" cm="1">
        <f t="array" ref="U106">IF(OR($O106&lt;U$387,$O106&gt;U$388),"",IFERROR(IF($O106=U$387,100,U105)*INDEX($B$2:$B$428,MATCH($O106,$A$2:$A$428,0))/INDEX($B$2:$B$428,MATCH($O106,$A$2:$A$428,0)-1),""))</f>
        <v/>
      </c>
      <c r="V106" s="19" t="str" cm="1">
        <f t="array" ref="V106">IF(OR($O106&lt;V$387,$O106&gt;V$388),"",IFERROR(IF($O106=V$387,100,V105)*INDEX($B$2:$B$428,MATCH($O106,$A$2:$A$428,0))/INDEX($B$2:$B$428,MATCH($O106,$A$2:$A$428,0)-1),""))</f>
        <v/>
      </c>
      <c r="W106" s="19" t="str" cm="1">
        <f t="array" ref="W106">IF(OR($O106&lt;W$387,$O106&gt;W$388),"",IFERROR(IF($O106=W$387,100,W105)*INDEX($B$2:$B$428,MATCH($O106,$A$2:$A$428,0))/INDEX($B$2:$B$428,MATCH($O106,$A$2:$A$428,0)-1),""))</f>
        <v/>
      </c>
      <c r="X106" s="19" t="str" cm="1">
        <f t="array" ref="X106">IF(OR($O106&lt;X$387,$O106&gt;X$388),"",IFERROR(IF($O106=X$387,100,X105)*INDEX($B$2:$B$428,MATCH($O106,$A$2:$A$428,0))/INDEX($B$2:$B$428,MATCH($O106,$A$2:$A$428,0)-1),""))</f>
        <v/>
      </c>
      <c r="AA106" s="19"/>
      <c r="AB106" s="19"/>
      <c r="AC106" s="19"/>
      <c r="AD106" s="19"/>
      <c r="AE106" s="19"/>
      <c r="AF106" s="19"/>
      <c r="AG106" s="19"/>
      <c r="AH106" s="19"/>
      <c r="AJ106" s="11">
        <v>36039</v>
      </c>
      <c r="AK106">
        <v>999584</v>
      </c>
      <c r="AL106" s="26">
        <f t="shared" si="16"/>
        <v>0.43874892955469474</v>
      </c>
    </row>
    <row r="107" spans="1:38" x14ac:dyDescent="0.3">
      <c r="A107" s="11">
        <v>36434</v>
      </c>
      <c r="B107" s="18">
        <v>321633.77</v>
      </c>
      <c r="C107" s="18">
        <v>480537.52</v>
      </c>
      <c r="D107" s="18">
        <v>632726.39</v>
      </c>
      <c r="E107" s="11">
        <f t="shared" si="11"/>
        <v>36434</v>
      </c>
      <c r="F107" s="9">
        <f t="shared" si="13"/>
        <v>0.54598976023908796</v>
      </c>
      <c r="G107" s="9">
        <f t="shared" si="14"/>
        <v>0.43165730188616647</v>
      </c>
      <c r="H107" s="9">
        <f t="shared" si="15"/>
        <v>0.39670975219910254</v>
      </c>
      <c r="I107" s="11">
        <f t="shared" si="12"/>
        <v>36434</v>
      </c>
      <c r="J107">
        <f t="shared" si="17"/>
        <v>488.53627813630237</v>
      </c>
      <c r="O107" s="11">
        <v>37895</v>
      </c>
      <c r="P107" s="19" t="str" cm="1">
        <f t="array" ref="P107">IF(OR($O107&lt;P$387,$O107&gt;P$388),"",IFERROR(IF($O107=P$387,100,P106)*INDEX($B$2:$B$428,MATCH($O107,$A$2:$A$428,0))/INDEX($B$2:$B$428,MATCH($O107,$A$2:$A$428,0)-1),""))</f>
        <v/>
      </c>
      <c r="Q107" s="19" t="str" cm="1">
        <f t="array" ref="Q107">IF(OR($O107&lt;Q$387,$O107&gt;Q$388),"",IFERROR(IF($O107=Q$387,100,Q106)*INDEX($B$2:$B$428,MATCH($O107,$A$2:$A$428,0))/INDEX($B$2:$B$428,MATCH($O107,$A$2:$A$428,0)-1),""))</f>
        <v/>
      </c>
      <c r="R107" s="19" cm="1">
        <f t="array" ref="R107">IF(OR($O107&lt;R$387,$O107&gt;R$388),"",IFERROR(IF($O107=R$387,100,R106)*INDEX($B$2:$B$428,MATCH($O107,$A$2:$A$428,0))/INDEX($B$2:$B$428,MATCH($O107,$A$2:$A$428,0)-1),""))</f>
        <v>99.407585722859267</v>
      </c>
      <c r="S107" s="19" t="str" cm="1">
        <f t="array" ref="S107">IF(OR($O107&lt;S$387,$O107&gt;S$388),"",IFERROR(IF($O107=S$387,100,S106)*INDEX($B$2:$B$428,MATCH($O107,$A$2:$A$428,0))/INDEX($B$2:$B$428,MATCH($O107,$A$2:$A$428,0)-1),""))</f>
        <v/>
      </c>
      <c r="T107" s="19" t="str" cm="1">
        <f t="array" ref="T107">IF(OR($O107&lt;T$387,$O107&gt;T$388),"",IFERROR(IF($O107=T$387,100,T106)*INDEX($B$2:$B$428,MATCH($O107,$A$2:$A$428,0))/INDEX($B$2:$B$428,MATCH($O107,$A$2:$A$428,0)-1),""))</f>
        <v/>
      </c>
      <c r="U107" s="19" t="str" cm="1">
        <f t="array" ref="U107">IF(OR($O107&lt;U$387,$O107&gt;U$388),"",IFERROR(IF($O107=U$387,100,U106)*INDEX($B$2:$B$428,MATCH($O107,$A$2:$A$428,0))/INDEX($B$2:$B$428,MATCH($O107,$A$2:$A$428,0)-1),""))</f>
        <v/>
      </c>
      <c r="V107" s="19" t="str" cm="1">
        <f t="array" ref="V107">IF(OR($O107&lt;V$387,$O107&gt;V$388),"",IFERROR(IF($O107=V$387,100,V106)*INDEX($B$2:$B$428,MATCH($O107,$A$2:$A$428,0))/INDEX($B$2:$B$428,MATCH($O107,$A$2:$A$428,0)-1),""))</f>
        <v/>
      </c>
      <c r="W107" s="19" t="str" cm="1">
        <f t="array" ref="W107">IF(OR($O107&lt;W$387,$O107&gt;W$388),"",IFERROR(IF($O107=W$387,100,W106)*INDEX($B$2:$B$428,MATCH($O107,$A$2:$A$428,0))/INDEX($B$2:$B$428,MATCH($O107,$A$2:$A$428,0)-1),""))</f>
        <v/>
      </c>
      <c r="X107" s="19" t="str" cm="1">
        <f t="array" ref="X107">IF(OR($O107&lt;X$387,$O107&gt;X$388),"",IFERROR(IF($O107=X$387,100,X106)*INDEX($B$2:$B$428,MATCH($O107,$A$2:$A$428,0))/INDEX($B$2:$B$428,MATCH($O107,$A$2:$A$428,0)-1),""))</f>
        <v/>
      </c>
      <c r="AA107" s="19"/>
      <c r="AB107" s="19"/>
      <c r="AC107" s="19"/>
      <c r="AD107" s="19"/>
      <c r="AE107" s="19"/>
      <c r="AF107" s="19"/>
      <c r="AG107" s="19"/>
      <c r="AH107" s="19"/>
      <c r="AJ107" s="11">
        <v>36069</v>
      </c>
      <c r="AK107">
        <v>999589.6</v>
      </c>
      <c r="AL107" s="26">
        <f t="shared" si="16"/>
        <v>0.4531980724889495</v>
      </c>
    </row>
    <row r="108" spans="1:38" x14ac:dyDescent="0.3">
      <c r="A108" s="11">
        <v>36465</v>
      </c>
      <c r="B108" s="18">
        <v>318398.98</v>
      </c>
      <c r="C108" s="18">
        <v>480484.46</v>
      </c>
      <c r="D108" s="18">
        <v>642076.05000000005</v>
      </c>
      <c r="E108" s="11">
        <f t="shared" si="11"/>
        <v>36465</v>
      </c>
      <c r="F108" s="9">
        <f t="shared" si="13"/>
        <v>0.40995991077900973</v>
      </c>
      <c r="G108" s="9">
        <f t="shared" si="14"/>
        <v>0.36393121249600124</v>
      </c>
      <c r="H108" s="9">
        <f t="shared" si="15"/>
        <v>0.33108156349477236</v>
      </c>
      <c r="I108" s="11">
        <f t="shared" si="12"/>
        <v>36465</v>
      </c>
      <c r="J108">
        <f t="shared" si="17"/>
        <v>483.62288776951181</v>
      </c>
      <c r="O108" s="11">
        <v>37926</v>
      </c>
      <c r="P108" s="19" t="str" cm="1">
        <f t="array" ref="P108">IF(OR($O108&lt;P$387,$O108&gt;P$388),"",IFERROR(IF($O108=P$387,100,P107)*INDEX($B$2:$B$428,MATCH($O108,$A$2:$A$428,0))/INDEX($B$2:$B$428,MATCH($O108,$A$2:$A$428,0)-1),""))</f>
        <v/>
      </c>
      <c r="Q108" s="19" t="str" cm="1">
        <f t="array" ref="Q108">IF(OR($O108&lt;Q$387,$O108&gt;Q$388),"",IFERROR(IF($O108=Q$387,100,Q107)*INDEX($B$2:$B$428,MATCH($O108,$A$2:$A$428,0))/INDEX($B$2:$B$428,MATCH($O108,$A$2:$A$428,0)-1),""))</f>
        <v/>
      </c>
      <c r="R108" s="19" cm="1">
        <f t="array" ref="R108">IF(OR($O108&lt;R$387,$O108&gt;R$388),"",IFERROR(IF($O108=R$387,100,R107)*INDEX($B$2:$B$428,MATCH($O108,$A$2:$A$428,0))/INDEX($B$2:$B$428,MATCH($O108,$A$2:$A$428,0)-1),""))</f>
        <v>101.73564725150895</v>
      </c>
      <c r="S108" s="19" t="str" cm="1">
        <f t="array" ref="S108">IF(OR($O108&lt;S$387,$O108&gt;S$388),"",IFERROR(IF($O108=S$387,100,S107)*INDEX($B$2:$B$428,MATCH($O108,$A$2:$A$428,0))/INDEX($B$2:$B$428,MATCH($O108,$A$2:$A$428,0)-1),""))</f>
        <v/>
      </c>
      <c r="T108" s="19" t="str" cm="1">
        <f t="array" ref="T108">IF(OR($O108&lt;T$387,$O108&gt;T$388),"",IFERROR(IF($O108=T$387,100,T107)*INDEX($B$2:$B$428,MATCH($O108,$A$2:$A$428,0))/INDEX($B$2:$B$428,MATCH($O108,$A$2:$A$428,0)-1),""))</f>
        <v/>
      </c>
      <c r="U108" s="19" t="str" cm="1">
        <f t="array" ref="U108">IF(OR($O108&lt;U$387,$O108&gt;U$388),"",IFERROR(IF($O108=U$387,100,U107)*INDEX($B$2:$B$428,MATCH($O108,$A$2:$A$428,0))/INDEX($B$2:$B$428,MATCH($O108,$A$2:$A$428,0)-1),""))</f>
        <v/>
      </c>
      <c r="V108" s="19" t="str" cm="1">
        <f t="array" ref="V108">IF(OR($O108&lt;V$387,$O108&gt;V$388),"",IFERROR(IF($O108=V$387,100,V107)*INDEX($B$2:$B$428,MATCH($O108,$A$2:$A$428,0))/INDEX($B$2:$B$428,MATCH($O108,$A$2:$A$428,0)-1),""))</f>
        <v/>
      </c>
      <c r="W108" s="19" t="str" cm="1">
        <f t="array" ref="W108">IF(OR($O108&lt;W$387,$O108&gt;W$388),"",IFERROR(IF($O108=W$387,100,W107)*INDEX($B$2:$B$428,MATCH($O108,$A$2:$A$428,0))/INDEX($B$2:$B$428,MATCH($O108,$A$2:$A$428,0)-1),""))</f>
        <v/>
      </c>
      <c r="X108" s="19" t="str" cm="1">
        <f t="array" ref="X108">IF(OR($O108&lt;X$387,$O108&gt;X$388),"",IFERROR(IF($O108=X$387,100,X107)*INDEX($B$2:$B$428,MATCH($O108,$A$2:$A$428,0))/INDEX($B$2:$B$428,MATCH($O108,$A$2:$A$428,0)-1),""))</f>
        <v/>
      </c>
      <c r="AA108" s="19"/>
      <c r="AB108" s="19"/>
      <c r="AC108" s="19"/>
      <c r="AD108" s="19"/>
      <c r="AE108" s="19"/>
      <c r="AF108" s="19"/>
      <c r="AG108" s="19"/>
      <c r="AH108" s="19"/>
      <c r="AJ108" s="11">
        <v>36100</v>
      </c>
      <c r="AK108">
        <v>1000516</v>
      </c>
      <c r="AL108" s="26">
        <f t="shared" si="16"/>
        <v>0.48212290458123608</v>
      </c>
    </row>
    <row r="109" spans="1:38" x14ac:dyDescent="0.3">
      <c r="A109" s="11">
        <v>36495</v>
      </c>
      <c r="B109" s="18">
        <v>316221.69</v>
      </c>
      <c r="C109" s="18">
        <v>484454.45</v>
      </c>
      <c r="D109" s="18">
        <v>621073.68999999994</v>
      </c>
      <c r="E109" s="11">
        <f t="shared" si="11"/>
        <v>36495</v>
      </c>
      <c r="F109" s="9">
        <f t="shared" si="13"/>
        <v>0.36734025247101054</v>
      </c>
      <c r="G109" s="9">
        <f t="shared" si="14"/>
        <v>0.31666780679892259</v>
      </c>
      <c r="H109" s="9">
        <f t="shared" si="15"/>
        <v>0.22484589283156131</v>
      </c>
      <c r="I109" s="11">
        <f t="shared" si="12"/>
        <v>36495</v>
      </c>
      <c r="J109">
        <f t="shared" si="17"/>
        <v>480.31575632922994</v>
      </c>
      <c r="O109" s="11">
        <v>37956</v>
      </c>
      <c r="P109" s="19" t="str" cm="1">
        <f t="array" ref="P109">IF(OR($O109&lt;P$387,$O109&gt;P$388),"",IFERROR(IF($O109=P$387,100,P108)*INDEX($B$2:$B$428,MATCH($O109,$A$2:$A$428,0))/INDEX($B$2:$B$428,MATCH($O109,$A$2:$A$428,0)-1),""))</f>
        <v/>
      </c>
      <c r="Q109" s="19" t="str" cm="1">
        <f t="array" ref="Q109">IF(OR($O109&lt;Q$387,$O109&gt;Q$388),"",IFERROR(IF($O109=Q$387,100,Q108)*INDEX($B$2:$B$428,MATCH($O109,$A$2:$A$428,0))/INDEX($B$2:$B$428,MATCH($O109,$A$2:$A$428,0)-1),""))</f>
        <v/>
      </c>
      <c r="R109" s="19" cm="1">
        <f t="array" ref="R109">IF(OR($O109&lt;R$387,$O109&gt;R$388),"",IFERROR(IF($O109=R$387,100,R108)*INDEX($B$2:$B$428,MATCH($O109,$A$2:$A$428,0))/INDEX($B$2:$B$428,MATCH($O109,$A$2:$A$428,0)-1),""))</f>
        <v>103.19512467280126</v>
      </c>
      <c r="S109" s="19" t="str" cm="1">
        <f t="array" ref="S109">IF(OR($O109&lt;S$387,$O109&gt;S$388),"",IFERROR(IF($O109=S$387,100,S108)*INDEX($B$2:$B$428,MATCH($O109,$A$2:$A$428,0))/INDEX($B$2:$B$428,MATCH($O109,$A$2:$A$428,0)-1),""))</f>
        <v/>
      </c>
      <c r="T109" s="19" t="str" cm="1">
        <f t="array" ref="T109">IF(OR($O109&lt;T$387,$O109&gt;T$388),"",IFERROR(IF($O109=T$387,100,T108)*INDEX($B$2:$B$428,MATCH($O109,$A$2:$A$428,0))/INDEX($B$2:$B$428,MATCH($O109,$A$2:$A$428,0)-1),""))</f>
        <v/>
      </c>
      <c r="U109" s="19" t="str" cm="1">
        <f t="array" ref="U109">IF(OR($O109&lt;U$387,$O109&gt;U$388),"",IFERROR(IF($O109=U$387,100,U108)*INDEX($B$2:$B$428,MATCH($O109,$A$2:$A$428,0))/INDEX($B$2:$B$428,MATCH($O109,$A$2:$A$428,0)-1),""))</f>
        <v/>
      </c>
      <c r="V109" s="19" t="str" cm="1">
        <f t="array" ref="V109">IF(OR($O109&lt;V$387,$O109&gt;V$388),"",IFERROR(IF($O109=V$387,100,V108)*INDEX($B$2:$B$428,MATCH($O109,$A$2:$A$428,0))/INDEX($B$2:$B$428,MATCH($O109,$A$2:$A$428,0)-1),""))</f>
        <v/>
      </c>
      <c r="W109" s="19" t="str" cm="1">
        <f t="array" ref="W109">IF(OR($O109&lt;W$387,$O109&gt;W$388),"",IFERROR(IF($O109=W$387,100,W108)*INDEX($B$2:$B$428,MATCH($O109,$A$2:$A$428,0))/INDEX($B$2:$B$428,MATCH($O109,$A$2:$A$428,0)-1),""))</f>
        <v/>
      </c>
      <c r="X109" s="19" t="str" cm="1">
        <f t="array" ref="X109">IF(OR($O109&lt;X$387,$O109&gt;X$388),"",IFERROR(IF($O109=X$387,100,X108)*INDEX($B$2:$B$428,MATCH($O109,$A$2:$A$428,0))/INDEX($B$2:$B$428,MATCH($O109,$A$2:$A$428,0)-1),""))</f>
        <v/>
      </c>
      <c r="AA109" s="19"/>
      <c r="AB109" s="19"/>
      <c r="AC109" s="19"/>
      <c r="AD109" s="19"/>
      <c r="AE109" s="19"/>
      <c r="AF109" s="19"/>
      <c r="AG109" s="19"/>
      <c r="AH109" s="19"/>
      <c r="AJ109" s="11">
        <v>36130</v>
      </c>
      <c r="AK109">
        <v>1002351</v>
      </c>
      <c r="AL109" s="26">
        <f t="shared" si="16"/>
        <v>0.50587341160930654</v>
      </c>
    </row>
    <row r="110" spans="1:38" x14ac:dyDescent="0.3">
      <c r="A110" s="11">
        <v>36526</v>
      </c>
      <c r="B110" s="18">
        <v>321797.84999999998</v>
      </c>
      <c r="C110" s="18">
        <v>492136.23</v>
      </c>
      <c r="D110" s="18">
        <v>628345.32999999996</v>
      </c>
      <c r="E110" s="11">
        <f t="shared" si="11"/>
        <v>36526</v>
      </c>
      <c r="F110" s="9">
        <f t="shared" si="13"/>
        <v>5.3289161228618598E-2</v>
      </c>
      <c r="G110" s="9">
        <f t="shared" si="14"/>
        <v>0.10236303386052681</v>
      </c>
      <c r="H110" s="9">
        <f t="shared" si="15"/>
        <v>7.9374308336835675E-2</v>
      </c>
      <c r="I110" s="11">
        <f t="shared" si="12"/>
        <v>36526</v>
      </c>
      <c r="J110">
        <f t="shared" si="17"/>
        <v>488.78550268917371</v>
      </c>
      <c r="O110" s="11">
        <v>37987</v>
      </c>
      <c r="P110" s="19" t="str" cm="1">
        <f t="array" ref="P110">IF(OR($O110&lt;P$387,$O110&gt;P$388),"",IFERROR(IF($O110=P$387,100,P109)*INDEX($B$2:$B$428,MATCH($O110,$A$2:$A$428,0))/INDEX($B$2:$B$428,MATCH($O110,$A$2:$A$428,0)-1),""))</f>
        <v/>
      </c>
      <c r="Q110" s="19" t="str" cm="1">
        <f t="array" ref="Q110">IF(OR($O110&lt;Q$387,$O110&gt;Q$388),"",IFERROR(IF($O110=Q$387,100,Q109)*INDEX($B$2:$B$428,MATCH($O110,$A$2:$A$428,0))/INDEX($B$2:$B$428,MATCH($O110,$A$2:$A$428,0)-1),""))</f>
        <v/>
      </c>
      <c r="R110" s="19" cm="1">
        <f t="array" ref="R110">IF(OR($O110&lt;R$387,$O110&gt;R$388),"",IFERROR(IF($O110=R$387,100,R109)*INDEX($B$2:$B$428,MATCH($O110,$A$2:$A$428,0))/INDEX($B$2:$B$428,MATCH($O110,$A$2:$A$428,0)-1),""))</f>
        <v>104.02537087876478</v>
      </c>
      <c r="S110" s="19" t="str" cm="1">
        <f t="array" ref="S110">IF(OR($O110&lt;S$387,$O110&gt;S$388),"",IFERROR(IF($O110=S$387,100,S109)*INDEX($B$2:$B$428,MATCH($O110,$A$2:$A$428,0))/INDEX($B$2:$B$428,MATCH($O110,$A$2:$A$428,0)-1),""))</f>
        <v/>
      </c>
      <c r="T110" s="19" t="str" cm="1">
        <f t="array" ref="T110">IF(OR($O110&lt;T$387,$O110&gt;T$388),"",IFERROR(IF($O110=T$387,100,T109)*INDEX($B$2:$B$428,MATCH($O110,$A$2:$A$428,0))/INDEX($B$2:$B$428,MATCH($O110,$A$2:$A$428,0)-1),""))</f>
        <v/>
      </c>
      <c r="U110" s="19" t="str" cm="1">
        <f t="array" ref="U110">IF(OR($O110&lt;U$387,$O110&gt;U$388),"",IFERROR(IF($O110=U$387,100,U109)*INDEX($B$2:$B$428,MATCH($O110,$A$2:$A$428,0))/INDEX($B$2:$B$428,MATCH($O110,$A$2:$A$428,0)-1),""))</f>
        <v/>
      </c>
      <c r="V110" s="19" t="str" cm="1">
        <f t="array" ref="V110">IF(OR($O110&lt;V$387,$O110&gt;V$388),"",IFERROR(IF($O110=V$387,100,V109)*INDEX($B$2:$B$428,MATCH($O110,$A$2:$A$428,0))/INDEX($B$2:$B$428,MATCH($O110,$A$2:$A$428,0)-1),""))</f>
        <v/>
      </c>
      <c r="W110" s="19" t="str" cm="1">
        <f t="array" ref="W110">IF(OR($O110&lt;W$387,$O110&gt;W$388),"",IFERROR(IF($O110=W$387,100,W109)*INDEX($B$2:$B$428,MATCH($O110,$A$2:$A$428,0))/INDEX($B$2:$B$428,MATCH($O110,$A$2:$A$428,0)-1),""))</f>
        <v/>
      </c>
      <c r="X110" s="19" t="str" cm="1">
        <f t="array" ref="X110">IF(OR($O110&lt;X$387,$O110&gt;X$388),"",IFERROR(IF($O110=X$387,100,X109)*INDEX($B$2:$B$428,MATCH($O110,$A$2:$A$428,0))/INDEX($B$2:$B$428,MATCH($O110,$A$2:$A$428,0)-1),""))</f>
        <v/>
      </c>
      <c r="AA110" s="19"/>
      <c r="AB110" s="19"/>
      <c r="AC110" s="19"/>
      <c r="AD110" s="19"/>
      <c r="AE110" s="19"/>
      <c r="AF110" s="19"/>
      <c r="AG110" s="19"/>
      <c r="AH110" s="19"/>
      <c r="AJ110" s="11">
        <v>36161</v>
      </c>
      <c r="AK110">
        <v>1003923.4</v>
      </c>
      <c r="AL110" s="26">
        <f t="shared" si="16"/>
        <v>0.57986345372565273</v>
      </c>
    </row>
    <row r="111" spans="1:38" x14ac:dyDescent="0.3">
      <c r="A111" s="11">
        <v>36557</v>
      </c>
      <c r="B111" s="18">
        <v>323486.02</v>
      </c>
      <c r="C111" s="18">
        <v>494285.94</v>
      </c>
      <c r="D111" s="18">
        <v>630728.25</v>
      </c>
      <c r="E111" s="11">
        <f t="shared" si="11"/>
        <v>36557</v>
      </c>
      <c r="F111" s="9">
        <f t="shared" si="13"/>
        <v>1.7816043022096162E-2</v>
      </c>
      <c r="G111" s="9">
        <f t="shared" si="14"/>
        <v>7.8415847364756042E-2</v>
      </c>
      <c r="H111" s="9">
        <f t="shared" si="15"/>
        <v>5.9721102702402939E-2</v>
      </c>
      <c r="I111" s="11">
        <f t="shared" si="12"/>
        <v>36557</v>
      </c>
      <c r="J111">
        <f t="shared" si="17"/>
        <v>491.34969950426989</v>
      </c>
      <c r="O111" s="11">
        <v>38018</v>
      </c>
      <c r="P111" s="19" t="str" cm="1">
        <f t="array" ref="P111">IF(OR($O111&lt;P$387,$O111&gt;P$388),"",IFERROR(IF($O111=P$387,100,P110)*INDEX($B$2:$B$428,MATCH($O111,$A$2:$A$428,0))/INDEX($B$2:$B$428,MATCH($O111,$A$2:$A$428,0)-1),""))</f>
        <v/>
      </c>
      <c r="Q111" s="19" t="str" cm="1">
        <f t="array" ref="Q111">IF(OR($O111&lt;Q$387,$O111&gt;Q$388),"",IFERROR(IF($O111=Q$387,100,Q110)*INDEX($B$2:$B$428,MATCH($O111,$A$2:$A$428,0))/INDEX($B$2:$B$428,MATCH($O111,$A$2:$A$428,0)-1),""))</f>
        <v/>
      </c>
      <c r="R111" s="19" cm="1">
        <f t="array" ref="R111">IF(OR($O111&lt;R$387,$O111&gt;R$388),"",IFERROR(IF($O111=R$387,100,R110)*INDEX($B$2:$B$428,MATCH($O111,$A$2:$A$428,0))/INDEX($B$2:$B$428,MATCH($O111,$A$2:$A$428,0)-1),""))</f>
        <v>104.00363162506522</v>
      </c>
      <c r="S111" s="19" t="str" cm="1">
        <f t="array" ref="S111">IF(OR($O111&lt;S$387,$O111&gt;S$388),"",IFERROR(IF($O111=S$387,100,S110)*INDEX($B$2:$B$428,MATCH($O111,$A$2:$A$428,0))/INDEX($B$2:$B$428,MATCH($O111,$A$2:$A$428,0)-1),""))</f>
        <v/>
      </c>
      <c r="T111" s="19" t="str" cm="1">
        <f t="array" ref="T111">IF(OR($O111&lt;T$387,$O111&gt;T$388),"",IFERROR(IF($O111=T$387,100,T110)*INDEX($B$2:$B$428,MATCH($O111,$A$2:$A$428,0))/INDEX($B$2:$B$428,MATCH($O111,$A$2:$A$428,0)-1),""))</f>
        <v/>
      </c>
      <c r="U111" s="19" t="str" cm="1">
        <f t="array" ref="U111">IF(OR($O111&lt;U$387,$O111&gt;U$388),"",IFERROR(IF($O111=U$387,100,U110)*INDEX($B$2:$B$428,MATCH($O111,$A$2:$A$428,0))/INDEX($B$2:$B$428,MATCH($O111,$A$2:$A$428,0)-1),""))</f>
        <v/>
      </c>
      <c r="V111" s="19" t="str" cm="1">
        <f t="array" ref="V111">IF(OR($O111&lt;V$387,$O111&gt;V$388),"",IFERROR(IF($O111=V$387,100,V110)*INDEX($B$2:$B$428,MATCH($O111,$A$2:$A$428,0))/INDEX($B$2:$B$428,MATCH($O111,$A$2:$A$428,0)-1),""))</f>
        <v/>
      </c>
      <c r="W111" s="19" t="str" cm="1">
        <f t="array" ref="W111">IF(OR($O111&lt;W$387,$O111&gt;W$388),"",IFERROR(IF($O111=W$387,100,W110)*INDEX($B$2:$B$428,MATCH($O111,$A$2:$A$428,0))/INDEX($B$2:$B$428,MATCH($O111,$A$2:$A$428,0)-1),""))</f>
        <v/>
      </c>
      <c r="X111" s="19" t="str" cm="1">
        <f t="array" ref="X111">IF(OR($O111&lt;X$387,$O111&gt;X$388),"",IFERROR(IF($O111=X$387,100,X110)*INDEX($B$2:$B$428,MATCH($O111,$A$2:$A$428,0))/INDEX($B$2:$B$428,MATCH($O111,$A$2:$A$428,0)-1),""))</f>
        <v/>
      </c>
      <c r="AA111" s="19"/>
      <c r="AB111" s="19"/>
      <c r="AC111" s="19"/>
      <c r="AD111" s="19"/>
      <c r="AE111" s="19"/>
      <c r="AF111" s="19"/>
      <c r="AG111" s="19"/>
      <c r="AH111" s="19"/>
      <c r="AJ111" s="11">
        <v>36192</v>
      </c>
      <c r="AK111">
        <v>1009024.4</v>
      </c>
      <c r="AL111" s="26">
        <f t="shared" si="16"/>
        <v>0.58986011636586788</v>
      </c>
    </row>
    <row r="112" spans="1:38" x14ac:dyDescent="0.3">
      <c r="A112" s="11">
        <v>36586</v>
      </c>
      <c r="B112" s="18">
        <v>321925.37</v>
      </c>
      <c r="C112" s="18">
        <v>493089.13</v>
      </c>
      <c r="D112" s="18">
        <v>640342.55000000005</v>
      </c>
      <c r="E112" s="11">
        <f t="shared" si="11"/>
        <v>36586</v>
      </c>
      <c r="F112" s="9">
        <f t="shared" si="13"/>
        <v>0.10945256983279483</v>
      </c>
      <c r="G112" s="9">
        <f t="shared" si="14"/>
        <v>0.13681135805404221</v>
      </c>
      <c r="H112" s="9">
        <f t="shared" si="15"/>
        <v>9.6612111598753048E-2</v>
      </c>
      <c r="I112" s="11">
        <f t="shared" si="12"/>
        <v>36586</v>
      </c>
      <c r="J112">
        <f t="shared" si="17"/>
        <v>488.97919549135656</v>
      </c>
      <c r="O112" s="11">
        <v>38047</v>
      </c>
      <c r="P112" s="19" t="str" cm="1">
        <f t="array" ref="P112">IF(OR($O112&lt;P$387,$O112&gt;P$388),"",IFERROR(IF($O112=P$387,100,P111)*INDEX($B$2:$B$428,MATCH($O112,$A$2:$A$428,0))/INDEX($B$2:$B$428,MATCH($O112,$A$2:$A$428,0)-1),""))</f>
        <v/>
      </c>
      <c r="Q112" s="19" t="str" cm="1">
        <f t="array" ref="Q112">IF(OR($O112&lt;Q$387,$O112&gt;Q$388),"",IFERROR(IF($O112=Q$387,100,Q111)*INDEX($B$2:$B$428,MATCH($O112,$A$2:$A$428,0))/INDEX($B$2:$B$428,MATCH($O112,$A$2:$A$428,0)-1),""))</f>
        <v/>
      </c>
      <c r="R112" s="19" cm="1">
        <f t="array" ref="R112">IF(OR($O112&lt;R$387,$O112&gt;R$388),"",IFERROR(IF($O112=R$387,100,R111)*INDEX($B$2:$B$428,MATCH($O112,$A$2:$A$428,0))/INDEX($B$2:$B$428,MATCH($O112,$A$2:$A$428,0)-1),""))</f>
        <v>103.55678226379311</v>
      </c>
      <c r="S112" s="19" t="str" cm="1">
        <f t="array" ref="S112">IF(OR($O112&lt;S$387,$O112&gt;S$388),"",IFERROR(IF($O112=S$387,100,S111)*INDEX($B$2:$B$428,MATCH($O112,$A$2:$A$428,0))/INDEX($B$2:$B$428,MATCH($O112,$A$2:$A$428,0)-1),""))</f>
        <v/>
      </c>
      <c r="T112" s="19" t="str" cm="1">
        <f t="array" ref="T112">IF(OR($O112&lt;T$387,$O112&gt;T$388),"",IFERROR(IF($O112=T$387,100,T111)*INDEX($B$2:$B$428,MATCH($O112,$A$2:$A$428,0))/INDEX($B$2:$B$428,MATCH($O112,$A$2:$A$428,0)-1),""))</f>
        <v/>
      </c>
      <c r="U112" s="19" t="str" cm="1">
        <f t="array" ref="U112">IF(OR($O112&lt;U$387,$O112&gt;U$388),"",IFERROR(IF($O112=U$387,100,U111)*INDEX($B$2:$B$428,MATCH($O112,$A$2:$A$428,0))/INDEX($B$2:$B$428,MATCH($O112,$A$2:$A$428,0)-1),""))</f>
        <v/>
      </c>
      <c r="V112" s="19" t="str" cm="1">
        <f t="array" ref="V112">IF(OR($O112&lt;V$387,$O112&gt;V$388),"",IFERROR(IF($O112=V$387,100,V111)*INDEX($B$2:$B$428,MATCH($O112,$A$2:$A$428,0))/INDEX($B$2:$B$428,MATCH($O112,$A$2:$A$428,0)-1),""))</f>
        <v/>
      </c>
      <c r="W112" s="19" t="str" cm="1">
        <f t="array" ref="W112">IF(OR($O112&lt;W$387,$O112&gt;W$388),"",IFERROR(IF($O112=W$387,100,W111)*INDEX($B$2:$B$428,MATCH($O112,$A$2:$A$428,0))/INDEX($B$2:$B$428,MATCH($O112,$A$2:$A$428,0)-1),""))</f>
        <v/>
      </c>
      <c r="X112" s="19" t="str" cm="1">
        <f t="array" ref="X112">IF(OR($O112&lt;X$387,$O112&gt;X$388),"",IFERROR(IF($O112=X$387,100,X111)*INDEX($B$2:$B$428,MATCH($O112,$A$2:$A$428,0))/INDEX($B$2:$B$428,MATCH($O112,$A$2:$A$428,0)-1),""))</f>
        <v/>
      </c>
      <c r="AA112" s="19"/>
      <c r="AB112" s="19"/>
      <c r="AC112" s="19"/>
      <c r="AD112" s="19"/>
      <c r="AE112" s="19"/>
      <c r="AF112" s="19"/>
      <c r="AG112" s="19"/>
      <c r="AH112" s="19"/>
      <c r="AJ112" s="11">
        <v>36220</v>
      </c>
      <c r="AK112">
        <v>1017318.3</v>
      </c>
      <c r="AL112" s="26">
        <f t="shared" si="16"/>
        <v>0.57398754155901843</v>
      </c>
    </row>
    <row r="113" spans="1:38" x14ac:dyDescent="0.3">
      <c r="A113" s="11">
        <v>36617</v>
      </c>
      <c r="B113" s="18">
        <v>329618.90000000002</v>
      </c>
      <c r="C113" s="18">
        <v>500897.64</v>
      </c>
      <c r="D113" s="18">
        <v>646917.1</v>
      </c>
      <c r="E113" s="11">
        <f t="shared" si="11"/>
        <v>36617</v>
      </c>
      <c r="F113" s="9">
        <f t="shared" si="13"/>
        <v>0.14787101984790607</v>
      </c>
      <c r="G113" s="9">
        <f t="shared" si="14"/>
        <v>0.15593119073127593</v>
      </c>
      <c r="H113" s="9">
        <f t="shared" si="15"/>
        <v>7.0951766544447237E-2</v>
      </c>
      <c r="I113" s="11">
        <f t="shared" si="12"/>
        <v>36617</v>
      </c>
      <c r="J113">
        <f t="shared" si="17"/>
        <v>500.66505954701836</v>
      </c>
      <c r="O113" s="11">
        <v>38078</v>
      </c>
      <c r="P113" s="19" t="str" cm="1">
        <f t="array" ref="P113">IF(OR($O113&lt;P$387,$O113&gt;P$388),"",IFERROR(IF($O113=P$387,100,P112)*INDEX($B$2:$B$428,MATCH($O113,$A$2:$A$428,0))/INDEX($B$2:$B$428,MATCH($O113,$A$2:$A$428,0)-1),""))</f>
        <v/>
      </c>
      <c r="Q113" s="19" t="str" cm="1">
        <f t="array" ref="Q113">IF(OR($O113&lt;Q$387,$O113&gt;Q$388),"",IFERROR(IF($O113=Q$387,100,Q112)*INDEX($B$2:$B$428,MATCH($O113,$A$2:$A$428,0))/INDEX($B$2:$B$428,MATCH($O113,$A$2:$A$428,0)-1),""))</f>
        <v/>
      </c>
      <c r="R113" s="19" cm="1">
        <f t="array" ref="R113">IF(OR($O113&lt;R$387,$O113&gt;R$388),"",IFERROR(IF($O113=R$387,100,R112)*INDEX($B$2:$B$428,MATCH($O113,$A$2:$A$428,0))/INDEX($B$2:$B$428,MATCH($O113,$A$2:$A$428,0)-1),""))</f>
        <v>104.00269016132235</v>
      </c>
      <c r="S113" s="19" t="str" cm="1">
        <f t="array" ref="S113">IF(OR($O113&lt;S$387,$O113&gt;S$388),"",IFERROR(IF($O113=S$387,100,S112)*INDEX($B$2:$B$428,MATCH($O113,$A$2:$A$428,0))/INDEX($B$2:$B$428,MATCH($O113,$A$2:$A$428,0)-1),""))</f>
        <v/>
      </c>
      <c r="T113" s="19" t="str" cm="1">
        <f t="array" ref="T113">IF(OR($O113&lt;T$387,$O113&gt;T$388),"",IFERROR(IF($O113=T$387,100,T112)*INDEX($B$2:$B$428,MATCH($O113,$A$2:$A$428,0))/INDEX($B$2:$B$428,MATCH($O113,$A$2:$A$428,0)-1),""))</f>
        <v/>
      </c>
      <c r="U113" s="19" t="str" cm="1">
        <f t="array" ref="U113">IF(OR($O113&lt;U$387,$O113&gt;U$388),"",IFERROR(IF($O113=U$387,100,U112)*INDEX($B$2:$B$428,MATCH($O113,$A$2:$A$428,0))/INDEX($B$2:$B$428,MATCH($O113,$A$2:$A$428,0)-1),""))</f>
        <v/>
      </c>
      <c r="V113" s="19" t="str" cm="1">
        <f t="array" ref="V113">IF(OR($O113&lt;V$387,$O113&gt;V$388),"",IFERROR(IF($O113=V$387,100,V112)*INDEX($B$2:$B$428,MATCH($O113,$A$2:$A$428,0))/INDEX($B$2:$B$428,MATCH($O113,$A$2:$A$428,0)-1),""))</f>
        <v/>
      </c>
      <c r="W113" s="19" t="str" cm="1">
        <f t="array" ref="W113">IF(OR($O113&lt;W$387,$O113&gt;W$388),"",IFERROR(IF($O113=W$387,100,W112)*INDEX($B$2:$B$428,MATCH($O113,$A$2:$A$428,0))/INDEX($B$2:$B$428,MATCH($O113,$A$2:$A$428,0)-1),""))</f>
        <v/>
      </c>
      <c r="X113" s="19" t="str" cm="1">
        <f t="array" ref="X113">IF(OR($O113&lt;X$387,$O113&gt;X$388),"",IFERROR(IF($O113=X$387,100,X112)*INDEX($B$2:$B$428,MATCH($O113,$A$2:$A$428,0))/INDEX($B$2:$B$428,MATCH($O113,$A$2:$A$428,0)-1),""))</f>
        <v/>
      </c>
      <c r="AA113" s="19"/>
      <c r="AB113" s="19"/>
      <c r="AC113" s="19"/>
      <c r="AD113" s="19"/>
      <c r="AE113" s="19"/>
      <c r="AF113" s="19"/>
      <c r="AG113" s="19"/>
      <c r="AH113" s="19"/>
      <c r="AJ113" s="11">
        <v>36251</v>
      </c>
      <c r="AK113">
        <v>1023891.3</v>
      </c>
      <c r="AL113" s="26">
        <f t="shared" si="16"/>
        <v>0.58996312401521522</v>
      </c>
    </row>
    <row r="114" spans="1:38" x14ac:dyDescent="0.3">
      <c r="A114" s="11">
        <v>36647</v>
      </c>
      <c r="B114" s="18">
        <v>333971.20000000001</v>
      </c>
      <c r="C114" s="18">
        <v>505608.51</v>
      </c>
      <c r="D114" s="18">
        <v>693929.55</v>
      </c>
      <c r="E114" s="11">
        <f t="shared" si="11"/>
        <v>36647</v>
      </c>
      <c r="F114" s="9">
        <f t="shared" si="13"/>
        <v>0.12036084902899113</v>
      </c>
      <c r="G114" s="9">
        <f t="shared" si="14"/>
        <v>0.14026770716749271</v>
      </c>
      <c r="H114" s="9">
        <f t="shared" si="15"/>
        <v>0.2322566549014462</v>
      </c>
      <c r="I114" s="11">
        <f t="shared" si="12"/>
        <v>36647</v>
      </c>
      <c r="J114">
        <f t="shared" ref="J114:J145" si="18">J113*(1+(B114/B113-1))</f>
        <v>507.27585928776898</v>
      </c>
      <c r="O114" s="11">
        <v>38108</v>
      </c>
      <c r="P114" s="19" t="str" cm="1">
        <f t="array" ref="P114">IF(OR($O114&lt;P$387,$O114&gt;P$388),"",IFERROR(IF($O114=P$387,100,P113)*INDEX($B$2:$B$428,MATCH($O114,$A$2:$A$428,0))/INDEX($B$2:$B$428,MATCH($O114,$A$2:$A$428,0)-1),""))</f>
        <v/>
      </c>
      <c r="Q114" s="19" t="str" cm="1">
        <f t="array" ref="Q114">IF(OR($O114&lt;Q$387,$O114&gt;Q$388),"",IFERROR(IF($O114=Q$387,100,Q113)*INDEX($B$2:$B$428,MATCH($O114,$A$2:$A$428,0))/INDEX($B$2:$B$428,MATCH($O114,$A$2:$A$428,0)-1),""))</f>
        <v/>
      </c>
      <c r="R114" s="19" cm="1">
        <f t="array" ref="R114">IF(OR($O114&lt;R$387,$O114&gt;R$388),"",IFERROR(IF($O114=R$387,100,R113)*INDEX($B$2:$B$428,MATCH($O114,$A$2:$A$428,0))/INDEX($B$2:$B$428,MATCH($O114,$A$2:$A$428,0)-1),""))</f>
        <v>106.57992219444075</v>
      </c>
      <c r="S114" s="19" t="str" cm="1">
        <f t="array" ref="S114">IF(OR($O114&lt;S$387,$O114&gt;S$388),"",IFERROR(IF($O114=S$387,100,S113)*INDEX($B$2:$B$428,MATCH($O114,$A$2:$A$428,0))/INDEX($B$2:$B$428,MATCH($O114,$A$2:$A$428,0)-1),""))</f>
        <v/>
      </c>
      <c r="T114" s="19" t="str" cm="1">
        <f t="array" ref="T114">IF(OR($O114&lt;T$387,$O114&gt;T$388),"",IFERROR(IF($O114=T$387,100,T113)*INDEX($B$2:$B$428,MATCH($O114,$A$2:$A$428,0))/INDEX($B$2:$B$428,MATCH($O114,$A$2:$A$428,0)-1),""))</f>
        <v/>
      </c>
      <c r="U114" s="19" t="str" cm="1">
        <f t="array" ref="U114">IF(OR($O114&lt;U$387,$O114&gt;U$388),"",IFERROR(IF($O114=U$387,100,U113)*INDEX($B$2:$B$428,MATCH($O114,$A$2:$A$428,0))/INDEX($B$2:$B$428,MATCH($O114,$A$2:$A$428,0)-1),""))</f>
        <v/>
      </c>
      <c r="V114" s="19" t="str" cm="1">
        <f t="array" ref="V114">IF(OR($O114&lt;V$387,$O114&gt;V$388),"",IFERROR(IF($O114=V$387,100,V113)*INDEX($B$2:$B$428,MATCH($O114,$A$2:$A$428,0))/INDEX($B$2:$B$428,MATCH($O114,$A$2:$A$428,0)-1),""))</f>
        <v/>
      </c>
      <c r="W114" s="19" t="str" cm="1">
        <f t="array" ref="W114">IF(OR($O114&lt;W$387,$O114&gt;W$388),"",IFERROR(IF($O114=W$387,100,W113)*INDEX($B$2:$B$428,MATCH($O114,$A$2:$A$428,0))/INDEX($B$2:$B$428,MATCH($O114,$A$2:$A$428,0)-1),""))</f>
        <v/>
      </c>
      <c r="X114" s="19" t="str" cm="1">
        <f t="array" ref="X114">IF(OR($O114&lt;X$387,$O114&gt;X$388),"",IFERROR(IF($O114=X$387,100,X113)*INDEX($B$2:$B$428,MATCH($O114,$A$2:$A$428,0))/INDEX($B$2:$B$428,MATCH($O114,$A$2:$A$428,0)-1),""))</f>
        <v/>
      </c>
      <c r="AA114" s="19"/>
      <c r="AB114" s="19"/>
      <c r="AC114" s="19"/>
      <c r="AD114" s="19"/>
      <c r="AE114" s="19"/>
      <c r="AF114" s="19"/>
      <c r="AG114" s="19"/>
      <c r="AH114" s="19"/>
      <c r="AJ114" s="11">
        <v>36281</v>
      </c>
      <c r="AK114">
        <v>1027906.8</v>
      </c>
      <c r="AL114" s="26">
        <f t="shared" si="16"/>
        <v>0.54784849171150529</v>
      </c>
    </row>
    <row r="115" spans="1:38" x14ac:dyDescent="0.3">
      <c r="A115" s="11">
        <v>36678</v>
      </c>
      <c r="B115" s="18">
        <v>334276.05</v>
      </c>
      <c r="C115" s="18">
        <v>508589.35</v>
      </c>
      <c r="D115" s="18">
        <v>702742.89</v>
      </c>
      <c r="E115" s="11">
        <f t="shared" si="11"/>
        <v>36678</v>
      </c>
      <c r="F115" s="9">
        <f t="shared" si="13"/>
        <v>0.1061445753470458</v>
      </c>
      <c r="G115" s="9">
        <f t="shared" si="14"/>
        <v>0.12384262612210106</v>
      </c>
      <c r="H115" s="9">
        <f t="shared" si="15"/>
        <v>0.21179229385419807</v>
      </c>
      <c r="I115" s="11">
        <f t="shared" si="12"/>
        <v>36678</v>
      </c>
      <c r="J115">
        <f t="shared" si="18"/>
        <v>507.73890234568489</v>
      </c>
      <c r="O115" s="11">
        <v>38139</v>
      </c>
      <c r="P115" s="19" t="str" cm="1">
        <f t="array" ref="P115">IF(OR($O115&lt;P$387,$O115&gt;P$388),"",IFERROR(IF($O115=P$387,100,P114)*INDEX($B$2:$B$428,MATCH($O115,$A$2:$A$428,0))/INDEX($B$2:$B$428,MATCH($O115,$A$2:$A$428,0)-1),""))</f>
        <v/>
      </c>
      <c r="Q115" s="19" t="str" cm="1">
        <f t="array" ref="Q115">IF(OR($O115&lt;Q$387,$O115&gt;Q$388),"",IFERROR(IF($O115=Q$387,100,Q114)*INDEX($B$2:$B$428,MATCH($O115,$A$2:$A$428,0))/INDEX($B$2:$B$428,MATCH($O115,$A$2:$A$428,0)-1),""))</f>
        <v/>
      </c>
      <c r="R115" s="19" cm="1">
        <f t="array" ref="R115">IF(OR($O115&lt;R$387,$O115&gt;R$388),"",IFERROR(IF($O115=R$387,100,R114)*INDEX($B$2:$B$428,MATCH($O115,$A$2:$A$428,0))/INDEX($B$2:$B$428,MATCH($O115,$A$2:$A$428,0)-1),""))</f>
        <v>106.31902975314289</v>
      </c>
      <c r="S115" s="19" t="str" cm="1">
        <f t="array" ref="S115">IF(OR($O115&lt;S$387,$O115&gt;S$388),"",IFERROR(IF($O115=S$387,100,S114)*INDEX($B$2:$B$428,MATCH($O115,$A$2:$A$428,0))/INDEX($B$2:$B$428,MATCH($O115,$A$2:$A$428,0)-1),""))</f>
        <v/>
      </c>
      <c r="T115" s="19" t="str" cm="1">
        <f t="array" ref="T115">IF(OR($O115&lt;T$387,$O115&gt;T$388),"",IFERROR(IF($O115=T$387,100,T114)*INDEX($B$2:$B$428,MATCH($O115,$A$2:$A$428,0))/INDEX($B$2:$B$428,MATCH($O115,$A$2:$A$428,0)-1),""))</f>
        <v/>
      </c>
      <c r="U115" s="19" t="str" cm="1">
        <f t="array" ref="U115">IF(OR($O115&lt;U$387,$O115&gt;U$388),"",IFERROR(IF($O115=U$387,100,U114)*INDEX($B$2:$B$428,MATCH($O115,$A$2:$A$428,0))/INDEX($B$2:$B$428,MATCH($O115,$A$2:$A$428,0)-1),""))</f>
        <v/>
      </c>
      <c r="V115" s="19" t="str" cm="1">
        <f t="array" ref="V115">IF(OR($O115&lt;V$387,$O115&gt;V$388),"",IFERROR(IF($O115=V$387,100,V114)*INDEX($B$2:$B$428,MATCH($O115,$A$2:$A$428,0))/INDEX($B$2:$B$428,MATCH($O115,$A$2:$A$428,0)-1),""))</f>
        <v/>
      </c>
      <c r="W115" s="19" t="str" cm="1">
        <f t="array" ref="W115">IF(OR($O115&lt;W$387,$O115&gt;W$388),"",IFERROR(IF($O115=W$387,100,W114)*INDEX($B$2:$B$428,MATCH($O115,$A$2:$A$428,0))/INDEX($B$2:$B$428,MATCH($O115,$A$2:$A$428,0)-1),""))</f>
        <v/>
      </c>
      <c r="X115" s="19" t="str" cm="1">
        <f t="array" ref="X115">IF(OR($O115&lt;X$387,$O115&gt;X$388),"",IFERROR(IF($O115=X$387,100,X114)*INDEX($B$2:$B$428,MATCH($O115,$A$2:$A$428,0))/INDEX($B$2:$B$428,MATCH($O115,$A$2:$A$428,0)-1),""))</f>
        <v/>
      </c>
      <c r="AA115" s="19"/>
      <c r="AB115" s="19"/>
      <c r="AC115" s="19"/>
      <c r="AD115" s="19"/>
      <c r="AE115" s="19"/>
      <c r="AF115" s="19"/>
      <c r="AG115" s="19"/>
      <c r="AH115" s="19"/>
      <c r="AJ115" s="11">
        <v>36312</v>
      </c>
      <c r="AK115">
        <v>1034091.4</v>
      </c>
      <c r="AL115" s="26">
        <f t="shared" si="16"/>
        <v>0.56080173377324283</v>
      </c>
    </row>
    <row r="116" spans="1:38" x14ac:dyDescent="0.3">
      <c r="A116" s="11">
        <v>36708</v>
      </c>
      <c r="B116" s="18">
        <v>335626.34</v>
      </c>
      <c r="C116" s="18">
        <v>510648.18</v>
      </c>
      <c r="D116" s="18">
        <v>718905.03</v>
      </c>
      <c r="E116" s="11">
        <f t="shared" si="11"/>
        <v>36708</v>
      </c>
      <c r="F116" s="9">
        <f t="shared" si="13"/>
        <v>9.6478267977336607E-2</v>
      </c>
      <c r="G116" s="9">
        <f t="shared" si="14"/>
        <v>0.10883842154784396</v>
      </c>
      <c r="H116" s="9">
        <f t="shared" si="15"/>
        <v>0.22966052832202766</v>
      </c>
      <c r="I116" s="11">
        <f t="shared" si="12"/>
        <v>36708</v>
      </c>
      <c r="J116">
        <f t="shared" si="18"/>
        <v>509.78988614320309</v>
      </c>
      <c r="O116" s="11">
        <v>38169</v>
      </c>
      <c r="P116" s="19" t="str" cm="1">
        <f t="array" ref="P116">IF(OR($O116&lt;P$387,$O116&gt;P$388),"",IFERROR(IF($O116=P$387,100,P115)*INDEX($B$2:$B$428,MATCH($O116,$A$2:$A$428,0))/INDEX($B$2:$B$428,MATCH($O116,$A$2:$A$428,0)-1),""))</f>
        <v/>
      </c>
      <c r="Q116" s="19" t="str" cm="1">
        <f t="array" ref="Q116">IF(OR($O116&lt;Q$387,$O116&gt;Q$388),"",IFERROR(IF($O116=Q$387,100,Q115)*INDEX($B$2:$B$428,MATCH($O116,$A$2:$A$428,0))/INDEX($B$2:$B$428,MATCH($O116,$A$2:$A$428,0)-1),""))</f>
        <v/>
      </c>
      <c r="R116" s="19" cm="1">
        <f t="array" ref="R116">IF(OR($O116&lt;R$387,$O116&gt;R$388),"",IFERROR(IF($O116=R$387,100,R115)*INDEX($B$2:$B$428,MATCH($O116,$A$2:$A$428,0))/INDEX($B$2:$B$428,MATCH($O116,$A$2:$A$428,0)-1),""))</f>
        <v>105.78606142244975</v>
      </c>
      <c r="S116" s="19" t="str" cm="1">
        <f t="array" ref="S116">IF(OR($O116&lt;S$387,$O116&gt;S$388),"",IFERROR(IF($O116=S$387,100,S115)*INDEX($B$2:$B$428,MATCH($O116,$A$2:$A$428,0))/INDEX($B$2:$B$428,MATCH($O116,$A$2:$A$428,0)-1),""))</f>
        <v/>
      </c>
      <c r="T116" s="19" t="str" cm="1">
        <f t="array" ref="T116">IF(OR($O116&lt;T$387,$O116&gt;T$388),"",IFERROR(IF($O116=T$387,100,T115)*INDEX($B$2:$B$428,MATCH($O116,$A$2:$A$428,0))/INDEX($B$2:$B$428,MATCH($O116,$A$2:$A$428,0)-1),""))</f>
        <v/>
      </c>
      <c r="U116" s="19" t="str" cm="1">
        <f t="array" ref="U116">IF(OR($O116&lt;U$387,$O116&gt;U$388),"",IFERROR(IF($O116=U$387,100,U115)*INDEX($B$2:$B$428,MATCH($O116,$A$2:$A$428,0))/INDEX($B$2:$B$428,MATCH($O116,$A$2:$A$428,0)-1),""))</f>
        <v/>
      </c>
      <c r="V116" s="19" t="str" cm="1">
        <f t="array" ref="V116">IF(OR($O116&lt;V$387,$O116&gt;V$388),"",IFERROR(IF($O116=V$387,100,V115)*INDEX($B$2:$B$428,MATCH($O116,$A$2:$A$428,0))/INDEX($B$2:$B$428,MATCH($O116,$A$2:$A$428,0)-1),""))</f>
        <v/>
      </c>
      <c r="W116" s="19" t="str" cm="1">
        <f t="array" ref="W116">IF(OR($O116&lt;W$387,$O116&gt;W$388),"",IFERROR(IF($O116=W$387,100,W115)*INDEX($B$2:$B$428,MATCH($O116,$A$2:$A$428,0))/INDEX($B$2:$B$428,MATCH($O116,$A$2:$A$428,0)-1),""))</f>
        <v/>
      </c>
      <c r="X116" s="19" t="str" cm="1">
        <f t="array" ref="X116">IF(OR($O116&lt;X$387,$O116&gt;X$388),"",IFERROR(IF($O116=X$387,100,X115)*INDEX($B$2:$B$428,MATCH($O116,$A$2:$A$428,0))/INDEX($B$2:$B$428,MATCH($O116,$A$2:$A$428,0)-1),""))</f>
        <v/>
      </c>
      <c r="AA116" s="19"/>
      <c r="AB116" s="19"/>
      <c r="AC116" s="19"/>
      <c r="AD116" s="19"/>
      <c r="AE116" s="19"/>
      <c r="AF116" s="19"/>
      <c r="AG116" s="19"/>
      <c r="AH116" s="19"/>
      <c r="AJ116" s="11">
        <v>36342</v>
      </c>
      <c r="AK116">
        <v>1038383.3</v>
      </c>
      <c r="AL116" s="26">
        <f t="shared" si="16"/>
        <v>0.56302618695813</v>
      </c>
    </row>
    <row r="117" spans="1:38" x14ac:dyDescent="0.3">
      <c r="A117" s="11">
        <v>36739</v>
      </c>
      <c r="B117" s="18">
        <v>330881.45</v>
      </c>
      <c r="C117" s="18">
        <v>509570.07</v>
      </c>
      <c r="D117" s="18">
        <v>723791.27</v>
      </c>
      <c r="E117" s="11">
        <f t="shared" si="11"/>
        <v>36739</v>
      </c>
      <c r="F117" s="9">
        <f t="shared" si="13"/>
        <v>4.1623125543841066E-2</v>
      </c>
      <c r="G117" s="9">
        <f t="shared" si="14"/>
        <v>7.6222508302458802E-2</v>
      </c>
      <c r="H117" s="9">
        <f t="shared" si="15"/>
        <v>0.19624213799707024</v>
      </c>
      <c r="I117" s="11">
        <f t="shared" si="12"/>
        <v>36739</v>
      </c>
      <c r="J117">
        <f t="shared" si="18"/>
        <v>502.58277321856781</v>
      </c>
      <c r="O117" s="11">
        <v>38200</v>
      </c>
      <c r="P117" s="19" t="str" cm="1">
        <f t="array" ref="P117">IF(OR($O117&lt;P$387,$O117&gt;P$388),"",IFERROR(IF($O117=P$387,100,P116)*INDEX($B$2:$B$428,MATCH($O117,$A$2:$A$428,0))/INDEX($B$2:$B$428,MATCH($O117,$A$2:$A$428,0)-1),""))</f>
        <v/>
      </c>
      <c r="Q117" s="19" t="str" cm="1">
        <f t="array" ref="Q117">IF(OR($O117&lt;Q$387,$O117&gt;Q$388),"",IFERROR(IF($O117=Q$387,100,Q116)*INDEX($B$2:$B$428,MATCH($O117,$A$2:$A$428,0))/INDEX($B$2:$B$428,MATCH($O117,$A$2:$A$428,0)-1),""))</f>
        <v/>
      </c>
      <c r="R117" s="19" cm="1">
        <f t="array" ref="R117">IF(OR($O117&lt;R$387,$O117&gt;R$388),"",IFERROR(IF($O117=R$387,100,R116)*INDEX($B$2:$B$428,MATCH($O117,$A$2:$A$428,0))/INDEX($B$2:$B$428,MATCH($O117,$A$2:$A$428,0)-1),""))</f>
        <v>105.64344749615402</v>
      </c>
      <c r="S117" s="19" t="str" cm="1">
        <f t="array" ref="S117">IF(OR($O117&lt;S$387,$O117&gt;S$388),"",IFERROR(IF($O117=S$387,100,S116)*INDEX($B$2:$B$428,MATCH($O117,$A$2:$A$428,0))/INDEX($B$2:$B$428,MATCH($O117,$A$2:$A$428,0)-1),""))</f>
        <v/>
      </c>
      <c r="T117" s="19" t="str" cm="1">
        <f t="array" ref="T117">IF(OR($O117&lt;T$387,$O117&gt;T$388),"",IFERROR(IF($O117=T$387,100,T116)*INDEX($B$2:$B$428,MATCH($O117,$A$2:$A$428,0))/INDEX($B$2:$B$428,MATCH($O117,$A$2:$A$428,0)-1),""))</f>
        <v/>
      </c>
      <c r="U117" s="19" t="str" cm="1">
        <f t="array" ref="U117">IF(OR($O117&lt;U$387,$O117&gt;U$388),"",IFERROR(IF($O117=U$387,100,U116)*INDEX($B$2:$B$428,MATCH($O117,$A$2:$A$428,0))/INDEX($B$2:$B$428,MATCH($O117,$A$2:$A$428,0)-1),""))</f>
        <v/>
      </c>
      <c r="V117" s="19" t="str" cm="1">
        <f t="array" ref="V117">IF(OR($O117&lt;V$387,$O117&gt;V$388),"",IFERROR(IF($O117=V$387,100,V116)*INDEX($B$2:$B$428,MATCH($O117,$A$2:$A$428,0))/INDEX($B$2:$B$428,MATCH($O117,$A$2:$A$428,0)-1),""))</f>
        <v/>
      </c>
      <c r="W117" s="19" t="str" cm="1">
        <f t="array" ref="W117">IF(OR($O117&lt;W$387,$O117&gt;W$388),"",IFERROR(IF($O117=W$387,100,W116)*INDEX($B$2:$B$428,MATCH($O117,$A$2:$A$428,0))/INDEX($B$2:$B$428,MATCH($O117,$A$2:$A$428,0)-1),""))</f>
        <v/>
      </c>
      <c r="X117" s="19" t="str" cm="1">
        <f t="array" ref="X117">IF(OR($O117&lt;X$387,$O117&gt;X$388),"",IFERROR(IF($O117=X$387,100,X116)*INDEX($B$2:$B$428,MATCH($O117,$A$2:$A$428,0))/INDEX($B$2:$B$428,MATCH($O117,$A$2:$A$428,0)-1),""))</f>
        <v/>
      </c>
      <c r="AA117" s="19"/>
      <c r="AB117" s="19"/>
      <c r="AC117" s="19"/>
      <c r="AD117" s="19"/>
      <c r="AE117" s="19"/>
      <c r="AF117" s="19"/>
      <c r="AG117" s="19"/>
      <c r="AH117" s="19"/>
      <c r="AJ117" s="11">
        <v>36373</v>
      </c>
      <c r="AK117">
        <v>1044295.4</v>
      </c>
      <c r="AL117" s="26">
        <f t="shared" si="16"/>
        <v>0.579389845057251</v>
      </c>
    </row>
    <row r="118" spans="1:38" x14ac:dyDescent="0.3">
      <c r="A118" s="11">
        <v>36770</v>
      </c>
      <c r="B118" s="18">
        <v>332033.3</v>
      </c>
      <c r="C118" s="18">
        <v>512983.39</v>
      </c>
      <c r="D118" s="18">
        <v>731588.52</v>
      </c>
      <c r="E118" s="11">
        <f t="shared" si="11"/>
        <v>36770</v>
      </c>
      <c r="F118" s="9">
        <f t="shared" si="13"/>
        <v>5.1741539405769199E-2</v>
      </c>
      <c r="G118" s="9">
        <f t="shared" si="14"/>
        <v>8.1022726973391412E-2</v>
      </c>
      <c r="H118" s="9">
        <f t="shared" si="15"/>
        <v>0.18441311838088903</v>
      </c>
      <c r="I118" s="11">
        <f t="shared" si="12"/>
        <v>36770</v>
      </c>
      <c r="J118">
        <f t="shared" si="18"/>
        <v>504.33234233866142</v>
      </c>
      <c r="O118" s="11">
        <v>38231</v>
      </c>
      <c r="P118" s="19" t="str" cm="1">
        <f t="array" ref="P118">IF(OR($O118&lt;P$387,$O118&gt;P$388),"",IFERROR(IF($O118=P$387,100,P117)*INDEX($B$2:$B$428,MATCH($O118,$A$2:$A$428,0))/INDEX($B$2:$B$428,MATCH($O118,$A$2:$A$428,0)-1),""))</f>
        <v/>
      </c>
      <c r="Q118" s="19" t="str" cm="1">
        <f t="array" ref="Q118">IF(OR($O118&lt;Q$387,$O118&gt;Q$388),"",IFERROR(IF($O118=Q$387,100,Q117)*INDEX($B$2:$B$428,MATCH($O118,$A$2:$A$428,0))/INDEX($B$2:$B$428,MATCH($O118,$A$2:$A$428,0)-1),""))</f>
        <v/>
      </c>
      <c r="R118" s="19" cm="1">
        <f t="array" ref="R118">IF(OR($O118&lt;R$387,$O118&gt;R$388),"",IFERROR(IF($O118=R$387,100,R117)*INDEX($B$2:$B$428,MATCH($O118,$A$2:$A$428,0))/INDEX($B$2:$B$428,MATCH($O118,$A$2:$A$428,0)-1),""))</f>
        <v>104.8479320303119</v>
      </c>
      <c r="S118" s="19" t="str" cm="1">
        <f t="array" ref="S118">IF(OR($O118&lt;S$387,$O118&gt;S$388),"",IFERROR(IF($O118=S$387,100,S117)*INDEX($B$2:$B$428,MATCH($O118,$A$2:$A$428,0))/INDEX($B$2:$B$428,MATCH($O118,$A$2:$A$428,0)-1),""))</f>
        <v/>
      </c>
      <c r="T118" s="19" t="str" cm="1">
        <f t="array" ref="T118">IF(OR($O118&lt;T$387,$O118&gt;T$388),"",IFERROR(IF($O118=T$387,100,T117)*INDEX($B$2:$B$428,MATCH($O118,$A$2:$A$428,0))/INDEX($B$2:$B$428,MATCH($O118,$A$2:$A$428,0)-1),""))</f>
        <v/>
      </c>
      <c r="U118" s="19" t="str" cm="1">
        <f t="array" ref="U118">IF(OR($O118&lt;U$387,$O118&gt;U$388),"",IFERROR(IF($O118=U$387,100,U117)*INDEX($B$2:$B$428,MATCH($O118,$A$2:$A$428,0))/INDEX($B$2:$B$428,MATCH($O118,$A$2:$A$428,0)-1),""))</f>
        <v/>
      </c>
      <c r="V118" s="19" t="str" cm="1">
        <f t="array" ref="V118">IF(OR($O118&lt;V$387,$O118&gt;V$388),"",IFERROR(IF($O118=V$387,100,V117)*INDEX($B$2:$B$428,MATCH($O118,$A$2:$A$428,0))/INDEX($B$2:$B$428,MATCH($O118,$A$2:$A$428,0)-1),""))</f>
        <v/>
      </c>
      <c r="W118" s="19" t="str" cm="1">
        <f t="array" ref="W118">IF(OR($O118&lt;W$387,$O118&gt;W$388),"",IFERROR(IF($O118=W$387,100,W117)*INDEX($B$2:$B$428,MATCH($O118,$A$2:$A$428,0))/INDEX($B$2:$B$428,MATCH($O118,$A$2:$A$428,0)-1),""))</f>
        <v/>
      </c>
      <c r="X118" s="19" t="str" cm="1">
        <f t="array" ref="X118">IF(OR($O118&lt;X$387,$O118&gt;X$388),"",IFERROR(IF($O118=X$387,100,X117)*INDEX($B$2:$B$428,MATCH($O118,$A$2:$A$428,0))/INDEX($B$2:$B$428,MATCH($O118,$A$2:$A$428,0)-1),""))</f>
        <v/>
      </c>
      <c r="AA118" s="19"/>
      <c r="AB118" s="19"/>
      <c r="AC118" s="19"/>
      <c r="AD118" s="19"/>
      <c r="AE118" s="19"/>
      <c r="AF118" s="19"/>
      <c r="AG118" s="19"/>
      <c r="AH118" s="19"/>
      <c r="AJ118" s="11">
        <v>36404</v>
      </c>
      <c r="AK118">
        <v>1050173.6000000001</v>
      </c>
      <c r="AL118" s="26">
        <f t="shared" si="16"/>
        <v>0.58816960357792258</v>
      </c>
    </row>
    <row r="119" spans="1:38" x14ac:dyDescent="0.3">
      <c r="A119" s="11">
        <v>36800</v>
      </c>
      <c r="B119" s="18">
        <v>342280.95</v>
      </c>
      <c r="C119" s="18">
        <v>520874.05</v>
      </c>
      <c r="D119" s="18">
        <v>737439.27</v>
      </c>
      <c r="E119" s="11">
        <f t="shared" si="11"/>
        <v>36800</v>
      </c>
      <c r="F119" s="9">
        <f t="shared" si="13"/>
        <v>6.4194689506639868E-2</v>
      </c>
      <c r="G119" s="9">
        <f t="shared" si="14"/>
        <v>8.3940438199289868E-2</v>
      </c>
      <c r="H119" s="9">
        <f t="shared" si="15"/>
        <v>0.16549472513703756</v>
      </c>
      <c r="I119" s="11">
        <f t="shared" si="12"/>
        <v>36800</v>
      </c>
      <c r="J119">
        <f t="shared" si="18"/>
        <v>519.8977128239917</v>
      </c>
      <c r="O119" s="11">
        <v>38261</v>
      </c>
      <c r="P119" s="19" t="str" cm="1">
        <f t="array" ref="P119">IF(OR($O119&lt;P$387,$O119&gt;P$388),"",IFERROR(IF($O119=P$387,100,P118)*INDEX($B$2:$B$428,MATCH($O119,$A$2:$A$428,0))/INDEX($B$2:$B$428,MATCH($O119,$A$2:$A$428,0)-1),""))</f>
        <v/>
      </c>
      <c r="Q119" s="19" t="str" cm="1">
        <f t="array" ref="Q119">IF(OR($O119&lt;Q$387,$O119&gt;Q$388),"",IFERROR(IF($O119=Q$387,100,Q118)*INDEX($B$2:$B$428,MATCH($O119,$A$2:$A$428,0))/INDEX($B$2:$B$428,MATCH($O119,$A$2:$A$428,0)-1),""))</f>
        <v/>
      </c>
      <c r="R119" s="19" cm="1">
        <f t="array" ref="R119">IF(OR($O119&lt;R$387,$O119&gt;R$388),"",IFERROR(IF($O119=R$387,100,R118)*INDEX($B$2:$B$428,MATCH($O119,$A$2:$A$428,0))/INDEX($B$2:$B$428,MATCH($O119,$A$2:$A$428,0)-1),""))</f>
        <v>105.72297621937479</v>
      </c>
      <c r="S119" s="19" t="str" cm="1">
        <f t="array" ref="S119">IF(OR($O119&lt;S$387,$O119&gt;S$388),"",IFERROR(IF($O119=S$387,100,S118)*INDEX($B$2:$B$428,MATCH($O119,$A$2:$A$428,0))/INDEX($B$2:$B$428,MATCH($O119,$A$2:$A$428,0)-1),""))</f>
        <v/>
      </c>
      <c r="T119" s="19" t="str" cm="1">
        <f t="array" ref="T119">IF(OR($O119&lt;T$387,$O119&gt;T$388),"",IFERROR(IF($O119=T$387,100,T118)*INDEX($B$2:$B$428,MATCH($O119,$A$2:$A$428,0))/INDEX($B$2:$B$428,MATCH($O119,$A$2:$A$428,0)-1),""))</f>
        <v/>
      </c>
      <c r="U119" s="19" t="str" cm="1">
        <f t="array" ref="U119">IF(OR($O119&lt;U$387,$O119&gt;U$388),"",IFERROR(IF($O119=U$387,100,U118)*INDEX($B$2:$B$428,MATCH($O119,$A$2:$A$428,0))/INDEX($B$2:$B$428,MATCH($O119,$A$2:$A$428,0)-1),""))</f>
        <v/>
      </c>
      <c r="V119" s="19" t="str" cm="1">
        <f t="array" ref="V119">IF(OR($O119&lt;V$387,$O119&gt;V$388),"",IFERROR(IF($O119=V$387,100,V118)*INDEX($B$2:$B$428,MATCH($O119,$A$2:$A$428,0))/INDEX($B$2:$B$428,MATCH($O119,$A$2:$A$428,0)-1),""))</f>
        <v/>
      </c>
      <c r="W119" s="19" t="str" cm="1">
        <f t="array" ref="W119">IF(OR($O119&lt;W$387,$O119&gt;W$388),"",IFERROR(IF($O119=W$387,100,W118)*INDEX($B$2:$B$428,MATCH($O119,$A$2:$A$428,0))/INDEX($B$2:$B$428,MATCH($O119,$A$2:$A$428,0)-1),""))</f>
        <v/>
      </c>
      <c r="X119" s="19" t="str" cm="1">
        <f t="array" ref="X119">IF(OR($O119&lt;X$387,$O119&gt;X$388),"",IFERROR(IF($O119=X$387,100,X118)*INDEX($B$2:$B$428,MATCH($O119,$A$2:$A$428,0))/INDEX($B$2:$B$428,MATCH($O119,$A$2:$A$428,0)-1),""))</f>
        <v/>
      </c>
      <c r="AA119" s="19"/>
      <c r="AB119" s="19"/>
      <c r="AC119" s="19"/>
      <c r="AD119" s="19"/>
      <c r="AE119" s="19"/>
      <c r="AF119" s="19"/>
      <c r="AG119" s="19"/>
      <c r="AH119" s="19"/>
      <c r="AJ119" s="11">
        <v>36434</v>
      </c>
      <c r="AK119">
        <v>1058743.2</v>
      </c>
      <c r="AL119" s="26">
        <f t="shared" si="16"/>
        <v>0.59762026334620144</v>
      </c>
    </row>
    <row r="120" spans="1:38" x14ac:dyDescent="0.3">
      <c r="A120" s="11">
        <v>36831</v>
      </c>
      <c r="B120" s="18">
        <v>348492.07</v>
      </c>
      <c r="C120" s="18">
        <v>520317.24</v>
      </c>
      <c r="D120" s="18">
        <v>736574.12</v>
      </c>
      <c r="E120" s="11">
        <f t="shared" si="11"/>
        <v>36831</v>
      </c>
      <c r="F120" s="9">
        <f t="shared" si="13"/>
        <v>9.451377639463554E-2</v>
      </c>
      <c r="G120" s="9">
        <f t="shared" si="14"/>
        <v>8.290128675545505E-2</v>
      </c>
      <c r="H120" s="9">
        <f t="shared" si="15"/>
        <v>0.14717582130652573</v>
      </c>
      <c r="I120" s="11">
        <f t="shared" si="12"/>
        <v>36831</v>
      </c>
      <c r="J120">
        <f t="shared" si="18"/>
        <v>529.33191324348729</v>
      </c>
      <c r="O120" s="11">
        <v>38292</v>
      </c>
      <c r="P120" s="19" t="str" cm="1">
        <f t="array" ref="P120">IF(OR($O120&lt;P$387,$O120&gt;P$388),"",IFERROR(IF($O120=P$387,100,P119)*INDEX($B$2:$B$428,MATCH($O120,$A$2:$A$428,0))/INDEX($B$2:$B$428,MATCH($O120,$A$2:$A$428,0)-1),""))</f>
        <v/>
      </c>
      <c r="Q120" s="19" t="str" cm="1">
        <f t="array" ref="Q120">IF(OR($O120&lt;Q$387,$O120&gt;Q$388),"",IFERROR(IF($O120=Q$387,100,Q119)*INDEX($B$2:$B$428,MATCH($O120,$A$2:$A$428,0))/INDEX($B$2:$B$428,MATCH($O120,$A$2:$A$428,0)-1),""))</f>
        <v/>
      </c>
      <c r="R120" s="19" cm="1">
        <f t="array" ref="R120">IF(OR($O120&lt;R$387,$O120&gt;R$388),"",IFERROR(IF($O120=R$387,100,R119)*INDEX($B$2:$B$428,MATCH($O120,$A$2:$A$428,0))/INDEX($B$2:$B$428,MATCH($O120,$A$2:$A$428,0)-1),""))</f>
        <v>105.34272828561132</v>
      </c>
      <c r="S120" s="19" t="str" cm="1">
        <f t="array" ref="S120">IF(OR($O120&lt;S$387,$O120&gt;S$388),"",IFERROR(IF($O120=S$387,100,S119)*INDEX($B$2:$B$428,MATCH($O120,$A$2:$A$428,0))/INDEX($B$2:$B$428,MATCH($O120,$A$2:$A$428,0)-1),""))</f>
        <v/>
      </c>
      <c r="T120" s="19" t="str" cm="1">
        <f t="array" ref="T120">IF(OR($O120&lt;T$387,$O120&gt;T$388),"",IFERROR(IF($O120=T$387,100,T119)*INDEX($B$2:$B$428,MATCH($O120,$A$2:$A$428,0))/INDEX($B$2:$B$428,MATCH($O120,$A$2:$A$428,0)-1),""))</f>
        <v/>
      </c>
      <c r="U120" s="19" t="str" cm="1">
        <f t="array" ref="U120">IF(OR($O120&lt;U$387,$O120&gt;U$388),"",IFERROR(IF($O120=U$387,100,U119)*INDEX($B$2:$B$428,MATCH($O120,$A$2:$A$428,0))/INDEX($B$2:$B$428,MATCH($O120,$A$2:$A$428,0)-1),""))</f>
        <v/>
      </c>
      <c r="V120" s="19" t="str" cm="1">
        <f t="array" ref="V120">IF(OR($O120&lt;V$387,$O120&gt;V$388),"",IFERROR(IF($O120=V$387,100,V119)*INDEX($B$2:$B$428,MATCH($O120,$A$2:$A$428,0))/INDEX($B$2:$B$428,MATCH($O120,$A$2:$A$428,0)-1),""))</f>
        <v/>
      </c>
      <c r="W120" s="19" t="str" cm="1">
        <f t="array" ref="W120">IF(OR($O120&lt;W$387,$O120&gt;W$388),"",IFERROR(IF($O120=W$387,100,W119)*INDEX($B$2:$B$428,MATCH($O120,$A$2:$A$428,0))/INDEX($B$2:$B$428,MATCH($O120,$A$2:$A$428,0)-1),""))</f>
        <v/>
      </c>
      <c r="X120" s="19" t="str" cm="1">
        <f t="array" ref="X120">IF(OR($O120&lt;X$387,$O120&gt;X$388),"",IFERROR(IF($O120=X$387,100,X119)*INDEX($B$2:$B$428,MATCH($O120,$A$2:$A$428,0))/INDEX($B$2:$B$428,MATCH($O120,$A$2:$A$428,0)-1),""))</f>
        <v/>
      </c>
      <c r="AA120" s="19"/>
      <c r="AB120" s="19"/>
      <c r="AC120" s="19"/>
      <c r="AD120" s="19"/>
      <c r="AE120" s="19"/>
      <c r="AF120" s="19"/>
      <c r="AG120" s="19"/>
      <c r="AH120" s="19"/>
      <c r="AJ120" s="11">
        <v>36465</v>
      </c>
      <c r="AK120">
        <v>1071989.7</v>
      </c>
      <c r="AL120" s="26">
        <f t="shared" si="16"/>
        <v>0.59895729408594134</v>
      </c>
    </row>
    <row r="121" spans="1:38" x14ac:dyDescent="0.3">
      <c r="A121" s="11">
        <v>36861</v>
      </c>
      <c r="B121" s="18">
        <v>352966.95</v>
      </c>
      <c r="C121" s="18">
        <v>529581.47</v>
      </c>
      <c r="D121" s="18">
        <v>745807.35</v>
      </c>
      <c r="E121" s="11">
        <f t="shared" si="11"/>
        <v>36861</v>
      </c>
      <c r="F121" s="9">
        <f t="shared" si="13"/>
        <v>0.1162009475061625</v>
      </c>
      <c r="G121" s="9">
        <f t="shared" si="14"/>
        <v>9.3150181611501237E-2</v>
      </c>
      <c r="H121" s="9">
        <f t="shared" si="15"/>
        <v>0.2008355240422437</v>
      </c>
      <c r="I121" s="11">
        <f t="shared" si="12"/>
        <v>36861</v>
      </c>
      <c r="J121">
        <f t="shared" si="18"/>
        <v>536.12890231682559</v>
      </c>
      <c r="O121" s="11">
        <v>38322</v>
      </c>
      <c r="P121" s="19" t="str" cm="1">
        <f t="array" ref="P121">IF(OR($O121&lt;P$387,$O121&gt;P$388),"",IFERROR(IF($O121=P$387,100,P120)*INDEX($B$2:$B$428,MATCH($O121,$A$2:$A$428,0))/INDEX($B$2:$B$428,MATCH($O121,$A$2:$A$428,0)-1),""))</f>
        <v/>
      </c>
      <c r="Q121" s="19" t="str" cm="1">
        <f t="array" ref="Q121">IF(OR($O121&lt;Q$387,$O121&gt;Q$388),"",IFERROR(IF($O121=Q$387,100,Q120)*INDEX($B$2:$B$428,MATCH($O121,$A$2:$A$428,0))/INDEX($B$2:$B$428,MATCH($O121,$A$2:$A$428,0)-1),""))</f>
        <v/>
      </c>
      <c r="R121" s="19" cm="1">
        <f t="array" ref="R121">IF(OR($O121&lt;R$387,$O121&gt;R$388),"",IFERROR(IF($O121=R$387,100,R120)*INDEX($B$2:$B$428,MATCH($O121,$A$2:$A$428,0))/INDEX($B$2:$B$428,MATCH($O121,$A$2:$A$428,0)-1),""))</f>
        <v>107.24800305376606</v>
      </c>
      <c r="S121" s="19" t="str" cm="1">
        <f t="array" ref="S121">IF(OR($O121&lt;S$387,$O121&gt;S$388),"",IFERROR(IF($O121=S$387,100,S120)*INDEX($B$2:$B$428,MATCH($O121,$A$2:$A$428,0))/INDEX($B$2:$B$428,MATCH($O121,$A$2:$A$428,0)-1),""))</f>
        <v/>
      </c>
      <c r="T121" s="19" t="str" cm="1">
        <f t="array" ref="T121">IF(OR($O121&lt;T$387,$O121&gt;T$388),"",IFERROR(IF($O121=T$387,100,T120)*INDEX($B$2:$B$428,MATCH($O121,$A$2:$A$428,0))/INDEX($B$2:$B$428,MATCH($O121,$A$2:$A$428,0)-1),""))</f>
        <v/>
      </c>
      <c r="U121" s="19" t="str" cm="1">
        <f t="array" ref="U121">IF(OR($O121&lt;U$387,$O121&gt;U$388),"",IFERROR(IF($O121=U$387,100,U120)*INDEX($B$2:$B$428,MATCH($O121,$A$2:$A$428,0))/INDEX($B$2:$B$428,MATCH($O121,$A$2:$A$428,0)-1),""))</f>
        <v/>
      </c>
      <c r="V121" s="19" t="str" cm="1">
        <f t="array" ref="V121">IF(OR($O121&lt;V$387,$O121&gt;V$388),"",IFERROR(IF($O121=V$387,100,V120)*INDEX($B$2:$B$428,MATCH($O121,$A$2:$A$428,0))/INDEX($B$2:$B$428,MATCH($O121,$A$2:$A$428,0)-1),""))</f>
        <v/>
      </c>
      <c r="W121" s="19" t="str" cm="1">
        <f t="array" ref="W121">IF(OR($O121&lt;W$387,$O121&gt;W$388),"",IFERROR(IF($O121=W$387,100,W120)*INDEX($B$2:$B$428,MATCH($O121,$A$2:$A$428,0))/INDEX($B$2:$B$428,MATCH($O121,$A$2:$A$428,0)-1),""))</f>
        <v/>
      </c>
      <c r="X121" s="19" t="str" cm="1">
        <f t="array" ref="X121">IF(OR($O121&lt;X$387,$O121&gt;X$388),"",IFERROR(IF($O121=X$387,100,X120)*INDEX($B$2:$B$428,MATCH($O121,$A$2:$A$428,0))/INDEX($B$2:$B$428,MATCH($O121,$A$2:$A$428,0)-1),""))</f>
        <v/>
      </c>
      <c r="AA121" s="19"/>
      <c r="AB121" s="19"/>
      <c r="AC121" s="19"/>
      <c r="AD121" s="19"/>
      <c r="AE121" s="19"/>
      <c r="AF121" s="19"/>
      <c r="AG121" s="19"/>
      <c r="AH121" s="19"/>
      <c r="AJ121" s="11">
        <v>36495</v>
      </c>
      <c r="AK121">
        <v>1087710.5</v>
      </c>
      <c r="AL121" s="26">
        <f t="shared" si="16"/>
        <v>0.57099172068303095</v>
      </c>
    </row>
    <row r="122" spans="1:38" x14ac:dyDescent="0.3">
      <c r="A122" s="11">
        <v>36892</v>
      </c>
      <c r="B122" s="18">
        <v>337611.99</v>
      </c>
      <c r="C122" s="18">
        <v>541333.74</v>
      </c>
      <c r="D122" s="18">
        <v>751214.25</v>
      </c>
      <c r="E122" s="11">
        <f t="shared" si="11"/>
        <v>36892</v>
      </c>
      <c r="F122" s="9">
        <f t="shared" si="13"/>
        <v>4.9143087811183372E-2</v>
      </c>
      <c r="G122" s="9">
        <f t="shared" si="14"/>
        <v>9.9967259065645298E-2</v>
      </c>
      <c r="H122" s="9">
        <f t="shared" si="15"/>
        <v>0.19554361930246222</v>
      </c>
      <c r="I122" s="11">
        <f t="shared" si="12"/>
        <v>36892</v>
      </c>
      <c r="J122">
        <f t="shared" si="18"/>
        <v>512.80593156866132</v>
      </c>
      <c r="O122" s="11">
        <v>38353</v>
      </c>
      <c r="P122" s="19" t="str" cm="1">
        <f t="array" ref="P122">IF(OR($O122&lt;P$387,$O122&gt;P$388),"",IFERROR(IF($O122=P$387,100,P121)*INDEX($B$2:$B$428,MATCH($O122,$A$2:$A$428,0))/INDEX($B$2:$B$428,MATCH($O122,$A$2:$A$428,0)-1),""))</f>
        <v/>
      </c>
      <c r="Q122" s="19" t="str" cm="1">
        <f t="array" ref="Q122">IF(OR($O122&lt;Q$387,$O122&gt;Q$388),"",IFERROR(IF($O122=Q$387,100,Q121)*INDEX($B$2:$B$428,MATCH($O122,$A$2:$A$428,0))/INDEX($B$2:$B$428,MATCH($O122,$A$2:$A$428,0)-1),""))</f>
        <v/>
      </c>
      <c r="R122" s="19" cm="1">
        <f t="array" ref="R122">IF(OR($O122&lt;R$387,$O122&gt;R$388),"",IFERROR(IF($O122=R$387,100,R121)*INDEX($B$2:$B$428,MATCH($O122,$A$2:$A$428,0))/INDEX($B$2:$B$428,MATCH($O122,$A$2:$A$428,0)-1),""))</f>
        <v>107.6327514695126</v>
      </c>
      <c r="S122" s="19" t="str" cm="1">
        <f t="array" ref="S122">IF(OR($O122&lt;S$387,$O122&gt;S$388),"",IFERROR(IF($O122=S$387,100,S121)*INDEX($B$2:$B$428,MATCH($O122,$A$2:$A$428,0))/INDEX($B$2:$B$428,MATCH($O122,$A$2:$A$428,0)-1),""))</f>
        <v/>
      </c>
      <c r="T122" s="19" t="str" cm="1">
        <f t="array" ref="T122">IF(OR($O122&lt;T$387,$O122&gt;T$388),"",IFERROR(IF($O122=T$387,100,T121)*INDEX($B$2:$B$428,MATCH($O122,$A$2:$A$428,0))/INDEX($B$2:$B$428,MATCH($O122,$A$2:$A$428,0)-1),""))</f>
        <v/>
      </c>
      <c r="U122" s="19" t="str" cm="1">
        <f t="array" ref="U122">IF(OR($O122&lt;U$387,$O122&gt;U$388),"",IFERROR(IF($O122=U$387,100,U121)*INDEX($B$2:$B$428,MATCH($O122,$A$2:$A$428,0))/INDEX($B$2:$B$428,MATCH($O122,$A$2:$A$428,0)-1),""))</f>
        <v/>
      </c>
      <c r="V122" s="19" t="str" cm="1">
        <f t="array" ref="V122">IF(OR($O122&lt;V$387,$O122&gt;V$388),"",IFERROR(IF($O122=V$387,100,V121)*INDEX($B$2:$B$428,MATCH($O122,$A$2:$A$428,0))/INDEX($B$2:$B$428,MATCH($O122,$A$2:$A$428,0)-1),""))</f>
        <v/>
      </c>
      <c r="W122" s="19" t="str" cm="1">
        <f t="array" ref="W122">IF(OR($O122&lt;W$387,$O122&gt;W$388),"",IFERROR(IF($O122=W$387,100,W121)*INDEX($B$2:$B$428,MATCH($O122,$A$2:$A$428,0))/INDEX($B$2:$B$428,MATCH($O122,$A$2:$A$428,0)-1),""))</f>
        <v/>
      </c>
      <c r="X122" s="19" t="str" cm="1">
        <f t="array" ref="X122">IF(OR($O122&lt;X$387,$O122&gt;X$388),"",IFERROR(IF($O122=X$387,100,X121)*INDEX($B$2:$B$428,MATCH($O122,$A$2:$A$428,0))/INDEX($B$2:$B$428,MATCH($O122,$A$2:$A$428,0)-1),""))</f>
        <v/>
      </c>
      <c r="AA122" s="19"/>
      <c r="AB122" s="19"/>
      <c r="AC122" s="19"/>
      <c r="AD122" s="19"/>
      <c r="AE122" s="19"/>
      <c r="AF122" s="19"/>
      <c r="AG122" s="19"/>
      <c r="AH122" s="19"/>
      <c r="AJ122" s="11">
        <v>36526</v>
      </c>
      <c r="AK122">
        <v>1099350.8</v>
      </c>
      <c r="AL122" s="26">
        <f t="shared" si="16"/>
        <v>0.57156035180035336</v>
      </c>
    </row>
    <row r="123" spans="1:38" x14ac:dyDescent="0.3">
      <c r="A123" s="11">
        <v>36923</v>
      </c>
      <c r="B123" s="18">
        <v>346552.5</v>
      </c>
      <c r="C123" s="18">
        <v>550253.48</v>
      </c>
      <c r="D123" s="18">
        <v>758881.03</v>
      </c>
      <c r="E123" s="11">
        <f t="shared" si="11"/>
        <v>36923</v>
      </c>
      <c r="F123" s="9">
        <f t="shared" si="13"/>
        <v>7.1305956282129213E-2</v>
      </c>
      <c r="G123" s="9">
        <f t="shared" si="14"/>
        <v>0.11322907546186722</v>
      </c>
      <c r="H123" s="9">
        <f t="shared" si="15"/>
        <v>0.20318224211457148</v>
      </c>
      <c r="I123" s="11">
        <f t="shared" si="12"/>
        <v>36923</v>
      </c>
      <c r="J123">
        <f t="shared" si="18"/>
        <v>526.38585969635881</v>
      </c>
      <c r="O123" s="11">
        <v>38384</v>
      </c>
      <c r="P123" s="19" t="str" cm="1">
        <f t="array" ref="P123">IF(OR($O123&lt;P$387,$O123&gt;P$388),"",IFERROR(IF($O123=P$387,100,P122)*INDEX($B$2:$B$428,MATCH($O123,$A$2:$A$428,0))/INDEX($B$2:$B$428,MATCH($O123,$A$2:$A$428,0)-1),""))</f>
        <v/>
      </c>
      <c r="Q123" s="19" t="str" cm="1">
        <f t="array" ref="Q123">IF(OR($O123&lt;Q$387,$O123&gt;Q$388),"",IFERROR(IF($O123=Q$387,100,Q122)*INDEX($B$2:$B$428,MATCH($O123,$A$2:$A$428,0))/INDEX($B$2:$B$428,MATCH($O123,$A$2:$A$428,0)-1),""))</f>
        <v/>
      </c>
      <c r="R123" s="19" cm="1">
        <f t="array" ref="R123">IF(OR($O123&lt;R$387,$O123&gt;R$388),"",IFERROR(IF($O123=R$387,100,R122)*INDEX($B$2:$B$428,MATCH($O123,$A$2:$A$428,0))/INDEX($B$2:$B$428,MATCH($O123,$A$2:$A$428,0)-1),""))</f>
        <v>108.33156541420253</v>
      </c>
      <c r="S123" s="19" t="str" cm="1">
        <f t="array" ref="S123">IF(OR($O123&lt;S$387,$O123&gt;S$388),"",IFERROR(IF($O123=S$387,100,S122)*INDEX($B$2:$B$428,MATCH($O123,$A$2:$A$428,0))/INDEX($B$2:$B$428,MATCH($O123,$A$2:$A$428,0)-1),""))</f>
        <v/>
      </c>
      <c r="T123" s="19" t="str" cm="1">
        <f t="array" ref="T123">IF(OR($O123&lt;T$387,$O123&gt;T$388),"",IFERROR(IF($O123=T$387,100,T122)*INDEX($B$2:$B$428,MATCH($O123,$A$2:$A$428,0))/INDEX($B$2:$B$428,MATCH($O123,$A$2:$A$428,0)-1),""))</f>
        <v/>
      </c>
      <c r="U123" s="19" t="str" cm="1">
        <f t="array" ref="U123">IF(OR($O123&lt;U$387,$O123&gt;U$388),"",IFERROR(IF($O123=U$387,100,U122)*INDEX($B$2:$B$428,MATCH($O123,$A$2:$A$428,0))/INDEX($B$2:$B$428,MATCH($O123,$A$2:$A$428,0)-1),""))</f>
        <v/>
      </c>
      <c r="V123" s="19" t="str" cm="1">
        <f t="array" ref="V123">IF(OR($O123&lt;V$387,$O123&gt;V$388),"",IFERROR(IF($O123=V$387,100,V122)*INDEX($B$2:$B$428,MATCH($O123,$A$2:$A$428,0))/INDEX($B$2:$B$428,MATCH($O123,$A$2:$A$428,0)-1),""))</f>
        <v/>
      </c>
      <c r="W123" s="19" t="str" cm="1">
        <f t="array" ref="W123">IF(OR($O123&lt;W$387,$O123&gt;W$388),"",IFERROR(IF($O123=W$387,100,W122)*INDEX($B$2:$B$428,MATCH($O123,$A$2:$A$428,0))/INDEX($B$2:$B$428,MATCH($O123,$A$2:$A$428,0)-1),""))</f>
        <v/>
      </c>
      <c r="X123" s="19" t="str" cm="1">
        <f t="array" ref="X123">IF(OR($O123&lt;X$387,$O123&gt;X$388),"",IFERROR(IF($O123=X$387,100,X122)*INDEX($B$2:$B$428,MATCH($O123,$A$2:$A$428,0))/INDEX($B$2:$B$428,MATCH($O123,$A$2:$A$428,0)-1),""))</f>
        <v/>
      </c>
      <c r="AA123" s="19"/>
      <c r="AB123" s="19"/>
      <c r="AC123" s="19"/>
      <c r="AD123" s="19"/>
      <c r="AE123" s="19"/>
      <c r="AF123" s="19"/>
      <c r="AG123" s="19"/>
      <c r="AH123" s="19"/>
      <c r="AJ123" s="11">
        <v>36557</v>
      </c>
      <c r="AK123">
        <v>1110192.1000000001</v>
      </c>
      <c r="AL123" s="26">
        <f t="shared" si="16"/>
        <v>0.56812532713933017</v>
      </c>
    </row>
    <row r="124" spans="1:38" x14ac:dyDescent="0.3">
      <c r="A124" s="11">
        <v>36951</v>
      </c>
      <c r="B124" s="18">
        <v>355037.5</v>
      </c>
      <c r="C124" s="18">
        <v>561959.19999999995</v>
      </c>
      <c r="D124" s="18">
        <v>780864.83</v>
      </c>
      <c r="E124" s="11">
        <f t="shared" si="11"/>
        <v>36951</v>
      </c>
      <c r="F124" s="9">
        <f t="shared" si="13"/>
        <v>0.10285654094301422</v>
      </c>
      <c r="G124" s="9">
        <f t="shared" si="14"/>
        <v>0.1396706311493825</v>
      </c>
      <c r="H124" s="9">
        <f t="shared" si="15"/>
        <v>0.21944860606248939</v>
      </c>
      <c r="I124" s="11">
        <f t="shared" si="12"/>
        <v>36951</v>
      </c>
      <c r="J124">
        <f t="shared" si="18"/>
        <v>539.27390413269563</v>
      </c>
      <c r="O124" s="11">
        <v>38412</v>
      </c>
      <c r="P124" s="19" t="str" cm="1">
        <f t="array" ref="P124">IF(OR($O124&lt;P$387,$O124&gt;P$388),"",IFERROR(IF($O124=P$387,100,P123)*INDEX($B$2:$B$428,MATCH($O124,$A$2:$A$428,0))/INDEX($B$2:$B$428,MATCH($O124,$A$2:$A$428,0)-1),""))</f>
        <v/>
      </c>
      <c r="Q124" s="19" t="str" cm="1">
        <f t="array" ref="Q124">IF(OR($O124&lt;Q$387,$O124&gt;Q$388),"",IFERROR(IF($O124=Q$387,100,Q123)*INDEX($B$2:$B$428,MATCH($O124,$A$2:$A$428,0))/INDEX($B$2:$B$428,MATCH($O124,$A$2:$A$428,0)-1),""))</f>
        <v/>
      </c>
      <c r="R124" s="19" cm="1">
        <f t="array" ref="R124">IF(OR($O124&lt;R$387,$O124&gt;R$388),"",IFERROR(IF($O124=R$387,100,R123)*INDEX($B$2:$B$428,MATCH($O124,$A$2:$A$428,0))/INDEX($B$2:$B$428,MATCH($O124,$A$2:$A$428,0)-1),""))</f>
        <v>109.43441886599197</v>
      </c>
      <c r="S124" s="19" t="str" cm="1">
        <f t="array" ref="S124">IF(OR($O124&lt;S$387,$O124&gt;S$388),"",IFERROR(IF($O124=S$387,100,S123)*INDEX($B$2:$B$428,MATCH($O124,$A$2:$A$428,0))/INDEX($B$2:$B$428,MATCH($O124,$A$2:$A$428,0)-1),""))</f>
        <v/>
      </c>
      <c r="T124" s="19" t="str" cm="1">
        <f t="array" ref="T124">IF(OR($O124&lt;T$387,$O124&gt;T$388),"",IFERROR(IF($O124=T$387,100,T123)*INDEX($B$2:$B$428,MATCH($O124,$A$2:$A$428,0))/INDEX($B$2:$B$428,MATCH($O124,$A$2:$A$428,0)-1),""))</f>
        <v/>
      </c>
      <c r="U124" s="19" t="str" cm="1">
        <f t="array" ref="U124">IF(OR($O124&lt;U$387,$O124&gt;U$388),"",IFERROR(IF($O124=U$387,100,U123)*INDEX($B$2:$B$428,MATCH($O124,$A$2:$A$428,0))/INDEX($B$2:$B$428,MATCH($O124,$A$2:$A$428,0)-1),""))</f>
        <v/>
      </c>
      <c r="V124" s="19" t="str" cm="1">
        <f t="array" ref="V124">IF(OR($O124&lt;V$387,$O124&gt;V$388),"",IFERROR(IF($O124=V$387,100,V123)*INDEX($B$2:$B$428,MATCH($O124,$A$2:$A$428,0))/INDEX($B$2:$B$428,MATCH($O124,$A$2:$A$428,0)-1),""))</f>
        <v/>
      </c>
      <c r="W124" s="19" t="str" cm="1">
        <f t="array" ref="W124">IF(OR($O124&lt;W$387,$O124&gt;W$388),"",IFERROR(IF($O124=W$387,100,W123)*INDEX($B$2:$B$428,MATCH($O124,$A$2:$A$428,0))/INDEX($B$2:$B$428,MATCH($O124,$A$2:$A$428,0)-1),""))</f>
        <v/>
      </c>
      <c r="X124" s="19" t="str" cm="1">
        <f t="array" ref="X124">IF(OR($O124&lt;X$387,$O124&gt;X$388),"",IFERROR(IF($O124=X$387,100,X123)*INDEX($B$2:$B$428,MATCH($O124,$A$2:$A$428,0))/INDEX($B$2:$B$428,MATCH($O124,$A$2:$A$428,0)-1),""))</f>
        <v/>
      </c>
      <c r="AA124" s="19"/>
      <c r="AB124" s="19"/>
      <c r="AC124" s="19"/>
      <c r="AD124" s="19"/>
      <c r="AE124" s="19"/>
      <c r="AF124" s="19"/>
      <c r="AG124" s="19"/>
      <c r="AH124" s="19"/>
      <c r="AJ124" s="11">
        <v>36586</v>
      </c>
      <c r="AK124">
        <v>1113969.3999999999</v>
      </c>
      <c r="AL124" s="26">
        <f t="shared" si="16"/>
        <v>0.57482956892711778</v>
      </c>
    </row>
    <row r="125" spans="1:38" x14ac:dyDescent="0.3">
      <c r="A125" s="11">
        <v>36982</v>
      </c>
      <c r="B125" s="18">
        <v>360694.52</v>
      </c>
      <c r="C125" s="18">
        <v>565464.63</v>
      </c>
      <c r="D125" s="18">
        <v>789558.26</v>
      </c>
      <c r="E125" s="11">
        <f t="shared" si="11"/>
        <v>36982</v>
      </c>
      <c r="F125" s="9">
        <f t="shared" si="13"/>
        <v>9.4277421592026345E-2</v>
      </c>
      <c r="G125" s="9">
        <f t="shared" si="14"/>
        <v>0.12890256380525167</v>
      </c>
      <c r="H125" s="9">
        <f t="shared" si="15"/>
        <v>0.22049372322976168</v>
      </c>
      <c r="I125" s="11">
        <f t="shared" si="12"/>
        <v>36982</v>
      </c>
      <c r="J125">
        <f t="shared" si="18"/>
        <v>547.86647044232984</v>
      </c>
      <c r="O125" s="11">
        <v>38443</v>
      </c>
      <c r="P125" s="19" t="str" cm="1">
        <f t="array" ref="P125">IF(OR($O125&lt;P$387,$O125&gt;P$388),"",IFERROR(IF($O125=P$387,100,P124)*INDEX($B$2:$B$428,MATCH($O125,$A$2:$A$428,0))/INDEX($B$2:$B$428,MATCH($O125,$A$2:$A$428,0)-1),""))</f>
        <v/>
      </c>
      <c r="Q125" s="19" t="str" cm="1">
        <f t="array" ref="Q125">IF(OR($O125&lt;Q$387,$O125&gt;Q$388),"",IFERROR(IF($O125=Q$387,100,Q124)*INDEX($B$2:$B$428,MATCH($O125,$A$2:$A$428,0))/INDEX($B$2:$B$428,MATCH($O125,$A$2:$A$428,0)-1),""))</f>
        <v/>
      </c>
      <c r="R125" s="19" cm="1">
        <f t="array" ref="R125">IF(OR($O125&lt;R$387,$O125&gt;R$388),"",IFERROR(IF($O125=R$387,100,R124)*INDEX($B$2:$B$428,MATCH($O125,$A$2:$A$428,0))/INDEX($B$2:$B$428,MATCH($O125,$A$2:$A$428,0)-1),""))</f>
        <v>107.45475776369697</v>
      </c>
      <c r="S125" s="19" t="str" cm="1">
        <f t="array" ref="S125">IF(OR($O125&lt;S$387,$O125&gt;S$388),"",IFERROR(IF($O125=S$387,100,S124)*INDEX($B$2:$B$428,MATCH($O125,$A$2:$A$428,0))/INDEX($B$2:$B$428,MATCH($O125,$A$2:$A$428,0)-1),""))</f>
        <v/>
      </c>
      <c r="T125" s="19" t="str" cm="1">
        <f t="array" ref="T125">IF(OR($O125&lt;T$387,$O125&gt;T$388),"",IFERROR(IF($O125=T$387,100,T124)*INDEX($B$2:$B$428,MATCH($O125,$A$2:$A$428,0))/INDEX($B$2:$B$428,MATCH($O125,$A$2:$A$428,0)-1),""))</f>
        <v/>
      </c>
      <c r="U125" s="19" t="str" cm="1">
        <f t="array" ref="U125">IF(OR($O125&lt;U$387,$O125&gt;U$388),"",IFERROR(IF($O125=U$387,100,U124)*INDEX($B$2:$B$428,MATCH($O125,$A$2:$A$428,0))/INDEX($B$2:$B$428,MATCH($O125,$A$2:$A$428,0)-1),""))</f>
        <v/>
      </c>
      <c r="V125" s="19" t="str" cm="1">
        <f t="array" ref="V125">IF(OR($O125&lt;V$387,$O125&gt;V$388),"",IFERROR(IF($O125=V$387,100,V124)*INDEX($B$2:$B$428,MATCH($O125,$A$2:$A$428,0))/INDEX($B$2:$B$428,MATCH($O125,$A$2:$A$428,0)-1),""))</f>
        <v/>
      </c>
      <c r="W125" s="19" t="str" cm="1">
        <f t="array" ref="W125">IF(OR($O125&lt;W$387,$O125&gt;W$388),"",IFERROR(IF($O125=W$387,100,W124)*INDEX($B$2:$B$428,MATCH($O125,$A$2:$A$428,0))/INDEX($B$2:$B$428,MATCH($O125,$A$2:$A$428,0)-1),""))</f>
        <v/>
      </c>
      <c r="X125" s="19" t="str" cm="1">
        <f t="array" ref="X125">IF(OR($O125&lt;X$387,$O125&gt;X$388),"",IFERROR(IF($O125=X$387,100,X124)*INDEX($B$2:$B$428,MATCH($O125,$A$2:$A$428,0))/INDEX($B$2:$B$428,MATCH($O125,$A$2:$A$428,0)-1),""))</f>
        <v/>
      </c>
      <c r="AA125" s="19"/>
      <c r="AB125" s="19"/>
      <c r="AC125" s="19"/>
      <c r="AD125" s="19"/>
      <c r="AE125" s="19"/>
      <c r="AF125" s="19"/>
      <c r="AG125" s="19"/>
      <c r="AH125" s="19"/>
      <c r="AJ125" s="11">
        <v>36617</v>
      </c>
      <c r="AK125">
        <v>1117606.6000000001</v>
      </c>
      <c r="AL125" s="26">
        <f t="shared" si="16"/>
        <v>0.57884151722081811</v>
      </c>
    </row>
    <row r="126" spans="1:38" x14ac:dyDescent="0.3">
      <c r="A126" s="11">
        <v>37012</v>
      </c>
      <c r="B126" s="18">
        <v>374879.99</v>
      </c>
      <c r="C126" s="18">
        <v>581727.09</v>
      </c>
      <c r="D126" s="18">
        <v>807300.23</v>
      </c>
      <c r="E126" s="11">
        <f t="shared" si="11"/>
        <v>37012</v>
      </c>
      <c r="F126" s="9">
        <f t="shared" si="13"/>
        <v>0.12249196936741846</v>
      </c>
      <c r="G126" s="9">
        <f t="shared" si="14"/>
        <v>0.15054845496963631</v>
      </c>
      <c r="H126" s="9">
        <f t="shared" si="15"/>
        <v>0.16337491320264408</v>
      </c>
      <c r="I126" s="11">
        <f t="shared" si="12"/>
        <v>37012</v>
      </c>
      <c r="J126">
        <f t="shared" si="18"/>
        <v>569.41307830447749</v>
      </c>
      <c r="O126" s="11">
        <v>38473</v>
      </c>
      <c r="P126" s="19" t="str" cm="1">
        <f t="array" ref="P126">IF(OR($O126&lt;P$387,$O126&gt;P$388),"",IFERROR(IF($O126=P$387,100,P125)*INDEX($B$2:$B$428,MATCH($O126,$A$2:$A$428,0))/INDEX($B$2:$B$428,MATCH($O126,$A$2:$A$428,0)-1),""))</f>
        <v/>
      </c>
      <c r="Q126" s="19" t="str" cm="1">
        <f t="array" ref="Q126">IF(OR($O126&lt;Q$387,$O126&gt;Q$388),"",IFERROR(IF($O126=Q$387,100,Q125)*INDEX($B$2:$B$428,MATCH($O126,$A$2:$A$428,0))/INDEX($B$2:$B$428,MATCH($O126,$A$2:$A$428,0)-1),""))</f>
        <v/>
      </c>
      <c r="R126" s="19" cm="1">
        <f t="array" ref="R126">IF(OR($O126&lt;R$387,$O126&gt;R$388),"",IFERROR(IF($O126=R$387,100,R125)*INDEX($B$2:$B$428,MATCH($O126,$A$2:$A$428,0))/INDEX($B$2:$B$428,MATCH($O126,$A$2:$A$428,0)-1),""))</f>
        <v>108.08087751267848</v>
      </c>
      <c r="S126" s="19" t="str" cm="1">
        <f t="array" ref="S126">IF(OR($O126&lt;S$387,$O126&gt;S$388),"",IFERROR(IF($O126=S$387,100,S125)*INDEX($B$2:$B$428,MATCH($O126,$A$2:$A$428,0))/INDEX($B$2:$B$428,MATCH($O126,$A$2:$A$428,0)-1),""))</f>
        <v/>
      </c>
      <c r="T126" s="19" t="str" cm="1">
        <f t="array" ref="T126">IF(OR($O126&lt;T$387,$O126&gt;T$388),"",IFERROR(IF($O126=T$387,100,T125)*INDEX($B$2:$B$428,MATCH($O126,$A$2:$A$428,0))/INDEX($B$2:$B$428,MATCH($O126,$A$2:$A$428,0)-1),""))</f>
        <v/>
      </c>
      <c r="U126" s="19" t="str" cm="1">
        <f t="array" ref="U126">IF(OR($O126&lt;U$387,$O126&gt;U$388),"",IFERROR(IF($O126=U$387,100,U125)*INDEX($B$2:$B$428,MATCH($O126,$A$2:$A$428,0))/INDEX($B$2:$B$428,MATCH($O126,$A$2:$A$428,0)-1),""))</f>
        <v/>
      </c>
      <c r="V126" s="19" t="str" cm="1">
        <f t="array" ref="V126">IF(OR($O126&lt;V$387,$O126&gt;V$388),"",IFERROR(IF($O126=V$387,100,V125)*INDEX($B$2:$B$428,MATCH($O126,$A$2:$A$428,0))/INDEX($B$2:$B$428,MATCH($O126,$A$2:$A$428,0)-1),""))</f>
        <v/>
      </c>
      <c r="W126" s="19" t="str" cm="1">
        <f t="array" ref="W126">IF(OR($O126&lt;W$387,$O126&gt;W$388),"",IFERROR(IF($O126=W$387,100,W125)*INDEX($B$2:$B$428,MATCH($O126,$A$2:$A$428,0))/INDEX($B$2:$B$428,MATCH($O126,$A$2:$A$428,0)-1),""))</f>
        <v/>
      </c>
      <c r="X126" s="19" t="str" cm="1">
        <f t="array" ref="X126">IF(OR($O126&lt;X$387,$O126&gt;X$388),"",IFERROR(IF($O126=X$387,100,X125)*INDEX($B$2:$B$428,MATCH($O126,$A$2:$A$428,0))/INDEX($B$2:$B$428,MATCH($O126,$A$2:$A$428,0)-1),""))</f>
        <v/>
      </c>
      <c r="AA126" s="19"/>
      <c r="AB126" s="19"/>
      <c r="AC126" s="19"/>
      <c r="AD126" s="19"/>
      <c r="AE126" s="19"/>
      <c r="AF126" s="19"/>
      <c r="AG126" s="19"/>
      <c r="AH126" s="19"/>
      <c r="AJ126" s="11">
        <v>36647</v>
      </c>
      <c r="AK126">
        <v>1127110.5</v>
      </c>
      <c r="AL126" s="26">
        <f t="shared" si="16"/>
        <v>0.61567126736908229</v>
      </c>
    </row>
    <row r="127" spans="1:38" x14ac:dyDescent="0.3">
      <c r="A127" s="11">
        <v>37043</v>
      </c>
      <c r="B127" s="18">
        <v>378378.89</v>
      </c>
      <c r="C127" s="18">
        <v>586060.21</v>
      </c>
      <c r="D127" s="18">
        <v>823616.02</v>
      </c>
      <c r="E127" s="11">
        <f t="shared" si="11"/>
        <v>37043</v>
      </c>
      <c r="F127" s="9">
        <f t="shared" si="13"/>
        <v>0.13193538693543871</v>
      </c>
      <c r="G127" s="9">
        <f t="shared" si="14"/>
        <v>0.15232497495277864</v>
      </c>
      <c r="H127" s="9">
        <f t="shared" si="15"/>
        <v>0.17200192519912938</v>
      </c>
      <c r="I127" s="11">
        <f t="shared" si="12"/>
        <v>37043</v>
      </c>
      <c r="J127">
        <f t="shared" si="18"/>
        <v>574.72763088883801</v>
      </c>
      <c r="O127" s="11">
        <v>38504</v>
      </c>
      <c r="P127" s="19" t="str" cm="1">
        <f t="array" ref="P127">IF(OR($O127&lt;P$387,$O127&gt;P$388),"",IFERROR(IF($O127=P$387,100,P126)*INDEX($B$2:$B$428,MATCH($O127,$A$2:$A$428,0))/INDEX($B$2:$B$428,MATCH($O127,$A$2:$A$428,0)-1),""))</f>
        <v/>
      </c>
      <c r="Q127" s="19" t="str" cm="1">
        <f t="array" ref="Q127">IF(OR($O127&lt;Q$387,$O127&gt;Q$388),"",IFERROR(IF($O127=Q$387,100,Q126)*INDEX($B$2:$B$428,MATCH($O127,$A$2:$A$428,0))/INDEX($B$2:$B$428,MATCH($O127,$A$2:$A$428,0)-1),""))</f>
        <v/>
      </c>
      <c r="R127" s="19" cm="1">
        <f t="array" ref="R127">IF(OR($O127&lt;R$387,$O127&gt;R$388),"",IFERROR(IF($O127=R$387,100,R126)*INDEX($B$2:$B$428,MATCH($O127,$A$2:$A$428,0))/INDEX($B$2:$B$428,MATCH($O127,$A$2:$A$428,0)-1),""))</f>
        <v>110.03481062189353</v>
      </c>
      <c r="S127" s="19" t="str" cm="1">
        <f t="array" ref="S127">IF(OR($O127&lt;S$387,$O127&gt;S$388),"",IFERROR(IF($O127=S$387,100,S126)*INDEX($B$2:$B$428,MATCH($O127,$A$2:$A$428,0))/INDEX($B$2:$B$428,MATCH($O127,$A$2:$A$428,0)-1),""))</f>
        <v/>
      </c>
      <c r="T127" s="19" t="str" cm="1">
        <f t="array" ref="T127">IF(OR($O127&lt;T$387,$O127&gt;T$388),"",IFERROR(IF($O127=T$387,100,T126)*INDEX($B$2:$B$428,MATCH($O127,$A$2:$A$428,0))/INDEX($B$2:$B$428,MATCH($O127,$A$2:$A$428,0)-1),""))</f>
        <v/>
      </c>
      <c r="U127" s="19" t="str" cm="1">
        <f t="array" ref="U127">IF(OR($O127&lt;U$387,$O127&gt;U$388),"",IFERROR(IF($O127=U$387,100,U126)*INDEX($B$2:$B$428,MATCH($O127,$A$2:$A$428,0))/INDEX($B$2:$B$428,MATCH($O127,$A$2:$A$428,0)-1),""))</f>
        <v/>
      </c>
      <c r="V127" s="19" t="str" cm="1">
        <f t="array" ref="V127">IF(OR($O127&lt;V$387,$O127&gt;V$388),"",IFERROR(IF($O127=V$387,100,V126)*INDEX($B$2:$B$428,MATCH($O127,$A$2:$A$428,0))/INDEX($B$2:$B$428,MATCH($O127,$A$2:$A$428,0)-1),""))</f>
        <v/>
      </c>
      <c r="W127" s="19" t="str" cm="1">
        <f t="array" ref="W127">IF(OR($O127&lt;W$387,$O127&gt;W$388),"",IFERROR(IF($O127=W$387,100,W126)*INDEX($B$2:$B$428,MATCH($O127,$A$2:$A$428,0))/INDEX($B$2:$B$428,MATCH($O127,$A$2:$A$428,0)-1),""))</f>
        <v/>
      </c>
      <c r="X127" s="19" t="str" cm="1">
        <f t="array" ref="X127">IF(OR($O127&lt;X$387,$O127&gt;X$388),"",IFERROR(IF($O127=X$387,100,X126)*INDEX($B$2:$B$428,MATCH($O127,$A$2:$A$428,0))/INDEX($B$2:$B$428,MATCH($O127,$A$2:$A$428,0)-1),""))</f>
        <v/>
      </c>
      <c r="AA127" s="19"/>
      <c r="AB127" s="19"/>
      <c r="AC127" s="19"/>
      <c r="AD127" s="19"/>
      <c r="AE127" s="19"/>
      <c r="AF127" s="19"/>
      <c r="AG127" s="19"/>
      <c r="AH127" s="19"/>
      <c r="AJ127" s="11">
        <v>36678</v>
      </c>
      <c r="AK127">
        <v>1138049</v>
      </c>
      <c r="AL127" s="26">
        <f t="shared" si="16"/>
        <v>0.61749791968535628</v>
      </c>
    </row>
    <row r="128" spans="1:38" x14ac:dyDescent="0.3">
      <c r="A128" s="11">
        <v>37073</v>
      </c>
      <c r="B128" s="18">
        <v>395250.93</v>
      </c>
      <c r="C128" s="18">
        <v>606367.81999999995</v>
      </c>
      <c r="D128" s="18">
        <v>829960.84</v>
      </c>
      <c r="E128" s="11">
        <f t="shared" si="11"/>
        <v>37073</v>
      </c>
      <c r="F128" s="9">
        <f t="shared" si="13"/>
        <v>0.17765170039991496</v>
      </c>
      <c r="G128" s="9">
        <f t="shared" si="14"/>
        <v>0.18744733409213366</v>
      </c>
      <c r="H128" s="9">
        <f t="shared" si="15"/>
        <v>0.15447911110039092</v>
      </c>
      <c r="I128" s="11">
        <f t="shared" si="12"/>
        <v>37073</v>
      </c>
      <c r="J128">
        <f t="shared" si="18"/>
        <v>600.35492626322241</v>
      </c>
      <c r="O128" s="11">
        <v>38534</v>
      </c>
      <c r="P128" s="19" t="str" cm="1">
        <f t="array" ref="P128">IF(OR($O128&lt;P$387,$O128&gt;P$388),"",IFERROR(IF($O128=P$387,100,P127)*INDEX($B$2:$B$428,MATCH($O128,$A$2:$A$428,0))/INDEX($B$2:$B$428,MATCH($O128,$A$2:$A$428,0)-1),""))</f>
        <v/>
      </c>
      <c r="Q128" s="19" t="str" cm="1">
        <f t="array" ref="Q128">IF(OR($O128&lt;Q$387,$O128&gt;Q$388),"",IFERROR(IF($O128=Q$387,100,Q127)*INDEX($B$2:$B$428,MATCH($O128,$A$2:$A$428,0))/INDEX($B$2:$B$428,MATCH($O128,$A$2:$A$428,0)-1),""))</f>
        <v/>
      </c>
      <c r="R128" s="19" cm="1">
        <f t="array" ref="R128">IF(OR($O128&lt;R$387,$O128&gt;R$388),"",IFERROR(IF($O128=R$387,100,R127)*INDEX($B$2:$B$428,MATCH($O128,$A$2:$A$428,0))/INDEX($B$2:$B$428,MATCH($O128,$A$2:$A$428,0)-1),""))</f>
        <v>111.46147054282983</v>
      </c>
      <c r="S128" s="19" t="str" cm="1">
        <f t="array" ref="S128">IF(OR($O128&lt;S$387,$O128&gt;S$388),"",IFERROR(IF($O128=S$387,100,S127)*INDEX($B$2:$B$428,MATCH($O128,$A$2:$A$428,0))/INDEX($B$2:$B$428,MATCH($O128,$A$2:$A$428,0)-1),""))</f>
        <v/>
      </c>
      <c r="T128" s="19" t="str" cm="1">
        <f t="array" ref="T128">IF(OR($O128&lt;T$387,$O128&gt;T$388),"",IFERROR(IF($O128=T$387,100,T127)*INDEX($B$2:$B$428,MATCH($O128,$A$2:$A$428,0))/INDEX($B$2:$B$428,MATCH($O128,$A$2:$A$428,0)-1),""))</f>
        <v/>
      </c>
      <c r="U128" s="19" t="str" cm="1">
        <f t="array" ref="U128">IF(OR($O128&lt;U$387,$O128&gt;U$388),"",IFERROR(IF($O128=U$387,100,U127)*INDEX($B$2:$B$428,MATCH($O128,$A$2:$A$428,0))/INDEX($B$2:$B$428,MATCH($O128,$A$2:$A$428,0)-1),""))</f>
        <v/>
      </c>
      <c r="V128" s="19" t="str" cm="1">
        <f t="array" ref="V128">IF(OR($O128&lt;V$387,$O128&gt;V$388),"",IFERROR(IF($O128=V$387,100,V127)*INDEX($B$2:$B$428,MATCH($O128,$A$2:$A$428,0))/INDEX($B$2:$B$428,MATCH($O128,$A$2:$A$428,0)-1),""))</f>
        <v/>
      </c>
      <c r="W128" s="19" t="str" cm="1">
        <f t="array" ref="W128">IF(OR($O128&lt;W$387,$O128&gt;W$388),"",IFERROR(IF($O128=W$387,100,W127)*INDEX($B$2:$B$428,MATCH($O128,$A$2:$A$428,0))/INDEX($B$2:$B$428,MATCH($O128,$A$2:$A$428,0)-1),""))</f>
        <v/>
      </c>
      <c r="X128" s="19" t="str" cm="1">
        <f t="array" ref="X128">IF(OR($O128&lt;X$387,$O128&gt;X$388),"",IFERROR(IF($O128=X$387,100,X127)*INDEX($B$2:$B$428,MATCH($O128,$A$2:$A$428,0))/INDEX($B$2:$B$428,MATCH($O128,$A$2:$A$428,0)-1),""))</f>
        <v/>
      </c>
      <c r="AA128" s="19"/>
      <c r="AB128" s="19"/>
      <c r="AC128" s="19"/>
      <c r="AD128" s="19"/>
      <c r="AE128" s="19"/>
      <c r="AF128" s="19"/>
      <c r="AG128" s="19"/>
      <c r="AH128" s="19"/>
      <c r="AJ128" s="11">
        <v>36708</v>
      </c>
      <c r="AK128">
        <v>1150228.8999999999</v>
      </c>
      <c r="AL128" s="26">
        <f t="shared" si="16"/>
        <v>0.62501040445080114</v>
      </c>
    </row>
    <row r="129" spans="1:38" x14ac:dyDescent="0.3">
      <c r="A129" s="11">
        <v>37104</v>
      </c>
      <c r="B129" s="18">
        <v>408431.08</v>
      </c>
      <c r="C129" s="18">
        <v>622953.86</v>
      </c>
      <c r="D129" s="18">
        <v>848716.31</v>
      </c>
      <c r="E129" s="11">
        <f t="shared" si="11"/>
        <v>37104</v>
      </c>
      <c r="F129" s="9">
        <f t="shared" si="13"/>
        <v>0.23437285468859015</v>
      </c>
      <c r="G129" s="9">
        <f t="shared" si="14"/>
        <v>0.22250873172358809</v>
      </c>
      <c r="H129" s="9">
        <f t="shared" si="15"/>
        <v>0.17259815802973155</v>
      </c>
      <c r="I129" s="11">
        <f t="shared" si="12"/>
        <v>37104</v>
      </c>
      <c r="J129">
        <f t="shared" si="18"/>
        <v>620.37453249511225</v>
      </c>
      <c r="O129" s="11">
        <v>38565</v>
      </c>
      <c r="P129" s="19" t="str" cm="1">
        <f t="array" ref="P129">IF(OR($O129&lt;P$387,$O129&gt;P$388),"",IFERROR(IF($O129=P$387,100,P128)*INDEX($B$2:$B$428,MATCH($O129,$A$2:$A$428,0))/INDEX($B$2:$B$428,MATCH($O129,$A$2:$A$428,0)-1),""))</f>
        <v/>
      </c>
      <c r="Q129" s="19" t="str" cm="1">
        <f t="array" ref="Q129">IF(OR($O129&lt;Q$387,$O129&gt;Q$388),"",IFERROR(IF($O129=Q$387,100,Q128)*INDEX($B$2:$B$428,MATCH($O129,$A$2:$A$428,0))/INDEX($B$2:$B$428,MATCH($O129,$A$2:$A$428,0)-1),""))</f>
        <v/>
      </c>
      <c r="R129" s="19" cm="1">
        <f t="array" ref="R129">IF(OR($O129&lt;R$387,$O129&gt;R$388),"",IFERROR(IF($O129=R$387,100,R128)*INDEX($B$2:$B$428,MATCH($O129,$A$2:$A$428,0))/INDEX($B$2:$B$428,MATCH($O129,$A$2:$A$428,0)-1),""))</f>
        <v>112.77648498877075</v>
      </c>
      <c r="S129" s="19" t="str" cm="1">
        <f t="array" ref="S129">IF(OR($O129&lt;S$387,$O129&gt;S$388),"",IFERROR(IF($O129=S$387,100,S128)*INDEX($B$2:$B$428,MATCH($O129,$A$2:$A$428,0))/INDEX($B$2:$B$428,MATCH($O129,$A$2:$A$428,0)-1),""))</f>
        <v/>
      </c>
      <c r="T129" s="19" t="str" cm="1">
        <f t="array" ref="T129">IF(OR($O129&lt;T$387,$O129&gt;T$388),"",IFERROR(IF($O129=T$387,100,T128)*INDEX($B$2:$B$428,MATCH($O129,$A$2:$A$428,0))/INDEX($B$2:$B$428,MATCH($O129,$A$2:$A$428,0)-1),""))</f>
        <v/>
      </c>
      <c r="U129" s="19" t="str" cm="1">
        <f t="array" ref="U129">IF(OR($O129&lt;U$387,$O129&gt;U$388),"",IFERROR(IF($O129=U$387,100,U128)*INDEX($B$2:$B$428,MATCH($O129,$A$2:$A$428,0))/INDEX($B$2:$B$428,MATCH($O129,$A$2:$A$428,0)-1),""))</f>
        <v/>
      </c>
      <c r="V129" s="19" t="str" cm="1">
        <f t="array" ref="V129">IF(OR($O129&lt;V$387,$O129&gt;V$388),"",IFERROR(IF($O129=V$387,100,V128)*INDEX($B$2:$B$428,MATCH($O129,$A$2:$A$428,0))/INDEX($B$2:$B$428,MATCH($O129,$A$2:$A$428,0)-1),""))</f>
        <v/>
      </c>
      <c r="W129" s="19" t="str" cm="1">
        <f t="array" ref="W129">IF(OR($O129&lt;W$387,$O129&gt;W$388),"",IFERROR(IF($O129=W$387,100,W128)*INDEX($B$2:$B$428,MATCH($O129,$A$2:$A$428,0))/INDEX($B$2:$B$428,MATCH($O129,$A$2:$A$428,0)-1),""))</f>
        <v/>
      </c>
      <c r="X129" s="19" t="str" cm="1">
        <f t="array" ref="X129">IF(OR($O129&lt;X$387,$O129&gt;X$388),"",IFERROR(IF($O129=X$387,100,X128)*INDEX($B$2:$B$428,MATCH($O129,$A$2:$A$428,0))/INDEX($B$2:$B$428,MATCH($O129,$A$2:$A$428,0)-1),""))</f>
        <v/>
      </c>
      <c r="AA129" s="19"/>
      <c r="AB129" s="19"/>
      <c r="AC129" s="19"/>
      <c r="AD129" s="19"/>
      <c r="AE129" s="19"/>
      <c r="AF129" s="19"/>
      <c r="AG129" s="19"/>
      <c r="AH129" s="19"/>
      <c r="AJ129" s="11">
        <v>36739</v>
      </c>
      <c r="AK129">
        <v>1163123.3999999999</v>
      </c>
      <c r="AL129" s="26">
        <f t="shared" si="16"/>
        <v>0.62228244225849128</v>
      </c>
    </row>
    <row r="130" spans="1:38" x14ac:dyDescent="0.3">
      <c r="A130" s="11">
        <v>37135</v>
      </c>
      <c r="B130" s="18">
        <v>418457.59999999998</v>
      </c>
      <c r="C130" s="18">
        <v>635685.65</v>
      </c>
      <c r="D130" s="18">
        <v>875364.79</v>
      </c>
      <c r="E130" s="11">
        <f t="shared" ref="E130:E193" si="19">A130</f>
        <v>37135</v>
      </c>
      <c r="F130" s="9">
        <f t="shared" si="13"/>
        <v>0.26028804942154893</v>
      </c>
      <c r="G130" s="9">
        <f t="shared" si="14"/>
        <v>0.23919343665298798</v>
      </c>
      <c r="H130" s="9">
        <f t="shared" si="15"/>
        <v>0.19652614286511771</v>
      </c>
      <c r="I130" s="11">
        <f t="shared" ref="I130:I193" si="20">A130</f>
        <v>37135</v>
      </c>
      <c r="J130">
        <f t="shared" si="18"/>
        <v>635.60402398619283</v>
      </c>
      <c r="O130" s="11">
        <v>38596</v>
      </c>
      <c r="P130" s="19" t="str" cm="1">
        <f t="array" ref="P130">IF(OR($O130&lt;P$387,$O130&gt;P$388),"",IFERROR(IF($O130=P$387,100,P129)*INDEX($B$2:$B$428,MATCH($O130,$A$2:$A$428,0))/INDEX($B$2:$B$428,MATCH($O130,$A$2:$A$428,0)-1),""))</f>
        <v/>
      </c>
      <c r="Q130" s="19" t="str" cm="1">
        <f t="array" ref="Q130">IF(OR($O130&lt;Q$387,$O130&gt;Q$388),"",IFERROR(IF($O130=Q$387,100,Q129)*INDEX($B$2:$B$428,MATCH($O130,$A$2:$A$428,0))/INDEX($B$2:$B$428,MATCH($O130,$A$2:$A$428,0)-1),""))</f>
        <v/>
      </c>
      <c r="R130" s="19" cm="1">
        <f t="array" ref="R130">IF(OR($O130&lt;R$387,$O130&gt;R$388),"",IFERROR(IF($O130=R$387,100,R129)*INDEX($B$2:$B$428,MATCH($O130,$A$2:$A$428,0))/INDEX($B$2:$B$428,MATCH($O130,$A$2:$A$428,0)-1),""))</f>
        <v>113.75846733411454</v>
      </c>
      <c r="S130" s="19" t="str" cm="1">
        <f t="array" ref="S130">IF(OR($O130&lt;S$387,$O130&gt;S$388),"",IFERROR(IF($O130=S$387,100,S129)*INDEX($B$2:$B$428,MATCH($O130,$A$2:$A$428,0))/INDEX($B$2:$B$428,MATCH($O130,$A$2:$A$428,0)-1),""))</f>
        <v/>
      </c>
      <c r="T130" s="19" t="str" cm="1">
        <f t="array" ref="T130">IF(OR($O130&lt;T$387,$O130&gt;T$388),"",IFERROR(IF($O130=T$387,100,T129)*INDEX($B$2:$B$428,MATCH($O130,$A$2:$A$428,0))/INDEX($B$2:$B$428,MATCH($O130,$A$2:$A$428,0)-1),""))</f>
        <v/>
      </c>
      <c r="U130" s="19" t="str" cm="1">
        <f t="array" ref="U130">IF(OR($O130&lt;U$387,$O130&gt;U$388),"",IFERROR(IF($O130=U$387,100,U129)*INDEX($B$2:$B$428,MATCH($O130,$A$2:$A$428,0))/INDEX($B$2:$B$428,MATCH($O130,$A$2:$A$428,0)-1),""))</f>
        <v/>
      </c>
      <c r="V130" s="19" t="str" cm="1">
        <f t="array" ref="V130">IF(OR($O130&lt;V$387,$O130&gt;V$388),"",IFERROR(IF($O130=V$387,100,V129)*INDEX($B$2:$B$428,MATCH($O130,$A$2:$A$428,0))/INDEX($B$2:$B$428,MATCH($O130,$A$2:$A$428,0)-1),""))</f>
        <v/>
      </c>
      <c r="W130" s="19" t="str" cm="1">
        <f t="array" ref="W130">IF(OR($O130&lt;W$387,$O130&gt;W$388),"",IFERROR(IF($O130=W$387,100,W129)*INDEX($B$2:$B$428,MATCH($O130,$A$2:$A$428,0))/INDEX($B$2:$B$428,MATCH($O130,$A$2:$A$428,0)-1),""))</f>
        <v/>
      </c>
      <c r="X130" s="19" t="str" cm="1">
        <f t="array" ref="X130">IF(OR($O130&lt;X$387,$O130&gt;X$388),"",IFERROR(IF($O130=X$387,100,X129)*INDEX($B$2:$B$428,MATCH($O130,$A$2:$A$428,0))/INDEX($B$2:$B$428,MATCH($O130,$A$2:$A$428,0)-1),""))</f>
        <v/>
      </c>
      <c r="AA130" s="19"/>
      <c r="AB130" s="19"/>
      <c r="AC130" s="19"/>
      <c r="AD130" s="19"/>
      <c r="AE130" s="19"/>
      <c r="AF130" s="19"/>
      <c r="AG130" s="19"/>
      <c r="AH130" s="19"/>
      <c r="AJ130" s="11">
        <v>36770</v>
      </c>
      <c r="AK130">
        <v>1172819.2</v>
      </c>
      <c r="AL130" s="26">
        <f t="shared" si="16"/>
        <v>0.62378627498594841</v>
      </c>
    </row>
    <row r="131" spans="1:38" x14ac:dyDescent="0.3">
      <c r="A131" s="11">
        <v>37165</v>
      </c>
      <c r="B131" s="18">
        <v>418907.03</v>
      </c>
      <c r="C131" s="18">
        <v>646099.14</v>
      </c>
      <c r="D131" s="18">
        <v>901707.25</v>
      </c>
      <c r="E131" s="11">
        <f t="shared" si="19"/>
        <v>37165</v>
      </c>
      <c r="F131" s="9">
        <f t="shared" si="13"/>
        <v>0.2238689591109293</v>
      </c>
      <c r="G131" s="9">
        <f t="shared" si="14"/>
        <v>0.24041337824374254</v>
      </c>
      <c r="H131" s="9">
        <f t="shared" si="15"/>
        <v>0.22275458696415762</v>
      </c>
      <c r="I131" s="11">
        <f t="shared" si="20"/>
        <v>37165</v>
      </c>
      <c r="J131">
        <f t="shared" si="18"/>
        <v>636.28667263805187</v>
      </c>
      <c r="O131" s="11">
        <v>38626</v>
      </c>
      <c r="P131" s="19" t="str" cm="1">
        <f t="array" ref="P131">IF(OR($O131&lt;P$387,$O131&gt;P$388),"",IFERROR(IF($O131=P$387,100,P130)*INDEX($B$2:$B$428,MATCH($O131,$A$2:$A$428,0))/INDEX($B$2:$B$428,MATCH($O131,$A$2:$A$428,0)-1),""))</f>
        <v/>
      </c>
      <c r="Q131" s="19" t="str" cm="1">
        <f t="array" ref="Q131">IF(OR($O131&lt;Q$387,$O131&gt;Q$388),"",IFERROR(IF($O131=Q$387,100,Q130)*INDEX($B$2:$B$428,MATCH($O131,$A$2:$A$428,0))/INDEX($B$2:$B$428,MATCH($O131,$A$2:$A$428,0)-1),""))</f>
        <v/>
      </c>
      <c r="R131" s="19" cm="1">
        <f t="array" ref="R131">IF(OR($O131&lt;R$387,$O131&gt;R$388),"",IFERROR(IF($O131=R$387,100,R130)*INDEX($B$2:$B$428,MATCH($O131,$A$2:$A$428,0))/INDEX($B$2:$B$428,MATCH($O131,$A$2:$A$428,0)-1),""))</f>
        <v>114.77754299431332</v>
      </c>
      <c r="S131" s="19" t="str" cm="1">
        <f t="array" ref="S131">IF(OR($O131&lt;S$387,$O131&gt;S$388),"",IFERROR(IF($O131=S$387,100,S130)*INDEX($B$2:$B$428,MATCH($O131,$A$2:$A$428,0))/INDEX($B$2:$B$428,MATCH($O131,$A$2:$A$428,0)-1),""))</f>
        <v/>
      </c>
      <c r="T131" s="19" t="str" cm="1">
        <f t="array" ref="T131">IF(OR($O131&lt;T$387,$O131&gt;T$388),"",IFERROR(IF($O131=T$387,100,T130)*INDEX($B$2:$B$428,MATCH($O131,$A$2:$A$428,0))/INDEX($B$2:$B$428,MATCH($O131,$A$2:$A$428,0)-1),""))</f>
        <v/>
      </c>
      <c r="U131" s="19" t="str" cm="1">
        <f t="array" ref="U131">IF(OR($O131&lt;U$387,$O131&gt;U$388),"",IFERROR(IF($O131=U$387,100,U130)*INDEX($B$2:$B$428,MATCH($O131,$A$2:$A$428,0))/INDEX($B$2:$B$428,MATCH($O131,$A$2:$A$428,0)-1),""))</f>
        <v/>
      </c>
      <c r="V131" s="19" t="str" cm="1">
        <f t="array" ref="V131">IF(OR($O131&lt;V$387,$O131&gt;V$388),"",IFERROR(IF($O131=V$387,100,V130)*INDEX($B$2:$B$428,MATCH($O131,$A$2:$A$428,0))/INDEX($B$2:$B$428,MATCH($O131,$A$2:$A$428,0)-1),""))</f>
        <v/>
      </c>
      <c r="W131" s="19" t="str" cm="1">
        <f t="array" ref="W131">IF(OR($O131&lt;W$387,$O131&gt;W$388),"",IFERROR(IF($O131=W$387,100,W130)*INDEX($B$2:$B$428,MATCH($O131,$A$2:$A$428,0))/INDEX($B$2:$B$428,MATCH($O131,$A$2:$A$428,0)-1),""))</f>
        <v/>
      </c>
      <c r="X131" s="19" t="str" cm="1">
        <f t="array" ref="X131">IF(OR($O131&lt;X$387,$O131&gt;X$388),"",IFERROR(IF($O131=X$387,100,X130)*INDEX($B$2:$B$428,MATCH($O131,$A$2:$A$428,0))/INDEX($B$2:$B$428,MATCH($O131,$A$2:$A$428,0)-1),""))</f>
        <v/>
      </c>
      <c r="AA131" s="19"/>
      <c r="AB131" s="19"/>
      <c r="AC131" s="19"/>
      <c r="AD131" s="19"/>
      <c r="AE131" s="19"/>
      <c r="AF131" s="19"/>
      <c r="AG131" s="19"/>
      <c r="AH131" s="19"/>
      <c r="AJ131" s="11">
        <v>36800</v>
      </c>
      <c r="AK131">
        <v>1183898</v>
      </c>
      <c r="AL131" s="26">
        <f t="shared" si="16"/>
        <v>0.62289088249156599</v>
      </c>
    </row>
    <row r="132" spans="1:38" x14ac:dyDescent="0.3">
      <c r="A132" s="11">
        <v>37196</v>
      </c>
      <c r="B132" s="18">
        <v>405832.79</v>
      </c>
      <c r="C132" s="18">
        <v>638367.6</v>
      </c>
      <c r="D132" s="18">
        <v>890585.3</v>
      </c>
      <c r="E132" s="11">
        <f t="shared" si="19"/>
        <v>37196</v>
      </c>
      <c r="F132" s="9">
        <f t="shared" si="13"/>
        <v>0.16453952596396237</v>
      </c>
      <c r="G132" s="9">
        <f t="shared" si="14"/>
        <v>0.22688150790467754</v>
      </c>
      <c r="H132" s="9">
        <f t="shared" si="15"/>
        <v>0.20909121813837284</v>
      </c>
      <c r="I132" s="11">
        <f t="shared" si="20"/>
        <v>37196</v>
      </c>
      <c r="J132">
        <f t="shared" si="18"/>
        <v>616.42793532616827</v>
      </c>
      <c r="O132" s="11">
        <v>38657</v>
      </c>
      <c r="P132" s="19" t="str" cm="1">
        <f t="array" ref="P132">IF(OR($O132&lt;P$387,$O132&gt;P$388),"",IFERROR(IF($O132=P$387,100,P131)*INDEX($B$2:$B$428,MATCH($O132,$A$2:$A$428,0))/INDEX($B$2:$B$428,MATCH($O132,$A$2:$A$428,0)-1),""))</f>
        <v/>
      </c>
      <c r="Q132" s="19" t="str" cm="1">
        <f t="array" ref="Q132">IF(OR($O132&lt;Q$387,$O132&gt;Q$388),"",IFERROR(IF($O132=Q$387,100,Q131)*INDEX($B$2:$B$428,MATCH($O132,$A$2:$A$428,0))/INDEX($B$2:$B$428,MATCH($O132,$A$2:$A$428,0)-1),""))</f>
        <v/>
      </c>
      <c r="R132" s="19" cm="1">
        <f t="array" ref="R132">IF(OR($O132&lt;R$387,$O132&gt;R$388),"",IFERROR(IF($O132=R$387,100,R131)*INDEX($B$2:$B$428,MATCH($O132,$A$2:$A$428,0))/INDEX($B$2:$B$428,MATCH($O132,$A$2:$A$428,0)-1),""))</f>
        <v>116.06969663220947</v>
      </c>
      <c r="S132" s="19" t="str" cm="1">
        <f t="array" ref="S132">IF(OR($O132&lt;S$387,$O132&gt;S$388),"",IFERROR(IF($O132=S$387,100,S131)*INDEX($B$2:$B$428,MATCH($O132,$A$2:$A$428,0))/INDEX($B$2:$B$428,MATCH($O132,$A$2:$A$428,0)-1),""))</f>
        <v/>
      </c>
      <c r="T132" s="19" t="str" cm="1">
        <f t="array" ref="T132">IF(OR($O132&lt;T$387,$O132&gt;T$388),"",IFERROR(IF($O132=T$387,100,T131)*INDEX($B$2:$B$428,MATCH($O132,$A$2:$A$428,0))/INDEX($B$2:$B$428,MATCH($O132,$A$2:$A$428,0)-1),""))</f>
        <v/>
      </c>
      <c r="U132" s="19" t="str" cm="1">
        <f t="array" ref="U132">IF(OR($O132&lt;U$387,$O132&gt;U$388),"",IFERROR(IF($O132=U$387,100,U131)*INDEX($B$2:$B$428,MATCH($O132,$A$2:$A$428,0))/INDEX($B$2:$B$428,MATCH($O132,$A$2:$A$428,0)-1),""))</f>
        <v/>
      </c>
      <c r="V132" s="19" t="str" cm="1">
        <f t="array" ref="V132">IF(OR($O132&lt;V$387,$O132&gt;V$388),"",IFERROR(IF($O132=V$387,100,V131)*INDEX($B$2:$B$428,MATCH($O132,$A$2:$A$428,0))/INDEX($B$2:$B$428,MATCH($O132,$A$2:$A$428,0)-1),""))</f>
        <v/>
      </c>
      <c r="W132" s="19" t="str" cm="1">
        <f t="array" ref="W132">IF(OR($O132&lt;W$387,$O132&gt;W$388),"",IFERROR(IF($O132=W$387,100,W131)*INDEX($B$2:$B$428,MATCH($O132,$A$2:$A$428,0))/INDEX($B$2:$B$428,MATCH($O132,$A$2:$A$428,0)-1),""))</f>
        <v/>
      </c>
      <c r="X132" s="19" t="str" cm="1">
        <f t="array" ref="X132">IF(OR($O132&lt;X$387,$O132&gt;X$388),"",IFERROR(IF($O132=X$387,100,X131)*INDEX($B$2:$B$428,MATCH($O132,$A$2:$A$428,0))/INDEX($B$2:$B$428,MATCH($O132,$A$2:$A$428,0)-1),""))</f>
        <v/>
      </c>
      <c r="AA132" s="19"/>
      <c r="AB132" s="19"/>
      <c r="AC132" s="19"/>
      <c r="AD132" s="19"/>
      <c r="AE132" s="19"/>
      <c r="AF132" s="19"/>
      <c r="AG132" s="19"/>
      <c r="AH132" s="19"/>
      <c r="AJ132" s="11">
        <v>36831</v>
      </c>
      <c r="AK132">
        <v>1192012.8999999999</v>
      </c>
      <c r="AL132" s="26">
        <f t="shared" si="16"/>
        <v>0.6179246214533417</v>
      </c>
    </row>
    <row r="133" spans="1:38" x14ac:dyDescent="0.3">
      <c r="A133" s="11">
        <v>37226</v>
      </c>
      <c r="B133" s="18">
        <v>411771.96</v>
      </c>
      <c r="C133" s="18">
        <v>648685.21</v>
      </c>
      <c r="D133" s="18">
        <v>885907.19</v>
      </c>
      <c r="E133" s="11">
        <f t="shared" si="19"/>
        <v>37226</v>
      </c>
      <c r="F133" s="9">
        <f t="shared" si="13"/>
        <v>0.16660202888684061</v>
      </c>
      <c r="G133" s="9">
        <f t="shared" si="14"/>
        <v>0.22490163789152207</v>
      </c>
      <c r="H133" s="9">
        <f t="shared" si="15"/>
        <v>0.18784990520675349</v>
      </c>
      <c r="I133" s="11">
        <f t="shared" si="20"/>
        <v>37226</v>
      </c>
      <c r="J133">
        <f t="shared" si="18"/>
        <v>625.44906518768369</v>
      </c>
      <c r="O133" s="11">
        <v>38687</v>
      </c>
      <c r="P133" s="19" t="str" cm="1">
        <f t="array" ref="P133">IF(OR($O133&lt;P$387,$O133&gt;P$388),"",IFERROR(IF($O133=P$387,100,P132)*INDEX($B$2:$B$428,MATCH($O133,$A$2:$A$428,0))/INDEX($B$2:$B$428,MATCH($O133,$A$2:$A$428,0)-1),""))</f>
        <v/>
      </c>
      <c r="Q133" s="19" t="str" cm="1">
        <f t="array" ref="Q133">IF(OR($O133&lt;Q$387,$O133&gt;Q$388),"",IFERROR(IF($O133=Q$387,100,Q132)*INDEX($B$2:$B$428,MATCH($O133,$A$2:$A$428,0))/INDEX($B$2:$B$428,MATCH($O133,$A$2:$A$428,0)-1),""))</f>
        <v/>
      </c>
      <c r="R133" s="19" cm="1">
        <f t="array" ref="R133">IF(OR($O133&lt;R$387,$O133&gt;R$388),"",IFERROR(IF($O133=R$387,100,R132)*INDEX($B$2:$B$428,MATCH($O133,$A$2:$A$428,0))/INDEX($B$2:$B$428,MATCH($O133,$A$2:$A$428,0)-1),""))</f>
        <v>118.43607109919922</v>
      </c>
      <c r="S133" s="19" t="str" cm="1">
        <f t="array" ref="S133">IF(OR($O133&lt;S$387,$O133&gt;S$388),"",IFERROR(IF($O133=S$387,100,S132)*INDEX($B$2:$B$428,MATCH($O133,$A$2:$A$428,0))/INDEX($B$2:$B$428,MATCH($O133,$A$2:$A$428,0)-1),""))</f>
        <v/>
      </c>
      <c r="T133" s="19" t="str" cm="1">
        <f t="array" ref="T133">IF(OR($O133&lt;T$387,$O133&gt;T$388),"",IFERROR(IF($O133=T$387,100,T132)*INDEX($B$2:$B$428,MATCH($O133,$A$2:$A$428,0))/INDEX($B$2:$B$428,MATCH($O133,$A$2:$A$428,0)-1),""))</f>
        <v/>
      </c>
      <c r="U133" s="19" t="str" cm="1">
        <f t="array" ref="U133">IF(OR($O133&lt;U$387,$O133&gt;U$388),"",IFERROR(IF($O133=U$387,100,U132)*INDEX($B$2:$B$428,MATCH($O133,$A$2:$A$428,0))/INDEX($B$2:$B$428,MATCH($O133,$A$2:$A$428,0)-1),""))</f>
        <v/>
      </c>
      <c r="V133" s="19" t="str" cm="1">
        <f t="array" ref="V133">IF(OR($O133&lt;V$387,$O133&gt;V$388),"",IFERROR(IF($O133=V$387,100,V132)*INDEX($B$2:$B$428,MATCH($O133,$A$2:$A$428,0))/INDEX($B$2:$B$428,MATCH($O133,$A$2:$A$428,0)-1),""))</f>
        <v/>
      </c>
      <c r="W133" s="19" t="str" cm="1">
        <f t="array" ref="W133">IF(OR($O133&lt;W$387,$O133&gt;W$388),"",IFERROR(IF($O133=W$387,100,W132)*INDEX($B$2:$B$428,MATCH($O133,$A$2:$A$428,0))/INDEX($B$2:$B$428,MATCH($O133,$A$2:$A$428,0)-1),""))</f>
        <v/>
      </c>
      <c r="X133" s="19" t="str" cm="1">
        <f t="array" ref="X133">IF(OR($O133&lt;X$387,$O133&gt;X$388),"",IFERROR(IF($O133=X$387,100,X132)*INDEX($B$2:$B$428,MATCH($O133,$A$2:$A$428,0))/INDEX($B$2:$B$428,MATCH($O133,$A$2:$A$428,0)-1),""))</f>
        <v/>
      </c>
      <c r="AA133" s="19"/>
      <c r="AB133" s="19"/>
      <c r="AC133" s="19"/>
      <c r="AD133" s="19"/>
      <c r="AE133" s="19"/>
      <c r="AF133" s="19"/>
      <c r="AG133" s="19"/>
      <c r="AH133" s="19"/>
      <c r="AJ133" s="11">
        <v>36861</v>
      </c>
      <c r="AK133">
        <v>1199092.1000000001</v>
      </c>
      <c r="AL133" s="26">
        <f t="shared" si="16"/>
        <v>0.62197670220661105</v>
      </c>
    </row>
    <row r="134" spans="1:38" x14ac:dyDescent="0.3">
      <c r="A134" s="11">
        <v>37257</v>
      </c>
      <c r="B134" s="18">
        <v>427044.38</v>
      </c>
      <c r="C134" s="18">
        <v>667556.51</v>
      </c>
      <c r="D134" s="18">
        <v>906266.93</v>
      </c>
      <c r="E134" s="11">
        <f t="shared" si="19"/>
        <v>37257</v>
      </c>
      <c r="F134" s="9">
        <f t="shared" si="13"/>
        <v>0.26489696056114598</v>
      </c>
      <c r="G134" s="9">
        <f t="shared" si="14"/>
        <v>0.23316996646098587</v>
      </c>
      <c r="H134" s="9">
        <f t="shared" si="15"/>
        <v>0.20640274062958741</v>
      </c>
      <c r="I134" s="11">
        <f t="shared" si="20"/>
        <v>37257</v>
      </c>
      <c r="J134">
        <f t="shared" si="18"/>
        <v>648.64666419892694</v>
      </c>
      <c r="O134" s="11">
        <v>38718</v>
      </c>
      <c r="P134" s="19" t="str" cm="1">
        <f t="array" ref="P134">IF(OR($O134&lt;P$387,$O134&gt;P$388),"",IFERROR(IF($O134=P$387,100,P133)*INDEX($B$2:$B$428,MATCH($O134,$A$2:$A$428,0))/INDEX($B$2:$B$428,MATCH($O134,$A$2:$A$428,0)-1),""))</f>
        <v/>
      </c>
      <c r="Q134" s="19" t="str" cm="1">
        <f t="array" ref="Q134">IF(OR($O134&lt;Q$387,$O134&gt;Q$388),"",IFERROR(IF($O134=Q$387,100,Q133)*INDEX($B$2:$B$428,MATCH($O134,$A$2:$A$428,0))/INDEX($B$2:$B$428,MATCH($O134,$A$2:$A$428,0)-1),""))</f>
        <v/>
      </c>
      <c r="R134" s="19" cm="1">
        <f t="array" ref="R134">IF(OR($O134&lt;R$387,$O134&gt;R$388),"",IFERROR(IF($O134=R$387,100,R133)*INDEX($B$2:$B$428,MATCH($O134,$A$2:$A$428,0))/INDEX($B$2:$B$428,MATCH($O134,$A$2:$A$428,0)-1),""))</f>
        <v>120.2460743725688</v>
      </c>
      <c r="S134" s="19" t="str" cm="1">
        <f t="array" ref="S134">IF(OR($O134&lt;S$387,$O134&gt;S$388),"",IFERROR(IF($O134=S$387,100,S133)*INDEX($B$2:$B$428,MATCH($O134,$A$2:$A$428,0))/INDEX($B$2:$B$428,MATCH($O134,$A$2:$A$428,0)-1),""))</f>
        <v/>
      </c>
      <c r="T134" s="19" t="str" cm="1">
        <f t="array" ref="T134">IF(OR($O134&lt;T$387,$O134&gt;T$388),"",IFERROR(IF($O134=T$387,100,T133)*INDEX($B$2:$B$428,MATCH($O134,$A$2:$A$428,0))/INDEX($B$2:$B$428,MATCH($O134,$A$2:$A$428,0)-1),""))</f>
        <v/>
      </c>
      <c r="U134" s="19" t="str" cm="1">
        <f t="array" ref="U134">IF(OR($O134&lt;U$387,$O134&gt;U$388),"",IFERROR(IF($O134=U$387,100,U133)*INDEX($B$2:$B$428,MATCH($O134,$A$2:$A$428,0))/INDEX($B$2:$B$428,MATCH($O134,$A$2:$A$428,0)-1),""))</f>
        <v/>
      </c>
      <c r="V134" s="19" t="str" cm="1">
        <f t="array" ref="V134">IF(OR($O134&lt;V$387,$O134&gt;V$388),"",IFERROR(IF($O134=V$387,100,V133)*INDEX($B$2:$B$428,MATCH($O134,$A$2:$A$428,0))/INDEX($B$2:$B$428,MATCH($O134,$A$2:$A$428,0)-1),""))</f>
        <v/>
      </c>
      <c r="W134" s="19" t="str" cm="1">
        <f t="array" ref="W134">IF(OR($O134&lt;W$387,$O134&gt;W$388),"",IFERROR(IF($O134=W$387,100,W133)*INDEX($B$2:$B$428,MATCH($O134,$A$2:$A$428,0))/INDEX($B$2:$B$428,MATCH($O134,$A$2:$A$428,0)-1),""))</f>
        <v/>
      </c>
      <c r="X134" s="19" t="str" cm="1">
        <f t="array" ref="X134">IF(OR($O134&lt;X$387,$O134&gt;X$388),"",IFERROR(IF($O134=X$387,100,X133)*INDEX($B$2:$B$428,MATCH($O134,$A$2:$A$428,0))/INDEX($B$2:$B$428,MATCH($O134,$A$2:$A$428,0)-1),""))</f>
        <v/>
      </c>
      <c r="AA134" s="19"/>
      <c r="AB134" s="19"/>
      <c r="AC134" s="19"/>
      <c r="AD134" s="19"/>
      <c r="AE134" s="19"/>
      <c r="AF134" s="19"/>
      <c r="AG134" s="19"/>
      <c r="AH134" s="19"/>
      <c r="AJ134" s="11">
        <v>36892</v>
      </c>
      <c r="AK134">
        <v>1209046.1000000001</v>
      </c>
      <c r="AL134" s="26">
        <f t="shared" si="16"/>
        <v>0.62132804530778429</v>
      </c>
    </row>
    <row r="135" spans="1:38" x14ac:dyDescent="0.3">
      <c r="A135" s="11">
        <v>37288</v>
      </c>
      <c r="B135" s="18">
        <v>423143.19</v>
      </c>
      <c r="C135" s="18">
        <v>662702.47</v>
      </c>
      <c r="D135" s="18">
        <v>904899.76</v>
      </c>
      <c r="E135" s="11">
        <f t="shared" si="19"/>
        <v>37288</v>
      </c>
      <c r="F135" s="9">
        <f t="shared" si="13"/>
        <v>0.22100746640119473</v>
      </c>
      <c r="G135" s="9">
        <f t="shared" si="14"/>
        <v>0.2043585258197731</v>
      </c>
      <c r="H135" s="9">
        <f t="shared" si="15"/>
        <v>0.19241320342399382</v>
      </c>
      <c r="I135" s="11">
        <f t="shared" si="20"/>
        <v>37288</v>
      </c>
      <c r="J135">
        <f t="shared" si="18"/>
        <v>642.72106489726605</v>
      </c>
      <c r="O135" s="11">
        <v>38749</v>
      </c>
      <c r="P135" s="19" t="str" cm="1">
        <f t="array" ref="P135">IF(OR($O135&lt;P$387,$O135&gt;P$388),"",IFERROR(IF($O135=P$387,100,P134)*INDEX($B$2:$B$428,MATCH($O135,$A$2:$A$428,0))/INDEX($B$2:$B$428,MATCH($O135,$A$2:$A$428,0)-1),""))</f>
        <v/>
      </c>
      <c r="Q135" s="19" t="str" cm="1">
        <f t="array" ref="Q135">IF(OR($O135&lt;Q$387,$O135&gt;Q$388),"",IFERROR(IF($O135=Q$387,100,Q134)*INDEX($B$2:$B$428,MATCH($O135,$A$2:$A$428,0))/INDEX($B$2:$B$428,MATCH($O135,$A$2:$A$428,0)-1),""))</f>
        <v/>
      </c>
      <c r="R135" s="19" cm="1">
        <f t="array" ref="R135">IF(OR($O135&lt;R$387,$O135&gt;R$388),"",IFERROR(IF($O135=R$387,100,R134)*INDEX($B$2:$B$428,MATCH($O135,$A$2:$A$428,0))/INDEX($B$2:$B$428,MATCH($O135,$A$2:$A$428,0)-1),""))</f>
        <v>121.35139025130698</v>
      </c>
      <c r="S135" s="19" t="str" cm="1">
        <f t="array" ref="S135">IF(OR($O135&lt;S$387,$O135&gt;S$388),"",IFERROR(IF($O135=S$387,100,S134)*INDEX($B$2:$B$428,MATCH($O135,$A$2:$A$428,0))/INDEX($B$2:$B$428,MATCH($O135,$A$2:$A$428,0)-1),""))</f>
        <v/>
      </c>
      <c r="T135" s="19" t="str" cm="1">
        <f t="array" ref="T135">IF(OR($O135&lt;T$387,$O135&gt;T$388),"",IFERROR(IF($O135=T$387,100,T134)*INDEX($B$2:$B$428,MATCH($O135,$A$2:$A$428,0))/INDEX($B$2:$B$428,MATCH($O135,$A$2:$A$428,0)-1),""))</f>
        <v/>
      </c>
      <c r="U135" s="19" t="str" cm="1">
        <f t="array" ref="U135">IF(OR($O135&lt;U$387,$O135&gt;U$388),"",IFERROR(IF($O135=U$387,100,U134)*INDEX($B$2:$B$428,MATCH($O135,$A$2:$A$428,0))/INDEX($B$2:$B$428,MATCH($O135,$A$2:$A$428,0)-1),""))</f>
        <v/>
      </c>
      <c r="V135" s="19" t="str" cm="1">
        <f t="array" ref="V135">IF(OR($O135&lt;V$387,$O135&gt;V$388),"",IFERROR(IF($O135=V$387,100,V134)*INDEX($B$2:$B$428,MATCH($O135,$A$2:$A$428,0))/INDEX($B$2:$B$428,MATCH($O135,$A$2:$A$428,0)-1),""))</f>
        <v/>
      </c>
      <c r="W135" s="19" t="str" cm="1">
        <f t="array" ref="W135">IF(OR($O135&lt;W$387,$O135&gt;W$388),"",IFERROR(IF($O135=W$387,100,W134)*INDEX($B$2:$B$428,MATCH($O135,$A$2:$A$428,0))/INDEX($B$2:$B$428,MATCH($O135,$A$2:$A$428,0)-1),""))</f>
        <v/>
      </c>
      <c r="X135" s="19" t="str" cm="1">
        <f t="array" ref="X135">IF(OR($O135&lt;X$387,$O135&gt;X$388),"",IFERROR(IF($O135=X$387,100,X134)*INDEX($B$2:$B$428,MATCH($O135,$A$2:$A$428,0))/INDEX($B$2:$B$428,MATCH($O135,$A$2:$A$428,0)-1),""))</f>
        <v/>
      </c>
      <c r="AA135" s="19"/>
      <c r="AB135" s="19"/>
      <c r="AC135" s="19"/>
      <c r="AD135" s="19"/>
      <c r="AE135" s="19"/>
      <c r="AF135" s="19"/>
      <c r="AG135" s="19"/>
      <c r="AH135" s="19"/>
      <c r="AJ135" s="11">
        <v>36923</v>
      </c>
      <c r="AK135">
        <v>1218911</v>
      </c>
      <c r="AL135" s="26">
        <f t="shared" si="16"/>
        <v>0.62258936870698522</v>
      </c>
    </row>
    <row r="136" spans="1:38" x14ac:dyDescent="0.3">
      <c r="A136" s="11">
        <v>37316</v>
      </c>
      <c r="B136" s="18">
        <v>422704.98</v>
      </c>
      <c r="C136" s="18">
        <v>659375.87</v>
      </c>
      <c r="D136" s="18">
        <v>906714.79</v>
      </c>
      <c r="E136" s="11">
        <f t="shared" si="19"/>
        <v>37316</v>
      </c>
      <c r="F136" s="9">
        <f t="shared" si="13"/>
        <v>0.19059248670915041</v>
      </c>
      <c r="G136" s="9">
        <f t="shared" si="14"/>
        <v>0.173351855437192</v>
      </c>
      <c r="H136" s="9">
        <f t="shared" si="15"/>
        <v>0.16116740716828049</v>
      </c>
      <c r="I136" s="11">
        <f t="shared" si="20"/>
        <v>37316</v>
      </c>
      <c r="J136">
        <f t="shared" si="18"/>
        <v>642.0554585386983</v>
      </c>
      <c r="O136" s="11">
        <v>38777</v>
      </c>
      <c r="P136" s="19" t="str" cm="1">
        <f t="array" ref="P136">IF(OR($O136&lt;P$387,$O136&gt;P$388),"",IFERROR(IF($O136=P$387,100,P135)*INDEX($B$2:$B$428,MATCH($O136,$A$2:$A$428,0))/INDEX($B$2:$B$428,MATCH($O136,$A$2:$A$428,0)-1),""))</f>
        <v/>
      </c>
      <c r="Q136" s="19" t="str" cm="1">
        <f t="array" ref="Q136">IF(OR($O136&lt;Q$387,$O136&gt;Q$388),"",IFERROR(IF($O136=Q$387,100,Q135)*INDEX($B$2:$B$428,MATCH($O136,$A$2:$A$428,0))/INDEX($B$2:$B$428,MATCH($O136,$A$2:$A$428,0)-1),""))</f>
        <v/>
      </c>
      <c r="R136" s="19" cm="1">
        <f t="array" ref="R136">IF(OR($O136&lt;R$387,$O136&gt;R$388),"",IFERROR(IF($O136=R$387,100,R135)*INDEX($B$2:$B$428,MATCH($O136,$A$2:$A$428,0))/INDEX($B$2:$B$428,MATCH($O136,$A$2:$A$428,0)-1),""))</f>
        <v>122.30866095647509</v>
      </c>
      <c r="S136" s="19" t="str" cm="1">
        <f t="array" ref="S136">IF(OR($O136&lt;S$387,$O136&gt;S$388),"",IFERROR(IF($O136=S$387,100,S135)*INDEX($B$2:$B$428,MATCH($O136,$A$2:$A$428,0))/INDEX($B$2:$B$428,MATCH($O136,$A$2:$A$428,0)-1),""))</f>
        <v/>
      </c>
      <c r="T136" s="19" t="str" cm="1">
        <f t="array" ref="T136">IF(OR($O136&lt;T$387,$O136&gt;T$388),"",IFERROR(IF($O136=T$387,100,T135)*INDEX($B$2:$B$428,MATCH($O136,$A$2:$A$428,0))/INDEX($B$2:$B$428,MATCH($O136,$A$2:$A$428,0)-1),""))</f>
        <v/>
      </c>
      <c r="U136" s="19" t="str" cm="1">
        <f t="array" ref="U136">IF(OR($O136&lt;U$387,$O136&gt;U$388),"",IFERROR(IF($O136=U$387,100,U135)*INDEX($B$2:$B$428,MATCH($O136,$A$2:$A$428,0))/INDEX($B$2:$B$428,MATCH($O136,$A$2:$A$428,0)-1),""))</f>
        <v/>
      </c>
      <c r="V136" s="19" t="str" cm="1">
        <f t="array" ref="V136">IF(OR($O136&lt;V$387,$O136&gt;V$388),"",IFERROR(IF($O136=V$387,100,V135)*INDEX($B$2:$B$428,MATCH($O136,$A$2:$A$428,0))/INDEX($B$2:$B$428,MATCH($O136,$A$2:$A$428,0)-1),""))</f>
        <v/>
      </c>
      <c r="W136" s="19" t="str" cm="1">
        <f t="array" ref="W136">IF(OR($O136&lt;W$387,$O136&gt;W$388),"",IFERROR(IF($O136=W$387,100,W135)*INDEX($B$2:$B$428,MATCH($O136,$A$2:$A$428,0))/INDEX($B$2:$B$428,MATCH($O136,$A$2:$A$428,0)-1),""))</f>
        <v/>
      </c>
      <c r="X136" s="19" t="str" cm="1">
        <f t="array" ref="X136">IF(OR($O136&lt;X$387,$O136&gt;X$388),"",IFERROR(IF($O136=X$387,100,X135)*INDEX($B$2:$B$428,MATCH($O136,$A$2:$A$428,0))/INDEX($B$2:$B$428,MATCH($O136,$A$2:$A$428,0)-1),""))</f>
        <v/>
      </c>
      <c r="AA136" s="19"/>
      <c r="AB136" s="19"/>
      <c r="AC136" s="19"/>
      <c r="AD136" s="19"/>
      <c r="AE136" s="19"/>
      <c r="AF136" s="19"/>
      <c r="AG136" s="19"/>
      <c r="AH136" s="19"/>
      <c r="AJ136" s="11">
        <v>36951</v>
      </c>
      <c r="AK136">
        <v>1234635</v>
      </c>
      <c r="AL136" s="26">
        <f t="shared" si="16"/>
        <v>0.63246613776541238</v>
      </c>
    </row>
    <row r="137" spans="1:38" x14ac:dyDescent="0.3">
      <c r="A137" s="11">
        <v>37347</v>
      </c>
      <c r="B137" s="18">
        <v>427928.57</v>
      </c>
      <c r="C137" s="18">
        <v>666783.78</v>
      </c>
      <c r="D137" s="18">
        <v>929155.62</v>
      </c>
      <c r="E137" s="11">
        <f t="shared" si="19"/>
        <v>37347</v>
      </c>
      <c r="F137" s="9">
        <f t="shared" si="13"/>
        <v>0.18640163981421165</v>
      </c>
      <c r="G137" s="9">
        <f t="shared" si="14"/>
        <v>0.17917858098392481</v>
      </c>
      <c r="H137" s="9">
        <f t="shared" si="15"/>
        <v>0.17680438173112134</v>
      </c>
      <c r="I137" s="11">
        <f t="shared" si="20"/>
        <v>37347</v>
      </c>
      <c r="J137">
        <f t="shared" si="18"/>
        <v>649.98967893200461</v>
      </c>
      <c r="O137" s="11">
        <v>38808</v>
      </c>
      <c r="P137" s="19" t="str" cm="1">
        <f t="array" ref="P137">IF(OR($O137&lt;P$387,$O137&gt;P$388),"",IFERROR(IF($O137=P$387,100,P136)*INDEX($B$2:$B$428,MATCH($O137,$A$2:$A$428,0))/INDEX($B$2:$B$428,MATCH($O137,$A$2:$A$428,0)-1),""))</f>
        <v/>
      </c>
      <c r="Q137" s="19" t="str" cm="1">
        <f t="array" ref="Q137">IF(OR($O137&lt;Q$387,$O137&gt;Q$388),"",IFERROR(IF($O137=Q$387,100,Q136)*INDEX($B$2:$B$428,MATCH($O137,$A$2:$A$428,0))/INDEX($B$2:$B$428,MATCH($O137,$A$2:$A$428,0)-1),""))</f>
        <v/>
      </c>
      <c r="R137" s="19" cm="1">
        <f t="array" ref="R137">IF(OR($O137&lt;R$387,$O137&gt;R$388),"",IFERROR(IF($O137=R$387,100,R136)*INDEX($B$2:$B$428,MATCH($O137,$A$2:$A$428,0))/INDEX($B$2:$B$428,MATCH($O137,$A$2:$A$428,0)-1),""))</f>
        <v>121.58914015866729</v>
      </c>
      <c r="S137" s="19" t="str" cm="1">
        <f t="array" ref="S137">IF(OR($O137&lt;S$387,$O137&gt;S$388),"",IFERROR(IF($O137=S$387,100,S136)*INDEX($B$2:$B$428,MATCH($O137,$A$2:$A$428,0))/INDEX($B$2:$B$428,MATCH($O137,$A$2:$A$428,0)-1),""))</f>
        <v/>
      </c>
      <c r="T137" s="19" t="str" cm="1">
        <f t="array" ref="T137">IF(OR($O137&lt;T$387,$O137&gt;T$388),"",IFERROR(IF($O137=T$387,100,T136)*INDEX($B$2:$B$428,MATCH($O137,$A$2:$A$428,0))/INDEX($B$2:$B$428,MATCH($O137,$A$2:$A$428,0)-1),""))</f>
        <v/>
      </c>
      <c r="U137" s="19" t="str" cm="1">
        <f t="array" ref="U137">IF(OR($O137&lt;U$387,$O137&gt;U$388),"",IFERROR(IF($O137=U$387,100,U136)*INDEX($B$2:$B$428,MATCH($O137,$A$2:$A$428,0))/INDEX($B$2:$B$428,MATCH($O137,$A$2:$A$428,0)-1),""))</f>
        <v/>
      </c>
      <c r="V137" s="19" t="str" cm="1">
        <f t="array" ref="V137">IF(OR($O137&lt;V$387,$O137&gt;V$388),"",IFERROR(IF($O137=V$387,100,V136)*INDEX($B$2:$B$428,MATCH($O137,$A$2:$A$428,0))/INDEX($B$2:$B$428,MATCH($O137,$A$2:$A$428,0)-1),""))</f>
        <v/>
      </c>
      <c r="W137" s="19" t="str" cm="1">
        <f t="array" ref="W137">IF(OR($O137&lt;W$387,$O137&gt;W$388),"",IFERROR(IF($O137=W$387,100,W136)*INDEX($B$2:$B$428,MATCH($O137,$A$2:$A$428,0))/INDEX($B$2:$B$428,MATCH($O137,$A$2:$A$428,0)-1),""))</f>
        <v/>
      </c>
      <c r="X137" s="19" t="str" cm="1">
        <f t="array" ref="X137">IF(OR($O137&lt;X$387,$O137&gt;X$388),"",IFERROR(IF($O137=X$387,100,X136)*INDEX($B$2:$B$428,MATCH($O137,$A$2:$A$428,0))/INDEX($B$2:$B$428,MATCH($O137,$A$2:$A$428,0)-1),""))</f>
        <v/>
      </c>
      <c r="AA137" s="19"/>
      <c r="AB137" s="19"/>
      <c r="AC137" s="19"/>
      <c r="AD137" s="19"/>
      <c r="AE137" s="19"/>
      <c r="AF137" s="19"/>
      <c r="AG137" s="19"/>
      <c r="AH137" s="19"/>
      <c r="AJ137" s="11">
        <v>36982</v>
      </c>
      <c r="AK137">
        <v>1250830.7</v>
      </c>
      <c r="AL137" s="26">
        <f t="shared" si="16"/>
        <v>0.63122711970532863</v>
      </c>
    </row>
    <row r="138" spans="1:38" x14ac:dyDescent="0.3">
      <c r="A138" s="11">
        <v>37377</v>
      </c>
      <c r="B138" s="18">
        <v>447092.35</v>
      </c>
      <c r="C138" s="18">
        <v>689710.63</v>
      </c>
      <c r="D138" s="18">
        <v>956468.85</v>
      </c>
      <c r="E138" s="11">
        <f t="shared" si="19"/>
        <v>37377</v>
      </c>
      <c r="F138" s="9">
        <f t="shared" si="13"/>
        <v>0.19262793941068979</v>
      </c>
      <c r="G138" s="9">
        <f t="shared" si="14"/>
        <v>0.18562577169992212</v>
      </c>
      <c r="H138" s="9">
        <f t="shared" si="15"/>
        <v>0.18477465316713704</v>
      </c>
      <c r="I138" s="11">
        <f t="shared" si="20"/>
        <v>37377</v>
      </c>
      <c r="J138">
        <f t="shared" si="18"/>
        <v>679.09794625176676</v>
      </c>
      <c r="O138" s="11">
        <v>38838</v>
      </c>
      <c r="P138" s="19" t="str" cm="1">
        <f t="array" ref="P138">IF(OR($O138&lt;P$387,$O138&gt;P$388),"",IFERROR(IF($O138=P$387,100,P137)*INDEX($B$2:$B$428,MATCH($O138,$A$2:$A$428,0))/INDEX($B$2:$B$428,MATCH($O138,$A$2:$A$428,0)-1),""))</f>
        <v/>
      </c>
      <c r="Q138" s="19" t="str" cm="1">
        <f t="array" ref="Q138">IF(OR($O138&lt;Q$387,$O138&gt;Q$388),"",IFERROR(IF($O138=Q$387,100,Q137)*INDEX($B$2:$B$428,MATCH($O138,$A$2:$A$428,0))/INDEX($B$2:$B$428,MATCH($O138,$A$2:$A$428,0)-1),""))</f>
        <v/>
      </c>
      <c r="R138" s="19" cm="1">
        <f t="array" ref="R138">IF(OR($O138&lt;R$387,$O138&gt;R$388),"",IFERROR(IF($O138=R$387,100,R137)*INDEX($B$2:$B$428,MATCH($O138,$A$2:$A$428,0))/INDEX($B$2:$B$428,MATCH($O138,$A$2:$A$428,0)-1),""))</f>
        <v>122.23295871278512</v>
      </c>
      <c r="S138" s="19" t="str" cm="1">
        <f t="array" ref="S138">IF(OR($O138&lt;S$387,$O138&gt;S$388),"",IFERROR(IF($O138=S$387,100,S137)*INDEX($B$2:$B$428,MATCH($O138,$A$2:$A$428,0))/INDEX($B$2:$B$428,MATCH($O138,$A$2:$A$428,0)-1),""))</f>
        <v/>
      </c>
      <c r="T138" s="19" t="str" cm="1">
        <f t="array" ref="T138">IF(OR($O138&lt;T$387,$O138&gt;T$388),"",IFERROR(IF($O138=T$387,100,T137)*INDEX($B$2:$B$428,MATCH($O138,$A$2:$A$428,0))/INDEX($B$2:$B$428,MATCH($O138,$A$2:$A$428,0)-1),""))</f>
        <v/>
      </c>
      <c r="U138" s="19" t="str" cm="1">
        <f t="array" ref="U138">IF(OR($O138&lt;U$387,$O138&gt;U$388),"",IFERROR(IF($O138=U$387,100,U137)*INDEX($B$2:$B$428,MATCH($O138,$A$2:$A$428,0))/INDEX($B$2:$B$428,MATCH($O138,$A$2:$A$428,0)-1),""))</f>
        <v/>
      </c>
      <c r="V138" s="19" t="str" cm="1">
        <f t="array" ref="V138">IF(OR($O138&lt;V$387,$O138&gt;V$388),"",IFERROR(IF($O138=V$387,100,V137)*INDEX($B$2:$B$428,MATCH($O138,$A$2:$A$428,0))/INDEX($B$2:$B$428,MATCH($O138,$A$2:$A$428,0)-1),""))</f>
        <v/>
      </c>
      <c r="W138" s="19" t="str" cm="1">
        <f t="array" ref="W138">IF(OR($O138&lt;W$387,$O138&gt;W$388),"",IFERROR(IF($O138=W$387,100,W137)*INDEX($B$2:$B$428,MATCH($O138,$A$2:$A$428,0))/INDEX($B$2:$B$428,MATCH($O138,$A$2:$A$428,0)-1),""))</f>
        <v/>
      </c>
      <c r="X138" s="19" t="str" cm="1">
        <f t="array" ref="X138">IF(OR($O138&lt;X$387,$O138&gt;X$388),"",IFERROR(IF($O138=X$387,100,X137)*INDEX($B$2:$B$428,MATCH($O138,$A$2:$A$428,0))/INDEX($B$2:$B$428,MATCH($O138,$A$2:$A$428,0)-1),""))</f>
        <v/>
      </c>
      <c r="AA138" s="19"/>
      <c r="AB138" s="19"/>
      <c r="AC138" s="19"/>
      <c r="AD138" s="19"/>
      <c r="AE138" s="19"/>
      <c r="AF138" s="19"/>
      <c r="AG138" s="19"/>
      <c r="AH138" s="19"/>
      <c r="AJ138" s="11">
        <v>37012</v>
      </c>
      <c r="AK138">
        <v>1263306</v>
      </c>
      <c r="AL138" s="26">
        <f t="shared" si="16"/>
        <v>0.63903775490657055</v>
      </c>
    </row>
    <row r="139" spans="1:38" x14ac:dyDescent="0.3">
      <c r="A139" s="11">
        <v>37408</v>
      </c>
      <c r="B139" s="18">
        <v>481821.31</v>
      </c>
      <c r="C139" s="18">
        <v>729391.55</v>
      </c>
      <c r="D139" s="18">
        <v>999649.75</v>
      </c>
      <c r="E139" s="11">
        <f t="shared" si="19"/>
        <v>37408</v>
      </c>
      <c r="F139" s="9">
        <f t="shared" si="13"/>
        <v>0.27338316891832948</v>
      </c>
      <c r="G139" s="9">
        <f t="shared" si="14"/>
        <v>0.24456760168038039</v>
      </c>
      <c r="H139" s="9">
        <f t="shared" si="15"/>
        <v>0.21373276590710311</v>
      </c>
      <c r="I139" s="11">
        <f t="shared" si="20"/>
        <v>37408</v>
      </c>
      <c r="J139">
        <f t="shared" si="18"/>
        <v>731.84849188615249</v>
      </c>
      <c r="O139" s="11">
        <v>38869</v>
      </c>
      <c r="P139" s="19" t="str" cm="1">
        <f t="array" ref="P139">IF(OR($O139&lt;P$387,$O139&gt;P$388),"",IFERROR(IF($O139=P$387,100,P138)*INDEX($B$2:$B$428,MATCH($O139,$A$2:$A$428,0))/INDEX($B$2:$B$428,MATCH($O139,$A$2:$A$428,0)-1),""))</f>
        <v/>
      </c>
      <c r="Q139" s="19" t="str" cm="1">
        <f t="array" ref="Q139">IF(OR($O139&lt;Q$387,$O139&gt;Q$388),"",IFERROR(IF($O139=Q$387,100,Q138)*INDEX($B$2:$B$428,MATCH($O139,$A$2:$A$428,0))/INDEX($B$2:$B$428,MATCH($O139,$A$2:$A$428,0)-1),""))</f>
        <v/>
      </c>
      <c r="R139" s="19" cm="1">
        <f t="array" ref="R139">IF(OR($O139&lt;R$387,$O139&gt;R$388),"",IFERROR(IF($O139=R$387,100,R138)*INDEX($B$2:$B$428,MATCH($O139,$A$2:$A$428,0))/INDEX($B$2:$B$428,MATCH($O139,$A$2:$A$428,0)-1),""))</f>
        <v>123.48096697313093</v>
      </c>
      <c r="S139" s="19" t="str" cm="1">
        <f t="array" ref="S139">IF(OR($O139&lt;S$387,$O139&gt;S$388),"",IFERROR(IF($O139=S$387,100,S138)*INDEX($B$2:$B$428,MATCH($O139,$A$2:$A$428,0))/INDEX($B$2:$B$428,MATCH($O139,$A$2:$A$428,0)-1),""))</f>
        <v/>
      </c>
      <c r="T139" s="19" t="str" cm="1">
        <f t="array" ref="T139">IF(OR($O139&lt;T$387,$O139&gt;T$388),"",IFERROR(IF($O139=T$387,100,T138)*INDEX($B$2:$B$428,MATCH($O139,$A$2:$A$428,0))/INDEX($B$2:$B$428,MATCH($O139,$A$2:$A$428,0)-1),""))</f>
        <v/>
      </c>
      <c r="U139" s="19" t="str" cm="1">
        <f t="array" ref="U139">IF(OR($O139&lt;U$387,$O139&gt;U$388),"",IFERROR(IF($O139=U$387,100,U138)*INDEX($B$2:$B$428,MATCH($O139,$A$2:$A$428,0))/INDEX($B$2:$B$428,MATCH($O139,$A$2:$A$428,0)-1),""))</f>
        <v/>
      </c>
      <c r="V139" s="19" t="str" cm="1">
        <f t="array" ref="V139">IF(OR($O139&lt;V$387,$O139&gt;V$388),"",IFERROR(IF($O139=V$387,100,V138)*INDEX($B$2:$B$428,MATCH($O139,$A$2:$A$428,0))/INDEX($B$2:$B$428,MATCH($O139,$A$2:$A$428,0)-1),""))</f>
        <v/>
      </c>
      <c r="W139" s="19" t="str" cm="1">
        <f t="array" ref="W139">IF(OR($O139&lt;W$387,$O139&gt;W$388),"",IFERROR(IF($O139=W$387,100,W138)*INDEX($B$2:$B$428,MATCH($O139,$A$2:$A$428,0))/INDEX($B$2:$B$428,MATCH($O139,$A$2:$A$428,0)-1),""))</f>
        <v/>
      </c>
      <c r="X139" s="19" t="str" cm="1">
        <f t="array" ref="X139">IF(OR($O139&lt;X$387,$O139&gt;X$388),"",IFERROR(IF($O139=X$387,100,X138)*INDEX($B$2:$B$428,MATCH($O139,$A$2:$A$428,0))/INDEX($B$2:$B$428,MATCH($O139,$A$2:$A$428,0)-1),""))</f>
        <v/>
      </c>
      <c r="AA139" s="19"/>
      <c r="AB139" s="19"/>
      <c r="AC139" s="19"/>
      <c r="AD139" s="19"/>
      <c r="AE139" s="19"/>
      <c r="AF139" s="19"/>
      <c r="AG139" s="19"/>
      <c r="AH139" s="19"/>
      <c r="AJ139" s="11">
        <v>37043</v>
      </c>
      <c r="AK139">
        <v>1265570</v>
      </c>
      <c r="AL139" s="26">
        <f t="shared" si="16"/>
        <v>0.65078661788759218</v>
      </c>
    </row>
    <row r="140" spans="1:38" x14ac:dyDescent="0.3">
      <c r="A140" s="11">
        <v>37438</v>
      </c>
      <c r="B140" s="18">
        <v>535669.06000000006</v>
      </c>
      <c r="C140" s="18">
        <v>805192.46</v>
      </c>
      <c r="D140" s="18">
        <v>1097208.69</v>
      </c>
      <c r="E140" s="11">
        <f t="shared" si="19"/>
        <v>37438</v>
      </c>
      <c r="F140" s="9">
        <f t="shared" si="13"/>
        <v>0.35526325010797577</v>
      </c>
      <c r="G140" s="9">
        <f t="shared" si="14"/>
        <v>0.32789444532198297</v>
      </c>
      <c r="H140" s="9">
        <f t="shared" si="15"/>
        <v>0.32200055366467639</v>
      </c>
      <c r="I140" s="11">
        <f t="shared" si="20"/>
        <v>37438</v>
      </c>
      <c r="J140">
        <f t="shared" si="18"/>
        <v>813.63896858582893</v>
      </c>
      <c r="O140" s="11">
        <v>38899</v>
      </c>
      <c r="P140" s="19" t="str" cm="1">
        <f t="array" ref="P140">IF(OR($O140&lt;P$387,$O140&gt;P$388),"",IFERROR(IF($O140=P$387,100,P139)*INDEX($B$2:$B$428,MATCH($O140,$A$2:$A$428,0))/INDEX($B$2:$B$428,MATCH($O140,$A$2:$A$428,0)-1),""))</f>
        <v/>
      </c>
      <c r="Q140" s="19" t="str" cm="1">
        <f t="array" ref="Q140">IF(OR($O140&lt;Q$387,$O140&gt;Q$388),"",IFERROR(IF($O140=Q$387,100,Q139)*INDEX($B$2:$B$428,MATCH($O140,$A$2:$A$428,0))/INDEX($B$2:$B$428,MATCH($O140,$A$2:$A$428,0)-1),""))</f>
        <v/>
      </c>
      <c r="R140" s="19" cm="1">
        <f t="array" ref="R140">IF(OR($O140&lt;R$387,$O140&gt;R$388),"",IFERROR(IF($O140=R$387,100,R139)*INDEX($B$2:$B$428,MATCH($O140,$A$2:$A$428,0))/INDEX($B$2:$B$428,MATCH($O140,$A$2:$A$428,0)-1),""))</f>
        <v>124.52911745869265</v>
      </c>
      <c r="S140" s="19" t="str" cm="1">
        <f t="array" ref="S140">IF(OR($O140&lt;S$387,$O140&gt;S$388),"",IFERROR(IF($O140=S$387,100,S139)*INDEX($B$2:$B$428,MATCH($O140,$A$2:$A$428,0))/INDEX($B$2:$B$428,MATCH($O140,$A$2:$A$428,0)-1),""))</f>
        <v/>
      </c>
      <c r="T140" s="19" t="str" cm="1">
        <f t="array" ref="T140">IF(OR($O140&lt;T$387,$O140&gt;T$388),"",IFERROR(IF($O140=T$387,100,T139)*INDEX($B$2:$B$428,MATCH($O140,$A$2:$A$428,0))/INDEX($B$2:$B$428,MATCH($O140,$A$2:$A$428,0)-1),""))</f>
        <v/>
      </c>
      <c r="U140" s="19" t="str" cm="1">
        <f t="array" ref="U140">IF(OR($O140&lt;U$387,$O140&gt;U$388),"",IFERROR(IF($O140=U$387,100,U139)*INDEX($B$2:$B$428,MATCH($O140,$A$2:$A$428,0))/INDEX($B$2:$B$428,MATCH($O140,$A$2:$A$428,0)-1),""))</f>
        <v/>
      </c>
      <c r="V140" s="19" t="str" cm="1">
        <f t="array" ref="V140">IF(OR($O140&lt;V$387,$O140&gt;V$388),"",IFERROR(IF($O140=V$387,100,V139)*INDEX($B$2:$B$428,MATCH($O140,$A$2:$A$428,0))/INDEX($B$2:$B$428,MATCH($O140,$A$2:$A$428,0)-1),""))</f>
        <v/>
      </c>
      <c r="W140" s="19" t="str" cm="1">
        <f t="array" ref="W140">IF(OR($O140&lt;W$387,$O140&gt;W$388),"",IFERROR(IF($O140=W$387,100,W139)*INDEX($B$2:$B$428,MATCH($O140,$A$2:$A$428,0))/INDEX($B$2:$B$428,MATCH($O140,$A$2:$A$428,0)-1),""))</f>
        <v/>
      </c>
      <c r="X140" s="19" t="str" cm="1">
        <f t="array" ref="X140">IF(OR($O140&lt;X$387,$O140&gt;X$388),"",IFERROR(IF($O140=X$387,100,X139)*INDEX($B$2:$B$428,MATCH($O140,$A$2:$A$428,0))/INDEX($B$2:$B$428,MATCH($O140,$A$2:$A$428,0)-1),""))</f>
        <v/>
      </c>
      <c r="AA140" s="19"/>
      <c r="AB140" s="19"/>
      <c r="AC140" s="19"/>
      <c r="AD140" s="19"/>
      <c r="AE140" s="19"/>
      <c r="AF140" s="19"/>
      <c r="AG140" s="19"/>
      <c r="AH140" s="19"/>
      <c r="AJ140" s="11">
        <v>37073</v>
      </c>
      <c r="AK140">
        <v>1272918.6000000001</v>
      </c>
      <c r="AL140" s="26">
        <f t="shared" si="16"/>
        <v>0.65201407222739927</v>
      </c>
    </row>
    <row r="141" spans="1:38" x14ac:dyDescent="0.3">
      <c r="A141" s="11">
        <v>37469</v>
      </c>
      <c r="B141" s="18">
        <v>504766.7</v>
      </c>
      <c r="C141" s="18">
        <v>757627.4</v>
      </c>
      <c r="D141" s="18">
        <v>1051398.95</v>
      </c>
      <c r="E141" s="11">
        <f t="shared" si="19"/>
        <v>37469</v>
      </c>
      <c r="F141" s="9">
        <f t="shared" si="13"/>
        <v>0.23586750547974944</v>
      </c>
      <c r="G141" s="9">
        <f t="shared" si="14"/>
        <v>0.2161854170066464</v>
      </c>
      <c r="H141" s="9">
        <f t="shared" si="15"/>
        <v>0.23881082242899265</v>
      </c>
      <c r="I141" s="11">
        <f t="shared" si="20"/>
        <v>37469</v>
      </c>
      <c r="J141">
        <f t="shared" si="18"/>
        <v>766.70072593789996</v>
      </c>
      <c r="O141" s="11">
        <v>38930</v>
      </c>
      <c r="P141" s="19" t="str" cm="1">
        <f t="array" ref="P141">IF(OR($O141&lt;P$387,$O141&gt;P$388),"",IFERROR(IF($O141=P$387,100,P140)*INDEX($B$2:$B$428,MATCH($O141,$A$2:$A$428,0))/INDEX($B$2:$B$428,MATCH($O141,$A$2:$A$428,0)-1),""))</f>
        <v/>
      </c>
      <c r="Q141" s="19" t="str" cm="1">
        <f t="array" ref="Q141">IF(OR($O141&lt;Q$387,$O141&gt;Q$388),"",IFERROR(IF($O141=Q$387,100,Q140)*INDEX($B$2:$B$428,MATCH($O141,$A$2:$A$428,0))/INDEX($B$2:$B$428,MATCH($O141,$A$2:$A$428,0)-1),""))</f>
        <v/>
      </c>
      <c r="R141" s="19" cm="1">
        <f t="array" ref="R141">IF(OR($O141&lt;R$387,$O141&gt;R$388),"",IFERROR(IF($O141=R$387,100,R140)*INDEX($B$2:$B$428,MATCH($O141,$A$2:$A$428,0))/INDEX($B$2:$B$428,MATCH($O141,$A$2:$A$428,0)-1),""))</f>
        <v>125.71991218282969</v>
      </c>
      <c r="S141" s="19" t="str" cm="1">
        <f t="array" ref="S141">IF(OR($O141&lt;S$387,$O141&gt;S$388),"",IFERROR(IF($O141=S$387,100,S140)*INDEX($B$2:$B$428,MATCH($O141,$A$2:$A$428,0))/INDEX($B$2:$B$428,MATCH($O141,$A$2:$A$428,0)-1),""))</f>
        <v/>
      </c>
      <c r="T141" s="19" t="str" cm="1">
        <f t="array" ref="T141">IF(OR($O141&lt;T$387,$O141&gt;T$388),"",IFERROR(IF($O141=T$387,100,T140)*INDEX($B$2:$B$428,MATCH($O141,$A$2:$A$428,0))/INDEX($B$2:$B$428,MATCH($O141,$A$2:$A$428,0)-1),""))</f>
        <v/>
      </c>
      <c r="U141" s="19" t="str" cm="1">
        <f t="array" ref="U141">IF(OR($O141&lt;U$387,$O141&gt;U$388),"",IFERROR(IF($O141=U$387,100,U140)*INDEX($B$2:$B$428,MATCH($O141,$A$2:$A$428,0))/INDEX($B$2:$B$428,MATCH($O141,$A$2:$A$428,0)-1),""))</f>
        <v/>
      </c>
      <c r="V141" s="19" t="str" cm="1">
        <f t="array" ref="V141">IF(OR($O141&lt;V$387,$O141&gt;V$388),"",IFERROR(IF($O141=V$387,100,V140)*INDEX($B$2:$B$428,MATCH($O141,$A$2:$A$428,0))/INDEX($B$2:$B$428,MATCH($O141,$A$2:$A$428,0)-1),""))</f>
        <v/>
      </c>
      <c r="W141" s="19" t="str" cm="1">
        <f t="array" ref="W141">IF(OR($O141&lt;W$387,$O141&gt;W$388),"",IFERROR(IF($O141=W$387,100,W140)*INDEX($B$2:$B$428,MATCH($O141,$A$2:$A$428,0))/INDEX($B$2:$B$428,MATCH($O141,$A$2:$A$428,0)-1),""))</f>
        <v/>
      </c>
      <c r="X141" s="19" t="str" cm="1">
        <f t="array" ref="X141">IF(OR($O141&lt;X$387,$O141&gt;X$388),"",IFERROR(IF($O141=X$387,100,X140)*INDEX($B$2:$B$428,MATCH($O141,$A$2:$A$428,0))/INDEX($B$2:$B$428,MATCH($O141,$A$2:$A$428,0)-1),""))</f>
        <v/>
      </c>
      <c r="AA141" s="19"/>
      <c r="AB141" s="19"/>
      <c r="AC141" s="19"/>
      <c r="AD141" s="19"/>
      <c r="AE141" s="19"/>
      <c r="AF141" s="19"/>
      <c r="AG141" s="19"/>
      <c r="AH141" s="19"/>
      <c r="AJ141" s="11">
        <v>37104</v>
      </c>
      <c r="AK141">
        <v>1280805.3999999999</v>
      </c>
      <c r="AL141" s="26">
        <f t="shared" si="16"/>
        <v>0.66264266999498922</v>
      </c>
    </row>
    <row r="142" spans="1:38" x14ac:dyDescent="0.3">
      <c r="A142" s="11">
        <v>37500</v>
      </c>
      <c r="B142" s="18">
        <v>587662.06000000006</v>
      </c>
      <c r="C142" s="18">
        <v>859038.5</v>
      </c>
      <c r="D142" s="18">
        <v>1163905.46</v>
      </c>
      <c r="E142" s="11">
        <f t="shared" si="19"/>
        <v>37500</v>
      </c>
      <c r="F142" s="9">
        <f t="shared" ref="F142:F205" si="21">B142/B130-1</f>
        <v>0.40435269905481475</v>
      </c>
      <c r="G142" s="9">
        <f t="shared" ref="G142:G205" si="22">C142/C130-1</f>
        <v>0.35135738867158639</v>
      </c>
      <c r="H142" s="9">
        <f t="shared" ref="H142:H205" si="23">D142/D130-1</f>
        <v>0.32962334480005739</v>
      </c>
      <c r="I142" s="11">
        <f t="shared" si="20"/>
        <v>37500</v>
      </c>
      <c r="J142">
        <f t="shared" si="18"/>
        <v>892.61222661511101</v>
      </c>
      <c r="O142" s="11">
        <v>38961</v>
      </c>
      <c r="P142" s="19" t="str" cm="1">
        <f t="array" ref="P142">IF(OR($O142&lt;P$387,$O142&gt;P$388),"",IFERROR(IF($O142=P$387,100,P141)*INDEX($B$2:$B$428,MATCH($O142,$A$2:$A$428,0))/INDEX($B$2:$B$428,MATCH($O142,$A$2:$A$428,0)-1),""))</f>
        <v/>
      </c>
      <c r="Q142" s="19" t="str" cm="1">
        <f t="array" ref="Q142">IF(OR($O142&lt;Q$387,$O142&gt;Q$388),"",IFERROR(IF($O142=Q$387,100,Q141)*INDEX($B$2:$B$428,MATCH($O142,$A$2:$A$428,0))/INDEX($B$2:$B$428,MATCH($O142,$A$2:$A$428,0)-1),""))</f>
        <v/>
      </c>
      <c r="R142" s="19" cm="1">
        <f t="array" ref="R142">IF(OR($O142&lt;R$387,$O142&gt;R$388),"",IFERROR(IF($O142=R$387,100,R141)*INDEX($B$2:$B$428,MATCH($O142,$A$2:$A$428,0))/INDEX($B$2:$B$428,MATCH($O142,$A$2:$A$428,0)-1),""))</f>
        <v>127.04984561956</v>
      </c>
      <c r="S142" s="19" t="str" cm="1">
        <f t="array" ref="S142">IF(OR($O142&lt;S$387,$O142&gt;S$388),"",IFERROR(IF($O142=S$387,100,S141)*INDEX($B$2:$B$428,MATCH($O142,$A$2:$A$428,0))/INDEX($B$2:$B$428,MATCH($O142,$A$2:$A$428,0)-1),""))</f>
        <v/>
      </c>
      <c r="T142" s="19" t="str" cm="1">
        <f t="array" ref="T142">IF(OR($O142&lt;T$387,$O142&gt;T$388),"",IFERROR(IF($O142=T$387,100,T141)*INDEX($B$2:$B$428,MATCH($O142,$A$2:$A$428,0))/INDEX($B$2:$B$428,MATCH($O142,$A$2:$A$428,0)-1),""))</f>
        <v/>
      </c>
      <c r="U142" s="19" t="str" cm="1">
        <f t="array" ref="U142">IF(OR($O142&lt;U$387,$O142&gt;U$388),"",IFERROR(IF($O142=U$387,100,U141)*INDEX($B$2:$B$428,MATCH($O142,$A$2:$A$428,0))/INDEX($B$2:$B$428,MATCH($O142,$A$2:$A$428,0)-1),""))</f>
        <v/>
      </c>
      <c r="V142" s="19" t="str" cm="1">
        <f t="array" ref="V142">IF(OR($O142&lt;V$387,$O142&gt;V$388),"",IFERROR(IF($O142=V$387,100,V141)*INDEX($B$2:$B$428,MATCH($O142,$A$2:$A$428,0))/INDEX($B$2:$B$428,MATCH($O142,$A$2:$A$428,0)-1),""))</f>
        <v/>
      </c>
      <c r="W142" s="19" t="str" cm="1">
        <f t="array" ref="W142">IF(OR($O142&lt;W$387,$O142&gt;W$388),"",IFERROR(IF($O142=W$387,100,W141)*INDEX($B$2:$B$428,MATCH($O142,$A$2:$A$428,0))/INDEX($B$2:$B$428,MATCH($O142,$A$2:$A$428,0)-1),""))</f>
        <v/>
      </c>
      <c r="X142" s="19" t="str" cm="1">
        <f t="array" ref="X142">IF(OR($O142&lt;X$387,$O142&gt;X$388),"",IFERROR(IF($O142=X$387,100,X141)*INDEX($B$2:$B$428,MATCH($O142,$A$2:$A$428,0))/INDEX($B$2:$B$428,MATCH($O142,$A$2:$A$428,0)-1),""))</f>
        <v/>
      </c>
      <c r="AA142" s="19"/>
      <c r="AB142" s="19"/>
      <c r="AC142" s="19"/>
      <c r="AD142" s="19"/>
      <c r="AE142" s="19"/>
      <c r="AF142" s="19"/>
      <c r="AG142" s="19"/>
      <c r="AH142" s="19"/>
      <c r="AJ142" s="11">
        <v>37135</v>
      </c>
      <c r="AK142">
        <v>1289198.6000000001</v>
      </c>
      <c r="AL142" s="26">
        <f t="shared" ref="AL142:AL205" si="24">D130/AK142</f>
        <v>0.67899917824918521</v>
      </c>
    </row>
    <row r="143" spans="1:38" x14ac:dyDescent="0.3">
      <c r="A143" s="11">
        <v>37530</v>
      </c>
      <c r="B143" s="18">
        <v>568616.41</v>
      </c>
      <c r="C143" s="18">
        <v>837604.54</v>
      </c>
      <c r="D143" s="18">
        <v>1125597.75</v>
      </c>
      <c r="E143" s="11">
        <f t="shared" si="19"/>
        <v>37530</v>
      </c>
      <c r="F143" s="9">
        <f t="shared" si="21"/>
        <v>0.35738092053504089</v>
      </c>
      <c r="G143" s="9">
        <f t="shared" si="22"/>
        <v>0.29640249946780606</v>
      </c>
      <c r="H143" s="9">
        <f t="shared" si="23"/>
        <v>0.24829621809073843</v>
      </c>
      <c r="I143" s="11">
        <f t="shared" si="20"/>
        <v>37530</v>
      </c>
      <c r="J143">
        <f t="shared" si="18"/>
        <v>863.68338942961691</v>
      </c>
      <c r="O143" s="11">
        <v>38991</v>
      </c>
      <c r="P143" s="19" t="str" cm="1">
        <f t="array" ref="P143">IF(OR($O143&lt;P$387,$O143&gt;P$388),"",IFERROR(IF($O143=P$387,100,P142)*INDEX($B$2:$B$428,MATCH($O143,$A$2:$A$428,0))/INDEX($B$2:$B$428,MATCH($O143,$A$2:$A$428,0)-1),""))</f>
        <v/>
      </c>
      <c r="Q143" s="19" t="str" cm="1">
        <f t="array" ref="Q143">IF(OR($O143&lt;Q$387,$O143&gt;Q$388),"",IFERROR(IF($O143=Q$387,100,Q142)*INDEX($B$2:$B$428,MATCH($O143,$A$2:$A$428,0))/INDEX($B$2:$B$428,MATCH($O143,$A$2:$A$428,0)-1),""))</f>
        <v/>
      </c>
      <c r="R143" s="19" cm="1">
        <f t="array" ref="R143">IF(OR($O143&lt;R$387,$O143&gt;R$388),"",IFERROR(IF($O143=R$387,100,R142)*INDEX($B$2:$B$428,MATCH($O143,$A$2:$A$428,0))/INDEX($B$2:$B$428,MATCH($O143,$A$2:$A$428,0)-1),""))</f>
        <v>127.57559427848233</v>
      </c>
      <c r="S143" s="19" t="str" cm="1">
        <f t="array" ref="S143">IF(OR($O143&lt;S$387,$O143&gt;S$388),"",IFERROR(IF($O143=S$387,100,S142)*INDEX($B$2:$B$428,MATCH($O143,$A$2:$A$428,0))/INDEX($B$2:$B$428,MATCH($O143,$A$2:$A$428,0)-1),""))</f>
        <v/>
      </c>
      <c r="T143" s="19" t="str" cm="1">
        <f t="array" ref="T143">IF(OR($O143&lt;T$387,$O143&gt;T$388),"",IFERROR(IF($O143=T$387,100,T142)*INDEX($B$2:$B$428,MATCH($O143,$A$2:$A$428,0))/INDEX($B$2:$B$428,MATCH($O143,$A$2:$A$428,0)-1),""))</f>
        <v/>
      </c>
      <c r="U143" s="19" t="str" cm="1">
        <f t="array" ref="U143">IF(OR($O143&lt;U$387,$O143&gt;U$388),"",IFERROR(IF($O143=U$387,100,U142)*INDEX($B$2:$B$428,MATCH($O143,$A$2:$A$428,0))/INDEX($B$2:$B$428,MATCH($O143,$A$2:$A$428,0)-1),""))</f>
        <v/>
      </c>
      <c r="V143" s="19" t="str" cm="1">
        <f t="array" ref="V143">IF(OR($O143&lt;V$387,$O143&gt;V$388),"",IFERROR(IF($O143=V$387,100,V142)*INDEX($B$2:$B$428,MATCH($O143,$A$2:$A$428,0))/INDEX($B$2:$B$428,MATCH($O143,$A$2:$A$428,0)-1),""))</f>
        <v/>
      </c>
      <c r="W143" s="19" t="str" cm="1">
        <f t="array" ref="W143">IF(OR($O143&lt;W$387,$O143&gt;W$388),"",IFERROR(IF($O143=W$387,100,W142)*INDEX($B$2:$B$428,MATCH($O143,$A$2:$A$428,0))/INDEX($B$2:$B$428,MATCH($O143,$A$2:$A$428,0)-1),""))</f>
        <v/>
      </c>
      <c r="X143" s="19" t="str" cm="1">
        <f t="array" ref="X143">IF(OR($O143&lt;X$387,$O143&gt;X$388),"",IFERROR(IF($O143=X$387,100,X142)*INDEX($B$2:$B$428,MATCH($O143,$A$2:$A$428,0))/INDEX($B$2:$B$428,MATCH($O143,$A$2:$A$428,0)-1),""))</f>
        <v/>
      </c>
      <c r="AA143" s="19"/>
      <c r="AB143" s="19"/>
      <c r="AC143" s="19"/>
      <c r="AD143" s="19"/>
      <c r="AE143" s="19"/>
      <c r="AF143" s="19"/>
      <c r="AG143" s="19"/>
      <c r="AH143" s="19"/>
      <c r="AJ143" s="11">
        <v>37165</v>
      </c>
      <c r="AK143">
        <v>1298386.5</v>
      </c>
      <c r="AL143" s="26">
        <f t="shared" si="24"/>
        <v>0.69448292168780257</v>
      </c>
    </row>
    <row r="144" spans="1:38" x14ac:dyDescent="0.3">
      <c r="A144" s="11">
        <v>37561</v>
      </c>
      <c r="B144" s="18">
        <v>565261.69999999995</v>
      </c>
      <c r="C144" s="18">
        <v>851603.55</v>
      </c>
      <c r="D144" s="18">
        <v>1138161.81</v>
      </c>
      <c r="E144" s="11">
        <f t="shared" si="19"/>
        <v>37561</v>
      </c>
      <c r="F144" s="9">
        <f t="shared" si="21"/>
        <v>0.39284383600447859</v>
      </c>
      <c r="G144" s="9">
        <f t="shared" si="22"/>
        <v>0.33403316521703186</v>
      </c>
      <c r="H144" s="9">
        <f t="shared" si="23"/>
        <v>0.2779930344684558</v>
      </c>
      <c r="I144" s="11">
        <f t="shared" si="20"/>
        <v>37561</v>
      </c>
      <c r="J144">
        <f t="shared" si="18"/>
        <v>858.58785006002063</v>
      </c>
      <c r="O144" s="11">
        <v>39022</v>
      </c>
      <c r="P144" s="19" t="str" cm="1">
        <f t="array" ref="P144">IF(OR($O144&lt;P$387,$O144&gt;P$388),"",IFERROR(IF($O144=P$387,100,P143)*INDEX($B$2:$B$428,MATCH($O144,$A$2:$A$428,0))/INDEX($B$2:$B$428,MATCH($O144,$A$2:$A$428,0)-1),""))</f>
        <v/>
      </c>
      <c r="Q144" s="19" t="str" cm="1">
        <f t="array" ref="Q144">IF(OR($O144&lt;Q$387,$O144&gt;Q$388),"",IFERROR(IF($O144=Q$387,100,Q143)*INDEX($B$2:$B$428,MATCH($O144,$A$2:$A$428,0))/INDEX($B$2:$B$428,MATCH($O144,$A$2:$A$428,0)-1),""))</f>
        <v/>
      </c>
      <c r="R144" s="19" cm="1">
        <f t="array" ref="R144">IF(OR($O144&lt;R$387,$O144&gt;R$388),"",IFERROR(IF($O144=R$387,100,R143)*INDEX($B$2:$B$428,MATCH($O144,$A$2:$A$428,0))/INDEX($B$2:$B$428,MATCH($O144,$A$2:$A$428,0)-1),""))</f>
        <v>128.70695732077391</v>
      </c>
      <c r="S144" s="19" t="str" cm="1">
        <f t="array" ref="S144">IF(OR($O144&lt;S$387,$O144&gt;S$388),"",IFERROR(IF($O144=S$387,100,S143)*INDEX($B$2:$B$428,MATCH($O144,$A$2:$A$428,0))/INDEX($B$2:$B$428,MATCH($O144,$A$2:$A$428,0)-1),""))</f>
        <v/>
      </c>
      <c r="T144" s="19" t="str" cm="1">
        <f t="array" ref="T144">IF(OR($O144&lt;T$387,$O144&gt;T$388),"",IFERROR(IF($O144=T$387,100,T143)*INDEX($B$2:$B$428,MATCH($O144,$A$2:$A$428,0))/INDEX($B$2:$B$428,MATCH($O144,$A$2:$A$428,0)-1),""))</f>
        <v/>
      </c>
      <c r="U144" s="19" t="str" cm="1">
        <f t="array" ref="U144">IF(OR($O144&lt;U$387,$O144&gt;U$388),"",IFERROR(IF($O144=U$387,100,U143)*INDEX($B$2:$B$428,MATCH($O144,$A$2:$A$428,0))/INDEX($B$2:$B$428,MATCH($O144,$A$2:$A$428,0)-1),""))</f>
        <v/>
      </c>
      <c r="V144" s="19" t="str" cm="1">
        <f t="array" ref="V144">IF(OR($O144&lt;V$387,$O144&gt;V$388),"",IFERROR(IF($O144=V$387,100,V143)*INDEX($B$2:$B$428,MATCH($O144,$A$2:$A$428,0))/INDEX($B$2:$B$428,MATCH($O144,$A$2:$A$428,0)-1),""))</f>
        <v/>
      </c>
      <c r="W144" s="19" t="str" cm="1">
        <f t="array" ref="W144">IF(OR($O144&lt;W$387,$O144&gt;W$388),"",IFERROR(IF($O144=W$387,100,W143)*INDEX($B$2:$B$428,MATCH($O144,$A$2:$A$428,0))/INDEX($B$2:$B$428,MATCH($O144,$A$2:$A$428,0)-1),""))</f>
        <v/>
      </c>
      <c r="X144" s="19" t="str" cm="1">
        <f t="array" ref="X144">IF(OR($O144&lt;X$387,$O144&gt;X$388),"",IFERROR(IF($O144=X$387,100,X143)*INDEX($B$2:$B$428,MATCH($O144,$A$2:$A$428,0))/INDEX($B$2:$B$428,MATCH($O144,$A$2:$A$428,0)-1),""))</f>
        <v/>
      </c>
      <c r="AA144" s="19"/>
      <c r="AB144" s="19"/>
      <c r="AC144" s="19"/>
      <c r="AD144" s="19"/>
      <c r="AE144" s="19"/>
      <c r="AF144" s="19"/>
      <c r="AG144" s="19"/>
      <c r="AH144" s="19"/>
      <c r="AJ144" s="11">
        <v>37196</v>
      </c>
      <c r="AK144">
        <v>1308590.3999999999</v>
      </c>
      <c r="AL144" s="26">
        <f t="shared" si="24"/>
        <v>0.68056841927007883</v>
      </c>
    </row>
    <row r="145" spans="1:39" x14ac:dyDescent="0.3">
      <c r="A145" s="11">
        <v>37591</v>
      </c>
      <c r="B145" s="18">
        <v>560828.81999999995</v>
      </c>
      <c r="C145" s="18">
        <v>859712.1</v>
      </c>
      <c r="D145" s="18">
        <v>1132894.04</v>
      </c>
      <c r="E145" s="11">
        <f t="shared" si="19"/>
        <v>37591</v>
      </c>
      <c r="F145" s="9">
        <f t="shared" si="21"/>
        <v>0.36198885421921378</v>
      </c>
      <c r="G145" s="9">
        <f t="shared" si="22"/>
        <v>0.32531478557989635</v>
      </c>
      <c r="H145" s="9">
        <f t="shared" si="23"/>
        <v>0.2787954006784843</v>
      </c>
      <c r="I145" s="11">
        <f t="shared" si="20"/>
        <v>37591</v>
      </c>
      <c r="J145">
        <f t="shared" si="18"/>
        <v>851.85465566745154</v>
      </c>
      <c r="O145" s="11">
        <v>39052</v>
      </c>
      <c r="P145" s="19" t="str" cm="1">
        <f t="array" ref="P145">IF(OR($O145&lt;P$387,$O145&gt;P$388),"",IFERROR(IF($O145=P$387,100,P144)*INDEX($B$2:$B$428,MATCH($O145,$A$2:$A$428,0))/INDEX($B$2:$B$428,MATCH($O145,$A$2:$A$428,0)-1),""))</f>
        <v/>
      </c>
      <c r="Q145" s="19" t="str" cm="1">
        <f t="array" ref="Q145">IF(OR($O145&lt;Q$387,$O145&gt;Q$388),"",IFERROR(IF($O145=Q$387,100,Q144)*INDEX($B$2:$B$428,MATCH($O145,$A$2:$A$428,0))/INDEX($B$2:$B$428,MATCH($O145,$A$2:$A$428,0)-1),""))</f>
        <v/>
      </c>
      <c r="R145" s="19" cm="1">
        <f t="array" ref="R145">IF(OR($O145&lt;R$387,$O145&gt;R$388),"",IFERROR(IF($O145=R$387,100,R144)*INDEX($B$2:$B$428,MATCH($O145,$A$2:$A$428,0))/INDEX($B$2:$B$428,MATCH($O145,$A$2:$A$428,0)-1),""))</f>
        <v>131.19865701623536</v>
      </c>
      <c r="S145" s="19" t="str" cm="1">
        <f t="array" ref="S145">IF(OR($O145&lt;S$387,$O145&gt;S$388),"",IFERROR(IF($O145=S$387,100,S144)*INDEX($B$2:$B$428,MATCH($O145,$A$2:$A$428,0))/INDEX($B$2:$B$428,MATCH($O145,$A$2:$A$428,0)-1),""))</f>
        <v/>
      </c>
      <c r="T145" s="19" t="str" cm="1">
        <f t="array" ref="T145">IF(OR($O145&lt;T$387,$O145&gt;T$388),"",IFERROR(IF($O145=T$387,100,T144)*INDEX($B$2:$B$428,MATCH($O145,$A$2:$A$428,0))/INDEX($B$2:$B$428,MATCH($O145,$A$2:$A$428,0)-1),""))</f>
        <v/>
      </c>
      <c r="U145" s="19" t="str" cm="1">
        <f t="array" ref="U145">IF(OR($O145&lt;U$387,$O145&gt;U$388),"",IFERROR(IF($O145=U$387,100,U144)*INDEX($B$2:$B$428,MATCH($O145,$A$2:$A$428,0))/INDEX($B$2:$B$428,MATCH($O145,$A$2:$A$428,0)-1),""))</f>
        <v/>
      </c>
      <c r="V145" s="19" t="str" cm="1">
        <f t="array" ref="V145">IF(OR($O145&lt;V$387,$O145&gt;V$388),"",IFERROR(IF($O145=V$387,100,V144)*INDEX($B$2:$B$428,MATCH($O145,$A$2:$A$428,0))/INDEX($B$2:$B$428,MATCH($O145,$A$2:$A$428,0)-1),""))</f>
        <v/>
      </c>
      <c r="W145" s="19" t="str" cm="1">
        <f t="array" ref="W145">IF(OR($O145&lt;W$387,$O145&gt;W$388),"",IFERROR(IF($O145=W$387,100,W144)*INDEX($B$2:$B$428,MATCH($O145,$A$2:$A$428,0))/INDEX($B$2:$B$428,MATCH($O145,$A$2:$A$428,0)-1),""))</f>
        <v/>
      </c>
      <c r="X145" s="19" t="str" cm="1">
        <f t="array" ref="X145">IF(OR($O145&lt;X$387,$O145&gt;X$388),"",IFERROR(IF($O145=X$387,100,X144)*INDEX($B$2:$B$428,MATCH($O145,$A$2:$A$428,0))/INDEX($B$2:$B$428,MATCH($O145,$A$2:$A$428,0)-1),""))</f>
        <v/>
      </c>
      <c r="AA145" s="19"/>
      <c r="AB145" s="19"/>
      <c r="AC145" s="19"/>
      <c r="AD145" s="19"/>
      <c r="AE145" s="19"/>
      <c r="AF145" s="19"/>
      <c r="AG145" s="19"/>
      <c r="AH145" s="19"/>
      <c r="AJ145" s="11">
        <v>37226</v>
      </c>
      <c r="AK145">
        <v>1315755.5</v>
      </c>
      <c r="AL145" s="26">
        <f t="shared" si="24"/>
        <v>0.67330684918284589</v>
      </c>
    </row>
    <row r="146" spans="1:39" x14ac:dyDescent="0.3">
      <c r="A146" s="11">
        <v>37622</v>
      </c>
      <c r="B146" s="18">
        <v>564412.4</v>
      </c>
      <c r="C146" s="18">
        <v>877925.86</v>
      </c>
      <c r="D146" s="18">
        <v>1163160.1000000001</v>
      </c>
      <c r="E146" s="11">
        <f t="shared" si="19"/>
        <v>37622</v>
      </c>
      <c r="F146" s="9">
        <f t="shared" si="21"/>
        <v>0.32167153212506872</v>
      </c>
      <c r="G146" s="9">
        <f t="shared" si="22"/>
        <v>0.31513339597272449</v>
      </c>
      <c r="H146" s="9">
        <f t="shared" si="23"/>
        <v>0.2834630300368568</v>
      </c>
      <c r="I146" s="11">
        <f t="shared" si="20"/>
        <v>37622</v>
      </c>
      <c r="O146" s="11">
        <v>39083</v>
      </c>
      <c r="P146" s="19" t="str" cm="1">
        <f t="array" ref="P146">IF(OR($O146&lt;P$387,$O146&gt;P$388),"",IFERROR(IF($O146=P$387,100,P145)*INDEX($B$2:$B$428,MATCH($O146,$A$2:$A$428,0))/INDEX($B$2:$B$428,MATCH($O146,$A$2:$A$428,0)-1),""))</f>
        <v/>
      </c>
      <c r="Q146" s="19" t="str" cm="1">
        <f t="array" ref="Q146">IF(OR($O146&lt;Q$387,$O146&gt;Q$388),"",IFERROR(IF($O146=Q$387,100,Q145)*INDEX($B$2:$B$428,MATCH($O146,$A$2:$A$428,0))/INDEX($B$2:$B$428,MATCH($O146,$A$2:$A$428,0)-1),""))</f>
        <v/>
      </c>
      <c r="R146" s="19" t="str" cm="1">
        <f t="array" ref="R146">IF(OR($O146&lt;R$387,$O146&gt;R$388),"",IFERROR(IF($O146=R$387,100,R145)*INDEX($B$2:$B$428,MATCH($O146,$A$2:$A$428,0))/INDEX($B$2:$B$428,MATCH($O146,$A$2:$A$428,0)-1),""))</f>
        <v/>
      </c>
      <c r="S146" s="19" cm="1">
        <f t="array" ref="S146">IF(OR($O146&lt;S$387,$O146&gt;S$388),"",IFERROR(IF($O146=S$387,100,S145)*INDEX($B$2:$B$428,MATCH($O146,$A$2:$A$428,0))/INDEX($B$2:$B$428,MATCH($O146,$A$2:$A$428,0)-1),""))</f>
        <v>99.921081802840192</v>
      </c>
      <c r="T146" s="19" t="str" cm="1">
        <f t="array" ref="T146">IF(OR($O146&lt;T$387,$O146&gt;T$388),"",IFERROR(IF($O146=T$387,100,T145)*INDEX($B$2:$B$428,MATCH($O146,$A$2:$A$428,0))/INDEX($B$2:$B$428,MATCH($O146,$A$2:$A$428,0)-1),""))</f>
        <v/>
      </c>
      <c r="U146" s="19" t="str" cm="1">
        <f t="array" ref="U146">IF(OR($O146&lt;U$387,$O146&gt;U$388),"",IFERROR(IF($O146=U$387,100,U145)*INDEX($B$2:$B$428,MATCH($O146,$A$2:$A$428,0))/INDEX($B$2:$B$428,MATCH($O146,$A$2:$A$428,0)-1),""))</f>
        <v/>
      </c>
      <c r="V146" s="19" t="str" cm="1">
        <f t="array" ref="V146">IF(OR($O146&lt;V$387,$O146&gt;V$388),"",IFERROR(IF($O146=V$387,100,V145)*INDEX($B$2:$B$428,MATCH($O146,$A$2:$A$428,0))/INDEX($B$2:$B$428,MATCH($O146,$A$2:$A$428,0)-1),""))</f>
        <v/>
      </c>
      <c r="W146" s="19" t="str" cm="1">
        <f t="array" ref="W146">IF(OR($O146&lt;W$387,$O146&gt;W$388),"",IFERROR(IF($O146=W$387,100,W145)*INDEX($B$2:$B$428,MATCH($O146,$A$2:$A$428,0))/INDEX($B$2:$B$428,MATCH($O146,$A$2:$A$428,0)-1),""))</f>
        <v/>
      </c>
      <c r="X146" s="19" t="str" cm="1">
        <f t="array" ref="X146">IF(OR($O146&lt;X$387,$O146&gt;X$388),"",IFERROR(IF($O146=X$387,100,X145)*INDEX($B$2:$B$428,MATCH($O146,$A$2:$A$428,0))/INDEX($B$2:$B$428,MATCH($O146,$A$2:$A$428,0)-1),""))</f>
        <v/>
      </c>
      <c r="AA146" s="19"/>
      <c r="AB146" s="19"/>
      <c r="AC146" s="19"/>
      <c r="AD146" s="19"/>
      <c r="AE146" s="19"/>
      <c r="AF146" s="19"/>
      <c r="AG146" s="19"/>
      <c r="AH146" s="19"/>
      <c r="AJ146" s="11">
        <v>37257</v>
      </c>
      <c r="AK146">
        <v>1325599.6000000001</v>
      </c>
      <c r="AL146" s="26">
        <f t="shared" si="24"/>
        <v>0.68366566344769564</v>
      </c>
    </row>
    <row r="147" spans="1:39" x14ac:dyDescent="0.3">
      <c r="A147" s="11">
        <v>37653</v>
      </c>
      <c r="B147" s="18">
        <v>575040.65</v>
      </c>
      <c r="C147" s="18">
        <v>892342.11</v>
      </c>
      <c r="D147" s="18">
        <v>1185306.52</v>
      </c>
      <c r="E147" s="11">
        <f t="shared" si="19"/>
        <v>37653</v>
      </c>
      <c r="F147" s="9">
        <f t="shared" si="21"/>
        <v>0.35897413355512109</v>
      </c>
      <c r="G147" s="9">
        <f t="shared" si="22"/>
        <v>0.34651996996480183</v>
      </c>
      <c r="H147" s="9">
        <f t="shared" si="23"/>
        <v>0.30987604638109301</v>
      </c>
      <c r="I147" s="11">
        <f t="shared" si="20"/>
        <v>37653</v>
      </c>
      <c r="O147" s="11">
        <v>39114</v>
      </c>
      <c r="P147" s="19" t="str" cm="1">
        <f t="array" ref="P147">IF(OR($O147&lt;P$387,$O147&gt;P$388),"",IFERROR(IF($O147=P$387,100,P146)*INDEX($B$2:$B$428,MATCH($O147,$A$2:$A$428,0))/INDEX($B$2:$B$428,MATCH($O147,$A$2:$A$428,0)-1),""))</f>
        <v/>
      </c>
      <c r="Q147" s="19" t="str" cm="1">
        <f t="array" ref="Q147">IF(OR($O147&lt;Q$387,$O147&gt;Q$388),"",IFERROR(IF($O147=Q$387,100,Q146)*INDEX($B$2:$B$428,MATCH($O147,$A$2:$A$428,0))/INDEX($B$2:$B$428,MATCH($O147,$A$2:$A$428,0)-1),""))</f>
        <v/>
      </c>
      <c r="R147" s="19" t="str" cm="1">
        <f t="array" ref="R147">IF(OR($O147&lt;R$387,$O147&gt;R$388),"",IFERROR(IF($O147=R$387,100,R146)*INDEX($B$2:$B$428,MATCH($O147,$A$2:$A$428,0))/INDEX($B$2:$B$428,MATCH($O147,$A$2:$A$428,0)-1),""))</f>
        <v/>
      </c>
      <c r="S147" s="19" cm="1">
        <f t="array" ref="S147">IF(OR($O147&lt;S$387,$O147&gt;S$388),"",IFERROR(IF($O147=S$387,100,S146)*INDEX($B$2:$B$428,MATCH($O147,$A$2:$A$428,0))/INDEX($B$2:$B$428,MATCH($O147,$A$2:$A$428,0)-1),""))</f>
        <v>101.04031139553869</v>
      </c>
      <c r="T147" s="19" t="str" cm="1">
        <f t="array" ref="T147">IF(OR($O147&lt;T$387,$O147&gt;T$388),"",IFERROR(IF($O147=T$387,100,T146)*INDEX($B$2:$B$428,MATCH($O147,$A$2:$A$428,0))/INDEX($B$2:$B$428,MATCH($O147,$A$2:$A$428,0)-1),""))</f>
        <v/>
      </c>
      <c r="U147" s="19" t="str" cm="1">
        <f t="array" ref="U147">IF(OR($O147&lt;U$387,$O147&gt;U$388),"",IFERROR(IF($O147=U$387,100,U146)*INDEX($B$2:$B$428,MATCH($O147,$A$2:$A$428,0))/INDEX($B$2:$B$428,MATCH($O147,$A$2:$A$428,0)-1),""))</f>
        <v/>
      </c>
      <c r="V147" s="19" t="str" cm="1">
        <f t="array" ref="V147">IF(OR($O147&lt;V$387,$O147&gt;V$388),"",IFERROR(IF($O147=V$387,100,V146)*INDEX($B$2:$B$428,MATCH($O147,$A$2:$A$428,0))/INDEX($B$2:$B$428,MATCH($O147,$A$2:$A$428,0)-1),""))</f>
        <v/>
      </c>
      <c r="W147" s="19" t="str" cm="1">
        <f t="array" ref="W147">IF(OR($O147&lt;W$387,$O147&gt;W$388),"",IFERROR(IF($O147=W$387,100,W146)*INDEX($B$2:$B$428,MATCH($O147,$A$2:$A$428,0))/INDEX($B$2:$B$428,MATCH($O147,$A$2:$A$428,0)-1),""))</f>
        <v/>
      </c>
      <c r="X147" s="19" t="str" cm="1">
        <f t="array" ref="X147">IF(OR($O147&lt;X$387,$O147&gt;X$388),"",IFERROR(IF($O147=X$387,100,X146)*INDEX($B$2:$B$428,MATCH($O147,$A$2:$A$428,0))/INDEX($B$2:$B$428,MATCH($O147,$A$2:$A$428,0)-1),""))</f>
        <v/>
      </c>
      <c r="AA147" s="19"/>
      <c r="AB147" s="19"/>
      <c r="AC147" s="19"/>
      <c r="AD147" s="19"/>
      <c r="AE147" s="19"/>
      <c r="AF147" s="19"/>
      <c r="AG147" s="19"/>
      <c r="AH147" s="19"/>
      <c r="AJ147" s="11">
        <v>37288</v>
      </c>
      <c r="AK147">
        <v>1335441.3999999999</v>
      </c>
      <c r="AL147" s="26">
        <f t="shared" si="24"/>
        <v>0.67760349499423944</v>
      </c>
    </row>
    <row r="148" spans="1:39" x14ac:dyDescent="0.3">
      <c r="A148" s="11">
        <v>37681</v>
      </c>
      <c r="B148" s="18">
        <v>558910.11</v>
      </c>
      <c r="C148" s="18">
        <v>879741.25</v>
      </c>
      <c r="D148" s="18">
        <v>1174872.3799999999</v>
      </c>
      <c r="E148" s="11">
        <f t="shared" si="19"/>
        <v>37681</v>
      </c>
      <c r="F148" s="9">
        <f t="shared" si="21"/>
        <v>0.32222267643972402</v>
      </c>
      <c r="G148" s="9">
        <f t="shared" si="22"/>
        <v>0.33420297894734907</v>
      </c>
      <c r="H148" s="9">
        <f t="shared" si="23"/>
        <v>0.29574635040418817</v>
      </c>
      <c r="I148" s="11">
        <f t="shared" si="20"/>
        <v>37681</v>
      </c>
      <c r="O148" s="11">
        <v>39142</v>
      </c>
      <c r="P148" s="19" t="str" cm="1">
        <f t="array" ref="P148">IF(OR($O148&lt;P$387,$O148&gt;P$388),"",IFERROR(IF($O148=P$387,100,P147)*INDEX($B$2:$B$428,MATCH($O148,$A$2:$A$428,0))/INDEX($B$2:$B$428,MATCH($O148,$A$2:$A$428,0)-1),""))</f>
        <v/>
      </c>
      <c r="Q148" s="19" t="str" cm="1">
        <f t="array" ref="Q148">IF(OR($O148&lt;Q$387,$O148&gt;Q$388),"",IFERROR(IF($O148=Q$387,100,Q147)*INDEX($B$2:$B$428,MATCH($O148,$A$2:$A$428,0))/INDEX($B$2:$B$428,MATCH($O148,$A$2:$A$428,0)-1),""))</f>
        <v/>
      </c>
      <c r="R148" s="19" t="str" cm="1">
        <f t="array" ref="R148">IF(OR($O148&lt;R$387,$O148&gt;R$388),"",IFERROR(IF($O148=R$387,100,R147)*INDEX($B$2:$B$428,MATCH($O148,$A$2:$A$428,0))/INDEX($B$2:$B$428,MATCH($O148,$A$2:$A$428,0)-1),""))</f>
        <v/>
      </c>
      <c r="S148" s="19" cm="1">
        <f t="array" ref="S148">IF(OR($O148&lt;S$387,$O148&gt;S$388),"",IFERROR(IF($O148=S$387,100,S147)*INDEX($B$2:$B$428,MATCH($O148,$A$2:$A$428,0))/INDEX($B$2:$B$428,MATCH($O148,$A$2:$A$428,0)-1),""))</f>
        <v>102.76580094033177</v>
      </c>
      <c r="T148" s="19" t="str" cm="1">
        <f t="array" ref="T148">IF(OR($O148&lt;T$387,$O148&gt;T$388),"",IFERROR(IF($O148=T$387,100,T147)*INDEX($B$2:$B$428,MATCH($O148,$A$2:$A$428,0))/INDEX($B$2:$B$428,MATCH($O148,$A$2:$A$428,0)-1),""))</f>
        <v/>
      </c>
      <c r="U148" s="19" t="str" cm="1">
        <f t="array" ref="U148">IF(OR($O148&lt;U$387,$O148&gt;U$388),"",IFERROR(IF($O148=U$387,100,U147)*INDEX($B$2:$B$428,MATCH($O148,$A$2:$A$428,0))/INDEX($B$2:$B$428,MATCH($O148,$A$2:$A$428,0)-1),""))</f>
        <v/>
      </c>
      <c r="V148" s="19" t="str" cm="1">
        <f t="array" ref="V148">IF(OR($O148&lt;V$387,$O148&gt;V$388),"",IFERROR(IF($O148=V$387,100,V147)*INDEX($B$2:$B$428,MATCH($O148,$A$2:$A$428,0))/INDEX($B$2:$B$428,MATCH($O148,$A$2:$A$428,0)-1),""))</f>
        <v/>
      </c>
      <c r="W148" s="19" t="str" cm="1">
        <f t="array" ref="W148">IF(OR($O148&lt;W$387,$O148&gt;W$388),"",IFERROR(IF($O148=W$387,100,W147)*INDEX($B$2:$B$428,MATCH($O148,$A$2:$A$428,0))/INDEX($B$2:$B$428,MATCH($O148,$A$2:$A$428,0)-1),""))</f>
        <v/>
      </c>
      <c r="X148" s="19" t="str" cm="1">
        <f t="array" ref="X148">IF(OR($O148&lt;X$387,$O148&gt;X$388),"",IFERROR(IF($O148=X$387,100,X147)*INDEX($B$2:$B$428,MATCH($O148,$A$2:$A$428,0))/INDEX($B$2:$B$428,MATCH($O148,$A$2:$A$428,0)-1),""))</f>
        <v/>
      </c>
      <c r="AA148" s="19"/>
      <c r="AB148" s="19"/>
      <c r="AC148" s="19"/>
      <c r="AD148" s="19"/>
      <c r="AE148" s="19"/>
      <c r="AF148" s="19"/>
      <c r="AG148" s="19"/>
      <c r="AH148" s="19"/>
      <c r="AJ148" s="11">
        <v>37316</v>
      </c>
      <c r="AK148">
        <v>1345582.3</v>
      </c>
      <c r="AL148" s="26">
        <f t="shared" si="24"/>
        <v>0.67384565774980842</v>
      </c>
    </row>
    <row r="149" spans="1:39" x14ac:dyDescent="0.3">
      <c r="A149" s="11">
        <v>37712</v>
      </c>
      <c r="B149" s="18">
        <v>510678</v>
      </c>
      <c r="C149" s="18">
        <v>834738.56</v>
      </c>
      <c r="D149" s="18">
        <v>1131297.06</v>
      </c>
      <c r="E149" s="11">
        <f t="shared" si="19"/>
        <v>37712</v>
      </c>
      <c r="F149" s="9">
        <f t="shared" si="21"/>
        <v>0.19337206207101332</v>
      </c>
      <c r="G149" s="9">
        <f t="shared" si="22"/>
        <v>0.2518879208489444</v>
      </c>
      <c r="H149" s="9">
        <f t="shared" si="23"/>
        <v>0.217553912013146</v>
      </c>
      <c r="I149" s="11">
        <f t="shared" si="20"/>
        <v>37712</v>
      </c>
      <c r="O149" s="11">
        <v>39173</v>
      </c>
      <c r="P149" s="19" t="str" cm="1">
        <f t="array" ref="P149">IF(OR($O149&lt;P$387,$O149&gt;P$388),"",IFERROR(IF($O149=P$387,100,P148)*INDEX($B$2:$B$428,MATCH($O149,$A$2:$A$428,0))/INDEX($B$2:$B$428,MATCH($O149,$A$2:$A$428,0)-1),""))</f>
        <v/>
      </c>
      <c r="Q149" s="19" t="str" cm="1">
        <f t="array" ref="Q149">IF(OR($O149&lt;Q$387,$O149&gt;Q$388),"",IFERROR(IF($O149=Q$387,100,Q148)*INDEX($B$2:$B$428,MATCH($O149,$A$2:$A$428,0))/INDEX($B$2:$B$428,MATCH($O149,$A$2:$A$428,0)-1),""))</f>
        <v/>
      </c>
      <c r="R149" s="19" t="str" cm="1">
        <f t="array" ref="R149">IF(OR($O149&lt;R$387,$O149&gt;R$388),"",IFERROR(IF($O149=R$387,100,R148)*INDEX($B$2:$B$428,MATCH($O149,$A$2:$A$428,0))/INDEX($B$2:$B$428,MATCH($O149,$A$2:$A$428,0)-1),""))</f>
        <v/>
      </c>
      <c r="S149" s="19" cm="1">
        <f t="array" ref="S149">IF(OR($O149&lt;S$387,$O149&gt;S$388),"",IFERROR(IF($O149=S$387,100,S148)*INDEX($B$2:$B$428,MATCH($O149,$A$2:$A$428,0))/INDEX($B$2:$B$428,MATCH($O149,$A$2:$A$428,0)-1),""))</f>
        <v>102.46227819444603</v>
      </c>
      <c r="T149" s="19" t="str" cm="1">
        <f t="array" ref="T149">IF(OR($O149&lt;T$387,$O149&gt;T$388),"",IFERROR(IF($O149=T$387,100,T148)*INDEX($B$2:$B$428,MATCH($O149,$A$2:$A$428,0))/INDEX($B$2:$B$428,MATCH($O149,$A$2:$A$428,0)-1),""))</f>
        <v/>
      </c>
      <c r="U149" s="19" t="str" cm="1">
        <f t="array" ref="U149">IF(OR($O149&lt;U$387,$O149&gt;U$388),"",IFERROR(IF($O149=U$387,100,U148)*INDEX($B$2:$B$428,MATCH($O149,$A$2:$A$428,0))/INDEX($B$2:$B$428,MATCH($O149,$A$2:$A$428,0)-1),""))</f>
        <v/>
      </c>
      <c r="V149" s="19" t="str" cm="1">
        <f t="array" ref="V149">IF(OR($O149&lt;V$387,$O149&gt;V$388),"",IFERROR(IF($O149=V$387,100,V148)*INDEX($B$2:$B$428,MATCH($O149,$A$2:$A$428,0))/INDEX($B$2:$B$428,MATCH($O149,$A$2:$A$428,0)-1),""))</f>
        <v/>
      </c>
      <c r="W149" s="19" t="str" cm="1">
        <f t="array" ref="W149">IF(OR($O149&lt;W$387,$O149&gt;W$388),"",IFERROR(IF($O149=W$387,100,W148)*INDEX($B$2:$B$428,MATCH($O149,$A$2:$A$428,0))/INDEX($B$2:$B$428,MATCH($O149,$A$2:$A$428,0)-1),""))</f>
        <v/>
      </c>
      <c r="X149" s="19" t="str" cm="1">
        <f t="array" ref="X149">IF(OR($O149&lt;X$387,$O149&gt;X$388),"",IFERROR(IF($O149=X$387,100,X148)*INDEX($B$2:$B$428,MATCH($O149,$A$2:$A$428,0))/INDEX($B$2:$B$428,MATCH($O149,$A$2:$A$428,0)-1),""))</f>
        <v/>
      </c>
      <c r="AA149" s="19"/>
      <c r="AB149" s="19"/>
      <c r="AC149" s="19"/>
      <c r="AD149" s="19"/>
      <c r="AE149" s="19"/>
      <c r="AF149" s="19"/>
      <c r="AG149" s="19"/>
      <c r="AH149" s="19"/>
      <c r="AJ149" s="11">
        <v>37347</v>
      </c>
      <c r="AK149">
        <v>1358396.3</v>
      </c>
      <c r="AL149" s="26">
        <f t="shared" si="24"/>
        <v>0.68400923942445957</v>
      </c>
    </row>
    <row r="150" spans="1:39" x14ac:dyDescent="0.3">
      <c r="A150" s="11">
        <v>37742</v>
      </c>
      <c r="B150" s="18">
        <v>526104.73</v>
      </c>
      <c r="C150" s="18">
        <v>853200.52</v>
      </c>
      <c r="D150" s="18">
        <v>1165283.1200000001</v>
      </c>
      <c r="E150" s="11">
        <f t="shared" si="19"/>
        <v>37742</v>
      </c>
      <c r="F150" s="9">
        <f t="shared" si="21"/>
        <v>0.17672496521132608</v>
      </c>
      <c r="G150" s="9">
        <f t="shared" si="22"/>
        <v>0.23704127918109652</v>
      </c>
      <c r="H150" s="9">
        <f t="shared" si="23"/>
        <v>0.21831789921856859</v>
      </c>
      <c r="I150" s="11">
        <f t="shared" si="20"/>
        <v>37742</v>
      </c>
      <c r="O150" s="11">
        <v>39203</v>
      </c>
      <c r="P150" s="19" t="str" cm="1">
        <f t="array" ref="P150">IF(OR($O150&lt;P$387,$O150&gt;P$388),"",IFERROR(IF($O150=P$387,100,P149)*INDEX($B$2:$B$428,MATCH($O150,$A$2:$A$428,0))/INDEX($B$2:$B$428,MATCH($O150,$A$2:$A$428,0)-1),""))</f>
        <v/>
      </c>
      <c r="Q150" s="19" t="str" cm="1">
        <f t="array" ref="Q150">IF(OR($O150&lt;Q$387,$O150&gt;Q$388),"",IFERROR(IF($O150=Q$387,100,Q149)*INDEX($B$2:$B$428,MATCH($O150,$A$2:$A$428,0))/INDEX($B$2:$B$428,MATCH($O150,$A$2:$A$428,0)-1),""))</f>
        <v/>
      </c>
      <c r="R150" s="19" t="str" cm="1">
        <f t="array" ref="R150">IF(OR($O150&lt;R$387,$O150&gt;R$388),"",IFERROR(IF($O150=R$387,100,R149)*INDEX($B$2:$B$428,MATCH($O150,$A$2:$A$428,0))/INDEX($B$2:$B$428,MATCH($O150,$A$2:$A$428,0)-1),""))</f>
        <v/>
      </c>
      <c r="S150" s="19" cm="1">
        <f t="array" ref="S150">IF(OR($O150&lt;S$387,$O150&gt;S$388),"",IFERROR(IF($O150=S$387,100,S149)*INDEX($B$2:$B$428,MATCH($O150,$A$2:$A$428,0))/INDEX($B$2:$B$428,MATCH($O150,$A$2:$A$428,0)-1),""))</f>
        <v>104.96885783672595</v>
      </c>
      <c r="T150" s="19" t="str" cm="1">
        <f t="array" ref="T150">IF(OR($O150&lt;T$387,$O150&gt;T$388),"",IFERROR(IF($O150=T$387,100,T149)*INDEX($B$2:$B$428,MATCH($O150,$A$2:$A$428,0))/INDEX($B$2:$B$428,MATCH($O150,$A$2:$A$428,0)-1),""))</f>
        <v/>
      </c>
      <c r="U150" s="19" t="str" cm="1">
        <f t="array" ref="U150">IF(OR($O150&lt;U$387,$O150&gt;U$388),"",IFERROR(IF($O150=U$387,100,U149)*INDEX($B$2:$B$428,MATCH($O150,$A$2:$A$428,0))/INDEX($B$2:$B$428,MATCH($O150,$A$2:$A$428,0)-1),""))</f>
        <v/>
      </c>
      <c r="V150" s="19" t="str" cm="1">
        <f t="array" ref="V150">IF(OR($O150&lt;V$387,$O150&gt;V$388),"",IFERROR(IF($O150=V$387,100,V149)*INDEX($B$2:$B$428,MATCH($O150,$A$2:$A$428,0))/INDEX($B$2:$B$428,MATCH($O150,$A$2:$A$428,0)-1),""))</f>
        <v/>
      </c>
      <c r="W150" s="19" t="str" cm="1">
        <f t="array" ref="W150">IF(OR($O150&lt;W$387,$O150&gt;W$388),"",IFERROR(IF($O150=W$387,100,W149)*INDEX($B$2:$B$428,MATCH($O150,$A$2:$A$428,0))/INDEX($B$2:$B$428,MATCH($O150,$A$2:$A$428,0)-1),""))</f>
        <v/>
      </c>
      <c r="X150" s="19" t="str" cm="1">
        <f t="array" ref="X150">IF(OR($O150&lt;X$387,$O150&gt;X$388),"",IFERROR(IF($O150=X$387,100,X149)*INDEX($B$2:$B$428,MATCH($O150,$A$2:$A$428,0))/INDEX($B$2:$B$428,MATCH($O150,$A$2:$A$428,0)-1),""))</f>
        <v/>
      </c>
      <c r="AA150" s="19"/>
      <c r="AB150" s="19"/>
      <c r="AC150" s="19"/>
      <c r="AD150" s="19"/>
      <c r="AE150" s="19"/>
      <c r="AF150" s="19"/>
      <c r="AG150" s="19"/>
      <c r="AH150" s="19"/>
      <c r="AJ150" s="11">
        <v>37377</v>
      </c>
      <c r="AK150">
        <v>1370746.6</v>
      </c>
      <c r="AL150" s="26">
        <f t="shared" si="24"/>
        <v>0.69777218488085246</v>
      </c>
    </row>
    <row r="151" spans="1:39" x14ac:dyDescent="0.3">
      <c r="A151" s="11">
        <v>37773</v>
      </c>
      <c r="B151" s="18">
        <v>527220.13</v>
      </c>
      <c r="C151" s="18">
        <v>854468.92</v>
      </c>
      <c r="D151" s="18">
        <v>1170449.67</v>
      </c>
      <c r="E151" s="11">
        <f t="shared" si="19"/>
        <v>37773</v>
      </c>
      <c r="F151" s="9">
        <f t="shared" si="21"/>
        <v>9.4223354297052531E-2</v>
      </c>
      <c r="G151" s="9">
        <f t="shared" si="22"/>
        <v>0.17148179191272495</v>
      </c>
      <c r="H151" s="9">
        <f t="shared" si="23"/>
        <v>0.170859763632212</v>
      </c>
      <c r="I151" s="11">
        <f t="shared" si="20"/>
        <v>37773</v>
      </c>
      <c r="O151" s="11">
        <v>39234</v>
      </c>
      <c r="P151" s="19" t="str" cm="1">
        <f t="array" ref="P151">IF(OR($O151&lt;P$387,$O151&gt;P$388),"",IFERROR(IF($O151=P$387,100,P150)*INDEX($B$2:$B$428,MATCH($O151,$A$2:$A$428,0))/INDEX($B$2:$B$428,MATCH($O151,$A$2:$A$428,0)-1),""))</f>
        <v/>
      </c>
      <c r="Q151" s="19" t="str" cm="1">
        <f t="array" ref="Q151">IF(OR($O151&lt;Q$387,$O151&gt;Q$388),"",IFERROR(IF($O151=Q$387,100,Q150)*INDEX($B$2:$B$428,MATCH($O151,$A$2:$A$428,0))/INDEX($B$2:$B$428,MATCH($O151,$A$2:$A$428,0)-1),""))</f>
        <v/>
      </c>
      <c r="R151" s="19" t="str" cm="1">
        <f t="array" ref="R151">IF(OR($O151&lt;R$387,$O151&gt;R$388),"",IFERROR(IF($O151=R$387,100,R150)*INDEX($B$2:$B$428,MATCH($O151,$A$2:$A$428,0))/INDEX($B$2:$B$428,MATCH($O151,$A$2:$A$428,0)-1),""))</f>
        <v/>
      </c>
      <c r="S151" s="19" cm="1">
        <f t="array" ref="S151">IF(OR($O151&lt;S$387,$O151&gt;S$388),"",IFERROR(IF($O151=S$387,100,S150)*INDEX($B$2:$B$428,MATCH($O151,$A$2:$A$428,0))/INDEX($B$2:$B$428,MATCH($O151,$A$2:$A$428,0)-1),""))</f>
        <v>105.31537732786802</v>
      </c>
      <c r="T151" s="19" t="str" cm="1">
        <f t="array" ref="T151">IF(OR($O151&lt;T$387,$O151&gt;T$388),"",IFERROR(IF($O151=T$387,100,T150)*INDEX($B$2:$B$428,MATCH($O151,$A$2:$A$428,0))/INDEX($B$2:$B$428,MATCH($O151,$A$2:$A$428,0)-1),""))</f>
        <v/>
      </c>
      <c r="U151" s="19" t="str" cm="1">
        <f t="array" ref="U151">IF(OR($O151&lt;U$387,$O151&gt;U$388),"",IFERROR(IF($O151=U$387,100,U150)*INDEX($B$2:$B$428,MATCH($O151,$A$2:$A$428,0))/INDEX($B$2:$B$428,MATCH($O151,$A$2:$A$428,0)-1),""))</f>
        <v/>
      </c>
      <c r="V151" s="19" t="str" cm="1">
        <f t="array" ref="V151">IF(OR($O151&lt;V$387,$O151&gt;V$388),"",IFERROR(IF($O151=V$387,100,V150)*INDEX($B$2:$B$428,MATCH($O151,$A$2:$A$428,0))/INDEX($B$2:$B$428,MATCH($O151,$A$2:$A$428,0)-1),""))</f>
        <v/>
      </c>
      <c r="W151" s="19" t="str" cm="1">
        <f t="array" ref="W151">IF(OR($O151&lt;W$387,$O151&gt;W$388),"",IFERROR(IF($O151=W$387,100,W150)*INDEX($B$2:$B$428,MATCH($O151,$A$2:$A$428,0))/INDEX($B$2:$B$428,MATCH($O151,$A$2:$A$428,0)-1),""))</f>
        <v/>
      </c>
      <c r="X151" s="19" t="str" cm="1">
        <f t="array" ref="X151">IF(OR($O151&lt;X$387,$O151&gt;X$388),"",IFERROR(IF($O151=X$387,100,X150)*INDEX($B$2:$B$428,MATCH($O151,$A$2:$A$428,0))/INDEX($B$2:$B$428,MATCH($O151,$A$2:$A$428,0)-1),""))</f>
        <v/>
      </c>
      <c r="AA151" s="19"/>
      <c r="AB151" s="19"/>
      <c r="AC151" s="19"/>
      <c r="AD151" s="19"/>
      <c r="AE151" s="19"/>
      <c r="AF151" s="19"/>
      <c r="AG151" s="19"/>
      <c r="AH151" s="19"/>
      <c r="AJ151" s="11">
        <v>37408</v>
      </c>
      <c r="AK151">
        <v>1389221.6</v>
      </c>
      <c r="AL151" s="26">
        <f t="shared" si="24"/>
        <v>0.71957544426317577</v>
      </c>
    </row>
    <row r="152" spans="1:39" x14ac:dyDescent="0.3">
      <c r="A152" s="11">
        <v>37803</v>
      </c>
      <c r="B152" s="18">
        <v>546644.87</v>
      </c>
      <c r="C152" s="18">
        <v>877839.79</v>
      </c>
      <c r="D152" s="18">
        <v>1201674.18</v>
      </c>
      <c r="E152" s="11">
        <f t="shared" si="19"/>
        <v>37803</v>
      </c>
      <c r="F152" s="9">
        <f t="shared" si="21"/>
        <v>2.0489908452058003E-2</v>
      </c>
      <c r="G152" s="9">
        <f t="shared" si="22"/>
        <v>9.0223559718877633E-2</v>
      </c>
      <c r="H152" s="9">
        <f t="shared" si="23"/>
        <v>9.5210228420629761E-2</v>
      </c>
      <c r="I152" s="11">
        <f t="shared" si="20"/>
        <v>37803</v>
      </c>
      <c r="O152" s="11">
        <v>39264</v>
      </c>
      <c r="P152" s="19" t="str" cm="1">
        <f t="array" ref="P152">IF(OR($O152&lt;P$387,$O152&gt;P$388),"",IFERROR(IF($O152=P$387,100,P151)*INDEX($B$2:$B$428,MATCH($O152,$A$2:$A$428,0))/INDEX($B$2:$B$428,MATCH($O152,$A$2:$A$428,0)-1),""))</f>
        <v/>
      </c>
      <c r="Q152" s="19" t="str" cm="1">
        <f t="array" ref="Q152">IF(OR($O152&lt;Q$387,$O152&gt;Q$388),"",IFERROR(IF($O152=Q$387,100,Q151)*INDEX($B$2:$B$428,MATCH($O152,$A$2:$A$428,0))/INDEX($B$2:$B$428,MATCH($O152,$A$2:$A$428,0)-1),""))</f>
        <v/>
      </c>
      <c r="R152" s="19" t="str" cm="1">
        <f t="array" ref="R152">IF(OR($O152&lt;R$387,$O152&gt;R$388),"",IFERROR(IF($O152=R$387,100,R151)*INDEX($B$2:$B$428,MATCH($O152,$A$2:$A$428,0))/INDEX($B$2:$B$428,MATCH($O152,$A$2:$A$428,0)-1),""))</f>
        <v/>
      </c>
      <c r="S152" s="19" cm="1">
        <f t="array" ref="S152">IF(OR($O152&lt;S$387,$O152&gt;S$388),"",IFERROR(IF($O152=S$387,100,S151)*INDEX($B$2:$B$428,MATCH($O152,$A$2:$A$428,0))/INDEX($B$2:$B$428,MATCH($O152,$A$2:$A$428,0)-1),""))</f>
        <v>106.76250857773992</v>
      </c>
      <c r="T152" s="19" t="str" cm="1">
        <f t="array" ref="T152">IF(OR($O152&lt;T$387,$O152&gt;T$388),"",IFERROR(IF($O152=T$387,100,T151)*INDEX($B$2:$B$428,MATCH($O152,$A$2:$A$428,0))/INDEX($B$2:$B$428,MATCH($O152,$A$2:$A$428,0)-1),""))</f>
        <v/>
      </c>
      <c r="U152" s="19" t="str" cm="1">
        <f t="array" ref="U152">IF(OR($O152&lt;U$387,$O152&gt;U$388),"",IFERROR(IF($O152=U$387,100,U151)*INDEX($B$2:$B$428,MATCH($O152,$A$2:$A$428,0))/INDEX($B$2:$B$428,MATCH($O152,$A$2:$A$428,0)-1),""))</f>
        <v/>
      </c>
      <c r="V152" s="19" t="str" cm="1">
        <f t="array" ref="V152">IF(OR($O152&lt;V$387,$O152&gt;V$388),"",IFERROR(IF($O152=V$387,100,V151)*INDEX($B$2:$B$428,MATCH($O152,$A$2:$A$428,0))/INDEX($B$2:$B$428,MATCH($O152,$A$2:$A$428,0)-1),""))</f>
        <v/>
      </c>
      <c r="W152" s="19" t="str" cm="1">
        <f t="array" ref="W152">IF(OR($O152&lt;W$387,$O152&gt;W$388),"",IFERROR(IF($O152=W$387,100,W151)*INDEX($B$2:$B$428,MATCH($O152,$A$2:$A$428,0))/INDEX($B$2:$B$428,MATCH($O152,$A$2:$A$428,0)-1),""))</f>
        <v/>
      </c>
      <c r="X152" s="19" t="str" cm="1">
        <f t="array" ref="X152">IF(OR($O152&lt;X$387,$O152&gt;X$388),"",IFERROR(IF($O152=X$387,100,X151)*INDEX($B$2:$B$428,MATCH($O152,$A$2:$A$428,0))/INDEX($B$2:$B$428,MATCH($O152,$A$2:$A$428,0)-1),""))</f>
        <v/>
      </c>
      <c r="AA152" s="19"/>
      <c r="AB152" s="19"/>
      <c r="AC152" s="19"/>
      <c r="AD152" s="19"/>
      <c r="AE152" s="19"/>
      <c r="AF152" s="19"/>
      <c r="AG152" s="19"/>
      <c r="AH152" s="19"/>
      <c r="AJ152" s="11">
        <v>37438</v>
      </c>
      <c r="AK152">
        <v>1405319.2</v>
      </c>
      <c r="AL152" s="26">
        <f t="shared" si="24"/>
        <v>0.78075407352294057</v>
      </c>
    </row>
    <row r="153" spans="1:39" x14ac:dyDescent="0.3">
      <c r="A153" s="11">
        <v>37834</v>
      </c>
      <c r="B153" s="18">
        <v>560887.02</v>
      </c>
      <c r="C153" s="18">
        <v>889745.05</v>
      </c>
      <c r="D153" s="18">
        <v>1210777.04</v>
      </c>
      <c r="E153" s="11">
        <f t="shared" si="19"/>
        <v>37834</v>
      </c>
      <c r="F153" s="9">
        <f t="shared" si="21"/>
        <v>0.11118070982099248</v>
      </c>
      <c r="G153" s="9">
        <f t="shared" si="22"/>
        <v>0.17438341063166418</v>
      </c>
      <c r="H153" s="9">
        <f t="shared" si="23"/>
        <v>0.15158669313869888</v>
      </c>
      <c r="I153" s="11">
        <f t="shared" si="20"/>
        <v>37834</v>
      </c>
      <c r="O153" s="11">
        <v>39295</v>
      </c>
      <c r="P153" s="19" t="str" cm="1">
        <f t="array" ref="P153">IF(OR($O153&lt;P$387,$O153&gt;P$388),"",IFERROR(IF($O153=P$387,100,P152)*INDEX($B$2:$B$428,MATCH($O153,$A$2:$A$428,0))/INDEX($B$2:$B$428,MATCH($O153,$A$2:$A$428,0)-1),""))</f>
        <v/>
      </c>
      <c r="Q153" s="19" t="str" cm="1">
        <f t="array" ref="Q153">IF(OR($O153&lt;Q$387,$O153&gt;Q$388),"",IFERROR(IF($O153=Q$387,100,Q152)*INDEX($B$2:$B$428,MATCH($O153,$A$2:$A$428,0))/INDEX($B$2:$B$428,MATCH($O153,$A$2:$A$428,0)-1),""))</f>
        <v/>
      </c>
      <c r="R153" s="19" t="str" cm="1">
        <f t="array" ref="R153">IF(OR($O153&lt;R$387,$O153&gt;R$388),"",IFERROR(IF($O153=R$387,100,R152)*INDEX($B$2:$B$428,MATCH($O153,$A$2:$A$428,0))/INDEX($B$2:$B$428,MATCH($O153,$A$2:$A$428,0)-1),""))</f>
        <v/>
      </c>
      <c r="S153" s="19" cm="1">
        <f t="array" ref="S153">IF(OR($O153&lt;S$387,$O153&gt;S$388),"",IFERROR(IF($O153=S$387,100,S152)*INDEX($B$2:$B$428,MATCH($O153,$A$2:$A$428,0))/INDEX($B$2:$B$428,MATCH($O153,$A$2:$A$428,0)-1),""))</f>
        <v>105.93317302525246</v>
      </c>
      <c r="T153" s="19" t="str" cm="1">
        <f t="array" ref="T153">IF(OR($O153&lt;T$387,$O153&gt;T$388),"",IFERROR(IF($O153=T$387,100,T152)*INDEX($B$2:$B$428,MATCH($O153,$A$2:$A$428,0))/INDEX($B$2:$B$428,MATCH($O153,$A$2:$A$428,0)-1),""))</f>
        <v/>
      </c>
      <c r="U153" s="19" t="str" cm="1">
        <f t="array" ref="U153">IF(OR($O153&lt;U$387,$O153&gt;U$388),"",IFERROR(IF($O153=U$387,100,U152)*INDEX($B$2:$B$428,MATCH($O153,$A$2:$A$428,0))/INDEX($B$2:$B$428,MATCH($O153,$A$2:$A$428,0)-1),""))</f>
        <v/>
      </c>
      <c r="V153" s="19" t="str" cm="1">
        <f t="array" ref="V153">IF(OR($O153&lt;V$387,$O153&gt;V$388),"",IFERROR(IF($O153=V$387,100,V152)*INDEX($B$2:$B$428,MATCH($O153,$A$2:$A$428,0))/INDEX($B$2:$B$428,MATCH($O153,$A$2:$A$428,0)-1),""))</f>
        <v/>
      </c>
      <c r="W153" s="19" t="str" cm="1">
        <f t="array" ref="W153">IF(OR($O153&lt;W$387,$O153&gt;W$388),"",IFERROR(IF($O153=W$387,100,W152)*INDEX($B$2:$B$428,MATCH($O153,$A$2:$A$428,0))/INDEX($B$2:$B$428,MATCH($O153,$A$2:$A$428,0)-1),""))</f>
        <v/>
      </c>
      <c r="X153" s="19" t="str" cm="1">
        <f t="array" ref="X153">IF(OR($O153&lt;X$387,$O153&gt;X$388),"",IFERROR(IF($O153=X$387,100,X152)*INDEX($B$2:$B$428,MATCH($O153,$A$2:$A$428,0))/INDEX($B$2:$B$428,MATCH($O153,$A$2:$A$428,0)-1),""))</f>
        <v/>
      </c>
      <c r="AA153" s="19"/>
      <c r="AB153" s="19"/>
      <c r="AC153" s="19"/>
      <c r="AD153" s="19"/>
      <c r="AE153" s="19"/>
      <c r="AF153" s="19"/>
      <c r="AG153" s="19"/>
      <c r="AH153" s="19"/>
      <c r="AJ153" s="11">
        <v>37469</v>
      </c>
      <c r="AK153">
        <v>1420054.7</v>
      </c>
      <c r="AL153" s="26">
        <f t="shared" si="24"/>
        <v>0.74039327499144925</v>
      </c>
    </row>
    <row r="154" spans="1:39" x14ac:dyDescent="0.3">
      <c r="A154" s="11">
        <v>37865</v>
      </c>
      <c r="B154" s="18">
        <v>561166.35</v>
      </c>
      <c r="C154" s="18">
        <v>866853.69</v>
      </c>
      <c r="D154" s="18">
        <v>1230406.6399999999</v>
      </c>
      <c r="E154" s="11">
        <f t="shared" si="19"/>
        <v>37865</v>
      </c>
      <c r="F154" s="9">
        <f t="shared" si="21"/>
        <v>-4.5086643844253094E-2</v>
      </c>
      <c r="G154" s="9">
        <f t="shared" si="22"/>
        <v>9.0976015626773599E-3</v>
      </c>
      <c r="H154" s="9">
        <f t="shared" si="23"/>
        <v>5.7136238539511552E-2</v>
      </c>
      <c r="I154" s="11">
        <f t="shared" si="20"/>
        <v>37865</v>
      </c>
      <c r="O154" s="11">
        <v>39326</v>
      </c>
      <c r="P154" s="19" t="str" cm="1">
        <f t="array" ref="P154">IF(OR($O154&lt;P$387,$O154&gt;P$388),"",IFERROR(IF($O154=P$387,100,P153)*INDEX($B$2:$B$428,MATCH($O154,$A$2:$A$428,0))/INDEX($B$2:$B$428,MATCH($O154,$A$2:$A$428,0)-1),""))</f>
        <v/>
      </c>
      <c r="Q154" s="19" t="str" cm="1">
        <f t="array" ref="Q154">IF(OR($O154&lt;Q$387,$O154&gt;Q$388),"",IFERROR(IF($O154=Q$387,100,Q153)*INDEX($B$2:$B$428,MATCH($O154,$A$2:$A$428,0))/INDEX($B$2:$B$428,MATCH($O154,$A$2:$A$428,0)-1),""))</f>
        <v/>
      </c>
      <c r="R154" s="19" t="str" cm="1">
        <f t="array" ref="R154">IF(OR($O154&lt;R$387,$O154&gt;R$388),"",IFERROR(IF($O154=R$387,100,R153)*INDEX($B$2:$B$428,MATCH($O154,$A$2:$A$428,0))/INDEX($B$2:$B$428,MATCH($O154,$A$2:$A$428,0)-1),""))</f>
        <v/>
      </c>
      <c r="S154" s="19" cm="1">
        <f t="array" ref="S154">IF(OR($O154&lt;S$387,$O154&gt;S$388),"",IFERROR(IF($O154=S$387,100,S153)*INDEX($B$2:$B$428,MATCH($O154,$A$2:$A$428,0))/INDEX($B$2:$B$428,MATCH($O154,$A$2:$A$428,0)-1),""))</f>
        <v>108.5577657338025</v>
      </c>
      <c r="T154" s="19" t="str" cm="1">
        <f t="array" ref="T154">IF(OR($O154&lt;T$387,$O154&gt;T$388),"",IFERROR(IF($O154=T$387,100,T153)*INDEX($B$2:$B$428,MATCH($O154,$A$2:$A$428,0))/INDEX($B$2:$B$428,MATCH($O154,$A$2:$A$428,0)-1),""))</f>
        <v/>
      </c>
      <c r="U154" s="19" t="str" cm="1">
        <f t="array" ref="U154">IF(OR($O154&lt;U$387,$O154&gt;U$388),"",IFERROR(IF($O154=U$387,100,U153)*INDEX($B$2:$B$428,MATCH($O154,$A$2:$A$428,0))/INDEX($B$2:$B$428,MATCH($O154,$A$2:$A$428,0)-1),""))</f>
        <v/>
      </c>
      <c r="V154" s="19" t="str" cm="1">
        <f t="array" ref="V154">IF(OR($O154&lt;V$387,$O154&gt;V$388),"",IFERROR(IF($O154=V$387,100,V153)*INDEX($B$2:$B$428,MATCH($O154,$A$2:$A$428,0))/INDEX($B$2:$B$428,MATCH($O154,$A$2:$A$428,0)-1),""))</f>
        <v/>
      </c>
      <c r="W154" s="19" t="str" cm="1">
        <f t="array" ref="W154">IF(OR($O154&lt;W$387,$O154&gt;W$388),"",IFERROR(IF($O154=W$387,100,W153)*INDEX($B$2:$B$428,MATCH($O154,$A$2:$A$428,0))/INDEX($B$2:$B$428,MATCH($O154,$A$2:$A$428,0)-1),""))</f>
        <v/>
      </c>
      <c r="X154" s="19" t="str" cm="1">
        <f t="array" ref="X154">IF(OR($O154&lt;X$387,$O154&gt;X$388),"",IFERROR(IF($O154=X$387,100,X153)*INDEX($B$2:$B$428,MATCH($O154,$A$2:$A$428,0))/INDEX($B$2:$B$428,MATCH($O154,$A$2:$A$428,0)-1),""))</f>
        <v/>
      </c>
      <c r="AA154" s="19"/>
      <c r="AB154" s="19"/>
      <c r="AC154" s="19"/>
      <c r="AD154" s="19"/>
      <c r="AE154" s="19"/>
      <c r="AF154" s="19"/>
      <c r="AG154" s="19"/>
      <c r="AH154" s="19"/>
      <c r="AJ154" s="11">
        <v>37500</v>
      </c>
      <c r="AK154">
        <v>1436491.7</v>
      </c>
      <c r="AL154" s="26">
        <f t="shared" si="24"/>
        <v>0.81024168813505848</v>
      </c>
    </row>
    <row r="155" spans="1:39" x14ac:dyDescent="0.3">
      <c r="A155" s="11">
        <v>37895</v>
      </c>
      <c r="B155" s="18">
        <v>557506.39</v>
      </c>
      <c r="C155" s="18">
        <v>863060.33</v>
      </c>
      <c r="D155" s="18">
        <v>1231619.18</v>
      </c>
      <c r="E155" s="11">
        <f t="shared" si="19"/>
        <v>37895</v>
      </c>
      <c r="F155" s="9">
        <f t="shared" si="21"/>
        <v>-1.9538690415213389E-2</v>
      </c>
      <c r="G155" s="9">
        <f t="shared" si="22"/>
        <v>3.0391179589355888E-2</v>
      </c>
      <c r="H155" s="9">
        <f t="shared" si="23"/>
        <v>9.4191224173999943E-2</v>
      </c>
      <c r="I155" s="11">
        <f t="shared" si="20"/>
        <v>37895</v>
      </c>
      <c r="O155" s="11">
        <v>39356</v>
      </c>
      <c r="P155" s="19" t="str" cm="1">
        <f t="array" ref="P155">IF(OR($O155&lt;P$387,$O155&gt;P$388),"",IFERROR(IF($O155=P$387,100,P154)*INDEX($B$2:$B$428,MATCH($O155,$A$2:$A$428,0))/INDEX($B$2:$B$428,MATCH($O155,$A$2:$A$428,0)-1),""))</f>
        <v/>
      </c>
      <c r="Q155" s="19" t="str" cm="1">
        <f t="array" ref="Q155">IF(OR($O155&lt;Q$387,$O155&gt;Q$388),"",IFERROR(IF($O155=Q$387,100,Q154)*INDEX($B$2:$B$428,MATCH($O155,$A$2:$A$428,0))/INDEX($B$2:$B$428,MATCH($O155,$A$2:$A$428,0)-1),""))</f>
        <v/>
      </c>
      <c r="R155" s="19" t="str" cm="1">
        <f t="array" ref="R155">IF(OR($O155&lt;R$387,$O155&gt;R$388),"",IFERROR(IF($O155=R$387,100,R154)*INDEX($B$2:$B$428,MATCH($O155,$A$2:$A$428,0))/INDEX($B$2:$B$428,MATCH($O155,$A$2:$A$428,0)-1),""))</f>
        <v/>
      </c>
      <c r="S155" s="19" cm="1">
        <f t="array" ref="S155">IF(OR($O155&lt;S$387,$O155&gt;S$388),"",IFERROR(IF($O155=S$387,100,S154)*INDEX($B$2:$B$428,MATCH($O155,$A$2:$A$428,0))/INDEX($B$2:$B$428,MATCH($O155,$A$2:$A$428,0)-1),""))</f>
        <v>109.95853927021568</v>
      </c>
      <c r="T155" s="19" t="str" cm="1">
        <f t="array" ref="T155">IF(OR($O155&lt;T$387,$O155&gt;T$388),"",IFERROR(IF($O155=T$387,100,T154)*INDEX($B$2:$B$428,MATCH($O155,$A$2:$A$428,0))/INDEX($B$2:$B$428,MATCH($O155,$A$2:$A$428,0)-1),""))</f>
        <v/>
      </c>
      <c r="U155" s="19" t="str" cm="1">
        <f t="array" ref="U155">IF(OR($O155&lt;U$387,$O155&gt;U$388),"",IFERROR(IF($O155=U$387,100,U154)*INDEX($B$2:$B$428,MATCH($O155,$A$2:$A$428,0))/INDEX($B$2:$B$428,MATCH($O155,$A$2:$A$428,0)-1),""))</f>
        <v/>
      </c>
      <c r="V155" s="19" t="str" cm="1">
        <f t="array" ref="V155">IF(OR($O155&lt;V$387,$O155&gt;V$388),"",IFERROR(IF($O155=V$387,100,V154)*INDEX($B$2:$B$428,MATCH($O155,$A$2:$A$428,0))/INDEX($B$2:$B$428,MATCH($O155,$A$2:$A$428,0)-1),""))</f>
        <v/>
      </c>
      <c r="W155" s="19" t="str" cm="1">
        <f t="array" ref="W155">IF(OR($O155&lt;W$387,$O155&gt;W$388),"",IFERROR(IF($O155=W$387,100,W154)*INDEX($B$2:$B$428,MATCH($O155,$A$2:$A$428,0))/INDEX($B$2:$B$428,MATCH($O155,$A$2:$A$428,0)-1),""))</f>
        <v/>
      </c>
      <c r="X155" s="19" t="str" cm="1">
        <f t="array" ref="X155">IF(OR($O155&lt;X$387,$O155&gt;X$388),"",IFERROR(IF($O155=X$387,100,X154)*INDEX($B$2:$B$428,MATCH($O155,$A$2:$A$428,0))/INDEX($B$2:$B$428,MATCH($O155,$A$2:$A$428,0)-1),""))</f>
        <v/>
      </c>
      <c r="AA155" s="19"/>
      <c r="AB155" s="19"/>
      <c r="AC155" s="19"/>
      <c r="AD155" s="19"/>
      <c r="AE155" s="19"/>
      <c r="AF155" s="19"/>
      <c r="AG155" s="19"/>
      <c r="AH155" s="19"/>
      <c r="AJ155" s="11">
        <v>37530</v>
      </c>
      <c r="AK155">
        <v>1453478.1</v>
      </c>
      <c r="AL155" s="26">
        <f t="shared" si="24"/>
        <v>0.77441672495787861</v>
      </c>
    </row>
    <row r="156" spans="1:39" x14ac:dyDescent="0.3">
      <c r="A156" s="11">
        <v>37926</v>
      </c>
      <c r="B156" s="18">
        <v>570562.82999999996</v>
      </c>
      <c r="C156" s="18">
        <v>880388.88</v>
      </c>
      <c r="D156" s="18">
        <v>1247151.6000000001</v>
      </c>
      <c r="E156" s="11">
        <f t="shared" si="19"/>
        <v>37926</v>
      </c>
      <c r="F156" s="9">
        <f t="shared" si="21"/>
        <v>9.3781871299611907E-3</v>
      </c>
      <c r="G156" s="9">
        <f t="shared" si="22"/>
        <v>3.3801326920255281E-2</v>
      </c>
      <c r="H156" s="9">
        <f t="shared" si="23"/>
        <v>9.5759486078697442E-2</v>
      </c>
      <c r="I156" s="11">
        <f t="shared" si="20"/>
        <v>37926</v>
      </c>
      <c r="O156" s="11">
        <v>39387</v>
      </c>
      <c r="P156" s="19" t="str" cm="1">
        <f t="array" ref="P156">IF(OR($O156&lt;P$387,$O156&gt;P$388),"",IFERROR(IF($O156=P$387,100,P155)*INDEX($B$2:$B$428,MATCH($O156,$A$2:$A$428,0))/INDEX($B$2:$B$428,MATCH($O156,$A$2:$A$428,0)-1),""))</f>
        <v/>
      </c>
      <c r="Q156" s="19" t="str" cm="1">
        <f t="array" ref="Q156">IF(OR($O156&lt;Q$387,$O156&gt;Q$388),"",IFERROR(IF($O156=Q$387,100,Q155)*INDEX($B$2:$B$428,MATCH($O156,$A$2:$A$428,0))/INDEX($B$2:$B$428,MATCH($O156,$A$2:$A$428,0)-1),""))</f>
        <v/>
      </c>
      <c r="R156" s="19" t="str" cm="1">
        <f t="array" ref="R156">IF(OR($O156&lt;R$387,$O156&gt;R$388),"",IFERROR(IF($O156=R$387,100,R155)*INDEX($B$2:$B$428,MATCH($O156,$A$2:$A$428,0))/INDEX($B$2:$B$428,MATCH($O156,$A$2:$A$428,0)-1),""))</f>
        <v/>
      </c>
      <c r="S156" s="19" cm="1">
        <f t="array" ref="S156">IF(OR($O156&lt;S$387,$O156&gt;S$388),"",IFERROR(IF($O156=S$387,100,S155)*INDEX($B$2:$B$428,MATCH($O156,$A$2:$A$428,0))/INDEX($B$2:$B$428,MATCH($O156,$A$2:$A$428,0)-1),""))</f>
        <v>109.03383403650457</v>
      </c>
      <c r="T156" s="19" t="str" cm="1">
        <f t="array" ref="T156">IF(OR($O156&lt;T$387,$O156&gt;T$388),"",IFERROR(IF($O156=T$387,100,T155)*INDEX($B$2:$B$428,MATCH($O156,$A$2:$A$428,0))/INDEX($B$2:$B$428,MATCH($O156,$A$2:$A$428,0)-1),""))</f>
        <v/>
      </c>
      <c r="U156" s="19" t="str" cm="1">
        <f t="array" ref="U156">IF(OR($O156&lt;U$387,$O156&gt;U$388),"",IFERROR(IF($O156=U$387,100,U155)*INDEX($B$2:$B$428,MATCH($O156,$A$2:$A$428,0))/INDEX($B$2:$B$428,MATCH($O156,$A$2:$A$428,0)-1),""))</f>
        <v/>
      </c>
      <c r="V156" s="19" t="str" cm="1">
        <f t="array" ref="V156">IF(OR($O156&lt;V$387,$O156&gt;V$388),"",IFERROR(IF($O156=V$387,100,V155)*INDEX($B$2:$B$428,MATCH($O156,$A$2:$A$428,0))/INDEX($B$2:$B$428,MATCH($O156,$A$2:$A$428,0)-1),""))</f>
        <v/>
      </c>
      <c r="W156" s="19" t="str" cm="1">
        <f t="array" ref="W156">IF(OR($O156&lt;W$387,$O156&gt;W$388),"",IFERROR(IF($O156=W$387,100,W155)*INDEX($B$2:$B$428,MATCH($O156,$A$2:$A$428,0))/INDEX($B$2:$B$428,MATCH($O156,$A$2:$A$428,0)-1),""))</f>
        <v/>
      </c>
      <c r="X156" s="19" t="str" cm="1">
        <f t="array" ref="X156">IF(OR($O156&lt;X$387,$O156&gt;X$388),"",IFERROR(IF($O156=X$387,100,X155)*INDEX($B$2:$B$428,MATCH($O156,$A$2:$A$428,0))/INDEX($B$2:$B$428,MATCH($O156,$A$2:$A$428,0)-1),""))</f>
        <v/>
      </c>
      <c r="AA156" s="19"/>
      <c r="AB156" s="19"/>
      <c r="AC156" s="19"/>
      <c r="AD156" s="19"/>
      <c r="AE156" s="19"/>
      <c r="AF156" s="19"/>
      <c r="AG156" s="19"/>
      <c r="AH156" s="19"/>
      <c r="AJ156" s="11">
        <v>37561</v>
      </c>
      <c r="AK156">
        <v>1471562.8</v>
      </c>
      <c r="AL156" s="26">
        <f t="shared" si="24"/>
        <v>0.77343747069442093</v>
      </c>
    </row>
    <row r="157" spans="1:39" x14ac:dyDescent="0.3">
      <c r="A157" s="11">
        <v>37956</v>
      </c>
      <c r="B157" s="18">
        <v>578748</v>
      </c>
      <c r="C157" s="18">
        <v>901262.95</v>
      </c>
      <c r="D157" s="18">
        <v>1228569.29</v>
      </c>
      <c r="E157" s="11">
        <f t="shared" si="19"/>
        <v>37956</v>
      </c>
      <c r="F157" s="9">
        <f t="shared" si="21"/>
        <v>3.1951246728012306E-2</v>
      </c>
      <c r="G157" s="9">
        <f t="shared" si="22"/>
        <v>4.8331121546387523E-2</v>
      </c>
      <c r="H157" s="9">
        <f t="shared" si="23"/>
        <v>8.4452072852285509E-2</v>
      </c>
      <c r="I157" s="11">
        <f t="shared" si="20"/>
        <v>37956</v>
      </c>
      <c r="O157" s="11">
        <v>39417</v>
      </c>
      <c r="P157" s="19" t="str" cm="1">
        <f t="array" ref="P157">IF(OR($O157&lt;P$387,$O157&gt;P$388),"",IFERROR(IF($O157=P$387,100,P156)*INDEX($B$2:$B$428,MATCH($O157,$A$2:$A$428,0))/INDEX($B$2:$B$428,MATCH($O157,$A$2:$A$428,0)-1),""))</f>
        <v/>
      </c>
      <c r="Q157" s="19" t="str" cm="1">
        <f t="array" ref="Q157">IF(OR($O157&lt;Q$387,$O157&gt;Q$388),"",IFERROR(IF($O157=Q$387,100,Q156)*INDEX($B$2:$B$428,MATCH($O157,$A$2:$A$428,0))/INDEX($B$2:$B$428,MATCH($O157,$A$2:$A$428,0)-1),""))</f>
        <v/>
      </c>
      <c r="R157" s="19" t="str" cm="1">
        <f t="array" ref="R157">IF(OR($O157&lt;R$387,$O157&gt;R$388),"",IFERROR(IF($O157=R$387,100,R156)*INDEX($B$2:$B$428,MATCH($O157,$A$2:$A$428,0))/INDEX($B$2:$B$428,MATCH($O157,$A$2:$A$428,0)-1),""))</f>
        <v/>
      </c>
      <c r="S157" s="19" cm="1">
        <f t="array" ref="S157">IF(OR($O157&lt;S$387,$O157&gt;S$388),"",IFERROR(IF($O157=S$387,100,S156)*INDEX($B$2:$B$428,MATCH($O157,$A$2:$A$428,0))/INDEX($B$2:$B$428,MATCH($O157,$A$2:$A$428,0)-1),""))</f>
        <v>110.9922456089555</v>
      </c>
      <c r="T157" s="19" t="str" cm="1">
        <f t="array" ref="T157">IF(OR($O157&lt;T$387,$O157&gt;T$388),"",IFERROR(IF($O157=T$387,100,T156)*INDEX($B$2:$B$428,MATCH($O157,$A$2:$A$428,0))/INDEX($B$2:$B$428,MATCH($O157,$A$2:$A$428,0)-1),""))</f>
        <v/>
      </c>
      <c r="U157" s="19" t="str" cm="1">
        <f t="array" ref="U157">IF(OR($O157&lt;U$387,$O157&gt;U$388),"",IFERROR(IF($O157=U$387,100,U156)*INDEX($B$2:$B$428,MATCH($O157,$A$2:$A$428,0))/INDEX($B$2:$B$428,MATCH($O157,$A$2:$A$428,0)-1),""))</f>
        <v/>
      </c>
      <c r="V157" s="19" t="str" cm="1">
        <f t="array" ref="V157">IF(OR($O157&lt;V$387,$O157&gt;V$388),"",IFERROR(IF($O157=V$387,100,V156)*INDEX($B$2:$B$428,MATCH($O157,$A$2:$A$428,0))/INDEX($B$2:$B$428,MATCH($O157,$A$2:$A$428,0)-1),""))</f>
        <v/>
      </c>
      <c r="W157" s="19" t="str" cm="1">
        <f t="array" ref="W157">IF(OR($O157&lt;W$387,$O157&gt;W$388),"",IFERROR(IF($O157=W$387,100,W156)*INDEX($B$2:$B$428,MATCH($O157,$A$2:$A$428,0))/INDEX($B$2:$B$428,MATCH($O157,$A$2:$A$428,0)-1),""))</f>
        <v/>
      </c>
      <c r="X157" s="19" t="str" cm="1">
        <f t="array" ref="X157">IF(OR($O157&lt;X$387,$O157&gt;X$388),"",IFERROR(IF($O157=X$387,100,X156)*INDEX($B$2:$B$428,MATCH($O157,$A$2:$A$428,0))/INDEX($B$2:$B$428,MATCH($O157,$A$2:$A$428,0)-1),""))</f>
        <v/>
      </c>
      <c r="AA157" s="19"/>
      <c r="AB157" s="19"/>
      <c r="AC157" s="19"/>
      <c r="AD157" s="19"/>
      <c r="AE157" s="19"/>
      <c r="AF157" s="19"/>
      <c r="AG157" s="19"/>
      <c r="AH157" s="19"/>
      <c r="AJ157" s="11">
        <v>37591</v>
      </c>
      <c r="AK157">
        <v>1488787.3</v>
      </c>
      <c r="AL157" s="26">
        <f t="shared" si="24"/>
        <v>0.76095090279182254</v>
      </c>
      <c r="AM157" s="28">
        <f>AL157-AL111</f>
        <v>0.17109078642595466</v>
      </c>
    </row>
    <row r="158" spans="1:39" x14ac:dyDescent="0.3">
      <c r="A158" s="11">
        <v>37987</v>
      </c>
      <c r="B158" s="18">
        <v>583404.26</v>
      </c>
      <c r="C158" s="18">
        <v>917346.23</v>
      </c>
      <c r="D158" s="18">
        <v>1242322.77</v>
      </c>
      <c r="E158" s="11">
        <f t="shared" si="19"/>
        <v>37987</v>
      </c>
      <c r="F158" s="9">
        <f t="shared" si="21"/>
        <v>3.3648906367046427E-2</v>
      </c>
      <c r="G158" s="9">
        <f t="shared" si="22"/>
        <v>4.4901707303621308E-2</v>
      </c>
      <c r="H158" s="9">
        <f t="shared" si="23"/>
        <v>6.805827503883588E-2</v>
      </c>
      <c r="I158" s="11">
        <f t="shared" si="20"/>
        <v>37987</v>
      </c>
      <c r="O158" s="11">
        <v>39448</v>
      </c>
      <c r="P158" s="19" t="str" cm="1">
        <f t="array" ref="P158">IF(OR($O158&lt;P$387,$O158&gt;P$388),"",IFERROR(IF($O158=P$387,100,P157)*INDEX($B$2:$B$428,MATCH($O158,$A$2:$A$428,0))/INDEX($B$2:$B$428,MATCH($O158,$A$2:$A$428,0)-1),""))</f>
        <v/>
      </c>
      <c r="Q158" s="19" t="str" cm="1">
        <f t="array" ref="Q158">IF(OR($O158&lt;Q$387,$O158&gt;Q$388),"",IFERROR(IF($O158=Q$387,100,Q157)*INDEX($B$2:$B$428,MATCH($O158,$A$2:$A$428,0))/INDEX($B$2:$B$428,MATCH($O158,$A$2:$A$428,0)-1),""))</f>
        <v/>
      </c>
      <c r="R158" s="19" t="str" cm="1">
        <f t="array" ref="R158">IF(OR($O158&lt;R$387,$O158&gt;R$388),"",IFERROR(IF($O158=R$387,100,R157)*INDEX($B$2:$B$428,MATCH($O158,$A$2:$A$428,0))/INDEX($B$2:$B$428,MATCH($O158,$A$2:$A$428,0)-1),""))</f>
        <v/>
      </c>
      <c r="S158" s="19" cm="1">
        <f t="array" ref="S158">IF(OR($O158&lt;S$387,$O158&gt;S$388),"",IFERROR(IF($O158=S$387,100,S157)*INDEX($B$2:$B$428,MATCH($O158,$A$2:$A$428,0))/INDEX($B$2:$B$428,MATCH($O158,$A$2:$A$428,0)-1),""))</f>
        <v>109.01776037256215</v>
      </c>
      <c r="T158" s="19" t="str" cm="1">
        <f t="array" ref="T158">IF(OR($O158&lt;T$387,$O158&gt;T$388),"",IFERROR(IF($O158=T$387,100,T157)*INDEX($B$2:$B$428,MATCH($O158,$A$2:$A$428,0))/INDEX($B$2:$B$428,MATCH($O158,$A$2:$A$428,0)-1),""))</f>
        <v/>
      </c>
      <c r="U158" s="19" t="str" cm="1">
        <f t="array" ref="U158">IF(OR($O158&lt;U$387,$O158&gt;U$388),"",IFERROR(IF($O158=U$387,100,U157)*INDEX($B$2:$B$428,MATCH($O158,$A$2:$A$428,0))/INDEX($B$2:$B$428,MATCH($O158,$A$2:$A$428,0)-1),""))</f>
        <v/>
      </c>
      <c r="V158" s="19" t="str" cm="1">
        <f t="array" ref="V158">IF(OR($O158&lt;V$387,$O158&gt;V$388),"",IFERROR(IF($O158=V$387,100,V157)*INDEX($B$2:$B$428,MATCH($O158,$A$2:$A$428,0))/INDEX($B$2:$B$428,MATCH($O158,$A$2:$A$428,0)-1),""))</f>
        <v/>
      </c>
      <c r="W158" s="19" t="str" cm="1">
        <f t="array" ref="W158">IF(OR($O158&lt;W$387,$O158&gt;W$388),"",IFERROR(IF($O158=W$387,100,W157)*INDEX($B$2:$B$428,MATCH($O158,$A$2:$A$428,0))/INDEX($B$2:$B$428,MATCH($O158,$A$2:$A$428,0)-1),""))</f>
        <v/>
      </c>
      <c r="X158" s="19" t="str" cm="1">
        <f t="array" ref="X158">IF(OR($O158&lt;X$387,$O158&gt;X$388),"",IFERROR(IF($O158=X$387,100,X157)*INDEX($B$2:$B$428,MATCH($O158,$A$2:$A$428,0))/INDEX($B$2:$B$428,MATCH($O158,$A$2:$A$428,0)-1),""))</f>
        <v/>
      </c>
      <c r="AA158" s="19"/>
      <c r="AB158" s="19"/>
      <c r="AC158" s="19"/>
      <c r="AD158" s="19"/>
      <c r="AE158" s="19"/>
      <c r="AF158" s="19"/>
      <c r="AG158" s="19"/>
      <c r="AH158" s="19"/>
      <c r="AJ158" s="11">
        <v>37622</v>
      </c>
      <c r="AK158">
        <v>1502126.1</v>
      </c>
      <c r="AL158" s="26">
        <f t="shared" si="24"/>
        <v>0.77434251358790718</v>
      </c>
    </row>
    <row r="159" spans="1:39" x14ac:dyDescent="0.3">
      <c r="A159" s="11">
        <v>38018</v>
      </c>
      <c r="B159" s="18">
        <v>583282.34</v>
      </c>
      <c r="C159" s="18">
        <v>910484.19</v>
      </c>
      <c r="D159" s="18">
        <v>1252450.68</v>
      </c>
      <c r="E159" s="11">
        <f t="shared" si="19"/>
        <v>38018</v>
      </c>
      <c r="F159" s="9">
        <f t="shared" si="21"/>
        <v>1.4332360677458134E-2</v>
      </c>
      <c r="G159" s="9">
        <f t="shared" si="22"/>
        <v>2.033085718660077E-2</v>
      </c>
      <c r="H159" s="9">
        <f t="shared" si="23"/>
        <v>5.6647085683794174E-2</v>
      </c>
      <c r="I159" s="11">
        <f t="shared" si="20"/>
        <v>38018</v>
      </c>
      <c r="O159" s="11">
        <v>39479</v>
      </c>
      <c r="P159" s="19" t="str" cm="1">
        <f t="array" ref="P159">IF(OR($O159&lt;P$387,$O159&gt;P$388),"",IFERROR(IF($O159=P$387,100,P158)*INDEX($B$2:$B$428,MATCH($O159,$A$2:$A$428,0))/INDEX($B$2:$B$428,MATCH($O159,$A$2:$A$428,0)-1),""))</f>
        <v/>
      </c>
      <c r="Q159" s="19" t="str" cm="1">
        <f t="array" ref="Q159">IF(OR($O159&lt;Q$387,$O159&gt;Q$388),"",IFERROR(IF($O159=Q$387,100,Q158)*INDEX($B$2:$B$428,MATCH($O159,$A$2:$A$428,0))/INDEX($B$2:$B$428,MATCH($O159,$A$2:$A$428,0)-1),""))</f>
        <v/>
      </c>
      <c r="R159" s="19" t="str" cm="1">
        <f t="array" ref="R159">IF(OR($O159&lt;R$387,$O159&gt;R$388),"",IFERROR(IF($O159=R$387,100,R158)*INDEX($B$2:$B$428,MATCH($O159,$A$2:$A$428,0))/INDEX($B$2:$B$428,MATCH($O159,$A$2:$A$428,0)-1),""))</f>
        <v/>
      </c>
      <c r="S159" s="19" cm="1">
        <f t="array" ref="S159">IF(OR($O159&lt;S$387,$O159&gt;S$388),"",IFERROR(IF($O159=S$387,100,S158)*INDEX($B$2:$B$428,MATCH($O159,$A$2:$A$428,0))/INDEX($B$2:$B$428,MATCH($O159,$A$2:$A$428,0)-1),""))</f>
        <v>110.96608768134072</v>
      </c>
      <c r="T159" s="19" t="str" cm="1">
        <f t="array" ref="T159">IF(OR($O159&lt;T$387,$O159&gt;T$388),"",IFERROR(IF($O159=T$387,100,T158)*INDEX($B$2:$B$428,MATCH($O159,$A$2:$A$428,0))/INDEX($B$2:$B$428,MATCH($O159,$A$2:$A$428,0)-1),""))</f>
        <v/>
      </c>
      <c r="U159" s="19" t="str" cm="1">
        <f t="array" ref="U159">IF(OR($O159&lt;U$387,$O159&gt;U$388),"",IFERROR(IF($O159=U$387,100,U158)*INDEX($B$2:$B$428,MATCH($O159,$A$2:$A$428,0))/INDEX($B$2:$B$428,MATCH($O159,$A$2:$A$428,0)-1),""))</f>
        <v/>
      </c>
      <c r="V159" s="19" t="str" cm="1">
        <f t="array" ref="V159">IF(OR($O159&lt;V$387,$O159&gt;V$388),"",IFERROR(IF($O159=V$387,100,V158)*INDEX($B$2:$B$428,MATCH($O159,$A$2:$A$428,0))/INDEX($B$2:$B$428,MATCH($O159,$A$2:$A$428,0)-1),""))</f>
        <v/>
      </c>
      <c r="W159" s="19" t="str" cm="1">
        <f t="array" ref="W159">IF(OR($O159&lt;W$387,$O159&gt;W$388),"",IFERROR(IF($O159=W$387,100,W158)*INDEX($B$2:$B$428,MATCH($O159,$A$2:$A$428,0))/INDEX($B$2:$B$428,MATCH($O159,$A$2:$A$428,0)-1),""))</f>
        <v/>
      </c>
      <c r="X159" s="19" t="str" cm="1">
        <f t="array" ref="X159">IF(OR($O159&lt;X$387,$O159&gt;X$388),"",IFERROR(IF($O159=X$387,100,X158)*INDEX($B$2:$B$428,MATCH($O159,$A$2:$A$428,0))/INDEX($B$2:$B$428,MATCH($O159,$A$2:$A$428,0)-1),""))</f>
        <v/>
      </c>
      <c r="AA159" s="19"/>
      <c r="AB159" s="19"/>
      <c r="AC159" s="19"/>
      <c r="AD159" s="19"/>
      <c r="AE159" s="19"/>
      <c r="AF159" s="19"/>
      <c r="AG159" s="19"/>
      <c r="AH159" s="19"/>
      <c r="AJ159" s="11">
        <v>37653</v>
      </c>
      <c r="AK159">
        <v>1522026.7</v>
      </c>
      <c r="AL159" s="26">
        <f t="shared" si="24"/>
        <v>0.77876854591315647</v>
      </c>
    </row>
    <row r="160" spans="1:39" x14ac:dyDescent="0.3">
      <c r="A160" s="11">
        <v>38047</v>
      </c>
      <c r="B160" s="18">
        <v>580776.28</v>
      </c>
      <c r="C160" s="18">
        <v>913609.96</v>
      </c>
      <c r="D160" s="18">
        <v>1274442.07</v>
      </c>
      <c r="E160" s="11">
        <f t="shared" si="19"/>
        <v>38047</v>
      </c>
      <c r="F160" s="9">
        <f t="shared" si="21"/>
        <v>3.9122874338415548E-2</v>
      </c>
      <c r="G160" s="9">
        <f t="shared" si="22"/>
        <v>3.8498490323148893E-2</v>
      </c>
      <c r="H160" s="9">
        <f t="shared" si="23"/>
        <v>8.4749366565243678E-2</v>
      </c>
      <c r="I160" s="11">
        <f t="shared" si="20"/>
        <v>38047</v>
      </c>
      <c r="O160" s="11">
        <v>39508</v>
      </c>
      <c r="P160" s="19" t="str" cm="1">
        <f t="array" ref="P160">IF(OR($O160&lt;P$387,$O160&gt;P$388),"",IFERROR(IF($O160=P$387,100,P159)*INDEX($B$2:$B$428,MATCH($O160,$A$2:$A$428,0))/INDEX($B$2:$B$428,MATCH($O160,$A$2:$A$428,0)-1),""))</f>
        <v/>
      </c>
      <c r="Q160" s="19" t="str" cm="1">
        <f t="array" ref="Q160">IF(OR($O160&lt;Q$387,$O160&gt;Q$388),"",IFERROR(IF($O160=Q$387,100,Q159)*INDEX($B$2:$B$428,MATCH($O160,$A$2:$A$428,0))/INDEX($B$2:$B$428,MATCH($O160,$A$2:$A$428,0)-1),""))</f>
        <v/>
      </c>
      <c r="R160" s="19" t="str" cm="1">
        <f t="array" ref="R160">IF(OR($O160&lt;R$387,$O160&gt;R$388),"",IFERROR(IF($O160=R$387,100,R159)*INDEX($B$2:$B$428,MATCH($O160,$A$2:$A$428,0))/INDEX($B$2:$B$428,MATCH($O160,$A$2:$A$428,0)-1),""))</f>
        <v/>
      </c>
      <c r="S160" s="19" cm="1">
        <f t="array" ref="S160">IF(OR($O160&lt;S$387,$O160&gt;S$388),"",IFERROR(IF($O160=S$387,100,S159)*INDEX($B$2:$B$428,MATCH($O160,$A$2:$A$428,0))/INDEX($B$2:$B$428,MATCH($O160,$A$2:$A$428,0)-1),""))</f>
        <v>109.05987508451346</v>
      </c>
      <c r="T160" s="19" t="str" cm="1">
        <f t="array" ref="T160">IF(OR($O160&lt;T$387,$O160&gt;T$388),"",IFERROR(IF($O160=T$387,100,T159)*INDEX($B$2:$B$428,MATCH($O160,$A$2:$A$428,0))/INDEX($B$2:$B$428,MATCH($O160,$A$2:$A$428,0)-1),""))</f>
        <v/>
      </c>
      <c r="U160" s="19" t="str" cm="1">
        <f t="array" ref="U160">IF(OR($O160&lt;U$387,$O160&gt;U$388),"",IFERROR(IF($O160=U$387,100,U159)*INDEX($B$2:$B$428,MATCH($O160,$A$2:$A$428,0))/INDEX($B$2:$B$428,MATCH($O160,$A$2:$A$428,0)-1),""))</f>
        <v/>
      </c>
      <c r="V160" s="19" t="str" cm="1">
        <f t="array" ref="V160">IF(OR($O160&lt;V$387,$O160&gt;V$388),"",IFERROR(IF($O160=V$387,100,V159)*INDEX($B$2:$B$428,MATCH($O160,$A$2:$A$428,0))/INDEX($B$2:$B$428,MATCH($O160,$A$2:$A$428,0)-1),""))</f>
        <v/>
      </c>
      <c r="W160" s="19" t="str" cm="1">
        <f t="array" ref="W160">IF(OR($O160&lt;W$387,$O160&gt;W$388),"",IFERROR(IF($O160=W$387,100,W159)*INDEX($B$2:$B$428,MATCH($O160,$A$2:$A$428,0))/INDEX($B$2:$B$428,MATCH($O160,$A$2:$A$428,0)-1),""))</f>
        <v/>
      </c>
      <c r="X160" s="19" t="str" cm="1">
        <f t="array" ref="X160">IF(OR($O160&lt;X$387,$O160&gt;X$388),"",IFERROR(IF($O160=X$387,100,X159)*INDEX($B$2:$B$428,MATCH($O160,$A$2:$A$428,0))/INDEX($B$2:$B$428,MATCH($O160,$A$2:$A$428,0)-1),""))</f>
        <v/>
      </c>
      <c r="AA160" s="19"/>
      <c r="AB160" s="19"/>
      <c r="AC160" s="19"/>
      <c r="AD160" s="19"/>
      <c r="AE160" s="19"/>
      <c r="AF160" s="19"/>
      <c r="AG160" s="19"/>
      <c r="AH160" s="19"/>
      <c r="AJ160" s="11">
        <v>37681</v>
      </c>
      <c r="AK160">
        <v>1543732.2</v>
      </c>
      <c r="AL160" s="26">
        <f t="shared" si="24"/>
        <v>0.76105970970871761</v>
      </c>
    </row>
    <row r="161" spans="1:38" x14ac:dyDescent="0.3">
      <c r="A161" s="11">
        <v>38078</v>
      </c>
      <c r="B161" s="18">
        <v>583277.06000000006</v>
      </c>
      <c r="C161" s="18">
        <v>918095.92</v>
      </c>
      <c r="D161" s="18">
        <v>1270117.3400000001</v>
      </c>
      <c r="E161" s="11">
        <f t="shared" si="19"/>
        <v>38078</v>
      </c>
      <c r="F161" s="9">
        <f t="shared" si="21"/>
        <v>0.14216210606292035</v>
      </c>
      <c r="G161" s="9">
        <f t="shared" si="22"/>
        <v>9.9860440135891126E-2</v>
      </c>
      <c r="H161" s="9">
        <f t="shared" si="23"/>
        <v>0.12270895497598122</v>
      </c>
      <c r="I161" s="11">
        <f t="shared" si="20"/>
        <v>38078</v>
      </c>
      <c r="O161" s="11">
        <v>39539</v>
      </c>
      <c r="P161" s="19" t="str" cm="1">
        <f t="array" ref="P161">IF(OR($O161&lt;P$387,$O161&gt;P$388),"",IFERROR(IF($O161=P$387,100,P160)*INDEX($B$2:$B$428,MATCH($O161,$A$2:$A$428,0))/INDEX($B$2:$B$428,MATCH($O161,$A$2:$A$428,0)-1),""))</f>
        <v/>
      </c>
      <c r="Q161" s="19" t="str" cm="1">
        <f t="array" ref="Q161">IF(OR($O161&lt;Q$387,$O161&gt;Q$388),"",IFERROR(IF($O161=Q$387,100,Q160)*INDEX($B$2:$B$428,MATCH($O161,$A$2:$A$428,0))/INDEX($B$2:$B$428,MATCH($O161,$A$2:$A$428,0)-1),""))</f>
        <v/>
      </c>
      <c r="R161" s="19" t="str" cm="1">
        <f t="array" ref="R161">IF(OR($O161&lt;R$387,$O161&gt;R$388),"",IFERROR(IF($O161=R$387,100,R160)*INDEX($B$2:$B$428,MATCH($O161,$A$2:$A$428,0))/INDEX($B$2:$B$428,MATCH($O161,$A$2:$A$428,0)-1),""))</f>
        <v/>
      </c>
      <c r="S161" s="19" cm="1">
        <f t="array" ref="S161">IF(OR($O161&lt;S$387,$O161&gt;S$388),"",IFERROR(IF($O161=S$387,100,S160)*INDEX($B$2:$B$428,MATCH($O161,$A$2:$A$428,0))/INDEX($B$2:$B$428,MATCH($O161,$A$2:$A$428,0)-1),""))</f>
        <v>110.20056295741716</v>
      </c>
      <c r="T161" s="19" t="str" cm="1">
        <f t="array" ref="T161">IF(OR($O161&lt;T$387,$O161&gt;T$388),"",IFERROR(IF($O161=T$387,100,T160)*INDEX($B$2:$B$428,MATCH($O161,$A$2:$A$428,0))/INDEX($B$2:$B$428,MATCH($O161,$A$2:$A$428,0)-1),""))</f>
        <v/>
      </c>
      <c r="U161" s="19" t="str" cm="1">
        <f t="array" ref="U161">IF(OR($O161&lt;U$387,$O161&gt;U$388),"",IFERROR(IF($O161=U$387,100,U160)*INDEX($B$2:$B$428,MATCH($O161,$A$2:$A$428,0))/INDEX($B$2:$B$428,MATCH($O161,$A$2:$A$428,0)-1),""))</f>
        <v/>
      </c>
      <c r="V161" s="19" t="str" cm="1">
        <f t="array" ref="V161">IF(OR($O161&lt;V$387,$O161&gt;V$388),"",IFERROR(IF($O161=V$387,100,V160)*INDEX($B$2:$B$428,MATCH($O161,$A$2:$A$428,0))/INDEX($B$2:$B$428,MATCH($O161,$A$2:$A$428,0)-1),""))</f>
        <v/>
      </c>
      <c r="W161" s="19" t="str" cm="1">
        <f t="array" ref="W161">IF(OR($O161&lt;W$387,$O161&gt;W$388),"",IFERROR(IF($O161=W$387,100,W160)*INDEX($B$2:$B$428,MATCH($O161,$A$2:$A$428,0))/INDEX($B$2:$B$428,MATCH($O161,$A$2:$A$428,0)-1),""))</f>
        <v/>
      </c>
      <c r="X161" s="19" t="str" cm="1">
        <f t="array" ref="X161">IF(OR($O161&lt;X$387,$O161&gt;X$388),"",IFERROR(IF($O161=X$387,100,X160)*INDEX($B$2:$B$428,MATCH($O161,$A$2:$A$428,0))/INDEX($B$2:$B$428,MATCH($O161,$A$2:$A$428,0)-1),""))</f>
        <v/>
      </c>
      <c r="AA161" s="19"/>
      <c r="AB161" s="19"/>
      <c r="AC161" s="19"/>
      <c r="AD161" s="19"/>
      <c r="AE161" s="19"/>
      <c r="AF161" s="19"/>
      <c r="AG161" s="19"/>
      <c r="AH161" s="19"/>
      <c r="AJ161" s="11">
        <v>37712</v>
      </c>
      <c r="AK161">
        <v>1564347.5</v>
      </c>
      <c r="AL161" s="26">
        <f t="shared" si="24"/>
        <v>0.72317503623715318</v>
      </c>
    </row>
    <row r="162" spans="1:38" x14ac:dyDescent="0.3">
      <c r="A162" s="11">
        <v>38108</v>
      </c>
      <c r="B162" s="18">
        <v>597730.92000000004</v>
      </c>
      <c r="C162" s="18">
        <v>941268.02</v>
      </c>
      <c r="D162" s="18">
        <v>1273139.05</v>
      </c>
      <c r="E162" s="11">
        <f t="shared" si="19"/>
        <v>38108</v>
      </c>
      <c r="F162" s="9">
        <f t="shared" si="21"/>
        <v>0.13614435665689628</v>
      </c>
      <c r="G162" s="9">
        <f t="shared" si="22"/>
        <v>0.10322016681377555</v>
      </c>
      <c r="H162" s="9">
        <f t="shared" si="23"/>
        <v>9.2557703916624101E-2</v>
      </c>
      <c r="I162" s="11">
        <f t="shared" si="20"/>
        <v>38108</v>
      </c>
      <c r="O162" s="11">
        <v>39569</v>
      </c>
      <c r="P162" s="19" t="str" cm="1">
        <f t="array" ref="P162">IF(OR($O162&lt;P$387,$O162&gt;P$388),"",IFERROR(IF($O162=P$387,100,P161)*INDEX($B$2:$B$428,MATCH($O162,$A$2:$A$428,0))/INDEX($B$2:$B$428,MATCH($O162,$A$2:$A$428,0)-1),""))</f>
        <v/>
      </c>
      <c r="Q162" s="19" t="str" cm="1">
        <f t="array" ref="Q162">IF(OR($O162&lt;Q$387,$O162&gt;Q$388),"",IFERROR(IF($O162=Q$387,100,Q161)*INDEX($B$2:$B$428,MATCH($O162,$A$2:$A$428,0))/INDEX($B$2:$B$428,MATCH($O162,$A$2:$A$428,0)-1),""))</f>
        <v/>
      </c>
      <c r="R162" s="19" t="str" cm="1">
        <f t="array" ref="R162">IF(OR($O162&lt;R$387,$O162&gt;R$388),"",IFERROR(IF($O162=R$387,100,R161)*INDEX($B$2:$B$428,MATCH($O162,$A$2:$A$428,0))/INDEX($B$2:$B$428,MATCH($O162,$A$2:$A$428,0)-1),""))</f>
        <v/>
      </c>
      <c r="S162" s="19" cm="1">
        <f t="array" ref="S162">IF(OR($O162&lt;S$387,$O162&gt;S$388),"",IFERROR(IF($O162=S$387,100,S161)*INDEX($B$2:$B$428,MATCH($O162,$A$2:$A$428,0))/INDEX($B$2:$B$428,MATCH($O162,$A$2:$A$428,0)-1),""))</f>
        <v>112.40044100034373</v>
      </c>
      <c r="T162" s="19" t="str" cm="1">
        <f t="array" ref="T162">IF(OR($O162&lt;T$387,$O162&gt;T$388),"",IFERROR(IF($O162=T$387,100,T161)*INDEX($B$2:$B$428,MATCH($O162,$A$2:$A$428,0))/INDEX($B$2:$B$428,MATCH($O162,$A$2:$A$428,0)-1),""))</f>
        <v/>
      </c>
      <c r="U162" s="19" t="str" cm="1">
        <f t="array" ref="U162">IF(OR($O162&lt;U$387,$O162&gt;U$388),"",IFERROR(IF($O162=U$387,100,U161)*INDEX($B$2:$B$428,MATCH($O162,$A$2:$A$428,0))/INDEX($B$2:$B$428,MATCH($O162,$A$2:$A$428,0)-1),""))</f>
        <v/>
      </c>
      <c r="V162" s="19" t="str" cm="1">
        <f t="array" ref="V162">IF(OR($O162&lt;V$387,$O162&gt;V$388),"",IFERROR(IF($O162=V$387,100,V161)*INDEX($B$2:$B$428,MATCH($O162,$A$2:$A$428,0))/INDEX($B$2:$B$428,MATCH($O162,$A$2:$A$428,0)-1),""))</f>
        <v/>
      </c>
      <c r="W162" s="19" t="str" cm="1">
        <f t="array" ref="W162">IF(OR($O162&lt;W$387,$O162&gt;W$388),"",IFERROR(IF($O162=W$387,100,W161)*INDEX($B$2:$B$428,MATCH($O162,$A$2:$A$428,0))/INDEX($B$2:$B$428,MATCH($O162,$A$2:$A$428,0)-1),""))</f>
        <v/>
      </c>
      <c r="X162" s="19" t="str" cm="1">
        <f t="array" ref="X162">IF(OR($O162&lt;X$387,$O162&gt;X$388),"",IFERROR(IF($O162=X$387,100,X161)*INDEX($B$2:$B$428,MATCH($O162,$A$2:$A$428,0))/INDEX($B$2:$B$428,MATCH($O162,$A$2:$A$428,0)-1),""))</f>
        <v/>
      </c>
      <c r="AA162" s="19"/>
      <c r="AB162" s="19"/>
      <c r="AC162" s="19"/>
      <c r="AD162" s="19"/>
      <c r="AE162" s="19"/>
      <c r="AF162" s="19"/>
      <c r="AG162" s="19"/>
      <c r="AH162" s="19"/>
      <c r="AJ162" s="11">
        <v>37742</v>
      </c>
      <c r="AK162">
        <v>1580851.9</v>
      </c>
      <c r="AL162" s="26">
        <f t="shared" si="24"/>
        <v>0.73712352181757201</v>
      </c>
    </row>
    <row r="163" spans="1:38" x14ac:dyDescent="0.3">
      <c r="A163" s="11">
        <v>38139</v>
      </c>
      <c r="B163" s="18">
        <v>596267.76</v>
      </c>
      <c r="C163" s="18">
        <v>946539.21</v>
      </c>
      <c r="D163" s="18">
        <v>1294780.76</v>
      </c>
      <c r="E163" s="11">
        <f t="shared" si="19"/>
        <v>38139</v>
      </c>
      <c r="F163" s="9">
        <f t="shared" si="21"/>
        <v>0.13096546598097469</v>
      </c>
      <c r="G163" s="9">
        <f t="shared" si="22"/>
        <v>0.10775147912928174</v>
      </c>
      <c r="H163" s="9">
        <f t="shared" si="23"/>
        <v>0.10622506305632107</v>
      </c>
      <c r="I163" s="11">
        <f t="shared" si="20"/>
        <v>38139</v>
      </c>
      <c r="O163" s="11">
        <v>39600</v>
      </c>
      <c r="P163" s="19" t="str" cm="1">
        <f t="array" ref="P163">IF(OR($O163&lt;P$387,$O163&gt;P$388),"",IFERROR(IF($O163=P$387,100,P162)*INDEX($B$2:$B$428,MATCH($O163,$A$2:$A$428,0))/INDEX($B$2:$B$428,MATCH($O163,$A$2:$A$428,0)-1),""))</f>
        <v/>
      </c>
      <c r="Q163" s="19" t="str" cm="1">
        <f t="array" ref="Q163">IF(OR($O163&lt;Q$387,$O163&gt;Q$388),"",IFERROR(IF($O163=Q$387,100,Q162)*INDEX($B$2:$B$428,MATCH($O163,$A$2:$A$428,0))/INDEX($B$2:$B$428,MATCH($O163,$A$2:$A$428,0)-1),""))</f>
        <v/>
      </c>
      <c r="R163" s="19" t="str" cm="1">
        <f t="array" ref="R163">IF(OR($O163&lt;R$387,$O163&gt;R$388),"",IFERROR(IF($O163=R$387,100,R162)*INDEX($B$2:$B$428,MATCH($O163,$A$2:$A$428,0))/INDEX($B$2:$B$428,MATCH($O163,$A$2:$A$428,0)-1),""))</f>
        <v/>
      </c>
      <c r="S163" s="19" cm="1">
        <f t="array" ref="S163">IF(OR($O163&lt;S$387,$O163&gt;S$388),"",IFERROR(IF($O163=S$387,100,S162)*INDEX($B$2:$B$428,MATCH($O163,$A$2:$A$428,0))/INDEX($B$2:$B$428,MATCH($O163,$A$2:$A$428,0)-1),""))</f>
        <v>113.24958628696703</v>
      </c>
      <c r="T163" s="19" t="str" cm="1">
        <f t="array" ref="T163">IF(OR($O163&lt;T$387,$O163&gt;T$388),"",IFERROR(IF($O163=T$387,100,T162)*INDEX($B$2:$B$428,MATCH($O163,$A$2:$A$428,0))/INDEX($B$2:$B$428,MATCH($O163,$A$2:$A$428,0)-1),""))</f>
        <v/>
      </c>
      <c r="U163" s="19" t="str" cm="1">
        <f t="array" ref="U163">IF(OR($O163&lt;U$387,$O163&gt;U$388),"",IFERROR(IF($O163=U$387,100,U162)*INDEX($B$2:$B$428,MATCH($O163,$A$2:$A$428,0))/INDEX($B$2:$B$428,MATCH($O163,$A$2:$A$428,0)-1),""))</f>
        <v/>
      </c>
      <c r="V163" s="19" t="str" cm="1">
        <f t="array" ref="V163">IF(OR($O163&lt;V$387,$O163&gt;V$388),"",IFERROR(IF($O163=V$387,100,V162)*INDEX($B$2:$B$428,MATCH($O163,$A$2:$A$428,0))/INDEX($B$2:$B$428,MATCH($O163,$A$2:$A$428,0)-1),""))</f>
        <v/>
      </c>
      <c r="W163" s="19" t="str" cm="1">
        <f t="array" ref="W163">IF(OR($O163&lt;W$387,$O163&gt;W$388),"",IFERROR(IF($O163=W$387,100,W162)*INDEX($B$2:$B$428,MATCH($O163,$A$2:$A$428,0))/INDEX($B$2:$B$428,MATCH($O163,$A$2:$A$428,0)-1),""))</f>
        <v/>
      </c>
      <c r="X163" s="19" t="str" cm="1">
        <f t="array" ref="X163">IF(OR($O163&lt;X$387,$O163&gt;X$388),"",IFERROR(IF($O163=X$387,100,X162)*INDEX($B$2:$B$428,MATCH($O163,$A$2:$A$428,0))/INDEX($B$2:$B$428,MATCH($O163,$A$2:$A$428,0)-1),""))</f>
        <v/>
      </c>
      <c r="AA163" s="19"/>
      <c r="AB163" s="19"/>
      <c r="AC163" s="19"/>
      <c r="AD163" s="19"/>
      <c r="AE163" s="19"/>
      <c r="AF163" s="19"/>
      <c r="AG163" s="19"/>
      <c r="AH163" s="19"/>
      <c r="AJ163" s="11">
        <v>37773</v>
      </c>
      <c r="AK163">
        <v>1595356.7</v>
      </c>
      <c r="AL163" s="26">
        <f t="shared" si="24"/>
        <v>0.73366017142122508</v>
      </c>
    </row>
    <row r="164" spans="1:38" x14ac:dyDescent="0.3">
      <c r="A164" s="11">
        <v>38169</v>
      </c>
      <c r="B164" s="18">
        <v>593278.71999999997</v>
      </c>
      <c r="C164" s="18">
        <v>944978.98</v>
      </c>
      <c r="D164" s="18">
        <v>1288836.1399999999</v>
      </c>
      <c r="E164" s="11">
        <f t="shared" si="19"/>
        <v>38169</v>
      </c>
      <c r="F164" s="9">
        <f t="shared" si="21"/>
        <v>8.5309224615974122E-2</v>
      </c>
      <c r="G164" s="9">
        <f t="shared" si="22"/>
        <v>7.6482281578965416E-2</v>
      </c>
      <c r="H164" s="9">
        <f t="shared" si="23"/>
        <v>7.2533771175810724E-2</v>
      </c>
      <c r="I164" s="11">
        <f t="shared" si="20"/>
        <v>38169</v>
      </c>
      <c r="O164" s="11">
        <v>39630</v>
      </c>
      <c r="P164" s="19" t="str" cm="1">
        <f t="array" ref="P164">IF(OR($O164&lt;P$387,$O164&gt;P$388),"",IFERROR(IF($O164=P$387,100,P163)*INDEX($B$2:$B$428,MATCH($O164,$A$2:$A$428,0))/INDEX($B$2:$B$428,MATCH($O164,$A$2:$A$428,0)-1),""))</f>
        <v/>
      </c>
      <c r="Q164" s="19" t="str" cm="1">
        <f t="array" ref="Q164">IF(OR($O164&lt;Q$387,$O164&gt;Q$388),"",IFERROR(IF($O164=Q$387,100,Q163)*INDEX($B$2:$B$428,MATCH($O164,$A$2:$A$428,0))/INDEX($B$2:$B$428,MATCH($O164,$A$2:$A$428,0)-1),""))</f>
        <v/>
      </c>
      <c r="R164" s="19" t="str" cm="1">
        <f t="array" ref="R164">IF(OR($O164&lt;R$387,$O164&gt;R$388),"",IFERROR(IF($O164=R$387,100,R163)*INDEX($B$2:$B$428,MATCH($O164,$A$2:$A$428,0))/INDEX($B$2:$B$428,MATCH($O164,$A$2:$A$428,0)-1),""))</f>
        <v/>
      </c>
      <c r="S164" s="19" cm="1">
        <f t="array" ref="S164">IF(OR($O164&lt;S$387,$O164&gt;S$388),"",IFERROR(IF($O164=S$387,100,S163)*INDEX($B$2:$B$428,MATCH($O164,$A$2:$A$428,0))/INDEX($B$2:$B$428,MATCH($O164,$A$2:$A$428,0)-1),""))</f>
        <v>114.20497377629361</v>
      </c>
      <c r="T164" s="19" t="str" cm="1">
        <f t="array" ref="T164">IF(OR($O164&lt;T$387,$O164&gt;T$388),"",IFERROR(IF($O164=T$387,100,T163)*INDEX($B$2:$B$428,MATCH($O164,$A$2:$A$428,0))/INDEX($B$2:$B$428,MATCH($O164,$A$2:$A$428,0)-1),""))</f>
        <v/>
      </c>
      <c r="U164" s="19" t="str" cm="1">
        <f t="array" ref="U164">IF(OR($O164&lt;U$387,$O164&gt;U$388),"",IFERROR(IF($O164=U$387,100,U163)*INDEX($B$2:$B$428,MATCH($O164,$A$2:$A$428,0))/INDEX($B$2:$B$428,MATCH($O164,$A$2:$A$428,0)-1),""))</f>
        <v/>
      </c>
      <c r="V164" s="19" t="str" cm="1">
        <f t="array" ref="V164">IF(OR($O164&lt;V$387,$O164&gt;V$388),"",IFERROR(IF($O164=V$387,100,V163)*INDEX($B$2:$B$428,MATCH($O164,$A$2:$A$428,0))/INDEX($B$2:$B$428,MATCH($O164,$A$2:$A$428,0)-1),""))</f>
        <v/>
      </c>
      <c r="W164" s="19" t="str" cm="1">
        <f t="array" ref="W164">IF(OR($O164&lt;W$387,$O164&gt;W$388),"",IFERROR(IF($O164=W$387,100,W163)*INDEX($B$2:$B$428,MATCH($O164,$A$2:$A$428,0))/INDEX($B$2:$B$428,MATCH($O164,$A$2:$A$428,0)-1),""))</f>
        <v/>
      </c>
      <c r="X164" s="19" t="str" cm="1">
        <f t="array" ref="X164">IF(OR($O164&lt;X$387,$O164&gt;X$388),"",IFERROR(IF($O164=X$387,100,X163)*INDEX($B$2:$B$428,MATCH($O164,$A$2:$A$428,0))/INDEX($B$2:$B$428,MATCH($O164,$A$2:$A$428,0)-1),""))</f>
        <v/>
      </c>
      <c r="AA164" s="19"/>
      <c r="AB164" s="19"/>
      <c r="AC164" s="19"/>
      <c r="AD164" s="19"/>
      <c r="AE164" s="19"/>
      <c r="AF164" s="19"/>
      <c r="AG164" s="19"/>
      <c r="AH164" s="19"/>
      <c r="AJ164" s="11">
        <v>37803</v>
      </c>
      <c r="AK164">
        <v>1613127.2</v>
      </c>
      <c r="AL164" s="26">
        <f t="shared" si="24"/>
        <v>0.74493454700906414</v>
      </c>
    </row>
    <row r="165" spans="1:38" x14ac:dyDescent="0.3">
      <c r="A165" s="11">
        <v>38200</v>
      </c>
      <c r="B165" s="18">
        <v>592478.9</v>
      </c>
      <c r="C165" s="18">
        <v>945701.39</v>
      </c>
      <c r="D165" s="18">
        <v>1291815.3400000001</v>
      </c>
      <c r="E165" s="11">
        <f t="shared" si="19"/>
        <v>38200</v>
      </c>
      <c r="F165" s="9">
        <f t="shared" si="21"/>
        <v>5.6324854870059227E-2</v>
      </c>
      <c r="G165" s="9">
        <f t="shared" si="22"/>
        <v>6.2890307734783102E-2</v>
      </c>
      <c r="H165" s="9">
        <f t="shared" si="23"/>
        <v>6.6930819897278671E-2</v>
      </c>
      <c r="I165" s="11">
        <f t="shared" si="20"/>
        <v>38200</v>
      </c>
      <c r="O165" s="11">
        <v>39661</v>
      </c>
      <c r="P165" s="19" t="str" cm="1">
        <f t="array" ref="P165">IF(OR($O165&lt;P$387,$O165&gt;P$388),"",IFERROR(IF($O165=P$387,100,P164)*INDEX($B$2:$B$428,MATCH($O165,$A$2:$A$428,0))/INDEX($B$2:$B$428,MATCH($O165,$A$2:$A$428,0)-1),""))</f>
        <v/>
      </c>
      <c r="Q165" s="19" t="str" cm="1">
        <f t="array" ref="Q165">IF(OR($O165&lt;Q$387,$O165&gt;Q$388),"",IFERROR(IF($O165=Q$387,100,Q164)*INDEX($B$2:$B$428,MATCH($O165,$A$2:$A$428,0))/INDEX($B$2:$B$428,MATCH($O165,$A$2:$A$428,0)-1),""))</f>
        <v/>
      </c>
      <c r="R165" s="19" t="str" cm="1">
        <f t="array" ref="R165">IF(OR($O165&lt;R$387,$O165&gt;R$388),"",IFERROR(IF($O165=R$387,100,R164)*INDEX($B$2:$B$428,MATCH($O165,$A$2:$A$428,0))/INDEX($B$2:$B$428,MATCH($O165,$A$2:$A$428,0)-1),""))</f>
        <v/>
      </c>
      <c r="S165" s="19" cm="1">
        <f t="array" ref="S165">IF(OR($O165&lt;S$387,$O165&gt;S$388),"",IFERROR(IF($O165=S$387,100,S164)*INDEX($B$2:$B$428,MATCH($O165,$A$2:$A$428,0))/INDEX($B$2:$B$428,MATCH($O165,$A$2:$A$428,0)-1),""))</f>
        <v>112.58891751925808</v>
      </c>
      <c r="T165" s="19" t="str" cm="1">
        <f t="array" ref="T165">IF(OR($O165&lt;T$387,$O165&gt;T$388),"",IFERROR(IF($O165=T$387,100,T164)*INDEX($B$2:$B$428,MATCH($O165,$A$2:$A$428,0))/INDEX($B$2:$B$428,MATCH($O165,$A$2:$A$428,0)-1),""))</f>
        <v/>
      </c>
      <c r="U165" s="19" t="str" cm="1">
        <f t="array" ref="U165">IF(OR($O165&lt;U$387,$O165&gt;U$388),"",IFERROR(IF($O165=U$387,100,U164)*INDEX($B$2:$B$428,MATCH($O165,$A$2:$A$428,0))/INDEX($B$2:$B$428,MATCH($O165,$A$2:$A$428,0)-1),""))</f>
        <v/>
      </c>
      <c r="V165" s="19" t="str" cm="1">
        <f t="array" ref="V165">IF(OR($O165&lt;V$387,$O165&gt;V$388),"",IFERROR(IF($O165=V$387,100,V164)*INDEX($B$2:$B$428,MATCH($O165,$A$2:$A$428,0))/INDEX($B$2:$B$428,MATCH($O165,$A$2:$A$428,0)-1),""))</f>
        <v/>
      </c>
      <c r="W165" s="19" t="str" cm="1">
        <f t="array" ref="W165">IF(OR($O165&lt;W$387,$O165&gt;W$388),"",IFERROR(IF($O165=W$387,100,W164)*INDEX($B$2:$B$428,MATCH($O165,$A$2:$A$428,0))/INDEX($B$2:$B$428,MATCH($O165,$A$2:$A$428,0)-1),""))</f>
        <v/>
      </c>
      <c r="X165" s="19" t="str" cm="1">
        <f t="array" ref="X165">IF(OR($O165&lt;X$387,$O165&gt;X$388),"",IFERROR(IF($O165=X$387,100,X164)*INDEX($B$2:$B$428,MATCH($O165,$A$2:$A$428,0))/INDEX($B$2:$B$428,MATCH($O165,$A$2:$A$428,0)-1),""))</f>
        <v/>
      </c>
      <c r="AA165" s="19"/>
      <c r="AB165" s="19"/>
      <c r="AC165" s="19"/>
      <c r="AD165" s="19"/>
      <c r="AE165" s="19"/>
      <c r="AF165" s="19"/>
      <c r="AG165" s="19"/>
      <c r="AH165" s="19"/>
      <c r="AJ165" s="11">
        <v>37834</v>
      </c>
      <c r="AK165">
        <v>1629693.6</v>
      </c>
      <c r="AL165" s="26">
        <f t="shared" si="24"/>
        <v>0.74294765592747003</v>
      </c>
    </row>
    <row r="166" spans="1:38" x14ac:dyDescent="0.3">
      <c r="A166" s="11">
        <v>38231</v>
      </c>
      <c r="B166" s="18">
        <v>588017.42000000004</v>
      </c>
      <c r="C166" s="18">
        <v>942224.68</v>
      </c>
      <c r="D166" s="18">
        <v>1299456.22</v>
      </c>
      <c r="E166" s="11">
        <f t="shared" si="19"/>
        <v>38231</v>
      </c>
      <c r="F166" s="9">
        <f t="shared" si="21"/>
        <v>4.7848681589692799E-2</v>
      </c>
      <c r="G166" s="9">
        <f t="shared" si="22"/>
        <v>8.6947763930035338E-2</v>
      </c>
      <c r="H166" s="9">
        <f t="shared" si="23"/>
        <v>5.6119316781320316E-2</v>
      </c>
      <c r="I166" s="11">
        <f t="shared" si="20"/>
        <v>38231</v>
      </c>
      <c r="O166" s="11">
        <v>39692</v>
      </c>
      <c r="P166" s="19" t="str" cm="1">
        <f t="array" ref="P166">IF(OR($O166&lt;P$387,$O166&gt;P$388),"",IFERROR(IF($O166=P$387,100,P165)*INDEX($B$2:$B$428,MATCH($O166,$A$2:$A$428,0))/INDEX($B$2:$B$428,MATCH($O166,$A$2:$A$428,0)-1),""))</f>
        <v/>
      </c>
      <c r="Q166" s="19" t="str" cm="1">
        <f t="array" ref="Q166">IF(OR($O166&lt;Q$387,$O166&gt;Q$388),"",IFERROR(IF($O166=Q$387,100,Q165)*INDEX($B$2:$B$428,MATCH($O166,$A$2:$A$428,0))/INDEX($B$2:$B$428,MATCH($O166,$A$2:$A$428,0)-1),""))</f>
        <v/>
      </c>
      <c r="R166" s="19" t="str" cm="1">
        <f t="array" ref="R166">IF(OR($O166&lt;R$387,$O166&gt;R$388),"",IFERROR(IF($O166=R$387,100,R165)*INDEX($B$2:$B$428,MATCH($O166,$A$2:$A$428,0))/INDEX($B$2:$B$428,MATCH($O166,$A$2:$A$428,0)-1),""))</f>
        <v/>
      </c>
      <c r="S166" s="19" cm="1">
        <f t="array" ref="S166">IF(OR($O166&lt;S$387,$O166&gt;S$388),"",IFERROR(IF($O166=S$387,100,S165)*INDEX($B$2:$B$428,MATCH($O166,$A$2:$A$428,0))/INDEX($B$2:$B$428,MATCH($O166,$A$2:$A$428,0)-1),""))</f>
        <v>106.30998200217155</v>
      </c>
      <c r="T166" s="19" t="str" cm="1">
        <f t="array" ref="T166">IF(OR($O166&lt;T$387,$O166&gt;T$388),"",IFERROR(IF($O166=T$387,100,T165)*INDEX($B$2:$B$428,MATCH($O166,$A$2:$A$428,0))/INDEX($B$2:$B$428,MATCH($O166,$A$2:$A$428,0)-1),""))</f>
        <v/>
      </c>
      <c r="U166" s="19" t="str" cm="1">
        <f t="array" ref="U166">IF(OR($O166&lt;U$387,$O166&gt;U$388),"",IFERROR(IF($O166=U$387,100,U165)*INDEX($B$2:$B$428,MATCH($O166,$A$2:$A$428,0))/INDEX($B$2:$B$428,MATCH($O166,$A$2:$A$428,0)-1),""))</f>
        <v/>
      </c>
      <c r="V166" s="19" t="str" cm="1">
        <f t="array" ref="V166">IF(OR($O166&lt;V$387,$O166&gt;V$388),"",IFERROR(IF($O166=V$387,100,V165)*INDEX($B$2:$B$428,MATCH($O166,$A$2:$A$428,0))/INDEX($B$2:$B$428,MATCH($O166,$A$2:$A$428,0)-1),""))</f>
        <v/>
      </c>
      <c r="W166" s="19" t="str" cm="1">
        <f t="array" ref="W166">IF(OR($O166&lt;W$387,$O166&gt;W$388),"",IFERROR(IF($O166=W$387,100,W165)*INDEX($B$2:$B$428,MATCH($O166,$A$2:$A$428,0))/INDEX($B$2:$B$428,MATCH($O166,$A$2:$A$428,0)-1),""))</f>
        <v/>
      </c>
      <c r="X166" s="19" t="str" cm="1">
        <f t="array" ref="X166">IF(OR($O166&lt;X$387,$O166&gt;X$388),"",IFERROR(IF($O166=X$387,100,X165)*INDEX($B$2:$B$428,MATCH($O166,$A$2:$A$428,0))/INDEX($B$2:$B$428,MATCH($O166,$A$2:$A$428,0)-1),""))</f>
        <v/>
      </c>
      <c r="AA166" s="19"/>
      <c r="AB166" s="19"/>
      <c r="AC166" s="19"/>
      <c r="AD166" s="19"/>
      <c r="AE166" s="19"/>
      <c r="AF166" s="19"/>
      <c r="AG166" s="19"/>
      <c r="AH166" s="19"/>
      <c r="AJ166" s="11">
        <v>37865</v>
      </c>
      <c r="AK166">
        <v>1654912</v>
      </c>
      <c r="AL166" s="26">
        <f t="shared" si="24"/>
        <v>0.7434876537241859</v>
      </c>
    </row>
    <row r="167" spans="1:38" x14ac:dyDescent="0.3">
      <c r="A167" s="11">
        <v>38261</v>
      </c>
      <c r="B167" s="18">
        <v>592924.92000000004</v>
      </c>
      <c r="C167" s="18">
        <v>949353.89</v>
      </c>
      <c r="D167" s="18">
        <v>1310108</v>
      </c>
      <c r="E167" s="11">
        <f t="shared" si="19"/>
        <v>38261</v>
      </c>
      <c r="F167" s="9">
        <f t="shared" si="21"/>
        <v>6.3530267339177993E-2</v>
      </c>
      <c r="G167" s="9">
        <f t="shared" si="22"/>
        <v>9.9985547939621E-2</v>
      </c>
      <c r="H167" s="9">
        <f t="shared" si="23"/>
        <v>6.372815662062048E-2</v>
      </c>
      <c r="I167" s="11">
        <f t="shared" si="20"/>
        <v>38261</v>
      </c>
      <c r="O167" s="11">
        <v>39722</v>
      </c>
      <c r="P167" s="19" t="str" cm="1">
        <f t="array" ref="P167">IF(OR($O167&lt;P$387,$O167&gt;P$388),"",IFERROR(IF($O167=P$387,100,P166)*INDEX($B$2:$B$428,MATCH($O167,$A$2:$A$428,0))/INDEX($B$2:$B$428,MATCH($O167,$A$2:$A$428,0)-1),""))</f>
        <v/>
      </c>
      <c r="Q167" s="19" t="str" cm="1">
        <f t="array" ref="Q167">IF(OR($O167&lt;Q$387,$O167&gt;Q$388),"",IFERROR(IF($O167=Q$387,100,Q166)*INDEX($B$2:$B$428,MATCH($O167,$A$2:$A$428,0))/INDEX($B$2:$B$428,MATCH($O167,$A$2:$A$428,0)-1),""))</f>
        <v/>
      </c>
      <c r="R167" s="19" t="str" cm="1">
        <f t="array" ref="R167">IF(OR($O167&lt;R$387,$O167&gt;R$388),"",IFERROR(IF($O167=R$387,100,R166)*INDEX($B$2:$B$428,MATCH($O167,$A$2:$A$428,0))/INDEX($B$2:$B$428,MATCH($O167,$A$2:$A$428,0)-1),""))</f>
        <v/>
      </c>
      <c r="S167" s="19" cm="1">
        <f t="array" ref="S167">IF(OR($O167&lt;S$387,$O167&gt;S$388),"",IFERROR(IF($O167=S$387,100,S166)*INDEX($B$2:$B$428,MATCH($O167,$A$2:$A$428,0))/INDEX($B$2:$B$428,MATCH($O167,$A$2:$A$428,0)-1),""))</f>
        <v>100.92419558426674</v>
      </c>
      <c r="T167" s="19" t="str" cm="1">
        <f t="array" ref="T167">IF(OR($O167&lt;T$387,$O167&gt;T$388),"",IFERROR(IF($O167=T$387,100,T166)*INDEX($B$2:$B$428,MATCH($O167,$A$2:$A$428,0))/INDEX($B$2:$B$428,MATCH($O167,$A$2:$A$428,0)-1),""))</f>
        <v/>
      </c>
      <c r="U167" s="19" t="str" cm="1">
        <f t="array" ref="U167">IF(OR($O167&lt;U$387,$O167&gt;U$388),"",IFERROR(IF($O167=U$387,100,U166)*INDEX($B$2:$B$428,MATCH($O167,$A$2:$A$428,0))/INDEX($B$2:$B$428,MATCH($O167,$A$2:$A$428,0)-1),""))</f>
        <v/>
      </c>
      <c r="V167" s="19" t="str" cm="1">
        <f t="array" ref="V167">IF(OR($O167&lt;V$387,$O167&gt;V$388),"",IFERROR(IF($O167=V$387,100,V166)*INDEX($B$2:$B$428,MATCH($O167,$A$2:$A$428,0))/INDEX($B$2:$B$428,MATCH($O167,$A$2:$A$428,0)-1),""))</f>
        <v/>
      </c>
      <c r="W167" s="19" t="str" cm="1">
        <f t="array" ref="W167">IF(OR($O167&lt;W$387,$O167&gt;W$388),"",IFERROR(IF($O167=W$387,100,W166)*INDEX($B$2:$B$428,MATCH($O167,$A$2:$A$428,0))/INDEX($B$2:$B$428,MATCH($O167,$A$2:$A$428,0)-1),""))</f>
        <v/>
      </c>
      <c r="X167" s="19" t="str" cm="1">
        <f t="array" ref="X167">IF(OR($O167&lt;X$387,$O167&gt;X$388),"",IFERROR(IF($O167=X$387,100,X166)*INDEX($B$2:$B$428,MATCH($O167,$A$2:$A$428,0))/INDEX($B$2:$B$428,MATCH($O167,$A$2:$A$428,0)-1),""))</f>
        <v/>
      </c>
      <c r="AA167" s="19"/>
      <c r="AB167" s="19"/>
      <c r="AC167" s="19"/>
      <c r="AD167" s="19"/>
      <c r="AE167" s="19"/>
      <c r="AF167" s="19"/>
      <c r="AG167" s="19"/>
      <c r="AH167" s="19"/>
      <c r="AJ167" s="11">
        <v>37895</v>
      </c>
      <c r="AK167">
        <v>1680134.1</v>
      </c>
      <c r="AL167" s="26">
        <f t="shared" si="24"/>
        <v>0.73304814181201361</v>
      </c>
    </row>
    <row r="168" spans="1:38" x14ac:dyDescent="0.3">
      <c r="A168" s="11">
        <v>38292</v>
      </c>
      <c r="B168" s="18">
        <v>590792.38</v>
      </c>
      <c r="C168" s="18">
        <v>945276.05</v>
      </c>
      <c r="D168" s="18">
        <v>1309107.3799999999</v>
      </c>
      <c r="E168" s="11">
        <f t="shared" si="19"/>
        <v>38292</v>
      </c>
      <c r="F168" s="9">
        <f t="shared" si="21"/>
        <v>3.5455429159309215E-2</v>
      </c>
      <c r="G168" s="9">
        <f t="shared" si="22"/>
        <v>7.3702850494886007E-2</v>
      </c>
      <c r="H168" s="9">
        <f t="shared" si="23"/>
        <v>4.967782585533298E-2</v>
      </c>
      <c r="I168" s="11">
        <f t="shared" si="20"/>
        <v>38292</v>
      </c>
      <c r="O168" s="11">
        <v>39753</v>
      </c>
      <c r="P168" s="19" t="str" cm="1">
        <f t="array" ref="P168">IF(OR($O168&lt;P$387,$O168&gt;P$388),"",IFERROR(IF($O168=P$387,100,P167)*INDEX($B$2:$B$428,MATCH($O168,$A$2:$A$428,0))/INDEX($B$2:$B$428,MATCH($O168,$A$2:$A$428,0)-1),""))</f>
        <v/>
      </c>
      <c r="Q168" s="19" t="str" cm="1">
        <f t="array" ref="Q168">IF(OR($O168&lt;Q$387,$O168&gt;Q$388),"",IFERROR(IF($O168=Q$387,100,Q167)*INDEX($B$2:$B$428,MATCH($O168,$A$2:$A$428,0))/INDEX($B$2:$B$428,MATCH($O168,$A$2:$A$428,0)-1),""))</f>
        <v/>
      </c>
      <c r="R168" s="19" t="str" cm="1">
        <f t="array" ref="R168">IF(OR($O168&lt;R$387,$O168&gt;R$388),"",IFERROR(IF($O168=R$387,100,R167)*INDEX($B$2:$B$428,MATCH($O168,$A$2:$A$428,0))/INDEX($B$2:$B$428,MATCH($O168,$A$2:$A$428,0)-1),""))</f>
        <v/>
      </c>
      <c r="S168" s="19" cm="1">
        <f t="array" ref="S168">IF(OR($O168&lt;S$387,$O168&gt;S$388),"",IFERROR(IF($O168=S$387,100,S167)*INDEX($B$2:$B$428,MATCH($O168,$A$2:$A$428,0))/INDEX($B$2:$B$428,MATCH($O168,$A$2:$A$428,0)-1),""))</f>
        <v>95.786295860771261</v>
      </c>
      <c r="T168" s="19" t="str" cm="1">
        <f t="array" ref="T168">IF(OR($O168&lt;T$387,$O168&gt;T$388),"",IFERROR(IF($O168=T$387,100,T167)*INDEX($B$2:$B$428,MATCH($O168,$A$2:$A$428,0))/INDEX($B$2:$B$428,MATCH($O168,$A$2:$A$428,0)-1),""))</f>
        <v/>
      </c>
      <c r="U168" s="19" t="str" cm="1">
        <f t="array" ref="U168">IF(OR($O168&lt;U$387,$O168&gt;U$388),"",IFERROR(IF($O168=U$387,100,U167)*INDEX($B$2:$B$428,MATCH($O168,$A$2:$A$428,0))/INDEX($B$2:$B$428,MATCH($O168,$A$2:$A$428,0)-1),""))</f>
        <v/>
      </c>
      <c r="V168" s="19" t="str" cm="1">
        <f t="array" ref="V168">IF(OR($O168&lt;V$387,$O168&gt;V$388),"",IFERROR(IF($O168=V$387,100,V167)*INDEX($B$2:$B$428,MATCH($O168,$A$2:$A$428,0))/INDEX($B$2:$B$428,MATCH($O168,$A$2:$A$428,0)-1),""))</f>
        <v/>
      </c>
      <c r="W168" s="19" t="str" cm="1">
        <f t="array" ref="W168">IF(OR($O168&lt;W$387,$O168&gt;W$388),"",IFERROR(IF($O168=W$387,100,W167)*INDEX($B$2:$B$428,MATCH($O168,$A$2:$A$428,0))/INDEX($B$2:$B$428,MATCH($O168,$A$2:$A$428,0)-1),""))</f>
        <v/>
      </c>
      <c r="X168" s="19" t="str" cm="1">
        <f t="array" ref="X168">IF(OR($O168&lt;X$387,$O168&gt;X$388),"",IFERROR(IF($O168=X$387,100,X167)*INDEX($B$2:$B$428,MATCH($O168,$A$2:$A$428,0))/INDEX($B$2:$B$428,MATCH($O168,$A$2:$A$428,0)-1),""))</f>
        <v/>
      </c>
      <c r="AA168" s="19"/>
      <c r="AB168" s="19"/>
      <c r="AC168" s="19"/>
      <c r="AD168" s="19"/>
      <c r="AE168" s="19"/>
      <c r="AF168" s="19"/>
      <c r="AG168" s="19"/>
      <c r="AH168" s="19"/>
      <c r="AJ168" s="11">
        <v>37926</v>
      </c>
      <c r="AK168">
        <v>1698932.4</v>
      </c>
      <c r="AL168" s="26">
        <f t="shared" si="24"/>
        <v>0.73407959021795111</v>
      </c>
    </row>
    <row r="169" spans="1:38" x14ac:dyDescent="0.3">
      <c r="A169" s="11">
        <v>38322</v>
      </c>
      <c r="B169" s="18">
        <v>601477.71</v>
      </c>
      <c r="C169" s="18">
        <v>961136.09</v>
      </c>
      <c r="D169" s="18">
        <v>1331760.7</v>
      </c>
      <c r="E169" s="11">
        <f t="shared" si="19"/>
        <v>38322</v>
      </c>
      <c r="F169" s="9">
        <f t="shared" si="21"/>
        <v>3.9273932696095581E-2</v>
      </c>
      <c r="G169" s="9">
        <f t="shared" si="22"/>
        <v>6.6432487877150725E-2</v>
      </c>
      <c r="H169" s="9">
        <f t="shared" si="23"/>
        <v>8.3993154346223342E-2</v>
      </c>
      <c r="I169" s="11">
        <f t="shared" si="20"/>
        <v>38322</v>
      </c>
      <c r="O169" s="11">
        <v>39783</v>
      </c>
      <c r="P169" s="19" t="str" cm="1">
        <f t="array" ref="P169">IF(OR($O169&lt;P$387,$O169&gt;P$388),"",IFERROR(IF($O169=P$387,100,P168)*INDEX($B$2:$B$428,MATCH($O169,$A$2:$A$428,0))/INDEX($B$2:$B$428,MATCH($O169,$A$2:$A$428,0)-1),""))</f>
        <v/>
      </c>
      <c r="Q169" s="19" t="str" cm="1">
        <f t="array" ref="Q169">IF(OR($O169&lt;Q$387,$O169&gt;Q$388),"",IFERROR(IF($O169=Q$387,100,Q168)*INDEX($B$2:$B$428,MATCH($O169,$A$2:$A$428,0))/INDEX($B$2:$B$428,MATCH($O169,$A$2:$A$428,0)-1),""))</f>
        <v/>
      </c>
      <c r="R169" s="19" t="str" cm="1">
        <f t="array" ref="R169">IF(OR($O169&lt;R$387,$O169&gt;R$388),"",IFERROR(IF($O169=R$387,100,R168)*INDEX($B$2:$B$428,MATCH($O169,$A$2:$A$428,0))/INDEX($B$2:$B$428,MATCH($O169,$A$2:$A$428,0)-1),""))</f>
        <v/>
      </c>
      <c r="S169" s="19" cm="1">
        <f t="array" ref="S169">IF(OR($O169&lt;S$387,$O169&gt;S$388),"",IFERROR(IF($O169=S$387,100,S168)*INDEX($B$2:$B$428,MATCH($O169,$A$2:$A$428,0))/INDEX($B$2:$B$428,MATCH($O169,$A$2:$A$428,0)-1),""))</f>
        <v>98.98435699663338</v>
      </c>
      <c r="T169" s="19" t="str" cm="1">
        <f t="array" ref="T169">IF(OR($O169&lt;T$387,$O169&gt;T$388),"",IFERROR(IF($O169=T$387,100,T168)*INDEX($B$2:$B$428,MATCH($O169,$A$2:$A$428,0))/INDEX($B$2:$B$428,MATCH($O169,$A$2:$A$428,0)-1),""))</f>
        <v/>
      </c>
      <c r="U169" s="19" t="str" cm="1">
        <f t="array" ref="U169">IF(OR($O169&lt;U$387,$O169&gt;U$388),"",IFERROR(IF($O169=U$387,100,U168)*INDEX($B$2:$B$428,MATCH($O169,$A$2:$A$428,0))/INDEX($B$2:$B$428,MATCH($O169,$A$2:$A$428,0)-1),""))</f>
        <v/>
      </c>
      <c r="V169" s="19" t="str" cm="1">
        <f t="array" ref="V169">IF(OR($O169&lt;V$387,$O169&gt;V$388),"",IFERROR(IF($O169=V$387,100,V168)*INDEX($B$2:$B$428,MATCH($O169,$A$2:$A$428,0))/INDEX($B$2:$B$428,MATCH($O169,$A$2:$A$428,0)-1),""))</f>
        <v/>
      </c>
      <c r="W169" s="19" t="str" cm="1">
        <f t="array" ref="W169">IF(OR($O169&lt;W$387,$O169&gt;W$388),"",IFERROR(IF($O169=W$387,100,W168)*INDEX($B$2:$B$428,MATCH($O169,$A$2:$A$428,0))/INDEX($B$2:$B$428,MATCH($O169,$A$2:$A$428,0)-1),""))</f>
        <v/>
      </c>
      <c r="X169" s="19" t="str" cm="1">
        <f t="array" ref="X169">IF(OR($O169&lt;X$387,$O169&gt;X$388),"",IFERROR(IF($O169=X$387,100,X168)*INDEX($B$2:$B$428,MATCH($O169,$A$2:$A$428,0))/INDEX($B$2:$B$428,MATCH($O169,$A$2:$A$428,0)-1),""))</f>
        <v/>
      </c>
      <c r="AA169" s="19"/>
      <c r="AB169" s="19"/>
      <c r="AC169" s="19"/>
      <c r="AD169" s="19"/>
      <c r="AE169" s="19"/>
      <c r="AF169" s="19"/>
      <c r="AG169" s="19"/>
      <c r="AH169" s="19"/>
      <c r="AJ169" s="11">
        <v>37956</v>
      </c>
      <c r="AK169">
        <v>1717950.4</v>
      </c>
      <c r="AL169" s="26">
        <f t="shared" si="24"/>
        <v>0.71513664771695395</v>
      </c>
    </row>
    <row r="170" spans="1:38" x14ac:dyDescent="0.3">
      <c r="A170" s="11">
        <v>38353</v>
      </c>
      <c r="B170" s="18">
        <v>603635.49</v>
      </c>
      <c r="C170" s="18">
        <v>958542.86</v>
      </c>
      <c r="D170" s="18">
        <v>1339579.69</v>
      </c>
      <c r="E170" s="11">
        <f t="shared" si="19"/>
        <v>38353</v>
      </c>
      <c r="F170" s="9">
        <f t="shared" si="21"/>
        <v>3.4677892136063537E-2</v>
      </c>
      <c r="G170" s="9">
        <f t="shared" si="22"/>
        <v>4.4908485643419427E-2</v>
      </c>
      <c r="H170" s="9">
        <f t="shared" si="23"/>
        <v>7.8286353875651749E-2</v>
      </c>
      <c r="I170" s="11">
        <f t="shared" si="20"/>
        <v>38353</v>
      </c>
      <c r="O170" s="11">
        <v>39814</v>
      </c>
      <c r="P170" s="19" t="str" cm="1">
        <f t="array" ref="P170">IF(OR($O170&lt;P$387,$O170&gt;P$388),"",IFERROR(IF($O170=P$387,100,P169)*INDEX($B$2:$B$428,MATCH($O170,$A$2:$A$428,0))/INDEX($B$2:$B$428,MATCH($O170,$A$2:$A$428,0)-1),""))</f>
        <v/>
      </c>
      <c r="Q170" s="19" t="str" cm="1">
        <f t="array" ref="Q170">IF(OR($O170&lt;Q$387,$O170&gt;Q$388),"",IFERROR(IF($O170=Q$387,100,Q169)*INDEX($B$2:$B$428,MATCH($O170,$A$2:$A$428,0))/INDEX($B$2:$B$428,MATCH($O170,$A$2:$A$428,0)-1),""))</f>
        <v/>
      </c>
      <c r="R170" s="19" t="str" cm="1">
        <f t="array" ref="R170">IF(OR($O170&lt;R$387,$O170&gt;R$388),"",IFERROR(IF($O170=R$387,100,R169)*INDEX($B$2:$B$428,MATCH($O170,$A$2:$A$428,0))/INDEX($B$2:$B$428,MATCH($O170,$A$2:$A$428,0)-1),""))</f>
        <v/>
      </c>
      <c r="S170" s="19" cm="1">
        <f t="array" ref="S170">IF(OR($O170&lt;S$387,$O170&gt;S$388),"",IFERROR(IF($O170=S$387,100,S169)*INDEX($B$2:$B$428,MATCH($O170,$A$2:$A$428,0))/INDEX($B$2:$B$428,MATCH($O170,$A$2:$A$428,0)-1),""))</f>
        <v>101.91458036117102</v>
      </c>
      <c r="T170" s="19" t="str" cm="1">
        <f t="array" ref="T170">IF(OR($O170&lt;T$387,$O170&gt;T$388),"",IFERROR(IF($O170=T$387,100,T169)*INDEX($B$2:$B$428,MATCH($O170,$A$2:$A$428,0))/INDEX($B$2:$B$428,MATCH($O170,$A$2:$A$428,0)-1),""))</f>
        <v/>
      </c>
      <c r="U170" s="19" t="str" cm="1">
        <f t="array" ref="U170">IF(OR($O170&lt;U$387,$O170&gt;U$388),"",IFERROR(IF($O170=U$387,100,U169)*INDEX($B$2:$B$428,MATCH($O170,$A$2:$A$428,0))/INDEX($B$2:$B$428,MATCH($O170,$A$2:$A$428,0)-1),""))</f>
        <v/>
      </c>
      <c r="V170" s="19" t="str" cm="1">
        <f t="array" ref="V170">IF(OR($O170&lt;V$387,$O170&gt;V$388),"",IFERROR(IF($O170=V$387,100,V169)*INDEX($B$2:$B$428,MATCH($O170,$A$2:$A$428,0))/INDEX($B$2:$B$428,MATCH($O170,$A$2:$A$428,0)-1),""))</f>
        <v/>
      </c>
      <c r="W170" s="19" t="str" cm="1">
        <f t="array" ref="W170">IF(OR($O170&lt;W$387,$O170&gt;W$388),"",IFERROR(IF($O170=W$387,100,W169)*INDEX($B$2:$B$428,MATCH($O170,$A$2:$A$428,0))/INDEX($B$2:$B$428,MATCH($O170,$A$2:$A$428,0)-1),""))</f>
        <v/>
      </c>
      <c r="X170" s="19" t="str" cm="1">
        <f t="array" ref="X170">IF(OR($O170&lt;X$387,$O170&gt;X$388),"",IFERROR(IF($O170=X$387,100,X169)*INDEX($B$2:$B$428,MATCH($O170,$A$2:$A$428,0))/INDEX($B$2:$B$428,MATCH($O170,$A$2:$A$428,0)-1),""))</f>
        <v/>
      </c>
      <c r="AA170" s="19"/>
      <c r="AB170" s="19"/>
      <c r="AC170" s="19"/>
      <c r="AD170" s="19"/>
      <c r="AE170" s="19"/>
      <c r="AF170" s="19"/>
      <c r="AG170" s="19"/>
      <c r="AH170" s="19"/>
      <c r="AJ170" s="11">
        <v>37987</v>
      </c>
      <c r="AK170">
        <v>1734691.7</v>
      </c>
      <c r="AL170" s="26">
        <f t="shared" si="24"/>
        <v>0.7161634369957498</v>
      </c>
    </row>
    <row r="171" spans="1:38" x14ac:dyDescent="0.3">
      <c r="A171" s="11">
        <v>38384</v>
      </c>
      <c r="B171" s="18">
        <v>607554.64</v>
      </c>
      <c r="C171" s="18">
        <v>961434.65</v>
      </c>
      <c r="D171" s="18">
        <v>1352211.3</v>
      </c>
      <c r="E171" s="11">
        <f t="shared" si="19"/>
        <v>38384</v>
      </c>
      <c r="F171" s="9">
        <f t="shared" si="21"/>
        <v>4.1613294858198646E-2</v>
      </c>
      <c r="G171" s="9">
        <f t="shared" si="22"/>
        <v>5.5959741596391721E-2</v>
      </c>
      <c r="H171" s="9">
        <f t="shared" si="23"/>
        <v>7.965233409430561E-2</v>
      </c>
      <c r="I171" s="11">
        <f t="shared" si="20"/>
        <v>38384</v>
      </c>
      <c r="O171" s="11">
        <v>39845</v>
      </c>
      <c r="P171" s="19" t="str" cm="1">
        <f t="array" ref="P171">IF(OR($O171&lt;P$387,$O171&gt;P$388),"",IFERROR(IF($O171=P$387,100,P170)*INDEX($B$2:$B$428,MATCH($O171,$A$2:$A$428,0))/INDEX($B$2:$B$428,MATCH($O171,$A$2:$A$428,0)-1),""))</f>
        <v/>
      </c>
      <c r="Q171" s="19" t="str" cm="1">
        <f t="array" ref="Q171">IF(OR($O171&lt;Q$387,$O171&gt;Q$388),"",IFERROR(IF($O171=Q$387,100,Q170)*INDEX($B$2:$B$428,MATCH($O171,$A$2:$A$428,0))/INDEX($B$2:$B$428,MATCH($O171,$A$2:$A$428,0)-1),""))</f>
        <v/>
      </c>
      <c r="R171" s="19" t="str" cm="1">
        <f t="array" ref="R171">IF(OR($O171&lt;R$387,$O171&gt;R$388),"",IFERROR(IF($O171=R$387,100,R170)*INDEX($B$2:$B$428,MATCH($O171,$A$2:$A$428,0))/INDEX($B$2:$B$428,MATCH($O171,$A$2:$A$428,0)-1),""))</f>
        <v/>
      </c>
      <c r="S171" s="19" cm="1">
        <f t="array" ref="S171">IF(OR($O171&lt;S$387,$O171&gt;S$388),"",IFERROR(IF($O171=S$387,100,S170)*INDEX($B$2:$B$428,MATCH($O171,$A$2:$A$428,0))/INDEX($B$2:$B$428,MATCH($O171,$A$2:$A$428,0)-1),""))</f>
        <v>102.16464699613702</v>
      </c>
      <c r="T171" s="19" t="str" cm="1">
        <f t="array" ref="T171">IF(OR($O171&lt;T$387,$O171&gt;T$388),"",IFERROR(IF($O171=T$387,100,T170)*INDEX($B$2:$B$428,MATCH($O171,$A$2:$A$428,0))/INDEX($B$2:$B$428,MATCH($O171,$A$2:$A$428,0)-1),""))</f>
        <v/>
      </c>
      <c r="U171" s="19" t="str" cm="1">
        <f t="array" ref="U171">IF(OR($O171&lt;U$387,$O171&gt;U$388),"",IFERROR(IF($O171=U$387,100,U170)*INDEX($B$2:$B$428,MATCH($O171,$A$2:$A$428,0))/INDEX($B$2:$B$428,MATCH($O171,$A$2:$A$428,0)-1),""))</f>
        <v/>
      </c>
      <c r="V171" s="19" t="str" cm="1">
        <f t="array" ref="V171">IF(OR($O171&lt;V$387,$O171&gt;V$388),"",IFERROR(IF($O171=V$387,100,V170)*INDEX($B$2:$B$428,MATCH($O171,$A$2:$A$428,0))/INDEX($B$2:$B$428,MATCH($O171,$A$2:$A$428,0)-1),""))</f>
        <v/>
      </c>
      <c r="W171" s="19" t="str" cm="1">
        <f t="array" ref="W171">IF(OR($O171&lt;W$387,$O171&gt;W$388),"",IFERROR(IF($O171=W$387,100,W170)*INDEX($B$2:$B$428,MATCH($O171,$A$2:$A$428,0))/INDEX($B$2:$B$428,MATCH($O171,$A$2:$A$428,0)-1),""))</f>
        <v/>
      </c>
      <c r="X171" s="19" t="str" cm="1">
        <f t="array" ref="X171">IF(OR($O171&lt;X$387,$O171&gt;X$388),"",IFERROR(IF($O171=X$387,100,X170)*INDEX($B$2:$B$428,MATCH($O171,$A$2:$A$428,0))/INDEX($B$2:$B$428,MATCH($O171,$A$2:$A$428,0)-1),""))</f>
        <v/>
      </c>
      <c r="AA171" s="19"/>
      <c r="AB171" s="19"/>
      <c r="AC171" s="19"/>
      <c r="AD171" s="19"/>
      <c r="AE171" s="19"/>
      <c r="AF171" s="19"/>
      <c r="AG171" s="19"/>
      <c r="AH171" s="19"/>
      <c r="AJ171" s="11">
        <v>38018</v>
      </c>
      <c r="AK171">
        <v>1744968.7</v>
      </c>
      <c r="AL171" s="26">
        <f t="shared" si="24"/>
        <v>0.7177496536184288</v>
      </c>
    </row>
    <row r="172" spans="1:38" x14ac:dyDescent="0.3">
      <c r="A172" s="11">
        <v>38412</v>
      </c>
      <c r="B172" s="18">
        <v>613739.76</v>
      </c>
      <c r="C172" s="18">
        <v>970529.23</v>
      </c>
      <c r="D172" s="18">
        <v>1387209.78</v>
      </c>
      <c r="E172" s="11">
        <f t="shared" si="19"/>
        <v>38412</v>
      </c>
      <c r="F172" s="9">
        <f t="shared" si="21"/>
        <v>5.6757621024054128E-2</v>
      </c>
      <c r="G172" s="9">
        <f t="shared" si="22"/>
        <v>6.2301498989787651E-2</v>
      </c>
      <c r="H172" s="9">
        <f t="shared" si="23"/>
        <v>8.8483982641910153E-2</v>
      </c>
      <c r="I172" s="11">
        <f t="shared" si="20"/>
        <v>38412</v>
      </c>
      <c r="O172" s="11">
        <v>39873</v>
      </c>
      <c r="P172" s="19" t="str" cm="1">
        <f t="array" ref="P172">IF(OR($O172&lt;P$387,$O172&gt;P$388),"",IFERROR(IF($O172=P$387,100,P171)*INDEX($B$2:$B$428,MATCH($O172,$A$2:$A$428,0))/INDEX($B$2:$B$428,MATCH($O172,$A$2:$A$428,0)-1),""))</f>
        <v/>
      </c>
      <c r="Q172" s="19" t="str" cm="1">
        <f t="array" ref="Q172">IF(OR($O172&lt;Q$387,$O172&gt;Q$388),"",IFERROR(IF($O172=Q$387,100,Q171)*INDEX($B$2:$B$428,MATCH($O172,$A$2:$A$428,0))/INDEX($B$2:$B$428,MATCH($O172,$A$2:$A$428,0)-1),""))</f>
        <v/>
      </c>
      <c r="R172" s="19" t="str" cm="1">
        <f t="array" ref="R172">IF(OR($O172&lt;R$387,$O172&gt;R$388),"",IFERROR(IF($O172=R$387,100,R171)*INDEX($B$2:$B$428,MATCH($O172,$A$2:$A$428,0))/INDEX($B$2:$B$428,MATCH($O172,$A$2:$A$428,0)-1),""))</f>
        <v/>
      </c>
      <c r="S172" s="19" cm="1">
        <f t="array" ref="S172">IF(OR($O172&lt;S$387,$O172&gt;S$388),"",IFERROR(IF($O172=S$387,100,S171)*INDEX($B$2:$B$428,MATCH($O172,$A$2:$A$428,0))/INDEX($B$2:$B$428,MATCH($O172,$A$2:$A$428,0)-1),""))</f>
        <v>103.58241428362285</v>
      </c>
      <c r="T172" s="19" t="str" cm="1">
        <f t="array" ref="T172">IF(OR($O172&lt;T$387,$O172&gt;T$388),"",IFERROR(IF($O172=T$387,100,T171)*INDEX($B$2:$B$428,MATCH($O172,$A$2:$A$428,0))/INDEX($B$2:$B$428,MATCH($O172,$A$2:$A$428,0)-1),""))</f>
        <v/>
      </c>
      <c r="U172" s="19" t="str" cm="1">
        <f t="array" ref="U172">IF(OR($O172&lt;U$387,$O172&gt;U$388),"",IFERROR(IF($O172=U$387,100,U171)*INDEX($B$2:$B$428,MATCH($O172,$A$2:$A$428,0))/INDEX($B$2:$B$428,MATCH($O172,$A$2:$A$428,0)-1),""))</f>
        <v/>
      </c>
      <c r="V172" s="19" t="str" cm="1">
        <f t="array" ref="V172">IF(OR($O172&lt;V$387,$O172&gt;V$388),"",IFERROR(IF($O172=V$387,100,V171)*INDEX($B$2:$B$428,MATCH($O172,$A$2:$A$428,0))/INDEX($B$2:$B$428,MATCH($O172,$A$2:$A$428,0)-1),""))</f>
        <v/>
      </c>
      <c r="W172" s="19" t="str" cm="1">
        <f t="array" ref="W172">IF(OR($O172&lt;W$387,$O172&gt;W$388),"",IFERROR(IF($O172=W$387,100,W171)*INDEX($B$2:$B$428,MATCH($O172,$A$2:$A$428,0))/INDEX($B$2:$B$428,MATCH($O172,$A$2:$A$428,0)-1),""))</f>
        <v/>
      </c>
      <c r="X172" s="19" t="str" cm="1">
        <f t="array" ref="X172">IF(OR($O172&lt;X$387,$O172&gt;X$388),"",IFERROR(IF($O172=X$387,100,X171)*INDEX($B$2:$B$428,MATCH($O172,$A$2:$A$428,0))/INDEX($B$2:$B$428,MATCH($O172,$A$2:$A$428,0)-1),""))</f>
        <v/>
      </c>
      <c r="AA172" s="19"/>
      <c r="AB172" s="19"/>
      <c r="AC172" s="19"/>
      <c r="AD172" s="19"/>
      <c r="AE172" s="19"/>
      <c r="AF172" s="19"/>
      <c r="AG172" s="19"/>
      <c r="AH172" s="19"/>
      <c r="AJ172" s="11">
        <v>38047</v>
      </c>
      <c r="AK172">
        <v>1765492.2</v>
      </c>
      <c r="AL172" s="26">
        <f t="shared" si="24"/>
        <v>0.72186219231101678</v>
      </c>
    </row>
    <row r="173" spans="1:38" x14ac:dyDescent="0.3">
      <c r="A173" s="11">
        <v>38443</v>
      </c>
      <c r="B173" s="18">
        <v>602637.25</v>
      </c>
      <c r="C173" s="18">
        <v>956982.76</v>
      </c>
      <c r="D173" s="18">
        <v>1374128.85</v>
      </c>
      <c r="E173" s="11">
        <f t="shared" si="19"/>
        <v>38443</v>
      </c>
      <c r="F173" s="9">
        <f t="shared" si="21"/>
        <v>3.3192099137243636E-2</v>
      </c>
      <c r="G173" s="9">
        <f t="shared" si="22"/>
        <v>4.2355966465900341E-2</v>
      </c>
      <c r="H173" s="9">
        <f t="shared" si="23"/>
        <v>8.1891260535030597E-2</v>
      </c>
      <c r="I173" s="11">
        <f t="shared" si="20"/>
        <v>38443</v>
      </c>
      <c r="O173" s="11">
        <v>39904</v>
      </c>
      <c r="P173" s="19" t="str" cm="1">
        <f t="array" ref="P173">IF(OR($O173&lt;P$387,$O173&gt;P$388),"",IFERROR(IF($O173=P$387,100,P172)*INDEX($B$2:$B$428,MATCH($O173,$A$2:$A$428,0))/INDEX($B$2:$B$428,MATCH($O173,$A$2:$A$428,0)-1),""))</f>
        <v/>
      </c>
      <c r="Q173" s="19" t="str" cm="1">
        <f t="array" ref="Q173">IF(OR($O173&lt;Q$387,$O173&gt;Q$388),"",IFERROR(IF($O173=Q$387,100,Q172)*INDEX($B$2:$B$428,MATCH($O173,$A$2:$A$428,0))/INDEX($B$2:$B$428,MATCH($O173,$A$2:$A$428,0)-1),""))</f>
        <v/>
      </c>
      <c r="R173" s="19" t="str" cm="1">
        <f t="array" ref="R173">IF(OR($O173&lt;R$387,$O173&gt;R$388),"",IFERROR(IF($O173=R$387,100,R172)*INDEX($B$2:$B$428,MATCH($O173,$A$2:$A$428,0))/INDEX($B$2:$B$428,MATCH($O173,$A$2:$A$428,0)-1),""))</f>
        <v/>
      </c>
      <c r="S173" s="19" cm="1">
        <f t="array" ref="S173">IF(OR($O173&lt;S$387,$O173&gt;S$388),"",IFERROR(IF($O173=S$387,100,S172)*INDEX($B$2:$B$428,MATCH($O173,$A$2:$A$428,0))/INDEX($B$2:$B$428,MATCH($O173,$A$2:$A$428,0)-1),""))</f>
        <v>107.24058014252459</v>
      </c>
      <c r="T173" s="19" t="str" cm="1">
        <f t="array" ref="T173">IF(OR($O173&lt;T$387,$O173&gt;T$388),"",IFERROR(IF($O173=T$387,100,T172)*INDEX($B$2:$B$428,MATCH($O173,$A$2:$A$428,0))/INDEX($B$2:$B$428,MATCH($O173,$A$2:$A$428,0)-1),""))</f>
        <v/>
      </c>
      <c r="U173" s="19" t="str" cm="1">
        <f t="array" ref="U173">IF(OR($O173&lt;U$387,$O173&gt;U$388),"",IFERROR(IF($O173=U$387,100,U172)*INDEX($B$2:$B$428,MATCH($O173,$A$2:$A$428,0))/INDEX($B$2:$B$428,MATCH($O173,$A$2:$A$428,0)-1),""))</f>
        <v/>
      </c>
      <c r="V173" s="19" t="str" cm="1">
        <f t="array" ref="V173">IF(OR($O173&lt;V$387,$O173&gt;V$388),"",IFERROR(IF($O173=V$387,100,V172)*INDEX($B$2:$B$428,MATCH($O173,$A$2:$A$428,0))/INDEX($B$2:$B$428,MATCH($O173,$A$2:$A$428,0)-1),""))</f>
        <v/>
      </c>
      <c r="W173" s="19" t="str" cm="1">
        <f t="array" ref="W173">IF(OR($O173&lt;W$387,$O173&gt;W$388),"",IFERROR(IF($O173=W$387,100,W172)*INDEX($B$2:$B$428,MATCH($O173,$A$2:$A$428,0))/INDEX($B$2:$B$428,MATCH($O173,$A$2:$A$428,0)-1),""))</f>
        <v/>
      </c>
      <c r="X173" s="19" t="str" cm="1">
        <f t="array" ref="X173">IF(OR($O173&lt;X$387,$O173&gt;X$388),"",IFERROR(IF($O173=X$387,100,X172)*INDEX($B$2:$B$428,MATCH($O173,$A$2:$A$428,0))/INDEX($B$2:$B$428,MATCH($O173,$A$2:$A$428,0)-1),""))</f>
        <v/>
      </c>
      <c r="AA173" s="19"/>
      <c r="AB173" s="19"/>
      <c r="AC173" s="19"/>
      <c r="AD173" s="19"/>
      <c r="AE173" s="19"/>
      <c r="AF173" s="19"/>
      <c r="AG173" s="19"/>
      <c r="AH173" s="19"/>
      <c r="AJ173" s="11">
        <v>38078</v>
      </c>
      <c r="AK173">
        <v>1783604.9</v>
      </c>
      <c r="AL173" s="26">
        <f t="shared" si="24"/>
        <v>0.71210689093756141</v>
      </c>
    </row>
    <row r="174" spans="1:38" x14ac:dyDescent="0.3">
      <c r="A174" s="11">
        <v>38473</v>
      </c>
      <c r="B174" s="18">
        <v>606148.71</v>
      </c>
      <c r="C174" s="18">
        <v>952854.87</v>
      </c>
      <c r="D174" s="18">
        <v>1383126.24</v>
      </c>
      <c r="E174" s="11">
        <f t="shared" si="19"/>
        <v>38473</v>
      </c>
      <c r="F174" s="9">
        <f t="shared" si="21"/>
        <v>1.408290874428908E-2</v>
      </c>
      <c r="G174" s="9">
        <f t="shared" si="22"/>
        <v>1.2309830732377458E-2</v>
      </c>
      <c r="H174" s="9">
        <f t="shared" si="23"/>
        <v>8.6390555689890958E-2</v>
      </c>
      <c r="I174" s="11">
        <f t="shared" si="20"/>
        <v>38473</v>
      </c>
      <c r="O174" s="11">
        <v>39934</v>
      </c>
      <c r="P174" s="19" t="str" cm="1">
        <f t="array" ref="P174">IF(OR($O174&lt;P$387,$O174&gt;P$388),"",IFERROR(IF($O174=P$387,100,P173)*INDEX($B$2:$B$428,MATCH($O174,$A$2:$A$428,0))/INDEX($B$2:$B$428,MATCH($O174,$A$2:$A$428,0)-1),""))</f>
        <v/>
      </c>
      <c r="Q174" s="19" t="str" cm="1">
        <f t="array" ref="Q174">IF(OR($O174&lt;Q$387,$O174&gt;Q$388),"",IFERROR(IF($O174=Q$387,100,Q173)*INDEX($B$2:$B$428,MATCH($O174,$A$2:$A$428,0))/INDEX($B$2:$B$428,MATCH($O174,$A$2:$A$428,0)-1),""))</f>
        <v/>
      </c>
      <c r="R174" s="19" t="str" cm="1">
        <f t="array" ref="R174">IF(OR($O174&lt;R$387,$O174&gt;R$388),"",IFERROR(IF($O174=R$387,100,R173)*INDEX($B$2:$B$428,MATCH($O174,$A$2:$A$428,0))/INDEX($B$2:$B$428,MATCH($O174,$A$2:$A$428,0)-1),""))</f>
        <v/>
      </c>
      <c r="S174" s="19" cm="1">
        <f t="array" ref="S174">IF(OR($O174&lt;S$387,$O174&gt;S$388),"",IFERROR(IF($O174=S$387,100,S173)*INDEX($B$2:$B$428,MATCH($O174,$A$2:$A$428,0))/INDEX($B$2:$B$428,MATCH($O174,$A$2:$A$428,0)-1),""))</f>
        <v>112.73180011934761</v>
      </c>
      <c r="T174" s="19" t="str" cm="1">
        <f t="array" ref="T174">IF(OR($O174&lt;T$387,$O174&gt;T$388),"",IFERROR(IF($O174=T$387,100,T173)*INDEX($B$2:$B$428,MATCH($O174,$A$2:$A$428,0))/INDEX($B$2:$B$428,MATCH($O174,$A$2:$A$428,0)-1),""))</f>
        <v/>
      </c>
      <c r="U174" s="19" t="str" cm="1">
        <f t="array" ref="U174">IF(OR($O174&lt;U$387,$O174&gt;U$388),"",IFERROR(IF($O174=U$387,100,U173)*INDEX($B$2:$B$428,MATCH($O174,$A$2:$A$428,0))/INDEX($B$2:$B$428,MATCH($O174,$A$2:$A$428,0)-1),""))</f>
        <v/>
      </c>
      <c r="V174" s="19" t="str" cm="1">
        <f t="array" ref="V174">IF(OR($O174&lt;V$387,$O174&gt;V$388),"",IFERROR(IF($O174=V$387,100,V173)*INDEX($B$2:$B$428,MATCH($O174,$A$2:$A$428,0))/INDEX($B$2:$B$428,MATCH($O174,$A$2:$A$428,0)-1),""))</f>
        <v/>
      </c>
      <c r="W174" s="19" t="str" cm="1">
        <f t="array" ref="W174">IF(OR($O174&lt;W$387,$O174&gt;W$388),"",IFERROR(IF($O174=W$387,100,W173)*INDEX($B$2:$B$428,MATCH($O174,$A$2:$A$428,0))/INDEX($B$2:$B$428,MATCH($O174,$A$2:$A$428,0)-1),""))</f>
        <v/>
      </c>
      <c r="X174" s="19" t="str" cm="1">
        <f t="array" ref="X174">IF(OR($O174&lt;X$387,$O174&gt;X$388),"",IFERROR(IF($O174=X$387,100,X173)*INDEX($B$2:$B$428,MATCH($O174,$A$2:$A$428,0))/INDEX($B$2:$B$428,MATCH($O174,$A$2:$A$428,0)-1),""))</f>
        <v/>
      </c>
      <c r="AA174" s="19"/>
      <c r="AB174" s="19"/>
      <c r="AC174" s="19"/>
      <c r="AD174" s="19"/>
      <c r="AE174" s="19"/>
      <c r="AF174" s="19"/>
      <c r="AG174" s="19"/>
      <c r="AH174" s="19"/>
      <c r="AJ174" s="11">
        <v>38108</v>
      </c>
      <c r="AK174">
        <v>1803660.1</v>
      </c>
      <c r="AL174" s="26">
        <f t="shared" si="24"/>
        <v>0.70586417584998418</v>
      </c>
    </row>
    <row r="175" spans="1:38" x14ac:dyDescent="0.3">
      <c r="A175" s="11">
        <v>38504</v>
      </c>
      <c r="B175" s="18">
        <v>617106.93000000005</v>
      </c>
      <c r="C175" s="18">
        <v>960506.01</v>
      </c>
      <c r="D175" s="18">
        <v>1398273.99</v>
      </c>
      <c r="E175" s="11">
        <f t="shared" si="19"/>
        <v>38504</v>
      </c>
      <c r="F175" s="9">
        <f t="shared" si="21"/>
        <v>3.4949348930084723E-2</v>
      </c>
      <c r="G175" s="9">
        <f t="shared" si="22"/>
        <v>1.4755648632875928E-2</v>
      </c>
      <c r="H175" s="9">
        <f t="shared" si="23"/>
        <v>7.9931084240083994E-2</v>
      </c>
      <c r="I175" s="11">
        <f t="shared" si="20"/>
        <v>38504</v>
      </c>
      <c r="O175" s="11">
        <v>39965</v>
      </c>
      <c r="P175" s="19" t="str" cm="1">
        <f t="array" ref="P175">IF(OR($O175&lt;P$387,$O175&gt;P$388),"",IFERROR(IF($O175=P$387,100,P174)*INDEX($B$2:$B$428,MATCH($O175,$A$2:$A$428,0))/INDEX($B$2:$B$428,MATCH($O175,$A$2:$A$428,0)-1),""))</f>
        <v/>
      </c>
      <c r="Q175" s="19" t="str" cm="1">
        <f t="array" ref="Q175">IF(OR($O175&lt;Q$387,$O175&gt;Q$388),"",IFERROR(IF($O175=Q$387,100,Q174)*INDEX($B$2:$B$428,MATCH($O175,$A$2:$A$428,0))/INDEX($B$2:$B$428,MATCH($O175,$A$2:$A$428,0)-1),""))</f>
        <v/>
      </c>
      <c r="R175" s="19" t="str" cm="1">
        <f t="array" ref="R175">IF(OR($O175&lt;R$387,$O175&gt;R$388),"",IFERROR(IF($O175=R$387,100,R174)*INDEX($B$2:$B$428,MATCH($O175,$A$2:$A$428,0))/INDEX($B$2:$B$428,MATCH($O175,$A$2:$A$428,0)-1),""))</f>
        <v/>
      </c>
      <c r="S175" s="19" cm="1">
        <f t="array" ref="S175">IF(OR($O175&lt;S$387,$O175&gt;S$388),"",IFERROR(IF($O175=S$387,100,S174)*INDEX($B$2:$B$428,MATCH($O175,$A$2:$A$428,0))/INDEX($B$2:$B$428,MATCH($O175,$A$2:$A$428,0)-1),""))</f>
        <v>114.95919923226947</v>
      </c>
      <c r="T175" s="19" t="str" cm="1">
        <f t="array" ref="T175">IF(OR($O175&lt;T$387,$O175&gt;T$388),"",IFERROR(IF($O175=T$387,100,T174)*INDEX($B$2:$B$428,MATCH($O175,$A$2:$A$428,0))/INDEX($B$2:$B$428,MATCH($O175,$A$2:$A$428,0)-1),""))</f>
        <v/>
      </c>
      <c r="U175" s="19" t="str" cm="1">
        <f t="array" ref="U175">IF(OR($O175&lt;U$387,$O175&gt;U$388),"",IFERROR(IF($O175=U$387,100,U174)*INDEX($B$2:$B$428,MATCH($O175,$A$2:$A$428,0))/INDEX($B$2:$B$428,MATCH($O175,$A$2:$A$428,0)-1),""))</f>
        <v/>
      </c>
      <c r="V175" s="19" t="str" cm="1">
        <f t="array" ref="V175">IF(OR($O175&lt;V$387,$O175&gt;V$388),"",IFERROR(IF($O175=V$387,100,V174)*INDEX($B$2:$B$428,MATCH($O175,$A$2:$A$428,0))/INDEX($B$2:$B$428,MATCH($O175,$A$2:$A$428,0)-1),""))</f>
        <v/>
      </c>
      <c r="W175" s="19" t="str" cm="1">
        <f t="array" ref="W175">IF(OR($O175&lt;W$387,$O175&gt;W$388),"",IFERROR(IF($O175=W$387,100,W174)*INDEX($B$2:$B$428,MATCH($O175,$A$2:$A$428,0))/INDEX($B$2:$B$428,MATCH($O175,$A$2:$A$428,0)-1),""))</f>
        <v/>
      </c>
      <c r="X175" s="19" t="str" cm="1">
        <f t="array" ref="X175">IF(OR($O175&lt;X$387,$O175&gt;X$388),"",IFERROR(IF($O175=X$387,100,X174)*INDEX($B$2:$B$428,MATCH($O175,$A$2:$A$428,0))/INDEX($B$2:$B$428,MATCH($O175,$A$2:$A$428,0)-1),""))</f>
        <v/>
      </c>
      <c r="AA175" s="19"/>
      <c r="AB175" s="19"/>
      <c r="AC175" s="19"/>
      <c r="AD175" s="19"/>
      <c r="AE175" s="19"/>
      <c r="AF175" s="19"/>
      <c r="AG175" s="19"/>
      <c r="AH175" s="19"/>
      <c r="AJ175" s="11">
        <v>38139</v>
      </c>
      <c r="AK175">
        <v>1828299.9</v>
      </c>
      <c r="AL175" s="26">
        <f t="shared" si="24"/>
        <v>0.70818838856798061</v>
      </c>
    </row>
    <row r="176" spans="1:38" x14ac:dyDescent="0.3">
      <c r="A176" s="11">
        <v>38534</v>
      </c>
      <c r="B176" s="18">
        <v>625108.05000000005</v>
      </c>
      <c r="C176" s="18">
        <v>970176.25</v>
      </c>
      <c r="D176" s="18">
        <v>1404555.34</v>
      </c>
      <c r="E176" s="11">
        <f t="shared" si="19"/>
        <v>38534</v>
      </c>
      <c r="F176" s="9">
        <f t="shared" si="21"/>
        <v>5.3649876402106722E-2</v>
      </c>
      <c r="G176" s="9">
        <f t="shared" si="22"/>
        <v>2.6664370883678234E-2</v>
      </c>
      <c r="H176" s="9">
        <f t="shared" si="23"/>
        <v>8.9785812492812367E-2</v>
      </c>
      <c r="I176" s="11">
        <f t="shared" si="20"/>
        <v>38534</v>
      </c>
      <c r="O176" s="11">
        <v>39995</v>
      </c>
      <c r="P176" s="19" t="str" cm="1">
        <f t="array" ref="P176">IF(OR($O176&lt;P$387,$O176&gt;P$388),"",IFERROR(IF($O176=P$387,100,P175)*INDEX($B$2:$B$428,MATCH($O176,$A$2:$A$428,0))/INDEX($B$2:$B$428,MATCH($O176,$A$2:$A$428,0)-1),""))</f>
        <v/>
      </c>
      <c r="Q176" s="19" t="str" cm="1">
        <f t="array" ref="Q176">IF(OR($O176&lt;Q$387,$O176&gt;Q$388),"",IFERROR(IF($O176=Q$387,100,Q175)*INDEX($B$2:$B$428,MATCH($O176,$A$2:$A$428,0))/INDEX($B$2:$B$428,MATCH($O176,$A$2:$A$428,0)-1),""))</f>
        <v/>
      </c>
      <c r="R176" s="19" t="str" cm="1">
        <f t="array" ref="R176">IF(OR($O176&lt;R$387,$O176&gt;R$388),"",IFERROR(IF($O176=R$387,100,R175)*INDEX($B$2:$B$428,MATCH($O176,$A$2:$A$428,0))/INDEX($B$2:$B$428,MATCH($O176,$A$2:$A$428,0)-1),""))</f>
        <v/>
      </c>
      <c r="S176" s="19" cm="1">
        <f t="array" ref="S176">IF(OR($O176&lt;S$387,$O176&gt;S$388),"",IFERROR(IF($O176=S$387,100,S175)*INDEX($B$2:$B$428,MATCH($O176,$A$2:$A$428,0))/INDEX($B$2:$B$428,MATCH($O176,$A$2:$A$428,0)-1),""))</f>
        <v>118.44310303502625</v>
      </c>
      <c r="T176" s="19" t="str" cm="1">
        <f t="array" ref="T176">IF(OR($O176&lt;T$387,$O176&gt;T$388),"",IFERROR(IF($O176=T$387,100,T175)*INDEX($B$2:$B$428,MATCH($O176,$A$2:$A$428,0))/INDEX($B$2:$B$428,MATCH($O176,$A$2:$A$428,0)-1),""))</f>
        <v/>
      </c>
      <c r="U176" s="19" t="str" cm="1">
        <f t="array" ref="U176">IF(OR($O176&lt;U$387,$O176&gt;U$388),"",IFERROR(IF($O176=U$387,100,U175)*INDEX($B$2:$B$428,MATCH($O176,$A$2:$A$428,0))/INDEX($B$2:$B$428,MATCH($O176,$A$2:$A$428,0)-1),""))</f>
        <v/>
      </c>
      <c r="V176" s="19" t="str" cm="1">
        <f t="array" ref="V176">IF(OR($O176&lt;V$387,$O176&gt;V$388),"",IFERROR(IF($O176=V$387,100,V175)*INDEX($B$2:$B$428,MATCH($O176,$A$2:$A$428,0))/INDEX($B$2:$B$428,MATCH($O176,$A$2:$A$428,0)-1),""))</f>
        <v/>
      </c>
      <c r="W176" s="19" t="str" cm="1">
        <f t="array" ref="W176">IF(OR($O176&lt;W$387,$O176&gt;W$388),"",IFERROR(IF($O176=W$387,100,W175)*INDEX($B$2:$B$428,MATCH($O176,$A$2:$A$428,0))/INDEX($B$2:$B$428,MATCH($O176,$A$2:$A$428,0)-1),""))</f>
        <v/>
      </c>
      <c r="X176" s="19" t="str" cm="1">
        <f t="array" ref="X176">IF(OR($O176&lt;X$387,$O176&gt;X$388),"",IFERROR(IF($O176=X$387,100,X175)*INDEX($B$2:$B$428,MATCH($O176,$A$2:$A$428,0))/INDEX($B$2:$B$428,MATCH($O176,$A$2:$A$428,0)-1),""))</f>
        <v/>
      </c>
      <c r="AA176" s="19"/>
      <c r="AB176" s="19"/>
      <c r="AC176" s="19"/>
      <c r="AD176" s="19"/>
      <c r="AE176" s="19"/>
      <c r="AF176" s="19"/>
      <c r="AG176" s="19"/>
      <c r="AH176" s="19"/>
      <c r="AJ176" s="11">
        <v>38169</v>
      </c>
      <c r="AK176">
        <v>1851889.2</v>
      </c>
      <c r="AL176" s="26">
        <f t="shared" si="24"/>
        <v>0.69595747952955278</v>
      </c>
    </row>
    <row r="177" spans="1:38" x14ac:dyDescent="0.3">
      <c r="A177" s="11">
        <v>38565</v>
      </c>
      <c r="B177" s="18">
        <v>632483.03</v>
      </c>
      <c r="C177" s="18">
        <v>976027.54</v>
      </c>
      <c r="D177" s="18">
        <v>1412062.79</v>
      </c>
      <c r="E177" s="11">
        <f t="shared" si="19"/>
        <v>38565</v>
      </c>
      <c r="F177" s="9">
        <f t="shared" si="21"/>
        <v>6.7519923494322009E-2</v>
      </c>
      <c r="G177" s="9">
        <f t="shared" si="22"/>
        <v>3.2067363250888326E-2</v>
      </c>
      <c r="H177" s="9">
        <f t="shared" si="23"/>
        <v>9.3084085841556918E-2</v>
      </c>
      <c r="I177" s="11">
        <f t="shared" si="20"/>
        <v>38565</v>
      </c>
      <c r="O177" s="11">
        <v>40026</v>
      </c>
      <c r="P177" s="19" t="str" cm="1">
        <f t="array" ref="P177">IF(OR($O177&lt;P$387,$O177&gt;P$388),"",IFERROR(IF($O177=P$387,100,P176)*INDEX($B$2:$B$428,MATCH($O177,$A$2:$A$428,0))/INDEX($B$2:$B$428,MATCH($O177,$A$2:$A$428,0)-1),""))</f>
        <v/>
      </c>
      <c r="Q177" s="19" t="str" cm="1">
        <f t="array" ref="Q177">IF(OR($O177&lt;Q$387,$O177&gt;Q$388),"",IFERROR(IF($O177=Q$387,100,Q176)*INDEX($B$2:$B$428,MATCH($O177,$A$2:$A$428,0))/INDEX($B$2:$B$428,MATCH($O177,$A$2:$A$428,0)-1),""))</f>
        <v/>
      </c>
      <c r="R177" s="19" t="str" cm="1">
        <f t="array" ref="R177">IF(OR($O177&lt;R$387,$O177&gt;R$388),"",IFERROR(IF($O177=R$387,100,R176)*INDEX($B$2:$B$428,MATCH($O177,$A$2:$A$428,0))/INDEX($B$2:$B$428,MATCH($O177,$A$2:$A$428,0)-1),""))</f>
        <v/>
      </c>
      <c r="S177" s="19" cm="1">
        <f t="array" ref="S177">IF(OR($O177&lt;S$387,$O177&gt;S$388),"",IFERROR(IF($O177=S$387,100,S176)*INDEX($B$2:$B$428,MATCH($O177,$A$2:$A$428,0))/INDEX($B$2:$B$428,MATCH($O177,$A$2:$A$428,0)-1),""))</f>
        <v>119.34937798576421</v>
      </c>
      <c r="T177" s="19" t="str" cm="1">
        <f t="array" ref="T177">IF(OR($O177&lt;T$387,$O177&gt;T$388),"",IFERROR(IF($O177=T$387,100,T176)*INDEX($B$2:$B$428,MATCH($O177,$A$2:$A$428,0))/INDEX($B$2:$B$428,MATCH($O177,$A$2:$A$428,0)-1),""))</f>
        <v/>
      </c>
      <c r="U177" s="19" t="str" cm="1">
        <f t="array" ref="U177">IF(OR($O177&lt;U$387,$O177&gt;U$388),"",IFERROR(IF($O177=U$387,100,U176)*INDEX($B$2:$B$428,MATCH($O177,$A$2:$A$428,0))/INDEX($B$2:$B$428,MATCH($O177,$A$2:$A$428,0)-1),""))</f>
        <v/>
      </c>
      <c r="V177" s="19" t="str" cm="1">
        <f t="array" ref="V177">IF(OR($O177&lt;V$387,$O177&gt;V$388),"",IFERROR(IF($O177=V$387,100,V176)*INDEX($B$2:$B$428,MATCH($O177,$A$2:$A$428,0))/INDEX($B$2:$B$428,MATCH($O177,$A$2:$A$428,0)-1),""))</f>
        <v/>
      </c>
      <c r="W177" s="19" t="str" cm="1">
        <f t="array" ref="W177">IF(OR($O177&lt;W$387,$O177&gt;W$388),"",IFERROR(IF($O177=W$387,100,W176)*INDEX($B$2:$B$428,MATCH($O177,$A$2:$A$428,0))/INDEX($B$2:$B$428,MATCH($O177,$A$2:$A$428,0)-1),""))</f>
        <v/>
      </c>
      <c r="X177" s="19" t="str" cm="1">
        <f t="array" ref="X177">IF(OR($O177&lt;X$387,$O177&gt;X$388),"",IFERROR(IF($O177=X$387,100,X176)*INDEX($B$2:$B$428,MATCH($O177,$A$2:$A$428,0))/INDEX($B$2:$B$428,MATCH($O177,$A$2:$A$428,0)-1),""))</f>
        <v/>
      </c>
      <c r="AA177" s="19"/>
      <c r="AB177" s="19"/>
      <c r="AC177" s="19"/>
      <c r="AD177" s="19"/>
      <c r="AE177" s="19"/>
      <c r="AF177" s="19"/>
      <c r="AG177" s="19"/>
      <c r="AH177" s="19"/>
      <c r="AJ177" s="11">
        <v>38200</v>
      </c>
      <c r="AK177">
        <v>1875591.2</v>
      </c>
      <c r="AL177" s="26">
        <f t="shared" si="24"/>
        <v>0.68875101354708856</v>
      </c>
    </row>
    <row r="178" spans="1:38" x14ac:dyDescent="0.3">
      <c r="A178" s="11">
        <v>38596</v>
      </c>
      <c r="B178" s="18">
        <v>637990.27</v>
      </c>
      <c r="C178" s="18">
        <v>971650.69</v>
      </c>
      <c r="D178" s="18">
        <v>1422334.89</v>
      </c>
      <c r="E178" s="11">
        <f t="shared" si="19"/>
        <v>38596</v>
      </c>
      <c r="F178" s="9">
        <f t="shared" si="21"/>
        <v>8.498532237361256E-2</v>
      </c>
      <c r="G178" s="9">
        <f t="shared" si="22"/>
        <v>3.1230353677426326E-2</v>
      </c>
      <c r="H178" s="9">
        <f t="shared" si="23"/>
        <v>9.4561608239483341E-2</v>
      </c>
      <c r="I178" s="11">
        <f t="shared" si="20"/>
        <v>38596</v>
      </c>
      <c r="O178" s="11">
        <v>40057</v>
      </c>
      <c r="P178" s="19" t="str" cm="1">
        <f t="array" ref="P178">IF(OR($O178&lt;P$387,$O178&gt;P$388),"",IFERROR(IF($O178=P$387,100,P177)*INDEX($B$2:$B$428,MATCH($O178,$A$2:$A$428,0))/INDEX($B$2:$B$428,MATCH($O178,$A$2:$A$428,0)-1),""))</f>
        <v/>
      </c>
      <c r="Q178" s="19" t="str" cm="1">
        <f t="array" ref="Q178">IF(OR($O178&lt;Q$387,$O178&gt;Q$388),"",IFERROR(IF($O178=Q$387,100,Q177)*INDEX($B$2:$B$428,MATCH($O178,$A$2:$A$428,0))/INDEX($B$2:$B$428,MATCH($O178,$A$2:$A$428,0)-1),""))</f>
        <v/>
      </c>
      <c r="R178" s="19" t="str" cm="1">
        <f t="array" ref="R178">IF(OR($O178&lt;R$387,$O178&gt;R$388),"",IFERROR(IF($O178=R$387,100,R177)*INDEX($B$2:$B$428,MATCH($O178,$A$2:$A$428,0))/INDEX($B$2:$B$428,MATCH($O178,$A$2:$A$428,0)-1),""))</f>
        <v/>
      </c>
      <c r="S178" s="19" cm="1">
        <f t="array" ref="S178">IF(OR($O178&lt;S$387,$O178&gt;S$388),"",IFERROR(IF($O178=S$387,100,S177)*INDEX($B$2:$B$428,MATCH($O178,$A$2:$A$428,0))/INDEX($B$2:$B$428,MATCH($O178,$A$2:$A$428,0)-1),""))</f>
        <v>124.51451065743575</v>
      </c>
      <c r="T178" s="19" t="str" cm="1">
        <f t="array" ref="T178">IF(OR($O178&lt;T$387,$O178&gt;T$388),"",IFERROR(IF($O178=T$387,100,T177)*INDEX($B$2:$B$428,MATCH($O178,$A$2:$A$428,0))/INDEX($B$2:$B$428,MATCH($O178,$A$2:$A$428,0)-1),""))</f>
        <v/>
      </c>
      <c r="U178" s="19" t="str" cm="1">
        <f t="array" ref="U178">IF(OR($O178&lt;U$387,$O178&gt;U$388),"",IFERROR(IF($O178=U$387,100,U177)*INDEX($B$2:$B$428,MATCH($O178,$A$2:$A$428,0))/INDEX($B$2:$B$428,MATCH($O178,$A$2:$A$428,0)-1),""))</f>
        <v/>
      </c>
      <c r="V178" s="19" t="str" cm="1">
        <f t="array" ref="V178">IF(OR($O178&lt;V$387,$O178&gt;V$388),"",IFERROR(IF($O178=V$387,100,V177)*INDEX($B$2:$B$428,MATCH($O178,$A$2:$A$428,0))/INDEX($B$2:$B$428,MATCH($O178,$A$2:$A$428,0)-1),""))</f>
        <v/>
      </c>
      <c r="W178" s="19" t="str" cm="1">
        <f t="array" ref="W178">IF(OR($O178&lt;W$387,$O178&gt;W$388),"",IFERROR(IF($O178=W$387,100,W177)*INDEX($B$2:$B$428,MATCH($O178,$A$2:$A$428,0))/INDEX($B$2:$B$428,MATCH($O178,$A$2:$A$428,0)-1),""))</f>
        <v/>
      </c>
      <c r="X178" s="19" t="str" cm="1">
        <f t="array" ref="X178">IF(OR($O178&lt;X$387,$O178&gt;X$388),"",IFERROR(IF($O178=X$387,100,X177)*INDEX($B$2:$B$428,MATCH($O178,$A$2:$A$428,0))/INDEX($B$2:$B$428,MATCH($O178,$A$2:$A$428,0)-1),""))</f>
        <v/>
      </c>
      <c r="AA178" s="19"/>
      <c r="AB178" s="19"/>
      <c r="AC178" s="19"/>
      <c r="AD178" s="19"/>
      <c r="AE178" s="19"/>
      <c r="AF178" s="19"/>
      <c r="AG178" s="19"/>
      <c r="AH178" s="19"/>
      <c r="AJ178" s="11">
        <v>38231</v>
      </c>
      <c r="AK178">
        <v>1894202.4</v>
      </c>
      <c r="AL178" s="26">
        <f t="shared" si="24"/>
        <v>0.6860176188141246</v>
      </c>
    </row>
    <row r="179" spans="1:38" x14ac:dyDescent="0.3">
      <c r="A179" s="11">
        <v>38626</v>
      </c>
      <c r="B179" s="18">
        <v>643705.54</v>
      </c>
      <c r="C179" s="18">
        <v>978031.3</v>
      </c>
      <c r="D179" s="18">
        <v>1426315.94</v>
      </c>
      <c r="E179" s="11">
        <f t="shared" si="19"/>
        <v>38626</v>
      </c>
      <c r="F179" s="9">
        <f t="shared" si="21"/>
        <v>8.5644266731106589E-2</v>
      </c>
      <c r="G179" s="9">
        <f t="shared" si="22"/>
        <v>3.0207291824548177E-2</v>
      </c>
      <c r="H179" s="9">
        <f t="shared" si="23"/>
        <v>8.8701038387674958E-2</v>
      </c>
      <c r="I179" s="11">
        <f t="shared" si="20"/>
        <v>38626</v>
      </c>
      <c r="O179" s="11">
        <v>40087</v>
      </c>
      <c r="P179" s="19" t="str" cm="1">
        <f t="array" ref="P179">IF(OR($O179&lt;P$387,$O179&gt;P$388),"",IFERROR(IF($O179=P$387,100,P178)*INDEX($B$2:$B$428,MATCH($O179,$A$2:$A$428,0))/INDEX($B$2:$B$428,MATCH($O179,$A$2:$A$428,0)-1),""))</f>
        <v/>
      </c>
      <c r="Q179" s="19" t="str" cm="1">
        <f t="array" ref="Q179">IF(OR($O179&lt;Q$387,$O179&gt;Q$388),"",IFERROR(IF($O179=Q$387,100,Q178)*INDEX($B$2:$B$428,MATCH($O179,$A$2:$A$428,0))/INDEX($B$2:$B$428,MATCH($O179,$A$2:$A$428,0)-1),""))</f>
        <v/>
      </c>
      <c r="R179" s="19" t="str" cm="1">
        <f t="array" ref="R179">IF(OR($O179&lt;R$387,$O179&gt;R$388),"",IFERROR(IF($O179=R$387,100,R178)*INDEX($B$2:$B$428,MATCH($O179,$A$2:$A$428,0))/INDEX($B$2:$B$428,MATCH($O179,$A$2:$A$428,0)-1),""))</f>
        <v/>
      </c>
      <c r="S179" s="19" cm="1">
        <f t="array" ref="S179">IF(OR($O179&lt;S$387,$O179&gt;S$388),"",IFERROR(IF($O179=S$387,100,S178)*INDEX($B$2:$B$428,MATCH($O179,$A$2:$A$428,0))/INDEX($B$2:$B$428,MATCH($O179,$A$2:$A$428,0)-1),""))</f>
        <v>125.22188777742114</v>
      </c>
      <c r="T179" s="19" t="str" cm="1">
        <f t="array" ref="T179">IF(OR($O179&lt;T$387,$O179&gt;T$388),"",IFERROR(IF($O179=T$387,100,T178)*INDEX($B$2:$B$428,MATCH($O179,$A$2:$A$428,0))/INDEX($B$2:$B$428,MATCH($O179,$A$2:$A$428,0)-1),""))</f>
        <v/>
      </c>
      <c r="U179" s="19" t="str" cm="1">
        <f t="array" ref="U179">IF(OR($O179&lt;U$387,$O179&gt;U$388),"",IFERROR(IF($O179=U$387,100,U178)*INDEX($B$2:$B$428,MATCH($O179,$A$2:$A$428,0))/INDEX($B$2:$B$428,MATCH($O179,$A$2:$A$428,0)-1),""))</f>
        <v/>
      </c>
      <c r="V179" s="19" t="str" cm="1">
        <f t="array" ref="V179">IF(OR($O179&lt;V$387,$O179&gt;V$388),"",IFERROR(IF($O179=V$387,100,V178)*INDEX($B$2:$B$428,MATCH($O179,$A$2:$A$428,0))/INDEX($B$2:$B$428,MATCH($O179,$A$2:$A$428,0)-1),""))</f>
        <v/>
      </c>
      <c r="W179" s="19" t="str" cm="1">
        <f t="array" ref="W179">IF(OR($O179&lt;W$387,$O179&gt;W$388),"",IFERROR(IF($O179=W$387,100,W178)*INDEX($B$2:$B$428,MATCH($O179,$A$2:$A$428,0))/INDEX($B$2:$B$428,MATCH($O179,$A$2:$A$428,0)-1),""))</f>
        <v/>
      </c>
      <c r="X179" s="19" t="str" cm="1">
        <f t="array" ref="X179">IF(OR($O179&lt;X$387,$O179&gt;X$388),"",IFERROR(IF($O179=X$387,100,X178)*INDEX($B$2:$B$428,MATCH($O179,$A$2:$A$428,0))/INDEX($B$2:$B$428,MATCH($O179,$A$2:$A$428,0)-1),""))</f>
        <v/>
      </c>
      <c r="AA179" s="19"/>
      <c r="AB179" s="19"/>
      <c r="AC179" s="19"/>
      <c r="AD179" s="19"/>
      <c r="AE179" s="19"/>
      <c r="AF179" s="19"/>
      <c r="AG179" s="19"/>
      <c r="AH179" s="19"/>
      <c r="AJ179" s="11">
        <v>38261</v>
      </c>
      <c r="AK179">
        <v>1910245.3</v>
      </c>
      <c r="AL179" s="26">
        <f t="shared" si="24"/>
        <v>0.68583233786781206</v>
      </c>
    </row>
    <row r="180" spans="1:38" x14ac:dyDescent="0.3">
      <c r="A180" s="11">
        <v>38657</v>
      </c>
      <c r="B180" s="18">
        <v>650952.31000000006</v>
      </c>
      <c r="C180" s="18">
        <v>983151.52</v>
      </c>
      <c r="D180" s="18">
        <v>1452047.63</v>
      </c>
      <c r="E180" s="11">
        <f t="shared" si="19"/>
        <v>38657</v>
      </c>
      <c r="F180" s="9">
        <f t="shared" si="21"/>
        <v>0.10182922467618827</v>
      </c>
      <c r="G180" s="9">
        <f t="shared" si="22"/>
        <v>4.0068157867746645E-2</v>
      </c>
      <c r="H180" s="9">
        <f t="shared" si="23"/>
        <v>0.10918909493887363</v>
      </c>
      <c r="I180" s="11">
        <f t="shared" si="20"/>
        <v>38657</v>
      </c>
      <c r="O180" s="11">
        <v>40118</v>
      </c>
      <c r="P180" s="19" t="str" cm="1">
        <f t="array" ref="P180">IF(OR($O180&lt;P$387,$O180&gt;P$388),"",IFERROR(IF($O180=P$387,100,P179)*INDEX($B$2:$B$428,MATCH($O180,$A$2:$A$428,0))/INDEX($B$2:$B$428,MATCH($O180,$A$2:$A$428,0)-1),""))</f>
        <v/>
      </c>
      <c r="Q180" s="19" t="str" cm="1">
        <f t="array" ref="Q180">IF(OR($O180&lt;Q$387,$O180&gt;Q$388),"",IFERROR(IF($O180=Q$387,100,Q179)*INDEX($B$2:$B$428,MATCH($O180,$A$2:$A$428,0))/INDEX($B$2:$B$428,MATCH($O180,$A$2:$A$428,0)-1),""))</f>
        <v/>
      </c>
      <c r="R180" s="19" t="str" cm="1">
        <f t="array" ref="R180">IF(OR($O180&lt;R$387,$O180&gt;R$388),"",IFERROR(IF($O180=R$387,100,R179)*INDEX($B$2:$B$428,MATCH($O180,$A$2:$A$428,0))/INDEX($B$2:$B$428,MATCH($O180,$A$2:$A$428,0)-1),""))</f>
        <v/>
      </c>
      <c r="S180" s="19" cm="1">
        <f t="array" ref="S180">IF(OR($O180&lt;S$387,$O180&gt;S$388),"",IFERROR(IF($O180=S$387,100,S179)*INDEX($B$2:$B$428,MATCH($O180,$A$2:$A$428,0))/INDEX($B$2:$B$428,MATCH($O180,$A$2:$A$428,0)-1),""))</f>
        <v>124.96774258783509</v>
      </c>
      <c r="T180" s="19" t="str" cm="1">
        <f t="array" ref="T180">IF(OR($O180&lt;T$387,$O180&gt;T$388),"",IFERROR(IF($O180=T$387,100,T179)*INDEX($B$2:$B$428,MATCH($O180,$A$2:$A$428,0))/INDEX($B$2:$B$428,MATCH($O180,$A$2:$A$428,0)-1),""))</f>
        <v/>
      </c>
      <c r="U180" s="19" t="str" cm="1">
        <f t="array" ref="U180">IF(OR($O180&lt;U$387,$O180&gt;U$388),"",IFERROR(IF($O180=U$387,100,U179)*INDEX($B$2:$B$428,MATCH($O180,$A$2:$A$428,0))/INDEX($B$2:$B$428,MATCH($O180,$A$2:$A$428,0)-1),""))</f>
        <v/>
      </c>
      <c r="V180" s="19" t="str" cm="1">
        <f t="array" ref="V180">IF(OR($O180&lt;V$387,$O180&gt;V$388),"",IFERROR(IF($O180=V$387,100,V179)*INDEX($B$2:$B$428,MATCH($O180,$A$2:$A$428,0))/INDEX($B$2:$B$428,MATCH($O180,$A$2:$A$428,0)-1),""))</f>
        <v/>
      </c>
      <c r="W180" s="19" t="str" cm="1">
        <f t="array" ref="W180">IF(OR($O180&lt;W$387,$O180&gt;W$388),"",IFERROR(IF($O180=W$387,100,W179)*INDEX($B$2:$B$428,MATCH($O180,$A$2:$A$428,0))/INDEX($B$2:$B$428,MATCH($O180,$A$2:$A$428,0)-1),""))</f>
        <v/>
      </c>
      <c r="X180" s="19" t="str" cm="1">
        <f t="array" ref="X180">IF(OR($O180&lt;X$387,$O180&gt;X$388),"",IFERROR(IF($O180=X$387,100,X179)*INDEX($B$2:$B$428,MATCH($O180,$A$2:$A$428,0))/INDEX($B$2:$B$428,MATCH($O180,$A$2:$A$428,0)-1),""))</f>
        <v/>
      </c>
      <c r="AA180" s="19"/>
      <c r="AB180" s="19"/>
      <c r="AC180" s="19"/>
      <c r="AD180" s="19"/>
      <c r="AE180" s="19"/>
      <c r="AF180" s="19"/>
      <c r="AG180" s="19"/>
      <c r="AH180" s="19"/>
      <c r="AJ180" s="11">
        <v>38292</v>
      </c>
      <c r="AK180">
        <v>1933492.4</v>
      </c>
      <c r="AL180" s="26">
        <f t="shared" si="24"/>
        <v>0.67706880047731244</v>
      </c>
    </row>
    <row r="181" spans="1:38" x14ac:dyDescent="0.3">
      <c r="A181" s="11">
        <v>38687</v>
      </c>
      <c r="B181" s="18">
        <v>664223.62</v>
      </c>
      <c r="C181" s="18">
        <v>1010240.62</v>
      </c>
      <c r="D181" s="18">
        <v>1453607.89</v>
      </c>
      <c r="E181" s="11">
        <f t="shared" si="19"/>
        <v>38687</v>
      </c>
      <c r="F181" s="9">
        <f t="shared" si="21"/>
        <v>0.10431959315666095</v>
      </c>
      <c r="G181" s="9">
        <f t="shared" si="22"/>
        <v>5.1090090686325196E-2</v>
      </c>
      <c r="H181" s="9">
        <f t="shared" si="23"/>
        <v>9.1493306567763888E-2</v>
      </c>
      <c r="I181" s="11">
        <f t="shared" si="20"/>
        <v>38687</v>
      </c>
      <c r="O181" s="11">
        <v>40148</v>
      </c>
      <c r="P181" s="19" t="str" cm="1">
        <f t="array" ref="P181">IF(OR($O181&lt;P$387,$O181&gt;P$388),"",IFERROR(IF($O181=P$387,100,P180)*INDEX($B$2:$B$428,MATCH($O181,$A$2:$A$428,0))/INDEX($B$2:$B$428,MATCH($O181,$A$2:$A$428,0)-1),""))</f>
        <v/>
      </c>
      <c r="Q181" s="19" t="str" cm="1">
        <f t="array" ref="Q181">IF(OR($O181&lt;Q$387,$O181&gt;Q$388),"",IFERROR(IF($O181=Q$387,100,Q180)*INDEX($B$2:$B$428,MATCH($O181,$A$2:$A$428,0))/INDEX($B$2:$B$428,MATCH($O181,$A$2:$A$428,0)-1),""))</f>
        <v/>
      </c>
      <c r="R181" s="19" t="str" cm="1">
        <f t="array" ref="R181">IF(OR($O181&lt;R$387,$O181&gt;R$388),"",IFERROR(IF($O181=R$387,100,R180)*INDEX($B$2:$B$428,MATCH($O181,$A$2:$A$428,0))/INDEX($B$2:$B$428,MATCH($O181,$A$2:$A$428,0)-1),""))</f>
        <v/>
      </c>
      <c r="S181" s="19" cm="1">
        <f t="array" ref="S181">IF(OR($O181&lt;S$387,$O181&gt;S$388),"",IFERROR(IF($O181=S$387,100,S180)*INDEX($B$2:$B$428,MATCH($O181,$A$2:$A$428,0))/INDEX($B$2:$B$428,MATCH($O181,$A$2:$A$428,0)-1),""))</f>
        <v>126.73762463782944</v>
      </c>
      <c r="T181" s="19" t="str" cm="1">
        <f t="array" ref="T181">IF(OR($O181&lt;T$387,$O181&gt;T$388),"",IFERROR(IF($O181=T$387,100,T180)*INDEX($B$2:$B$428,MATCH($O181,$A$2:$A$428,0))/INDEX($B$2:$B$428,MATCH($O181,$A$2:$A$428,0)-1),""))</f>
        <v/>
      </c>
      <c r="U181" s="19" t="str" cm="1">
        <f t="array" ref="U181">IF(OR($O181&lt;U$387,$O181&gt;U$388),"",IFERROR(IF($O181=U$387,100,U180)*INDEX($B$2:$B$428,MATCH($O181,$A$2:$A$428,0))/INDEX($B$2:$B$428,MATCH($O181,$A$2:$A$428,0)-1),""))</f>
        <v/>
      </c>
      <c r="V181" s="19" t="str" cm="1">
        <f t="array" ref="V181">IF(OR($O181&lt;V$387,$O181&gt;V$388),"",IFERROR(IF($O181=V$387,100,V180)*INDEX($B$2:$B$428,MATCH($O181,$A$2:$A$428,0))/INDEX($B$2:$B$428,MATCH($O181,$A$2:$A$428,0)-1),""))</f>
        <v/>
      </c>
      <c r="W181" s="19" t="str" cm="1">
        <f t="array" ref="W181">IF(OR($O181&lt;W$387,$O181&gt;W$388),"",IFERROR(IF($O181=W$387,100,W180)*INDEX($B$2:$B$428,MATCH($O181,$A$2:$A$428,0))/INDEX($B$2:$B$428,MATCH($O181,$A$2:$A$428,0)-1),""))</f>
        <v/>
      </c>
      <c r="X181" s="19" t="str" cm="1">
        <f t="array" ref="X181">IF(OR($O181&lt;X$387,$O181&gt;X$388),"",IFERROR(IF($O181=X$387,100,X180)*INDEX($B$2:$B$428,MATCH($O181,$A$2:$A$428,0))/INDEX($B$2:$B$428,MATCH($O181,$A$2:$A$428,0)-1),""))</f>
        <v/>
      </c>
      <c r="AA181" s="19"/>
      <c r="AB181" s="19"/>
      <c r="AC181" s="19"/>
      <c r="AD181" s="19"/>
      <c r="AE181" s="19"/>
      <c r="AF181" s="19"/>
      <c r="AG181" s="19"/>
      <c r="AH181" s="19"/>
      <c r="AJ181" s="11">
        <v>38322</v>
      </c>
      <c r="AK181">
        <v>1957751.2</v>
      </c>
      <c r="AL181" s="26">
        <f t="shared" si="24"/>
        <v>0.68025022791455825</v>
      </c>
    </row>
    <row r="182" spans="1:38" x14ac:dyDescent="0.3">
      <c r="A182" s="11">
        <v>38718</v>
      </c>
      <c r="B182" s="18">
        <v>674374.64</v>
      </c>
      <c r="C182" s="18">
        <v>1022617.57</v>
      </c>
      <c r="D182" s="18">
        <v>1458323.38</v>
      </c>
      <c r="E182" s="11">
        <f t="shared" si="19"/>
        <v>38718</v>
      </c>
      <c r="F182" s="9">
        <f t="shared" si="21"/>
        <v>0.11718852050928952</v>
      </c>
      <c r="G182" s="9">
        <f t="shared" si="22"/>
        <v>6.6845951990086139E-2</v>
      </c>
      <c r="H182" s="9">
        <f t="shared" si="23"/>
        <v>8.8642498006221704E-2</v>
      </c>
      <c r="I182" s="11">
        <f t="shared" si="20"/>
        <v>38718</v>
      </c>
      <c r="O182" s="11">
        <v>40179</v>
      </c>
      <c r="P182" s="19" t="str" cm="1">
        <f t="array" ref="P182">IF(OR($O182&lt;P$387,$O182&gt;P$388),"",IFERROR(IF($O182=P$387,100,P181)*INDEX($B$2:$B$428,MATCH($O182,$A$2:$A$428,0))/INDEX($B$2:$B$428,MATCH($O182,$A$2:$A$428,0)-1),""))</f>
        <v/>
      </c>
      <c r="Q182" s="19" t="str" cm="1">
        <f t="array" ref="Q182">IF(OR($O182&lt;Q$387,$O182&gt;Q$388),"",IFERROR(IF($O182=Q$387,100,Q181)*INDEX($B$2:$B$428,MATCH($O182,$A$2:$A$428,0))/INDEX($B$2:$B$428,MATCH($O182,$A$2:$A$428,0)-1),""))</f>
        <v/>
      </c>
      <c r="R182" s="19" t="str" cm="1">
        <f t="array" ref="R182">IF(OR($O182&lt;R$387,$O182&gt;R$388),"",IFERROR(IF($O182=R$387,100,R181)*INDEX($B$2:$B$428,MATCH($O182,$A$2:$A$428,0))/INDEX($B$2:$B$428,MATCH($O182,$A$2:$A$428,0)-1),""))</f>
        <v/>
      </c>
      <c r="S182" s="19" cm="1">
        <f t="array" ref="S182">IF(OR($O182&lt;S$387,$O182&gt;S$388),"",IFERROR(IF($O182=S$387,100,S181)*INDEX($B$2:$B$428,MATCH($O182,$A$2:$A$428,0))/INDEX($B$2:$B$428,MATCH($O182,$A$2:$A$428,0)-1),""))</f>
        <v>122.84547260323004</v>
      </c>
      <c r="T182" s="19" t="str" cm="1">
        <f t="array" ref="T182">IF(OR($O182&lt;T$387,$O182&gt;T$388),"",IFERROR(IF($O182=T$387,100,T181)*INDEX($B$2:$B$428,MATCH($O182,$A$2:$A$428,0))/INDEX($B$2:$B$428,MATCH($O182,$A$2:$A$428,0)-1),""))</f>
        <v/>
      </c>
      <c r="U182" s="19" t="str" cm="1">
        <f t="array" ref="U182">IF(OR($O182&lt;U$387,$O182&gt;U$388),"",IFERROR(IF($O182=U$387,100,U181)*INDEX($B$2:$B$428,MATCH($O182,$A$2:$A$428,0))/INDEX($B$2:$B$428,MATCH($O182,$A$2:$A$428,0)-1),""))</f>
        <v/>
      </c>
      <c r="V182" s="19" t="str" cm="1">
        <f t="array" ref="V182">IF(OR($O182&lt;V$387,$O182&gt;V$388),"",IFERROR(IF($O182=V$387,100,V181)*INDEX($B$2:$B$428,MATCH($O182,$A$2:$A$428,0))/INDEX($B$2:$B$428,MATCH($O182,$A$2:$A$428,0)-1),""))</f>
        <v/>
      </c>
      <c r="W182" s="19" t="str" cm="1">
        <f t="array" ref="W182">IF(OR($O182&lt;W$387,$O182&gt;W$388),"",IFERROR(IF($O182=W$387,100,W181)*INDEX($B$2:$B$428,MATCH($O182,$A$2:$A$428,0))/INDEX($B$2:$B$428,MATCH($O182,$A$2:$A$428,0)-1),""))</f>
        <v/>
      </c>
      <c r="X182" s="19" t="str" cm="1">
        <f t="array" ref="X182">IF(OR($O182&lt;X$387,$O182&gt;X$388),"",IFERROR(IF($O182=X$387,100,X181)*INDEX($B$2:$B$428,MATCH($O182,$A$2:$A$428,0))/INDEX($B$2:$B$428,MATCH($O182,$A$2:$A$428,0)-1),""))</f>
        <v/>
      </c>
      <c r="AA182" s="19"/>
      <c r="AB182" s="19"/>
      <c r="AC182" s="19"/>
      <c r="AD182" s="19"/>
      <c r="AE182" s="19"/>
      <c r="AF182" s="19"/>
      <c r="AG182" s="19"/>
      <c r="AH182" s="19"/>
      <c r="AJ182" s="11">
        <v>38353</v>
      </c>
      <c r="AK182">
        <v>1976942.8</v>
      </c>
      <c r="AL182" s="26">
        <f t="shared" si="24"/>
        <v>0.67760164330500605</v>
      </c>
    </row>
    <row r="183" spans="1:38" x14ac:dyDescent="0.3">
      <c r="A183" s="11">
        <v>38749</v>
      </c>
      <c r="B183" s="18">
        <v>680573.57</v>
      </c>
      <c r="C183" s="18">
        <v>1023883.68</v>
      </c>
      <c r="D183" s="18">
        <v>1475409.29</v>
      </c>
      <c r="E183" s="11">
        <f t="shared" si="19"/>
        <v>38749</v>
      </c>
      <c r="F183" s="9">
        <f t="shared" si="21"/>
        <v>0.12018495982517718</v>
      </c>
      <c r="G183" s="9">
        <f t="shared" si="22"/>
        <v>6.4954003894076351E-2</v>
      </c>
      <c r="H183" s="9">
        <f t="shared" si="23"/>
        <v>9.1108534590710777E-2</v>
      </c>
      <c r="I183" s="11">
        <f t="shared" si="20"/>
        <v>38749</v>
      </c>
      <c r="O183" s="11">
        <v>40210</v>
      </c>
      <c r="P183" s="19" t="str" cm="1">
        <f t="array" ref="P183">IF(OR($O183&lt;P$387,$O183&gt;P$388),"",IFERROR(IF($O183=P$387,100,P182)*INDEX($B$2:$B$428,MATCH($O183,$A$2:$A$428,0))/INDEX($B$2:$B$428,MATCH($O183,$A$2:$A$428,0)-1),""))</f>
        <v/>
      </c>
      <c r="Q183" s="19" t="str" cm="1">
        <f t="array" ref="Q183">IF(OR($O183&lt;Q$387,$O183&gt;Q$388),"",IFERROR(IF($O183=Q$387,100,Q182)*INDEX($B$2:$B$428,MATCH($O183,$A$2:$A$428,0))/INDEX($B$2:$B$428,MATCH($O183,$A$2:$A$428,0)-1),""))</f>
        <v/>
      </c>
      <c r="R183" s="19" t="str" cm="1">
        <f t="array" ref="R183">IF(OR($O183&lt;R$387,$O183&gt;R$388),"",IFERROR(IF($O183=R$387,100,R182)*INDEX($B$2:$B$428,MATCH($O183,$A$2:$A$428,0))/INDEX($B$2:$B$428,MATCH($O183,$A$2:$A$428,0)-1),""))</f>
        <v/>
      </c>
      <c r="S183" s="19" cm="1">
        <f t="array" ref="S183">IF(OR($O183&lt;S$387,$O183&gt;S$388),"",IFERROR(IF($O183=S$387,100,S182)*INDEX($B$2:$B$428,MATCH($O183,$A$2:$A$428,0))/INDEX($B$2:$B$428,MATCH($O183,$A$2:$A$428,0)-1),""))</f>
        <v>125.96192187473576</v>
      </c>
      <c r="T183" s="19" t="str" cm="1">
        <f t="array" ref="T183">IF(OR($O183&lt;T$387,$O183&gt;T$388),"",IFERROR(IF($O183=T$387,100,T182)*INDEX($B$2:$B$428,MATCH($O183,$A$2:$A$428,0))/INDEX($B$2:$B$428,MATCH($O183,$A$2:$A$428,0)-1),""))</f>
        <v/>
      </c>
      <c r="U183" s="19" t="str" cm="1">
        <f t="array" ref="U183">IF(OR($O183&lt;U$387,$O183&gt;U$388),"",IFERROR(IF($O183=U$387,100,U182)*INDEX($B$2:$B$428,MATCH($O183,$A$2:$A$428,0))/INDEX($B$2:$B$428,MATCH($O183,$A$2:$A$428,0)-1),""))</f>
        <v/>
      </c>
      <c r="V183" s="19" t="str" cm="1">
        <f t="array" ref="V183">IF(OR($O183&lt;V$387,$O183&gt;V$388),"",IFERROR(IF($O183=V$387,100,V182)*INDEX($B$2:$B$428,MATCH($O183,$A$2:$A$428,0))/INDEX($B$2:$B$428,MATCH($O183,$A$2:$A$428,0)-1),""))</f>
        <v/>
      </c>
      <c r="W183" s="19" t="str" cm="1">
        <f t="array" ref="W183">IF(OR($O183&lt;W$387,$O183&gt;W$388),"",IFERROR(IF($O183=W$387,100,W182)*INDEX($B$2:$B$428,MATCH($O183,$A$2:$A$428,0))/INDEX($B$2:$B$428,MATCH($O183,$A$2:$A$428,0)-1),""))</f>
        <v/>
      </c>
      <c r="X183" s="19" t="str" cm="1">
        <f t="array" ref="X183">IF(OR($O183&lt;X$387,$O183&gt;X$388),"",IFERROR(IF($O183=X$387,100,X182)*INDEX($B$2:$B$428,MATCH($O183,$A$2:$A$428,0))/INDEX($B$2:$B$428,MATCH($O183,$A$2:$A$428,0)-1),""))</f>
        <v/>
      </c>
      <c r="AA183" s="19"/>
      <c r="AB183" s="19"/>
      <c r="AC183" s="19"/>
      <c r="AD183" s="19"/>
      <c r="AE183" s="19"/>
      <c r="AF183" s="19"/>
      <c r="AG183" s="19"/>
      <c r="AH183" s="19"/>
      <c r="AJ183" s="11">
        <v>38384</v>
      </c>
      <c r="AK183">
        <v>1995254.9</v>
      </c>
      <c r="AL183" s="26">
        <f t="shared" si="24"/>
        <v>0.67771355930512944</v>
      </c>
    </row>
    <row r="184" spans="1:38" x14ac:dyDescent="0.3">
      <c r="A184" s="11">
        <v>38777</v>
      </c>
      <c r="B184" s="18">
        <v>685942.22</v>
      </c>
      <c r="C184" s="18">
        <v>1032060.29</v>
      </c>
      <c r="D184" s="18">
        <v>1490607.68</v>
      </c>
      <c r="E184" s="11">
        <f t="shared" si="19"/>
        <v>38777</v>
      </c>
      <c r="F184" s="9">
        <f t="shared" si="21"/>
        <v>0.11764344548901318</v>
      </c>
      <c r="G184" s="9">
        <f t="shared" si="22"/>
        <v>6.3399491842198286E-2</v>
      </c>
      <c r="H184" s="9">
        <f t="shared" si="23"/>
        <v>7.45365996482521E-2</v>
      </c>
      <c r="I184" s="11">
        <f t="shared" si="20"/>
        <v>38777</v>
      </c>
      <c r="O184" s="11">
        <v>40238</v>
      </c>
      <c r="P184" s="19" t="str" cm="1">
        <f t="array" ref="P184">IF(OR($O184&lt;P$387,$O184&gt;P$388),"",IFERROR(IF($O184=P$387,100,P183)*INDEX($B$2:$B$428,MATCH($O184,$A$2:$A$428,0))/INDEX($B$2:$B$428,MATCH($O184,$A$2:$A$428,0)-1),""))</f>
        <v/>
      </c>
      <c r="Q184" s="19" t="str" cm="1">
        <f t="array" ref="Q184">IF(OR($O184&lt;Q$387,$O184&gt;Q$388),"",IFERROR(IF($O184=Q$387,100,Q183)*INDEX($B$2:$B$428,MATCH($O184,$A$2:$A$428,0))/INDEX($B$2:$B$428,MATCH($O184,$A$2:$A$428,0)-1),""))</f>
        <v/>
      </c>
      <c r="R184" s="19" t="str" cm="1">
        <f t="array" ref="R184">IF(OR($O184&lt;R$387,$O184&gt;R$388),"",IFERROR(IF($O184=R$387,100,R183)*INDEX($B$2:$B$428,MATCH($O184,$A$2:$A$428,0))/INDEX($B$2:$B$428,MATCH($O184,$A$2:$A$428,0)-1),""))</f>
        <v/>
      </c>
      <c r="S184" s="19" cm="1">
        <f t="array" ref="S184">IF(OR($O184&lt;S$387,$O184&gt;S$388),"",IFERROR(IF($O184=S$387,100,S183)*INDEX($B$2:$B$428,MATCH($O184,$A$2:$A$428,0))/INDEX($B$2:$B$428,MATCH($O184,$A$2:$A$428,0)-1),""))</f>
        <v>128.84884406341564</v>
      </c>
      <c r="T184" s="19" t="str" cm="1">
        <f t="array" ref="T184">IF(OR($O184&lt;T$387,$O184&gt;T$388),"",IFERROR(IF($O184=T$387,100,T183)*INDEX($B$2:$B$428,MATCH($O184,$A$2:$A$428,0))/INDEX($B$2:$B$428,MATCH($O184,$A$2:$A$428,0)-1),""))</f>
        <v/>
      </c>
      <c r="U184" s="19" t="str" cm="1">
        <f t="array" ref="U184">IF(OR($O184&lt;U$387,$O184&gt;U$388),"",IFERROR(IF($O184=U$387,100,U183)*INDEX($B$2:$B$428,MATCH($O184,$A$2:$A$428,0))/INDEX($B$2:$B$428,MATCH($O184,$A$2:$A$428,0)-1),""))</f>
        <v/>
      </c>
      <c r="V184" s="19" t="str" cm="1">
        <f t="array" ref="V184">IF(OR($O184&lt;V$387,$O184&gt;V$388),"",IFERROR(IF($O184=V$387,100,V183)*INDEX($B$2:$B$428,MATCH($O184,$A$2:$A$428,0))/INDEX($B$2:$B$428,MATCH($O184,$A$2:$A$428,0)-1),""))</f>
        <v/>
      </c>
      <c r="W184" s="19" t="str" cm="1">
        <f t="array" ref="W184">IF(OR($O184&lt;W$387,$O184&gt;W$388),"",IFERROR(IF($O184=W$387,100,W183)*INDEX($B$2:$B$428,MATCH($O184,$A$2:$A$428,0))/INDEX($B$2:$B$428,MATCH($O184,$A$2:$A$428,0)-1),""))</f>
        <v/>
      </c>
      <c r="X184" s="19" t="str" cm="1">
        <f t="array" ref="X184">IF(OR($O184&lt;X$387,$O184&gt;X$388),"",IFERROR(IF($O184=X$387,100,X183)*INDEX($B$2:$B$428,MATCH($O184,$A$2:$A$428,0))/INDEX($B$2:$B$428,MATCH($O184,$A$2:$A$428,0)-1),""))</f>
        <v/>
      </c>
      <c r="AA184" s="19"/>
      <c r="AB184" s="19"/>
      <c r="AC184" s="19"/>
      <c r="AD184" s="19"/>
      <c r="AE184" s="19"/>
      <c r="AF184" s="19"/>
      <c r="AG184" s="19"/>
      <c r="AH184" s="19"/>
      <c r="AJ184" s="11">
        <v>38412</v>
      </c>
      <c r="AK184">
        <v>2012678.1</v>
      </c>
      <c r="AL184" s="26">
        <f t="shared" si="24"/>
        <v>0.68923578986624834</v>
      </c>
    </row>
    <row r="185" spans="1:38" x14ac:dyDescent="0.3">
      <c r="A185" s="11">
        <v>38808</v>
      </c>
      <c r="B185" s="18">
        <v>681906.94</v>
      </c>
      <c r="C185" s="18">
        <v>1019291.28</v>
      </c>
      <c r="D185" s="18">
        <v>1437667.93</v>
      </c>
      <c r="E185" s="11">
        <f t="shared" si="19"/>
        <v>38808</v>
      </c>
      <c r="F185" s="9">
        <f t="shared" si="21"/>
        <v>0.13153798574515596</v>
      </c>
      <c r="G185" s="9">
        <f t="shared" si="22"/>
        <v>6.5109344289546067E-2</v>
      </c>
      <c r="H185" s="9">
        <f t="shared" si="23"/>
        <v>4.6239535688374467E-2</v>
      </c>
      <c r="I185" s="11">
        <f t="shared" si="20"/>
        <v>38808</v>
      </c>
      <c r="O185" s="11">
        <v>40269</v>
      </c>
      <c r="P185" s="19" t="str" cm="1">
        <f t="array" ref="P185">IF(OR($O185&lt;P$387,$O185&gt;P$388),"",IFERROR(IF($O185=P$387,100,P184)*INDEX($B$2:$B$428,MATCH($O185,$A$2:$A$428,0))/INDEX($B$2:$B$428,MATCH($O185,$A$2:$A$428,0)-1),""))</f>
        <v/>
      </c>
      <c r="Q185" s="19" t="str" cm="1">
        <f t="array" ref="Q185">IF(OR($O185&lt;Q$387,$O185&gt;Q$388),"",IFERROR(IF($O185=Q$387,100,Q184)*INDEX($B$2:$B$428,MATCH($O185,$A$2:$A$428,0))/INDEX($B$2:$B$428,MATCH($O185,$A$2:$A$428,0)-1),""))</f>
        <v/>
      </c>
      <c r="R185" s="19" t="str" cm="1">
        <f t="array" ref="R185">IF(OR($O185&lt;R$387,$O185&gt;R$388),"",IFERROR(IF($O185=R$387,100,R184)*INDEX($B$2:$B$428,MATCH($O185,$A$2:$A$428,0))/INDEX($B$2:$B$428,MATCH($O185,$A$2:$A$428,0)-1),""))</f>
        <v/>
      </c>
      <c r="S185" s="19" cm="1">
        <f t="array" ref="S185">IF(OR($O185&lt;S$387,$O185&gt;S$388),"",IFERROR(IF($O185=S$387,100,S184)*INDEX($B$2:$B$428,MATCH($O185,$A$2:$A$428,0))/INDEX($B$2:$B$428,MATCH($O185,$A$2:$A$428,0)-1),""))</f>
        <v>129.30722956899629</v>
      </c>
      <c r="T185" s="19" t="str" cm="1">
        <f t="array" ref="T185">IF(OR($O185&lt;T$387,$O185&gt;T$388),"",IFERROR(IF($O185=T$387,100,T184)*INDEX($B$2:$B$428,MATCH($O185,$A$2:$A$428,0))/INDEX($B$2:$B$428,MATCH($O185,$A$2:$A$428,0)-1),""))</f>
        <v/>
      </c>
      <c r="U185" s="19" t="str" cm="1">
        <f t="array" ref="U185">IF(OR($O185&lt;U$387,$O185&gt;U$388),"",IFERROR(IF($O185=U$387,100,U184)*INDEX($B$2:$B$428,MATCH($O185,$A$2:$A$428,0))/INDEX($B$2:$B$428,MATCH($O185,$A$2:$A$428,0)-1),""))</f>
        <v/>
      </c>
      <c r="V185" s="19" t="str" cm="1">
        <f t="array" ref="V185">IF(OR($O185&lt;V$387,$O185&gt;V$388),"",IFERROR(IF($O185=V$387,100,V184)*INDEX($B$2:$B$428,MATCH($O185,$A$2:$A$428,0))/INDEX($B$2:$B$428,MATCH($O185,$A$2:$A$428,0)-1),""))</f>
        <v/>
      </c>
      <c r="W185" s="19" t="str" cm="1">
        <f t="array" ref="W185">IF(OR($O185&lt;W$387,$O185&gt;W$388),"",IFERROR(IF($O185=W$387,100,W184)*INDEX($B$2:$B$428,MATCH($O185,$A$2:$A$428,0))/INDEX($B$2:$B$428,MATCH($O185,$A$2:$A$428,0)-1),""))</f>
        <v/>
      </c>
      <c r="X185" s="19" t="str" cm="1">
        <f t="array" ref="X185">IF(OR($O185&lt;X$387,$O185&gt;X$388),"",IFERROR(IF($O185=X$387,100,X184)*INDEX($B$2:$B$428,MATCH($O185,$A$2:$A$428,0))/INDEX($B$2:$B$428,MATCH($O185,$A$2:$A$428,0)-1),""))</f>
        <v/>
      </c>
      <c r="AA185" s="19"/>
      <c r="AB185" s="19"/>
      <c r="AC185" s="19"/>
      <c r="AD185" s="19"/>
      <c r="AE185" s="19"/>
      <c r="AF185" s="19"/>
      <c r="AG185" s="19"/>
      <c r="AH185" s="19"/>
      <c r="AJ185" s="11">
        <v>38443</v>
      </c>
      <c r="AK185">
        <v>2031482.3</v>
      </c>
      <c r="AL185" s="26">
        <f t="shared" si="24"/>
        <v>0.67641684596513596</v>
      </c>
    </row>
    <row r="186" spans="1:38" x14ac:dyDescent="0.3">
      <c r="A186" s="11">
        <v>38838</v>
      </c>
      <c r="B186" s="18">
        <v>685517.66</v>
      </c>
      <c r="C186" s="18">
        <v>1042621.49</v>
      </c>
      <c r="D186" s="18">
        <v>1431150.9</v>
      </c>
      <c r="E186" s="11">
        <f t="shared" si="19"/>
        <v>38838</v>
      </c>
      <c r="F186" s="9">
        <f t="shared" si="21"/>
        <v>0.13093973259466329</v>
      </c>
      <c r="G186" s="9">
        <f t="shared" si="22"/>
        <v>9.4208071791667569E-2</v>
      </c>
      <c r="H186" s="9">
        <f t="shared" si="23"/>
        <v>3.4721819752331351E-2</v>
      </c>
      <c r="I186" s="11">
        <f t="shared" si="20"/>
        <v>38838</v>
      </c>
      <c r="O186" s="11">
        <v>40299</v>
      </c>
      <c r="P186" s="19" t="str" cm="1">
        <f t="array" ref="P186">IF(OR($O186&lt;P$387,$O186&gt;P$388),"",IFERROR(IF($O186=P$387,100,P185)*INDEX($B$2:$B$428,MATCH($O186,$A$2:$A$428,0))/INDEX($B$2:$B$428,MATCH($O186,$A$2:$A$428,0)-1),""))</f>
        <v/>
      </c>
      <c r="Q186" s="19" t="str" cm="1">
        <f t="array" ref="Q186">IF(OR($O186&lt;Q$387,$O186&gt;Q$388),"",IFERROR(IF($O186=Q$387,100,Q185)*INDEX($B$2:$B$428,MATCH($O186,$A$2:$A$428,0))/INDEX($B$2:$B$428,MATCH($O186,$A$2:$A$428,0)-1),""))</f>
        <v/>
      </c>
      <c r="R186" s="19" t="str" cm="1">
        <f t="array" ref="R186">IF(OR($O186&lt;R$387,$O186&gt;R$388),"",IFERROR(IF($O186=R$387,100,R185)*INDEX($B$2:$B$428,MATCH($O186,$A$2:$A$428,0))/INDEX($B$2:$B$428,MATCH($O186,$A$2:$A$428,0)-1),""))</f>
        <v/>
      </c>
      <c r="S186" s="19" cm="1">
        <f t="array" ref="S186">IF(OR($O186&lt;S$387,$O186&gt;S$388),"",IFERROR(IF($O186=S$387,100,S185)*INDEX($B$2:$B$428,MATCH($O186,$A$2:$A$428,0))/INDEX($B$2:$B$428,MATCH($O186,$A$2:$A$428,0)-1),""))</f>
        <v>128.9126005293721</v>
      </c>
      <c r="T186" s="19" t="str" cm="1">
        <f t="array" ref="T186">IF(OR($O186&lt;T$387,$O186&gt;T$388),"",IFERROR(IF($O186=T$387,100,T185)*INDEX($B$2:$B$428,MATCH($O186,$A$2:$A$428,0))/INDEX($B$2:$B$428,MATCH($O186,$A$2:$A$428,0)-1),""))</f>
        <v/>
      </c>
      <c r="U186" s="19" t="str" cm="1">
        <f t="array" ref="U186">IF(OR($O186&lt;U$387,$O186&gt;U$388),"",IFERROR(IF($O186=U$387,100,U185)*INDEX($B$2:$B$428,MATCH($O186,$A$2:$A$428,0))/INDEX($B$2:$B$428,MATCH($O186,$A$2:$A$428,0)-1),""))</f>
        <v/>
      </c>
      <c r="V186" s="19" t="str" cm="1">
        <f t="array" ref="V186">IF(OR($O186&lt;V$387,$O186&gt;V$388),"",IFERROR(IF($O186=V$387,100,V185)*INDEX($B$2:$B$428,MATCH($O186,$A$2:$A$428,0))/INDEX($B$2:$B$428,MATCH($O186,$A$2:$A$428,0)-1),""))</f>
        <v/>
      </c>
      <c r="W186" s="19" t="str" cm="1">
        <f t="array" ref="W186">IF(OR($O186&lt;W$387,$O186&gt;W$388),"",IFERROR(IF($O186=W$387,100,W185)*INDEX($B$2:$B$428,MATCH($O186,$A$2:$A$428,0))/INDEX($B$2:$B$428,MATCH($O186,$A$2:$A$428,0)-1),""))</f>
        <v/>
      </c>
      <c r="X186" s="19" t="str" cm="1">
        <f t="array" ref="X186">IF(OR($O186&lt;X$387,$O186&gt;X$388),"",IFERROR(IF($O186=X$387,100,X185)*INDEX($B$2:$B$428,MATCH($O186,$A$2:$A$428,0))/INDEX($B$2:$B$428,MATCH($O186,$A$2:$A$428,0)-1),""))</f>
        <v/>
      </c>
      <c r="AA186" s="19"/>
      <c r="AB186" s="19"/>
      <c r="AC186" s="19"/>
      <c r="AD186" s="19"/>
      <c r="AE186" s="19"/>
      <c r="AF186" s="19"/>
      <c r="AG186" s="19"/>
      <c r="AH186" s="19"/>
      <c r="AJ186" s="11">
        <v>38473</v>
      </c>
      <c r="AK186">
        <v>2049499.7</v>
      </c>
      <c r="AL186" s="26">
        <f t="shared" si="24"/>
        <v>0.67486042569315818</v>
      </c>
    </row>
    <row r="187" spans="1:38" x14ac:dyDescent="0.3">
      <c r="A187" s="11">
        <v>38869</v>
      </c>
      <c r="B187" s="18">
        <v>692516.85</v>
      </c>
      <c r="C187" s="18">
        <v>1037934.84</v>
      </c>
      <c r="D187" s="18">
        <v>1465661.07</v>
      </c>
      <c r="E187" s="11">
        <f t="shared" si="19"/>
        <v>38869</v>
      </c>
      <c r="F187" s="9">
        <f t="shared" si="21"/>
        <v>0.12219911385535709</v>
      </c>
      <c r="G187" s="9">
        <f t="shared" si="22"/>
        <v>8.0612540883528538E-2</v>
      </c>
      <c r="H187" s="9">
        <f t="shared" si="23"/>
        <v>4.8193044054263057E-2</v>
      </c>
      <c r="I187" s="11">
        <f t="shared" si="20"/>
        <v>38869</v>
      </c>
      <c r="O187" s="11">
        <v>40330</v>
      </c>
      <c r="P187" s="19" t="str" cm="1">
        <f t="array" ref="P187">IF(OR($O187&lt;P$387,$O187&gt;P$388),"",IFERROR(IF($O187=P$387,100,P186)*INDEX($B$2:$B$428,MATCH($O187,$A$2:$A$428,0))/INDEX($B$2:$B$428,MATCH($O187,$A$2:$A$428,0)-1),""))</f>
        <v/>
      </c>
      <c r="Q187" s="19" t="str" cm="1">
        <f t="array" ref="Q187">IF(OR($O187&lt;Q$387,$O187&gt;Q$388),"",IFERROR(IF($O187=Q$387,100,Q186)*INDEX($B$2:$B$428,MATCH($O187,$A$2:$A$428,0))/INDEX($B$2:$B$428,MATCH($O187,$A$2:$A$428,0)-1),""))</f>
        <v/>
      </c>
      <c r="R187" s="19" t="str" cm="1">
        <f t="array" ref="R187">IF(OR($O187&lt;R$387,$O187&gt;R$388),"",IFERROR(IF($O187=R$387,100,R186)*INDEX($B$2:$B$428,MATCH($O187,$A$2:$A$428,0))/INDEX($B$2:$B$428,MATCH($O187,$A$2:$A$428,0)-1),""))</f>
        <v/>
      </c>
      <c r="S187" s="19" cm="1">
        <f t="array" ref="S187">IF(OR($O187&lt;S$387,$O187&gt;S$388),"",IFERROR(IF($O187=S$387,100,S186)*INDEX($B$2:$B$428,MATCH($O187,$A$2:$A$428,0))/INDEX($B$2:$B$428,MATCH($O187,$A$2:$A$428,0)-1),""))</f>
        <v>129.94797715922425</v>
      </c>
      <c r="T187" s="19" t="str" cm="1">
        <f t="array" ref="T187">IF(OR($O187&lt;T$387,$O187&gt;T$388),"",IFERROR(IF($O187=T$387,100,T186)*INDEX($B$2:$B$428,MATCH($O187,$A$2:$A$428,0))/INDEX($B$2:$B$428,MATCH($O187,$A$2:$A$428,0)-1),""))</f>
        <v/>
      </c>
      <c r="U187" s="19" t="str" cm="1">
        <f t="array" ref="U187">IF(OR($O187&lt;U$387,$O187&gt;U$388),"",IFERROR(IF($O187=U$387,100,U186)*INDEX($B$2:$B$428,MATCH($O187,$A$2:$A$428,0))/INDEX($B$2:$B$428,MATCH($O187,$A$2:$A$428,0)-1),""))</f>
        <v/>
      </c>
      <c r="V187" s="19" t="str" cm="1">
        <f t="array" ref="V187">IF(OR($O187&lt;V$387,$O187&gt;V$388),"",IFERROR(IF($O187=V$387,100,V186)*INDEX($B$2:$B$428,MATCH($O187,$A$2:$A$428,0))/INDEX($B$2:$B$428,MATCH($O187,$A$2:$A$428,0)-1),""))</f>
        <v/>
      </c>
      <c r="W187" s="19" t="str" cm="1">
        <f t="array" ref="W187">IF(OR($O187&lt;W$387,$O187&gt;W$388),"",IFERROR(IF($O187=W$387,100,W186)*INDEX($B$2:$B$428,MATCH($O187,$A$2:$A$428,0))/INDEX($B$2:$B$428,MATCH($O187,$A$2:$A$428,0)-1),""))</f>
        <v/>
      </c>
      <c r="X187" s="19" t="str" cm="1">
        <f t="array" ref="X187">IF(OR($O187&lt;X$387,$O187&gt;X$388),"",IFERROR(IF($O187=X$387,100,X186)*INDEX($B$2:$B$428,MATCH($O187,$A$2:$A$428,0))/INDEX($B$2:$B$428,MATCH($O187,$A$2:$A$428,0)-1),""))</f>
        <v/>
      </c>
      <c r="AA187" s="19"/>
      <c r="AB187" s="19"/>
      <c r="AC187" s="19"/>
      <c r="AD187" s="19"/>
      <c r="AE187" s="19"/>
      <c r="AF187" s="19"/>
      <c r="AG187" s="19"/>
      <c r="AH187" s="19"/>
      <c r="AJ187" s="11">
        <v>38504</v>
      </c>
      <c r="AK187">
        <v>2066440.5</v>
      </c>
      <c r="AL187" s="26">
        <f t="shared" si="24"/>
        <v>0.67665823913149203</v>
      </c>
    </row>
    <row r="188" spans="1:38" x14ac:dyDescent="0.3">
      <c r="A188" s="11">
        <v>38899</v>
      </c>
      <c r="B188" s="18">
        <v>698395.18</v>
      </c>
      <c r="C188" s="18">
        <v>1045318.25</v>
      </c>
      <c r="D188" s="18">
        <v>1451535.66</v>
      </c>
      <c r="E188" s="11">
        <f t="shared" si="19"/>
        <v>38899</v>
      </c>
      <c r="F188" s="9">
        <f t="shared" si="21"/>
        <v>0.11723913969752919</v>
      </c>
      <c r="G188" s="9">
        <f t="shared" si="22"/>
        <v>7.7451906290223027E-2</v>
      </c>
      <c r="H188" s="9">
        <f t="shared" si="23"/>
        <v>3.3448536103960036E-2</v>
      </c>
      <c r="I188" s="11">
        <f t="shared" si="20"/>
        <v>38899</v>
      </c>
      <c r="O188" s="11">
        <v>40360</v>
      </c>
      <c r="P188" s="19" t="str" cm="1">
        <f t="array" ref="P188">IF(OR($O188&lt;P$387,$O188&gt;P$388),"",IFERROR(IF($O188=P$387,100,P187)*INDEX($B$2:$B$428,MATCH($O188,$A$2:$A$428,0))/INDEX($B$2:$B$428,MATCH($O188,$A$2:$A$428,0)-1),""))</f>
        <v/>
      </c>
      <c r="Q188" s="19" t="str" cm="1">
        <f t="array" ref="Q188">IF(OR($O188&lt;Q$387,$O188&gt;Q$388),"",IFERROR(IF($O188=Q$387,100,Q187)*INDEX($B$2:$B$428,MATCH($O188,$A$2:$A$428,0))/INDEX($B$2:$B$428,MATCH($O188,$A$2:$A$428,0)-1),""))</f>
        <v/>
      </c>
      <c r="R188" s="19" t="str" cm="1">
        <f t="array" ref="R188">IF(OR($O188&lt;R$387,$O188&gt;R$388),"",IFERROR(IF($O188=R$387,100,R187)*INDEX($B$2:$B$428,MATCH($O188,$A$2:$A$428,0))/INDEX($B$2:$B$428,MATCH($O188,$A$2:$A$428,0)-1),""))</f>
        <v/>
      </c>
      <c r="S188" s="19" cm="1">
        <f t="array" ref="S188">IF(OR($O188&lt;S$387,$O188&gt;S$388),"",IFERROR(IF($O188=S$387,100,S187)*INDEX($B$2:$B$428,MATCH($O188,$A$2:$A$428,0))/INDEX($B$2:$B$428,MATCH($O188,$A$2:$A$428,0)-1),""))</f>
        <v>132.7025440667372</v>
      </c>
      <c r="T188" s="19" t="str" cm="1">
        <f t="array" ref="T188">IF(OR($O188&lt;T$387,$O188&gt;T$388),"",IFERROR(IF($O188=T$387,100,T187)*INDEX($B$2:$B$428,MATCH($O188,$A$2:$A$428,0))/INDEX($B$2:$B$428,MATCH($O188,$A$2:$A$428,0)-1),""))</f>
        <v/>
      </c>
      <c r="U188" s="19" t="str" cm="1">
        <f t="array" ref="U188">IF(OR($O188&lt;U$387,$O188&gt;U$388),"",IFERROR(IF($O188=U$387,100,U187)*INDEX($B$2:$B$428,MATCH($O188,$A$2:$A$428,0))/INDEX($B$2:$B$428,MATCH($O188,$A$2:$A$428,0)-1),""))</f>
        <v/>
      </c>
      <c r="V188" s="19" t="str" cm="1">
        <f t="array" ref="V188">IF(OR($O188&lt;V$387,$O188&gt;V$388),"",IFERROR(IF($O188=V$387,100,V187)*INDEX($B$2:$B$428,MATCH($O188,$A$2:$A$428,0))/INDEX($B$2:$B$428,MATCH($O188,$A$2:$A$428,0)-1),""))</f>
        <v/>
      </c>
      <c r="W188" s="19" t="str" cm="1">
        <f t="array" ref="W188">IF(OR($O188&lt;W$387,$O188&gt;W$388),"",IFERROR(IF($O188=W$387,100,W187)*INDEX($B$2:$B$428,MATCH($O188,$A$2:$A$428,0))/INDEX($B$2:$B$428,MATCH($O188,$A$2:$A$428,0)-1),""))</f>
        <v/>
      </c>
      <c r="X188" s="19" t="str" cm="1">
        <f t="array" ref="X188">IF(OR($O188&lt;X$387,$O188&gt;X$388),"",IFERROR(IF($O188=X$387,100,X187)*INDEX($B$2:$B$428,MATCH($O188,$A$2:$A$428,0))/INDEX($B$2:$B$428,MATCH($O188,$A$2:$A$428,0)-1),""))</f>
        <v/>
      </c>
      <c r="AA188" s="19"/>
      <c r="AB188" s="19"/>
      <c r="AC188" s="19"/>
      <c r="AD188" s="19"/>
      <c r="AE188" s="19"/>
      <c r="AF188" s="19"/>
      <c r="AG188" s="19"/>
      <c r="AH188" s="19"/>
      <c r="AJ188" s="11">
        <v>38534</v>
      </c>
      <c r="AK188">
        <v>2079897.4</v>
      </c>
      <c r="AL188" s="26">
        <f t="shared" si="24"/>
        <v>0.67530030087061033</v>
      </c>
    </row>
    <row r="189" spans="1:38" x14ac:dyDescent="0.3">
      <c r="A189" s="11">
        <v>38930</v>
      </c>
      <c r="B189" s="18">
        <v>705073.5</v>
      </c>
      <c r="C189" s="18">
        <v>1049893.42</v>
      </c>
      <c r="D189" s="18">
        <v>1472086.21</v>
      </c>
      <c r="E189" s="11">
        <f t="shared" si="19"/>
        <v>38930</v>
      </c>
      <c r="F189" s="9">
        <f t="shared" si="21"/>
        <v>0.11477062080226874</v>
      </c>
      <c r="G189" s="9">
        <f t="shared" si="22"/>
        <v>7.5680118616324954E-2</v>
      </c>
      <c r="H189" s="9">
        <f t="shared" si="23"/>
        <v>4.2507613985069304E-2</v>
      </c>
      <c r="I189" s="11">
        <f t="shared" si="20"/>
        <v>38930</v>
      </c>
      <c r="O189" s="11">
        <v>40391</v>
      </c>
      <c r="P189" s="19" t="str" cm="1">
        <f t="array" ref="P189">IF(OR($O189&lt;P$387,$O189&gt;P$388),"",IFERROR(IF($O189=P$387,100,P188)*INDEX($B$2:$B$428,MATCH($O189,$A$2:$A$428,0))/INDEX($B$2:$B$428,MATCH($O189,$A$2:$A$428,0)-1),""))</f>
        <v/>
      </c>
      <c r="Q189" s="19" t="str" cm="1">
        <f t="array" ref="Q189">IF(OR($O189&lt;Q$387,$O189&gt;Q$388),"",IFERROR(IF($O189=Q$387,100,Q188)*INDEX($B$2:$B$428,MATCH($O189,$A$2:$A$428,0))/INDEX($B$2:$B$428,MATCH($O189,$A$2:$A$428,0)-1),""))</f>
        <v/>
      </c>
      <c r="R189" s="19" t="str" cm="1">
        <f t="array" ref="R189">IF(OR($O189&lt;R$387,$O189&gt;R$388),"",IFERROR(IF($O189=R$387,100,R188)*INDEX($B$2:$B$428,MATCH($O189,$A$2:$A$428,0))/INDEX($B$2:$B$428,MATCH($O189,$A$2:$A$428,0)-1),""))</f>
        <v/>
      </c>
      <c r="S189" s="19" cm="1">
        <f t="array" ref="S189">IF(OR($O189&lt;S$387,$O189&gt;S$388),"",IFERROR(IF($O189=S$387,100,S188)*INDEX($B$2:$B$428,MATCH($O189,$A$2:$A$428,0))/INDEX($B$2:$B$428,MATCH($O189,$A$2:$A$428,0)-1),""))</f>
        <v>133.97780521518968</v>
      </c>
      <c r="T189" s="19" t="str" cm="1">
        <f t="array" ref="T189">IF(OR($O189&lt;T$387,$O189&gt;T$388),"",IFERROR(IF($O189=T$387,100,T188)*INDEX($B$2:$B$428,MATCH($O189,$A$2:$A$428,0))/INDEX($B$2:$B$428,MATCH($O189,$A$2:$A$428,0)-1),""))</f>
        <v/>
      </c>
      <c r="U189" s="19" t="str" cm="1">
        <f t="array" ref="U189">IF(OR($O189&lt;U$387,$O189&gt;U$388),"",IFERROR(IF($O189=U$387,100,U188)*INDEX($B$2:$B$428,MATCH($O189,$A$2:$A$428,0))/INDEX($B$2:$B$428,MATCH($O189,$A$2:$A$428,0)-1),""))</f>
        <v/>
      </c>
      <c r="V189" s="19" t="str" cm="1">
        <f t="array" ref="V189">IF(OR($O189&lt;V$387,$O189&gt;V$388),"",IFERROR(IF($O189=V$387,100,V188)*INDEX($B$2:$B$428,MATCH($O189,$A$2:$A$428,0))/INDEX($B$2:$B$428,MATCH($O189,$A$2:$A$428,0)-1),""))</f>
        <v/>
      </c>
      <c r="W189" s="19" t="str" cm="1">
        <f t="array" ref="W189">IF(OR($O189&lt;W$387,$O189&gt;W$388),"",IFERROR(IF($O189=W$387,100,W188)*INDEX($B$2:$B$428,MATCH($O189,$A$2:$A$428,0))/INDEX($B$2:$B$428,MATCH($O189,$A$2:$A$428,0)-1),""))</f>
        <v/>
      </c>
      <c r="X189" s="19" t="str" cm="1">
        <f t="array" ref="X189">IF(OR($O189&lt;X$387,$O189&gt;X$388),"",IFERROR(IF($O189=X$387,100,X188)*INDEX($B$2:$B$428,MATCH($O189,$A$2:$A$428,0))/INDEX($B$2:$B$428,MATCH($O189,$A$2:$A$428,0)-1),""))</f>
        <v/>
      </c>
      <c r="AA189" s="19"/>
      <c r="AB189" s="19"/>
      <c r="AC189" s="19"/>
      <c r="AD189" s="19"/>
      <c r="AE189" s="19"/>
      <c r="AF189" s="19"/>
      <c r="AG189" s="19"/>
      <c r="AH189" s="19"/>
      <c r="AJ189" s="11">
        <v>38565</v>
      </c>
      <c r="AK189">
        <v>2098541.7000000002</v>
      </c>
      <c r="AL189" s="26">
        <f t="shared" si="24"/>
        <v>0.67287811817129961</v>
      </c>
    </row>
    <row r="190" spans="1:38" x14ac:dyDescent="0.3">
      <c r="A190" s="11">
        <v>38961</v>
      </c>
      <c r="B190" s="18">
        <v>712532.15</v>
      </c>
      <c r="C190" s="18">
        <v>1061646.3899999999</v>
      </c>
      <c r="D190" s="18">
        <v>1511176.41</v>
      </c>
      <c r="E190" s="11">
        <f t="shared" si="19"/>
        <v>38961</v>
      </c>
      <c r="F190" s="9">
        <f t="shared" si="21"/>
        <v>0.11683858438781525</v>
      </c>
      <c r="G190" s="9">
        <f t="shared" si="22"/>
        <v>9.2621454321202501E-2</v>
      </c>
      <c r="H190" s="9">
        <f t="shared" si="23"/>
        <v>6.2461745559795778E-2</v>
      </c>
      <c r="I190" s="11">
        <f t="shared" si="20"/>
        <v>38961</v>
      </c>
      <c r="O190" s="11">
        <v>40422</v>
      </c>
      <c r="P190" s="19" t="str" cm="1">
        <f t="array" ref="P190">IF(OR($O190&lt;P$387,$O190&gt;P$388),"",IFERROR(IF($O190=P$387,100,P189)*INDEX($B$2:$B$428,MATCH($O190,$A$2:$A$428,0))/INDEX($B$2:$B$428,MATCH($O190,$A$2:$A$428,0)-1),""))</f>
        <v/>
      </c>
      <c r="Q190" s="19" t="str" cm="1">
        <f t="array" ref="Q190">IF(OR($O190&lt;Q$387,$O190&gt;Q$388),"",IFERROR(IF($O190=Q$387,100,Q189)*INDEX($B$2:$B$428,MATCH($O190,$A$2:$A$428,0))/INDEX($B$2:$B$428,MATCH($O190,$A$2:$A$428,0)-1),""))</f>
        <v/>
      </c>
      <c r="R190" s="19" t="str" cm="1">
        <f t="array" ref="R190">IF(OR($O190&lt;R$387,$O190&gt;R$388),"",IFERROR(IF($O190=R$387,100,R189)*INDEX($B$2:$B$428,MATCH($O190,$A$2:$A$428,0))/INDEX($B$2:$B$428,MATCH($O190,$A$2:$A$428,0)-1),""))</f>
        <v/>
      </c>
      <c r="S190" s="19" cm="1">
        <f t="array" ref="S190">IF(OR($O190&lt;S$387,$O190&gt;S$388),"",IFERROR(IF($O190=S$387,100,S189)*INDEX($B$2:$B$428,MATCH($O190,$A$2:$A$428,0))/INDEX($B$2:$B$428,MATCH($O190,$A$2:$A$428,0)-1),""))</f>
        <v>133.29490621825045</v>
      </c>
      <c r="T190" s="19" t="str" cm="1">
        <f t="array" ref="T190">IF(OR($O190&lt;T$387,$O190&gt;T$388),"",IFERROR(IF($O190=T$387,100,T189)*INDEX($B$2:$B$428,MATCH($O190,$A$2:$A$428,0))/INDEX($B$2:$B$428,MATCH($O190,$A$2:$A$428,0)-1),""))</f>
        <v/>
      </c>
      <c r="U190" s="19" t="str" cm="1">
        <f t="array" ref="U190">IF(OR($O190&lt;U$387,$O190&gt;U$388),"",IFERROR(IF($O190=U$387,100,U189)*INDEX($B$2:$B$428,MATCH($O190,$A$2:$A$428,0))/INDEX($B$2:$B$428,MATCH($O190,$A$2:$A$428,0)-1),""))</f>
        <v/>
      </c>
      <c r="V190" s="19" t="str" cm="1">
        <f t="array" ref="V190">IF(OR($O190&lt;V$387,$O190&gt;V$388),"",IFERROR(IF($O190=V$387,100,V189)*INDEX($B$2:$B$428,MATCH($O190,$A$2:$A$428,0))/INDEX($B$2:$B$428,MATCH($O190,$A$2:$A$428,0)-1),""))</f>
        <v/>
      </c>
      <c r="W190" s="19" t="str" cm="1">
        <f t="array" ref="W190">IF(OR($O190&lt;W$387,$O190&gt;W$388),"",IFERROR(IF($O190=W$387,100,W189)*INDEX($B$2:$B$428,MATCH($O190,$A$2:$A$428,0))/INDEX($B$2:$B$428,MATCH($O190,$A$2:$A$428,0)-1),""))</f>
        <v/>
      </c>
      <c r="X190" s="19" t="str" cm="1">
        <f t="array" ref="X190">IF(OR($O190&lt;X$387,$O190&gt;X$388),"",IFERROR(IF($O190=X$387,100,X189)*INDEX($B$2:$B$428,MATCH($O190,$A$2:$A$428,0))/INDEX($B$2:$B$428,MATCH($O190,$A$2:$A$428,0)-1),""))</f>
        <v/>
      </c>
      <c r="AA190" s="19"/>
      <c r="AB190" s="19"/>
      <c r="AC190" s="19"/>
      <c r="AD190" s="19"/>
      <c r="AE190" s="19"/>
      <c r="AF190" s="19"/>
      <c r="AG190" s="19"/>
      <c r="AH190" s="19"/>
      <c r="AJ190" s="11">
        <v>38596</v>
      </c>
      <c r="AK190">
        <v>2114047.4</v>
      </c>
      <c r="AL190" s="26">
        <f t="shared" si="24"/>
        <v>0.67280179715932575</v>
      </c>
    </row>
    <row r="191" spans="1:38" x14ac:dyDescent="0.3">
      <c r="A191" s="11">
        <v>38991</v>
      </c>
      <c r="B191" s="18">
        <v>715480.7</v>
      </c>
      <c r="C191" s="18">
        <v>1061724.3899999999</v>
      </c>
      <c r="D191" s="18">
        <v>1514228.7</v>
      </c>
      <c r="E191" s="11">
        <f t="shared" si="19"/>
        <v>38991</v>
      </c>
      <c r="F191" s="9">
        <f t="shared" si="21"/>
        <v>0.11150309503317302</v>
      </c>
      <c r="G191" s="9">
        <f t="shared" si="22"/>
        <v>8.5573017959650111E-2</v>
      </c>
      <c r="H191" s="9">
        <f t="shared" si="23"/>
        <v>6.1636245893739394E-2</v>
      </c>
      <c r="I191" s="11">
        <f t="shared" si="20"/>
        <v>38991</v>
      </c>
      <c r="O191" s="11">
        <v>40452</v>
      </c>
      <c r="P191" s="19" t="str" cm="1">
        <f t="array" ref="P191">IF(OR($O191&lt;P$387,$O191&gt;P$388),"",IFERROR(IF($O191=P$387,100,P190)*INDEX($B$2:$B$428,MATCH($O191,$A$2:$A$428,0))/INDEX($B$2:$B$428,MATCH($O191,$A$2:$A$428,0)-1),""))</f>
        <v/>
      </c>
      <c r="Q191" s="19" t="str" cm="1">
        <f t="array" ref="Q191">IF(OR($O191&lt;Q$387,$O191&gt;Q$388),"",IFERROR(IF($O191=Q$387,100,Q190)*INDEX($B$2:$B$428,MATCH($O191,$A$2:$A$428,0))/INDEX($B$2:$B$428,MATCH($O191,$A$2:$A$428,0)-1),""))</f>
        <v/>
      </c>
      <c r="R191" s="19" t="str" cm="1">
        <f t="array" ref="R191">IF(OR($O191&lt;R$387,$O191&gt;R$388),"",IFERROR(IF($O191=R$387,100,R190)*INDEX($B$2:$B$428,MATCH($O191,$A$2:$A$428,0))/INDEX($B$2:$B$428,MATCH($O191,$A$2:$A$428,0)-1),""))</f>
        <v/>
      </c>
      <c r="S191" s="19" cm="1">
        <f t="array" ref="S191">IF(OR($O191&lt;S$387,$O191&gt;S$388),"",IFERROR(IF($O191=S$387,100,S190)*INDEX($B$2:$B$428,MATCH($O191,$A$2:$A$428,0))/INDEX($B$2:$B$428,MATCH($O191,$A$2:$A$428,0)-1),""))</f>
        <v>133.10101926083479</v>
      </c>
      <c r="T191" s="19" t="str" cm="1">
        <f t="array" ref="T191">IF(OR($O191&lt;T$387,$O191&gt;T$388),"",IFERROR(IF($O191=T$387,100,T190)*INDEX($B$2:$B$428,MATCH($O191,$A$2:$A$428,0))/INDEX($B$2:$B$428,MATCH($O191,$A$2:$A$428,0)-1),""))</f>
        <v/>
      </c>
      <c r="U191" s="19" t="str" cm="1">
        <f t="array" ref="U191">IF(OR($O191&lt;U$387,$O191&gt;U$388),"",IFERROR(IF($O191=U$387,100,U190)*INDEX($B$2:$B$428,MATCH($O191,$A$2:$A$428,0))/INDEX($B$2:$B$428,MATCH($O191,$A$2:$A$428,0)-1),""))</f>
        <v/>
      </c>
      <c r="V191" s="19" t="str" cm="1">
        <f t="array" ref="V191">IF(OR($O191&lt;V$387,$O191&gt;V$388),"",IFERROR(IF($O191=V$387,100,V190)*INDEX($B$2:$B$428,MATCH($O191,$A$2:$A$428,0))/INDEX($B$2:$B$428,MATCH($O191,$A$2:$A$428,0)-1),""))</f>
        <v/>
      </c>
      <c r="W191" s="19" t="str" cm="1">
        <f t="array" ref="W191">IF(OR($O191&lt;W$387,$O191&gt;W$388),"",IFERROR(IF($O191=W$387,100,W190)*INDEX($B$2:$B$428,MATCH($O191,$A$2:$A$428,0))/INDEX($B$2:$B$428,MATCH($O191,$A$2:$A$428,0)-1),""))</f>
        <v/>
      </c>
      <c r="X191" s="19" t="str" cm="1">
        <f t="array" ref="X191">IF(OR($O191&lt;X$387,$O191&gt;X$388),"",IFERROR(IF($O191=X$387,100,X190)*INDEX($B$2:$B$428,MATCH($O191,$A$2:$A$428,0))/INDEX($B$2:$B$428,MATCH($O191,$A$2:$A$428,0)-1),""))</f>
        <v/>
      </c>
      <c r="AA191" s="19"/>
      <c r="AB191" s="19"/>
      <c r="AC191" s="19"/>
      <c r="AD191" s="19"/>
      <c r="AE191" s="19"/>
      <c r="AF191" s="19"/>
      <c r="AG191" s="19"/>
      <c r="AH191" s="19"/>
      <c r="AJ191" s="11">
        <v>38626</v>
      </c>
      <c r="AK191">
        <v>2132605.2000000002</v>
      </c>
      <c r="AL191" s="26">
        <f t="shared" si="24"/>
        <v>0.66881387140948534</v>
      </c>
    </row>
    <row r="192" spans="1:38" x14ac:dyDescent="0.3">
      <c r="A192" s="11">
        <v>39022</v>
      </c>
      <c r="B192" s="18">
        <v>721825.71</v>
      </c>
      <c r="C192" s="18">
        <v>1074336.32</v>
      </c>
      <c r="D192" s="18">
        <v>1539879.59</v>
      </c>
      <c r="E192" s="11">
        <f t="shared" si="19"/>
        <v>39022</v>
      </c>
      <c r="F192" s="9">
        <f t="shared" si="21"/>
        <v>0.10887648589802201</v>
      </c>
      <c r="G192" s="9">
        <f t="shared" si="22"/>
        <v>9.2747453617322506E-2</v>
      </c>
      <c r="H192" s="9">
        <f t="shared" si="23"/>
        <v>6.0488346377453261E-2</v>
      </c>
      <c r="I192" s="11">
        <f t="shared" si="20"/>
        <v>39022</v>
      </c>
      <c r="O192" s="11">
        <v>40483</v>
      </c>
      <c r="P192" s="19" t="str" cm="1">
        <f t="array" ref="P192">IF(OR($O192&lt;P$387,$O192&gt;P$388),"",IFERROR(IF($O192=P$387,100,P191)*INDEX($B$2:$B$428,MATCH($O192,$A$2:$A$428,0))/INDEX($B$2:$B$428,MATCH($O192,$A$2:$A$428,0)-1),""))</f>
        <v/>
      </c>
      <c r="Q192" s="19" t="str" cm="1">
        <f t="array" ref="Q192">IF(OR($O192&lt;Q$387,$O192&gt;Q$388),"",IFERROR(IF($O192=Q$387,100,Q191)*INDEX($B$2:$B$428,MATCH($O192,$A$2:$A$428,0))/INDEX($B$2:$B$428,MATCH($O192,$A$2:$A$428,0)-1),""))</f>
        <v/>
      </c>
      <c r="R192" s="19" t="str" cm="1">
        <f t="array" ref="R192">IF(OR($O192&lt;R$387,$O192&gt;R$388),"",IFERROR(IF($O192=R$387,100,R191)*INDEX($B$2:$B$428,MATCH($O192,$A$2:$A$428,0))/INDEX($B$2:$B$428,MATCH($O192,$A$2:$A$428,0)-1),""))</f>
        <v/>
      </c>
      <c r="S192" s="19" cm="1">
        <f t="array" ref="S192">IF(OR($O192&lt;S$387,$O192&gt;S$388),"",IFERROR(IF($O192=S$387,100,S191)*INDEX($B$2:$B$428,MATCH($O192,$A$2:$A$428,0))/INDEX($B$2:$B$428,MATCH($O192,$A$2:$A$428,0)-1),""))</f>
        <v>134.41299011899801</v>
      </c>
      <c r="T192" s="19" t="str" cm="1">
        <f t="array" ref="T192">IF(OR($O192&lt;T$387,$O192&gt;T$388),"",IFERROR(IF($O192=T$387,100,T191)*INDEX($B$2:$B$428,MATCH($O192,$A$2:$A$428,0))/INDEX($B$2:$B$428,MATCH($O192,$A$2:$A$428,0)-1),""))</f>
        <v/>
      </c>
      <c r="U192" s="19" t="str" cm="1">
        <f t="array" ref="U192">IF(OR($O192&lt;U$387,$O192&gt;U$388),"",IFERROR(IF($O192=U$387,100,U191)*INDEX($B$2:$B$428,MATCH($O192,$A$2:$A$428,0))/INDEX($B$2:$B$428,MATCH($O192,$A$2:$A$428,0)-1),""))</f>
        <v/>
      </c>
      <c r="V192" s="19" t="str" cm="1">
        <f t="array" ref="V192">IF(OR($O192&lt;V$387,$O192&gt;V$388),"",IFERROR(IF($O192=V$387,100,V191)*INDEX($B$2:$B$428,MATCH($O192,$A$2:$A$428,0))/INDEX($B$2:$B$428,MATCH($O192,$A$2:$A$428,0)-1),""))</f>
        <v/>
      </c>
      <c r="W192" s="19" t="str" cm="1">
        <f t="array" ref="W192">IF(OR($O192&lt;W$387,$O192&gt;W$388),"",IFERROR(IF($O192=W$387,100,W191)*INDEX($B$2:$B$428,MATCH($O192,$A$2:$A$428,0))/INDEX($B$2:$B$428,MATCH($O192,$A$2:$A$428,0)-1),""))</f>
        <v/>
      </c>
      <c r="X192" s="19" t="str" cm="1">
        <f t="array" ref="X192">IF(OR($O192&lt;X$387,$O192&gt;X$388),"",IFERROR(IF($O192=X$387,100,X191)*INDEX($B$2:$B$428,MATCH($O192,$A$2:$A$428,0))/INDEX($B$2:$B$428,MATCH($O192,$A$2:$A$428,0)-1),""))</f>
        <v/>
      </c>
      <c r="AA192" s="19"/>
      <c r="AB192" s="19"/>
      <c r="AC192" s="19"/>
      <c r="AD192" s="19"/>
      <c r="AE192" s="19"/>
      <c r="AF192" s="19"/>
      <c r="AG192" s="19"/>
      <c r="AH192" s="19"/>
      <c r="AJ192" s="11">
        <v>38657</v>
      </c>
      <c r="AK192">
        <v>2151013</v>
      </c>
      <c r="AL192" s="26">
        <f t="shared" si="24"/>
        <v>0.67505293087489471</v>
      </c>
    </row>
    <row r="193" spans="1:38" x14ac:dyDescent="0.3">
      <c r="A193" s="11">
        <v>39052</v>
      </c>
      <c r="B193" s="18">
        <v>735799.88</v>
      </c>
      <c r="C193" s="18">
        <v>1091255.3600000001</v>
      </c>
      <c r="D193" s="18">
        <v>1556476.26</v>
      </c>
      <c r="E193" s="11">
        <f t="shared" si="19"/>
        <v>39052</v>
      </c>
      <c r="F193" s="9">
        <f t="shared" si="21"/>
        <v>0.10775928142994973</v>
      </c>
      <c r="G193" s="9">
        <f t="shared" si="22"/>
        <v>8.0193508750420417E-2</v>
      </c>
      <c r="H193" s="9">
        <f t="shared" si="23"/>
        <v>7.0767619457541731E-2</v>
      </c>
      <c r="I193" s="11">
        <f t="shared" si="20"/>
        <v>39052</v>
      </c>
      <c r="O193" s="11">
        <v>40513</v>
      </c>
      <c r="P193" s="19" t="str" cm="1">
        <f t="array" ref="P193">IF(OR($O193&lt;P$387,$O193&gt;P$388),"",IFERROR(IF($O193=P$387,100,P192)*INDEX($B$2:$B$428,MATCH($O193,$A$2:$A$428,0))/INDEX($B$2:$B$428,MATCH($O193,$A$2:$A$428,0)-1),""))</f>
        <v/>
      </c>
      <c r="Q193" s="19" t="str" cm="1">
        <f t="array" ref="Q193">IF(OR($O193&lt;Q$387,$O193&gt;Q$388),"",IFERROR(IF($O193=Q$387,100,Q192)*INDEX($B$2:$B$428,MATCH($O193,$A$2:$A$428,0))/INDEX($B$2:$B$428,MATCH($O193,$A$2:$A$428,0)-1),""))</f>
        <v/>
      </c>
      <c r="R193" s="19" t="str" cm="1">
        <f t="array" ref="R193">IF(OR($O193&lt;R$387,$O193&gt;R$388),"",IFERROR(IF($O193=R$387,100,R192)*INDEX($B$2:$B$428,MATCH($O193,$A$2:$A$428,0))/INDEX($B$2:$B$428,MATCH($O193,$A$2:$A$428,0)-1),""))</f>
        <v/>
      </c>
      <c r="S193" s="19" cm="1">
        <f t="array" ref="S193">IF(OR($O193&lt;S$387,$O193&gt;S$388),"",IFERROR(IF($O193=S$387,100,S192)*INDEX($B$2:$B$428,MATCH($O193,$A$2:$A$428,0))/INDEX($B$2:$B$428,MATCH($O193,$A$2:$A$428,0)-1),""))</f>
        <v>136.05829617694408</v>
      </c>
      <c r="T193" s="19" t="str" cm="1">
        <f t="array" ref="T193">IF(OR($O193&lt;T$387,$O193&gt;T$388),"",IFERROR(IF($O193=T$387,100,T192)*INDEX($B$2:$B$428,MATCH($O193,$A$2:$A$428,0))/INDEX($B$2:$B$428,MATCH($O193,$A$2:$A$428,0)-1),""))</f>
        <v/>
      </c>
      <c r="U193" s="19" t="str" cm="1">
        <f t="array" ref="U193">IF(OR($O193&lt;U$387,$O193&gt;U$388),"",IFERROR(IF($O193=U$387,100,U192)*INDEX($B$2:$B$428,MATCH($O193,$A$2:$A$428,0))/INDEX($B$2:$B$428,MATCH($O193,$A$2:$A$428,0)-1),""))</f>
        <v/>
      </c>
      <c r="V193" s="19" t="str" cm="1">
        <f t="array" ref="V193">IF(OR($O193&lt;V$387,$O193&gt;V$388),"",IFERROR(IF($O193=V$387,100,V192)*INDEX($B$2:$B$428,MATCH($O193,$A$2:$A$428,0))/INDEX($B$2:$B$428,MATCH($O193,$A$2:$A$428,0)-1),""))</f>
        <v/>
      </c>
      <c r="W193" s="19" t="str" cm="1">
        <f t="array" ref="W193">IF(OR($O193&lt;W$387,$O193&gt;W$388),"",IFERROR(IF($O193=W$387,100,W192)*INDEX($B$2:$B$428,MATCH($O193,$A$2:$A$428,0))/INDEX($B$2:$B$428,MATCH($O193,$A$2:$A$428,0)-1),""))</f>
        <v/>
      </c>
      <c r="X193" s="19" t="str" cm="1">
        <f t="array" ref="X193">IF(OR($O193&lt;X$387,$O193&gt;X$388),"",IFERROR(IF($O193=X$387,100,X192)*INDEX($B$2:$B$428,MATCH($O193,$A$2:$A$428,0))/INDEX($B$2:$B$428,MATCH($O193,$A$2:$A$428,0)-1),""))</f>
        <v/>
      </c>
      <c r="AA193" s="19"/>
      <c r="AB193" s="19"/>
      <c r="AC193" s="19"/>
      <c r="AD193" s="19"/>
      <c r="AE193" s="19"/>
      <c r="AF193" s="19"/>
      <c r="AG193" s="19"/>
      <c r="AH193" s="19"/>
      <c r="AJ193" s="11">
        <v>38687</v>
      </c>
      <c r="AK193">
        <v>2170584.5</v>
      </c>
      <c r="AL193" s="26">
        <f t="shared" si="24"/>
        <v>0.66968500420048138</v>
      </c>
    </row>
    <row r="194" spans="1:38" x14ac:dyDescent="0.3">
      <c r="A194" s="11">
        <v>39083</v>
      </c>
      <c r="B194" s="18">
        <v>735219.19999999995</v>
      </c>
      <c r="C194" s="18">
        <v>1102636.3700000001</v>
      </c>
      <c r="D194" s="18">
        <v>1548742.58</v>
      </c>
      <c r="E194" s="11">
        <f t="shared" ref="E194:E257" si="25">A194</f>
        <v>39083</v>
      </c>
      <c r="F194" s="9">
        <f t="shared" si="21"/>
        <v>9.0223677450266937E-2</v>
      </c>
      <c r="G194" s="9">
        <f t="shared" si="22"/>
        <v>7.8248997814500898E-2</v>
      </c>
      <c r="H194" s="9">
        <f t="shared" si="23"/>
        <v>6.2002160316458887E-2</v>
      </c>
      <c r="I194" s="11">
        <f t="shared" ref="I194:I257" si="26">A194</f>
        <v>39083</v>
      </c>
      <c r="O194" s="11">
        <v>40544</v>
      </c>
      <c r="P194" s="19" t="str" cm="1">
        <f t="array" ref="P194">IF(OR($O194&lt;P$387,$O194&gt;P$388),"",IFERROR(IF($O194=P$387,100,P193)*INDEX($B$2:$B$428,MATCH($O194,$A$2:$A$428,0))/INDEX($B$2:$B$428,MATCH($O194,$A$2:$A$428,0)-1),""))</f>
        <v/>
      </c>
      <c r="Q194" s="19" t="str" cm="1">
        <f t="array" ref="Q194">IF(OR($O194&lt;Q$387,$O194&gt;Q$388),"",IFERROR(IF($O194=Q$387,100,Q193)*INDEX($B$2:$B$428,MATCH($O194,$A$2:$A$428,0))/INDEX($B$2:$B$428,MATCH($O194,$A$2:$A$428,0)-1),""))</f>
        <v/>
      </c>
      <c r="R194" s="19" t="str" cm="1">
        <f t="array" ref="R194">IF(OR($O194&lt;R$387,$O194&gt;R$388),"",IFERROR(IF($O194=R$387,100,R193)*INDEX($B$2:$B$428,MATCH($O194,$A$2:$A$428,0))/INDEX($B$2:$B$428,MATCH($O194,$A$2:$A$428,0)-1),""))</f>
        <v/>
      </c>
      <c r="S194" s="19" t="str" cm="1">
        <f t="array" ref="S194">IF(OR($O194&lt;S$387,$O194&gt;S$388),"",IFERROR(IF($O194=S$387,100,S193)*INDEX($B$2:$B$428,MATCH($O194,$A$2:$A$428,0))/INDEX($B$2:$B$428,MATCH($O194,$A$2:$A$428,0)-1),""))</f>
        <v/>
      </c>
      <c r="T194" s="19" cm="1">
        <f t="array" ref="T194">IF(OR($O194&lt;T$387,$O194&gt;T$388),"",IFERROR(IF($O194=T$387,100,T193)*INDEX($B$2:$B$428,MATCH($O194,$A$2:$A$428,0))/INDEX($B$2:$B$428,MATCH($O194,$A$2:$A$428,0)-1),""))</f>
        <v>99.959557165748436</v>
      </c>
      <c r="U194" s="19" t="str" cm="1">
        <f t="array" ref="U194">IF(OR($O194&lt;U$387,$O194&gt;U$388),"",IFERROR(IF($O194=U$387,100,U193)*INDEX($B$2:$B$428,MATCH($O194,$A$2:$A$428,0))/INDEX($B$2:$B$428,MATCH($O194,$A$2:$A$428,0)-1),""))</f>
        <v/>
      </c>
      <c r="V194" s="19" t="str" cm="1">
        <f t="array" ref="V194">IF(OR($O194&lt;V$387,$O194&gt;V$388),"",IFERROR(IF($O194=V$387,100,V193)*INDEX($B$2:$B$428,MATCH($O194,$A$2:$A$428,0))/INDEX($B$2:$B$428,MATCH($O194,$A$2:$A$428,0)-1),""))</f>
        <v/>
      </c>
      <c r="W194" s="19" t="str" cm="1">
        <f t="array" ref="W194">IF(OR($O194&lt;W$387,$O194&gt;W$388),"",IFERROR(IF($O194=W$387,100,W193)*INDEX($B$2:$B$428,MATCH($O194,$A$2:$A$428,0))/INDEX($B$2:$B$428,MATCH($O194,$A$2:$A$428,0)-1),""))</f>
        <v/>
      </c>
      <c r="X194" s="19" t="str" cm="1">
        <f t="array" ref="X194">IF(OR($O194&lt;X$387,$O194&gt;X$388),"",IFERROR(IF($O194=X$387,100,X193)*INDEX($B$2:$B$428,MATCH($O194,$A$2:$A$428,0))/INDEX($B$2:$B$428,MATCH($O194,$A$2:$A$428,0)-1),""))</f>
        <v/>
      </c>
      <c r="AA194" s="19"/>
      <c r="AB194" s="19"/>
      <c r="AC194" s="19"/>
      <c r="AD194" s="19"/>
      <c r="AE194" s="19"/>
      <c r="AF194" s="19"/>
      <c r="AG194" s="19"/>
      <c r="AH194" s="19"/>
      <c r="AJ194" s="11">
        <v>38718</v>
      </c>
      <c r="AK194">
        <v>2190645.6</v>
      </c>
      <c r="AL194" s="26">
        <f t="shared" si="24"/>
        <v>0.66570484061867419</v>
      </c>
    </row>
    <row r="195" spans="1:38" x14ac:dyDescent="0.3">
      <c r="A195" s="11">
        <v>39114</v>
      </c>
      <c r="B195" s="18">
        <v>743454.49</v>
      </c>
      <c r="C195" s="18">
        <v>1111459.95</v>
      </c>
      <c r="D195" s="18">
        <v>1590994.71</v>
      </c>
      <c r="E195" s="11">
        <f t="shared" si="25"/>
        <v>39114</v>
      </c>
      <c r="F195" s="9">
        <f t="shared" si="21"/>
        <v>9.2394008189298438E-2</v>
      </c>
      <c r="G195" s="9">
        <f t="shared" si="22"/>
        <v>8.5533417233488729E-2</v>
      </c>
      <c r="H195" s="9">
        <f t="shared" si="23"/>
        <v>7.8341258106081169E-2</v>
      </c>
      <c r="I195" s="11">
        <f t="shared" si="26"/>
        <v>39114</v>
      </c>
      <c r="O195" s="11">
        <v>40575</v>
      </c>
      <c r="P195" s="19" t="str" cm="1">
        <f t="array" ref="P195">IF(OR($O195&lt;P$387,$O195&gt;P$388),"",IFERROR(IF($O195=P$387,100,P194)*INDEX($B$2:$B$428,MATCH($O195,$A$2:$A$428,0))/INDEX($B$2:$B$428,MATCH($O195,$A$2:$A$428,0)-1),""))</f>
        <v/>
      </c>
      <c r="Q195" s="19" t="str" cm="1">
        <f t="array" ref="Q195">IF(OR($O195&lt;Q$387,$O195&gt;Q$388),"",IFERROR(IF($O195=Q$387,100,Q194)*INDEX($B$2:$B$428,MATCH($O195,$A$2:$A$428,0))/INDEX($B$2:$B$428,MATCH($O195,$A$2:$A$428,0)-1),""))</f>
        <v/>
      </c>
      <c r="R195" s="19" t="str" cm="1">
        <f t="array" ref="R195">IF(OR($O195&lt;R$387,$O195&gt;R$388),"",IFERROR(IF($O195=R$387,100,R194)*INDEX($B$2:$B$428,MATCH($O195,$A$2:$A$428,0))/INDEX($B$2:$B$428,MATCH($O195,$A$2:$A$428,0)-1),""))</f>
        <v/>
      </c>
      <c r="S195" s="19" t="str" cm="1">
        <f t="array" ref="S195">IF(OR($O195&lt;S$387,$O195&gt;S$388),"",IFERROR(IF($O195=S$387,100,S194)*INDEX($B$2:$B$428,MATCH($O195,$A$2:$A$428,0))/INDEX($B$2:$B$428,MATCH($O195,$A$2:$A$428,0)-1),""))</f>
        <v/>
      </c>
      <c r="T195" s="19" cm="1">
        <f t="array" ref="T195">IF(OR($O195&lt;T$387,$O195&gt;T$388),"",IFERROR(IF($O195=T$387,100,T194)*INDEX($B$2:$B$428,MATCH($O195,$A$2:$A$428,0))/INDEX($B$2:$B$428,MATCH($O195,$A$2:$A$428,0)-1),""))</f>
        <v>101.35557911635443</v>
      </c>
      <c r="U195" s="19" t="str" cm="1">
        <f t="array" ref="U195">IF(OR($O195&lt;U$387,$O195&gt;U$388),"",IFERROR(IF($O195=U$387,100,U194)*INDEX($B$2:$B$428,MATCH($O195,$A$2:$A$428,0))/INDEX($B$2:$B$428,MATCH($O195,$A$2:$A$428,0)-1),""))</f>
        <v/>
      </c>
      <c r="V195" s="19" t="str" cm="1">
        <f t="array" ref="V195">IF(OR($O195&lt;V$387,$O195&gt;V$388),"",IFERROR(IF($O195=V$387,100,V194)*INDEX($B$2:$B$428,MATCH($O195,$A$2:$A$428,0))/INDEX($B$2:$B$428,MATCH($O195,$A$2:$A$428,0)-1),""))</f>
        <v/>
      </c>
      <c r="W195" s="19" t="str" cm="1">
        <f t="array" ref="W195">IF(OR($O195&lt;W$387,$O195&gt;W$388),"",IFERROR(IF($O195=W$387,100,W194)*INDEX($B$2:$B$428,MATCH($O195,$A$2:$A$428,0))/INDEX($B$2:$B$428,MATCH($O195,$A$2:$A$428,0)-1),""))</f>
        <v/>
      </c>
      <c r="X195" s="19" t="str" cm="1">
        <f t="array" ref="X195">IF(OR($O195&lt;X$387,$O195&gt;X$388),"",IFERROR(IF($O195=X$387,100,X194)*INDEX($B$2:$B$428,MATCH($O195,$A$2:$A$428,0))/INDEX($B$2:$B$428,MATCH($O195,$A$2:$A$428,0)-1),""))</f>
        <v/>
      </c>
      <c r="AA195" s="19"/>
      <c r="AB195" s="19"/>
      <c r="AC195" s="19"/>
      <c r="AD195" s="19"/>
      <c r="AE195" s="19"/>
      <c r="AF195" s="19"/>
      <c r="AG195" s="19"/>
      <c r="AH195" s="19"/>
      <c r="AJ195" s="11">
        <v>38749</v>
      </c>
      <c r="AK195">
        <v>2207667.4</v>
      </c>
      <c r="AL195" s="26">
        <f t="shared" si="24"/>
        <v>0.66831139962478048</v>
      </c>
    </row>
    <row r="196" spans="1:38" x14ac:dyDescent="0.3">
      <c r="A196" s="11">
        <v>39142</v>
      </c>
      <c r="B196" s="18">
        <v>756150.64</v>
      </c>
      <c r="C196" s="18">
        <v>1112960.56</v>
      </c>
      <c r="D196" s="18">
        <v>1603665.23</v>
      </c>
      <c r="E196" s="11">
        <f t="shared" si="25"/>
        <v>39142</v>
      </c>
      <c r="F196" s="9">
        <f t="shared" si="21"/>
        <v>0.10235325651772831</v>
      </c>
      <c r="G196" s="9">
        <f t="shared" si="22"/>
        <v>7.8387155075988924E-2</v>
      </c>
      <c r="H196" s="9">
        <f t="shared" si="23"/>
        <v>7.5846617132685035E-2</v>
      </c>
      <c r="I196" s="11">
        <f t="shared" si="26"/>
        <v>39142</v>
      </c>
      <c r="O196" s="11">
        <v>40603</v>
      </c>
      <c r="P196" s="19" t="str" cm="1">
        <f t="array" ref="P196">IF(OR($O196&lt;P$387,$O196&gt;P$388),"",IFERROR(IF($O196=P$387,100,P195)*INDEX($B$2:$B$428,MATCH($O196,$A$2:$A$428,0))/INDEX($B$2:$B$428,MATCH($O196,$A$2:$A$428,0)-1),""))</f>
        <v/>
      </c>
      <c r="Q196" s="19" t="str" cm="1">
        <f t="array" ref="Q196">IF(OR($O196&lt;Q$387,$O196&gt;Q$388),"",IFERROR(IF($O196=Q$387,100,Q195)*INDEX($B$2:$B$428,MATCH($O196,$A$2:$A$428,0))/INDEX($B$2:$B$428,MATCH($O196,$A$2:$A$428,0)-1),""))</f>
        <v/>
      </c>
      <c r="R196" s="19" t="str" cm="1">
        <f t="array" ref="R196">IF(OR($O196&lt;R$387,$O196&gt;R$388),"",IFERROR(IF($O196=R$387,100,R195)*INDEX($B$2:$B$428,MATCH($O196,$A$2:$A$428,0))/INDEX($B$2:$B$428,MATCH($O196,$A$2:$A$428,0)-1),""))</f>
        <v/>
      </c>
      <c r="S196" s="19" t="str" cm="1">
        <f t="array" ref="S196">IF(OR($O196&lt;S$387,$O196&gt;S$388),"",IFERROR(IF($O196=S$387,100,S195)*INDEX($B$2:$B$428,MATCH($O196,$A$2:$A$428,0))/INDEX($B$2:$B$428,MATCH($O196,$A$2:$A$428,0)-1),""))</f>
        <v/>
      </c>
      <c r="T196" s="19" cm="1">
        <f t="array" ref="T196">IF(OR($O196&lt;T$387,$O196&gt;T$388),"",IFERROR(IF($O196=T$387,100,T195)*INDEX($B$2:$B$428,MATCH($O196,$A$2:$A$428,0))/INDEX($B$2:$B$428,MATCH($O196,$A$2:$A$428,0)-1),""))</f>
        <v>102.70390533260266</v>
      </c>
      <c r="U196" s="19" t="str" cm="1">
        <f t="array" ref="U196">IF(OR($O196&lt;U$387,$O196&gt;U$388),"",IFERROR(IF($O196=U$387,100,U195)*INDEX($B$2:$B$428,MATCH($O196,$A$2:$A$428,0))/INDEX($B$2:$B$428,MATCH($O196,$A$2:$A$428,0)-1),""))</f>
        <v/>
      </c>
      <c r="V196" s="19" t="str" cm="1">
        <f t="array" ref="V196">IF(OR($O196&lt;V$387,$O196&gt;V$388),"",IFERROR(IF($O196=V$387,100,V195)*INDEX($B$2:$B$428,MATCH($O196,$A$2:$A$428,0))/INDEX($B$2:$B$428,MATCH($O196,$A$2:$A$428,0)-1),""))</f>
        <v/>
      </c>
      <c r="W196" s="19" t="str" cm="1">
        <f t="array" ref="W196">IF(OR($O196&lt;W$387,$O196&gt;W$388),"",IFERROR(IF($O196=W$387,100,W195)*INDEX($B$2:$B$428,MATCH($O196,$A$2:$A$428,0))/INDEX($B$2:$B$428,MATCH($O196,$A$2:$A$428,0)-1),""))</f>
        <v/>
      </c>
      <c r="X196" s="19" t="str" cm="1">
        <f t="array" ref="X196">IF(OR($O196&lt;X$387,$O196&gt;X$388),"",IFERROR(IF($O196=X$387,100,X195)*INDEX($B$2:$B$428,MATCH($O196,$A$2:$A$428,0))/INDEX($B$2:$B$428,MATCH($O196,$A$2:$A$428,0)-1),""))</f>
        <v/>
      </c>
      <c r="AA196" s="19"/>
      <c r="AB196" s="19"/>
      <c r="AC196" s="19"/>
      <c r="AD196" s="19"/>
      <c r="AE196" s="19"/>
      <c r="AF196" s="19"/>
      <c r="AG196" s="19"/>
      <c r="AH196" s="19"/>
      <c r="AJ196" s="11">
        <v>38777</v>
      </c>
      <c r="AK196">
        <v>2225144.6</v>
      </c>
      <c r="AL196" s="26">
        <f t="shared" si="24"/>
        <v>0.66989250046940763</v>
      </c>
    </row>
    <row r="197" spans="1:38" x14ac:dyDescent="0.3">
      <c r="A197" s="11">
        <v>39173</v>
      </c>
      <c r="B197" s="18">
        <v>753917.32</v>
      </c>
      <c r="C197" s="18">
        <v>1106671.0900000001</v>
      </c>
      <c r="D197" s="18">
        <v>1602390.12</v>
      </c>
      <c r="E197" s="11">
        <f t="shared" si="25"/>
        <v>39173</v>
      </c>
      <c r="F197" s="9">
        <f t="shared" si="21"/>
        <v>0.10560147694053379</v>
      </c>
      <c r="G197" s="9">
        <f t="shared" si="22"/>
        <v>8.5726044865212625E-2</v>
      </c>
      <c r="H197" s="9">
        <f t="shared" si="23"/>
        <v>0.11457596470138975</v>
      </c>
      <c r="I197" s="11">
        <f t="shared" si="26"/>
        <v>39173</v>
      </c>
      <c r="O197" s="11">
        <v>40634</v>
      </c>
      <c r="P197" s="19" t="str" cm="1">
        <f t="array" ref="P197">IF(OR($O197&lt;P$387,$O197&gt;P$388),"",IFERROR(IF($O197=P$387,100,P196)*INDEX($B$2:$B$428,MATCH($O197,$A$2:$A$428,0))/INDEX($B$2:$B$428,MATCH($O197,$A$2:$A$428,0)-1),""))</f>
        <v/>
      </c>
      <c r="Q197" s="19" t="str" cm="1">
        <f t="array" ref="Q197">IF(OR($O197&lt;Q$387,$O197&gt;Q$388),"",IFERROR(IF($O197=Q$387,100,Q196)*INDEX($B$2:$B$428,MATCH($O197,$A$2:$A$428,0))/INDEX($B$2:$B$428,MATCH($O197,$A$2:$A$428,0)-1),""))</f>
        <v/>
      </c>
      <c r="R197" s="19" t="str" cm="1">
        <f t="array" ref="R197">IF(OR($O197&lt;R$387,$O197&gt;R$388),"",IFERROR(IF($O197=R$387,100,R196)*INDEX($B$2:$B$428,MATCH($O197,$A$2:$A$428,0))/INDEX($B$2:$B$428,MATCH($O197,$A$2:$A$428,0)-1),""))</f>
        <v/>
      </c>
      <c r="S197" s="19" t="str" cm="1">
        <f t="array" ref="S197">IF(OR($O197&lt;S$387,$O197&gt;S$388),"",IFERROR(IF($O197=S$387,100,S196)*INDEX($B$2:$B$428,MATCH($O197,$A$2:$A$428,0))/INDEX($B$2:$B$428,MATCH($O197,$A$2:$A$428,0)-1),""))</f>
        <v/>
      </c>
      <c r="T197" s="19" cm="1">
        <f t="array" ref="T197">IF(OR($O197&lt;T$387,$O197&gt;T$388),"",IFERROR(IF($O197=T$387,100,T196)*INDEX($B$2:$B$428,MATCH($O197,$A$2:$A$428,0))/INDEX($B$2:$B$428,MATCH($O197,$A$2:$A$428,0)-1),""))</f>
        <v>103.67998426717011</v>
      </c>
      <c r="U197" s="19" t="str" cm="1">
        <f t="array" ref="U197">IF(OR($O197&lt;U$387,$O197&gt;U$388),"",IFERROR(IF($O197=U$387,100,U196)*INDEX($B$2:$B$428,MATCH($O197,$A$2:$A$428,0))/INDEX($B$2:$B$428,MATCH($O197,$A$2:$A$428,0)-1),""))</f>
        <v/>
      </c>
      <c r="V197" s="19" t="str" cm="1">
        <f t="array" ref="V197">IF(OR($O197&lt;V$387,$O197&gt;V$388),"",IFERROR(IF($O197=V$387,100,V196)*INDEX($B$2:$B$428,MATCH($O197,$A$2:$A$428,0))/INDEX($B$2:$B$428,MATCH($O197,$A$2:$A$428,0)-1),""))</f>
        <v/>
      </c>
      <c r="W197" s="19" t="str" cm="1">
        <f t="array" ref="W197">IF(OR($O197&lt;W$387,$O197&gt;W$388),"",IFERROR(IF($O197=W$387,100,W196)*INDEX($B$2:$B$428,MATCH($O197,$A$2:$A$428,0))/INDEX($B$2:$B$428,MATCH($O197,$A$2:$A$428,0)-1),""))</f>
        <v/>
      </c>
      <c r="X197" s="19" t="str" cm="1">
        <f t="array" ref="X197">IF(OR($O197&lt;X$387,$O197&gt;X$388),"",IFERROR(IF($O197=X$387,100,X196)*INDEX($B$2:$B$428,MATCH($O197,$A$2:$A$428,0))/INDEX($B$2:$B$428,MATCH($O197,$A$2:$A$428,0)-1),""))</f>
        <v/>
      </c>
      <c r="AA197" s="19"/>
      <c r="AB197" s="19"/>
      <c r="AC197" s="19"/>
      <c r="AD197" s="19"/>
      <c r="AE197" s="19"/>
      <c r="AF197" s="19"/>
      <c r="AG197" s="19"/>
      <c r="AH197" s="19"/>
      <c r="AJ197" s="11">
        <v>38808</v>
      </c>
      <c r="AK197">
        <v>2235812.2999999998</v>
      </c>
      <c r="AL197" s="26">
        <f t="shared" si="24"/>
        <v>0.643018168385602</v>
      </c>
    </row>
    <row r="198" spans="1:38" x14ac:dyDescent="0.3">
      <c r="A198" s="11">
        <v>39203</v>
      </c>
      <c r="B198" s="18">
        <v>772360.73</v>
      </c>
      <c r="C198" s="18">
        <v>1105428.31</v>
      </c>
      <c r="D198" s="18">
        <v>1628950.42</v>
      </c>
      <c r="E198" s="11">
        <f t="shared" si="25"/>
        <v>39203</v>
      </c>
      <c r="F198" s="9">
        <f t="shared" si="21"/>
        <v>0.12668246942026262</v>
      </c>
      <c r="G198" s="9">
        <f t="shared" si="22"/>
        <v>6.0239329998847513E-2</v>
      </c>
      <c r="H198" s="9">
        <f t="shared" si="23"/>
        <v>0.13821010768326381</v>
      </c>
      <c r="I198" s="11">
        <f t="shared" si="26"/>
        <v>39203</v>
      </c>
      <c r="O198" s="11">
        <v>40664</v>
      </c>
      <c r="P198" s="19" t="str" cm="1">
        <f t="array" ref="P198">IF(OR($O198&lt;P$387,$O198&gt;P$388),"",IFERROR(IF($O198=P$387,100,P197)*INDEX($B$2:$B$428,MATCH($O198,$A$2:$A$428,0))/INDEX($B$2:$B$428,MATCH($O198,$A$2:$A$428,0)-1),""))</f>
        <v/>
      </c>
      <c r="Q198" s="19" t="str" cm="1">
        <f t="array" ref="Q198">IF(OR($O198&lt;Q$387,$O198&gt;Q$388),"",IFERROR(IF($O198=Q$387,100,Q197)*INDEX($B$2:$B$428,MATCH($O198,$A$2:$A$428,0))/INDEX($B$2:$B$428,MATCH($O198,$A$2:$A$428,0)-1),""))</f>
        <v/>
      </c>
      <c r="R198" s="19" t="str" cm="1">
        <f t="array" ref="R198">IF(OR($O198&lt;R$387,$O198&gt;R$388),"",IFERROR(IF($O198=R$387,100,R197)*INDEX($B$2:$B$428,MATCH($O198,$A$2:$A$428,0))/INDEX($B$2:$B$428,MATCH($O198,$A$2:$A$428,0)-1),""))</f>
        <v/>
      </c>
      <c r="S198" s="19" t="str" cm="1">
        <f t="array" ref="S198">IF(OR($O198&lt;S$387,$O198&gt;S$388),"",IFERROR(IF($O198=S$387,100,S197)*INDEX($B$2:$B$428,MATCH($O198,$A$2:$A$428,0))/INDEX($B$2:$B$428,MATCH($O198,$A$2:$A$428,0)-1),""))</f>
        <v/>
      </c>
      <c r="T198" s="19" cm="1">
        <f t="array" ref="T198">IF(OR($O198&lt;T$387,$O198&gt;T$388),"",IFERROR(IF($O198=T$387,100,T197)*INDEX($B$2:$B$428,MATCH($O198,$A$2:$A$428,0))/INDEX($B$2:$B$428,MATCH($O198,$A$2:$A$428,0)-1),""))</f>
        <v>104.78564448794876</v>
      </c>
      <c r="U198" s="19" t="str" cm="1">
        <f t="array" ref="U198">IF(OR($O198&lt;U$387,$O198&gt;U$388),"",IFERROR(IF($O198=U$387,100,U197)*INDEX($B$2:$B$428,MATCH($O198,$A$2:$A$428,0))/INDEX($B$2:$B$428,MATCH($O198,$A$2:$A$428,0)-1),""))</f>
        <v/>
      </c>
      <c r="V198" s="19" t="str" cm="1">
        <f t="array" ref="V198">IF(OR($O198&lt;V$387,$O198&gt;V$388),"",IFERROR(IF($O198=V$387,100,V197)*INDEX($B$2:$B$428,MATCH($O198,$A$2:$A$428,0))/INDEX($B$2:$B$428,MATCH($O198,$A$2:$A$428,0)-1),""))</f>
        <v/>
      </c>
      <c r="W198" s="19" t="str" cm="1">
        <f t="array" ref="W198">IF(OR($O198&lt;W$387,$O198&gt;W$388),"",IFERROR(IF($O198=W$387,100,W197)*INDEX($B$2:$B$428,MATCH($O198,$A$2:$A$428,0))/INDEX($B$2:$B$428,MATCH($O198,$A$2:$A$428,0)-1),""))</f>
        <v/>
      </c>
      <c r="X198" s="19" t="str" cm="1">
        <f t="array" ref="X198">IF(OR($O198&lt;X$387,$O198&gt;X$388),"",IFERROR(IF($O198=X$387,100,X197)*INDEX($B$2:$B$428,MATCH($O198,$A$2:$A$428,0))/INDEX($B$2:$B$428,MATCH($O198,$A$2:$A$428,0)-1),""))</f>
        <v/>
      </c>
      <c r="AA198" s="19"/>
      <c r="AB198" s="19"/>
      <c r="AC198" s="19"/>
      <c r="AD198" s="19"/>
      <c r="AE198" s="19"/>
      <c r="AF198" s="19"/>
      <c r="AG198" s="19"/>
      <c r="AH198" s="19"/>
      <c r="AJ198" s="11">
        <v>38838</v>
      </c>
      <c r="AK198">
        <v>2256414.4</v>
      </c>
      <c r="AL198" s="26">
        <f t="shared" si="24"/>
        <v>0.63425889322457785</v>
      </c>
    </row>
    <row r="199" spans="1:38" x14ac:dyDescent="0.3">
      <c r="A199" s="11">
        <v>39234</v>
      </c>
      <c r="B199" s="18">
        <v>774910.42</v>
      </c>
      <c r="C199" s="18">
        <v>1108049.1200000001</v>
      </c>
      <c r="D199" s="18">
        <v>1655279.24</v>
      </c>
      <c r="E199" s="11">
        <f t="shared" si="25"/>
        <v>39234</v>
      </c>
      <c r="F199" s="9">
        <f t="shared" si="21"/>
        <v>0.11897698951296287</v>
      </c>
      <c r="G199" s="9">
        <f t="shared" si="22"/>
        <v>6.7551716444936183E-2</v>
      </c>
      <c r="H199" s="9">
        <f t="shared" si="23"/>
        <v>0.12937381900987521</v>
      </c>
      <c r="I199" s="11">
        <f t="shared" si="26"/>
        <v>39234</v>
      </c>
      <c r="O199" s="11">
        <v>40695</v>
      </c>
      <c r="P199" s="19" t="str" cm="1">
        <f t="array" ref="P199">IF(OR($O199&lt;P$387,$O199&gt;P$388),"",IFERROR(IF($O199=P$387,100,P198)*INDEX($B$2:$B$428,MATCH($O199,$A$2:$A$428,0))/INDEX($B$2:$B$428,MATCH($O199,$A$2:$A$428,0)-1),""))</f>
        <v/>
      </c>
      <c r="Q199" s="19" t="str" cm="1">
        <f t="array" ref="Q199">IF(OR($O199&lt;Q$387,$O199&gt;Q$388),"",IFERROR(IF($O199=Q$387,100,Q198)*INDEX($B$2:$B$428,MATCH($O199,$A$2:$A$428,0))/INDEX($B$2:$B$428,MATCH($O199,$A$2:$A$428,0)-1),""))</f>
        <v/>
      </c>
      <c r="R199" s="19" t="str" cm="1">
        <f t="array" ref="R199">IF(OR($O199&lt;R$387,$O199&gt;R$388),"",IFERROR(IF($O199=R$387,100,R198)*INDEX($B$2:$B$428,MATCH($O199,$A$2:$A$428,0))/INDEX($B$2:$B$428,MATCH($O199,$A$2:$A$428,0)-1),""))</f>
        <v/>
      </c>
      <c r="S199" s="19" t="str" cm="1">
        <f t="array" ref="S199">IF(OR($O199&lt;S$387,$O199&gt;S$388),"",IFERROR(IF($O199=S$387,100,S198)*INDEX($B$2:$B$428,MATCH($O199,$A$2:$A$428,0))/INDEX($B$2:$B$428,MATCH($O199,$A$2:$A$428,0)-1),""))</f>
        <v/>
      </c>
      <c r="T199" s="19" cm="1">
        <f t="array" ref="T199">IF(OR($O199&lt;T$387,$O199&gt;T$388),"",IFERROR(IF($O199=T$387,100,T198)*INDEX($B$2:$B$428,MATCH($O199,$A$2:$A$428,0))/INDEX($B$2:$B$428,MATCH($O199,$A$2:$A$428,0)-1),""))</f>
        <v>105.96970914821748</v>
      </c>
      <c r="U199" s="19" t="str" cm="1">
        <f t="array" ref="U199">IF(OR($O199&lt;U$387,$O199&gt;U$388),"",IFERROR(IF($O199=U$387,100,U198)*INDEX($B$2:$B$428,MATCH($O199,$A$2:$A$428,0))/INDEX($B$2:$B$428,MATCH($O199,$A$2:$A$428,0)-1),""))</f>
        <v/>
      </c>
      <c r="V199" s="19" t="str" cm="1">
        <f t="array" ref="V199">IF(OR($O199&lt;V$387,$O199&gt;V$388),"",IFERROR(IF($O199=V$387,100,V198)*INDEX($B$2:$B$428,MATCH($O199,$A$2:$A$428,0))/INDEX($B$2:$B$428,MATCH($O199,$A$2:$A$428,0)-1),""))</f>
        <v/>
      </c>
      <c r="W199" s="19" t="str" cm="1">
        <f t="array" ref="W199">IF(OR($O199&lt;W$387,$O199&gt;W$388),"",IFERROR(IF($O199=W$387,100,W198)*INDEX($B$2:$B$428,MATCH($O199,$A$2:$A$428,0))/INDEX($B$2:$B$428,MATCH($O199,$A$2:$A$428,0)-1),""))</f>
        <v/>
      </c>
      <c r="X199" s="19" t="str" cm="1">
        <f t="array" ref="X199">IF(OR($O199&lt;X$387,$O199&gt;X$388),"",IFERROR(IF($O199=X$387,100,X198)*INDEX($B$2:$B$428,MATCH($O199,$A$2:$A$428,0))/INDEX($B$2:$B$428,MATCH($O199,$A$2:$A$428,0)-1),""))</f>
        <v/>
      </c>
      <c r="AA199" s="19"/>
      <c r="AB199" s="19"/>
      <c r="AC199" s="19"/>
      <c r="AD199" s="19"/>
      <c r="AE199" s="19"/>
      <c r="AF199" s="19"/>
      <c r="AG199" s="19"/>
      <c r="AH199" s="19"/>
      <c r="AJ199" s="11">
        <v>38869</v>
      </c>
      <c r="AK199">
        <v>2271564</v>
      </c>
      <c r="AL199" s="26">
        <f t="shared" si="24"/>
        <v>0.64522112077845928</v>
      </c>
    </row>
    <row r="200" spans="1:38" x14ac:dyDescent="0.3">
      <c r="A200" s="11">
        <v>39264</v>
      </c>
      <c r="B200" s="18">
        <v>785558.41</v>
      </c>
      <c r="C200" s="18">
        <v>1110791.71</v>
      </c>
      <c r="D200" s="18">
        <v>1617527.86</v>
      </c>
      <c r="E200" s="11">
        <f t="shared" si="25"/>
        <v>39264</v>
      </c>
      <c r="F200" s="9">
        <f t="shared" si="21"/>
        <v>0.12480502800720927</v>
      </c>
      <c r="G200" s="9">
        <f t="shared" si="22"/>
        <v>6.2634953517744396E-2</v>
      </c>
      <c r="H200" s="9">
        <f t="shared" si="23"/>
        <v>0.11435626734792037</v>
      </c>
      <c r="I200" s="11">
        <f t="shared" si="26"/>
        <v>39264</v>
      </c>
      <c r="O200" s="11">
        <v>40725</v>
      </c>
      <c r="P200" s="19" t="str" cm="1">
        <f t="array" ref="P200">IF(OR($O200&lt;P$387,$O200&gt;P$388),"",IFERROR(IF($O200=P$387,100,P199)*INDEX($B$2:$B$428,MATCH($O200,$A$2:$A$428,0))/INDEX($B$2:$B$428,MATCH($O200,$A$2:$A$428,0)-1),""))</f>
        <v/>
      </c>
      <c r="Q200" s="19" t="str" cm="1">
        <f t="array" ref="Q200">IF(OR($O200&lt;Q$387,$O200&gt;Q$388),"",IFERROR(IF($O200=Q$387,100,Q199)*INDEX($B$2:$B$428,MATCH($O200,$A$2:$A$428,0))/INDEX($B$2:$B$428,MATCH($O200,$A$2:$A$428,0)-1),""))</f>
        <v/>
      </c>
      <c r="R200" s="19" t="str" cm="1">
        <f t="array" ref="R200">IF(OR($O200&lt;R$387,$O200&gt;R$388),"",IFERROR(IF($O200=R$387,100,R199)*INDEX($B$2:$B$428,MATCH($O200,$A$2:$A$428,0))/INDEX($B$2:$B$428,MATCH($O200,$A$2:$A$428,0)-1),""))</f>
        <v/>
      </c>
      <c r="S200" s="19" t="str" cm="1">
        <f t="array" ref="S200">IF(OR($O200&lt;S$387,$O200&gt;S$388),"",IFERROR(IF($O200=S$387,100,S199)*INDEX($B$2:$B$428,MATCH($O200,$A$2:$A$428,0))/INDEX($B$2:$B$428,MATCH($O200,$A$2:$A$428,0)-1),""))</f>
        <v/>
      </c>
      <c r="T200" s="19" cm="1">
        <f t="array" ref="T200">IF(OR($O200&lt;T$387,$O200&gt;T$388),"",IFERROR(IF($O200=T$387,100,T199)*INDEX($B$2:$B$428,MATCH($O200,$A$2:$A$428,0))/INDEX($B$2:$B$428,MATCH($O200,$A$2:$A$428,0)-1),""))</f>
        <v>106.35768186804343</v>
      </c>
      <c r="U200" s="19" t="str" cm="1">
        <f t="array" ref="U200">IF(OR($O200&lt;U$387,$O200&gt;U$388),"",IFERROR(IF($O200=U$387,100,U199)*INDEX($B$2:$B$428,MATCH($O200,$A$2:$A$428,0))/INDEX($B$2:$B$428,MATCH($O200,$A$2:$A$428,0)-1),""))</f>
        <v/>
      </c>
      <c r="V200" s="19" t="str" cm="1">
        <f t="array" ref="V200">IF(OR($O200&lt;V$387,$O200&gt;V$388),"",IFERROR(IF($O200=V$387,100,V199)*INDEX($B$2:$B$428,MATCH($O200,$A$2:$A$428,0))/INDEX($B$2:$B$428,MATCH($O200,$A$2:$A$428,0)-1),""))</f>
        <v/>
      </c>
      <c r="W200" s="19" t="str" cm="1">
        <f t="array" ref="W200">IF(OR($O200&lt;W$387,$O200&gt;W$388),"",IFERROR(IF($O200=W$387,100,W199)*INDEX($B$2:$B$428,MATCH($O200,$A$2:$A$428,0))/INDEX($B$2:$B$428,MATCH($O200,$A$2:$A$428,0)-1),""))</f>
        <v/>
      </c>
      <c r="X200" s="19" t="str" cm="1">
        <f t="array" ref="X200">IF(OR($O200&lt;X$387,$O200&gt;X$388),"",IFERROR(IF($O200=X$387,100,X199)*INDEX($B$2:$B$428,MATCH($O200,$A$2:$A$428,0))/INDEX($B$2:$B$428,MATCH($O200,$A$2:$A$428,0)-1),""))</f>
        <v/>
      </c>
      <c r="AA200" s="19"/>
      <c r="AB200" s="19"/>
      <c r="AC200" s="19"/>
      <c r="AD200" s="19"/>
      <c r="AE200" s="19"/>
      <c r="AF200" s="19"/>
      <c r="AG200" s="19"/>
      <c r="AH200" s="19"/>
      <c r="AJ200" s="11">
        <v>38899</v>
      </c>
      <c r="AK200">
        <v>2293379.4</v>
      </c>
      <c r="AL200" s="26">
        <f t="shared" si="24"/>
        <v>0.63292434736267356</v>
      </c>
    </row>
    <row r="201" spans="1:38" x14ac:dyDescent="0.3">
      <c r="A201" s="11">
        <v>39295</v>
      </c>
      <c r="B201" s="18">
        <v>779456.16</v>
      </c>
      <c r="C201" s="18">
        <v>1123920.1100000001</v>
      </c>
      <c r="D201" s="18">
        <v>1646828.76</v>
      </c>
      <c r="E201" s="11">
        <f t="shared" si="25"/>
        <v>39295</v>
      </c>
      <c r="F201" s="9">
        <f t="shared" si="21"/>
        <v>0.10549632059636349</v>
      </c>
      <c r="G201" s="9">
        <f t="shared" si="22"/>
        <v>7.0508766499365327E-2</v>
      </c>
      <c r="H201" s="9">
        <f t="shared" si="23"/>
        <v>0.11870401937940844</v>
      </c>
      <c r="I201" s="11">
        <f t="shared" si="26"/>
        <v>39295</v>
      </c>
      <c r="O201" s="11">
        <v>40756</v>
      </c>
      <c r="P201" s="19" t="str" cm="1">
        <f t="array" ref="P201">IF(OR($O201&lt;P$387,$O201&gt;P$388),"",IFERROR(IF($O201=P$387,100,P200)*INDEX($B$2:$B$428,MATCH($O201,$A$2:$A$428,0))/INDEX($B$2:$B$428,MATCH($O201,$A$2:$A$428,0)-1),""))</f>
        <v/>
      </c>
      <c r="Q201" s="19" t="str" cm="1">
        <f t="array" ref="Q201">IF(OR($O201&lt;Q$387,$O201&gt;Q$388),"",IFERROR(IF($O201=Q$387,100,Q200)*INDEX($B$2:$B$428,MATCH($O201,$A$2:$A$428,0))/INDEX($B$2:$B$428,MATCH($O201,$A$2:$A$428,0)-1),""))</f>
        <v/>
      </c>
      <c r="R201" s="19" t="str" cm="1">
        <f t="array" ref="R201">IF(OR($O201&lt;R$387,$O201&gt;R$388),"",IFERROR(IF($O201=R$387,100,R200)*INDEX($B$2:$B$428,MATCH($O201,$A$2:$A$428,0))/INDEX($B$2:$B$428,MATCH($O201,$A$2:$A$428,0)-1),""))</f>
        <v/>
      </c>
      <c r="S201" s="19" t="str" cm="1">
        <f t="array" ref="S201">IF(OR($O201&lt;S$387,$O201&gt;S$388),"",IFERROR(IF($O201=S$387,100,S200)*INDEX($B$2:$B$428,MATCH($O201,$A$2:$A$428,0))/INDEX($B$2:$B$428,MATCH($O201,$A$2:$A$428,0)-1),""))</f>
        <v/>
      </c>
      <c r="T201" s="19" cm="1">
        <f t="array" ref="T201">IF(OR($O201&lt;T$387,$O201&gt;T$388),"",IFERROR(IF($O201=T$387,100,T200)*INDEX($B$2:$B$428,MATCH($O201,$A$2:$A$428,0))/INDEX($B$2:$B$428,MATCH($O201,$A$2:$A$428,0)-1),""))</f>
        <v>106.72387790763032</v>
      </c>
      <c r="U201" s="19" t="str" cm="1">
        <f t="array" ref="U201">IF(OR($O201&lt;U$387,$O201&gt;U$388),"",IFERROR(IF($O201=U$387,100,U200)*INDEX($B$2:$B$428,MATCH($O201,$A$2:$A$428,0))/INDEX($B$2:$B$428,MATCH($O201,$A$2:$A$428,0)-1),""))</f>
        <v/>
      </c>
      <c r="V201" s="19" t="str" cm="1">
        <f t="array" ref="V201">IF(OR($O201&lt;V$387,$O201&gt;V$388),"",IFERROR(IF($O201=V$387,100,V200)*INDEX($B$2:$B$428,MATCH($O201,$A$2:$A$428,0))/INDEX($B$2:$B$428,MATCH($O201,$A$2:$A$428,0)-1),""))</f>
        <v/>
      </c>
      <c r="W201" s="19" t="str" cm="1">
        <f t="array" ref="W201">IF(OR($O201&lt;W$387,$O201&gt;W$388),"",IFERROR(IF($O201=W$387,100,W200)*INDEX($B$2:$B$428,MATCH($O201,$A$2:$A$428,0))/INDEX($B$2:$B$428,MATCH($O201,$A$2:$A$428,0)-1),""))</f>
        <v/>
      </c>
      <c r="X201" s="19" t="str" cm="1">
        <f t="array" ref="X201">IF(OR($O201&lt;X$387,$O201&gt;X$388),"",IFERROR(IF($O201=X$387,100,X200)*INDEX($B$2:$B$428,MATCH($O201,$A$2:$A$428,0))/INDEX($B$2:$B$428,MATCH($O201,$A$2:$A$428,0)-1),""))</f>
        <v/>
      </c>
      <c r="AA201" s="19"/>
      <c r="AB201" s="19"/>
      <c r="AC201" s="19"/>
      <c r="AD201" s="19"/>
      <c r="AE201" s="19"/>
      <c r="AF201" s="19"/>
      <c r="AG201" s="19"/>
      <c r="AH201" s="19"/>
      <c r="AJ201" s="11">
        <v>38930</v>
      </c>
      <c r="AK201">
        <v>2315466.5</v>
      </c>
      <c r="AL201" s="26">
        <f t="shared" si="24"/>
        <v>0.63576225784307394</v>
      </c>
    </row>
    <row r="202" spans="1:38" x14ac:dyDescent="0.3">
      <c r="A202" s="11">
        <v>39326</v>
      </c>
      <c r="B202" s="18">
        <v>798767.91</v>
      </c>
      <c r="C202" s="18">
        <v>1125937.8700000001</v>
      </c>
      <c r="D202" s="18">
        <v>1654861.9</v>
      </c>
      <c r="E202" s="11">
        <f t="shared" si="25"/>
        <v>39326</v>
      </c>
      <c r="F202" s="9">
        <f t="shared" si="21"/>
        <v>0.12102718452774375</v>
      </c>
      <c r="G202" s="9">
        <f t="shared" si="22"/>
        <v>6.0558280615450766E-2</v>
      </c>
      <c r="H202" s="9">
        <f t="shared" si="23"/>
        <v>9.5081877303788698E-2</v>
      </c>
      <c r="I202" s="11">
        <f t="shared" si="26"/>
        <v>39326</v>
      </c>
      <c r="O202" s="11">
        <v>40787</v>
      </c>
      <c r="P202" s="19" t="str" cm="1">
        <f t="array" ref="P202">IF(OR($O202&lt;P$387,$O202&gt;P$388),"",IFERROR(IF($O202=P$387,100,P201)*INDEX($B$2:$B$428,MATCH($O202,$A$2:$A$428,0))/INDEX($B$2:$B$428,MATCH($O202,$A$2:$A$428,0)-1),""))</f>
        <v/>
      </c>
      <c r="Q202" s="19" t="str" cm="1">
        <f t="array" ref="Q202">IF(OR($O202&lt;Q$387,$O202&gt;Q$388),"",IFERROR(IF($O202=Q$387,100,Q201)*INDEX($B$2:$B$428,MATCH($O202,$A$2:$A$428,0))/INDEX($B$2:$B$428,MATCH($O202,$A$2:$A$428,0)-1),""))</f>
        <v/>
      </c>
      <c r="R202" s="19" t="str" cm="1">
        <f t="array" ref="R202">IF(OR($O202&lt;R$387,$O202&gt;R$388),"",IFERROR(IF($O202=R$387,100,R201)*INDEX($B$2:$B$428,MATCH($O202,$A$2:$A$428,0))/INDEX($B$2:$B$428,MATCH($O202,$A$2:$A$428,0)-1),""))</f>
        <v/>
      </c>
      <c r="S202" s="19" t="str" cm="1">
        <f t="array" ref="S202">IF(OR($O202&lt;S$387,$O202&gt;S$388),"",IFERROR(IF($O202=S$387,100,S201)*INDEX($B$2:$B$428,MATCH($O202,$A$2:$A$428,0))/INDEX($B$2:$B$428,MATCH($O202,$A$2:$A$428,0)-1),""))</f>
        <v/>
      </c>
      <c r="T202" s="19" cm="1">
        <f t="array" ref="T202">IF(OR($O202&lt;T$387,$O202&gt;T$388),"",IFERROR(IF($O202=T$387,100,T201)*INDEX($B$2:$B$428,MATCH($O202,$A$2:$A$428,0))/INDEX($B$2:$B$428,MATCH($O202,$A$2:$A$428,0)-1),""))</f>
        <v>99.115729535569287</v>
      </c>
      <c r="U202" s="19" t="str" cm="1">
        <f t="array" ref="U202">IF(OR($O202&lt;U$387,$O202&gt;U$388),"",IFERROR(IF($O202=U$387,100,U201)*INDEX($B$2:$B$428,MATCH($O202,$A$2:$A$428,0))/INDEX($B$2:$B$428,MATCH($O202,$A$2:$A$428,0)-1),""))</f>
        <v/>
      </c>
      <c r="V202" s="19" t="str" cm="1">
        <f t="array" ref="V202">IF(OR($O202&lt;V$387,$O202&gt;V$388),"",IFERROR(IF($O202=V$387,100,V201)*INDEX($B$2:$B$428,MATCH($O202,$A$2:$A$428,0))/INDEX($B$2:$B$428,MATCH($O202,$A$2:$A$428,0)-1),""))</f>
        <v/>
      </c>
      <c r="W202" s="19" t="str" cm="1">
        <f t="array" ref="W202">IF(OR($O202&lt;W$387,$O202&gt;W$388),"",IFERROR(IF($O202=W$387,100,W201)*INDEX($B$2:$B$428,MATCH($O202,$A$2:$A$428,0))/INDEX($B$2:$B$428,MATCH($O202,$A$2:$A$428,0)-1),""))</f>
        <v/>
      </c>
      <c r="X202" s="19" t="str" cm="1">
        <f t="array" ref="X202">IF(OR($O202&lt;X$387,$O202&gt;X$388),"",IFERROR(IF($O202=X$387,100,X201)*INDEX($B$2:$B$428,MATCH($O202,$A$2:$A$428,0))/INDEX($B$2:$B$428,MATCH($O202,$A$2:$A$428,0)-1),""))</f>
        <v/>
      </c>
      <c r="AA202" s="19"/>
      <c r="AB202" s="19"/>
      <c r="AC202" s="19"/>
      <c r="AD202" s="19"/>
      <c r="AE202" s="19"/>
      <c r="AF202" s="19"/>
      <c r="AG202" s="19"/>
      <c r="AH202" s="19"/>
      <c r="AJ202" s="11">
        <v>38961</v>
      </c>
      <c r="AK202">
        <v>2336552.6</v>
      </c>
      <c r="AL202" s="26">
        <f t="shared" si="24"/>
        <v>0.64675471461673917</v>
      </c>
    </row>
    <row r="203" spans="1:38" x14ac:dyDescent="0.3">
      <c r="A203" s="11">
        <v>39356</v>
      </c>
      <c r="B203" s="18">
        <v>809074.8</v>
      </c>
      <c r="C203" s="18">
        <v>1152686.6100000001</v>
      </c>
      <c r="D203" s="18">
        <v>1678387.34</v>
      </c>
      <c r="E203" s="11">
        <f t="shared" si="25"/>
        <v>39356</v>
      </c>
      <c r="F203" s="9">
        <f t="shared" si="21"/>
        <v>0.13081289264685969</v>
      </c>
      <c r="G203" s="9">
        <f t="shared" si="22"/>
        <v>8.5674042017627849E-2</v>
      </c>
      <c r="H203" s="9">
        <f t="shared" si="23"/>
        <v>0.10841073082289365</v>
      </c>
      <c r="I203" s="11">
        <f t="shared" si="26"/>
        <v>39356</v>
      </c>
      <c r="O203" s="11">
        <v>40817</v>
      </c>
      <c r="P203" s="19" t="str" cm="1">
        <f t="array" ref="P203">IF(OR($O203&lt;P$387,$O203&gt;P$388),"",IFERROR(IF($O203=P$387,100,P202)*INDEX($B$2:$B$428,MATCH($O203,$A$2:$A$428,0))/INDEX($B$2:$B$428,MATCH($O203,$A$2:$A$428,0)-1),""))</f>
        <v/>
      </c>
      <c r="Q203" s="19" t="str" cm="1">
        <f t="array" ref="Q203">IF(OR($O203&lt;Q$387,$O203&gt;Q$388),"",IFERROR(IF($O203=Q$387,100,Q202)*INDEX($B$2:$B$428,MATCH($O203,$A$2:$A$428,0))/INDEX($B$2:$B$428,MATCH($O203,$A$2:$A$428,0)-1),""))</f>
        <v/>
      </c>
      <c r="R203" s="19" t="str" cm="1">
        <f t="array" ref="R203">IF(OR($O203&lt;R$387,$O203&gt;R$388),"",IFERROR(IF($O203=R$387,100,R202)*INDEX($B$2:$B$428,MATCH($O203,$A$2:$A$428,0))/INDEX($B$2:$B$428,MATCH($O203,$A$2:$A$428,0)-1),""))</f>
        <v/>
      </c>
      <c r="S203" s="19" t="str" cm="1">
        <f t="array" ref="S203">IF(OR($O203&lt;S$387,$O203&gt;S$388),"",IFERROR(IF($O203=S$387,100,S202)*INDEX($B$2:$B$428,MATCH($O203,$A$2:$A$428,0))/INDEX($B$2:$B$428,MATCH($O203,$A$2:$A$428,0)-1),""))</f>
        <v/>
      </c>
      <c r="T203" s="19" cm="1">
        <f t="array" ref="T203">IF(OR($O203&lt;T$387,$O203&gt;T$388),"",IFERROR(IF($O203=T$387,100,T202)*INDEX($B$2:$B$428,MATCH($O203,$A$2:$A$428,0))/INDEX($B$2:$B$428,MATCH($O203,$A$2:$A$428,0)-1),""))</f>
        <v>104.4381755343268</v>
      </c>
      <c r="U203" s="19" t="str" cm="1">
        <f t="array" ref="U203">IF(OR($O203&lt;U$387,$O203&gt;U$388),"",IFERROR(IF($O203=U$387,100,U202)*INDEX($B$2:$B$428,MATCH($O203,$A$2:$A$428,0))/INDEX($B$2:$B$428,MATCH($O203,$A$2:$A$428,0)-1),""))</f>
        <v/>
      </c>
      <c r="V203" s="19" t="str" cm="1">
        <f t="array" ref="V203">IF(OR($O203&lt;V$387,$O203&gt;V$388),"",IFERROR(IF($O203=V$387,100,V202)*INDEX($B$2:$B$428,MATCH($O203,$A$2:$A$428,0))/INDEX($B$2:$B$428,MATCH($O203,$A$2:$A$428,0)-1),""))</f>
        <v/>
      </c>
      <c r="W203" s="19" t="str" cm="1">
        <f t="array" ref="W203">IF(OR($O203&lt;W$387,$O203&gt;W$388),"",IFERROR(IF($O203=W$387,100,W202)*INDEX($B$2:$B$428,MATCH($O203,$A$2:$A$428,0))/INDEX($B$2:$B$428,MATCH($O203,$A$2:$A$428,0)-1),""))</f>
        <v/>
      </c>
      <c r="X203" s="19" t="str" cm="1">
        <f t="array" ref="X203">IF(OR($O203&lt;X$387,$O203&gt;X$388),"",IFERROR(IF($O203=X$387,100,X202)*INDEX($B$2:$B$428,MATCH($O203,$A$2:$A$428,0))/INDEX($B$2:$B$428,MATCH($O203,$A$2:$A$428,0)-1),""))</f>
        <v/>
      </c>
      <c r="AA203" s="19"/>
      <c r="AB203" s="19"/>
      <c r="AC203" s="19"/>
      <c r="AD203" s="19"/>
      <c r="AE203" s="19"/>
      <c r="AF203" s="19"/>
      <c r="AG203" s="19"/>
      <c r="AH203" s="19"/>
      <c r="AJ203" s="11">
        <v>38991</v>
      </c>
      <c r="AK203">
        <v>2362639.4</v>
      </c>
      <c r="AL203" s="26">
        <f t="shared" si="24"/>
        <v>0.640905548260983</v>
      </c>
    </row>
    <row r="204" spans="1:38" x14ac:dyDescent="0.3">
      <c r="A204" s="11">
        <v>39387</v>
      </c>
      <c r="B204" s="18">
        <v>802270.82</v>
      </c>
      <c r="C204" s="18">
        <v>1161273.55</v>
      </c>
      <c r="D204" s="18">
        <v>1704366.5</v>
      </c>
      <c r="E204" s="11">
        <f t="shared" si="25"/>
        <v>39387</v>
      </c>
      <c r="F204" s="9">
        <f t="shared" si="21"/>
        <v>0.11144672306005843</v>
      </c>
      <c r="G204" s="9">
        <f t="shared" si="22"/>
        <v>8.0921801098561064E-2</v>
      </c>
      <c r="H204" s="9">
        <f t="shared" si="23"/>
        <v>0.10681803373989784</v>
      </c>
      <c r="I204" s="11">
        <f t="shared" si="26"/>
        <v>39387</v>
      </c>
      <c r="O204" s="11">
        <v>40848</v>
      </c>
      <c r="P204" s="19" t="str" cm="1">
        <f t="array" ref="P204">IF(OR($O204&lt;P$387,$O204&gt;P$388),"",IFERROR(IF($O204=P$387,100,P203)*INDEX($B$2:$B$428,MATCH($O204,$A$2:$A$428,0))/INDEX($B$2:$B$428,MATCH($O204,$A$2:$A$428,0)-1),""))</f>
        <v/>
      </c>
      <c r="Q204" s="19" t="str" cm="1">
        <f t="array" ref="Q204">IF(OR($O204&lt;Q$387,$O204&gt;Q$388),"",IFERROR(IF($O204=Q$387,100,Q203)*INDEX($B$2:$B$428,MATCH($O204,$A$2:$A$428,0))/INDEX($B$2:$B$428,MATCH($O204,$A$2:$A$428,0)-1),""))</f>
        <v/>
      </c>
      <c r="R204" s="19" t="str" cm="1">
        <f t="array" ref="R204">IF(OR($O204&lt;R$387,$O204&gt;R$388),"",IFERROR(IF($O204=R$387,100,R203)*INDEX($B$2:$B$428,MATCH($O204,$A$2:$A$428,0))/INDEX($B$2:$B$428,MATCH($O204,$A$2:$A$428,0)-1),""))</f>
        <v/>
      </c>
      <c r="S204" s="19" t="str" cm="1">
        <f t="array" ref="S204">IF(OR($O204&lt;S$387,$O204&gt;S$388),"",IFERROR(IF($O204=S$387,100,S203)*INDEX($B$2:$B$428,MATCH($O204,$A$2:$A$428,0))/INDEX($B$2:$B$428,MATCH($O204,$A$2:$A$428,0)-1),""))</f>
        <v/>
      </c>
      <c r="T204" s="19" cm="1">
        <f t="array" ref="T204">IF(OR($O204&lt;T$387,$O204&gt;T$388),"",IFERROR(IF($O204=T$387,100,T203)*INDEX($B$2:$B$428,MATCH($O204,$A$2:$A$428,0))/INDEX($B$2:$B$428,MATCH($O204,$A$2:$A$428,0)-1),""))</f>
        <v>101.42153445874719</v>
      </c>
      <c r="U204" s="19" t="str" cm="1">
        <f t="array" ref="U204">IF(OR($O204&lt;U$387,$O204&gt;U$388),"",IFERROR(IF($O204=U$387,100,U203)*INDEX($B$2:$B$428,MATCH($O204,$A$2:$A$428,0))/INDEX($B$2:$B$428,MATCH($O204,$A$2:$A$428,0)-1),""))</f>
        <v/>
      </c>
      <c r="V204" s="19" t="str" cm="1">
        <f t="array" ref="V204">IF(OR($O204&lt;V$387,$O204&gt;V$388),"",IFERROR(IF($O204=V$387,100,V203)*INDEX($B$2:$B$428,MATCH($O204,$A$2:$A$428,0))/INDEX($B$2:$B$428,MATCH($O204,$A$2:$A$428,0)-1),""))</f>
        <v/>
      </c>
      <c r="W204" s="19" t="str" cm="1">
        <f t="array" ref="W204">IF(OR($O204&lt;W$387,$O204&gt;W$388),"",IFERROR(IF($O204=W$387,100,W203)*INDEX($B$2:$B$428,MATCH($O204,$A$2:$A$428,0))/INDEX($B$2:$B$428,MATCH($O204,$A$2:$A$428,0)-1),""))</f>
        <v/>
      </c>
      <c r="X204" s="19" t="str" cm="1">
        <f t="array" ref="X204">IF(OR($O204&lt;X$387,$O204&gt;X$388),"",IFERROR(IF($O204=X$387,100,X203)*INDEX($B$2:$B$428,MATCH($O204,$A$2:$A$428,0))/INDEX($B$2:$B$428,MATCH($O204,$A$2:$A$428,0)-1),""))</f>
        <v/>
      </c>
      <c r="AA204" s="19"/>
      <c r="AB204" s="19"/>
      <c r="AC204" s="19"/>
      <c r="AD204" s="19"/>
      <c r="AE204" s="19"/>
      <c r="AF204" s="19"/>
      <c r="AG204" s="19"/>
      <c r="AH204" s="19"/>
      <c r="AJ204" s="11">
        <v>39022</v>
      </c>
      <c r="AK204">
        <v>2387201.1</v>
      </c>
      <c r="AL204" s="26">
        <f t="shared" si="24"/>
        <v>0.6450565015238976</v>
      </c>
    </row>
    <row r="205" spans="1:38" x14ac:dyDescent="0.3">
      <c r="A205" s="11">
        <v>39417</v>
      </c>
      <c r="B205" s="18">
        <v>816680.81</v>
      </c>
      <c r="C205" s="18">
        <v>1181418.3899999999</v>
      </c>
      <c r="D205" s="18">
        <v>1714436.48</v>
      </c>
      <c r="E205" s="11">
        <f t="shared" si="25"/>
        <v>39417</v>
      </c>
      <c r="F205" s="9">
        <f t="shared" si="21"/>
        <v>0.10992245608955531</v>
      </c>
      <c r="G205" s="9">
        <f t="shared" si="22"/>
        <v>8.2623218455485814E-2</v>
      </c>
      <c r="H205" s="9">
        <f t="shared" si="23"/>
        <v>0.10148578816100917</v>
      </c>
      <c r="I205" s="11">
        <f t="shared" si="26"/>
        <v>39417</v>
      </c>
      <c r="O205" s="11">
        <v>40878</v>
      </c>
      <c r="P205" s="19" t="str" cm="1">
        <f t="array" ref="P205">IF(OR($O205&lt;P$387,$O205&gt;P$388),"",IFERROR(IF($O205=P$387,100,P204)*INDEX($B$2:$B$428,MATCH($O205,$A$2:$A$428,0))/INDEX($B$2:$B$428,MATCH($O205,$A$2:$A$428,0)-1),""))</f>
        <v/>
      </c>
      <c r="Q205" s="19" t="str" cm="1">
        <f t="array" ref="Q205">IF(OR($O205&lt;Q$387,$O205&gt;Q$388),"",IFERROR(IF($O205=Q$387,100,Q204)*INDEX($B$2:$B$428,MATCH($O205,$A$2:$A$428,0))/INDEX($B$2:$B$428,MATCH($O205,$A$2:$A$428,0)-1),""))</f>
        <v/>
      </c>
      <c r="R205" s="19" t="str" cm="1">
        <f t="array" ref="R205">IF(OR($O205&lt;R$387,$O205&gt;R$388),"",IFERROR(IF($O205=R$387,100,R204)*INDEX($B$2:$B$428,MATCH($O205,$A$2:$A$428,0))/INDEX($B$2:$B$428,MATCH($O205,$A$2:$A$428,0)-1),""))</f>
        <v/>
      </c>
      <c r="S205" s="19" t="str" cm="1">
        <f t="array" ref="S205">IF(OR($O205&lt;S$387,$O205&gt;S$388),"",IFERROR(IF($O205=S$387,100,S204)*INDEX($B$2:$B$428,MATCH($O205,$A$2:$A$428,0))/INDEX($B$2:$B$428,MATCH($O205,$A$2:$A$428,0)-1),""))</f>
        <v/>
      </c>
      <c r="T205" s="19" cm="1">
        <f t="array" ref="T205">IF(OR($O205&lt;T$387,$O205&gt;T$388),"",IFERROR(IF($O205=T$387,100,T204)*INDEX($B$2:$B$428,MATCH($O205,$A$2:$A$428,0))/INDEX($B$2:$B$428,MATCH($O205,$A$2:$A$428,0)-1),""))</f>
        <v>100.80660619832986</v>
      </c>
      <c r="U205" s="19" t="str" cm="1">
        <f t="array" ref="U205">IF(OR($O205&lt;U$387,$O205&gt;U$388),"",IFERROR(IF($O205=U$387,100,U204)*INDEX($B$2:$B$428,MATCH($O205,$A$2:$A$428,0))/INDEX($B$2:$B$428,MATCH($O205,$A$2:$A$428,0)-1),""))</f>
        <v/>
      </c>
      <c r="V205" s="19" t="str" cm="1">
        <f t="array" ref="V205">IF(OR($O205&lt;V$387,$O205&gt;V$388),"",IFERROR(IF($O205=V$387,100,V204)*INDEX($B$2:$B$428,MATCH($O205,$A$2:$A$428,0))/INDEX($B$2:$B$428,MATCH($O205,$A$2:$A$428,0)-1),""))</f>
        <v/>
      </c>
      <c r="W205" s="19" t="str" cm="1">
        <f t="array" ref="W205">IF(OR($O205&lt;W$387,$O205&gt;W$388),"",IFERROR(IF($O205=W$387,100,W204)*INDEX($B$2:$B$428,MATCH($O205,$A$2:$A$428,0))/INDEX($B$2:$B$428,MATCH($O205,$A$2:$A$428,0)-1),""))</f>
        <v/>
      </c>
      <c r="X205" s="19" t="str" cm="1">
        <f t="array" ref="X205">IF(OR($O205&lt;X$387,$O205&gt;X$388),"",IFERROR(IF($O205=X$387,100,X204)*INDEX($B$2:$B$428,MATCH($O205,$A$2:$A$428,0))/INDEX($B$2:$B$428,MATCH($O205,$A$2:$A$428,0)-1),""))</f>
        <v/>
      </c>
      <c r="AA205" s="19"/>
      <c r="AB205" s="19"/>
      <c r="AC205" s="19"/>
      <c r="AD205" s="19"/>
      <c r="AE205" s="19"/>
      <c r="AF205" s="19"/>
      <c r="AG205" s="19"/>
      <c r="AH205" s="19"/>
      <c r="AJ205" s="11">
        <v>39052</v>
      </c>
      <c r="AK205">
        <v>2409449.9</v>
      </c>
      <c r="AL205" s="26">
        <f t="shared" si="24"/>
        <v>0.64598822328698347</v>
      </c>
    </row>
    <row r="206" spans="1:38" x14ac:dyDescent="0.3">
      <c r="A206" s="11">
        <v>39448</v>
      </c>
      <c r="B206" s="18">
        <v>802152.55</v>
      </c>
      <c r="C206" s="18">
        <v>1173193.1299999999</v>
      </c>
      <c r="D206" s="18">
        <v>1683589.16</v>
      </c>
      <c r="E206" s="11">
        <f t="shared" si="25"/>
        <v>39448</v>
      </c>
      <c r="F206" s="9">
        <f t="shared" ref="F206:F269" si="27">B206/B194-1</f>
        <v>9.1038631744111198E-2</v>
      </c>
      <c r="G206" s="9">
        <f t="shared" ref="G206:G269" si="28">C206/C194-1</f>
        <v>6.398914630396213E-2</v>
      </c>
      <c r="H206" s="9">
        <f t="shared" ref="H206:H269" si="29">D206/D194-1</f>
        <v>8.7068426826619527E-2</v>
      </c>
      <c r="I206" s="11">
        <f t="shared" si="26"/>
        <v>39448</v>
      </c>
      <c r="O206" s="11">
        <v>40909</v>
      </c>
      <c r="P206" s="19" t="str" cm="1">
        <f t="array" ref="P206">IF(OR($O206&lt;P$387,$O206&gt;P$388),"",IFERROR(IF($O206=P$387,100,P205)*INDEX($B$2:$B$428,MATCH($O206,$A$2:$A$428,0))/INDEX($B$2:$B$428,MATCH($O206,$A$2:$A$428,0)-1),""))</f>
        <v/>
      </c>
      <c r="Q206" s="19" t="str" cm="1">
        <f t="array" ref="Q206">IF(OR($O206&lt;Q$387,$O206&gt;Q$388),"",IFERROR(IF($O206=Q$387,100,Q205)*INDEX($B$2:$B$428,MATCH($O206,$A$2:$A$428,0))/INDEX($B$2:$B$428,MATCH($O206,$A$2:$A$428,0)-1),""))</f>
        <v/>
      </c>
      <c r="R206" s="19" t="str" cm="1">
        <f t="array" ref="R206">IF(OR($O206&lt;R$387,$O206&gt;R$388),"",IFERROR(IF($O206=R$387,100,R205)*INDEX($B$2:$B$428,MATCH($O206,$A$2:$A$428,0))/INDEX($B$2:$B$428,MATCH($O206,$A$2:$A$428,0)-1),""))</f>
        <v/>
      </c>
      <c r="S206" s="19" t="str" cm="1">
        <f t="array" ref="S206">IF(OR($O206&lt;S$387,$O206&gt;S$388),"",IFERROR(IF($O206=S$387,100,S205)*INDEX($B$2:$B$428,MATCH($O206,$A$2:$A$428,0))/INDEX($B$2:$B$428,MATCH($O206,$A$2:$A$428,0)-1),""))</f>
        <v/>
      </c>
      <c r="T206" s="19" cm="1">
        <f t="array" ref="T206">IF(OR($O206&lt;T$387,$O206&gt;T$388),"",IFERROR(IF($O206=T$387,100,T205)*INDEX($B$2:$B$428,MATCH($O206,$A$2:$A$428,0))/INDEX($B$2:$B$428,MATCH($O206,$A$2:$A$428,0)-1),""))</f>
        <v>105.04966663329731</v>
      </c>
      <c r="U206" s="19" t="str" cm="1">
        <f t="array" ref="U206">IF(OR($O206&lt;U$387,$O206&gt;U$388),"",IFERROR(IF($O206=U$387,100,U205)*INDEX($B$2:$B$428,MATCH($O206,$A$2:$A$428,0))/INDEX($B$2:$B$428,MATCH($O206,$A$2:$A$428,0)-1),""))</f>
        <v/>
      </c>
      <c r="V206" s="19" t="str" cm="1">
        <f t="array" ref="V206">IF(OR($O206&lt;V$387,$O206&gt;V$388),"",IFERROR(IF($O206=V$387,100,V205)*INDEX($B$2:$B$428,MATCH($O206,$A$2:$A$428,0))/INDEX($B$2:$B$428,MATCH($O206,$A$2:$A$428,0)-1),""))</f>
        <v/>
      </c>
      <c r="W206" s="19" t="str" cm="1">
        <f t="array" ref="W206">IF(OR($O206&lt;W$387,$O206&gt;W$388),"",IFERROR(IF($O206=W$387,100,W205)*INDEX($B$2:$B$428,MATCH($O206,$A$2:$A$428,0))/INDEX($B$2:$B$428,MATCH($O206,$A$2:$A$428,0)-1),""))</f>
        <v/>
      </c>
      <c r="X206" s="19" t="str" cm="1">
        <f t="array" ref="X206">IF(OR($O206&lt;X$387,$O206&gt;X$388),"",IFERROR(IF($O206=X$387,100,X205)*INDEX($B$2:$B$428,MATCH($O206,$A$2:$A$428,0))/INDEX($B$2:$B$428,MATCH($O206,$A$2:$A$428,0)-1),""))</f>
        <v/>
      </c>
      <c r="AA206" s="19"/>
      <c r="AB206" s="19"/>
      <c r="AC206" s="19"/>
      <c r="AD206" s="19"/>
      <c r="AE206" s="19"/>
      <c r="AF206" s="19"/>
      <c r="AG206" s="19"/>
      <c r="AH206" s="19"/>
      <c r="AJ206" s="11">
        <v>39083</v>
      </c>
      <c r="AK206">
        <v>2434404.5</v>
      </c>
      <c r="AL206" s="26">
        <f t="shared" ref="AL206:AL269" si="30">D194/AK206</f>
        <v>0.63618949932108659</v>
      </c>
    </row>
    <row r="207" spans="1:38" x14ac:dyDescent="0.3">
      <c r="A207" s="11">
        <v>39479</v>
      </c>
      <c r="B207" s="18">
        <v>816488.34</v>
      </c>
      <c r="C207" s="18">
        <v>1187260</v>
      </c>
      <c r="D207" s="18">
        <v>1718642.58</v>
      </c>
      <c r="E207" s="11">
        <f t="shared" si="25"/>
        <v>39479</v>
      </c>
      <c r="F207" s="9">
        <f t="shared" si="27"/>
        <v>9.8235804588388431E-2</v>
      </c>
      <c r="G207" s="9">
        <f t="shared" si="28"/>
        <v>6.8198633697957423E-2</v>
      </c>
      <c r="H207" s="9">
        <f t="shared" si="29"/>
        <v>8.023148612480302E-2</v>
      </c>
      <c r="I207" s="11">
        <f t="shared" si="26"/>
        <v>39479</v>
      </c>
      <c r="O207" s="11">
        <v>40940</v>
      </c>
      <c r="P207" s="19" t="str" cm="1">
        <f t="array" ref="P207">IF(OR($O207&lt;P$387,$O207&gt;P$388),"",IFERROR(IF($O207=P$387,100,P206)*INDEX($B$2:$B$428,MATCH($O207,$A$2:$A$428,0))/INDEX($B$2:$B$428,MATCH($O207,$A$2:$A$428,0)-1),""))</f>
        <v/>
      </c>
      <c r="Q207" s="19" t="str" cm="1">
        <f t="array" ref="Q207">IF(OR($O207&lt;Q$387,$O207&gt;Q$388),"",IFERROR(IF($O207=Q$387,100,Q206)*INDEX($B$2:$B$428,MATCH($O207,$A$2:$A$428,0))/INDEX($B$2:$B$428,MATCH($O207,$A$2:$A$428,0)-1),""))</f>
        <v/>
      </c>
      <c r="R207" s="19" t="str" cm="1">
        <f t="array" ref="R207">IF(OR($O207&lt;R$387,$O207&gt;R$388),"",IFERROR(IF($O207=R$387,100,R206)*INDEX($B$2:$B$428,MATCH($O207,$A$2:$A$428,0))/INDEX($B$2:$B$428,MATCH($O207,$A$2:$A$428,0)-1),""))</f>
        <v/>
      </c>
      <c r="S207" s="19" t="str" cm="1">
        <f t="array" ref="S207">IF(OR($O207&lt;S$387,$O207&gt;S$388),"",IFERROR(IF($O207=S$387,100,S206)*INDEX($B$2:$B$428,MATCH($O207,$A$2:$A$428,0))/INDEX($B$2:$B$428,MATCH($O207,$A$2:$A$428,0)-1),""))</f>
        <v/>
      </c>
      <c r="T207" s="19" cm="1">
        <f t="array" ref="T207">IF(OR($O207&lt;T$387,$O207&gt;T$388),"",IFERROR(IF($O207=T$387,100,T206)*INDEX($B$2:$B$428,MATCH($O207,$A$2:$A$428,0))/INDEX($B$2:$B$428,MATCH($O207,$A$2:$A$428,0)-1),""))</f>
        <v>107.1128934628386</v>
      </c>
      <c r="U207" s="19" t="str" cm="1">
        <f t="array" ref="U207">IF(OR($O207&lt;U$387,$O207&gt;U$388),"",IFERROR(IF($O207=U$387,100,U206)*INDEX($B$2:$B$428,MATCH($O207,$A$2:$A$428,0))/INDEX($B$2:$B$428,MATCH($O207,$A$2:$A$428,0)-1),""))</f>
        <v/>
      </c>
      <c r="V207" s="19" t="str" cm="1">
        <f t="array" ref="V207">IF(OR($O207&lt;V$387,$O207&gt;V$388),"",IFERROR(IF($O207=V$387,100,V206)*INDEX($B$2:$B$428,MATCH($O207,$A$2:$A$428,0))/INDEX($B$2:$B$428,MATCH($O207,$A$2:$A$428,0)-1),""))</f>
        <v/>
      </c>
      <c r="W207" s="19" t="str" cm="1">
        <f t="array" ref="W207">IF(OR($O207&lt;W$387,$O207&gt;W$388),"",IFERROR(IF($O207=W$387,100,W206)*INDEX($B$2:$B$428,MATCH($O207,$A$2:$A$428,0))/INDEX($B$2:$B$428,MATCH($O207,$A$2:$A$428,0)-1),""))</f>
        <v/>
      </c>
      <c r="X207" s="19" t="str" cm="1">
        <f t="array" ref="X207">IF(OR($O207&lt;X$387,$O207&gt;X$388),"",IFERROR(IF($O207=X$387,100,X206)*INDEX($B$2:$B$428,MATCH($O207,$A$2:$A$428,0))/INDEX($B$2:$B$428,MATCH($O207,$A$2:$A$428,0)-1),""))</f>
        <v/>
      </c>
      <c r="AA207" s="19"/>
      <c r="AB207" s="19"/>
      <c r="AC207" s="19"/>
      <c r="AD207" s="19"/>
      <c r="AE207" s="19"/>
      <c r="AF207" s="19"/>
      <c r="AG207" s="19"/>
      <c r="AH207" s="19"/>
      <c r="AJ207" s="11">
        <v>39114</v>
      </c>
      <c r="AK207">
        <v>2458968.1</v>
      </c>
      <c r="AL207" s="26">
        <f t="shared" si="30"/>
        <v>0.64701722238690285</v>
      </c>
    </row>
    <row r="208" spans="1:38" x14ac:dyDescent="0.3">
      <c r="A208" s="11">
        <v>39508</v>
      </c>
      <c r="B208" s="18">
        <v>802462.43</v>
      </c>
      <c r="C208" s="18">
        <v>1175814.8400000001</v>
      </c>
      <c r="D208" s="18">
        <v>1734727.19</v>
      </c>
      <c r="E208" s="11">
        <f t="shared" si="25"/>
        <v>39508</v>
      </c>
      <c r="F208" s="9">
        <f t="shared" si="27"/>
        <v>6.1246777493966009E-2</v>
      </c>
      <c r="G208" s="9">
        <f t="shared" si="28"/>
        <v>5.6474849387295523E-2</v>
      </c>
      <c r="H208" s="9">
        <f t="shared" si="29"/>
        <v>8.1726508468354053E-2</v>
      </c>
      <c r="I208" s="11">
        <f t="shared" si="26"/>
        <v>39508</v>
      </c>
      <c r="O208" s="11">
        <v>40969</v>
      </c>
      <c r="P208" s="19" t="str" cm="1">
        <f t="array" ref="P208">IF(OR($O208&lt;P$387,$O208&gt;P$388),"",IFERROR(IF($O208=P$387,100,P207)*INDEX($B$2:$B$428,MATCH($O208,$A$2:$A$428,0))/INDEX($B$2:$B$428,MATCH($O208,$A$2:$A$428,0)-1),""))</f>
        <v/>
      </c>
      <c r="Q208" s="19" t="str" cm="1">
        <f t="array" ref="Q208">IF(OR($O208&lt;Q$387,$O208&gt;Q$388),"",IFERROR(IF($O208=Q$387,100,Q207)*INDEX($B$2:$B$428,MATCH($O208,$A$2:$A$428,0))/INDEX($B$2:$B$428,MATCH($O208,$A$2:$A$428,0)-1),""))</f>
        <v/>
      </c>
      <c r="R208" s="19" t="str" cm="1">
        <f t="array" ref="R208">IF(OR($O208&lt;R$387,$O208&gt;R$388),"",IFERROR(IF($O208=R$387,100,R207)*INDEX($B$2:$B$428,MATCH($O208,$A$2:$A$428,0))/INDEX($B$2:$B$428,MATCH($O208,$A$2:$A$428,0)-1),""))</f>
        <v/>
      </c>
      <c r="S208" s="19" t="str" cm="1">
        <f t="array" ref="S208">IF(OR($O208&lt;S$387,$O208&gt;S$388),"",IFERROR(IF($O208=S$387,100,S207)*INDEX($B$2:$B$428,MATCH($O208,$A$2:$A$428,0))/INDEX($B$2:$B$428,MATCH($O208,$A$2:$A$428,0)-1),""))</f>
        <v/>
      </c>
      <c r="T208" s="19" cm="1">
        <f t="array" ref="T208">IF(OR($O208&lt;T$387,$O208&gt;T$388),"",IFERROR(IF($O208=T$387,100,T207)*INDEX($B$2:$B$428,MATCH($O208,$A$2:$A$428,0))/INDEX($B$2:$B$428,MATCH($O208,$A$2:$A$428,0)-1),""))</f>
        <v>104.36333711237967</v>
      </c>
      <c r="U208" s="19" t="str" cm="1">
        <f t="array" ref="U208">IF(OR($O208&lt;U$387,$O208&gt;U$388),"",IFERROR(IF($O208=U$387,100,U207)*INDEX($B$2:$B$428,MATCH($O208,$A$2:$A$428,0))/INDEX($B$2:$B$428,MATCH($O208,$A$2:$A$428,0)-1),""))</f>
        <v/>
      </c>
      <c r="V208" s="19" t="str" cm="1">
        <f t="array" ref="V208">IF(OR($O208&lt;V$387,$O208&gt;V$388),"",IFERROR(IF($O208=V$387,100,V207)*INDEX($B$2:$B$428,MATCH($O208,$A$2:$A$428,0))/INDEX($B$2:$B$428,MATCH($O208,$A$2:$A$428,0)-1),""))</f>
        <v/>
      </c>
      <c r="W208" s="19" t="str" cm="1">
        <f t="array" ref="W208">IF(OR($O208&lt;W$387,$O208&gt;W$388),"",IFERROR(IF($O208=W$387,100,W207)*INDEX($B$2:$B$428,MATCH($O208,$A$2:$A$428,0))/INDEX($B$2:$B$428,MATCH($O208,$A$2:$A$428,0)-1),""))</f>
        <v/>
      </c>
      <c r="X208" s="19" t="str" cm="1">
        <f t="array" ref="X208">IF(OR($O208&lt;X$387,$O208&gt;X$388),"",IFERROR(IF($O208=X$387,100,X207)*INDEX($B$2:$B$428,MATCH($O208,$A$2:$A$428,0))/INDEX($B$2:$B$428,MATCH($O208,$A$2:$A$428,0)-1),""))</f>
        <v/>
      </c>
      <c r="AA208" s="19"/>
      <c r="AB208" s="19"/>
      <c r="AC208" s="19"/>
      <c r="AD208" s="19"/>
      <c r="AE208" s="19"/>
      <c r="AF208" s="19"/>
      <c r="AG208" s="19"/>
      <c r="AH208" s="19"/>
      <c r="AJ208" s="11">
        <v>39142</v>
      </c>
      <c r="AK208">
        <v>2486602.5</v>
      </c>
      <c r="AL208" s="26">
        <f t="shared" si="30"/>
        <v>0.64492223023181228</v>
      </c>
    </row>
    <row r="209" spans="1:38" x14ac:dyDescent="0.3">
      <c r="A209" s="11">
        <v>39539</v>
      </c>
      <c r="B209" s="18">
        <v>810855.61</v>
      </c>
      <c r="C209" s="18">
        <v>1187179.5</v>
      </c>
      <c r="D209" s="18">
        <v>1696036.28</v>
      </c>
      <c r="E209" s="11">
        <f t="shared" si="25"/>
        <v>39539</v>
      </c>
      <c r="F209" s="9">
        <f t="shared" si="27"/>
        <v>7.5523254990348399E-2</v>
      </c>
      <c r="G209" s="9">
        <f t="shared" si="28"/>
        <v>7.2748272479043363E-2</v>
      </c>
      <c r="H209" s="9">
        <f t="shared" si="29"/>
        <v>5.8441548553731737E-2</v>
      </c>
      <c r="I209" s="11">
        <f t="shared" si="26"/>
        <v>39539</v>
      </c>
      <c r="O209" s="11">
        <v>41000</v>
      </c>
      <c r="P209" s="19" t="str" cm="1">
        <f t="array" ref="P209">IF(OR($O209&lt;P$387,$O209&gt;P$388),"",IFERROR(IF($O209=P$387,100,P208)*INDEX($B$2:$B$428,MATCH($O209,$A$2:$A$428,0))/INDEX($B$2:$B$428,MATCH($O209,$A$2:$A$428,0)-1),""))</f>
        <v/>
      </c>
      <c r="Q209" s="19" t="str" cm="1">
        <f t="array" ref="Q209">IF(OR($O209&lt;Q$387,$O209&gt;Q$388),"",IFERROR(IF($O209=Q$387,100,Q208)*INDEX($B$2:$B$428,MATCH($O209,$A$2:$A$428,0))/INDEX($B$2:$B$428,MATCH($O209,$A$2:$A$428,0)-1),""))</f>
        <v/>
      </c>
      <c r="R209" s="19" t="str" cm="1">
        <f t="array" ref="R209">IF(OR($O209&lt;R$387,$O209&gt;R$388),"",IFERROR(IF($O209=R$387,100,R208)*INDEX($B$2:$B$428,MATCH($O209,$A$2:$A$428,0))/INDEX($B$2:$B$428,MATCH($O209,$A$2:$A$428,0)-1),""))</f>
        <v/>
      </c>
      <c r="S209" s="19" t="str" cm="1">
        <f t="array" ref="S209">IF(OR($O209&lt;S$387,$O209&gt;S$388),"",IFERROR(IF($O209=S$387,100,S208)*INDEX($B$2:$B$428,MATCH($O209,$A$2:$A$428,0))/INDEX($B$2:$B$428,MATCH($O209,$A$2:$A$428,0)-1),""))</f>
        <v/>
      </c>
      <c r="T209" s="19" cm="1">
        <f t="array" ref="T209">IF(OR($O209&lt;T$387,$O209&gt;T$388),"",IFERROR(IF($O209=T$387,100,T208)*INDEX($B$2:$B$428,MATCH($O209,$A$2:$A$428,0))/INDEX($B$2:$B$428,MATCH($O209,$A$2:$A$428,0)-1),""))</f>
        <v>101.6037120065054</v>
      </c>
      <c r="U209" s="19" t="str" cm="1">
        <f t="array" ref="U209">IF(OR($O209&lt;U$387,$O209&gt;U$388),"",IFERROR(IF($O209=U$387,100,U208)*INDEX($B$2:$B$428,MATCH($O209,$A$2:$A$428,0))/INDEX($B$2:$B$428,MATCH($O209,$A$2:$A$428,0)-1),""))</f>
        <v/>
      </c>
      <c r="V209" s="19" t="str" cm="1">
        <f t="array" ref="V209">IF(OR($O209&lt;V$387,$O209&gt;V$388),"",IFERROR(IF($O209=V$387,100,V208)*INDEX($B$2:$B$428,MATCH($O209,$A$2:$A$428,0))/INDEX($B$2:$B$428,MATCH($O209,$A$2:$A$428,0)-1),""))</f>
        <v/>
      </c>
      <c r="W209" s="19" t="str" cm="1">
        <f t="array" ref="W209">IF(OR($O209&lt;W$387,$O209&gt;W$388),"",IFERROR(IF($O209=W$387,100,W208)*INDEX($B$2:$B$428,MATCH($O209,$A$2:$A$428,0))/INDEX($B$2:$B$428,MATCH($O209,$A$2:$A$428,0)-1),""))</f>
        <v/>
      </c>
      <c r="X209" s="19" t="str" cm="1">
        <f t="array" ref="X209">IF(OR($O209&lt;X$387,$O209&gt;X$388),"",IFERROR(IF($O209=X$387,100,X208)*INDEX($B$2:$B$428,MATCH($O209,$A$2:$A$428,0))/INDEX($B$2:$B$428,MATCH($O209,$A$2:$A$428,0)-1),""))</f>
        <v/>
      </c>
      <c r="AA209" s="19"/>
      <c r="AB209" s="19"/>
      <c r="AC209" s="19"/>
      <c r="AD209" s="19"/>
      <c r="AE209" s="19"/>
      <c r="AF209" s="19"/>
      <c r="AG209" s="19"/>
      <c r="AH209" s="19"/>
      <c r="AJ209" s="11">
        <v>39173</v>
      </c>
      <c r="AK209">
        <v>2516947.7999999998</v>
      </c>
      <c r="AL209" s="26">
        <f t="shared" si="30"/>
        <v>0.63664018777028286</v>
      </c>
    </row>
    <row r="210" spans="1:38" x14ac:dyDescent="0.3">
      <c r="A210" s="11">
        <v>39569</v>
      </c>
      <c r="B210" s="18">
        <v>827042.31</v>
      </c>
      <c r="C210" s="18">
        <v>1205083.17</v>
      </c>
      <c r="D210" s="18">
        <v>1718938.97</v>
      </c>
      <c r="E210" s="11">
        <f t="shared" si="25"/>
        <v>39569</v>
      </c>
      <c r="F210" s="9">
        <f t="shared" si="27"/>
        <v>7.0797980627523627E-2</v>
      </c>
      <c r="G210" s="9">
        <f t="shared" si="28"/>
        <v>9.0150450371584867E-2</v>
      </c>
      <c r="H210" s="9">
        <f t="shared" si="29"/>
        <v>5.5243271308404784E-2</v>
      </c>
      <c r="I210" s="11">
        <f t="shared" si="26"/>
        <v>39569</v>
      </c>
      <c r="O210" s="11">
        <v>41030</v>
      </c>
      <c r="P210" s="19" t="str" cm="1">
        <f t="array" ref="P210">IF(OR($O210&lt;P$387,$O210&gt;P$388),"",IFERROR(IF($O210=P$387,100,P209)*INDEX($B$2:$B$428,MATCH($O210,$A$2:$A$428,0))/INDEX($B$2:$B$428,MATCH($O210,$A$2:$A$428,0)-1),""))</f>
        <v/>
      </c>
      <c r="Q210" s="19" t="str" cm="1">
        <f t="array" ref="Q210">IF(OR($O210&lt;Q$387,$O210&gt;Q$388),"",IFERROR(IF($O210=Q$387,100,Q209)*INDEX($B$2:$B$428,MATCH($O210,$A$2:$A$428,0))/INDEX($B$2:$B$428,MATCH($O210,$A$2:$A$428,0)-1),""))</f>
        <v/>
      </c>
      <c r="R210" s="19" t="str" cm="1">
        <f t="array" ref="R210">IF(OR($O210&lt;R$387,$O210&gt;R$388),"",IFERROR(IF($O210=R$387,100,R209)*INDEX($B$2:$B$428,MATCH($O210,$A$2:$A$428,0))/INDEX($B$2:$B$428,MATCH($O210,$A$2:$A$428,0)-1),""))</f>
        <v/>
      </c>
      <c r="S210" s="19" t="str" cm="1">
        <f t="array" ref="S210">IF(OR($O210&lt;S$387,$O210&gt;S$388),"",IFERROR(IF($O210=S$387,100,S209)*INDEX($B$2:$B$428,MATCH($O210,$A$2:$A$428,0))/INDEX($B$2:$B$428,MATCH($O210,$A$2:$A$428,0)-1),""))</f>
        <v/>
      </c>
      <c r="T210" s="19" cm="1">
        <f t="array" ref="T210">IF(OR($O210&lt;T$387,$O210&gt;T$388),"",IFERROR(IF($O210=T$387,100,T209)*INDEX($B$2:$B$428,MATCH($O210,$A$2:$A$428,0))/INDEX($B$2:$B$428,MATCH($O210,$A$2:$A$428,0)-1),""))</f>
        <v>98.476061903587336</v>
      </c>
      <c r="U210" s="19" t="str" cm="1">
        <f t="array" ref="U210">IF(OR($O210&lt;U$387,$O210&gt;U$388),"",IFERROR(IF($O210=U$387,100,U209)*INDEX($B$2:$B$428,MATCH($O210,$A$2:$A$428,0))/INDEX($B$2:$B$428,MATCH($O210,$A$2:$A$428,0)-1),""))</f>
        <v/>
      </c>
      <c r="V210" s="19" t="str" cm="1">
        <f t="array" ref="V210">IF(OR($O210&lt;V$387,$O210&gt;V$388),"",IFERROR(IF($O210=V$387,100,V209)*INDEX($B$2:$B$428,MATCH($O210,$A$2:$A$428,0))/INDEX($B$2:$B$428,MATCH($O210,$A$2:$A$428,0)-1),""))</f>
        <v/>
      </c>
      <c r="W210" s="19" t="str" cm="1">
        <f t="array" ref="W210">IF(OR($O210&lt;W$387,$O210&gt;W$388),"",IFERROR(IF($O210=W$387,100,W209)*INDEX($B$2:$B$428,MATCH($O210,$A$2:$A$428,0))/INDEX($B$2:$B$428,MATCH($O210,$A$2:$A$428,0)-1),""))</f>
        <v/>
      </c>
      <c r="X210" s="19" t="str" cm="1">
        <f t="array" ref="X210">IF(OR($O210&lt;X$387,$O210&gt;X$388),"",IFERROR(IF($O210=X$387,100,X209)*INDEX($B$2:$B$428,MATCH($O210,$A$2:$A$428,0))/INDEX($B$2:$B$428,MATCH($O210,$A$2:$A$428,0)-1),""))</f>
        <v/>
      </c>
      <c r="AA210" s="19"/>
      <c r="AB210" s="19"/>
      <c r="AC210" s="19"/>
      <c r="AD210" s="19"/>
      <c r="AE210" s="19"/>
      <c r="AF210" s="19"/>
      <c r="AG210" s="19"/>
      <c r="AH210" s="19"/>
      <c r="AJ210" s="11">
        <v>39203</v>
      </c>
      <c r="AK210">
        <v>2545751.6</v>
      </c>
      <c r="AL210" s="26">
        <f t="shared" si="30"/>
        <v>0.63987013501238688</v>
      </c>
    </row>
    <row r="211" spans="1:38" x14ac:dyDescent="0.3">
      <c r="A211" s="11">
        <v>39600</v>
      </c>
      <c r="B211" s="18">
        <v>833290.32</v>
      </c>
      <c r="C211" s="18">
        <v>1245468.95</v>
      </c>
      <c r="D211" s="18">
        <v>1779756.82</v>
      </c>
      <c r="E211" s="11">
        <f t="shared" si="25"/>
        <v>39600</v>
      </c>
      <c r="F211" s="9">
        <f t="shared" si="27"/>
        <v>7.5337611281572237E-2</v>
      </c>
      <c r="G211" s="9">
        <f t="shared" si="28"/>
        <v>0.12401961927463989</v>
      </c>
      <c r="H211" s="9">
        <f t="shared" si="29"/>
        <v>7.5200351090007E-2</v>
      </c>
      <c r="I211" s="11">
        <f t="shared" si="26"/>
        <v>39600</v>
      </c>
      <c r="O211" s="11">
        <v>41061</v>
      </c>
      <c r="P211" s="19" t="str" cm="1">
        <f t="array" ref="P211">IF(OR($O211&lt;P$387,$O211&gt;P$388),"",IFERROR(IF($O211=P$387,100,P210)*INDEX($B$2:$B$428,MATCH($O211,$A$2:$A$428,0))/INDEX($B$2:$B$428,MATCH($O211,$A$2:$A$428,0)-1),""))</f>
        <v/>
      </c>
      <c r="Q211" s="19" t="str" cm="1">
        <f t="array" ref="Q211">IF(OR($O211&lt;Q$387,$O211&gt;Q$388),"",IFERROR(IF($O211=Q$387,100,Q210)*INDEX($B$2:$B$428,MATCH($O211,$A$2:$A$428,0))/INDEX($B$2:$B$428,MATCH($O211,$A$2:$A$428,0)-1),""))</f>
        <v/>
      </c>
      <c r="R211" s="19" t="str" cm="1">
        <f t="array" ref="R211">IF(OR($O211&lt;R$387,$O211&gt;R$388),"",IFERROR(IF($O211=R$387,100,R210)*INDEX($B$2:$B$428,MATCH($O211,$A$2:$A$428,0))/INDEX($B$2:$B$428,MATCH($O211,$A$2:$A$428,0)-1),""))</f>
        <v/>
      </c>
      <c r="S211" s="19" t="str" cm="1">
        <f t="array" ref="S211">IF(OR($O211&lt;S$387,$O211&gt;S$388),"",IFERROR(IF($O211=S$387,100,S210)*INDEX($B$2:$B$428,MATCH($O211,$A$2:$A$428,0))/INDEX($B$2:$B$428,MATCH($O211,$A$2:$A$428,0)-1),""))</f>
        <v/>
      </c>
      <c r="T211" s="19" cm="1">
        <f t="array" ref="T211">IF(OR($O211&lt;T$387,$O211&gt;T$388),"",IFERROR(IF($O211=T$387,100,T210)*INDEX($B$2:$B$428,MATCH($O211,$A$2:$A$428,0))/INDEX($B$2:$B$428,MATCH($O211,$A$2:$A$428,0)-1),""))</f>
        <v>98.97277818078328</v>
      </c>
      <c r="U211" s="19" t="str" cm="1">
        <f t="array" ref="U211">IF(OR($O211&lt;U$387,$O211&gt;U$388),"",IFERROR(IF($O211=U$387,100,U210)*INDEX($B$2:$B$428,MATCH($O211,$A$2:$A$428,0))/INDEX($B$2:$B$428,MATCH($O211,$A$2:$A$428,0)-1),""))</f>
        <v/>
      </c>
      <c r="V211" s="19" t="str" cm="1">
        <f t="array" ref="V211">IF(OR($O211&lt;V$387,$O211&gt;V$388),"",IFERROR(IF($O211=V$387,100,V210)*INDEX($B$2:$B$428,MATCH($O211,$A$2:$A$428,0))/INDEX($B$2:$B$428,MATCH($O211,$A$2:$A$428,0)-1),""))</f>
        <v/>
      </c>
      <c r="W211" s="19" t="str" cm="1">
        <f t="array" ref="W211">IF(OR($O211&lt;W$387,$O211&gt;W$388),"",IFERROR(IF($O211=W$387,100,W210)*INDEX($B$2:$B$428,MATCH($O211,$A$2:$A$428,0))/INDEX($B$2:$B$428,MATCH($O211,$A$2:$A$428,0)-1),""))</f>
        <v/>
      </c>
      <c r="X211" s="19" t="str" cm="1">
        <f t="array" ref="X211">IF(OR($O211&lt;X$387,$O211&gt;X$388),"",IFERROR(IF($O211=X$387,100,X210)*INDEX($B$2:$B$428,MATCH($O211,$A$2:$A$428,0))/INDEX($B$2:$B$428,MATCH($O211,$A$2:$A$428,0)-1),""))</f>
        <v/>
      </c>
      <c r="AA211" s="19"/>
      <c r="AB211" s="19"/>
      <c r="AC211" s="19"/>
      <c r="AD211" s="19"/>
      <c r="AE211" s="19"/>
      <c r="AF211" s="19"/>
      <c r="AG211" s="19"/>
      <c r="AH211" s="19"/>
      <c r="AJ211" s="11">
        <v>39234</v>
      </c>
      <c r="AK211">
        <v>2575280.2999999998</v>
      </c>
      <c r="AL211" s="26">
        <f t="shared" si="30"/>
        <v>0.64275692242122151</v>
      </c>
    </row>
    <row r="212" spans="1:38" x14ac:dyDescent="0.3">
      <c r="A212" s="11">
        <v>39630</v>
      </c>
      <c r="B212" s="18">
        <v>840320.06</v>
      </c>
      <c r="C212" s="18">
        <v>1258612.6000000001</v>
      </c>
      <c r="D212" s="18">
        <v>1708424.95</v>
      </c>
      <c r="E212" s="11">
        <f t="shared" si="25"/>
        <v>39630</v>
      </c>
      <c r="F212" s="9">
        <f t="shared" si="27"/>
        <v>6.9710475125586147E-2</v>
      </c>
      <c r="G212" s="9">
        <f t="shared" si="28"/>
        <v>0.13307705546344062</v>
      </c>
      <c r="H212" s="9">
        <f t="shared" si="29"/>
        <v>5.6195069184155955E-2</v>
      </c>
      <c r="I212" s="11">
        <f t="shared" si="26"/>
        <v>39630</v>
      </c>
      <c r="O212" s="11">
        <v>41091</v>
      </c>
      <c r="P212" s="19" t="str" cm="1">
        <f t="array" ref="P212">IF(OR($O212&lt;P$387,$O212&gt;P$388),"",IFERROR(IF($O212=P$387,100,P211)*INDEX($B$2:$B$428,MATCH($O212,$A$2:$A$428,0))/INDEX($B$2:$B$428,MATCH($O212,$A$2:$A$428,0)-1),""))</f>
        <v/>
      </c>
      <c r="Q212" s="19" t="str" cm="1">
        <f t="array" ref="Q212">IF(OR($O212&lt;Q$387,$O212&gt;Q$388),"",IFERROR(IF($O212=Q$387,100,Q211)*INDEX($B$2:$B$428,MATCH($O212,$A$2:$A$428,0))/INDEX($B$2:$B$428,MATCH($O212,$A$2:$A$428,0)-1),""))</f>
        <v/>
      </c>
      <c r="R212" s="19" t="str" cm="1">
        <f t="array" ref="R212">IF(OR($O212&lt;R$387,$O212&gt;R$388),"",IFERROR(IF($O212=R$387,100,R211)*INDEX($B$2:$B$428,MATCH($O212,$A$2:$A$428,0))/INDEX($B$2:$B$428,MATCH($O212,$A$2:$A$428,0)-1),""))</f>
        <v/>
      </c>
      <c r="S212" s="19" t="str" cm="1">
        <f t="array" ref="S212">IF(OR($O212&lt;S$387,$O212&gt;S$388),"",IFERROR(IF($O212=S$387,100,S211)*INDEX($B$2:$B$428,MATCH($O212,$A$2:$A$428,0))/INDEX($B$2:$B$428,MATCH($O212,$A$2:$A$428,0)-1),""))</f>
        <v/>
      </c>
      <c r="T212" s="19" cm="1">
        <f t="array" ref="T212">IF(OR($O212&lt;T$387,$O212&gt;T$388),"",IFERROR(IF($O212=T$387,100,T211)*INDEX($B$2:$B$428,MATCH($O212,$A$2:$A$428,0))/INDEX($B$2:$B$428,MATCH($O212,$A$2:$A$428,0)-1),""))</f>
        <v>98.584679601514651</v>
      </c>
      <c r="U212" s="19" t="str" cm="1">
        <f t="array" ref="U212">IF(OR($O212&lt;U$387,$O212&gt;U$388),"",IFERROR(IF($O212=U$387,100,U211)*INDEX($B$2:$B$428,MATCH($O212,$A$2:$A$428,0))/INDEX($B$2:$B$428,MATCH($O212,$A$2:$A$428,0)-1),""))</f>
        <v/>
      </c>
      <c r="V212" s="19" t="str" cm="1">
        <f t="array" ref="V212">IF(OR($O212&lt;V$387,$O212&gt;V$388),"",IFERROR(IF($O212=V$387,100,V211)*INDEX($B$2:$B$428,MATCH($O212,$A$2:$A$428,0))/INDEX($B$2:$B$428,MATCH($O212,$A$2:$A$428,0)-1),""))</f>
        <v/>
      </c>
      <c r="W212" s="19" t="str" cm="1">
        <f t="array" ref="W212">IF(OR($O212&lt;W$387,$O212&gt;W$388),"",IFERROR(IF($O212=W$387,100,W211)*INDEX($B$2:$B$428,MATCH($O212,$A$2:$A$428,0))/INDEX($B$2:$B$428,MATCH($O212,$A$2:$A$428,0)-1),""))</f>
        <v/>
      </c>
      <c r="X212" s="19" t="str" cm="1">
        <f t="array" ref="X212">IF(OR($O212&lt;X$387,$O212&gt;X$388),"",IFERROR(IF($O212=X$387,100,X211)*INDEX($B$2:$B$428,MATCH($O212,$A$2:$A$428,0))/INDEX($B$2:$B$428,MATCH($O212,$A$2:$A$428,0)-1),""))</f>
        <v/>
      </c>
      <c r="AA212" s="19"/>
      <c r="AB212" s="19"/>
      <c r="AC212" s="19"/>
      <c r="AD212" s="19"/>
      <c r="AE212" s="19"/>
      <c r="AF212" s="19"/>
      <c r="AG212" s="19"/>
      <c r="AH212" s="19"/>
      <c r="AJ212" s="11">
        <v>39264</v>
      </c>
      <c r="AK212">
        <v>2602708</v>
      </c>
      <c r="AL212" s="26">
        <f t="shared" si="30"/>
        <v>0.62147880592060278</v>
      </c>
    </row>
    <row r="213" spans="1:38" x14ac:dyDescent="0.3">
      <c r="A213" s="11">
        <v>39661</v>
      </c>
      <c r="B213" s="18">
        <v>828429.12</v>
      </c>
      <c r="C213" s="18">
        <v>1252750.3400000001</v>
      </c>
      <c r="D213" s="18">
        <v>1735234.79</v>
      </c>
      <c r="E213" s="11">
        <f t="shared" si="25"/>
        <v>39661</v>
      </c>
      <c r="F213" s="9">
        <f t="shared" si="27"/>
        <v>6.2829652921082779E-2</v>
      </c>
      <c r="G213" s="9">
        <f t="shared" si="28"/>
        <v>0.11462578955011304</v>
      </c>
      <c r="H213" s="9">
        <f t="shared" si="29"/>
        <v>5.3682588103452833E-2</v>
      </c>
      <c r="I213" s="11">
        <f t="shared" si="26"/>
        <v>39661</v>
      </c>
      <c r="O213" s="11">
        <v>41122</v>
      </c>
      <c r="P213" s="19" t="str" cm="1">
        <f t="array" ref="P213">IF(OR($O213&lt;P$387,$O213&gt;P$388),"",IFERROR(IF($O213=P$387,100,P212)*INDEX($B$2:$B$428,MATCH($O213,$A$2:$A$428,0))/INDEX($B$2:$B$428,MATCH($O213,$A$2:$A$428,0)-1),""))</f>
        <v/>
      </c>
      <c r="Q213" s="19" t="str" cm="1">
        <f t="array" ref="Q213">IF(OR($O213&lt;Q$387,$O213&gt;Q$388),"",IFERROR(IF($O213=Q$387,100,Q212)*INDEX($B$2:$B$428,MATCH($O213,$A$2:$A$428,0))/INDEX($B$2:$B$428,MATCH($O213,$A$2:$A$428,0)-1),""))</f>
        <v/>
      </c>
      <c r="R213" s="19" t="str" cm="1">
        <f t="array" ref="R213">IF(OR($O213&lt;R$387,$O213&gt;R$388),"",IFERROR(IF($O213=R$387,100,R212)*INDEX($B$2:$B$428,MATCH($O213,$A$2:$A$428,0))/INDEX($B$2:$B$428,MATCH($O213,$A$2:$A$428,0)-1),""))</f>
        <v/>
      </c>
      <c r="S213" s="19" t="str" cm="1">
        <f t="array" ref="S213">IF(OR($O213&lt;S$387,$O213&gt;S$388),"",IFERROR(IF($O213=S$387,100,S212)*INDEX($B$2:$B$428,MATCH($O213,$A$2:$A$428,0))/INDEX($B$2:$B$428,MATCH($O213,$A$2:$A$428,0)-1),""))</f>
        <v/>
      </c>
      <c r="T213" s="19" cm="1">
        <f t="array" ref="T213">IF(OR($O213&lt;T$387,$O213&gt;T$388),"",IFERROR(IF($O213=T$387,100,T212)*INDEX($B$2:$B$428,MATCH($O213,$A$2:$A$428,0))/INDEX($B$2:$B$428,MATCH($O213,$A$2:$A$428,0)-1),""))</f>
        <v>99.690723393928167</v>
      </c>
      <c r="U213" s="19" t="str" cm="1">
        <f t="array" ref="U213">IF(OR($O213&lt;U$387,$O213&gt;U$388),"",IFERROR(IF($O213=U$387,100,U212)*INDEX($B$2:$B$428,MATCH($O213,$A$2:$A$428,0))/INDEX($B$2:$B$428,MATCH($O213,$A$2:$A$428,0)-1),""))</f>
        <v/>
      </c>
      <c r="V213" s="19" t="str" cm="1">
        <f t="array" ref="V213">IF(OR($O213&lt;V$387,$O213&gt;V$388),"",IFERROR(IF($O213=V$387,100,V212)*INDEX($B$2:$B$428,MATCH($O213,$A$2:$A$428,0))/INDEX($B$2:$B$428,MATCH($O213,$A$2:$A$428,0)-1),""))</f>
        <v/>
      </c>
      <c r="W213" s="19" t="str" cm="1">
        <f t="array" ref="W213">IF(OR($O213&lt;W$387,$O213&gt;W$388),"",IFERROR(IF($O213=W$387,100,W212)*INDEX($B$2:$B$428,MATCH($O213,$A$2:$A$428,0))/INDEX($B$2:$B$428,MATCH($O213,$A$2:$A$428,0)-1),""))</f>
        <v/>
      </c>
      <c r="X213" s="19" t="str" cm="1">
        <f t="array" ref="X213">IF(OR($O213&lt;X$387,$O213&gt;X$388),"",IFERROR(IF($O213=X$387,100,X212)*INDEX($B$2:$B$428,MATCH($O213,$A$2:$A$428,0))/INDEX($B$2:$B$428,MATCH($O213,$A$2:$A$428,0)-1),""))</f>
        <v/>
      </c>
      <c r="AA213" s="19"/>
      <c r="AB213" s="19"/>
      <c r="AC213" s="19"/>
      <c r="AD213" s="19"/>
      <c r="AE213" s="19"/>
      <c r="AF213" s="19"/>
      <c r="AG213" s="19"/>
      <c r="AH213" s="19"/>
      <c r="AJ213" s="11">
        <v>39295</v>
      </c>
      <c r="AK213">
        <v>2627813.4</v>
      </c>
      <c r="AL213" s="26">
        <f t="shared" si="30"/>
        <v>0.62669166691972877</v>
      </c>
    </row>
    <row r="214" spans="1:38" x14ac:dyDescent="0.3">
      <c r="A214" s="11">
        <v>39692</v>
      </c>
      <c r="B214" s="18">
        <v>782228.72</v>
      </c>
      <c r="C214" s="18">
        <v>1210130.01</v>
      </c>
      <c r="D214" s="18">
        <v>1756632.35</v>
      </c>
      <c r="E214" s="11">
        <f t="shared" si="25"/>
        <v>39692</v>
      </c>
      <c r="F214" s="9">
        <f t="shared" si="27"/>
        <v>-2.0705876879806073E-2</v>
      </c>
      <c r="G214" s="9">
        <f t="shared" si="28"/>
        <v>7.4775120584584132E-2</v>
      </c>
      <c r="H214" s="9">
        <f t="shared" si="29"/>
        <v>6.1497850666572429E-2</v>
      </c>
      <c r="I214" s="11">
        <f t="shared" si="26"/>
        <v>39692</v>
      </c>
      <c r="O214" s="11">
        <v>41153</v>
      </c>
      <c r="P214" s="19" t="str" cm="1">
        <f t="array" ref="P214">IF(OR($O214&lt;P$387,$O214&gt;P$388),"",IFERROR(IF($O214=P$387,100,P213)*INDEX($B$2:$B$428,MATCH($O214,$A$2:$A$428,0))/INDEX($B$2:$B$428,MATCH($O214,$A$2:$A$428,0)-1),""))</f>
        <v/>
      </c>
      <c r="Q214" s="19" t="str" cm="1">
        <f t="array" ref="Q214">IF(OR($O214&lt;Q$387,$O214&gt;Q$388),"",IFERROR(IF($O214=Q$387,100,Q213)*INDEX($B$2:$B$428,MATCH($O214,$A$2:$A$428,0))/INDEX($B$2:$B$428,MATCH($O214,$A$2:$A$428,0)-1),""))</f>
        <v/>
      </c>
      <c r="R214" s="19" t="str" cm="1">
        <f t="array" ref="R214">IF(OR($O214&lt;R$387,$O214&gt;R$388),"",IFERROR(IF($O214=R$387,100,R213)*INDEX($B$2:$B$428,MATCH($O214,$A$2:$A$428,0))/INDEX($B$2:$B$428,MATCH($O214,$A$2:$A$428,0)-1),""))</f>
        <v/>
      </c>
      <c r="S214" s="19" t="str" cm="1">
        <f t="array" ref="S214">IF(OR($O214&lt;S$387,$O214&gt;S$388),"",IFERROR(IF($O214=S$387,100,S213)*INDEX($B$2:$B$428,MATCH($O214,$A$2:$A$428,0))/INDEX($B$2:$B$428,MATCH($O214,$A$2:$A$428,0)-1),""))</f>
        <v/>
      </c>
      <c r="T214" s="19" cm="1">
        <f t="array" ref="T214">IF(OR($O214&lt;T$387,$O214&gt;T$388),"",IFERROR(IF($O214=T$387,100,T213)*INDEX($B$2:$B$428,MATCH($O214,$A$2:$A$428,0))/INDEX($B$2:$B$428,MATCH($O214,$A$2:$A$428,0)-1),""))</f>
        <v>100.03843607535978</v>
      </c>
      <c r="U214" s="19" t="str" cm="1">
        <f t="array" ref="U214">IF(OR($O214&lt;U$387,$O214&gt;U$388),"",IFERROR(IF($O214=U$387,100,U213)*INDEX($B$2:$B$428,MATCH($O214,$A$2:$A$428,0))/INDEX($B$2:$B$428,MATCH($O214,$A$2:$A$428,0)-1),""))</f>
        <v/>
      </c>
      <c r="V214" s="19" t="str" cm="1">
        <f t="array" ref="V214">IF(OR($O214&lt;V$387,$O214&gt;V$388),"",IFERROR(IF($O214=V$387,100,V213)*INDEX($B$2:$B$428,MATCH($O214,$A$2:$A$428,0))/INDEX($B$2:$B$428,MATCH($O214,$A$2:$A$428,0)-1),""))</f>
        <v/>
      </c>
      <c r="W214" s="19" t="str" cm="1">
        <f t="array" ref="W214">IF(OR($O214&lt;W$387,$O214&gt;W$388),"",IFERROR(IF($O214=W$387,100,W213)*INDEX($B$2:$B$428,MATCH($O214,$A$2:$A$428,0))/INDEX($B$2:$B$428,MATCH($O214,$A$2:$A$428,0)-1),""))</f>
        <v/>
      </c>
      <c r="X214" s="19" t="str" cm="1">
        <f t="array" ref="X214">IF(OR($O214&lt;X$387,$O214&gt;X$388),"",IFERROR(IF($O214=X$387,100,X213)*INDEX($B$2:$B$428,MATCH($O214,$A$2:$A$428,0))/INDEX($B$2:$B$428,MATCH($O214,$A$2:$A$428,0)-1),""))</f>
        <v/>
      </c>
      <c r="AA214" s="19"/>
      <c r="AB214" s="19"/>
      <c r="AC214" s="19"/>
      <c r="AD214" s="19"/>
      <c r="AE214" s="19"/>
      <c r="AF214" s="19"/>
      <c r="AG214" s="19"/>
      <c r="AH214" s="19"/>
      <c r="AJ214" s="11">
        <v>39326</v>
      </c>
      <c r="AK214">
        <v>2649278.5</v>
      </c>
      <c r="AL214" s="26">
        <f t="shared" si="30"/>
        <v>0.62464625746217317</v>
      </c>
    </row>
    <row r="215" spans="1:38" x14ac:dyDescent="0.3">
      <c r="A215" s="11">
        <v>39722</v>
      </c>
      <c r="B215" s="18">
        <v>742600.11</v>
      </c>
      <c r="C215" s="18">
        <v>1169102.57</v>
      </c>
      <c r="D215" s="18">
        <v>1772717.85</v>
      </c>
      <c r="E215" s="11">
        <f t="shared" si="25"/>
        <v>39722</v>
      </c>
      <c r="F215" s="9">
        <f t="shared" si="27"/>
        <v>-8.2161365055493096E-2</v>
      </c>
      <c r="G215" s="9">
        <f t="shared" si="28"/>
        <v>1.4241477134882219E-2</v>
      </c>
      <c r="H215" s="9">
        <f t="shared" si="29"/>
        <v>5.6203063352467941E-2</v>
      </c>
      <c r="I215" s="11">
        <f t="shared" si="26"/>
        <v>39722</v>
      </c>
      <c r="O215" s="11">
        <v>41183</v>
      </c>
      <c r="P215" s="19" t="str" cm="1">
        <f t="array" ref="P215">IF(OR($O215&lt;P$387,$O215&gt;P$388),"",IFERROR(IF($O215=P$387,100,P214)*INDEX($B$2:$B$428,MATCH($O215,$A$2:$A$428,0))/INDEX($B$2:$B$428,MATCH($O215,$A$2:$A$428,0)-1),""))</f>
        <v/>
      </c>
      <c r="Q215" s="19" t="str" cm="1">
        <f t="array" ref="Q215">IF(OR($O215&lt;Q$387,$O215&gt;Q$388),"",IFERROR(IF($O215=Q$387,100,Q214)*INDEX($B$2:$B$428,MATCH($O215,$A$2:$A$428,0))/INDEX($B$2:$B$428,MATCH($O215,$A$2:$A$428,0)-1),""))</f>
        <v/>
      </c>
      <c r="R215" s="19" t="str" cm="1">
        <f t="array" ref="R215">IF(OR($O215&lt;R$387,$O215&gt;R$388),"",IFERROR(IF($O215=R$387,100,R214)*INDEX($B$2:$B$428,MATCH($O215,$A$2:$A$428,0))/INDEX($B$2:$B$428,MATCH($O215,$A$2:$A$428,0)-1),""))</f>
        <v/>
      </c>
      <c r="S215" s="19" t="str" cm="1">
        <f t="array" ref="S215">IF(OR($O215&lt;S$387,$O215&gt;S$388),"",IFERROR(IF($O215=S$387,100,S214)*INDEX($B$2:$B$428,MATCH($O215,$A$2:$A$428,0))/INDEX($B$2:$B$428,MATCH($O215,$A$2:$A$428,0)-1),""))</f>
        <v/>
      </c>
      <c r="T215" s="19" cm="1">
        <f t="array" ref="T215">IF(OR($O215&lt;T$387,$O215&gt;T$388),"",IFERROR(IF($O215=T$387,100,T214)*INDEX($B$2:$B$428,MATCH($O215,$A$2:$A$428,0))/INDEX($B$2:$B$428,MATCH($O215,$A$2:$A$428,0)-1),""))</f>
        <v>100.22268830615349</v>
      </c>
      <c r="U215" s="19" t="str" cm="1">
        <f t="array" ref="U215">IF(OR($O215&lt;U$387,$O215&gt;U$388),"",IFERROR(IF($O215=U$387,100,U214)*INDEX($B$2:$B$428,MATCH($O215,$A$2:$A$428,0))/INDEX($B$2:$B$428,MATCH($O215,$A$2:$A$428,0)-1),""))</f>
        <v/>
      </c>
      <c r="V215" s="19" t="str" cm="1">
        <f t="array" ref="V215">IF(OR($O215&lt;V$387,$O215&gt;V$388),"",IFERROR(IF($O215=V$387,100,V214)*INDEX($B$2:$B$428,MATCH($O215,$A$2:$A$428,0))/INDEX($B$2:$B$428,MATCH($O215,$A$2:$A$428,0)-1),""))</f>
        <v/>
      </c>
      <c r="W215" s="19" t="str" cm="1">
        <f t="array" ref="W215">IF(OR($O215&lt;W$387,$O215&gt;W$388),"",IFERROR(IF($O215=W$387,100,W214)*INDEX($B$2:$B$428,MATCH($O215,$A$2:$A$428,0))/INDEX($B$2:$B$428,MATCH($O215,$A$2:$A$428,0)-1),""))</f>
        <v/>
      </c>
      <c r="X215" s="19" t="str" cm="1">
        <f t="array" ref="X215">IF(OR($O215&lt;X$387,$O215&gt;X$388),"",IFERROR(IF($O215=X$387,100,X214)*INDEX($B$2:$B$428,MATCH($O215,$A$2:$A$428,0))/INDEX($B$2:$B$428,MATCH($O215,$A$2:$A$428,0)-1),""))</f>
        <v/>
      </c>
      <c r="AA215" s="19"/>
      <c r="AB215" s="19"/>
      <c r="AC215" s="19"/>
      <c r="AD215" s="19"/>
      <c r="AE215" s="19"/>
      <c r="AF215" s="19"/>
      <c r="AG215" s="19"/>
      <c r="AH215" s="19"/>
      <c r="AJ215" s="11">
        <v>39356</v>
      </c>
      <c r="AK215">
        <v>2675931.5</v>
      </c>
      <c r="AL215" s="26">
        <f t="shared" si="30"/>
        <v>0.62721610773668912</v>
      </c>
    </row>
    <row r="216" spans="1:38" x14ac:dyDescent="0.3">
      <c r="A216" s="11">
        <v>39753</v>
      </c>
      <c r="B216" s="18">
        <v>704795.45</v>
      </c>
      <c r="C216" s="18">
        <v>1147607.8700000001</v>
      </c>
      <c r="D216" s="18">
        <v>1805004.74</v>
      </c>
      <c r="E216" s="11">
        <f t="shared" si="25"/>
        <v>39753</v>
      </c>
      <c r="F216" s="9">
        <f t="shared" si="27"/>
        <v>-0.12149933360408149</v>
      </c>
      <c r="G216" s="9">
        <f t="shared" si="28"/>
        <v>-1.176783885243915E-2</v>
      </c>
      <c r="H216" s="9">
        <f t="shared" si="29"/>
        <v>5.904729997920044E-2</v>
      </c>
      <c r="I216" s="11">
        <f t="shared" si="26"/>
        <v>39753</v>
      </c>
      <c r="O216" s="11">
        <v>41214</v>
      </c>
      <c r="P216" s="19" t="str" cm="1">
        <f t="array" ref="P216">IF(OR($O216&lt;P$387,$O216&gt;P$388),"",IFERROR(IF($O216=P$387,100,P215)*INDEX($B$2:$B$428,MATCH($O216,$A$2:$A$428,0))/INDEX($B$2:$B$428,MATCH($O216,$A$2:$A$428,0)-1),""))</f>
        <v/>
      </c>
      <c r="Q216" s="19" t="str" cm="1">
        <f t="array" ref="Q216">IF(OR($O216&lt;Q$387,$O216&gt;Q$388),"",IFERROR(IF($O216=Q$387,100,Q215)*INDEX($B$2:$B$428,MATCH($O216,$A$2:$A$428,0))/INDEX($B$2:$B$428,MATCH($O216,$A$2:$A$428,0)-1),""))</f>
        <v/>
      </c>
      <c r="R216" s="19" t="str" cm="1">
        <f t="array" ref="R216">IF(OR($O216&lt;R$387,$O216&gt;R$388),"",IFERROR(IF($O216=R$387,100,R215)*INDEX($B$2:$B$428,MATCH($O216,$A$2:$A$428,0))/INDEX($B$2:$B$428,MATCH($O216,$A$2:$A$428,0)-1),""))</f>
        <v/>
      </c>
      <c r="S216" s="19" t="str" cm="1">
        <f t="array" ref="S216">IF(OR($O216&lt;S$387,$O216&gt;S$388),"",IFERROR(IF($O216=S$387,100,S215)*INDEX($B$2:$B$428,MATCH($O216,$A$2:$A$428,0))/INDEX($B$2:$B$428,MATCH($O216,$A$2:$A$428,0)-1),""))</f>
        <v/>
      </c>
      <c r="T216" s="19" cm="1">
        <f t="array" ref="T216">IF(OR($O216&lt;T$387,$O216&gt;T$388),"",IFERROR(IF($O216=T$387,100,T215)*INDEX($B$2:$B$428,MATCH($O216,$A$2:$A$428,0))/INDEX($B$2:$B$428,MATCH($O216,$A$2:$A$428,0)-1),""))</f>
        <v>99.393393446067336</v>
      </c>
      <c r="U216" s="19" t="str" cm="1">
        <f t="array" ref="U216">IF(OR($O216&lt;U$387,$O216&gt;U$388),"",IFERROR(IF($O216=U$387,100,U215)*INDEX($B$2:$B$428,MATCH($O216,$A$2:$A$428,0))/INDEX($B$2:$B$428,MATCH($O216,$A$2:$A$428,0)-1),""))</f>
        <v/>
      </c>
      <c r="V216" s="19" t="str" cm="1">
        <f t="array" ref="V216">IF(OR($O216&lt;V$387,$O216&gt;V$388),"",IFERROR(IF($O216=V$387,100,V215)*INDEX($B$2:$B$428,MATCH($O216,$A$2:$A$428,0))/INDEX($B$2:$B$428,MATCH($O216,$A$2:$A$428,0)-1),""))</f>
        <v/>
      </c>
      <c r="W216" s="19" t="str" cm="1">
        <f t="array" ref="W216">IF(OR($O216&lt;W$387,$O216&gt;W$388),"",IFERROR(IF($O216=W$387,100,W215)*INDEX($B$2:$B$428,MATCH($O216,$A$2:$A$428,0))/INDEX($B$2:$B$428,MATCH($O216,$A$2:$A$428,0)-1),""))</f>
        <v/>
      </c>
      <c r="X216" s="19" t="str" cm="1">
        <f t="array" ref="X216">IF(OR($O216&lt;X$387,$O216&gt;X$388),"",IFERROR(IF($O216=X$387,100,X215)*INDEX($B$2:$B$428,MATCH($O216,$A$2:$A$428,0))/INDEX($B$2:$B$428,MATCH($O216,$A$2:$A$428,0)-1),""))</f>
        <v/>
      </c>
      <c r="AA216" s="19"/>
      <c r="AB216" s="19"/>
      <c r="AC216" s="19"/>
      <c r="AD216" s="19"/>
      <c r="AE216" s="19"/>
      <c r="AF216" s="19"/>
      <c r="AG216" s="19"/>
      <c r="AH216" s="19"/>
      <c r="AJ216" s="11">
        <v>39387</v>
      </c>
      <c r="AK216">
        <v>2698219.1</v>
      </c>
      <c r="AL216" s="26">
        <f t="shared" si="30"/>
        <v>0.63166349241245823</v>
      </c>
    </row>
    <row r="217" spans="1:38" x14ac:dyDescent="0.3">
      <c r="A217" s="11">
        <v>39783</v>
      </c>
      <c r="B217" s="18">
        <v>728326.78</v>
      </c>
      <c r="C217" s="18">
        <v>1175202.8799999999</v>
      </c>
      <c r="D217" s="18">
        <v>1910043.42</v>
      </c>
      <c r="E217" s="11">
        <f t="shared" si="25"/>
        <v>39783</v>
      </c>
      <c r="F217" s="9">
        <f t="shared" si="27"/>
        <v>-0.10818673454565442</v>
      </c>
      <c r="G217" s="9">
        <f t="shared" si="28"/>
        <v>-5.2610574311442448E-3</v>
      </c>
      <c r="H217" s="9">
        <f t="shared" si="29"/>
        <v>0.11409401414510256</v>
      </c>
      <c r="I217" s="11">
        <f t="shared" si="26"/>
        <v>39783</v>
      </c>
      <c r="O217" s="11">
        <v>41244</v>
      </c>
      <c r="P217" s="19" t="str" cm="1">
        <f t="array" ref="P217">IF(OR($O217&lt;P$387,$O217&gt;P$388),"",IFERROR(IF($O217=P$387,100,P216)*INDEX($B$2:$B$428,MATCH($O217,$A$2:$A$428,0))/INDEX($B$2:$B$428,MATCH($O217,$A$2:$A$428,0)-1),""))</f>
        <v/>
      </c>
      <c r="Q217" s="19" t="str" cm="1">
        <f t="array" ref="Q217">IF(OR($O217&lt;Q$387,$O217&gt;Q$388),"",IFERROR(IF($O217=Q$387,100,Q216)*INDEX($B$2:$B$428,MATCH($O217,$A$2:$A$428,0))/INDEX($B$2:$B$428,MATCH($O217,$A$2:$A$428,0)-1),""))</f>
        <v/>
      </c>
      <c r="R217" s="19" t="str" cm="1">
        <f t="array" ref="R217">IF(OR($O217&lt;R$387,$O217&gt;R$388),"",IFERROR(IF($O217=R$387,100,R216)*INDEX($B$2:$B$428,MATCH($O217,$A$2:$A$428,0))/INDEX($B$2:$B$428,MATCH($O217,$A$2:$A$428,0)-1),""))</f>
        <v/>
      </c>
      <c r="S217" s="19" t="str" cm="1">
        <f t="array" ref="S217">IF(OR($O217&lt;S$387,$O217&gt;S$388),"",IFERROR(IF($O217=S$387,100,S216)*INDEX($B$2:$B$428,MATCH($O217,$A$2:$A$428,0))/INDEX($B$2:$B$428,MATCH($O217,$A$2:$A$428,0)-1),""))</f>
        <v/>
      </c>
      <c r="T217" s="19" cm="1">
        <f t="array" ref="T217">IF(OR($O217&lt;T$387,$O217&gt;T$388),"",IFERROR(IF($O217=T$387,100,T216)*INDEX($B$2:$B$428,MATCH($O217,$A$2:$A$428,0))/INDEX($B$2:$B$428,MATCH($O217,$A$2:$A$428,0)-1),""))</f>
        <v>100.10866963991955</v>
      </c>
      <c r="U217" s="19" t="str" cm="1">
        <f t="array" ref="U217">IF(OR($O217&lt;U$387,$O217&gt;U$388),"",IFERROR(IF($O217=U$387,100,U216)*INDEX($B$2:$B$428,MATCH($O217,$A$2:$A$428,0))/INDEX($B$2:$B$428,MATCH($O217,$A$2:$A$428,0)-1),""))</f>
        <v/>
      </c>
      <c r="V217" s="19" t="str" cm="1">
        <f t="array" ref="V217">IF(OR($O217&lt;V$387,$O217&gt;V$388),"",IFERROR(IF($O217=V$387,100,V216)*INDEX($B$2:$B$428,MATCH($O217,$A$2:$A$428,0))/INDEX($B$2:$B$428,MATCH($O217,$A$2:$A$428,0)-1),""))</f>
        <v/>
      </c>
      <c r="W217" s="19" t="str" cm="1">
        <f t="array" ref="W217">IF(OR($O217&lt;W$387,$O217&gt;W$388),"",IFERROR(IF($O217=W$387,100,W216)*INDEX($B$2:$B$428,MATCH($O217,$A$2:$A$428,0))/INDEX($B$2:$B$428,MATCH($O217,$A$2:$A$428,0)-1),""))</f>
        <v/>
      </c>
      <c r="X217" s="19" t="str" cm="1">
        <f t="array" ref="X217">IF(OR($O217&lt;X$387,$O217&gt;X$388),"",IFERROR(IF($O217=X$387,100,X216)*INDEX($B$2:$B$428,MATCH($O217,$A$2:$A$428,0))/INDEX($B$2:$B$428,MATCH($O217,$A$2:$A$428,0)-1),""))</f>
        <v/>
      </c>
      <c r="AA217" s="19"/>
      <c r="AB217" s="19"/>
      <c r="AC217" s="19"/>
      <c r="AD217" s="19"/>
      <c r="AE217" s="19"/>
      <c r="AF217" s="19"/>
      <c r="AG217" s="19"/>
      <c r="AH217" s="19"/>
      <c r="AJ217" s="11">
        <v>39417</v>
      </c>
      <c r="AK217">
        <v>2720262.9</v>
      </c>
      <c r="AL217" s="26">
        <f t="shared" si="30"/>
        <v>0.63024661329608989</v>
      </c>
    </row>
    <row r="218" spans="1:38" x14ac:dyDescent="0.3">
      <c r="A218" s="11">
        <v>39814</v>
      </c>
      <c r="B218" s="18">
        <v>749887.36</v>
      </c>
      <c r="C218" s="18">
        <v>1192857.29</v>
      </c>
      <c r="D218" s="18">
        <v>1831669.35</v>
      </c>
      <c r="E218" s="11">
        <f t="shared" si="25"/>
        <v>39814</v>
      </c>
      <c r="F218" s="9">
        <f t="shared" si="27"/>
        <v>-6.5156172600835172E-2</v>
      </c>
      <c r="G218" s="9">
        <f t="shared" si="28"/>
        <v>1.6761230096872692E-2</v>
      </c>
      <c r="H218" s="9">
        <f t="shared" si="29"/>
        <v>8.7955062623472857E-2</v>
      </c>
      <c r="I218" s="11">
        <f t="shared" si="26"/>
        <v>39814</v>
      </c>
      <c r="O218" s="11">
        <v>41275</v>
      </c>
      <c r="P218" s="19" t="str" cm="1">
        <f t="array" ref="P218">IF(OR($O218&lt;P$387,$O218&gt;P$388),"",IFERROR(IF($O218=P$387,100,P217)*INDEX($B$2:$B$428,MATCH($O218,$A$2:$A$428,0))/INDEX($B$2:$B$428,MATCH($O218,$A$2:$A$428,0)-1),""))</f>
        <v/>
      </c>
      <c r="Q218" s="19" t="str" cm="1">
        <f t="array" ref="Q218">IF(OR($O218&lt;Q$387,$O218&gt;Q$388),"",IFERROR(IF($O218=Q$387,100,Q217)*INDEX($B$2:$B$428,MATCH($O218,$A$2:$A$428,0))/INDEX($B$2:$B$428,MATCH($O218,$A$2:$A$428,0)-1),""))</f>
        <v/>
      </c>
      <c r="R218" s="19" t="str" cm="1">
        <f t="array" ref="R218">IF(OR($O218&lt;R$387,$O218&gt;R$388),"",IFERROR(IF($O218=R$387,100,R217)*INDEX($B$2:$B$428,MATCH($O218,$A$2:$A$428,0))/INDEX($B$2:$B$428,MATCH($O218,$A$2:$A$428,0)-1),""))</f>
        <v/>
      </c>
      <c r="S218" s="19" t="str" cm="1">
        <f t="array" ref="S218">IF(OR($O218&lt;S$387,$O218&gt;S$388),"",IFERROR(IF($O218=S$387,100,S217)*INDEX($B$2:$B$428,MATCH($O218,$A$2:$A$428,0))/INDEX($B$2:$B$428,MATCH($O218,$A$2:$A$428,0)-1),""))</f>
        <v/>
      </c>
      <c r="T218" s="19" cm="1">
        <f t="array" ref="T218">IF(OR($O218&lt;T$387,$O218&gt;T$388),"",IFERROR(IF($O218=T$387,100,T217)*INDEX($B$2:$B$428,MATCH($O218,$A$2:$A$428,0))/INDEX($B$2:$B$428,MATCH($O218,$A$2:$A$428,0)-1),""))</f>
        <v>101.37939951421056</v>
      </c>
      <c r="U218" s="19" t="str" cm="1">
        <f t="array" ref="U218">IF(OR($O218&lt;U$387,$O218&gt;U$388),"",IFERROR(IF($O218=U$387,100,U217)*INDEX($B$2:$B$428,MATCH($O218,$A$2:$A$428,0))/INDEX($B$2:$B$428,MATCH($O218,$A$2:$A$428,0)-1),""))</f>
        <v/>
      </c>
      <c r="V218" s="19" t="str" cm="1">
        <f t="array" ref="V218">IF(OR($O218&lt;V$387,$O218&gt;V$388),"",IFERROR(IF($O218=V$387,100,V217)*INDEX($B$2:$B$428,MATCH($O218,$A$2:$A$428,0))/INDEX($B$2:$B$428,MATCH($O218,$A$2:$A$428,0)-1),""))</f>
        <v/>
      </c>
      <c r="W218" s="19" t="str" cm="1">
        <f t="array" ref="W218">IF(OR($O218&lt;W$387,$O218&gt;W$388),"",IFERROR(IF($O218=W$387,100,W217)*INDEX($B$2:$B$428,MATCH($O218,$A$2:$A$428,0))/INDEX($B$2:$B$428,MATCH($O218,$A$2:$A$428,0)-1),""))</f>
        <v/>
      </c>
      <c r="X218" s="19" t="str" cm="1">
        <f t="array" ref="X218">IF(OR($O218&lt;X$387,$O218&gt;X$388),"",IFERROR(IF($O218=X$387,100,X217)*INDEX($B$2:$B$428,MATCH($O218,$A$2:$A$428,0))/INDEX($B$2:$B$428,MATCH($O218,$A$2:$A$428,0)-1),""))</f>
        <v/>
      </c>
      <c r="AA218" s="19"/>
      <c r="AB218" s="19"/>
      <c r="AC218" s="19"/>
      <c r="AD218" s="19"/>
      <c r="AE218" s="19"/>
      <c r="AF218" s="19"/>
      <c r="AG218" s="19"/>
      <c r="AH218" s="19"/>
      <c r="AJ218" s="11">
        <v>39448</v>
      </c>
      <c r="AK218">
        <v>2746425.4</v>
      </c>
      <c r="AL218" s="26">
        <f t="shared" si="30"/>
        <v>0.61301106521953952</v>
      </c>
    </row>
    <row r="219" spans="1:38" x14ac:dyDescent="0.3">
      <c r="A219" s="11">
        <v>39845</v>
      </c>
      <c r="B219" s="18">
        <v>751727.35</v>
      </c>
      <c r="C219" s="18">
        <v>1198527.06</v>
      </c>
      <c r="D219" s="18">
        <v>1865471.54</v>
      </c>
      <c r="E219" s="11">
        <f t="shared" si="25"/>
        <v>39845</v>
      </c>
      <c r="F219" s="9">
        <f t="shared" si="27"/>
        <v>-7.9316490912778925E-2</v>
      </c>
      <c r="G219" s="9">
        <f t="shared" si="28"/>
        <v>9.489968498896717E-3</v>
      </c>
      <c r="H219" s="9">
        <f t="shared" si="29"/>
        <v>8.543309802088106E-2</v>
      </c>
      <c r="I219" s="11">
        <f t="shared" si="26"/>
        <v>39845</v>
      </c>
      <c r="O219" s="11">
        <v>41306</v>
      </c>
      <c r="P219" s="19" t="str" cm="1">
        <f t="array" ref="P219">IF(OR($O219&lt;P$387,$O219&gt;P$388),"",IFERROR(IF($O219=P$387,100,P218)*INDEX($B$2:$B$428,MATCH($O219,$A$2:$A$428,0))/INDEX($B$2:$B$428,MATCH($O219,$A$2:$A$428,0)-1),""))</f>
        <v/>
      </c>
      <c r="Q219" s="19" t="str" cm="1">
        <f t="array" ref="Q219">IF(OR($O219&lt;Q$387,$O219&gt;Q$388),"",IFERROR(IF($O219=Q$387,100,Q218)*INDEX($B$2:$B$428,MATCH($O219,$A$2:$A$428,0))/INDEX($B$2:$B$428,MATCH($O219,$A$2:$A$428,0)-1),""))</f>
        <v/>
      </c>
      <c r="R219" s="19" t="str" cm="1">
        <f t="array" ref="R219">IF(OR($O219&lt;R$387,$O219&gt;R$388),"",IFERROR(IF($O219=R$387,100,R218)*INDEX($B$2:$B$428,MATCH($O219,$A$2:$A$428,0))/INDEX($B$2:$B$428,MATCH($O219,$A$2:$A$428,0)-1),""))</f>
        <v/>
      </c>
      <c r="S219" s="19" t="str" cm="1">
        <f t="array" ref="S219">IF(OR($O219&lt;S$387,$O219&gt;S$388),"",IFERROR(IF($O219=S$387,100,S218)*INDEX($B$2:$B$428,MATCH($O219,$A$2:$A$428,0))/INDEX($B$2:$B$428,MATCH($O219,$A$2:$A$428,0)-1),""))</f>
        <v/>
      </c>
      <c r="T219" s="19" cm="1">
        <f t="array" ref="T219">IF(OR($O219&lt;T$387,$O219&gt;T$388),"",IFERROR(IF($O219=T$387,100,T218)*INDEX($B$2:$B$428,MATCH($O219,$A$2:$A$428,0))/INDEX($B$2:$B$428,MATCH($O219,$A$2:$A$428,0)-1),""))</f>
        <v>104.42306640789702</v>
      </c>
      <c r="U219" s="19" t="str" cm="1">
        <f t="array" ref="U219">IF(OR($O219&lt;U$387,$O219&gt;U$388),"",IFERROR(IF($O219=U$387,100,U218)*INDEX($B$2:$B$428,MATCH($O219,$A$2:$A$428,0))/INDEX($B$2:$B$428,MATCH($O219,$A$2:$A$428,0)-1),""))</f>
        <v/>
      </c>
      <c r="V219" s="19" t="str" cm="1">
        <f t="array" ref="V219">IF(OR($O219&lt;V$387,$O219&gt;V$388),"",IFERROR(IF($O219=V$387,100,V218)*INDEX($B$2:$B$428,MATCH($O219,$A$2:$A$428,0))/INDEX($B$2:$B$428,MATCH($O219,$A$2:$A$428,0)-1),""))</f>
        <v/>
      </c>
      <c r="W219" s="19" t="str" cm="1">
        <f t="array" ref="W219">IF(OR($O219&lt;W$387,$O219&gt;W$388),"",IFERROR(IF($O219=W$387,100,W218)*INDEX($B$2:$B$428,MATCH($O219,$A$2:$A$428,0))/INDEX($B$2:$B$428,MATCH($O219,$A$2:$A$428,0)-1),""))</f>
        <v/>
      </c>
      <c r="X219" s="19" t="str" cm="1">
        <f t="array" ref="X219">IF(OR($O219&lt;X$387,$O219&gt;X$388),"",IFERROR(IF($O219=X$387,100,X218)*INDEX($B$2:$B$428,MATCH($O219,$A$2:$A$428,0))/INDEX($B$2:$B$428,MATCH($O219,$A$2:$A$428,0)-1),""))</f>
        <v/>
      </c>
      <c r="AA219" s="19"/>
      <c r="AB219" s="19"/>
      <c r="AC219" s="19"/>
      <c r="AD219" s="19"/>
      <c r="AE219" s="19"/>
      <c r="AF219" s="19"/>
      <c r="AG219" s="19"/>
      <c r="AH219" s="19"/>
      <c r="AJ219" s="11">
        <v>39479</v>
      </c>
      <c r="AK219">
        <v>2776855.5</v>
      </c>
      <c r="AL219" s="26">
        <f t="shared" si="30"/>
        <v>0.61891682156309535</v>
      </c>
    </row>
    <row r="220" spans="1:38" x14ac:dyDescent="0.3">
      <c r="A220" s="11">
        <v>39873</v>
      </c>
      <c r="B220" s="18">
        <v>762159.28</v>
      </c>
      <c r="C220" s="18">
        <v>1196634.19</v>
      </c>
      <c r="D220" s="18">
        <v>1898601.9</v>
      </c>
      <c r="E220" s="11">
        <f t="shared" si="25"/>
        <v>39873</v>
      </c>
      <c r="F220" s="9">
        <f t="shared" si="27"/>
        <v>-5.0224345082423349E-2</v>
      </c>
      <c r="G220" s="9">
        <f t="shared" si="28"/>
        <v>1.7706316753069551E-2</v>
      </c>
      <c r="H220" s="9">
        <f t="shared" si="29"/>
        <v>9.4467136357043069E-2</v>
      </c>
      <c r="I220" s="11">
        <f t="shared" si="26"/>
        <v>39873</v>
      </c>
      <c r="O220" s="11">
        <v>41334</v>
      </c>
      <c r="P220" s="19" t="str" cm="1">
        <f t="array" ref="P220">IF(OR($O220&lt;P$387,$O220&gt;P$388),"",IFERROR(IF($O220=P$387,100,P219)*INDEX($B$2:$B$428,MATCH($O220,$A$2:$A$428,0))/INDEX($B$2:$B$428,MATCH($O220,$A$2:$A$428,0)-1),""))</f>
        <v/>
      </c>
      <c r="Q220" s="19" t="str" cm="1">
        <f t="array" ref="Q220">IF(OR($O220&lt;Q$387,$O220&gt;Q$388),"",IFERROR(IF($O220=Q$387,100,Q219)*INDEX($B$2:$B$428,MATCH($O220,$A$2:$A$428,0))/INDEX($B$2:$B$428,MATCH($O220,$A$2:$A$428,0)-1),""))</f>
        <v/>
      </c>
      <c r="R220" s="19" t="str" cm="1">
        <f t="array" ref="R220">IF(OR($O220&lt;R$387,$O220&gt;R$388),"",IFERROR(IF($O220=R$387,100,R219)*INDEX($B$2:$B$428,MATCH($O220,$A$2:$A$428,0))/INDEX($B$2:$B$428,MATCH($O220,$A$2:$A$428,0)-1),""))</f>
        <v/>
      </c>
      <c r="S220" s="19" t="str" cm="1">
        <f t="array" ref="S220">IF(OR($O220&lt;S$387,$O220&gt;S$388),"",IFERROR(IF($O220=S$387,100,S219)*INDEX($B$2:$B$428,MATCH($O220,$A$2:$A$428,0))/INDEX($B$2:$B$428,MATCH($O220,$A$2:$A$428,0)-1),""))</f>
        <v/>
      </c>
      <c r="T220" s="19" cm="1">
        <f t="array" ref="T220">IF(OR($O220&lt;T$387,$O220&gt;T$388),"",IFERROR(IF($O220=T$387,100,T219)*INDEX($B$2:$B$428,MATCH($O220,$A$2:$A$428,0))/INDEX($B$2:$B$428,MATCH($O220,$A$2:$A$428,0)-1),""))</f>
        <v>104.44164366119209</v>
      </c>
      <c r="U220" s="19" t="str" cm="1">
        <f t="array" ref="U220">IF(OR($O220&lt;U$387,$O220&gt;U$388),"",IFERROR(IF($O220=U$387,100,U219)*INDEX($B$2:$B$428,MATCH($O220,$A$2:$A$428,0))/INDEX($B$2:$B$428,MATCH($O220,$A$2:$A$428,0)-1),""))</f>
        <v/>
      </c>
      <c r="V220" s="19" t="str" cm="1">
        <f t="array" ref="V220">IF(OR($O220&lt;V$387,$O220&gt;V$388),"",IFERROR(IF($O220=V$387,100,V219)*INDEX($B$2:$B$428,MATCH($O220,$A$2:$A$428,0))/INDEX($B$2:$B$428,MATCH($O220,$A$2:$A$428,0)-1),""))</f>
        <v/>
      </c>
      <c r="W220" s="19" t="str" cm="1">
        <f t="array" ref="W220">IF(OR($O220&lt;W$387,$O220&gt;W$388),"",IFERROR(IF($O220=W$387,100,W219)*INDEX($B$2:$B$428,MATCH($O220,$A$2:$A$428,0))/INDEX($B$2:$B$428,MATCH($O220,$A$2:$A$428,0)-1),""))</f>
        <v/>
      </c>
      <c r="X220" s="19" t="str" cm="1">
        <f t="array" ref="X220">IF(OR($O220&lt;X$387,$O220&gt;X$388),"",IFERROR(IF($O220=X$387,100,X219)*INDEX($B$2:$B$428,MATCH($O220,$A$2:$A$428,0))/INDEX($B$2:$B$428,MATCH($O220,$A$2:$A$428,0)-1),""))</f>
        <v/>
      </c>
      <c r="AA220" s="19"/>
      <c r="AB220" s="19"/>
      <c r="AC220" s="19"/>
      <c r="AD220" s="19"/>
      <c r="AE220" s="19"/>
      <c r="AF220" s="19"/>
      <c r="AG220" s="19"/>
      <c r="AH220" s="19"/>
      <c r="AJ220" s="11">
        <v>39508</v>
      </c>
      <c r="AK220">
        <v>2800895.2</v>
      </c>
      <c r="AL220" s="26">
        <f t="shared" si="30"/>
        <v>0.61934741078495181</v>
      </c>
    </row>
    <row r="221" spans="1:38" x14ac:dyDescent="0.3">
      <c r="A221" s="11">
        <v>39904</v>
      </c>
      <c r="B221" s="18">
        <v>789076.06</v>
      </c>
      <c r="C221" s="18">
        <v>1217629.67</v>
      </c>
      <c r="D221" s="18">
        <v>1875092.27</v>
      </c>
      <c r="E221" s="11">
        <f t="shared" si="25"/>
        <v>39904</v>
      </c>
      <c r="F221" s="9">
        <f t="shared" si="27"/>
        <v>-2.6859960924485615E-2</v>
      </c>
      <c r="G221" s="9">
        <f t="shared" si="28"/>
        <v>2.5649170997309012E-2</v>
      </c>
      <c r="H221" s="9">
        <f t="shared" si="29"/>
        <v>0.10557320743162402</v>
      </c>
      <c r="I221" s="11">
        <f t="shared" si="26"/>
        <v>39904</v>
      </c>
      <c r="O221" s="11">
        <v>41365</v>
      </c>
      <c r="P221" s="19" t="str" cm="1">
        <f t="array" ref="P221">IF(OR($O221&lt;P$387,$O221&gt;P$388),"",IFERROR(IF($O221=P$387,100,P220)*INDEX($B$2:$B$428,MATCH($O221,$A$2:$A$428,0))/INDEX($B$2:$B$428,MATCH($O221,$A$2:$A$428,0)-1),""))</f>
        <v/>
      </c>
      <c r="Q221" s="19" t="str" cm="1">
        <f t="array" ref="Q221">IF(OR($O221&lt;Q$387,$O221&gt;Q$388),"",IFERROR(IF($O221=Q$387,100,Q220)*INDEX($B$2:$B$428,MATCH($O221,$A$2:$A$428,0))/INDEX($B$2:$B$428,MATCH($O221,$A$2:$A$428,0)-1),""))</f>
        <v/>
      </c>
      <c r="R221" s="19" t="str" cm="1">
        <f t="array" ref="R221">IF(OR($O221&lt;R$387,$O221&gt;R$388),"",IFERROR(IF($O221=R$387,100,R220)*INDEX($B$2:$B$428,MATCH($O221,$A$2:$A$428,0))/INDEX($B$2:$B$428,MATCH($O221,$A$2:$A$428,0)-1),""))</f>
        <v/>
      </c>
      <c r="S221" s="19" t="str" cm="1">
        <f t="array" ref="S221">IF(OR($O221&lt;S$387,$O221&gt;S$388),"",IFERROR(IF($O221=S$387,100,S220)*INDEX($B$2:$B$428,MATCH($O221,$A$2:$A$428,0))/INDEX($B$2:$B$428,MATCH($O221,$A$2:$A$428,0)-1),""))</f>
        <v/>
      </c>
      <c r="T221" s="19" cm="1">
        <f t="array" ref="T221">IF(OR($O221&lt;T$387,$O221&gt;T$388),"",IFERROR(IF($O221=T$387,100,T220)*INDEX($B$2:$B$428,MATCH($O221,$A$2:$A$428,0))/INDEX($B$2:$B$428,MATCH($O221,$A$2:$A$428,0)-1),""))</f>
        <v>105.0275852932962</v>
      </c>
      <c r="U221" s="19" t="str" cm="1">
        <f t="array" ref="U221">IF(OR($O221&lt;U$387,$O221&gt;U$388),"",IFERROR(IF($O221=U$387,100,U220)*INDEX($B$2:$B$428,MATCH($O221,$A$2:$A$428,0))/INDEX($B$2:$B$428,MATCH($O221,$A$2:$A$428,0)-1),""))</f>
        <v/>
      </c>
      <c r="V221" s="19" t="str" cm="1">
        <f t="array" ref="V221">IF(OR($O221&lt;V$387,$O221&gt;V$388),"",IFERROR(IF($O221=V$387,100,V220)*INDEX($B$2:$B$428,MATCH($O221,$A$2:$A$428,0))/INDEX($B$2:$B$428,MATCH($O221,$A$2:$A$428,0)-1),""))</f>
        <v/>
      </c>
      <c r="W221" s="19" t="str" cm="1">
        <f t="array" ref="W221">IF(OR($O221&lt;W$387,$O221&gt;W$388),"",IFERROR(IF($O221=W$387,100,W220)*INDEX($B$2:$B$428,MATCH($O221,$A$2:$A$428,0))/INDEX($B$2:$B$428,MATCH($O221,$A$2:$A$428,0)-1),""))</f>
        <v/>
      </c>
      <c r="X221" s="19" t="str" cm="1">
        <f t="array" ref="X221">IF(OR($O221&lt;X$387,$O221&gt;X$388),"",IFERROR(IF($O221=X$387,100,X220)*INDEX($B$2:$B$428,MATCH($O221,$A$2:$A$428,0))/INDEX($B$2:$B$428,MATCH($O221,$A$2:$A$428,0)-1),""))</f>
        <v/>
      </c>
      <c r="AA221" s="19"/>
      <c r="AB221" s="19"/>
      <c r="AC221" s="19"/>
      <c r="AD221" s="19"/>
      <c r="AE221" s="19"/>
      <c r="AF221" s="19"/>
      <c r="AG221" s="19"/>
      <c r="AH221" s="19"/>
      <c r="AJ221" s="11">
        <v>39539</v>
      </c>
      <c r="AK221">
        <v>2835158.4</v>
      </c>
      <c r="AL221" s="26">
        <f t="shared" si="30"/>
        <v>0.59821570463223506</v>
      </c>
    </row>
    <row r="222" spans="1:38" x14ac:dyDescent="0.3">
      <c r="A222" s="11">
        <v>39934</v>
      </c>
      <c r="B222" s="18">
        <v>829480.45</v>
      </c>
      <c r="C222" s="18">
        <v>1255305.58</v>
      </c>
      <c r="D222" s="18">
        <v>1878517.18</v>
      </c>
      <c r="E222" s="11">
        <f t="shared" si="25"/>
        <v>39934</v>
      </c>
      <c r="F222" s="9">
        <f t="shared" si="27"/>
        <v>2.9480233000411804E-3</v>
      </c>
      <c r="G222" s="9">
        <f t="shared" si="28"/>
        <v>4.1675472075508369E-2</v>
      </c>
      <c r="H222" s="9">
        <f t="shared" si="29"/>
        <v>9.2835297113544435E-2</v>
      </c>
      <c r="I222" s="11">
        <f t="shared" si="26"/>
        <v>39934</v>
      </c>
      <c r="O222" s="11">
        <v>41395</v>
      </c>
      <c r="P222" s="19" t="str" cm="1">
        <f t="array" ref="P222">IF(OR($O222&lt;P$387,$O222&gt;P$388),"",IFERROR(IF($O222=P$387,100,P221)*INDEX($B$2:$B$428,MATCH($O222,$A$2:$A$428,0))/INDEX($B$2:$B$428,MATCH($O222,$A$2:$A$428,0)-1),""))</f>
        <v/>
      </c>
      <c r="Q222" s="19" t="str" cm="1">
        <f t="array" ref="Q222">IF(OR($O222&lt;Q$387,$O222&gt;Q$388),"",IFERROR(IF($O222=Q$387,100,Q221)*INDEX($B$2:$B$428,MATCH($O222,$A$2:$A$428,0))/INDEX($B$2:$B$428,MATCH($O222,$A$2:$A$428,0)-1),""))</f>
        <v/>
      </c>
      <c r="R222" s="19" t="str" cm="1">
        <f t="array" ref="R222">IF(OR($O222&lt;R$387,$O222&gt;R$388),"",IFERROR(IF($O222=R$387,100,R221)*INDEX($B$2:$B$428,MATCH($O222,$A$2:$A$428,0))/INDEX($B$2:$B$428,MATCH($O222,$A$2:$A$428,0)-1),""))</f>
        <v/>
      </c>
      <c r="S222" s="19" t="str" cm="1">
        <f t="array" ref="S222">IF(OR($O222&lt;S$387,$O222&gt;S$388),"",IFERROR(IF($O222=S$387,100,S221)*INDEX($B$2:$B$428,MATCH($O222,$A$2:$A$428,0))/INDEX($B$2:$B$428,MATCH($O222,$A$2:$A$428,0)-1),""))</f>
        <v/>
      </c>
      <c r="T222" s="19" cm="1">
        <f t="array" ref="T222">IF(OR($O222&lt;T$387,$O222&gt;T$388),"",IFERROR(IF($O222=T$387,100,T221)*INDEX($B$2:$B$428,MATCH($O222,$A$2:$A$428,0))/INDEX($B$2:$B$428,MATCH($O222,$A$2:$A$428,0)-1),""))</f>
        <v>102.57347998901791</v>
      </c>
      <c r="U222" s="19" t="str" cm="1">
        <f t="array" ref="U222">IF(OR($O222&lt;U$387,$O222&gt;U$388),"",IFERROR(IF($O222=U$387,100,U221)*INDEX($B$2:$B$428,MATCH($O222,$A$2:$A$428,0))/INDEX($B$2:$B$428,MATCH($O222,$A$2:$A$428,0)-1),""))</f>
        <v/>
      </c>
      <c r="V222" s="19" t="str" cm="1">
        <f t="array" ref="V222">IF(OR($O222&lt;V$387,$O222&gt;V$388),"",IFERROR(IF($O222=V$387,100,V221)*INDEX($B$2:$B$428,MATCH($O222,$A$2:$A$428,0))/INDEX($B$2:$B$428,MATCH($O222,$A$2:$A$428,0)-1),""))</f>
        <v/>
      </c>
      <c r="W222" s="19" t="str" cm="1">
        <f t="array" ref="W222">IF(OR($O222&lt;W$387,$O222&gt;W$388),"",IFERROR(IF($O222=W$387,100,W221)*INDEX($B$2:$B$428,MATCH($O222,$A$2:$A$428,0))/INDEX($B$2:$B$428,MATCH($O222,$A$2:$A$428,0)-1),""))</f>
        <v/>
      </c>
      <c r="X222" s="19" t="str" cm="1">
        <f t="array" ref="X222">IF(OR($O222&lt;X$387,$O222&gt;X$388),"",IFERROR(IF($O222=X$387,100,X221)*INDEX($B$2:$B$428,MATCH($O222,$A$2:$A$428,0))/INDEX($B$2:$B$428,MATCH($O222,$A$2:$A$428,0)-1),""))</f>
        <v/>
      </c>
      <c r="AA222" s="19"/>
      <c r="AB222" s="19"/>
      <c r="AC222" s="19"/>
      <c r="AD222" s="19"/>
      <c r="AE222" s="19"/>
      <c r="AF222" s="19"/>
      <c r="AG222" s="19"/>
      <c r="AH222" s="19"/>
      <c r="AJ222" s="11">
        <v>39569</v>
      </c>
      <c r="AK222">
        <v>2863370.4</v>
      </c>
      <c r="AL222" s="26">
        <f t="shared" si="30"/>
        <v>0.60032015767153279</v>
      </c>
    </row>
    <row r="223" spans="1:38" x14ac:dyDescent="0.3">
      <c r="A223" s="11">
        <v>39965</v>
      </c>
      <c r="B223" s="18">
        <v>845869.65</v>
      </c>
      <c r="C223" s="18">
        <v>1271909.27</v>
      </c>
      <c r="D223" s="18">
        <v>1948313.63</v>
      </c>
      <c r="E223" s="11">
        <f t="shared" si="25"/>
        <v>39965</v>
      </c>
      <c r="F223" s="9">
        <f t="shared" si="27"/>
        <v>1.5095975193855748E-2</v>
      </c>
      <c r="G223" s="9">
        <f t="shared" si="28"/>
        <v>2.1229208484081497E-2</v>
      </c>
      <c r="H223" s="9">
        <f t="shared" si="29"/>
        <v>9.4707775863446253E-2</v>
      </c>
      <c r="I223" s="11">
        <f t="shared" si="26"/>
        <v>39965</v>
      </c>
      <c r="O223" s="11">
        <v>41426</v>
      </c>
      <c r="P223" s="19" t="str" cm="1">
        <f t="array" ref="P223">IF(OR($O223&lt;P$387,$O223&gt;P$388),"",IFERROR(IF($O223=P$387,100,P222)*INDEX($B$2:$B$428,MATCH($O223,$A$2:$A$428,0))/INDEX($B$2:$B$428,MATCH($O223,$A$2:$A$428,0)-1),""))</f>
        <v/>
      </c>
      <c r="Q223" s="19" t="str" cm="1">
        <f t="array" ref="Q223">IF(OR($O223&lt;Q$387,$O223&gt;Q$388),"",IFERROR(IF($O223=Q$387,100,Q222)*INDEX($B$2:$B$428,MATCH($O223,$A$2:$A$428,0))/INDEX($B$2:$B$428,MATCH($O223,$A$2:$A$428,0)-1),""))</f>
        <v/>
      </c>
      <c r="R223" s="19" t="str" cm="1">
        <f t="array" ref="R223">IF(OR($O223&lt;R$387,$O223&gt;R$388),"",IFERROR(IF($O223=R$387,100,R222)*INDEX($B$2:$B$428,MATCH($O223,$A$2:$A$428,0))/INDEX($B$2:$B$428,MATCH($O223,$A$2:$A$428,0)-1),""))</f>
        <v/>
      </c>
      <c r="S223" s="19" t="str" cm="1">
        <f t="array" ref="S223">IF(OR($O223&lt;S$387,$O223&gt;S$388),"",IFERROR(IF($O223=S$387,100,S222)*INDEX($B$2:$B$428,MATCH($O223,$A$2:$A$428,0))/INDEX($B$2:$B$428,MATCH($O223,$A$2:$A$428,0)-1),""))</f>
        <v/>
      </c>
      <c r="T223" s="19" cm="1">
        <f t="array" ref="T223">IF(OR($O223&lt;T$387,$O223&gt;T$388),"",IFERROR(IF($O223=T$387,100,T222)*INDEX($B$2:$B$428,MATCH($O223,$A$2:$A$428,0))/INDEX($B$2:$B$428,MATCH($O223,$A$2:$A$428,0)-1),""))</f>
        <v>101.93851910063884</v>
      </c>
      <c r="U223" s="19" t="str" cm="1">
        <f t="array" ref="U223">IF(OR($O223&lt;U$387,$O223&gt;U$388),"",IFERROR(IF($O223=U$387,100,U222)*INDEX($B$2:$B$428,MATCH($O223,$A$2:$A$428,0))/INDEX($B$2:$B$428,MATCH($O223,$A$2:$A$428,0)-1),""))</f>
        <v/>
      </c>
      <c r="V223" s="19" t="str" cm="1">
        <f t="array" ref="V223">IF(OR($O223&lt;V$387,$O223&gt;V$388),"",IFERROR(IF($O223=V$387,100,V222)*INDEX($B$2:$B$428,MATCH($O223,$A$2:$A$428,0))/INDEX($B$2:$B$428,MATCH($O223,$A$2:$A$428,0)-1),""))</f>
        <v/>
      </c>
      <c r="W223" s="19" t="str" cm="1">
        <f t="array" ref="W223">IF(OR($O223&lt;W$387,$O223&gt;W$388),"",IFERROR(IF($O223=W$387,100,W222)*INDEX($B$2:$B$428,MATCH($O223,$A$2:$A$428,0))/INDEX($B$2:$B$428,MATCH($O223,$A$2:$A$428,0)-1),""))</f>
        <v/>
      </c>
      <c r="X223" s="19" t="str" cm="1">
        <f t="array" ref="X223">IF(OR($O223&lt;X$387,$O223&gt;X$388),"",IFERROR(IF($O223=X$387,100,X222)*INDEX($B$2:$B$428,MATCH($O223,$A$2:$A$428,0))/INDEX($B$2:$B$428,MATCH($O223,$A$2:$A$428,0)-1),""))</f>
        <v/>
      </c>
      <c r="AA223" s="19"/>
      <c r="AB223" s="19"/>
      <c r="AC223" s="19"/>
      <c r="AD223" s="19"/>
      <c r="AE223" s="19"/>
      <c r="AF223" s="19"/>
      <c r="AG223" s="19"/>
      <c r="AH223" s="19"/>
      <c r="AJ223" s="11">
        <v>39600</v>
      </c>
      <c r="AK223">
        <v>2899765.6</v>
      </c>
      <c r="AL223" s="26">
        <f t="shared" si="30"/>
        <v>0.6137588569227802</v>
      </c>
    </row>
    <row r="224" spans="1:38" x14ac:dyDescent="0.3">
      <c r="A224" s="11">
        <v>39995</v>
      </c>
      <c r="B224" s="18">
        <v>871504.21</v>
      </c>
      <c r="C224" s="18">
        <v>1309624.96</v>
      </c>
      <c r="D224" s="18">
        <v>1964146.41</v>
      </c>
      <c r="E224" s="11">
        <f t="shared" si="25"/>
        <v>39995</v>
      </c>
      <c r="F224" s="9">
        <f t="shared" si="27"/>
        <v>3.7109848359445197E-2</v>
      </c>
      <c r="G224" s="9">
        <f t="shared" si="28"/>
        <v>4.0530628725629958E-2</v>
      </c>
      <c r="H224" s="9">
        <f t="shared" si="29"/>
        <v>0.14968258336428542</v>
      </c>
      <c r="I224" s="11">
        <f t="shared" si="26"/>
        <v>39995</v>
      </c>
      <c r="O224" s="11">
        <v>41456</v>
      </c>
      <c r="P224" s="19" t="str" cm="1">
        <f t="array" ref="P224">IF(OR($O224&lt;P$387,$O224&gt;P$388),"",IFERROR(IF($O224=P$387,100,P223)*INDEX($B$2:$B$428,MATCH($O224,$A$2:$A$428,0))/INDEX($B$2:$B$428,MATCH($O224,$A$2:$A$428,0)-1),""))</f>
        <v/>
      </c>
      <c r="Q224" s="19" t="str" cm="1">
        <f t="array" ref="Q224">IF(OR($O224&lt;Q$387,$O224&gt;Q$388),"",IFERROR(IF($O224=Q$387,100,Q223)*INDEX($B$2:$B$428,MATCH($O224,$A$2:$A$428,0))/INDEX($B$2:$B$428,MATCH($O224,$A$2:$A$428,0)-1),""))</f>
        <v/>
      </c>
      <c r="R224" s="19" t="str" cm="1">
        <f t="array" ref="R224">IF(OR($O224&lt;R$387,$O224&gt;R$388),"",IFERROR(IF($O224=R$387,100,R223)*INDEX($B$2:$B$428,MATCH($O224,$A$2:$A$428,0))/INDEX($B$2:$B$428,MATCH($O224,$A$2:$A$428,0)-1),""))</f>
        <v/>
      </c>
      <c r="S224" s="19" t="str" cm="1">
        <f t="array" ref="S224">IF(OR($O224&lt;S$387,$O224&gt;S$388),"",IFERROR(IF($O224=S$387,100,S223)*INDEX($B$2:$B$428,MATCH($O224,$A$2:$A$428,0))/INDEX($B$2:$B$428,MATCH($O224,$A$2:$A$428,0)-1),""))</f>
        <v/>
      </c>
      <c r="T224" s="19" cm="1">
        <f t="array" ref="T224">IF(OR($O224&lt;T$387,$O224&gt;T$388),"",IFERROR(IF($O224=T$387,100,T223)*INDEX($B$2:$B$428,MATCH($O224,$A$2:$A$428,0))/INDEX($B$2:$B$428,MATCH($O224,$A$2:$A$428,0)-1),""))</f>
        <v>100.27468523702105</v>
      </c>
      <c r="U224" s="19" t="str" cm="1">
        <f t="array" ref="U224">IF(OR($O224&lt;U$387,$O224&gt;U$388),"",IFERROR(IF($O224=U$387,100,U223)*INDEX($B$2:$B$428,MATCH($O224,$A$2:$A$428,0))/INDEX($B$2:$B$428,MATCH($O224,$A$2:$A$428,0)-1),""))</f>
        <v/>
      </c>
      <c r="V224" s="19" t="str" cm="1">
        <f t="array" ref="V224">IF(OR($O224&lt;V$387,$O224&gt;V$388),"",IFERROR(IF($O224=V$387,100,V223)*INDEX($B$2:$B$428,MATCH($O224,$A$2:$A$428,0))/INDEX($B$2:$B$428,MATCH($O224,$A$2:$A$428,0)-1),""))</f>
        <v/>
      </c>
      <c r="W224" s="19" t="str" cm="1">
        <f t="array" ref="W224">IF(OR($O224&lt;W$387,$O224&gt;W$388),"",IFERROR(IF($O224=W$387,100,W223)*INDEX($B$2:$B$428,MATCH($O224,$A$2:$A$428,0))/INDEX($B$2:$B$428,MATCH($O224,$A$2:$A$428,0)-1),""))</f>
        <v/>
      </c>
      <c r="X224" s="19" t="str" cm="1">
        <f t="array" ref="X224">IF(OR($O224&lt;X$387,$O224&gt;X$388),"",IFERROR(IF($O224=X$387,100,X223)*INDEX($B$2:$B$428,MATCH($O224,$A$2:$A$428,0))/INDEX($B$2:$B$428,MATCH($O224,$A$2:$A$428,0)-1),""))</f>
        <v/>
      </c>
      <c r="AA224" s="19"/>
      <c r="AB224" s="19"/>
      <c r="AC224" s="19"/>
      <c r="AD224" s="19"/>
      <c r="AE224" s="19"/>
      <c r="AF224" s="19"/>
      <c r="AG224" s="19"/>
      <c r="AH224" s="19"/>
      <c r="AJ224" s="11">
        <v>39630</v>
      </c>
      <c r="AK224">
        <v>2940139.7</v>
      </c>
      <c r="AL224" s="26">
        <f t="shared" si="30"/>
        <v>0.58106931109429927</v>
      </c>
    </row>
    <row r="225" spans="1:38" x14ac:dyDescent="0.3">
      <c r="A225" s="11">
        <v>40026</v>
      </c>
      <c r="B225" s="18">
        <v>878172.58</v>
      </c>
      <c r="C225" s="18">
        <v>1315493.3500000001</v>
      </c>
      <c r="D225" s="18">
        <v>2022637.81</v>
      </c>
      <c r="E225" s="11">
        <f t="shared" si="25"/>
        <v>40026</v>
      </c>
      <c r="F225" s="9">
        <f t="shared" si="27"/>
        <v>6.0045523266975431E-2</v>
      </c>
      <c r="G225" s="9">
        <f t="shared" si="28"/>
        <v>5.0084209117037704E-2</v>
      </c>
      <c r="H225" s="9">
        <f t="shared" si="29"/>
        <v>0.16562774193802321</v>
      </c>
      <c r="I225" s="11">
        <f t="shared" si="26"/>
        <v>40026</v>
      </c>
      <c r="O225" s="11">
        <v>41487</v>
      </c>
      <c r="P225" s="19" t="str" cm="1">
        <f t="array" ref="P225">IF(OR($O225&lt;P$387,$O225&gt;P$388),"",IFERROR(IF($O225=P$387,100,P224)*INDEX($B$2:$B$428,MATCH($O225,$A$2:$A$428,0))/INDEX($B$2:$B$428,MATCH($O225,$A$2:$A$428,0)-1),""))</f>
        <v/>
      </c>
      <c r="Q225" s="19" t="str" cm="1">
        <f t="array" ref="Q225">IF(OR($O225&lt;Q$387,$O225&gt;Q$388),"",IFERROR(IF($O225=Q$387,100,Q224)*INDEX($B$2:$B$428,MATCH($O225,$A$2:$A$428,0))/INDEX($B$2:$B$428,MATCH($O225,$A$2:$A$428,0)-1),""))</f>
        <v/>
      </c>
      <c r="R225" s="19" t="str" cm="1">
        <f t="array" ref="R225">IF(OR($O225&lt;R$387,$O225&gt;R$388),"",IFERROR(IF($O225=R$387,100,R224)*INDEX($B$2:$B$428,MATCH($O225,$A$2:$A$428,0))/INDEX($B$2:$B$428,MATCH($O225,$A$2:$A$428,0)-1),""))</f>
        <v/>
      </c>
      <c r="S225" s="19" t="str" cm="1">
        <f t="array" ref="S225">IF(OR($O225&lt;S$387,$O225&gt;S$388),"",IFERROR(IF($O225=S$387,100,S224)*INDEX($B$2:$B$428,MATCH($O225,$A$2:$A$428,0))/INDEX($B$2:$B$428,MATCH($O225,$A$2:$A$428,0)-1),""))</f>
        <v/>
      </c>
      <c r="T225" s="19" cm="1">
        <f t="array" ref="T225">IF(OR($O225&lt;T$387,$O225&gt;T$388),"",IFERROR(IF($O225=T$387,100,T224)*INDEX($B$2:$B$428,MATCH($O225,$A$2:$A$428,0))/INDEX($B$2:$B$428,MATCH($O225,$A$2:$A$428,0)-1),""))</f>
        <v>99.572817069353349</v>
      </c>
      <c r="U225" s="19" t="str" cm="1">
        <f t="array" ref="U225">IF(OR($O225&lt;U$387,$O225&gt;U$388),"",IFERROR(IF($O225=U$387,100,U224)*INDEX($B$2:$B$428,MATCH($O225,$A$2:$A$428,0))/INDEX($B$2:$B$428,MATCH($O225,$A$2:$A$428,0)-1),""))</f>
        <v/>
      </c>
      <c r="V225" s="19" t="str" cm="1">
        <f t="array" ref="V225">IF(OR($O225&lt;V$387,$O225&gt;V$388),"",IFERROR(IF($O225=V$387,100,V224)*INDEX($B$2:$B$428,MATCH($O225,$A$2:$A$428,0))/INDEX($B$2:$B$428,MATCH($O225,$A$2:$A$428,0)-1),""))</f>
        <v/>
      </c>
      <c r="W225" s="19" t="str" cm="1">
        <f t="array" ref="W225">IF(OR($O225&lt;W$387,$O225&gt;W$388),"",IFERROR(IF($O225=W$387,100,W224)*INDEX($B$2:$B$428,MATCH($O225,$A$2:$A$428,0))/INDEX($B$2:$B$428,MATCH($O225,$A$2:$A$428,0)-1),""))</f>
        <v/>
      </c>
      <c r="X225" s="19" t="str" cm="1">
        <f t="array" ref="X225">IF(OR($O225&lt;X$387,$O225&gt;X$388),"",IFERROR(IF($O225=X$387,100,X224)*INDEX($B$2:$B$428,MATCH($O225,$A$2:$A$428,0))/INDEX($B$2:$B$428,MATCH($O225,$A$2:$A$428,0)-1),""))</f>
        <v/>
      </c>
      <c r="AA225" s="19"/>
      <c r="AB225" s="19"/>
      <c r="AC225" s="19"/>
      <c r="AD225" s="19"/>
      <c r="AE225" s="19"/>
      <c r="AF225" s="19"/>
      <c r="AG225" s="19"/>
      <c r="AH225" s="19"/>
      <c r="AJ225" s="11">
        <v>39661</v>
      </c>
      <c r="AK225">
        <v>2974780.7</v>
      </c>
      <c r="AL225" s="26">
        <f t="shared" si="30"/>
        <v>0.58331519698241951</v>
      </c>
    </row>
    <row r="226" spans="1:38" x14ac:dyDescent="0.3">
      <c r="A226" s="11">
        <v>40057</v>
      </c>
      <c r="B226" s="18">
        <v>916177.62</v>
      </c>
      <c r="C226" s="18">
        <v>1352484.66</v>
      </c>
      <c r="D226" s="18">
        <v>2037330.37</v>
      </c>
      <c r="E226" s="11">
        <f t="shared" si="25"/>
        <v>40057</v>
      </c>
      <c r="F226" s="9">
        <f t="shared" si="27"/>
        <v>0.17124006901715405</v>
      </c>
      <c r="G226" s="9">
        <f t="shared" si="28"/>
        <v>0.1176358315417696</v>
      </c>
      <c r="H226" s="9">
        <f t="shared" si="29"/>
        <v>0.15979326579064757</v>
      </c>
      <c r="I226" s="11">
        <f t="shared" si="26"/>
        <v>40057</v>
      </c>
      <c r="O226" s="11">
        <v>41518</v>
      </c>
      <c r="P226" s="19" t="str" cm="1">
        <f t="array" ref="P226">IF(OR($O226&lt;P$387,$O226&gt;P$388),"",IFERROR(IF($O226=P$387,100,P225)*INDEX($B$2:$B$428,MATCH($O226,$A$2:$A$428,0))/INDEX($B$2:$B$428,MATCH($O226,$A$2:$A$428,0)-1),""))</f>
        <v/>
      </c>
      <c r="Q226" s="19" t="str" cm="1">
        <f t="array" ref="Q226">IF(OR($O226&lt;Q$387,$O226&gt;Q$388),"",IFERROR(IF($O226=Q$387,100,Q225)*INDEX($B$2:$B$428,MATCH($O226,$A$2:$A$428,0))/INDEX($B$2:$B$428,MATCH($O226,$A$2:$A$428,0)-1),""))</f>
        <v/>
      </c>
      <c r="R226" s="19" t="str" cm="1">
        <f t="array" ref="R226">IF(OR($O226&lt;R$387,$O226&gt;R$388),"",IFERROR(IF($O226=R$387,100,R225)*INDEX($B$2:$B$428,MATCH($O226,$A$2:$A$428,0))/INDEX($B$2:$B$428,MATCH($O226,$A$2:$A$428,0)-1),""))</f>
        <v/>
      </c>
      <c r="S226" s="19" t="str" cm="1">
        <f t="array" ref="S226">IF(OR($O226&lt;S$387,$O226&gt;S$388),"",IFERROR(IF($O226=S$387,100,S225)*INDEX($B$2:$B$428,MATCH($O226,$A$2:$A$428,0))/INDEX($B$2:$B$428,MATCH($O226,$A$2:$A$428,0)-1),""))</f>
        <v/>
      </c>
      <c r="T226" s="19" cm="1">
        <f t="array" ref="T226">IF(OR($O226&lt;T$387,$O226&gt;T$388),"",IFERROR(IF($O226=T$387,100,T225)*INDEX($B$2:$B$428,MATCH($O226,$A$2:$A$428,0))/INDEX($B$2:$B$428,MATCH($O226,$A$2:$A$428,0)-1),""))</f>
        <v>105.85024256610708</v>
      </c>
      <c r="U226" s="19" t="str" cm="1">
        <f t="array" ref="U226">IF(OR($O226&lt;U$387,$O226&gt;U$388),"",IFERROR(IF($O226=U$387,100,U225)*INDEX($B$2:$B$428,MATCH($O226,$A$2:$A$428,0))/INDEX($B$2:$B$428,MATCH($O226,$A$2:$A$428,0)-1),""))</f>
        <v/>
      </c>
      <c r="V226" s="19" t="str" cm="1">
        <f t="array" ref="V226">IF(OR($O226&lt;V$387,$O226&gt;V$388),"",IFERROR(IF($O226=V$387,100,V225)*INDEX($B$2:$B$428,MATCH($O226,$A$2:$A$428,0))/INDEX($B$2:$B$428,MATCH($O226,$A$2:$A$428,0)-1),""))</f>
        <v/>
      </c>
      <c r="W226" s="19" t="str" cm="1">
        <f t="array" ref="W226">IF(OR($O226&lt;W$387,$O226&gt;W$388),"",IFERROR(IF($O226=W$387,100,W225)*INDEX($B$2:$B$428,MATCH($O226,$A$2:$A$428,0))/INDEX($B$2:$B$428,MATCH($O226,$A$2:$A$428,0)-1),""))</f>
        <v/>
      </c>
      <c r="X226" s="19" t="str" cm="1">
        <f t="array" ref="X226">IF(OR($O226&lt;X$387,$O226&gt;X$388),"",IFERROR(IF($O226=X$387,100,X225)*INDEX($B$2:$B$428,MATCH($O226,$A$2:$A$428,0))/INDEX($B$2:$B$428,MATCH($O226,$A$2:$A$428,0)-1),""))</f>
        <v/>
      </c>
      <c r="AA226" s="19"/>
      <c r="AB226" s="19"/>
      <c r="AC226" s="19"/>
      <c r="AD226" s="19"/>
      <c r="AE226" s="19"/>
      <c r="AF226" s="19"/>
      <c r="AG226" s="19"/>
      <c r="AH226" s="19"/>
      <c r="AJ226" s="11">
        <v>39692</v>
      </c>
      <c r="AK226">
        <v>3020522.3</v>
      </c>
      <c r="AL226" s="26">
        <f t="shared" si="30"/>
        <v>0.58156576099438173</v>
      </c>
    </row>
    <row r="227" spans="1:38" x14ac:dyDescent="0.3">
      <c r="A227" s="11">
        <v>40087</v>
      </c>
      <c r="B227" s="18">
        <v>921382.5</v>
      </c>
      <c r="C227" s="18">
        <v>1359093.2</v>
      </c>
      <c r="D227" s="18">
        <v>2038676.53</v>
      </c>
      <c r="E227" s="11">
        <f t="shared" si="25"/>
        <v>40087</v>
      </c>
      <c r="F227" s="9">
        <f t="shared" si="27"/>
        <v>0.24075190347063113</v>
      </c>
      <c r="G227" s="9">
        <f t="shared" si="28"/>
        <v>0.16250980442203611</v>
      </c>
      <c r="H227" s="9">
        <f t="shared" si="29"/>
        <v>0.15002877079395338</v>
      </c>
      <c r="I227" s="11">
        <f t="shared" si="26"/>
        <v>40087</v>
      </c>
      <c r="O227" s="11">
        <v>41548</v>
      </c>
      <c r="P227" s="19" t="str" cm="1">
        <f t="array" ref="P227">IF(OR($O227&lt;P$387,$O227&gt;P$388),"",IFERROR(IF($O227=P$387,100,P226)*INDEX($B$2:$B$428,MATCH($O227,$A$2:$A$428,0))/INDEX($B$2:$B$428,MATCH($O227,$A$2:$A$428,0)-1),""))</f>
        <v/>
      </c>
      <c r="Q227" s="19" t="str" cm="1">
        <f t="array" ref="Q227">IF(OR($O227&lt;Q$387,$O227&gt;Q$388),"",IFERROR(IF($O227=Q$387,100,Q226)*INDEX($B$2:$B$428,MATCH($O227,$A$2:$A$428,0))/INDEX($B$2:$B$428,MATCH($O227,$A$2:$A$428,0)-1),""))</f>
        <v/>
      </c>
      <c r="R227" s="19" t="str" cm="1">
        <f t="array" ref="R227">IF(OR($O227&lt;R$387,$O227&gt;R$388),"",IFERROR(IF($O227=R$387,100,R226)*INDEX($B$2:$B$428,MATCH($O227,$A$2:$A$428,0))/INDEX($B$2:$B$428,MATCH($O227,$A$2:$A$428,0)-1),""))</f>
        <v/>
      </c>
      <c r="S227" s="19" t="str" cm="1">
        <f t="array" ref="S227">IF(OR($O227&lt;S$387,$O227&gt;S$388),"",IFERROR(IF($O227=S$387,100,S226)*INDEX($B$2:$B$428,MATCH($O227,$A$2:$A$428,0))/INDEX($B$2:$B$428,MATCH($O227,$A$2:$A$428,0)-1),""))</f>
        <v/>
      </c>
      <c r="T227" s="19" cm="1">
        <f t="array" ref="T227">IF(OR($O227&lt;T$387,$O227&gt;T$388),"",IFERROR(IF($O227=T$387,100,T226)*INDEX($B$2:$B$428,MATCH($O227,$A$2:$A$428,0))/INDEX($B$2:$B$428,MATCH($O227,$A$2:$A$428,0)-1),""))</f>
        <v>106.9666537803912</v>
      </c>
      <c r="U227" s="19" t="str" cm="1">
        <f t="array" ref="U227">IF(OR($O227&lt;U$387,$O227&gt;U$388),"",IFERROR(IF($O227=U$387,100,U226)*INDEX($B$2:$B$428,MATCH($O227,$A$2:$A$428,0))/INDEX($B$2:$B$428,MATCH($O227,$A$2:$A$428,0)-1),""))</f>
        <v/>
      </c>
      <c r="V227" s="19" t="str" cm="1">
        <f t="array" ref="V227">IF(OR($O227&lt;V$387,$O227&gt;V$388),"",IFERROR(IF($O227=V$387,100,V226)*INDEX($B$2:$B$428,MATCH($O227,$A$2:$A$428,0))/INDEX($B$2:$B$428,MATCH($O227,$A$2:$A$428,0)-1),""))</f>
        <v/>
      </c>
      <c r="W227" s="19" t="str" cm="1">
        <f t="array" ref="W227">IF(OR($O227&lt;W$387,$O227&gt;W$388),"",IFERROR(IF($O227=W$387,100,W226)*INDEX($B$2:$B$428,MATCH($O227,$A$2:$A$428,0))/INDEX($B$2:$B$428,MATCH($O227,$A$2:$A$428,0)-1),""))</f>
        <v/>
      </c>
      <c r="X227" s="19" t="str" cm="1">
        <f t="array" ref="X227">IF(OR($O227&lt;X$387,$O227&gt;X$388),"",IFERROR(IF($O227=X$387,100,X226)*INDEX($B$2:$B$428,MATCH($O227,$A$2:$A$428,0))/INDEX($B$2:$B$428,MATCH($O227,$A$2:$A$428,0)-1),""))</f>
        <v/>
      </c>
      <c r="AA227" s="19"/>
      <c r="AB227" s="19"/>
      <c r="AC227" s="19"/>
      <c r="AD227" s="19"/>
      <c r="AE227" s="19"/>
      <c r="AF227" s="19"/>
      <c r="AG227" s="19"/>
      <c r="AH227" s="19"/>
      <c r="AJ227" s="11">
        <v>39722</v>
      </c>
      <c r="AK227">
        <v>3059748</v>
      </c>
      <c r="AL227" s="26">
        <f t="shared" si="30"/>
        <v>0.57936727142235245</v>
      </c>
    </row>
    <row r="228" spans="1:38" x14ac:dyDescent="0.3">
      <c r="A228" s="11">
        <v>40118</v>
      </c>
      <c r="B228" s="18">
        <v>919512.5</v>
      </c>
      <c r="C228" s="18">
        <v>1358562.54</v>
      </c>
      <c r="D228" s="18">
        <v>2061104.62</v>
      </c>
      <c r="E228" s="11">
        <f t="shared" si="25"/>
        <v>40118</v>
      </c>
      <c r="F228" s="9">
        <f t="shared" si="27"/>
        <v>0.30465158366161416</v>
      </c>
      <c r="G228" s="9">
        <f t="shared" si="28"/>
        <v>0.18382121237979998</v>
      </c>
      <c r="H228" s="9">
        <f t="shared" si="29"/>
        <v>0.1418832174368696</v>
      </c>
      <c r="I228" s="11">
        <f t="shared" si="26"/>
        <v>40118</v>
      </c>
      <c r="O228" s="11">
        <v>41579</v>
      </c>
      <c r="P228" s="19" t="str" cm="1">
        <f t="array" ref="P228">IF(OR($O228&lt;P$387,$O228&gt;P$388),"",IFERROR(IF($O228=P$387,100,P227)*INDEX($B$2:$B$428,MATCH($O228,$A$2:$A$428,0))/INDEX($B$2:$B$428,MATCH($O228,$A$2:$A$428,0)-1),""))</f>
        <v/>
      </c>
      <c r="Q228" s="19" t="str" cm="1">
        <f t="array" ref="Q228">IF(OR($O228&lt;Q$387,$O228&gt;Q$388),"",IFERROR(IF($O228=Q$387,100,Q227)*INDEX($B$2:$B$428,MATCH($O228,$A$2:$A$428,0))/INDEX($B$2:$B$428,MATCH($O228,$A$2:$A$428,0)-1),""))</f>
        <v/>
      </c>
      <c r="R228" s="19" t="str" cm="1">
        <f t="array" ref="R228">IF(OR($O228&lt;R$387,$O228&gt;R$388),"",IFERROR(IF($O228=R$387,100,R227)*INDEX($B$2:$B$428,MATCH($O228,$A$2:$A$428,0))/INDEX($B$2:$B$428,MATCH($O228,$A$2:$A$428,0)-1),""))</f>
        <v/>
      </c>
      <c r="S228" s="19" t="str" cm="1">
        <f t="array" ref="S228">IF(OR($O228&lt;S$387,$O228&gt;S$388),"",IFERROR(IF($O228=S$387,100,S227)*INDEX($B$2:$B$428,MATCH($O228,$A$2:$A$428,0))/INDEX($B$2:$B$428,MATCH($O228,$A$2:$A$428,0)-1),""))</f>
        <v/>
      </c>
      <c r="T228" s="19" cm="1">
        <f t="array" ref="T228">IF(OR($O228&lt;T$387,$O228&gt;T$388),"",IFERROR(IF($O228=T$387,100,T227)*INDEX($B$2:$B$428,MATCH($O228,$A$2:$A$428,0))/INDEX($B$2:$B$428,MATCH($O228,$A$2:$A$428,0)-1),""))</f>
        <v>102.0513500932429</v>
      </c>
      <c r="U228" s="19" t="str" cm="1">
        <f t="array" ref="U228">IF(OR($O228&lt;U$387,$O228&gt;U$388),"",IFERROR(IF($O228=U$387,100,U227)*INDEX($B$2:$B$428,MATCH($O228,$A$2:$A$428,0))/INDEX($B$2:$B$428,MATCH($O228,$A$2:$A$428,0)-1),""))</f>
        <v/>
      </c>
      <c r="V228" s="19" t="str" cm="1">
        <f t="array" ref="V228">IF(OR($O228&lt;V$387,$O228&gt;V$388),"",IFERROR(IF($O228=V$387,100,V227)*INDEX($B$2:$B$428,MATCH($O228,$A$2:$A$428,0))/INDEX($B$2:$B$428,MATCH($O228,$A$2:$A$428,0)-1),""))</f>
        <v/>
      </c>
      <c r="W228" s="19" t="str" cm="1">
        <f t="array" ref="W228">IF(OR($O228&lt;W$387,$O228&gt;W$388),"",IFERROR(IF($O228=W$387,100,W227)*INDEX($B$2:$B$428,MATCH($O228,$A$2:$A$428,0))/INDEX($B$2:$B$428,MATCH($O228,$A$2:$A$428,0)-1),""))</f>
        <v/>
      </c>
      <c r="X228" s="19" t="str" cm="1">
        <f t="array" ref="X228">IF(OR($O228&lt;X$387,$O228&gt;X$388),"",IFERROR(IF($O228=X$387,100,X227)*INDEX($B$2:$B$428,MATCH($O228,$A$2:$A$428,0))/INDEX($B$2:$B$428,MATCH($O228,$A$2:$A$428,0)-1),""))</f>
        <v/>
      </c>
      <c r="AA228" s="19"/>
      <c r="AB228" s="19"/>
      <c r="AC228" s="19"/>
      <c r="AD228" s="19"/>
      <c r="AE228" s="19"/>
      <c r="AF228" s="19"/>
      <c r="AG228" s="19"/>
      <c r="AH228" s="19"/>
      <c r="AJ228" s="11">
        <v>39753</v>
      </c>
      <c r="AK228">
        <v>3088599.6</v>
      </c>
      <c r="AL228" s="26">
        <f t="shared" si="30"/>
        <v>0.5844087851335602</v>
      </c>
    </row>
    <row r="229" spans="1:38" x14ac:dyDescent="0.3">
      <c r="A229" s="11">
        <v>40148</v>
      </c>
      <c r="B229" s="18">
        <v>932535.29</v>
      </c>
      <c r="C229" s="18">
        <v>1378128.65</v>
      </c>
      <c r="D229" s="18">
        <v>2156529.04</v>
      </c>
      <c r="E229" s="11">
        <f t="shared" si="25"/>
        <v>40148</v>
      </c>
      <c r="F229" s="9">
        <f t="shared" si="27"/>
        <v>0.28038033971509324</v>
      </c>
      <c r="G229" s="9">
        <f t="shared" si="28"/>
        <v>0.17267296860266379</v>
      </c>
      <c r="H229" s="9">
        <f t="shared" si="29"/>
        <v>0.12904712920086392</v>
      </c>
      <c r="I229" s="11">
        <f t="shared" si="26"/>
        <v>40148</v>
      </c>
      <c r="O229" s="11">
        <v>41609</v>
      </c>
      <c r="P229" s="19" t="str" cm="1">
        <f t="array" ref="P229">IF(OR($O229&lt;P$387,$O229&gt;P$388),"",IFERROR(IF($O229=P$387,100,P228)*INDEX($B$2:$B$428,MATCH($O229,$A$2:$A$428,0))/INDEX($B$2:$B$428,MATCH($O229,$A$2:$A$428,0)-1),""))</f>
        <v/>
      </c>
      <c r="Q229" s="19" t="str" cm="1">
        <f t="array" ref="Q229">IF(OR($O229&lt;Q$387,$O229&gt;Q$388),"",IFERROR(IF($O229=Q$387,100,Q228)*INDEX($B$2:$B$428,MATCH($O229,$A$2:$A$428,0))/INDEX($B$2:$B$428,MATCH($O229,$A$2:$A$428,0)-1),""))</f>
        <v/>
      </c>
      <c r="R229" s="19" t="str" cm="1">
        <f t="array" ref="R229">IF(OR($O229&lt;R$387,$O229&gt;R$388),"",IFERROR(IF($O229=R$387,100,R228)*INDEX($B$2:$B$428,MATCH($O229,$A$2:$A$428,0))/INDEX($B$2:$B$428,MATCH($O229,$A$2:$A$428,0)-1),""))</f>
        <v/>
      </c>
      <c r="S229" s="19" t="str" cm="1">
        <f t="array" ref="S229">IF(OR($O229&lt;S$387,$O229&gt;S$388),"",IFERROR(IF($O229=S$387,100,S228)*INDEX($B$2:$B$428,MATCH($O229,$A$2:$A$428,0))/INDEX($B$2:$B$428,MATCH($O229,$A$2:$A$428,0)-1),""))</f>
        <v/>
      </c>
      <c r="T229" s="19" cm="1">
        <f t="array" ref="T229">IF(OR($O229&lt;T$387,$O229&gt;T$388),"",IFERROR(IF($O229=T$387,100,T228)*INDEX($B$2:$B$428,MATCH($O229,$A$2:$A$428,0))/INDEX($B$2:$B$428,MATCH($O229,$A$2:$A$428,0)-1),""))</f>
        <v>102.4213968324455</v>
      </c>
      <c r="U229" s="19" t="str" cm="1">
        <f t="array" ref="U229">IF(OR($O229&lt;U$387,$O229&gt;U$388),"",IFERROR(IF($O229=U$387,100,U228)*INDEX($B$2:$B$428,MATCH($O229,$A$2:$A$428,0))/INDEX($B$2:$B$428,MATCH($O229,$A$2:$A$428,0)-1),""))</f>
        <v/>
      </c>
      <c r="V229" s="19" t="str" cm="1">
        <f t="array" ref="V229">IF(OR($O229&lt;V$387,$O229&gt;V$388),"",IFERROR(IF($O229=V$387,100,V228)*INDEX($B$2:$B$428,MATCH($O229,$A$2:$A$428,0))/INDEX($B$2:$B$428,MATCH($O229,$A$2:$A$428,0)-1),""))</f>
        <v/>
      </c>
      <c r="W229" s="19" t="str" cm="1">
        <f t="array" ref="W229">IF(OR($O229&lt;W$387,$O229&gt;W$388),"",IFERROR(IF($O229=W$387,100,W228)*INDEX($B$2:$B$428,MATCH($O229,$A$2:$A$428,0))/INDEX($B$2:$B$428,MATCH($O229,$A$2:$A$428,0)-1),""))</f>
        <v/>
      </c>
      <c r="X229" s="19" t="str" cm="1">
        <f t="array" ref="X229">IF(OR($O229&lt;X$387,$O229&gt;X$388),"",IFERROR(IF($O229=X$387,100,X228)*INDEX($B$2:$B$428,MATCH($O229,$A$2:$A$428,0))/INDEX($B$2:$B$428,MATCH($O229,$A$2:$A$428,0)-1),""))</f>
        <v/>
      </c>
      <c r="AA229" s="19"/>
      <c r="AB229" s="19"/>
      <c r="AC229" s="19"/>
      <c r="AD229" s="19"/>
      <c r="AE229" s="19"/>
      <c r="AF229" s="19"/>
      <c r="AG229" s="19"/>
      <c r="AH229" s="19"/>
      <c r="AJ229" s="11">
        <v>39783</v>
      </c>
      <c r="AK229">
        <v>3109803.1</v>
      </c>
      <c r="AL229" s="26">
        <f t="shared" si="30"/>
        <v>0.61420075759780413</v>
      </c>
    </row>
    <row r="230" spans="1:38" x14ac:dyDescent="0.3">
      <c r="A230" s="11">
        <v>40179</v>
      </c>
      <c r="B230" s="18">
        <v>903896.84</v>
      </c>
      <c r="C230" s="18">
        <v>1354993.66</v>
      </c>
      <c r="D230" s="18">
        <v>2080549.36</v>
      </c>
      <c r="E230" s="11">
        <f t="shared" si="25"/>
        <v>40179</v>
      </c>
      <c r="F230" s="9">
        <f t="shared" si="27"/>
        <v>0.20537681819306841</v>
      </c>
      <c r="G230" s="9">
        <f t="shared" si="28"/>
        <v>0.13592268862271006</v>
      </c>
      <c r="H230" s="9">
        <f t="shared" si="29"/>
        <v>0.13587605754280929</v>
      </c>
      <c r="I230" s="11">
        <f t="shared" si="26"/>
        <v>40179</v>
      </c>
      <c r="O230" s="11">
        <v>41640</v>
      </c>
      <c r="P230" s="19" t="str" cm="1">
        <f t="array" ref="P230">IF(OR($O230&lt;P$387,$O230&gt;P$388),"",IFERROR(IF($O230=P$387,100,P229)*INDEX($B$2:$B$428,MATCH($O230,$A$2:$A$428,0))/INDEX($B$2:$B$428,MATCH($O230,$A$2:$A$428,0)-1),""))</f>
        <v/>
      </c>
      <c r="Q230" s="19" t="str" cm="1">
        <f t="array" ref="Q230">IF(OR($O230&lt;Q$387,$O230&gt;Q$388),"",IFERROR(IF($O230=Q$387,100,Q229)*INDEX($B$2:$B$428,MATCH($O230,$A$2:$A$428,0))/INDEX($B$2:$B$428,MATCH($O230,$A$2:$A$428,0)-1),""))</f>
        <v/>
      </c>
      <c r="R230" s="19" t="str" cm="1">
        <f t="array" ref="R230">IF(OR($O230&lt;R$387,$O230&gt;R$388),"",IFERROR(IF($O230=R$387,100,R229)*INDEX($B$2:$B$428,MATCH($O230,$A$2:$A$428,0))/INDEX($B$2:$B$428,MATCH($O230,$A$2:$A$428,0)-1),""))</f>
        <v/>
      </c>
      <c r="S230" s="19" t="str" cm="1">
        <f t="array" ref="S230">IF(OR($O230&lt;S$387,$O230&gt;S$388),"",IFERROR(IF($O230=S$387,100,S229)*INDEX($B$2:$B$428,MATCH($O230,$A$2:$A$428,0))/INDEX($B$2:$B$428,MATCH($O230,$A$2:$A$428,0)-1),""))</f>
        <v/>
      </c>
      <c r="T230" s="19" cm="1">
        <f t="array" ref="T230">IF(OR($O230&lt;T$387,$O230&gt;T$388),"",IFERROR(IF($O230=T$387,100,T229)*INDEX($B$2:$B$428,MATCH($O230,$A$2:$A$428,0))/INDEX($B$2:$B$428,MATCH($O230,$A$2:$A$428,0)-1),""))</f>
        <v>100.92811849582627</v>
      </c>
      <c r="U230" s="19" t="str" cm="1">
        <f t="array" ref="U230">IF(OR($O230&lt;U$387,$O230&gt;U$388),"",IFERROR(IF($O230=U$387,100,U229)*INDEX($B$2:$B$428,MATCH($O230,$A$2:$A$428,0))/INDEX($B$2:$B$428,MATCH($O230,$A$2:$A$428,0)-1),""))</f>
        <v/>
      </c>
      <c r="V230" s="19" t="str" cm="1">
        <f t="array" ref="V230">IF(OR($O230&lt;V$387,$O230&gt;V$388),"",IFERROR(IF($O230=V$387,100,V229)*INDEX($B$2:$B$428,MATCH($O230,$A$2:$A$428,0))/INDEX($B$2:$B$428,MATCH($O230,$A$2:$A$428,0)-1),""))</f>
        <v/>
      </c>
      <c r="W230" s="19" t="str" cm="1">
        <f t="array" ref="W230">IF(OR($O230&lt;W$387,$O230&gt;W$388),"",IFERROR(IF($O230=W$387,100,W229)*INDEX($B$2:$B$428,MATCH($O230,$A$2:$A$428,0))/INDEX($B$2:$B$428,MATCH($O230,$A$2:$A$428,0)-1),""))</f>
        <v/>
      </c>
      <c r="X230" s="19" t="str" cm="1">
        <f t="array" ref="X230">IF(OR($O230&lt;X$387,$O230&gt;X$388),"",IFERROR(IF($O230=X$387,100,X229)*INDEX($B$2:$B$428,MATCH($O230,$A$2:$A$428,0))/INDEX($B$2:$B$428,MATCH($O230,$A$2:$A$428,0)-1),""))</f>
        <v/>
      </c>
      <c r="AA230" s="19"/>
      <c r="AB230" s="19"/>
      <c r="AC230" s="19"/>
      <c r="AD230" s="19"/>
      <c r="AE230" s="19"/>
      <c r="AF230" s="19"/>
      <c r="AG230" s="19"/>
      <c r="AH230" s="19"/>
      <c r="AJ230" s="11">
        <v>39814</v>
      </c>
      <c r="AK230">
        <v>3121762.4</v>
      </c>
      <c r="AL230" s="26">
        <f t="shared" si="30"/>
        <v>0.58674207556603286</v>
      </c>
    </row>
    <row r="231" spans="1:38" x14ac:dyDescent="0.3">
      <c r="A231" s="11">
        <v>40210</v>
      </c>
      <c r="B231" s="18">
        <v>926827.67</v>
      </c>
      <c r="C231" s="18">
        <v>1380642.62</v>
      </c>
      <c r="D231" s="18">
        <v>2120137.88</v>
      </c>
      <c r="E231" s="11">
        <f t="shared" si="25"/>
        <v>40210</v>
      </c>
      <c r="F231" s="9">
        <f t="shared" si="27"/>
        <v>0.23293062305103041</v>
      </c>
      <c r="G231" s="9">
        <f t="shared" si="28"/>
        <v>0.15194947705227446</v>
      </c>
      <c r="H231" s="9">
        <f t="shared" si="29"/>
        <v>0.13651580018208143</v>
      </c>
      <c r="I231" s="11">
        <f t="shared" si="26"/>
        <v>40210</v>
      </c>
      <c r="O231" s="11">
        <v>41671</v>
      </c>
      <c r="P231" s="19" t="str" cm="1">
        <f t="array" ref="P231">IF(OR($O231&lt;P$387,$O231&gt;P$388),"",IFERROR(IF($O231=P$387,100,P230)*INDEX($B$2:$B$428,MATCH($O231,$A$2:$A$428,0))/INDEX($B$2:$B$428,MATCH($O231,$A$2:$A$428,0)-1),""))</f>
        <v/>
      </c>
      <c r="Q231" s="19" t="str" cm="1">
        <f t="array" ref="Q231">IF(OR($O231&lt;Q$387,$O231&gt;Q$388),"",IFERROR(IF($O231=Q$387,100,Q230)*INDEX($B$2:$B$428,MATCH($O231,$A$2:$A$428,0))/INDEX($B$2:$B$428,MATCH($O231,$A$2:$A$428,0)-1),""))</f>
        <v/>
      </c>
      <c r="R231" s="19" t="str" cm="1">
        <f t="array" ref="R231">IF(OR($O231&lt;R$387,$O231&gt;R$388),"",IFERROR(IF($O231=R$387,100,R230)*INDEX($B$2:$B$428,MATCH($O231,$A$2:$A$428,0))/INDEX($B$2:$B$428,MATCH($O231,$A$2:$A$428,0)-1),""))</f>
        <v/>
      </c>
      <c r="S231" s="19" t="str" cm="1">
        <f t="array" ref="S231">IF(OR($O231&lt;S$387,$O231&gt;S$388),"",IFERROR(IF($O231=S$387,100,S230)*INDEX($B$2:$B$428,MATCH($O231,$A$2:$A$428,0))/INDEX($B$2:$B$428,MATCH($O231,$A$2:$A$428,0)-1),""))</f>
        <v/>
      </c>
      <c r="T231" s="19" cm="1">
        <f t="array" ref="T231">IF(OR($O231&lt;T$387,$O231&gt;T$388),"",IFERROR(IF($O231=T$387,100,T230)*INDEX($B$2:$B$428,MATCH($O231,$A$2:$A$428,0))/INDEX($B$2:$B$428,MATCH($O231,$A$2:$A$428,0)-1),""))</f>
        <v>104.86898341669993</v>
      </c>
      <c r="U231" s="19" t="str" cm="1">
        <f t="array" ref="U231">IF(OR($O231&lt;U$387,$O231&gt;U$388),"",IFERROR(IF($O231=U$387,100,U230)*INDEX($B$2:$B$428,MATCH($O231,$A$2:$A$428,0))/INDEX($B$2:$B$428,MATCH($O231,$A$2:$A$428,0)-1),""))</f>
        <v/>
      </c>
      <c r="V231" s="19" t="str" cm="1">
        <f t="array" ref="V231">IF(OR($O231&lt;V$387,$O231&gt;V$388),"",IFERROR(IF($O231=V$387,100,V230)*INDEX($B$2:$B$428,MATCH($O231,$A$2:$A$428,0))/INDEX($B$2:$B$428,MATCH($O231,$A$2:$A$428,0)-1),""))</f>
        <v/>
      </c>
      <c r="W231" s="19" t="str" cm="1">
        <f t="array" ref="W231">IF(OR($O231&lt;W$387,$O231&gt;W$388),"",IFERROR(IF($O231=W$387,100,W230)*INDEX($B$2:$B$428,MATCH($O231,$A$2:$A$428,0))/INDEX($B$2:$B$428,MATCH($O231,$A$2:$A$428,0)-1),""))</f>
        <v/>
      </c>
      <c r="X231" s="19" t="str" cm="1">
        <f t="array" ref="X231">IF(OR($O231&lt;X$387,$O231&gt;X$388),"",IFERROR(IF($O231=X$387,100,X230)*INDEX($B$2:$B$428,MATCH($O231,$A$2:$A$428,0))/INDEX($B$2:$B$428,MATCH($O231,$A$2:$A$428,0)-1),""))</f>
        <v/>
      </c>
      <c r="AA231" s="19"/>
      <c r="AB231" s="19"/>
      <c r="AC231" s="19"/>
      <c r="AD231" s="19"/>
      <c r="AE231" s="19"/>
      <c r="AF231" s="19"/>
      <c r="AG231" s="19"/>
      <c r="AH231" s="19"/>
      <c r="AJ231" s="11">
        <v>39845</v>
      </c>
      <c r="AK231">
        <v>3132277.1</v>
      </c>
      <c r="AL231" s="26">
        <f t="shared" si="30"/>
        <v>0.59556401954348159</v>
      </c>
    </row>
    <row r="232" spans="1:38" x14ac:dyDescent="0.3">
      <c r="A232" s="11">
        <v>40238</v>
      </c>
      <c r="B232" s="18">
        <v>948069.64</v>
      </c>
      <c r="C232" s="18">
        <v>1399577.96</v>
      </c>
      <c r="D232" s="18">
        <v>2181507.2799999998</v>
      </c>
      <c r="E232" s="11">
        <f t="shared" si="25"/>
        <v>40238</v>
      </c>
      <c r="F232" s="9">
        <f t="shared" si="27"/>
        <v>0.24392586284588691</v>
      </c>
      <c r="G232" s="9">
        <f t="shared" si="28"/>
        <v>0.16959549684937558</v>
      </c>
      <c r="H232" s="9">
        <f t="shared" si="29"/>
        <v>0.14900721420325125</v>
      </c>
      <c r="I232" s="11">
        <f t="shared" si="26"/>
        <v>40238</v>
      </c>
      <c r="O232" s="11">
        <v>41699</v>
      </c>
      <c r="P232" s="19" t="str" cm="1">
        <f t="array" ref="P232">IF(OR($O232&lt;P$387,$O232&gt;P$388),"",IFERROR(IF($O232=P$387,100,P231)*INDEX($B$2:$B$428,MATCH($O232,$A$2:$A$428,0))/INDEX($B$2:$B$428,MATCH($O232,$A$2:$A$428,0)-1),""))</f>
        <v/>
      </c>
      <c r="Q232" s="19" t="str" cm="1">
        <f t="array" ref="Q232">IF(OR($O232&lt;Q$387,$O232&gt;Q$388),"",IFERROR(IF($O232=Q$387,100,Q231)*INDEX($B$2:$B$428,MATCH($O232,$A$2:$A$428,0))/INDEX($B$2:$B$428,MATCH($O232,$A$2:$A$428,0)-1),""))</f>
        <v/>
      </c>
      <c r="R232" s="19" t="str" cm="1">
        <f t="array" ref="R232">IF(OR($O232&lt;R$387,$O232&gt;R$388),"",IFERROR(IF($O232=R$387,100,R231)*INDEX($B$2:$B$428,MATCH($O232,$A$2:$A$428,0))/INDEX($B$2:$B$428,MATCH($O232,$A$2:$A$428,0)-1),""))</f>
        <v/>
      </c>
      <c r="S232" s="19" t="str" cm="1">
        <f t="array" ref="S232">IF(OR($O232&lt;S$387,$O232&gt;S$388),"",IFERROR(IF($O232=S$387,100,S231)*INDEX($B$2:$B$428,MATCH($O232,$A$2:$A$428,0))/INDEX($B$2:$B$428,MATCH($O232,$A$2:$A$428,0)-1),""))</f>
        <v/>
      </c>
      <c r="T232" s="19" cm="1">
        <f t="array" ref="T232">IF(OR($O232&lt;T$387,$O232&gt;T$388),"",IFERROR(IF($O232=T$387,100,T231)*INDEX($B$2:$B$428,MATCH($O232,$A$2:$A$428,0))/INDEX($B$2:$B$428,MATCH($O232,$A$2:$A$428,0)-1),""))</f>
        <v>107.98772147241407</v>
      </c>
      <c r="U232" s="19" t="str" cm="1">
        <f t="array" ref="U232">IF(OR($O232&lt;U$387,$O232&gt;U$388),"",IFERROR(IF($O232=U$387,100,U231)*INDEX($B$2:$B$428,MATCH($O232,$A$2:$A$428,0))/INDEX($B$2:$B$428,MATCH($O232,$A$2:$A$428,0)-1),""))</f>
        <v/>
      </c>
      <c r="V232" s="19" t="str" cm="1">
        <f t="array" ref="V232">IF(OR($O232&lt;V$387,$O232&gt;V$388),"",IFERROR(IF($O232=V$387,100,V231)*INDEX($B$2:$B$428,MATCH($O232,$A$2:$A$428,0))/INDEX($B$2:$B$428,MATCH($O232,$A$2:$A$428,0)-1),""))</f>
        <v/>
      </c>
      <c r="W232" s="19" t="str" cm="1">
        <f t="array" ref="W232">IF(OR($O232&lt;W$387,$O232&gt;W$388),"",IFERROR(IF($O232=W$387,100,W231)*INDEX($B$2:$B$428,MATCH($O232,$A$2:$A$428,0))/INDEX($B$2:$B$428,MATCH($O232,$A$2:$A$428,0)-1),""))</f>
        <v/>
      </c>
      <c r="X232" s="19" t="str" cm="1">
        <f t="array" ref="X232">IF(OR($O232&lt;X$387,$O232&gt;X$388),"",IFERROR(IF($O232=X$387,100,X231)*INDEX($B$2:$B$428,MATCH($O232,$A$2:$A$428,0))/INDEX($B$2:$B$428,MATCH($O232,$A$2:$A$428,0)-1),""))</f>
        <v/>
      </c>
      <c r="AA232" s="19"/>
      <c r="AB232" s="19"/>
      <c r="AC232" s="19"/>
      <c r="AD232" s="19"/>
      <c r="AE232" s="19"/>
      <c r="AF232" s="19"/>
      <c r="AG232" s="19"/>
      <c r="AH232" s="19"/>
      <c r="AJ232" s="11">
        <v>39873</v>
      </c>
      <c r="AK232">
        <v>3153874.9</v>
      </c>
      <c r="AL232" s="26">
        <f t="shared" si="30"/>
        <v>0.60199023746946967</v>
      </c>
    </row>
    <row r="233" spans="1:38" x14ac:dyDescent="0.3">
      <c r="A233" s="11">
        <v>40269</v>
      </c>
      <c r="B233" s="18">
        <v>951442.44</v>
      </c>
      <c r="C233" s="18">
        <v>1405027.69</v>
      </c>
      <c r="D233" s="18">
        <v>2267228.1800000002</v>
      </c>
      <c r="E233" s="11">
        <f t="shared" si="25"/>
        <v>40269</v>
      </c>
      <c r="F233" s="9">
        <f t="shared" si="27"/>
        <v>0.20576771775334302</v>
      </c>
      <c r="G233" s="9">
        <f t="shared" si="28"/>
        <v>0.15390395340809992</v>
      </c>
      <c r="H233" s="9">
        <f t="shared" si="29"/>
        <v>0.20912886062934932</v>
      </c>
      <c r="I233" s="11">
        <f t="shared" si="26"/>
        <v>40269</v>
      </c>
      <c r="O233" s="11">
        <v>41730</v>
      </c>
      <c r="P233" s="19" t="str" cm="1">
        <f t="array" ref="P233">IF(OR($O233&lt;P$387,$O233&gt;P$388),"",IFERROR(IF($O233=P$387,100,P232)*INDEX($B$2:$B$428,MATCH($O233,$A$2:$A$428,0))/INDEX($B$2:$B$428,MATCH($O233,$A$2:$A$428,0)-1),""))</f>
        <v/>
      </c>
      <c r="Q233" s="19" t="str" cm="1">
        <f t="array" ref="Q233">IF(OR($O233&lt;Q$387,$O233&gt;Q$388),"",IFERROR(IF($O233=Q$387,100,Q232)*INDEX($B$2:$B$428,MATCH($O233,$A$2:$A$428,0))/INDEX($B$2:$B$428,MATCH($O233,$A$2:$A$428,0)-1),""))</f>
        <v/>
      </c>
      <c r="R233" s="19" t="str" cm="1">
        <f t="array" ref="R233">IF(OR($O233&lt;R$387,$O233&gt;R$388),"",IFERROR(IF($O233=R$387,100,R232)*INDEX($B$2:$B$428,MATCH($O233,$A$2:$A$428,0))/INDEX($B$2:$B$428,MATCH($O233,$A$2:$A$428,0)-1),""))</f>
        <v/>
      </c>
      <c r="S233" s="19" t="str" cm="1">
        <f t="array" ref="S233">IF(OR($O233&lt;S$387,$O233&gt;S$388),"",IFERROR(IF($O233=S$387,100,S232)*INDEX($B$2:$B$428,MATCH($O233,$A$2:$A$428,0))/INDEX($B$2:$B$428,MATCH($O233,$A$2:$A$428,0)-1),""))</f>
        <v/>
      </c>
      <c r="T233" s="19" cm="1">
        <f t="array" ref="T233">IF(OR($O233&lt;T$387,$O233&gt;T$388),"",IFERROR(IF($O233=T$387,100,T232)*INDEX($B$2:$B$428,MATCH($O233,$A$2:$A$428,0))/INDEX($B$2:$B$428,MATCH($O233,$A$2:$A$428,0)-1),""))</f>
        <v>108.01925425723063</v>
      </c>
      <c r="U233" s="19" t="str" cm="1">
        <f t="array" ref="U233">IF(OR($O233&lt;U$387,$O233&gt;U$388),"",IFERROR(IF($O233=U$387,100,U232)*INDEX($B$2:$B$428,MATCH($O233,$A$2:$A$428,0))/INDEX($B$2:$B$428,MATCH($O233,$A$2:$A$428,0)-1),""))</f>
        <v/>
      </c>
      <c r="V233" s="19" t="str" cm="1">
        <f t="array" ref="V233">IF(OR($O233&lt;V$387,$O233&gt;V$388),"",IFERROR(IF($O233=V$387,100,V232)*INDEX($B$2:$B$428,MATCH($O233,$A$2:$A$428,0))/INDEX($B$2:$B$428,MATCH($O233,$A$2:$A$428,0)-1),""))</f>
        <v/>
      </c>
      <c r="W233" s="19" t="str" cm="1">
        <f t="array" ref="W233">IF(OR($O233&lt;W$387,$O233&gt;W$388),"",IFERROR(IF($O233=W$387,100,W232)*INDEX($B$2:$B$428,MATCH($O233,$A$2:$A$428,0))/INDEX($B$2:$B$428,MATCH($O233,$A$2:$A$428,0)-1),""))</f>
        <v/>
      </c>
      <c r="X233" s="19" t="str" cm="1">
        <f t="array" ref="X233">IF(OR($O233&lt;X$387,$O233&gt;X$388),"",IFERROR(IF($O233=X$387,100,X232)*INDEX($B$2:$B$428,MATCH($O233,$A$2:$A$428,0))/INDEX($B$2:$B$428,MATCH($O233,$A$2:$A$428,0)-1),""))</f>
        <v/>
      </c>
      <c r="AA233" s="19"/>
      <c r="AB233" s="19"/>
      <c r="AC233" s="19"/>
      <c r="AD233" s="19"/>
      <c r="AE233" s="19"/>
      <c r="AF233" s="19"/>
      <c r="AG233" s="19"/>
      <c r="AH233" s="19"/>
      <c r="AJ233" s="11">
        <v>39904</v>
      </c>
      <c r="AK233">
        <v>3164115.4</v>
      </c>
      <c r="AL233" s="26">
        <f t="shared" si="30"/>
        <v>0.59261184658435662</v>
      </c>
    </row>
    <row r="234" spans="1:38" x14ac:dyDescent="0.3">
      <c r="A234" s="11">
        <v>40299</v>
      </c>
      <c r="B234" s="18">
        <v>948538.76</v>
      </c>
      <c r="C234" s="18">
        <v>1407973.82</v>
      </c>
      <c r="D234" s="18">
        <v>2310399.87</v>
      </c>
      <c r="E234" s="11">
        <f t="shared" si="25"/>
        <v>40299</v>
      </c>
      <c r="F234" s="9">
        <f t="shared" si="27"/>
        <v>0.14353359382972797</v>
      </c>
      <c r="G234" s="9">
        <f t="shared" si="28"/>
        <v>0.12161838713407125</v>
      </c>
      <c r="H234" s="9">
        <f t="shared" si="29"/>
        <v>0.22990616992919932</v>
      </c>
      <c r="I234" s="11">
        <f t="shared" si="26"/>
        <v>40299</v>
      </c>
      <c r="O234" s="11">
        <v>41760</v>
      </c>
      <c r="P234" s="19" t="str" cm="1">
        <f t="array" ref="P234">IF(OR($O234&lt;P$387,$O234&gt;P$388),"",IFERROR(IF($O234=P$387,100,P233)*INDEX($B$2:$B$428,MATCH($O234,$A$2:$A$428,0))/INDEX($B$2:$B$428,MATCH($O234,$A$2:$A$428,0)-1),""))</f>
        <v/>
      </c>
      <c r="Q234" s="19" t="str" cm="1">
        <f t="array" ref="Q234">IF(OR($O234&lt;Q$387,$O234&gt;Q$388),"",IFERROR(IF($O234=Q$387,100,Q233)*INDEX($B$2:$B$428,MATCH($O234,$A$2:$A$428,0))/INDEX($B$2:$B$428,MATCH($O234,$A$2:$A$428,0)-1),""))</f>
        <v/>
      </c>
      <c r="R234" s="19" t="str" cm="1">
        <f t="array" ref="R234">IF(OR($O234&lt;R$387,$O234&gt;R$388),"",IFERROR(IF($O234=R$387,100,R233)*INDEX($B$2:$B$428,MATCH($O234,$A$2:$A$428,0))/INDEX($B$2:$B$428,MATCH($O234,$A$2:$A$428,0)-1),""))</f>
        <v/>
      </c>
      <c r="S234" s="19" t="str" cm="1">
        <f t="array" ref="S234">IF(OR($O234&lt;S$387,$O234&gt;S$388),"",IFERROR(IF($O234=S$387,100,S233)*INDEX($B$2:$B$428,MATCH($O234,$A$2:$A$428,0))/INDEX($B$2:$B$428,MATCH($O234,$A$2:$A$428,0)-1),""))</f>
        <v/>
      </c>
      <c r="T234" s="19" cm="1">
        <f t="array" ref="T234">IF(OR($O234&lt;T$387,$O234&gt;T$388),"",IFERROR(IF($O234=T$387,100,T233)*INDEX($B$2:$B$428,MATCH($O234,$A$2:$A$428,0))/INDEX($B$2:$B$428,MATCH($O234,$A$2:$A$428,0)-1),""))</f>
        <v>110.44265285414556</v>
      </c>
      <c r="U234" s="19" t="str" cm="1">
        <f t="array" ref="U234">IF(OR($O234&lt;U$387,$O234&gt;U$388),"",IFERROR(IF($O234=U$387,100,U233)*INDEX($B$2:$B$428,MATCH($O234,$A$2:$A$428,0))/INDEX($B$2:$B$428,MATCH($O234,$A$2:$A$428,0)-1),""))</f>
        <v/>
      </c>
      <c r="V234" s="19" t="str" cm="1">
        <f t="array" ref="V234">IF(OR($O234&lt;V$387,$O234&gt;V$388),"",IFERROR(IF($O234=V$387,100,V233)*INDEX($B$2:$B$428,MATCH($O234,$A$2:$A$428,0))/INDEX($B$2:$B$428,MATCH($O234,$A$2:$A$428,0)-1),""))</f>
        <v/>
      </c>
      <c r="W234" s="19" t="str" cm="1">
        <f t="array" ref="W234">IF(OR($O234&lt;W$387,$O234&gt;W$388),"",IFERROR(IF($O234=W$387,100,W233)*INDEX($B$2:$B$428,MATCH($O234,$A$2:$A$428,0))/INDEX($B$2:$B$428,MATCH($O234,$A$2:$A$428,0)-1),""))</f>
        <v/>
      </c>
      <c r="X234" s="19" t="str" cm="1">
        <f t="array" ref="X234">IF(OR($O234&lt;X$387,$O234&gt;X$388),"",IFERROR(IF($O234=X$387,100,X233)*INDEX($B$2:$B$428,MATCH($O234,$A$2:$A$428,0))/INDEX($B$2:$B$428,MATCH($O234,$A$2:$A$428,0)-1),""))</f>
        <v/>
      </c>
      <c r="AA234" s="19"/>
      <c r="AB234" s="19"/>
      <c r="AC234" s="19"/>
      <c r="AD234" s="19"/>
      <c r="AE234" s="19"/>
      <c r="AF234" s="19"/>
      <c r="AG234" s="19"/>
      <c r="AH234" s="19"/>
      <c r="AJ234" s="11">
        <v>39934</v>
      </c>
      <c r="AK234">
        <v>3177102.5</v>
      </c>
      <c r="AL234" s="26">
        <f t="shared" si="30"/>
        <v>0.59126741425559926</v>
      </c>
    </row>
    <row r="235" spans="1:38" x14ac:dyDescent="0.3">
      <c r="A235" s="11">
        <v>40330</v>
      </c>
      <c r="B235" s="18">
        <v>956157.06</v>
      </c>
      <c r="C235" s="18">
        <v>1423889.35</v>
      </c>
      <c r="D235" s="18">
        <v>2311510.54</v>
      </c>
      <c r="E235" s="11">
        <f t="shared" si="25"/>
        <v>40330</v>
      </c>
      <c r="F235" s="9">
        <f t="shared" si="27"/>
        <v>0.13038345801862028</v>
      </c>
      <c r="G235" s="9">
        <f t="shared" si="28"/>
        <v>0.11948971800480712</v>
      </c>
      <c r="H235" s="9">
        <f t="shared" si="29"/>
        <v>0.186416039187695</v>
      </c>
      <c r="I235" s="11">
        <f t="shared" si="26"/>
        <v>40330</v>
      </c>
      <c r="O235" s="11">
        <v>41791</v>
      </c>
      <c r="P235" s="19" t="str" cm="1">
        <f t="array" ref="P235">IF(OR($O235&lt;P$387,$O235&gt;P$388),"",IFERROR(IF($O235=P$387,100,P234)*INDEX($B$2:$B$428,MATCH($O235,$A$2:$A$428,0))/INDEX($B$2:$B$428,MATCH($O235,$A$2:$A$428,0)-1),""))</f>
        <v/>
      </c>
      <c r="Q235" s="19" t="str" cm="1">
        <f t="array" ref="Q235">IF(OR($O235&lt;Q$387,$O235&gt;Q$388),"",IFERROR(IF($O235=Q$387,100,Q234)*INDEX($B$2:$B$428,MATCH($O235,$A$2:$A$428,0))/INDEX($B$2:$B$428,MATCH($O235,$A$2:$A$428,0)-1),""))</f>
        <v/>
      </c>
      <c r="R235" s="19" t="str" cm="1">
        <f t="array" ref="R235">IF(OR($O235&lt;R$387,$O235&gt;R$388),"",IFERROR(IF($O235=R$387,100,R234)*INDEX($B$2:$B$428,MATCH($O235,$A$2:$A$428,0))/INDEX($B$2:$B$428,MATCH($O235,$A$2:$A$428,0)-1),""))</f>
        <v/>
      </c>
      <c r="S235" s="19" t="str" cm="1">
        <f t="array" ref="S235">IF(OR($O235&lt;S$387,$O235&gt;S$388),"",IFERROR(IF($O235=S$387,100,S234)*INDEX($B$2:$B$428,MATCH($O235,$A$2:$A$428,0))/INDEX($B$2:$B$428,MATCH($O235,$A$2:$A$428,0)-1),""))</f>
        <v/>
      </c>
      <c r="T235" s="19" cm="1">
        <f t="array" ref="T235">IF(OR($O235&lt;T$387,$O235&gt;T$388),"",IFERROR(IF($O235=T$387,100,T234)*INDEX($B$2:$B$428,MATCH($O235,$A$2:$A$428,0))/INDEX($B$2:$B$428,MATCH($O235,$A$2:$A$428,0)-1),""))</f>
        <v>113.5016456321909</v>
      </c>
      <c r="U235" s="19" t="str" cm="1">
        <f t="array" ref="U235">IF(OR($O235&lt;U$387,$O235&gt;U$388),"",IFERROR(IF($O235=U$387,100,U234)*INDEX($B$2:$B$428,MATCH($O235,$A$2:$A$428,0))/INDEX($B$2:$B$428,MATCH($O235,$A$2:$A$428,0)-1),""))</f>
        <v/>
      </c>
      <c r="V235" s="19" t="str" cm="1">
        <f t="array" ref="V235">IF(OR($O235&lt;V$387,$O235&gt;V$388),"",IFERROR(IF($O235=V$387,100,V234)*INDEX($B$2:$B$428,MATCH($O235,$A$2:$A$428,0))/INDEX($B$2:$B$428,MATCH($O235,$A$2:$A$428,0)-1),""))</f>
        <v/>
      </c>
      <c r="W235" s="19" t="str" cm="1">
        <f t="array" ref="W235">IF(OR($O235&lt;W$387,$O235&gt;W$388),"",IFERROR(IF($O235=W$387,100,W234)*INDEX($B$2:$B$428,MATCH($O235,$A$2:$A$428,0))/INDEX($B$2:$B$428,MATCH($O235,$A$2:$A$428,0)-1),""))</f>
        <v/>
      </c>
      <c r="X235" s="19" t="str" cm="1">
        <f t="array" ref="X235">IF(OR($O235&lt;X$387,$O235&gt;X$388),"",IFERROR(IF($O235=X$387,100,X234)*INDEX($B$2:$B$428,MATCH($O235,$A$2:$A$428,0))/INDEX($B$2:$B$428,MATCH($O235,$A$2:$A$428,0)-1),""))</f>
        <v/>
      </c>
      <c r="AA235" s="19"/>
      <c r="AB235" s="19"/>
      <c r="AC235" s="19"/>
      <c r="AD235" s="19"/>
      <c r="AE235" s="19"/>
      <c r="AF235" s="19"/>
      <c r="AG235" s="19"/>
      <c r="AH235" s="19"/>
      <c r="AJ235" s="11">
        <v>39965</v>
      </c>
      <c r="AK235">
        <v>3187927.3</v>
      </c>
      <c r="AL235" s="26">
        <f t="shared" si="30"/>
        <v>0.61115372047536964</v>
      </c>
    </row>
    <row r="236" spans="1:38" x14ac:dyDescent="0.3">
      <c r="A236" s="11">
        <v>40360</v>
      </c>
      <c r="B236" s="18">
        <v>976425.16</v>
      </c>
      <c r="C236" s="18">
        <v>1446566.97</v>
      </c>
      <c r="D236" s="18">
        <v>2301014.9</v>
      </c>
      <c r="E236" s="11">
        <f t="shared" si="25"/>
        <v>40360</v>
      </c>
      <c r="F236" s="9">
        <f t="shared" si="27"/>
        <v>0.12039064045370473</v>
      </c>
      <c r="G236" s="9">
        <f t="shared" si="28"/>
        <v>0.10456582165324635</v>
      </c>
      <c r="H236" s="9">
        <f t="shared" si="29"/>
        <v>0.17150884897628371</v>
      </c>
      <c r="I236" s="11">
        <f t="shared" si="26"/>
        <v>40360</v>
      </c>
      <c r="O236" s="11">
        <v>41821</v>
      </c>
      <c r="P236" s="19" t="str" cm="1">
        <f t="array" ref="P236">IF(OR($O236&lt;P$387,$O236&gt;P$388),"",IFERROR(IF($O236=P$387,100,P235)*INDEX($B$2:$B$428,MATCH($O236,$A$2:$A$428,0))/INDEX($B$2:$B$428,MATCH($O236,$A$2:$A$428,0)-1),""))</f>
        <v/>
      </c>
      <c r="Q236" s="19" t="str" cm="1">
        <f t="array" ref="Q236">IF(OR($O236&lt;Q$387,$O236&gt;Q$388),"",IFERROR(IF($O236=Q$387,100,Q235)*INDEX($B$2:$B$428,MATCH($O236,$A$2:$A$428,0))/INDEX($B$2:$B$428,MATCH($O236,$A$2:$A$428,0)-1),""))</f>
        <v/>
      </c>
      <c r="R236" s="19" t="str" cm="1">
        <f t="array" ref="R236">IF(OR($O236&lt;R$387,$O236&gt;R$388),"",IFERROR(IF($O236=R$387,100,R235)*INDEX($B$2:$B$428,MATCH($O236,$A$2:$A$428,0))/INDEX($B$2:$B$428,MATCH($O236,$A$2:$A$428,0)-1),""))</f>
        <v/>
      </c>
      <c r="S236" s="19" t="str" cm="1">
        <f t="array" ref="S236">IF(OR($O236&lt;S$387,$O236&gt;S$388),"",IFERROR(IF($O236=S$387,100,S235)*INDEX($B$2:$B$428,MATCH($O236,$A$2:$A$428,0))/INDEX($B$2:$B$428,MATCH($O236,$A$2:$A$428,0)-1),""))</f>
        <v/>
      </c>
      <c r="T236" s="19" cm="1">
        <f t="array" ref="T236">IF(OR($O236&lt;T$387,$O236&gt;T$388),"",IFERROR(IF($O236=T$387,100,T235)*INDEX($B$2:$B$428,MATCH($O236,$A$2:$A$428,0))/INDEX($B$2:$B$428,MATCH($O236,$A$2:$A$428,0)-1),""))</f>
        <v>114.80187256475715</v>
      </c>
      <c r="U236" s="19" t="str" cm="1">
        <f t="array" ref="U236">IF(OR($O236&lt;U$387,$O236&gt;U$388),"",IFERROR(IF($O236=U$387,100,U235)*INDEX($B$2:$B$428,MATCH($O236,$A$2:$A$428,0))/INDEX($B$2:$B$428,MATCH($O236,$A$2:$A$428,0)-1),""))</f>
        <v/>
      </c>
      <c r="V236" s="19" t="str" cm="1">
        <f t="array" ref="V236">IF(OR($O236&lt;V$387,$O236&gt;V$388),"",IFERROR(IF($O236=V$387,100,V235)*INDEX($B$2:$B$428,MATCH($O236,$A$2:$A$428,0))/INDEX($B$2:$B$428,MATCH($O236,$A$2:$A$428,0)-1),""))</f>
        <v/>
      </c>
      <c r="W236" s="19" t="str" cm="1">
        <f t="array" ref="W236">IF(OR($O236&lt;W$387,$O236&gt;W$388),"",IFERROR(IF($O236=W$387,100,W235)*INDEX($B$2:$B$428,MATCH($O236,$A$2:$A$428,0))/INDEX($B$2:$B$428,MATCH($O236,$A$2:$A$428,0)-1),""))</f>
        <v/>
      </c>
      <c r="X236" s="19" t="str" cm="1">
        <f t="array" ref="X236">IF(OR($O236&lt;X$387,$O236&gt;X$388),"",IFERROR(IF($O236=X$387,100,X235)*INDEX($B$2:$B$428,MATCH($O236,$A$2:$A$428,0))/INDEX($B$2:$B$428,MATCH($O236,$A$2:$A$428,0)-1),""))</f>
        <v/>
      </c>
      <c r="AA236" s="19"/>
      <c r="AB236" s="19"/>
      <c r="AC236" s="19"/>
      <c r="AD236" s="19"/>
      <c r="AE236" s="19"/>
      <c r="AF236" s="19"/>
      <c r="AG236" s="19"/>
      <c r="AH236" s="19"/>
      <c r="AJ236" s="11">
        <v>39995</v>
      </c>
      <c r="AK236">
        <v>3198090.6</v>
      </c>
      <c r="AL236" s="26">
        <f t="shared" si="30"/>
        <v>0.61416221604228471</v>
      </c>
    </row>
    <row r="237" spans="1:38" x14ac:dyDescent="0.3">
      <c r="A237" s="11">
        <v>40391</v>
      </c>
      <c r="B237" s="18">
        <v>985808.53</v>
      </c>
      <c r="C237" s="18">
        <v>1459448.53</v>
      </c>
      <c r="D237" s="18">
        <v>2313036.14</v>
      </c>
      <c r="E237" s="11">
        <f t="shared" si="25"/>
        <v>40391</v>
      </c>
      <c r="F237" s="9">
        <f t="shared" si="27"/>
        <v>0.12256810614606084</v>
      </c>
      <c r="G237" s="9">
        <f t="shared" si="28"/>
        <v>0.10943056458628231</v>
      </c>
      <c r="H237" s="9">
        <f t="shared" si="29"/>
        <v>0.14357406381125659</v>
      </c>
      <c r="I237" s="11">
        <f t="shared" si="26"/>
        <v>40391</v>
      </c>
      <c r="O237" s="11">
        <v>41852</v>
      </c>
      <c r="P237" s="19" t="str" cm="1">
        <f t="array" ref="P237">IF(OR($O237&lt;P$387,$O237&gt;P$388),"",IFERROR(IF($O237=P$387,100,P236)*INDEX($B$2:$B$428,MATCH($O237,$A$2:$A$428,0))/INDEX($B$2:$B$428,MATCH($O237,$A$2:$A$428,0)-1),""))</f>
        <v/>
      </c>
      <c r="Q237" s="19" t="str" cm="1">
        <f t="array" ref="Q237">IF(OR($O237&lt;Q$387,$O237&gt;Q$388),"",IFERROR(IF($O237=Q$387,100,Q236)*INDEX($B$2:$B$428,MATCH($O237,$A$2:$A$428,0))/INDEX($B$2:$B$428,MATCH($O237,$A$2:$A$428,0)-1),""))</f>
        <v/>
      </c>
      <c r="R237" s="19" t="str" cm="1">
        <f t="array" ref="R237">IF(OR($O237&lt;R$387,$O237&gt;R$388),"",IFERROR(IF($O237=R$387,100,R236)*INDEX($B$2:$B$428,MATCH($O237,$A$2:$A$428,0))/INDEX($B$2:$B$428,MATCH($O237,$A$2:$A$428,0)-1),""))</f>
        <v/>
      </c>
      <c r="S237" s="19" t="str" cm="1">
        <f t="array" ref="S237">IF(OR($O237&lt;S$387,$O237&gt;S$388),"",IFERROR(IF($O237=S$387,100,S236)*INDEX($B$2:$B$428,MATCH($O237,$A$2:$A$428,0))/INDEX($B$2:$B$428,MATCH($O237,$A$2:$A$428,0)-1),""))</f>
        <v/>
      </c>
      <c r="T237" s="19" cm="1">
        <f t="array" ref="T237">IF(OR($O237&lt;T$387,$O237&gt;T$388),"",IFERROR(IF($O237=T$387,100,T236)*INDEX($B$2:$B$428,MATCH($O237,$A$2:$A$428,0))/INDEX($B$2:$B$428,MATCH($O237,$A$2:$A$428,0)-1),""))</f>
        <v>118.55355176446051</v>
      </c>
      <c r="U237" s="19" t="str" cm="1">
        <f t="array" ref="U237">IF(OR($O237&lt;U$387,$O237&gt;U$388),"",IFERROR(IF($O237=U$387,100,U236)*INDEX($B$2:$B$428,MATCH($O237,$A$2:$A$428,0))/INDEX($B$2:$B$428,MATCH($O237,$A$2:$A$428,0)-1),""))</f>
        <v/>
      </c>
      <c r="V237" s="19" t="str" cm="1">
        <f t="array" ref="V237">IF(OR($O237&lt;V$387,$O237&gt;V$388),"",IFERROR(IF($O237=V$387,100,V236)*INDEX($B$2:$B$428,MATCH($O237,$A$2:$A$428,0))/INDEX($B$2:$B$428,MATCH($O237,$A$2:$A$428,0)-1),""))</f>
        <v/>
      </c>
      <c r="W237" s="19" t="str" cm="1">
        <f t="array" ref="W237">IF(OR($O237&lt;W$387,$O237&gt;W$388),"",IFERROR(IF($O237=W$387,100,W236)*INDEX($B$2:$B$428,MATCH($O237,$A$2:$A$428,0))/INDEX($B$2:$B$428,MATCH($O237,$A$2:$A$428,0)-1),""))</f>
        <v/>
      </c>
      <c r="X237" s="19" t="str" cm="1">
        <f t="array" ref="X237">IF(OR($O237&lt;X$387,$O237&gt;X$388),"",IFERROR(IF($O237=X$387,100,X236)*INDEX($B$2:$B$428,MATCH($O237,$A$2:$A$428,0))/INDEX($B$2:$B$428,MATCH($O237,$A$2:$A$428,0)-1),""))</f>
        <v/>
      </c>
      <c r="AA237" s="19"/>
      <c r="AB237" s="19"/>
      <c r="AC237" s="19"/>
      <c r="AD237" s="19"/>
      <c r="AE237" s="19"/>
      <c r="AF237" s="19"/>
      <c r="AG237" s="19"/>
      <c r="AH237" s="19"/>
      <c r="AJ237" s="11">
        <v>40026</v>
      </c>
      <c r="AK237">
        <v>3212059.3</v>
      </c>
      <c r="AL237" s="26">
        <f t="shared" si="30"/>
        <v>0.62970126672318916</v>
      </c>
    </row>
    <row r="238" spans="1:38" x14ac:dyDescent="0.3">
      <c r="A238" s="11">
        <v>40422</v>
      </c>
      <c r="B238" s="18">
        <v>980783.76</v>
      </c>
      <c r="C238" s="18">
        <v>1448230.71</v>
      </c>
      <c r="D238" s="18">
        <v>2336414.0099999998</v>
      </c>
      <c r="E238" s="11">
        <f t="shared" si="25"/>
        <v>40422</v>
      </c>
      <c r="F238" s="9">
        <f t="shared" si="27"/>
        <v>7.0517046683589601E-2</v>
      </c>
      <c r="G238" s="9">
        <f t="shared" si="28"/>
        <v>7.079270680970251E-2</v>
      </c>
      <c r="H238" s="9">
        <f t="shared" si="29"/>
        <v>0.14680173839454413</v>
      </c>
      <c r="I238" s="11">
        <f t="shared" si="26"/>
        <v>40422</v>
      </c>
      <c r="O238" s="11">
        <v>41883</v>
      </c>
      <c r="P238" s="19" t="str" cm="1">
        <f t="array" ref="P238">IF(OR($O238&lt;P$387,$O238&gt;P$388),"",IFERROR(IF($O238=P$387,100,P237)*INDEX($B$2:$B$428,MATCH($O238,$A$2:$A$428,0))/INDEX($B$2:$B$428,MATCH($O238,$A$2:$A$428,0)-1),""))</f>
        <v/>
      </c>
      <c r="Q238" s="19" t="str" cm="1">
        <f t="array" ref="Q238">IF(OR($O238&lt;Q$387,$O238&gt;Q$388),"",IFERROR(IF($O238=Q$387,100,Q237)*INDEX($B$2:$B$428,MATCH($O238,$A$2:$A$428,0))/INDEX($B$2:$B$428,MATCH($O238,$A$2:$A$428,0)-1),""))</f>
        <v/>
      </c>
      <c r="R238" s="19" t="str" cm="1">
        <f t="array" ref="R238">IF(OR($O238&lt;R$387,$O238&gt;R$388),"",IFERROR(IF($O238=R$387,100,R237)*INDEX($B$2:$B$428,MATCH($O238,$A$2:$A$428,0))/INDEX($B$2:$B$428,MATCH($O238,$A$2:$A$428,0)-1),""))</f>
        <v/>
      </c>
      <c r="S238" s="19" t="str" cm="1">
        <f t="array" ref="S238">IF(OR($O238&lt;S$387,$O238&gt;S$388),"",IFERROR(IF($O238=S$387,100,S237)*INDEX($B$2:$B$428,MATCH($O238,$A$2:$A$428,0))/INDEX($B$2:$B$428,MATCH($O238,$A$2:$A$428,0)-1),""))</f>
        <v/>
      </c>
      <c r="T238" s="19" cm="1">
        <f t="array" ref="T238">IF(OR($O238&lt;T$387,$O238&gt;T$388),"",IFERROR(IF($O238=T$387,100,T237)*INDEX($B$2:$B$428,MATCH($O238,$A$2:$A$428,0))/INDEX($B$2:$B$428,MATCH($O238,$A$2:$A$428,0)-1),""))</f>
        <v>118.11271608093514</v>
      </c>
      <c r="U238" s="19" t="str" cm="1">
        <f t="array" ref="U238">IF(OR($O238&lt;U$387,$O238&gt;U$388),"",IFERROR(IF($O238=U$387,100,U237)*INDEX($B$2:$B$428,MATCH($O238,$A$2:$A$428,0))/INDEX($B$2:$B$428,MATCH($O238,$A$2:$A$428,0)-1),""))</f>
        <v/>
      </c>
      <c r="V238" s="19" t="str" cm="1">
        <f t="array" ref="V238">IF(OR($O238&lt;V$387,$O238&gt;V$388),"",IFERROR(IF($O238=V$387,100,V237)*INDEX($B$2:$B$428,MATCH($O238,$A$2:$A$428,0))/INDEX($B$2:$B$428,MATCH($O238,$A$2:$A$428,0)-1),""))</f>
        <v/>
      </c>
      <c r="W238" s="19" t="str" cm="1">
        <f t="array" ref="W238">IF(OR($O238&lt;W$387,$O238&gt;W$388),"",IFERROR(IF($O238=W$387,100,W237)*INDEX($B$2:$B$428,MATCH($O238,$A$2:$A$428,0))/INDEX($B$2:$B$428,MATCH($O238,$A$2:$A$428,0)-1),""))</f>
        <v/>
      </c>
      <c r="X238" s="19" t="str" cm="1">
        <f t="array" ref="X238">IF(OR($O238&lt;X$387,$O238&gt;X$388),"",IFERROR(IF($O238=X$387,100,X237)*INDEX($B$2:$B$428,MATCH($O238,$A$2:$A$428,0))/INDEX($B$2:$B$428,MATCH($O238,$A$2:$A$428,0)-1),""))</f>
        <v/>
      </c>
      <c r="AA238" s="19"/>
      <c r="AB238" s="19"/>
      <c r="AC238" s="19"/>
      <c r="AD238" s="19"/>
      <c r="AE238" s="19"/>
      <c r="AF238" s="19"/>
      <c r="AG238" s="19"/>
      <c r="AH238" s="19"/>
      <c r="AJ238" s="11">
        <v>40057</v>
      </c>
      <c r="AK238">
        <v>3228167.9</v>
      </c>
      <c r="AL238" s="26">
        <f t="shared" si="30"/>
        <v>0.63111041095477105</v>
      </c>
    </row>
    <row r="239" spans="1:38" x14ac:dyDescent="0.3">
      <c r="A239" s="11">
        <v>40452</v>
      </c>
      <c r="B239" s="18">
        <v>979357.14</v>
      </c>
      <c r="C239" s="18">
        <v>1452759.58</v>
      </c>
      <c r="D239" s="18">
        <v>2361159.5099999998</v>
      </c>
      <c r="E239" s="11">
        <f t="shared" si="25"/>
        <v>40452</v>
      </c>
      <c r="F239" s="9">
        <f t="shared" si="27"/>
        <v>6.2921360021489514E-2</v>
      </c>
      <c r="G239" s="9">
        <f t="shared" si="28"/>
        <v>6.8918290519002001E-2</v>
      </c>
      <c r="H239" s="9">
        <f t="shared" si="29"/>
        <v>0.15818251461402744</v>
      </c>
      <c r="I239" s="11">
        <f t="shared" si="26"/>
        <v>40452</v>
      </c>
      <c r="O239" s="11">
        <v>41913</v>
      </c>
      <c r="P239" s="19" t="str" cm="1">
        <f t="array" ref="P239">IF(OR($O239&lt;P$387,$O239&gt;P$388),"",IFERROR(IF($O239=P$387,100,P238)*INDEX($B$2:$B$428,MATCH($O239,$A$2:$A$428,0))/INDEX($B$2:$B$428,MATCH($O239,$A$2:$A$428,0)-1),""))</f>
        <v/>
      </c>
      <c r="Q239" s="19" t="str" cm="1">
        <f t="array" ref="Q239">IF(OR($O239&lt;Q$387,$O239&gt;Q$388),"",IFERROR(IF($O239=Q$387,100,Q238)*INDEX($B$2:$B$428,MATCH($O239,$A$2:$A$428,0))/INDEX($B$2:$B$428,MATCH($O239,$A$2:$A$428,0)-1),""))</f>
        <v/>
      </c>
      <c r="R239" s="19" t="str" cm="1">
        <f t="array" ref="R239">IF(OR($O239&lt;R$387,$O239&gt;R$388),"",IFERROR(IF($O239=R$387,100,R238)*INDEX($B$2:$B$428,MATCH($O239,$A$2:$A$428,0))/INDEX($B$2:$B$428,MATCH($O239,$A$2:$A$428,0)-1),""))</f>
        <v/>
      </c>
      <c r="S239" s="19" t="str" cm="1">
        <f t="array" ref="S239">IF(OR($O239&lt;S$387,$O239&gt;S$388),"",IFERROR(IF($O239=S$387,100,S238)*INDEX($B$2:$B$428,MATCH($O239,$A$2:$A$428,0))/INDEX($B$2:$B$428,MATCH($O239,$A$2:$A$428,0)-1),""))</f>
        <v/>
      </c>
      <c r="T239" s="19" cm="1">
        <f t="array" ref="T239">IF(OR($O239&lt;T$387,$O239&gt;T$388),"",IFERROR(IF($O239=T$387,100,T238)*INDEX($B$2:$B$428,MATCH($O239,$A$2:$A$428,0))/INDEX($B$2:$B$428,MATCH($O239,$A$2:$A$428,0)-1),""))</f>
        <v>119.60754668401425</v>
      </c>
      <c r="U239" s="19" t="str" cm="1">
        <f t="array" ref="U239">IF(OR($O239&lt;U$387,$O239&gt;U$388),"",IFERROR(IF($O239=U$387,100,U238)*INDEX($B$2:$B$428,MATCH($O239,$A$2:$A$428,0))/INDEX($B$2:$B$428,MATCH($O239,$A$2:$A$428,0)-1),""))</f>
        <v/>
      </c>
      <c r="V239" s="19" t="str" cm="1">
        <f t="array" ref="V239">IF(OR($O239&lt;V$387,$O239&gt;V$388),"",IFERROR(IF($O239=V$387,100,V238)*INDEX($B$2:$B$428,MATCH($O239,$A$2:$A$428,0))/INDEX($B$2:$B$428,MATCH($O239,$A$2:$A$428,0)-1),""))</f>
        <v/>
      </c>
      <c r="W239" s="19" t="str" cm="1">
        <f t="array" ref="W239">IF(OR($O239&lt;W$387,$O239&gt;W$388),"",IFERROR(IF($O239=W$387,100,W238)*INDEX($B$2:$B$428,MATCH($O239,$A$2:$A$428,0))/INDEX($B$2:$B$428,MATCH($O239,$A$2:$A$428,0)-1),""))</f>
        <v/>
      </c>
      <c r="X239" s="19" t="str" cm="1">
        <f t="array" ref="X239">IF(OR($O239&lt;X$387,$O239&gt;X$388),"",IFERROR(IF($O239=X$387,100,X238)*INDEX($B$2:$B$428,MATCH($O239,$A$2:$A$428,0))/INDEX($B$2:$B$428,MATCH($O239,$A$2:$A$428,0)-1),""))</f>
        <v/>
      </c>
      <c r="AA239" s="19"/>
      <c r="AB239" s="19"/>
      <c r="AC239" s="19"/>
      <c r="AD239" s="19"/>
      <c r="AE239" s="19"/>
      <c r="AF239" s="19"/>
      <c r="AG239" s="19"/>
      <c r="AH239" s="19"/>
      <c r="AJ239" s="11">
        <v>40087</v>
      </c>
      <c r="AK239">
        <v>3252395.5</v>
      </c>
      <c r="AL239" s="26">
        <f t="shared" si="30"/>
        <v>0.62682306933458742</v>
      </c>
    </row>
    <row r="240" spans="1:38" x14ac:dyDescent="0.3">
      <c r="A240" s="11">
        <v>40483</v>
      </c>
      <c r="B240" s="18">
        <v>989010.62</v>
      </c>
      <c r="C240" s="18">
        <v>1468353.89</v>
      </c>
      <c r="D240" s="18">
        <v>2388438.91</v>
      </c>
      <c r="E240" s="11">
        <f t="shared" si="25"/>
        <v>40483</v>
      </c>
      <c r="F240" s="9">
        <f t="shared" si="27"/>
        <v>7.5581484754149608E-2</v>
      </c>
      <c r="G240" s="9">
        <f t="shared" si="28"/>
        <v>8.0814351027226117E-2</v>
      </c>
      <c r="H240" s="9">
        <f t="shared" si="29"/>
        <v>0.15881498048362053</v>
      </c>
      <c r="I240" s="11">
        <f t="shared" si="26"/>
        <v>40483</v>
      </c>
      <c r="O240" s="11">
        <v>41944</v>
      </c>
      <c r="P240" s="19" t="str" cm="1">
        <f t="array" ref="P240">IF(OR($O240&lt;P$387,$O240&gt;P$388),"",IFERROR(IF($O240=P$387,100,P239)*INDEX($B$2:$B$428,MATCH($O240,$A$2:$A$428,0))/INDEX($B$2:$B$428,MATCH($O240,$A$2:$A$428,0)-1),""))</f>
        <v/>
      </c>
      <c r="Q240" s="19" t="str" cm="1">
        <f t="array" ref="Q240">IF(OR($O240&lt;Q$387,$O240&gt;Q$388),"",IFERROR(IF($O240=Q$387,100,Q239)*INDEX($B$2:$B$428,MATCH($O240,$A$2:$A$428,0))/INDEX($B$2:$B$428,MATCH($O240,$A$2:$A$428,0)-1),""))</f>
        <v/>
      </c>
      <c r="R240" s="19" t="str" cm="1">
        <f t="array" ref="R240">IF(OR($O240&lt;R$387,$O240&gt;R$388),"",IFERROR(IF($O240=R$387,100,R239)*INDEX($B$2:$B$428,MATCH($O240,$A$2:$A$428,0))/INDEX($B$2:$B$428,MATCH($O240,$A$2:$A$428,0)-1),""))</f>
        <v/>
      </c>
      <c r="S240" s="19" t="str" cm="1">
        <f t="array" ref="S240">IF(OR($O240&lt;S$387,$O240&gt;S$388),"",IFERROR(IF($O240=S$387,100,S239)*INDEX($B$2:$B$428,MATCH($O240,$A$2:$A$428,0))/INDEX($B$2:$B$428,MATCH($O240,$A$2:$A$428,0)-1),""))</f>
        <v/>
      </c>
      <c r="T240" s="19" cm="1">
        <f t="array" ref="T240">IF(OR($O240&lt;T$387,$O240&gt;T$388),"",IFERROR(IF($O240=T$387,100,T239)*INDEX($B$2:$B$428,MATCH($O240,$A$2:$A$428,0))/INDEX($B$2:$B$428,MATCH($O240,$A$2:$A$428,0)-1),""))</f>
        <v>119.13421628993176</v>
      </c>
      <c r="U240" s="19" t="str" cm="1">
        <f t="array" ref="U240">IF(OR($O240&lt;U$387,$O240&gt;U$388),"",IFERROR(IF($O240=U$387,100,U239)*INDEX($B$2:$B$428,MATCH($O240,$A$2:$A$428,0))/INDEX($B$2:$B$428,MATCH($O240,$A$2:$A$428,0)-1),""))</f>
        <v/>
      </c>
      <c r="V240" s="19" t="str" cm="1">
        <f t="array" ref="V240">IF(OR($O240&lt;V$387,$O240&gt;V$388),"",IFERROR(IF($O240=V$387,100,V239)*INDEX($B$2:$B$428,MATCH($O240,$A$2:$A$428,0))/INDEX($B$2:$B$428,MATCH($O240,$A$2:$A$428,0)-1),""))</f>
        <v/>
      </c>
      <c r="W240" s="19" t="str" cm="1">
        <f t="array" ref="W240">IF(OR($O240&lt;W$387,$O240&gt;W$388),"",IFERROR(IF($O240=W$387,100,W239)*INDEX($B$2:$B$428,MATCH($O240,$A$2:$A$428,0))/INDEX($B$2:$B$428,MATCH($O240,$A$2:$A$428,0)-1),""))</f>
        <v/>
      </c>
      <c r="X240" s="19" t="str" cm="1">
        <f t="array" ref="X240">IF(OR($O240&lt;X$387,$O240&gt;X$388),"",IFERROR(IF($O240=X$387,100,X239)*INDEX($B$2:$B$428,MATCH($O240,$A$2:$A$428,0))/INDEX($B$2:$B$428,MATCH($O240,$A$2:$A$428,0)-1),""))</f>
        <v/>
      </c>
      <c r="AA240" s="19"/>
      <c r="AB240" s="19"/>
      <c r="AC240" s="19"/>
      <c r="AD240" s="19"/>
      <c r="AE240" s="19"/>
      <c r="AF240" s="19"/>
      <c r="AG240" s="19"/>
      <c r="AH240" s="19"/>
      <c r="AJ240" s="11">
        <v>40118</v>
      </c>
      <c r="AK240">
        <v>3288218.2</v>
      </c>
      <c r="AL240" s="26">
        <f t="shared" si="30"/>
        <v>0.6268150392209374</v>
      </c>
    </row>
    <row r="241" spans="1:38" x14ac:dyDescent="0.3">
      <c r="A241" s="11">
        <v>40513</v>
      </c>
      <c r="B241" s="18">
        <v>1001116.78</v>
      </c>
      <c r="C241" s="18">
        <v>1495284.55</v>
      </c>
      <c r="D241" s="18">
        <v>2426058.7000000002</v>
      </c>
      <c r="E241" s="11">
        <f t="shared" si="25"/>
        <v>40513</v>
      </c>
      <c r="F241" s="9">
        <f t="shared" si="27"/>
        <v>7.3543050579887526E-2</v>
      </c>
      <c r="G241" s="9">
        <f t="shared" si="28"/>
        <v>8.5010858746750628E-2</v>
      </c>
      <c r="H241" s="9">
        <f t="shared" si="29"/>
        <v>0.12498308856531803</v>
      </c>
      <c r="I241" s="11">
        <f t="shared" si="26"/>
        <v>40513</v>
      </c>
      <c r="O241" s="11">
        <v>41974</v>
      </c>
      <c r="P241" s="19" t="str" cm="1">
        <f t="array" ref="P241">IF(OR($O241&lt;P$387,$O241&gt;P$388),"",IFERROR(IF($O241=P$387,100,P240)*INDEX($B$2:$B$428,MATCH($O241,$A$2:$A$428,0))/INDEX($B$2:$B$428,MATCH($O241,$A$2:$A$428,0)-1),""))</f>
        <v/>
      </c>
      <c r="Q241" s="19" t="str" cm="1">
        <f t="array" ref="Q241">IF(OR($O241&lt;Q$387,$O241&gt;Q$388),"",IFERROR(IF($O241=Q$387,100,Q240)*INDEX($B$2:$B$428,MATCH($O241,$A$2:$A$428,0))/INDEX($B$2:$B$428,MATCH($O241,$A$2:$A$428,0)-1),""))</f>
        <v/>
      </c>
      <c r="R241" s="19" t="str" cm="1">
        <f t="array" ref="R241">IF(OR($O241&lt;R$387,$O241&gt;R$388),"",IFERROR(IF($O241=R$387,100,R240)*INDEX($B$2:$B$428,MATCH($O241,$A$2:$A$428,0))/INDEX($B$2:$B$428,MATCH($O241,$A$2:$A$428,0)-1),""))</f>
        <v/>
      </c>
      <c r="S241" s="19" t="str" cm="1">
        <f t="array" ref="S241">IF(OR($O241&lt;S$387,$O241&gt;S$388),"",IFERROR(IF($O241=S$387,100,S240)*INDEX($B$2:$B$428,MATCH($O241,$A$2:$A$428,0))/INDEX($B$2:$B$428,MATCH($O241,$A$2:$A$428,0)-1),""))</f>
        <v/>
      </c>
      <c r="T241" s="19" cm="1">
        <f t="array" ref="T241">IF(OR($O241&lt;T$387,$O241&gt;T$388),"",IFERROR(IF($O241=T$387,100,T240)*INDEX($B$2:$B$428,MATCH($O241,$A$2:$A$428,0))/INDEX($B$2:$B$428,MATCH($O241,$A$2:$A$428,0)-1),""))</f>
        <v>119.93401808728052</v>
      </c>
      <c r="U241" s="19" t="str" cm="1">
        <f t="array" ref="U241">IF(OR($O241&lt;U$387,$O241&gt;U$388),"",IFERROR(IF($O241=U$387,100,U240)*INDEX($B$2:$B$428,MATCH($O241,$A$2:$A$428,0))/INDEX($B$2:$B$428,MATCH($O241,$A$2:$A$428,0)-1),""))</f>
        <v/>
      </c>
      <c r="V241" s="19" t="str" cm="1">
        <f t="array" ref="V241">IF(OR($O241&lt;V$387,$O241&gt;V$388),"",IFERROR(IF($O241=V$387,100,V240)*INDEX($B$2:$B$428,MATCH($O241,$A$2:$A$428,0))/INDEX($B$2:$B$428,MATCH($O241,$A$2:$A$428,0)-1),""))</f>
        <v/>
      </c>
      <c r="W241" s="19" t="str" cm="1">
        <f t="array" ref="W241">IF(OR($O241&lt;W$387,$O241&gt;W$388),"",IFERROR(IF($O241=W$387,100,W240)*INDEX($B$2:$B$428,MATCH($O241,$A$2:$A$428,0))/INDEX($B$2:$B$428,MATCH($O241,$A$2:$A$428,0)-1),""))</f>
        <v/>
      </c>
      <c r="X241" s="19" t="str" cm="1">
        <f t="array" ref="X241">IF(OR($O241&lt;X$387,$O241&gt;X$388),"",IFERROR(IF($O241=X$387,100,X240)*INDEX($B$2:$B$428,MATCH($O241,$A$2:$A$428,0))/INDEX($B$2:$B$428,MATCH($O241,$A$2:$A$428,0)-1),""))</f>
        <v/>
      </c>
      <c r="AA241" s="19"/>
      <c r="AB241" s="19"/>
      <c r="AC241" s="19"/>
      <c r="AD241" s="19"/>
      <c r="AE241" s="19"/>
      <c r="AF241" s="19"/>
      <c r="AG241" s="19"/>
      <c r="AH241" s="19"/>
      <c r="AJ241" s="11">
        <v>40148</v>
      </c>
      <c r="AK241">
        <v>3333039.4</v>
      </c>
      <c r="AL241" s="26">
        <f t="shared" si="30"/>
        <v>0.64701576585023268</v>
      </c>
    </row>
    <row r="242" spans="1:38" x14ac:dyDescent="0.3">
      <c r="A242" s="11">
        <v>40544</v>
      </c>
      <c r="B242" s="18">
        <v>1000711.9</v>
      </c>
      <c r="C242" s="18">
        <v>1496047.48</v>
      </c>
      <c r="D242" s="18">
        <v>2352895.14</v>
      </c>
      <c r="E242" s="11">
        <f t="shared" si="25"/>
        <v>40544</v>
      </c>
      <c r="F242" s="9">
        <f t="shared" si="27"/>
        <v>0.10710852800414705</v>
      </c>
      <c r="G242" s="9">
        <f t="shared" si="28"/>
        <v>0.10409924722452213</v>
      </c>
      <c r="H242" s="9">
        <f t="shared" si="29"/>
        <v>0.13090089821276818</v>
      </c>
      <c r="I242" s="11">
        <f t="shared" si="26"/>
        <v>40544</v>
      </c>
      <c r="O242" s="11">
        <v>42005</v>
      </c>
      <c r="P242" s="19" t="str" cm="1">
        <f t="array" ref="P242">IF(OR($O242&lt;P$387,$O242&gt;P$388),"",IFERROR(IF($O242=P$387,100,P241)*INDEX($B$2:$B$428,MATCH($O242,$A$2:$A$428,0))/INDEX($B$2:$B$428,MATCH($O242,$A$2:$A$428,0)-1),""))</f>
        <v/>
      </c>
      <c r="Q242" s="19" t="str" cm="1">
        <f t="array" ref="Q242">IF(OR($O242&lt;Q$387,$O242&gt;Q$388),"",IFERROR(IF($O242=Q$387,100,Q241)*INDEX($B$2:$B$428,MATCH($O242,$A$2:$A$428,0))/INDEX($B$2:$B$428,MATCH($O242,$A$2:$A$428,0)-1),""))</f>
        <v/>
      </c>
      <c r="R242" s="19" t="str" cm="1">
        <f t="array" ref="R242">IF(OR($O242&lt;R$387,$O242&gt;R$388),"",IFERROR(IF($O242=R$387,100,R241)*INDEX($B$2:$B$428,MATCH($O242,$A$2:$A$428,0))/INDEX($B$2:$B$428,MATCH($O242,$A$2:$A$428,0)-1),""))</f>
        <v/>
      </c>
      <c r="S242" s="19" t="str" cm="1">
        <f t="array" ref="S242">IF(OR($O242&lt;S$387,$O242&gt;S$388),"",IFERROR(IF($O242=S$387,100,S241)*INDEX($B$2:$B$428,MATCH($O242,$A$2:$A$428,0))/INDEX($B$2:$B$428,MATCH($O242,$A$2:$A$428,0)-1),""))</f>
        <v/>
      </c>
      <c r="T242" s="19" t="str" cm="1">
        <f t="array" ref="T242">IF(OR($O242&lt;T$387,$O242&gt;T$388),"",IFERROR(IF($O242=T$387,100,T241)*INDEX($B$2:$B$428,MATCH($O242,$A$2:$A$428,0))/INDEX($B$2:$B$428,MATCH($O242,$A$2:$A$428,0)-1),""))</f>
        <v/>
      </c>
      <c r="U242" s="19" cm="1">
        <f t="array" ref="U242">IF(OR($O242&lt;U$387,$O242&gt;U$388),"",IFERROR(IF($O242=U$387,100,U241)*INDEX($B$2:$B$428,MATCH($O242,$A$2:$A$428,0))/INDEX($B$2:$B$428,MATCH($O242,$A$2:$A$428,0)-1),""))</f>
        <v>100.55987793179592</v>
      </c>
      <c r="V242" s="19" t="str" cm="1">
        <f t="array" ref="V242">IF(OR($O242&lt;V$387,$O242&gt;V$388),"",IFERROR(IF($O242=V$387,100,V241)*INDEX($B$2:$B$428,MATCH($O242,$A$2:$A$428,0))/INDEX($B$2:$B$428,MATCH($O242,$A$2:$A$428,0)-1),""))</f>
        <v/>
      </c>
      <c r="W242" s="19" t="str" cm="1">
        <f t="array" ref="W242">IF(OR($O242&lt;W$387,$O242&gt;W$388),"",IFERROR(IF($O242=W$387,100,W241)*INDEX($B$2:$B$428,MATCH($O242,$A$2:$A$428,0))/INDEX($B$2:$B$428,MATCH($O242,$A$2:$A$428,0)-1),""))</f>
        <v/>
      </c>
      <c r="X242" s="19" t="str" cm="1">
        <f t="array" ref="X242">IF(OR($O242&lt;X$387,$O242&gt;X$388),"",IFERROR(IF($O242=X$387,100,X241)*INDEX($B$2:$B$428,MATCH($O242,$A$2:$A$428,0))/INDEX($B$2:$B$428,MATCH($O242,$A$2:$A$428,0)-1),""))</f>
        <v/>
      </c>
      <c r="AA242" s="19"/>
      <c r="AB242" s="19"/>
      <c r="AC242" s="19"/>
      <c r="AD242" s="19"/>
      <c r="AE242" s="19"/>
      <c r="AF242" s="19"/>
      <c r="AG242" s="19"/>
      <c r="AH242" s="19"/>
      <c r="AJ242" s="11">
        <v>40179</v>
      </c>
      <c r="AK242">
        <v>3372643</v>
      </c>
      <c r="AL242" s="26">
        <f t="shared" si="30"/>
        <v>0.61688988724866523</v>
      </c>
    </row>
    <row r="243" spans="1:38" x14ac:dyDescent="0.3">
      <c r="A243" s="11">
        <v>40575</v>
      </c>
      <c r="B243" s="18">
        <v>1014687.71</v>
      </c>
      <c r="C243" s="18">
        <v>1514627.48</v>
      </c>
      <c r="D243" s="18">
        <v>2399225.94</v>
      </c>
      <c r="E243" s="11">
        <f t="shared" si="25"/>
        <v>40575</v>
      </c>
      <c r="F243" s="9">
        <f t="shared" si="27"/>
        <v>9.4796522421476626E-2</v>
      </c>
      <c r="G243" s="9">
        <f t="shared" si="28"/>
        <v>9.7045287505321154E-2</v>
      </c>
      <c r="H243" s="9">
        <f t="shared" si="29"/>
        <v>0.13163674996458252</v>
      </c>
      <c r="I243" s="11">
        <f t="shared" si="26"/>
        <v>40575</v>
      </c>
      <c r="O243" s="11">
        <v>42036</v>
      </c>
      <c r="P243" s="19" t="str" cm="1">
        <f t="array" ref="P243">IF(OR($O243&lt;P$387,$O243&gt;P$388),"",IFERROR(IF($O243=P$387,100,P242)*INDEX($B$2:$B$428,MATCH($O243,$A$2:$A$428,0))/INDEX($B$2:$B$428,MATCH($O243,$A$2:$A$428,0)-1),""))</f>
        <v/>
      </c>
      <c r="Q243" s="19" t="str" cm="1">
        <f t="array" ref="Q243">IF(OR($O243&lt;Q$387,$O243&gt;Q$388),"",IFERROR(IF($O243=Q$387,100,Q242)*INDEX($B$2:$B$428,MATCH($O243,$A$2:$A$428,0))/INDEX($B$2:$B$428,MATCH($O243,$A$2:$A$428,0)-1),""))</f>
        <v/>
      </c>
      <c r="R243" s="19" t="str" cm="1">
        <f t="array" ref="R243">IF(OR($O243&lt;R$387,$O243&gt;R$388),"",IFERROR(IF($O243=R$387,100,R242)*INDEX($B$2:$B$428,MATCH($O243,$A$2:$A$428,0))/INDEX($B$2:$B$428,MATCH($O243,$A$2:$A$428,0)-1),""))</f>
        <v/>
      </c>
      <c r="S243" s="19" t="str" cm="1">
        <f t="array" ref="S243">IF(OR($O243&lt;S$387,$O243&gt;S$388),"",IFERROR(IF($O243=S$387,100,S242)*INDEX($B$2:$B$428,MATCH($O243,$A$2:$A$428,0))/INDEX($B$2:$B$428,MATCH($O243,$A$2:$A$428,0)-1),""))</f>
        <v/>
      </c>
      <c r="T243" s="19" t="str" cm="1">
        <f t="array" ref="T243">IF(OR($O243&lt;T$387,$O243&gt;T$388),"",IFERROR(IF($O243=T$387,100,T242)*INDEX($B$2:$B$428,MATCH($O243,$A$2:$A$428,0))/INDEX($B$2:$B$428,MATCH($O243,$A$2:$A$428,0)-1),""))</f>
        <v/>
      </c>
      <c r="U243" s="19" cm="1">
        <f t="array" ref="U243">IF(OR($O243&lt;U$387,$O243&gt;U$388),"",IFERROR(IF($O243=U$387,100,U242)*INDEX($B$2:$B$428,MATCH($O243,$A$2:$A$428,0))/INDEX($B$2:$B$428,MATCH($O243,$A$2:$A$428,0)-1),""))</f>
        <v>99.036263280166722</v>
      </c>
      <c r="V243" s="19" t="str" cm="1">
        <f t="array" ref="V243">IF(OR($O243&lt;V$387,$O243&gt;V$388),"",IFERROR(IF($O243=V$387,100,V242)*INDEX($B$2:$B$428,MATCH($O243,$A$2:$A$428,0))/INDEX($B$2:$B$428,MATCH($O243,$A$2:$A$428,0)-1),""))</f>
        <v/>
      </c>
      <c r="W243" s="19" t="str" cm="1">
        <f t="array" ref="W243">IF(OR($O243&lt;W$387,$O243&gt;W$388),"",IFERROR(IF($O243=W$387,100,W242)*INDEX($B$2:$B$428,MATCH($O243,$A$2:$A$428,0))/INDEX($B$2:$B$428,MATCH($O243,$A$2:$A$428,0)-1),""))</f>
        <v/>
      </c>
      <c r="X243" s="19" t="str" cm="1">
        <f t="array" ref="X243">IF(OR($O243&lt;X$387,$O243&gt;X$388),"",IFERROR(IF($O243=X$387,100,X242)*INDEX($B$2:$B$428,MATCH($O243,$A$2:$A$428,0))/INDEX($B$2:$B$428,MATCH($O243,$A$2:$A$428,0)-1),""))</f>
        <v/>
      </c>
      <c r="AA243" s="19"/>
      <c r="AB243" s="19"/>
      <c r="AC243" s="19"/>
      <c r="AD243" s="19"/>
      <c r="AE243" s="19"/>
      <c r="AF243" s="19"/>
      <c r="AG243" s="19"/>
      <c r="AH243" s="19"/>
      <c r="AJ243" s="11">
        <v>40210</v>
      </c>
      <c r="AK243">
        <v>3413501.1</v>
      </c>
      <c r="AL243" s="26">
        <f t="shared" si="30"/>
        <v>0.6211036170458536</v>
      </c>
    </row>
    <row r="244" spans="1:38" x14ac:dyDescent="0.3">
      <c r="A244" s="11">
        <v>40603</v>
      </c>
      <c r="B244" s="18">
        <v>1028186.03</v>
      </c>
      <c r="C244" s="18">
        <v>1527057.76</v>
      </c>
      <c r="D244" s="18">
        <v>2424187.61</v>
      </c>
      <c r="E244" s="11">
        <f t="shared" si="25"/>
        <v>40603</v>
      </c>
      <c r="F244" s="9">
        <f t="shared" si="27"/>
        <v>8.4504752203646172E-2</v>
      </c>
      <c r="G244" s="9">
        <f t="shared" si="28"/>
        <v>9.1084458060485707E-2</v>
      </c>
      <c r="H244" s="9">
        <f t="shared" si="29"/>
        <v>0.1112443365304745</v>
      </c>
      <c r="I244" s="11">
        <f t="shared" si="26"/>
        <v>40603</v>
      </c>
      <c r="O244" s="11">
        <v>42064</v>
      </c>
      <c r="P244" s="19" t="str" cm="1">
        <f t="array" ref="P244">IF(OR($O244&lt;P$387,$O244&gt;P$388),"",IFERROR(IF($O244=P$387,100,P243)*INDEX($B$2:$B$428,MATCH($O244,$A$2:$A$428,0))/INDEX($B$2:$B$428,MATCH($O244,$A$2:$A$428,0)-1),""))</f>
        <v/>
      </c>
      <c r="Q244" s="19" t="str" cm="1">
        <f t="array" ref="Q244">IF(OR($O244&lt;Q$387,$O244&gt;Q$388),"",IFERROR(IF($O244=Q$387,100,Q243)*INDEX($B$2:$B$428,MATCH($O244,$A$2:$A$428,0))/INDEX($B$2:$B$428,MATCH($O244,$A$2:$A$428,0)-1),""))</f>
        <v/>
      </c>
      <c r="R244" s="19" t="str" cm="1">
        <f t="array" ref="R244">IF(OR($O244&lt;R$387,$O244&gt;R$388),"",IFERROR(IF($O244=R$387,100,R243)*INDEX($B$2:$B$428,MATCH($O244,$A$2:$A$428,0))/INDEX($B$2:$B$428,MATCH($O244,$A$2:$A$428,0)-1),""))</f>
        <v/>
      </c>
      <c r="S244" s="19" t="str" cm="1">
        <f t="array" ref="S244">IF(OR($O244&lt;S$387,$O244&gt;S$388),"",IFERROR(IF($O244=S$387,100,S243)*INDEX($B$2:$B$428,MATCH($O244,$A$2:$A$428,0))/INDEX($B$2:$B$428,MATCH($O244,$A$2:$A$428,0)-1),""))</f>
        <v/>
      </c>
      <c r="T244" s="19" t="str" cm="1">
        <f t="array" ref="T244">IF(OR($O244&lt;T$387,$O244&gt;T$388),"",IFERROR(IF($O244=T$387,100,T243)*INDEX($B$2:$B$428,MATCH($O244,$A$2:$A$428,0))/INDEX($B$2:$B$428,MATCH($O244,$A$2:$A$428,0)-1),""))</f>
        <v/>
      </c>
      <c r="U244" s="19" cm="1">
        <f t="array" ref="U244">IF(OR($O244&lt;U$387,$O244&gt;U$388),"",IFERROR(IF($O244=U$387,100,U243)*INDEX($B$2:$B$428,MATCH($O244,$A$2:$A$428,0))/INDEX($B$2:$B$428,MATCH($O244,$A$2:$A$428,0)-1),""))</f>
        <v>94.972288943233295</v>
      </c>
      <c r="V244" s="19" t="str" cm="1">
        <f t="array" ref="V244">IF(OR($O244&lt;V$387,$O244&gt;V$388),"",IFERROR(IF($O244=V$387,100,V243)*INDEX($B$2:$B$428,MATCH($O244,$A$2:$A$428,0))/INDEX($B$2:$B$428,MATCH($O244,$A$2:$A$428,0)-1),""))</f>
        <v/>
      </c>
      <c r="W244" s="19" t="str" cm="1">
        <f t="array" ref="W244">IF(OR($O244&lt;W$387,$O244&gt;W$388),"",IFERROR(IF($O244=W$387,100,W243)*INDEX($B$2:$B$428,MATCH($O244,$A$2:$A$428,0))/INDEX($B$2:$B$428,MATCH($O244,$A$2:$A$428,0)-1),""))</f>
        <v/>
      </c>
      <c r="X244" s="19" t="str" cm="1">
        <f t="array" ref="X244">IF(OR($O244&lt;X$387,$O244&gt;X$388),"",IFERROR(IF($O244=X$387,100,X243)*INDEX($B$2:$B$428,MATCH($O244,$A$2:$A$428,0))/INDEX($B$2:$B$428,MATCH($O244,$A$2:$A$428,0)-1),""))</f>
        <v/>
      </c>
      <c r="AA244" s="19"/>
      <c r="AB244" s="19"/>
      <c r="AC244" s="19"/>
      <c r="AD244" s="19"/>
      <c r="AE244" s="19"/>
      <c r="AF244" s="19"/>
      <c r="AG244" s="19"/>
      <c r="AH244" s="19"/>
      <c r="AJ244" s="11">
        <v>40238</v>
      </c>
      <c r="AK244">
        <v>3463309.7</v>
      </c>
      <c r="AL244" s="26">
        <f t="shared" si="30"/>
        <v>0.62989090464534536</v>
      </c>
    </row>
    <row r="245" spans="1:38" x14ac:dyDescent="0.3">
      <c r="A245" s="11">
        <v>40634</v>
      </c>
      <c r="B245" s="18">
        <v>1037957.72</v>
      </c>
      <c r="C245" s="18">
        <v>1539945.02</v>
      </c>
      <c r="D245" s="18">
        <v>2475209.09</v>
      </c>
      <c r="E245" s="11">
        <f t="shared" si="25"/>
        <v>40634</v>
      </c>
      <c r="F245" s="9">
        <f t="shared" si="27"/>
        <v>9.0930650518385558E-2</v>
      </c>
      <c r="G245" s="9">
        <f t="shared" si="28"/>
        <v>9.6024676922915386E-2</v>
      </c>
      <c r="H245" s="9">
        <f t="shared" si="29"/>
        <v>9.1733558992725506E-2</v>
      </c>
      <c r="I245" s="11">
        <f t="shared" si="26"/>
        <v>40634</v>
      </c>
      <c r="O245" s="11">
        <v>42095</v>
      </c>
      <c r="P245" s="19" t="str" cm="1">
        <f t="array" ref="P245">IF(OR($O245&lt;P$387,$O245&gt;P$388),"",IFERROR(IF($O245=P$387,100,P244)*INDEX($B$2:$B$428,MATCH($O245,$A$2:$A$428,0))/INDEX($B$2:$B$428,MATCH($O245,$A$2:$A$428,0)-1),""))</f>
        <v/>
      </c>
      <c r="Q245" s="19" t="str" cm="1">
        <f t="array" ref="Q245">IF(OR($O245&lt;Q$387,$O245&gt;Q$388),"",IFERROR(IF($O245=Q$387,100,Q244)*INDEX($B$2:$B$428,MATCH($O245,$A$2:$A$428,0))/INDEX($B$2:$B$428,MATCH($O245,$A$2:$A$428,0)-1),""))</f>
        <v/>
      </c>
      <c r="R245" s="19" t="str" cm="1">
        <f t="array" ref="R245">IF(OR($O245&lt;R$387,$O245&gt;R$388),"",IFERROR(IF($O245=R$387,100,R244)*INDEX($B$2:$B$428,MATCH($O245,$A$2:$A$428,0))/INDEX($B$2:$B$428,MATCH($O245,$A$2:$A$428,0)-1),""))</f>
        <v/>
      </c>
      <c r="S245" s="19" t="str" cm="1">
        <f t="array" ref="S245">IF(OR($O245&lt;S$387,$O245&gt;S$388),"",IFERROR(IF($O245=S$387,100,S244)*INDEX($B$2:$B$428,MATCH($O245,$A$2:$A$428,0))/INDEX($B$2:$B$428,MATCH($O245,$A$2:$A$428,0)-1),""))</f>
        <v/>
      </c>
      <c r="T245" s="19" t="str" cm="1">
        <f t="array" ref="T245">IF(OR($O245&lt;T$387,$O245&gt;T$388),"",IFERROR(IF($O245=T$387,100,T244)*INDEX($B$2:$B$428,MATCH($O245,$A$2:$A$428,0))/INDEX($B$2:$B$428,MATCH($O245,$A$2:$A$428,0)-1),""))</f>
        <v/>
      </c>
      <c r="U245" s="19" cm="1">
        <f t="array" ref="U245">IF(OR($O245&lt;U$387,$O245&gt;U$388),"",IFERROR(IF($O245=U$387,100,U244)*INDEX($B$2:$B$428,MATCH($O245,$A$2:$A$428,0))/INDEX($B$2:$B$428,MATCH($O245,$A$2:$A$428,0)-1),""))</f>
        <v>99.1450400114242</v>
      </c>
      <c r="V245" s="19" t="str" cm="1">
        <f t="array" ref="V245">IF(OR($O245&lt;V$387,$O245&gt;V$388),"",IFERROR(IF($O245=V$387,100,V244)*INDEX($B$2:$B$428,MATCH($O245,$A$2:$A$428,0))/INDEX($B$2:$B$428,MATCH($O245,$A$2:$A$428,0)-1),""))</f>
        <v/>
      </c>
      <c r="W245" s="19" t="str" cm="1">
        <f t="array" ref="W245">IF(OR($O245&lt;W$387,$O245&gt;W$388),"",IFERROR(IF($O245=W$387,100,W244)*INDEX($B$2:$B$428,MATCH($O245,$A$2:$A$428,0))/INDEX($B$2:$B$428,MATCH($O245,$A$2:$A$428,0)-1),""))</f>
        <v/>
      </c>
      <c r="X245" s="19" t="str" cm="1">
        <f t="array" ref="X245">IF(OR($O245&lt;X$387,$O245&gt;X$388),"",IFERROR(IF($O245=X$387,100,X244)*INDEX($B$2:$B$428,MATCH($O245,$A$2:$A$428,0))/INDEX($B$2:$B$428,MATCH($O245,$A$2:$A$428,0)-1),""))</f>
        <v/>
      </c>
      <c r="AA245" s="19"/>
      <c r="AB245" s="19"/>
      <c r="AC245" s="19"/>
      <c r="AD245" s="19"/>
      <c r="AE245" s="19"/>
      <c r="AF245" s="19"/>
      <c r="AG245" s="19"/>
      <c r="AH245" s="19"/>
      <c r="AJ245" s="11">
        <v>40269</v>
      </c>
      <c r="AK245">
        <v>3511523.9</v>
      </c>
      <c r="AL245" s="26">
        <f t="shared" si="30"/>
        <v>0.64565363772691398</v>
      </c>
    </row>
    <row r="246" spans="1:38" x14ac:dyDescent="0.3">
      <c r="A246" s="11">
        <v>40664</v>
      </c>
      <c r="B246" s="18">
        <v>1049026.67</v>
      </c>
      <c r="C246" s="18">
        <v>1555684.57</v>
      </c>
      <c r="D246" s="18">
        <v>2485612.81</v>
      </c>
      <c r="E246" s="11">
        <f t="shared" si="25"/>
        <v>40664</v>
      </c>
      <c r="F246" s="9">
        <f t="shared" si="27"/>
        <v>0.10593969823647464</v>
      </c>
      <c r="G246" s="9">
        <f t="shared" si="28"/>
        <v>0.10491015379817226</v>
      </c>
      <c r="H246" s="9">
        <f t="shared" si="29"/>
        <v>7.5836629959644242E-2</v>
      </c>
      <c r="I246" s="11">
        <f t="shared" si="26"/>
        <v>40664</v>
      </c>
      <c r="O246" s="11">
        <v>42125</v>
      </c>
      <c r="P246" s="19" t="str" cm="1">
        <f t="array" ref="P246">IF(OR($O246&lt;P$387,$O246&gt;P$388),"",IFERROR(IF($O246=P$387,100,P245)*INDEX($B$2:$B$428,MATCH($O246,$A$2:$A$428,0))/INDEX($B$2:$B$428,MATCH($O246,$A$2:$A$428,0)-1),""))</f>
        <v/>
      </c>
      <c r="Q246" s="19" t="str" cm="1">
        <f t="array" ref="Q246">IF(OR($O246&lt;Q$387,$O246&gt;Q$388),"",IFERROR(IF($O246=Q$387,100,Q245)*INDEX($B$2:$B$428,MATCH($O246,$A$2:$A$428,0))/INDEX($B$2:$B$428,MATCH($O246,$A$2:$A$428,0)-1),""))</f>
        <v/>
      </c>
      <c r="R246" s="19" t="str" cm="1">
        <f t="array" ref="R246">IF(OR($O246&lt;R$387,$O246&gt;R$388),"",IFERROR(IF($O246=R$387,100,R245)*INDEX($B$2:$B$428,MATCH($O246,$A$2:$A$428,0))/INDEX($B$2:$B$428,MATCH($O246,$A$2:$A$428,0)-1),""))</f>
        <v/>
      </c>
      <c r="S246" s="19" t="str" cm="1">
        <f t="array" ref="S246">IF(OR($O246&lt;S$387,$O246&gt;S$388),"",IFERROR(IF($O246=S$387,100,S245)*INDEX($B$2:$B$428,MATCH($O246,$A$2:$A$428,0))/INDEX($B$2:$B$428,MATCH($O246,$A$2:$A$428,0)-1),""))</f>
        <v/>
      </c>
      <c r="T246" s="19" t="str" cm="1">
        <f t="array" ref="T246">IF(OR($O246&lt;T$387,$O246&gt;T$388),"",IFERROR(IF($O246=T$387,100,T245)*INDEX($B$2:$B$428,MATCH($O246,$A$2:$A$428,0))/INDEX($B$2:$B$428,MATCH($O246,$A$2:$A$428,0)-1),""))</f>
        <v/>
      </c>
      <c r="U246" s="19" cm="1">
        <f t="array" ref="U246">IF(OR($O246&lt;U$387,$O246&gt;U$388),"",IFERROR(IF($O246=U$387,100,U245)*INDEX($B$2:$B$428,MATCH($O246,$A$2:$A$428,0))/INDEX($B$2:$B$428,MATCH($O246,$A$2:$A$428,0)-1),""))</f>
        <v>98.549924535236954</v>
      </c>
      <c r="V246" s="19" t="str" cm="1">
        <f t="array" ref="V246">IF(OR($O246&lt;V$387,$O246&gt;V$388),"",IFERROR(IF($O246=V$387,100,V245)*INDEX($B$2:$B$428,MATCH($O246,$A$2:$A$428,0))/INDEX($B$2:$B$428,MATCH($O246,$A$2:$A$428,0)-1),""))</f>
        <v/>
      </c>
      <c r="W246" s="19" t="str" cm="1">
        <f t="array" ref="W246">IF(OR($O246&lt;W$387,$O246&gt;W$388),"",IFERROR(IF($O246=W$387,100,W245)*INDEX($B$2:$B$428,MATCH($O246,$A$2:$A$428,0))/INDEX($B$2:$B$428,MATCH($O246,$A$2:$A$428,0)-1),""))</f>
        <v/>
      </c>
      <c r="X246" s="19" t="str" cm="1">
        <f t="array" ref="X246">IF(OR($O246&lt;X$387,$O246&gt;X$388),"",IFERROR(IF($O246=X$387,100,X245)*INDEX($B$2:$B$428,MATCH($O246,$A$2:$A$428,0))/INDEX($B$2:$B$428,MATCH($O246,$A$2:$A$428,0)-1),""))</f>
        <v/>
      </c>
      <c r="AA246" s="19"/>
      <c r="AB246" s="19"/>
      <c r="AC246" s="19"/>
      <c r="AD246" s="19"/>
      <c r="AE246" s="19"/>
      <c r="AF246" s="19"/>
      <c r="AG246" s="19"/>
      <c r="AH246" s="19"/>
      <c r="AJ246" s="11">
        <v>40299</v>
      </c>
      <c r="AK246">
        <v>3558736.7</v>
      </c>
      <c r="AL246" s="26">
        <f t="shared" si="30"/>
        <v>0.64921910912937164</v>
      </c>
    </row>
    <row r="247" spans="1:38" x14ac:dyDescent="0.3">
      <c r="A247" s="11">
        <v>40695</v>
      </c>
      <c r="B247" s="18">
        <v>1060880.54</v>
      </c>
      <c r="C247" s="18">
        <v>1569058.06</v>
      </c>
      <c r="D247" s="18">
        <v>2540114.15</v>
      </c>
      <c r="E247" s="11">
        <f t="shared" si="25"/>
        <v>40695</v>
      </c>
      <c r="F247" s="9">
        <f t="shared" si="27"/>
        <v>0.10952539533620143</v>
      </c>
      <c r="G247" s="9">
        <f t="shared" si="28"/>
        <v>0.10195224088163868</v>
      </c>
      <c r="H247" s="9">
        <f t="shared" si="29"/>
        <v>9.8897931047288168E-2</v>
      </c>
      <c r="I247" s="11">
        <f t="shared" si="26"/>
        <v>40695</v>
      </c>
      <c r="O247" s="11">
        <v>42156</v>
      </c>
      <c r="P247" s="19" t="str" cm="1">
        <f t="array" ref="P247">IF(OR($O247&lt;P$387,$O247&gt;P$388),"",IFERROR(IF($O247=P$387,100,P246)*INDEX($B$2:$B$428,MATCH($O247,$A$2:$A$428,0))/INDEX($B$2:$B$428,MATCH($O247,$A$2:$A$428,0)-1),""))</f>
        <v/>
      </c>
      <c r="Q247" s="19" t="str" cm="1">
        <f t="array" ref="Q247">IF(OR($O247&lt;Q$387,$O247&gt;Q$388),"",IFERROR(IF($O247=Q$387,100,Q246)*INDEX($B$2:$B$428,MATCH($O247,$A$2:$A$428,0))/INDEX($B$2:$B$428,MATCH($O247,$A$2:$A$428,0)-1),""))</f>
        <v/>
      </c>
      <c r="R247" s="19" t="str" cm="1">
        <f t="array" ref="R247">IF(OR($O247&lt;R$387,$O247&gt;R$388),"",IFERROR(IF($O247=R$387,100,R246)*INDEX($B$2:$B$428,MATCH($O247,$A$2:$A$428,0))/INDEX($B$2:$B$428,MATCH($O247,$A$2:$A$428,0)-1),""))</f>
        <v/>
      </c>
      <c r="S247" s="19" t="str" cm="1">
        <f t="array" ref="S247">IF(OR($O247&lt;S$387,$O247&gt;S$388),"",IFERROR(IF($O247=S$387,100,S246)*INDEX($B$2:$B$428,MATCH($O247,$A$2:$A$428,0))/INDEX($B$2:$B$428,MATCH($O247,$A$2:$A$428,0)-1),""))</f>
        <v/>
      </c>
      <c r="T247" s="19" t="str" cm="1">
        <f t="array" ref="T247">IF(OR($O247&lt;T$387,$O247&gt;T$388),"",IFERROR(IF($O247=T$387,100,T246)*INDEX($B$2:$B$428,MATCH($O247,$A$2:$A$428,0))/INDEX($B$2:$B$428,MATCH($O247,$A$2:$A$428,0)-1),""))</f>
        <v/>
      </c>
      <c r="U247" s="19" cm="1">
        <f t="array" ref="U247">IF(OR($O247&lt;U$387,$O247&gt;U$388),"",IFERROR(IF($O247=U$387,100,U246)*INDEX($B$2:$B$428,MATCH($O247,$A$2:$A$428,0))/INDEX($B$2:$B$428,MATCH($O247,$A$2:$A$428,0)-1),""))</f>
        <v>103.13802954823301</v>
      </c>
      <c r="V247" s="19" t="str" cm="1">
        <f t="array" ref="V247">IF(OR($O247&lt;V$387,$O247&gt;V$388),"",IFERROR(IF($O247=V$387,100,V246)*INDEX($B$2:$B$428,MATCH($O247,$A$2:$A$428,0))/INDEX($B$2:$B$428,MATCH($O247,$A$2:$A$428,0)-1),""))</f>
        <v/>
      </c>
      <c r="W247" s="19" t="str" cm="1">
        <f t="array" ref="W247">IF(OR($O247&lt;W$387,$O247&gt;W$388),"",IFERROR(IF($O247=W$387,100,W246)*INDEX($B$2:$B$428,MATCH($O247,$A$2:$A$428,0))/INDEX($B$2:$B$428,MATCH($O247,$A$2:$A$428,0)-1),""))</f>
        <v/>
      </c>
      <c r="X247" s="19" t="str" cm="1">
        <f t="array" ref="X247">IF(OR($O247&lt;X$387,$O247&gt;X$388),"",IFERROR(IF($O247=X$387,100,X246)*INDEX($B$2:$B$428,MATCH($O247,$A$2:$A$428,0))/INDEX($B$2:$B$428,MATCH($O247,$A$2:$A$428,0)-1),""))</f>
        <v/>
      </c>
      <c r="AA247" s="19"/>
      <c r="AB247" s="19"/>
      <c r="AC247" s="19"/>
      <c r="AD247" s="19"/>
      <c r="AE247" s="19"/>
      <c r="AF247" s="19"/>
      <c r="AG247" s="19"/>
      <c r="AH247" s="19"/>
      <c r="AJ247" s="11">
        <v>40330</v>
      </c>
      <c r="AK247">
        <v>3603877.2</v>
      </c>
      <c r="AL247" s="26">
        <f t="shared" si="30"/>
        <v>0.64139547818110998</v>
      </c>
    </row>
    <row r="248" spans="1:38" x14ac:dyDescent="0.3">
      <c r="A248" s="11">
        <v>40725</v>
      </c>
      <c r="B248" s="18">
        <v>1064764.6000000001</v>
      </c>
      <c r="C248" s="18">
        <v>1573965.23</v>
      </c>
      <c r="D248" s="18">
        <v>2459832.75</v>
      </c>
      <c r="E248" s="11">
        <f t="shared" si="25"/>
        <v>40725</v>
      </c>
      <c r="F248" s="9">
        <f t="shared" si="27"/>
        <v>9.047231023829827E-2</v>
      </c>
      <c r="G248" s="9">
        <f t="shared" si="28"/>
        <v>8.8069382643238381E-2</v>
      </c>
      <c r="H248" s="9">
        <f t="shared" si="29"/>
        <v>6.9020782959728022E-2</v>
      </c>
      <c r="I248" s="11">
        <f t="shared" si="26"/>
        <v>40725</v>
      </c>
      <c r="O248" s="11">
        <v>42186</v>
      </c>
      <c r="P248" s="19" t="str" cm="1">
        <f t="array" ref="P248">IF(OR($O248&lt;P$387,$O248&gt;P$388),"",IFERROR(IF($O248=P$387,100,P247)*INDEX($B$2:$B$428,MATCH($O248,$A$2:$A$428,0))/INDEX($B$2:$B$428,MATCH($O248,$A$2:$A$428,0)-1),""))</f>
        <v/>
      </c>
      <c r="Q248" s="19" t="str" cm="1">
        <f t="array" ref="Q248">IF(OR($O248&lt;Q$387,$O248&gt;Q$388),"",IFERROR(IF($O248=Q$387,100,Q247)*INDEX($B$2:$B$428,MATCH($O248,$A$2:$A$428,0))/INDEX($B$2:$B$428,MATCH($O248,$A$2:$A$428,0)-1),""))</f>
        <v/>
      </c>
      <c r="R248" s="19" t="str" cm="1">
        <f t="array" ref="R248">IF(OR($O248&lt;R$387,$O248&gt;R$388),"",IFERROR(IF($O248=R$387,100,R247)*INDEX($B$2:$B$428,MATCH($O248,$A$2:$A$428,0))/INDEX($B$2:$B$428,MATCH($O248,$A$2:$A$428,0)-1),""))</f>
        <v/>
      </c>
      <c r="S248" s="19" t="str" cm="1">
        <f t="array" ref="S248">IF(OR($O248&lt;S$387,$O248&gt;S$388),"",IFERROR(IF($O248=S$387,100,S247)*INDEX($B$2:$B$428,MATCH($O248,$A$2:$A$428,0))/INDEX($B$2:$B$428,MATCH($O248,$A$2:$A$428,0)-1),""))</f>
        <v/>
      </c>
      <c r="T248" s="19" t="str" cm="1">
        <f t="array" ref="T248">IF(OR($O248&lt;T$387,$O248&gt;T$388),"",IFERROR(IF($O248=T$387,100,T247)*INDEX($B$2:$B$428,MATCH($O248,$A$2:$A$428,0))/INDEX($B$2:$B$428,MATCH($O248,$A$2:$A$428,0)-1),""))</f>
        <v/>
      </c>
      <c r="U248" s="19" cm="1">
        <f t="array" ref="U248">IF(OR($O248&lt;U$387,$O248&gt;U$388),"",IFERROR(IF($O248=U$387,100,U247)*INDEX($B$2:$B$428,MATCH($O248,$A$2:$A$428,0))/INDEX($B$2:$B$428,MATCH($O248,$A$2:$A$428,0)-1),""))</f>
        <v>100.28766542360952</v>
      </c>
      <c r="V248" s="19" t="str" cm="1">
        <f t="array" ref="V248">IF(OR($O248&lt;V$387,$O248&gt;V$388),"",IFERROR(IF($O248=V$387,100,V247)*INDEX($B$2:$B$428,MATCH($O248,$A$2:$A$428,0))/INDEX($B$2:$B$428,MATCH($O248,$A$2:$A$428,0)-1),""))</f>
        <v/>
      </c>
      <c r="W248" s="19" t="str" cm="1">
        <f t="array" ref="W248">IF(OR($O248&lt;W$387,$O248&gt;W$388),"",IFERROR(IF($O248=W$387,100,W247)*INDEX($B$2:$B$428,MATCH($O248,$A$2:$A$428,0))/INDEX($B$2:$B$428,MATCH($O248,$A$2:$A$428,0)-1),""))</f>
        <v/>
      </c>
      <c r="X248" s="19" t="str" cm="1">
        <f t="array" ref="X248">IF(OR($O248&lt;X$387,$O248&gt;X$388),"",IFERROR(IF($O248=X$387,100,X247)*INDEX($B$2:$B$428,MATCH($O248,$A$2:$A$428,0))/INDEX($B$2:$B$428,MATCH($O248,$A$2:$A$428,0)-1),""))</f>
        <v/>
      </c>
      <c r="AA248" s="19"/>
      <c r="AB248" s="19"/>
      <c r="AC248" s="19"/>
      <c r="AD248" s="19"/>
      <c r="AE248" s="19"/>
      <c r="AF248" s="19"/>
      <c r="AG248" s="19"/>
      <c r="AH248" s="19"/>
      <c r="AJ248" s="11">
        <v>40360</v>
      </c>
      <c r="AK248">
        <v>3651316.1</v>
      </c>
      <c r="AL248" s="26">
        <f t="shared" si="30"/>
        <v>0.63018781091015375</v>
      </c>
    </row>
    <row r="249" spans="1:38" x14ac:dyDescent="0.3">
      <c r="A249" s="11">
        <v>40756</v>
      </c>
      <c r="B249" s="18">
        <v>1068430.6499999999</v>
      </c>
      <c r="C249" s="18">
        <v>1568355.81</v>
      </c>
      <c r="D249" s="18">
        <v>2505659.15</v>
      </c>
      <c r="E249" s="11">
        <f t="shared" si="25"/>
        <v>40756</v>
      </c>
      <c r="F249" s="9">
        <f t="shared" si="27"/>
        <v>8.3811528796570611E-2</v>
      </c>
      <c r="G249" s="9">
        <f t="shared" si="28"/>
        <v>7.4622213638462442E-2</v>
      </c>
      <c r="H249" s="9">
        <f t="shared" si="29"/>
        <v>8.3277129426952978E-2</v>
      </c>
      <c r="I249" s="11">
        <f t="shared" si="26"/>
        <v>40756</v>
      </c>
      <c r="O249" s="11">
        <v>42217</v>
      </c>
      <c r="P249" s="19" t="str" cm="1">
        <f t="array" ref="P249">IF(OR($O249&lt;P$387,$O249&gt;P$388),"",IFERROR(IF($O249=P$387,100,P248)*INDEX($B$2:$B$428,MATCH($O249,$A$2:$A$428,0))/INDEX($B$2:$B$428,MATCH($O249,$A$2:$A$428,0)-1),""))</f>
        <v/>
      </c>
      <c r="Q249" s="19" t="str" cm="1">
        <f t="array" ref="Q249">IF(OR($O249&lt;Q$387,$O249&gt;Q$388),"",IFERROR(IF($O249=Q$387,100,Q248)*INDEX($B$2:$B$428,MATCH($O249,$A$2:$A$428,0))/INDEX($B$2:$B$428,MATCH($O249,$A$2:$A$428,0)-1),""))</f>
        <v/>
      </c>
      <c r="R249" s="19" t="str" cm="1">
        <f t="array" ref="R249">IF(OR($O249&lt;R$387,$O249&gt;R$388),"",IFERROR(IF($O249=R$387,100,R248)*INDEX($B$2:$B$428,MATCH($O249,$A$2:$A$428,0))/INDEX($B$2:$B$428,MATCH($O249,$A$2:$A$428,0)-1),""))</f>
        <v/>
      </c>
      <c r="S249" s="19" t="str" cm="1">
        <f t="array" ref="S249">IF(OR($O249&lt;S$387,$O249&gt;S$388),"",IFERROR(IF($O249=S$387,100,S248)*INDEX($B$2:$B$428,MATCH($O249,$A$2:$A$428,0))/INDEX($B$2:$B$428,MATCH($O249,$A$2:$A$428,0)-1),""))</f>
        <v/>
      </c>
      <c r="T249" s="19" t="str" cm="1">
        <f t="array" ref="T249">IF(OR($O249&lt;T$387,$O249&gt;T$388),"",IFERROR(IF($O249=T$387,100,T248)*INDEX($B$2:$B$428,MATCH($O249,$A$2:$A$428,0))/INDEX($B$2:$B$428,MATCH($O249,$A$2:$A$428,0)-1),""))</f>
        <v/>
      </c>
      <c r="U249" s="19" cm="1">
        <f t="array" ref="U249">IF(OR($O249&lt;U$387,$O249&gt;U$388),"",IFERROR(IF($O249=U$387,100,U248)*INDEX($B$2:$B$428,MATCH($O249,$A$2:$A$428,0))/INDEX($B$2:$B$428,MATCH($O249,$A$2:$A$428,0)-1),""))</f>
        <v>97.157621353067412</v>
      </c>
      <c r="V249" s="19" t="str" cm="1">
        <f t="array" ref="V249">IF(OR($O249&lt;V$387,$O249&gt;V$388),"",IFERROR(IF($O249=V$387,100,V248)*INDEX($B$2:$B$428,MATCH($O249,$A$2:$A$428,0))/INDEX($B$2:$B$428,MATCH($O249,$A$2:$A$428,0)-1),""))</f>
        <v/>
      </c>
      <c r="W249" s="19" t="str" cm="1">
        <f t="array" ref="W249">IF(OR($O249&lt;W$387,$O249&gt;W$388),"",IFERROR(IF($O249=W$387,100,W248)*INDEX($B$2:$B$428,MATCH($O249,$A$2:$A$428,0))/INDEX($B$2:$B$428,MATCH($O249,$A$2:$A$428,0)-1),""))</f>
        <v/>
      </c>
      <c r="X249" s="19" t="str" cm="1">
        <f t="array" ref="X249">IF(OR($O249&lt;X$387,$O249&gt;X$388),"",IFERROR(IF($O249=X$387,100,X248)*INDEX($B$2:$B$428,MATCH($O249,$A$2:$A$428,0))/INDEX($B$2:$B$428,MATCH($O249,$A$2:$A$428,0)-1),""))</f>
        <v/>
      </c>
      <c r="AA249" s="19"/>
      <c r="AB249" s="19"/>
      <c r="AC249" s="19"/>
      <c r="AD249" s="19"/>
      <c r="AE249" s="19"/>
      <c r="AF249" s="19"/>
      <c r="AG249" s="19"/>
      <c r="AH249" s="19"/>
      <c r="AJ249" s="11">
        <v>40391</v>
      </c>
      <c r="AK249">
        <v>3701177.9</v>
      </c>
      <c r="AL249" s="26">
        <f t="shared" si="30"/>
        <v>0.62494595031489841</v>
      </c>
    </row>
    <row r="250" spans="1:38" x14ac:dyDescent="0.3">
      <c r="A250" s="11">
        <v>40787</v>
      </c>
      <c r="B250" s="18">
        <v>992264.2</v>
      </c>
      <c r="C250" s="18">
        <v>1501918.85</v>
      </c>
      <c r="D250" s="18">
        <v>2563162.5099999998</v>
      </c>
      <c r="E250" s="11">
        <f t="shared" si="25"/>
        <v>40787</v>
      </c>
      <c r="F250" s="9">
        <f t="shared" si="27"/>
        <v>1.1705373261889918E-2</v>
      </c>
      <c r="G250" s="9">
        <f t="shared" si="28"/>
        <v>3.7071538139113347E-2</v>
      </c>
      <c r="H250" s="9">
        <f t="shared" si="29"/>
        <v>9.7049794697986691E-2</v>
      </c>
      <c r="I250" s="11">
        <f t="shared" si="26"/>
        <v>40787</v>
      </c>
      <c r="O250" s="11">
        <v>42248</v>
      </c>
      <c r="P250" s="19" t="str" cm="1">
        <f t="array" ref="P250">IF(OR($O250&lt;P$387,$O250&gt;P$388),"",IFERROR(IF($O250=P$387,100,P249)*INDEX($B$2:$B$428,MATCH($O250,$A$2:$A$428,0))/INDEX($B$2:$B$428,MATCH($O250,$A$2:$A$428,0)-1),""))</f>
        <v/>
      </c>
      <c r="Q250" s="19" t="str" cm="1">
        <f t="array" ref="Q250">IF(OR($O250&lt;Q$387,$O250&gt;Q$388),"",IFERROR(IF($O250=Q$387,100,Q249)*INDEX($B$2:$B$428,MATCH($O250,$A$2:$A$428,0))/INDEX($B$2:$B$428,MATCH($O250,$A$2:$A$428,0)-1),""))</f>
        <v/>
      </c>
      <c r="R250" s="19" t="str" cm="1">
        <f t="array" ref="R250">IF(OR($O250&lt;R$387,$O250&gt;R$388),"",IFERROR(IF($O250=R$387,100,R249)*INDEX($B$2:$B$428,MATCH($O250,$A$2:$A$428,0))/INDEX($B$2:$B$428,MATCH($O250,$A$2:$A$428,0)-1),""))</f>
        <v/>
      </c>
      <c r="S250" s="19" t="str" cm="1">
        <f t="array" ref="S250">IF(OR($O250&lt;S$387,$O250&gt;S$388),"",IFERROR(IF($O250=S$387,100,S249)*INDEX($B$2:$B$428,MATCH($O250,$A$2:$A$428,0))/INDEX($B$2:$B$428,MATCH($O250,$A$2:$A$428,0)-1),""))</f>
        <v/>
      </c>
      <c r="T250" s="19" t="str" cm="1">
        <f t="array" ref="T250">IF(OR($O250&lt;T$387,$O250&gt;T$388),"",IFERROR(IF($O250=T$387,100,T249)*INDEX($B$2:$B$428,MATCH($O250,$A$2:$A$428,0))/INDEX($B$2:$B$428,MATCH($O250,$A$2:$A$428,0)-1),""))</f>
        <v/>
      </c>
      <c r="U250" s="19" cm="1">
        <f t="array" ref="U250">IF(OR($O250&lt;U$387,$O250&gt;U$388),"",IFERROR(IF($O250=U$387,100,U249)*INDEX($B$2:$B$428,MATCH($O250,$A$2:$A$428,0))/INDEX($B$2:$B$428,MATCH($O250,$A$2:$A$428,0)-1),""))</f>
        <v>93.618207448818282</v>
      </c>
      <c r="V250" s="19" t="str" cm="1">
        <f t="array" ref="V250">IF(OR($O250&lt;V$387,$O250&gt;V$388),"",IFERROR(IF($O250=V$387,100,V249)*INDEX($B$2:$B$428,MATCH($O250,$A$2:$A$428,0))/INDEX($B$2:$B$428,MATCH($O250,$A$2:$A$428,0)-1),""))</f>
        <v/>
      </c>
      <c r="W250" s="19" t="str" cm="1">
        <f t="array" ref="W250">IF(OR($O250&lt;W$387,$O250&gt;W$388),"",IFERROR(IF($O250=W$387,100,W249)*INDEX($B$2:$B$428,MATCH($O250,$A$2:$A$428,0))/INDEX($B$2:$B$428,MATCH($O250,$A$2:$A$428,0)-1),""))</f>
        <v/>
      </c>
      <c r="X250" s="19" t="str" cm="1">
        <f t="array" ref="X250">IF(OR($O250&lt;X$387,$O250&gt;X$388),"",IFERROR(IF($O250=X$387,100,X249)*INDEX($B$2:$B$428,MATCH($O250,$A$2:$A$428,0))/INDEX($B$2:$B$428,MATCH($O250,$A$2:$A$428,0)-1),""))</f>
        <v/>
      </c>
      <c r="AA250" s="19"/>
      <c r="AB250" s="19"/>
      <c r="AC250" s="19"/>
      <c r="AD250" s="19"/>
      <c r="AE250" s="19"/>
      <c r="AF250" s="19"/>
      <c r="AG250" s="19"/>
      <c r="AH250" s="19"/>
      <c r="AJ250" s="11">
        <v>40422</v>
      </c>
      <c r="AK250">
        <v>3748968.7</v>
      </c>
      <c r="AL250" s="26">
        <f t="shared" si="30"/>
        <v>0.62321512846986415</v>
      </c>
    </row>
    <row r="251" spans="1:38" x14ac:dyDescent="0.3">
      <c r="A251" s="11">
        <v>40817</v>
      </c>
      <c r="B251" s="18">
        <v>1045548.1</v>
      </c>
      <c r="C251" s="18">
        <v>1557328.59</v>
      </c>
      <c r="D251" s="18">
        <v>2576517.9900000002</v>
      </c>
      <c r="E251" s="11">
        <f t="shared" si="25"/>
        <v>40817</v>
      </c>
      <c r="F251" s="9">
        <f t="shared" si="27"/>
        <v>6.7586131041021513E-2</v>
      </c>
      <c r="G251" s="9">
        <f t="shared" si="28"/>
        <v>7.1979570081375677E-2</v>
      </c>
      <c r="H251" s="9">
        <f t="shared" si="29"/>
        <v>9.1208780723162741E-2</v>
      </c>
      <c r="I251" s="11">
        <f t="shared" si="26"/>
        <v>40817</v>
      </c>
      <c r="O251" s="11">
        <v>42278</v>
      </c>
      <c r="P251" s="19" t="str" cm="1">
        <f t="array" ref="P251">IF(OR($O251&lt;P$387,$O251&gt;P$388),"",IFERROR(IF($O251=P$387,100,P250)*INDEX($B$2:$B$428,MATCH($O251,$A$2:$A$428,0))/INDEX($B$2:$B$428,MATCH($O251,$A$2:$A$428,0)-1),""))</f>
        <v/>
      </c>
      <c r="Q251" s="19" t="str" cm="1">
        <f t="array" ref="Q251">IF(OR($O251&lt;Q$387,$O251&gt;Q$388),"",IFERROR(IF($O251=Q$387,100,Q250)*INDEX($B$2:$B$428,MATCH($O251,$A$2:$A$428,0))/INDEX($B$2:$B$428,MATCH($O251,$A$2:$A$428,0)-1),""))</f>
        <v/>
      </c>
      <c r="R251" s="19" t="str" cm="1">
        <f t="array" ref="R251">IF(OR($O251&lt;R$387,$O251&gt;R$388),"",IFERROR(IF($O251=R$387,100,R250)*INDEX($B$2:$B$428,MATCH($O251,$A$2:$A$428,0))/INDEX($B$2:$B$428,MATCH($O251,$A$2:$A$428,0)-1),""))</f>
        <v/>
      </c>
      <c r="S251" s="19" t="str" cm="1">
        <f t="array" ref="S251">IF(OR($O251&lt;S$387,$O251&gt;S$388),"",IFERROR(IF($O251=S$387,100,S250)*INDEX($B$2:$B$428,MATCH($O251,$A$2:$A$428,0))/INDEX($B$2:$B$428,MATCH($O251,$A$2:$A$428,0)-1),""))</f>
        <v/>
      </c>
      <c r="T251" s="19" t="str" cm="1">
        <f t="array" ref="T251">IF(OR($O251&lt;T$387,$O251&gt;T$388),"",IFERROR(IF($O251=T$387,100,T250)*INDEX($B$2:$B$428,MATCH($O251,$A$2:$A$428,0))/INDEX($B$2:$B$428,MATCH($O251,$A$2:$A$428,0)-1),""))</f>
        <v/>
      </c>
      <c r="U251" s="19" cm="1">
        <f t="array" ref="U251">IF(OR($O251&lt;U$387,$O251&gt;U$388),"",IFERROR(IF($O251=U$387,100,U250)*INDEX($B$2:$B$428,MATCH($O251,$A$2:$A$428,0))/INDEX($B$2:$B$428,MATCH($O251,$A$2:$A$428,0)-1),""))</f>
        <v>98.558490517511771</v>
      </c>
      <c r="V251" s="19" t="str" cm="1">
        <f t="array" ref="V251">IF(OR($O251&lt;V$387,$O251&gt;V$388),"",IFERROR(IF($O251=V$387,100,V250)*INDEX($B$2:$B$428,MATCH($O251,$A$2:$A$428,0))/INDEX($B$2:$B$428,MATCH($O251,$A$2:$A$428,0)-1),""))</f>
        <v/>
      </c>
      <c r="W251" s="19" t="str" cm="1">
        <f t="array" ref="W251">IF(OR($O251&lt;W$387,$O251&gt;W$388),"",IFERROR(IF($O251=W$387,100,W250)*INDEX($B$2:$B$428,MATCH($O251,$A$2:$A$428,0))/INDEX($B$2:$B$428,MATCH($O251,$A$2:$A$428,0)-1),""))</f>
        <v/>
      </c>
      <c r="X251" s="19" t="str" cm="1">
        <f t="array" ref="X251">IF(OR($O251&lt;X$387,$O251&gt;X$388),"",IFERROR(IF($O251=X$387,100,X250)*INDEX($B$2:$B$428,MATCH($O251,$A$2:$A$428,0))/INDEX($B$2:$B$428,MATCH($O251,$A$2:$A$428,0)-1),""))</f>
        <v/>
      </c>
      <c r="AA251" s="19"/>
      <c r="AB251" s="19"/>
      <c r="AC251" s="19"/>
      <c r="AD251" s="19"/>
      <c r="AE251" s="19"/>
      <c r="AF251" s="19"/>
      <c r="AG251" s="19"/>
      <c r="AH251" s="19"/>
      <c r="AJ251" s="11">
        <v>40452</v>
      </c>
      <c r="AK251">
        <v>3790766</v>
      </c>
      <c r="AL251" s="26">
        <f t="shared" si="30"/>
        <v>0.62287134315333625</v>
      </c>
    </row>
    <row r="252" spans="1:38" x14ac:dyDescent="0.3">
      <c r="A252" s="11">
        <v>40848</v>
      </c>
      <c r="B252" s="18">
        <v>1015348</v>
      </c>
      <c r="C252" s="18">
        <v>1535015.14</v>
      </c>
      <c r="D252" s="18">
        <v>2615982.0699999998</v>
      </c>
      <c r="E252" s="11">
        <f t="shared" si="25"/>
        <v>40848</v>
      </c>
      <c r="F252" s="9">
        <f t="shared" si="27"/>
        <v>2.6630027491514774E-2</v>
      </c>
      <c r="G252" s="9">
        <f t="shared" si="28"/>
        <v>4.5398626621270477E-2</v>
      </c>
      <c r="H252" s="9">
        <f t="shared" si="29"/>
        <v>9.5268570214341208E-2</v>
      </c>
      <c r="I252" s="11">
        <f t="shared" si="26"/>
        <v>40848</v>
      </c>
      <c r="O252" s="11">
        <v>42309</v>
      </c>
      <c r="P252" s="19" t="str" cm="1">
        <f t="array" ref="P252">IF(OR($O252&lt;P$387,$O252&gt;P$388),"",IFERROR(IF($O252=P$387,100,P251)*INDEX($B$2:$B$428,MATCH($O252,$A$2:$A$428,0))/INDEX($B$2:$B$428,MATCH($O252,$A$2:$A$428,0)-1),""))</f>
        <v/>
      </c>
      <c r="Q252" s="19" t="str" cm="1">
        <f t="array" ref="Q252">IF(OR($O252&lt;Q$387,$O252&gt;Q$388),"",IFERROR(IF($O252=Q$387,100,Q251)*INDEX($B$2:$B$428,MATCH($O252,$A$2:$A$428,0))/INDEX($B$2:$B$428,MATCH($O252,$A$2:$A$428,0)-1),""))</f>
        <v/>
      </c>
      <c r="R252" s="19" t="str" cm="1">
        <f t="array" ref="R252">IF(OR($O252&lt;R$387,$O252&gt;R$388),"",IFERROR(IF($O252=R$387,100,R251)*INDEX($B$2:$B$428,MATCH($O252,$A$2:$A$428,0))/INDEX($B$2:$B$428,MATCH($O252,$A$2:$A$428,0)-1),""))</f>
        <v/>
      </c>
      <c r="S252" s="19" t="str" cm="1">
        <f t="array" ref="S252">IF(OR($O252&lt;S$387,$O252&gt;S$388),"",IFERROR(IF($O252=S$387,100,S251)*INDEX($B$2:$B$428,MATCH($O252,$A$2:$A$428,0))/INDEX($B$2:$B$428,MATCH($O252,$A$2:$A$428,0)-1),""))</f>
        <v/>
      </c>
      <c r="T252" s="19" t="str" cm="1">
        <f t="array" ref="T252">IF(OR($O252&lt;T$387,$O252&gt;T$388),"",IFERROR(IF($O252=T$387,100,T251)*INDEX($B$2:$B$428,MATCH($O252,$A$2:$A$428,0))/INDEX($B$2:$B$428,MATCH($O252,$A$2:$A$428,0)-1),""))</f>
        <v/>
      </c>
      <c r="U252" s="19" cm="1">
        <f t="array" ref="U252">IF(OR($O252&lt;U$387,$O252&gt;U$388),"",IFERROR(IF($O252=U$387,100,U251)*INDEX($B$2:$B$428,MATCH($O252,$A$2:$A$428,0))/INDEX($B$2:$B$428,MATCH($O252,$A$2:$A$428,0)-1),""))</f>
        <v>102.22147943916895</v>
      </c>
      <c r="V252" s="19" t="str" cm="1">
        <f t="array" ref="V252">IF(OR($O252&lt;V$387,$O252&gt;V$388),"",IFERROR(IF($O252=V$387,100,V251)*INDEX($B$2:$B$428,MATCH($O252,$A$2:$A$428,0))/INDEX($B$2:$B$428,MATCH($O252,$A$2:$A$428,0)-1),""))</f>
        <v/>
      </c>
      <c r="W252" s="19" t="str" cm="1">
        <f t="array" ref="W252">IF(OR($O252&lt;W$387,$O252&gt;W$388),"",IFERROR(IF($O252=W$387,100,W251)*INDEX($B$2:$B$428,MATCH($O252,$A$2:$A$428,0))/INDEX($B$2:$B$428,MATCH($O252,$A$2:$A$428,0)-1),""))</f>
        <v/>
      </c>
      <c r="X252" s="19" t="str" cm="1">
        <f t="array" ref="X252">IF(OR($O252&lt;X$387,$O252&gt;X$388),"",IFERROR(IF($O252=X$387,100,X251)*INDEX($B$2:$B$428,MATCH($O252,$A$2:$A$428,0))/INDEX($B$2:$B$428,MATCH($O252,$A$2:$A$428,0)-1),""))</f>
        <v/>
      </c>
      <c r="AA252" s="19"/>
      <c r="AB252" s="19"/>
      <c r="AC252" s="19"/>
      <c r="AD252" s="19"/>
      <c r="AE252" s="19"/>
      <c r="AF252" s="19"/>
      <c r="AG252" s="19"/>
      <c r="AH252" s="19"/>
      <c r="AJ252" s="11">
        <v>40483</v>
      </c>
      <c r="AK252">
        <v>3841254.3</v>
      </c>
      <c r="AL252" s="26">
        <f t="shared" si="30"/>
        <v>0.62178619884655917</v>
      </c>
    </row>
    <row r="253" spans="1:38" x14ac:dyDescent="0.3">
      <c r="A253" s="11">
        <v>40878</v>
      </c>
      <c r="B253" s="18">
        <v>1009191.85</v>
      </c>
      <c r="C253" s="18">
        <v>1536153.85</v>
      </c>
      <c r="D253" s="18">
        <v>2653562.75</v>
      </c>
      <c r="E253" s="11">
        <f t="shared" si="25"/>
        <v>40878</v>
      </c>
      <c r="F253" s="9">
        <f t="shared" si="27"/>
        <v>8.0660619832981784E-3</v>
      </c>
      <c r="G253" s="9">
        <f t="shared" si="28"/>
        <v>2.7332122170325324E-2</v>
      </c>
      <c r="H253" s="9">
        <f t="shared" si="29"/>
        <v>9.3775162983484206E-2</v>
      </c>
      <c r="I253" s="11">
        <f t="shared" si="26"/>
        <v>40878</v>
      </c>
      <c r="O253" s="11">
        <v>42339</v>
      </c>
      <c r="P253" s="19" t="str" cm="1">
        <f t="array" ref="P253">IF(OR($O253&lt;P$387,$O253&gt;P$388),"",IFERROR(IF($O253=P$387,100,P252)*INDEX($B$2:$B$428,MATCH($O253,$A$2:$A$428,0))/INDEX($B$2:$B$428,MATCH($O253,$A$2:$A$428,0)-1),""))</f>
        <v/>
      </c>
      <c r="Q253" s="19" t="str" cm="1">
        <f t="array" ref="Q253">IF(OR($O253&lt;Q$387,$O253&gt;Q$388),"",IFERROR(IF($O253=Q$387,100,Q252)*INDEX($B$2:$B$428,MATCH($O253,$A$2:$A$428,0))/INDEX($B$2:$B$428,MATCH($O253,$A$2:$A$428,0)-1),""))</f>
        <v/>
      </c>
      <c r="R253" s="19" t="str" cm="1">
        <f t="array" ref="R253">IF(OR($O253&lt;R$387,$O253&gt;R$388),"",IFERROR(IF($O253=R$387,100,R252)*INDEX($B$2:$B$428,MATCH($O253,$A$2:$A$428,0))/INDEX($B$2:$B$428,MATCH($O253,$A$2:$A$428,0)-1),""))</f>
        <v/>
      </c>
      <c r="S253" s="19" t="str" cm="1">
        <f t="array" ref="S253">IF(OR($O253&lt;S$387,$O253&gt;S$388),"",IFERROR(IF($O253=S$387,100,S252)*INDEX($B$2:$B$428,MATCH($O253,$A$2:$A$428,0))/INDEX($B$2:$B$428,MATCH($O253,$A$2:$A$428,0)-1),""))</f>
        <v/>
      </c>
      <c r="T253" s="19" t="str" cm="1">
        <f t="array" ref="T253">IF(OR($O253&lt;T$387,$O253&gt;T$388),"",IFERROR(IF($O253=T$387,100,T252)*INDEX($B$2:$B$428,MATCH($O253,$A$2:$A$428,0))/INDEX($B$2:$B$428,MATCH($O253,$A$2:$A$428,0)-1),""))</f>
        <v/>
      </c>
      <c r="U253" s="19" cm="1">
        <f t="array" ref="U253">IF(OR($O253&lt;U$387,$O253&gt;U$388),"",IFERROR(IF($O253=U$387,100,U252)*INDEX($B$2:$B$428,MATCH($O253,$A$2:$A$428,0))/INDEX($B$2:$B$428,MATCH($O253,$A$2:$A$428,0)-1),""))</f>
        <v>109.35154989476877</v>
      </c>
      <c r="V253" s="19" t="str" cm="1">
        <f t="array" ref="V253">IF(OR($O253&lt;V$387,$O253&gt;V$388),"",IFERROR(IF($O253=V$387,100,V252)*INDEX($B$2:$B$428,MATCH($O253,$A$2:$A$428,0))/INDEX($B$2:$B$428,MATCH($O253,$A$2:$A$428,0)-1),""))</f>
        <v/>
      </c>
      <c r="W253" s="19" t="str" cm="1">
        <f t="array" ref="W253">IF(OR($O253&lt;W$387,$O253&gt;W$388),"",IFERROR(IF($O253=W$387,100,W252)*INDEX($B$2:$B$428,MATCH($O253,$A$2:$A$428,0))/INDEX($B$2:$B$428,MATCH($O253,$A$2:$A$428,0)-1),""))</f>
        <v/>
      </c>
      <c r="X253" s="19" t="str" cm="1">
        <f t="array" ref="X253">IF(OR($O253&lt;X$387,$O253&gt;X$388),"",IFERROR(IF($O253=X$387,100,X252)*INDEX($B$2:$B$428,MATCH($O253,$A$2:$A$428,0))/INDEX($B$2:$B$428,MATCH($O253,$A$2:$A$428,0)-1),""))</f>
        <v/>
      </c>
      <c r="AA253" s="19"/>
      <c r="AB253" s="19"/>
      <c r="AC253" s="19"/>
      <c r="AD253" s="19"/>
      <c r="AE253" s="19"/>
      <c r="AF253" s="19"/>
      <c r="AG253" s="19"/>
      <c r="AH253" s="19"/>
      <c r="AJ253" s="11">
        <v>40513</v>
      </c>
      <c r="AK253">
        <v>3885847</v>
      </c>
      <c r="AL253" s="26">
        <f t="shared" si="30"/>
        <v>0.62433201821893658</v>
      </c>
    </row>
    <row r="254" spans="1:38" x14ac:dyDescent="0.3">
      <c r="A254" s="11">
        <v>40909</v>
      </c>
      <c r="B254" s="18">
        <v>1051669.8400000001</v>
      </c>
      <c r="C254" s="18">
        <v>1571757.02</v>
      </c>
      <c r="D254" s="18">
        <v>2624036.46</v>
      </c>
      <c r="E254" s="11">
        <f t="shared" si="25"/>
        <v>40909</v>
      </c>
      <c r="F254" s="9">
        <f t="shared" si="27"/>
        <v>5.0921688849707936E-2</v>
      </c>
      <c r="G254" s="9">
        <f t="shared" si="28"/>
        <v>5.0606375139911952E-2</v>
      </c>
      <c r="H254" s="9">
        <f t="shared" si="29"/>
        <v>0.11523731567569984</v>
      </c>
      <c r="I254" s="11">
        <f t="shared" si="26"/>
        <v>40909</v>
      </c>
      <c r="O254" s="11">
        <v>42370</v>
      </c>
      <c r="P254" s="19" t="str" cm="1">
        <f t="array" ref="P254">IF(OR($O254&lt;P$387,$O254&gt;P$388),"",IFERROR(IF($O254=P$387,100,P253)*INDEX($B$2:$B$428,MATCH($O254,$A$2:$A$428,0))/INDEX($B$2:$B$428,MATCH($O254,$A$2:$A$428,0)-1),""))</f>
        <v/>
      </c>
      <c r="Q254" s="19" t="str" cm="1">
        <f t="array" ref="Q254">IF(OR($O254&lt;Q$387,$O254&gt;Q$388),"",IFERROR(IF($O254=Q$387,100,Q253)*INDEX($B$2:$B$428,MATCH($O254,$A$2:$A$428,0))/INDEX($B$2:$B$428,MATCH($O254,$A$2:$A$428,0)-1),""))</f>
        <v/>
      </c>
      <c r="R254" s="19" t="str" cm="1">
        <f t="array" ref="R254">IF(OR($O254&lt;R$387,$O254&gt;R$388),"",IFERROR(IF($O254=R$387,100,R253)*INDEX($B$2:$B$428,MATCH($O254,$A$2:$A$428,0))/INDEX($B$2:$B$428,MATCH($O254,$A$2:$A$428,0)-1),""))</f>
        <v/>
      </c>
      <c r="S254" s="19" t="str" cm="1">
        <f t="array" ref="S254">IF(OR($O254&lt;S$387,$O254&gt;S$388),"",IFERROR(IF($O254=S$387,100,S253)*INDEX($B$2:$B$428,MATCH($O254,$A$2:$A$428,0))/INDEX($B$2:$B$428,MATCH($O254,$A$2:$A$428,0)-1),""))</f>
        <v/>
      </c>
      <c r="T254" s="19" t="str" cm="1">
        <f t="array" ref="T254">IF(OR($O254&lt;T$387,$O254&gt;T$388),"",IFERROR(IF($O254=T$387,100,T253)*INDEX($B$2:$B$428,MATCH($O254,$A$2:$A$428,0))/INDEX($B$2:$B$428,MATCH($O254,$A$2:$A$428,0)-1),""))</f>
        <v/>
      </c>
      <c r="U254" s="19" cm="1">
        <f t="array" ref="U254">IF(OR($O254&lt;U$387,$O254&gt;U$388),"",IFERROR(IF($O254=U$387,100,U253)*INDEX($B$2:$B$428,MATCH($O254,$A$2:$A$428,0))/INDEX($B$2:$B$428,MATCH($O254,$A$2:$A$428,0)-1),""))</f>
        <v>107.60832294657665</v>
      </c>
      <c r="V254" s="19" t="str" cm="1">
        <f t="array" ref="V254">IF(OR($O254&lt;V$387,$O254&gt;V$388),"",IFERROR(IF($O254=V$387,100,V253)*INDEX($B$2:$B$428,MATCH($O254,$A$2:$A$428,0))/INDEX($B$2:$B$428,MATCH($O254,$A$2:$A$428,0)-1),""))</f>
        <v/>
      </c>
      <c r="W254" s="19" t="str" cm="1">
        <f t="array" ref="W254">IF(OR($O254&lt;W$387,$O254&gt;W$388),"",IFERROR(IF($O254=W$387,100,W253)*INDEX($B$2:$B$428,MATCH($O254,$A$2:$A$428,0))/INDEX($B$2:$B$428,MATCH($O254,$A$2:$A$428,0)-1),""))</f>
        <v/>
      </c>
      <c r="X254" s="19" t="str" cm="1">
        <f t="array" ref="X254">IF(OR($O254&lt;X$387,$O254&gt;X$388),"",IFERROR(IF($O254=X$387,100,X253)*INDEX($B$2:$B$428,MATCH($O254,$A$2:$A$428,0))/INDEX($B$2:$B$428,MATCH($O254,$A$2:$A$428,0)-1),""))</f>
        <v/>
      </c>
      <c r="AA254" s="19"/>
      <c r="AB254" s="19"/>
      <c r="AC254" s="19"/>
      <c r="AD254" s="19"/>
      <c r="AE254" s="19"/>
      <c r="AF254" s="19"/>
      <c r="AG254" s="19"/>
      <c r="AH254" s="19"/>
      <c r="AJ254" s="11">
        <v>40544</v>
      </c>
      <c r="AK254">
        <v>3929051.6</v>
      </c>
      <c r="AL254" s="26">
        <f t="shared" si="30"/>
        <v>0.59884556873724948</v>
      </c>
    </row>
    <row r="255" spans="1:38" x14ac:dyDescent="0.3">
      <c r="A255" s="11">
        <v>40940</v>
      </c>
      <c r="B255" s="18">
        <v>1072325.1499999999</v>
      </c>
      <c r="C255" s="18">
        <v>1590253.05</v>
      </c>
      <c r="D255" s="18">
        <v>2719737.34</v>
      </c>
      <c r="E255" s="11">
        <f t="shared" si="25"/>
        <v>40940</v>
      </c>
      <c r="F255" s="9">
        <f t="shared" si="27"/>
        <v>5.6803132069077611E-2</v>
      </c>
      <c r="G255" s="9">
        <f t="shared" si="28"/>
        <v>4.9930145199795328E-2</v>
      </c>
      <c r="H255" s="9">
        <f t="shared" si="29"/>
        <v>0.13358950262099945</v>
      </c>
      <c r="I255" s="11">
        <f t="shared" si="26"/>
        <v>40940</v>
      </c>
      <c r="O255" s="11">
        <v>42401</v>
      </c>
      <c r="P255" s="19" t="str" cm="1">
        <f t="array" ref="P255">IF(OR($O255&lt;P$387,$O255&gt;P$388),"",IFERROR(IF($O255=P$387,100,P254)*INDEX($B$2:$B$428,MATCH($O255,$A$2:$A$428,0))/INDEX($B$2:$B$428,MATCH($O255,$A$2:$A$428,0)-1),""))</f>
        <v/>
      </c>
      <c r="Q255" s="19" t="str" cm="1">
        <f t="array" ref="Q255">IF(OR($O255&lt;Q$387,$O255&gt;Q$388),"",IFERROR(IF($O255=Q$387,100,Q254)*INDEX($B$2:$B$428,MATCH($O255,$A$2:$A$428,0))/INDEX($B$2:$B$428,MATCH($O255,$A$2:$A$428,0)-1),""))</f>
        <v/>
      </c>
      <c r="R255" s="19" t="str" cm="1">
        <f t="array" ref="R255">IF(OR($O255&lt;R$387,$O255&gt;R$388),"",IFERROR(IF($O255=R$387,100,R254)*INDEX($B$2:$B$428,MATCH($O255,$A$2:$A$428,0))/INDEX($B$2:$B$428,MATCH($O255,$A$2:$A$428,0)-1),""))</f>
        <v/>
      </c>
      <c r="S255" s="19" t="str" cm="1">
        <f t="array" ref="S255">IF(OR($O255&lt;S$387,$O255&gt;S$388),"",IFERROR(IF($O255=S$387,100,S254)*INDEX($B$2:$B$428,MATCH($O255,$A$2:$A$428,0))/INDEX($B$2:$B$428,MATCH($O255,$A$2:$A$428,0)-1),""))</f>
        <v/>
      </c>
      <c r="T255" s="19" t="str" cm="1">
        <f t="array" ref="T255">IF(OR($O255&lt;T$387,$O255&gt;T$388),"",IFERROR(IF($O255=T$387,100,T254)*INDEX($B$2:$B$428,MATCH($O255,$A$2:$A$428,0))/INDEX($B$2:$B$428,MATCH($O255,$A$2:$A$428,0)-1),""))</f>
        <v/>
      </c>
      <c r="U255" s="19" cm="1">
        <f t="array" ref="U255">IF(OR($O255&lt;U$387,$O255&gt;U$388),"",IFERROR(IF($O255=U$387,100,U254)*INDEX($B$2:$B$428,MATCH($O255,$A$2:$A$428,0))/INDEX($B$2:$B$428,MATCH($O255,$A$2:$A$428,0)-1),""))</f>
        <v>116.56039990286169</v>
      </c>
      <c r="V255" s="19" t="str" cm="1">
        <f t="array" ref="V255">IF(OR($O255&lt;V$387,$O255&gt;V$388),"",IFERROR(IF($O255=V$387,100,V254)*INDEX($B$2:$B$428,MATCH($O255,$A$2:$A$428,0))/INDEX($B$2:$B$428,MATCH($O255,$A$2:$A$428,0)-1),""))</f>
        <v/>
      </c>
      <c r="W255" s="19" t="str" cm="1">
        <f t="array" ref="W255">IF(OR($O255&lt;W$387,$O255&gt;W$388),"",IFERROR(IF($O255=W$387,100,W254)*INDEX($B$2:$B$428,MATCH($O255,$A$2:$A$428,0))/INDEX($B$2:$B$428,MATCH($O255,$A$2:$A$428,0)-1),""))</f>
        <v/>
      </c>
      <c r="X255" s="19" t="str" cm="1">
        <f t="array" ref="X255">IF(OR($O255&lt;X$387,$O255&gt;X$388),"",IFERROR(IF($O255=X$387,100,X254)*INDEX($B$2:$B$428,MATCH($O255,$A$2:$A$428,0))/INDEX($B$2:$B$428,MATCH($O255,$A$2:$A$428,0)-1),""))</f>
        <v/>
      </c>
      <c r="AA255" s="19"/>
      <c r="AB255" s="19"/>
      <c r="AC255" s="19"/>
      <c r="AD255" s="19"/>
      <c r="AE255" s="19"/>
      <c r="AF255" s="19"/>
      <c r="AG255" s="19"/>
      <c r="AH255" s="19"/>
      <c r="AJ255" s="11">
        <v>40575</v>
      </c>
      <c r="AK255">
        <v>3978013</v>
      </c>
      <c r="AL255" s="26">
        <f t="shared" si="30"/>
        <v>0.60312169417244232</v>
      </c>
    </row>
    <row r="256" spans="1:38" x14ac:dyDescent="0.3">
      <c r="A256" s="11">
        <v>40969</v>
      </c>
      <c r="B256" s="18">
        <v>1044798.88</v>
      </c>
      <c r="C256" s="18">
        <v>1557626.95</v>
      </c>
      <c r="D256" s="18">
        <v>2694371.98</v>
      </c>
      <c r="E256" s="11">
        <f t="shared" si="25"/>
        <v>40969</v>
      </c>
      <c r="F256" s="9">
        <f t="shared" si="27"/>
        <v>1.6157436023517935E-2</v>
      </c>
      <c r="G256" s="9">
        <f t="shared" si="28"/>
        <v>2.0018358703078665E-2</v>
      </c>
      <c r="H256" s="9">
        <f t="shared" si="29"/>
        <v>0.11145357268780032</v>
      </c>
      <c r="I256" s="11">
        <f t="shared" si="26"/>
        <v>40969</v>
      </c>
      <c r="O256" s="11">
        <v>42430</v>
      </c>
      <c r="P256" s="19" t="str" cm="1">
        <f t="array" ref="P256">IF(OR($O256&lt;P$387,$O256&gt;P$388),"",IFERROR(IF($O256=P$387,100,P255)*INDEX($B$2:$B$428,MATCH($O256,$A$2:$A$428,0))/INDEX($B$2:$B$428,MATCH($O256,$A$2:$A$428,0)-1),""))</f>
        <v/>
      </c>
      <c r="Q256" s="19" t="str" cm="1">
        <f t="array" ref="Q256">IF(OR($O256&lt;Q$387,$O256&gt;Q$388),"",IFERROR(IF($O256=Q$387,100,Q255)*INDEX($B$2:$B$428,MATCH($O256,$A$2:$A$428,0))/INDEX($B$2:$B$428,MATCH($O256,$A$2:$A$428,0)-1),""))</f>
        <v/>
      </c>
      <c r="R256" s="19" t="str" cm="1">
        <f t="array" ref="R256">IF(OR($O256&lt;R$387,$O256&gt;R$388),"",IFERROR(IF($O256=R$387,100,R255)*INDEX($B$2:$B$428,MATCH($O256,$A$2:$A$428,0))/INDEX($B$2:$B$428,MATCH($O256,$A$2:$A$428,0)-1),""))</f>
        <v/>
      </c>
      <c r="S256" s="19" t="str" cm="1">
        <f t="array" ref="S256">IF(OR($O256&lt;S$387,$O256&gt;S$388),"",IFERROR(IF($O256=S$387,100,S255)*INDEX($B$2:$B$428,MATCH($O256,$A$2:$A$428,0))/INDEX($B$2:$B$428,MATCH($O256,$A$2:$A$428,0)-1),""))</f>
        <v/>
      </c>
      <c r="T256" s="19" t="str" cm="1">
        <f t="array" ref="T256">IF(OR($O256&lt;T$387,$O256&gt;T$388),"",IFERROR(IF($O256=T$387,100,T255)*INDEX($B$2:$B$428,MATCH($O256,$A$2:$A$428,0))/INDEX($B$2:$B$428,MATCH($O256,$A$2:$A$428,0)-1),""))</f>
        <v/>
      </c>
      <c r="U256" s="19" cm="1">
        <f t="array" ref="U256">IF(OR($O256&lt;U$387,$O256&gt;U$388),"",IFERROR(IF($O256=U$387,100,U255)*INDEX($B$2:$B$428,MATCH($O256,$A$2:$A$428,0))/INDEX($B$2:$B$428,MATCH($O256,$A$2:$A$428,0)-1),""))</f>
        <v>127.75110575296034</v>
      </c>
      <c r="V256" s="19" t="str" cm="1">
        <f t="array" ref="V256">IF(OR($O256&lt;V$387,$O256&gt;V$388),"",IFERROR(IF($O256=V$387,100,V255)*INDEX($B$2:$B$428,MATCH($O256,$A$2:$A$428,0))/INDEX($B$2:$B$428,MATCH($O256,$A$2:$A$428,0)-1),""))</f>
        <v/>
      </c>
      <c r="W256" s="19" t="str" cm="1">
        <f t="array" ref="W256">IF(OR($O256&lt;W$387,$O256&gt;W$388),"",IFERROR(IF($O256=W$387,100,W255)*INDEX($B$2:$B$428,MATCH($O256,$A$2:$A$428,0))/INDEX($B$2:$B$428,MATCH($O256,$A$2:$A$428,0)-1),""))</f>
        <v/>
      </c>
      <c r="X256" s="19" t="str" cm="1">
        <f t="array" ref="X256">IF(OR($O256&lt;X$387,$O256&gt;X$388),"",IFERROR(IF($O256=X$387,100,X255)*INDEX($B$2:$B$428,MATCH($O256,$A$2:$A$428,0))/INDEX($B$2:$B$428,MATCH($O256,$A$2:$A$428,0)-1),""))</f>
        <v/>
      </c>
      <c r="AA256" s="19"/>
      <c r="AB256" s="19"/>
      <c r="AC256" s="19"/>
      <c r="AD256" s="19"/>
      <c r="AE256" s="19"/>
      <c r="AF256" s="19"/>
      <c r="AG256" s="19"/>
      <c r="AH256" s="19"/>
      <c r="AJ256" s="11">
        <v>40603</v>
      </c>
      <c r="AK256">
        <v>4015980.3</v>
      </c>
      <c r="AL256" s="26">
        <f t="shared" si="30"/>
        <v>0.60363533406774927</v>
      </c>
    </row>
    <row r="257" spans="1:38" x14ac:dyDescent="0.3">
      <c r="A257" s="11">
        <v>41000</v>
      </c>
      <c r="B257" s="18">
        <v>1017171.81</v>
      </c>
      <c r="C257" s="18">
        <v>1534608.97</v>
      </c>
      <c r="D257" s="18">
        <v>2752181.34</v>
      </c>
      <c r="E257" s="11">
        <f t="shared" si="25"/>
        <v>41000</v>
      </c>
      <c r="F257" s="9">
        <f t="shared" si="27"/>
        <v>-2.002577715785947E-2</v>
      </c>
      <c r="G257" s="9">
        <f t="shared" si="28"/>
        <v>-3.4650912407250267E-3</v>
      </c>
      <c r="H257" s="9">
        <f t="shared" si="29"/>
        <v>0.11189852652003629</v>
      </c>
      <c r="I257" s="11">
        <f t="shared" si="26"/>
        <v>41000</v>
      </c>
      <c r="O257" s="11">
        <v>42461</v>
      </c>
      <c r="P257" s="19" t="str" cm="1">
        <f t="array" ref="P257">IF(OR($O257&lt;P$387,$O257&gt;P$388),"",IFERROR(IF($O257=P$387,100,P256)*INDEX($B$2:$B$428,MATCH($O257,$A$2:$A$428,0))/INDEX($B$2:$B$428,MATCH($O257,$A$2:$A$428,0)-1),""))</f>
        <v/>
      </c>
      <c r="Q257" s="19" t="str" cm="1">
        <f t="array" ref="Q257">IF(OR($O257&lt;Q$387,$O257&gt;Q$388),"",IFERROR(IF($O257=Q$387,100,Q256)*INDEX($B$2:$B$428,MATCH($O257,$A$2:$A$428,0))/INDEX($B$2:$B$428,MATCH($O257,$A$2:$A$428,0)-1),""))</f>
        <v/>
      </c>
      <c r="R257" s="19" t="str" cm="1">
        <f t="array" ref="R257">IF(OR($O257&lt;R$387,$O257&gt;R$388),"",IFERROR(IF($O257=R$387,100,R256)*INDEX($B$2:$B$428,MATCH($O257,$A$2:$A$428,0))/INDEX($B$2:$B$428,MATCH($O257,$A$2:$A$428,0)-1),""))</f>
        <v/>
      </c>
      <c r="S257" s="19" t="str" cm="1">
        <f t="array" ref="S257">IF(OR($O257&lt;S$387,$O257&gt;S$388),"",IFERROR(IF($O257=S$387,100,S256)*INDEX($B$2:$B$428,MATCH($O257,$A$2:$A$428,0))/INDEX($B$2:$B$428,MATCH($O257,$A$2:$A$428,0)-1),""))</f>
        <v/>
      </c>
      <c r="T257" s="19" t="str" cm="1">
        <f t="array" ref="T257">IF(OR($O257&lt;T$387,$O257&gt;T$388),"",IFERROR(IF($O257=T$387,100,T256)*INDEX($B$2:$B$428,MATCH($O257,$A$2:$A$428,0))/INDEX($B$2:$B$428,MATCH($O257,$A$2:$A$428,0)-1),""))</f>
        <v/>
      </c>
      <c r="U257" s="19" cm="1">
        <f t="array" ref="U257">IF(OR($O257&lt;U$387,$O257&gt;U$388),"",IFERROR(IF($O257=U$387,100,U256)*INDEX($B$2:$B$428,MATCH($O257,$A$2:$A$428,0))/INDEX($B$2:$B$428,MATCH($O257,$A$2:$A$428,0)-1),""))</f>
        <v>131.22349927863354</v>
      </c>
      <c r="V257" s="19" t="str" cm="1">
        <f t="array" ref="V257">IF(OR($O257&lt;V$387,$O257&gt;V$388),"",IFERROR(IF($O257=V$387,100,V256)*INDEX($B$2:$B$428,MATCH($O257,$A$2:$A$428,0))/INDEX($B$2:$B$428,MATCH($O257,$A$2:$A$428,0)-1),""))</f>
        <v/>
      </c>
      <c r="W257" s="19" t="str" cm="1">
        <f t="array" ref="W257">IF(OR($O257&lt;W$387,$O257&gt;W$388),"",IFERROR(IF($O257=W$387,100,W256)*INDEX($B$2:$B$428,MATCH($O257,$A$2:$A$428,0))/INDEX($B$2:$B$428,MATCH($O257,$A$2:$A$428,0)-1),""))</f>
        <v/>
      </c>
      <c r="X257" s="19" t="str" cm="1">
        <f t="array" ref="X257">IF(OR($O257&lt;X$387,$O257&gt;X$388),"",IFERROR(IF($O257=X$387,100,X256)*INDEX($B$2:$B$428,MATCH($O257,$A$2:$A$428,0))/INDEX($B$2:$B$428,MATCH($O257,$A$2:$A$428,0)-1),""))</f>
        <v/>
      </c>
      <c r="AA257" s="19"/>
      <c r="AB257" s="19"/>
      <c r="AC257" s="19"/>
      <c r="AD257" s="19"/>
      <c r="AE257" s="19"/>
      <c r="AF257" s="19"/>
      <c r="AG257" s="19"/>
      <c r="AH257" s="19"/>
      <c r="AJ257" s="11">
        <v>40634</v>
      </c>
      <c r="AK257">
        <v>4058938.9</v>
      </c>
      <c r="AL257" s="26">
        <f t="shared" si="30"/>
        <v>0.60981678980188636</v>
      </c>
    </row>
    <row r="258" spans="1:38" x14ac:dyDescent="0.3">
      <c r="A258" s="11">
        <v>41030</v>
      </c>
      <c r="B258" s="18">
        <v>985860.38</v>
      </c>
      <c r="C258" s="18">
        <v>1516641.09</v>
      </c>
      <c r="D258" s="18">
        <v>2806031.56</v>
      </c>
      <c r="E258" s="11">
        <f t="shared" ref="E258:E321" si="31">A258</f>
        <v>41030</v>
      </c>
      <c r="F258" s="9">
        <f t="shared" si="27"/>
        <v>-6.0214188834684212E-2</v>
      </c>
      <c r="G258" s="9">
        <f t="shared" si="28"/>
        <v>-2.5097298483843677E-2</v>
      </c>
      <c r="H258" s="9">
        <f t="shared" si="29"/>
        <v>0.12890935736688602</v>
      </c>
      <c r="I258" s="11">
        <f t="shared" ref="I258:I321" si="32">A258</f>
        <v>41030</v>
      </c>
      <c r="O258" s="11">
        <v>42491</v>
      </c>
      <c r="P258" s="19" t="str" cm="1">
        <f t="array" ref="P258">IF(OR($O258&lt;P$387,$O258&gt;P$388),"",IFERROR(IF($O258=P$387,100,P257)*INDEX($B$2:$B$428,MATCH($O258,$A$2:$A$428,0))/INDEX($B$2:$B$428,MATCH($O258,$A$2:$A$428,0)-1),""))</f>
        <v/>
      </c>
      <c r="Q258" s="19" t="str" cm="1">
        <f t="array" ref="Q258">IF(OR($O258&lt;Q$387,$O258&gt;Q$388),"",IFERROR(IF($O258=Q$387,100,Q257)*INDEX($B$2:$B$428,MATCH($O258,$A$2:$A$428,0))/INDEX($B$2:$B$428,MATCH($O258,$A$2:$A$428,0)-1),""))</f>
        <v/>
      </c>
      <c r="R258" s="19" t="str" cm="1">
        <f t="array" ref="R258">IF(OR($O258&lt;R$387,$O258&gt;R$388),"",IFERROR(IF($O258=R$387,100,R257)*INDEX($B$2:$B$428,MATCH($O258,$A$2:$A$428,0))/INDEX($B$2:$B$428,MATCH($O258,$A$2:$A$428,0)-1),""))</f>
        <v/>
      </c>
      <c r="S258" s="19" t="str" cm="1">
        <f t="array" ref="S258">IF(OR($O258&lt;S$387,$O258&gt;S$388),"",IFERROR(IF($O258=S$387,100,S257)*INDEX($B$2:$B$428,MATCH($O258,$A$2:$A$428,0))/INDEX($B$2:$B$428,MATCH($O258,$A$2:$A$428,0)-1),""))</f>
        <v/>
      </c>
      <c r="T258" s="19" t="str" cm="1">
        <f t="array" ref="T258">IF(OR($O258&lt;T$387,$O258&gt;T$388),"",IFERROR(IF($O258=T$387,100,T257)*INDEX($B$2:$B$428,MATCH($O258,$A$2:$A$428,0))/INDEX($B$2:$B$428,MATCH($O258,$A$2:$A$428,0)-1),""))</f>
        <v/>
      </c>
      <c r="U258" s="19" t="str" cm="1">
        <f t="array" ref="U258">IF(OR($O258&lt;U$387,$O258&gt;U$388),"",IFERROR(IF($O258=U$387,100,U257)*INDEX($B$2:$B$428,MATCH($O258,$A$2:$A$428,0))/INDEX($B$2:$B$428,MATCH($O258,$A$2:$A$428,0)-1),""))</f>
        <v/>
      </c>
      <c r="V258" s="19" cm="1">
        <f t="array" ref="V258">IF(OR($O258&lt;V$387,$O258&gt;V$388),"",IFERROR(IF($O258=V$387,100,V257)*INDEX($B$2:$B$428,MATCH($O258,$A$2:$A$428,0))/INDEX($B$2:$B$428,MATCH($O258,$A$2:$A$428,0)-1),""))</f>
        <v>100.82489251407691</v>
      </c>
      <c r="W258" s="19" t="str" cm="1">
        <f t="array" ref="W258">IF(OR($O258&lt;W$387,$O258&gt;W$388),"",IFERROR(IF($O258=W$387,100,W257)*INDEX($B$2:$B$428,MATCH($O258,$A$2:$A$428,0))/INDEX($B$2:$B$428,MATCH($O258,$A$2:$A$428,0)-1),""))</f>
        <v/>
      </c>
      <c r="X258" s="19" t="str" cm="1">
        <f t="array" ref="X258">IF(OR($O258&lt;X$387,$O258&gt;X$388),"",IFERROR(IF($O258=X$387,100,X257)*INDEX($B$2:$B$428,MATCH($O258,$A$2:$A$428,0))/INDEX($B$2:$B$428,MATCH($O258,$A$2:$A$428,0)-1),""))</f>
        <v/>
      </c>
      <c r="AA258" s="19"/>
      <c r="AB258" s="19"/>
      <c r="AC258" s="19"/>
      <c r="AD258" s="19"/>
      <c r="AE258" s="19"/>
      <c r="AF258" s="19"/>
      <c r="AG258" s="19"/>
      <c r="AH258" s="19"/>
      <c r="AJ258" s="11">
        <v>40664</v>
      </c>
      <c r="AK258">
        <v>4111274.5</v>
      </c>
      <c r="AL258" s="26">
        <f t="shared" si="30"/>
        <v>0.60458449320277696</v>
      </c>
    </row>
    <row r="259" spans="1:38" x14ac:dyDescent="0.3">
      <c r="A259" s="11">
        <v>41061</v>
      </c>
      <c r="B259" s="18">
        <v>990833.09</v>
      </c>
      <c r="C259" s="18">
        <v>1532365.01</v>
      </c>
      <c r="D259" s="18">
        <v>2863306.12</v>
      </c>
      <c r="E259" s="11">
        <f t="shared" si="31"/>
        <v>41061</v>
      </c>
      <c r="F259" s="9">
        <f t="shared" si="27"/>
        <v>-6.6027650954932238E-2</v>
      </c>
      <c r="G259" s="9">
        <f t="shared" si="28"/>
        <v>-2.3385399772905768E-2</v>
      </c>
      <c r="H259" s="9">
        <f t="shared" si="29"/>
        <v>0.12723521500008195</v>
      </c>
      <c r="I259" s="11">
        <f t="shared" si="32"/>
        <v>41061</v>
      </c>
      <c r="O259" s="11">
        <v>42522</v>
      </c>
      <c r="P259" s="19" t="str" cm="1">
        <f t="array" ref="P259">IF(OR($O259&lt;P$387,$O259&gt;P$388),"",IFERROR(IF($O259=P$387,100,P258)*INDEX($B$2:$B$428,MATCH($O259,$A$2:$A$428,0))/INDEX($B$2:$B$428,MATCH($O259,$A$2:$A$428,0)-1),""))</f>
        <v/>
      </c>
      <c r="Q259" s="19" t="str" cm="1">
        <f t="array" ref="Q259">IF(OR($O259&lt;Q$387,$O259&gt;Q$388),"",IFERROR(IF($O259=Q$387,100,Q258)*INDEX($B$2:$B$428,MATCH($O259,$A$2:$A$428,0))/INDEX($B$2:$B$428,MATCH($O259,$A$2:$A$428,0)-1),""))</f>
        <v/>
      </c>
      <c r="R259" s="19" t="str" cm="1">
        <f t="array" ref="R259">IF(OR($O259&lt;R$387,$O259&gt;R$388),"",IFERROR(IF($O259=R$387,100,R258)*INDEX($B$2:$B$428,MATCH($O259,$A$2:$A$428,0))/INDEX($B$2:$B$428,MATCH($O259,$A$2:$A$428,0)-1),""))</f>
        <v/>
      </c>
      <c r="S259" s="19" t="str" cm="1">
        <f t="array" ref="S259">IF(OR($O259&lt;S$387,$O259&gt;S$388),"",IFERROR(IF($O259=S$387,100,S258)*INDEX($B$2:$B$428,MATCH($O259,$A$2:$A$428,0))/INDEX($B$2:$B$428,MATCH($O259,$A$2:$A$428,0)-1),""))</f>
        <v/>
      </c>
      <c r="T259" s="19" t="str" cm="1">
        <f t="array" ref="T259">IF(OR($O259&lt;T$387,$O259&gt;T$388),"",IFERROR(IF($O259=T$387,100,T258)*INDEX($B$2:$B$428,MATCH($O259,$A$2:$A$428,0))/INDEX($B$2:$B$428,MATCH($O259,$A$2:$A$428,0)-1),""))</f>
        <v/>
      </c>
      <c r="U259" s="19" t="str" cm="1">
        <f t="array" ref="U259">IF(OR($O259&lt;U$387,$O259&gt;U$388),"",IFERROR(IF($O259=U$387,100,U258)*INDEX($B$2:$B$428,MATCH($O259,$A$2:$A$428,0))/INDEX($B$2:$B$428,MATCH($O259,$A$2:$A$428,0)-1),""))</f>
        <v/>
      </c>
      <c r="V259" s="19" cm="1">
        <f t="array" ref="V259">IF(OR($O259&lt;V$387,$O259&gt;V$388),"",IFERROR(IF($O259=V$387,100,V258)*INDEX($B$2:$B$428,MATCH($O259,$A$2:$A$428,0))/INDEX($B$2:$B$428,MATCH($O259,$A$2:$A$428,0)-1),""))</f>
        <v>110.85116637129067</v>
      </c>
      <c r="W259" s="19" t="str" cm="1">
        <f t="array" ref="W259">IF(OR($O259&lt;W$387,$O259&gt;W$388),"",IFERROR(IF($O259=W$387,100,W258)*INDEX($B$2:$B$428,MATCH($O259,$A$2:$A$428,0))/INDEX($B$2:$B$428,MATCH($O259,$A$2:$A$428,0)-1),""))</f>
        <v/>
      </c>
      <c r="X259" s="19" t="str" cm="1">
        <f t="array" ref="X259">IF(OR($O259&lt;X$387,$O259&gt;X$388),"",IFERROR(IF($O259=X$387,100,X258)*INDEX($B$2:$B$428,MATCH($O259,$A$2:$A$428,0))/INDEX($B$2:$B$428,MATCH($O259,$A$2:$A$428,0)-1),""))</f>
        <v/>
      </c>
      <c r="AA259" s="19"/>
      <c r="AB259" s="19"/>
      <c r="AC259" s="19"/>
      <c r="AD259" s="19"/>
      <c r="AE259" s="19"/>
      <c r="AF259" s="19"/>
      <c r="AG259" s="19"/>
      <c r="AH259" s="19"/>
      <c r="AJ259" s="11">
        <v>40695</v>
      </c>
      <c r="AK259">
        <v>4158547.4</v>
      </c>
      <c r="AL259" s="26">
        <f t="shared" si="30"/>
        <v>0.6108176499322816</v>
      </c>
    </row>
    <row r="260" spans="1:38" x14ac:dyDescent="0.3">
      <c r="A260" s="11">
        <v>41091</v>
      </c>
      <c r="B260" s="18">
        <v>986947.77</v>
      </c>
      <c r="C260" s="18">
        <v>1534757.32</v>
      </c>
      <c r="D260" s="18">
        <v>2757636.37</v>
      </c>
      <c r="E260" s="11">
        <f t="shared" si="31"/>
        <v>41091</v>
      </c>
      <c r="F260" s="9">
        <f t="shared" si="27"/>
        <v>-7.3083599886773154E-2</v>
      </c>
      <c r="G260" s="9">
        <f t="shared" si="28"/>
        <v>-2.4910277084075005E-2</v>
      </c>
      <c r="H260" s="9">
        <f t="shared" si="29"/>
        <v>0.12106661316709433</v>
      </c>
      <c r="I260" s="11">
        <f t="shared" si="32"/>
        <v>41091</v>
      </c>
      <c r="O260" s="11">
        <v>42552</v>
      </c>
      <c r="P260" s="19" t="str" cm="1">
        <f t="array" ref="P260">IF(OR($O260&lt;P$387,$O260&gt;P$388),"",IFERROR(IF($O260=P$387,100,P259)*INDEX($B$2:$B$428,MATCH($O260,$A$2:$A$428,0))/INDEX($B$2:$B$428,MATCH($O260,$A$2:$A$428,0)-1),""))</f>
        <v/>
      </c>
      <c r="Q260" s="19" t="str" cm="1">
        <f t="array" ref="Q260">IF(OR($O260&lt;Q$387,$O260&gt;Q$388),"",IFERROR(IF($O260=Q$387,100,Q259)*INDEX($B$2:$B$428,MATCH($O260,$A$2:$A$428,0))/INDEX($B$2:$B$428,MATCH($O260,$A$2:$A$428,0)-1),""))</f>
        <v/>
      </c>
      <c r="R260" s="19" t="str" cm="1">
        <f t="array" ref="R260">IF(OR($O260&lt;R$387,$O260&gt;R$388),"",IFERROR(IF($O260=R$387,100,R259)*INDEX($B$2:$B$428,MATCH($O260,$A$2:$A$428,0))/INDEX($B$2:$B$428,MATCH($O260,$A$2:$A$428,0)-1),""))</f>
        <v/>
      </c>
      <c r="S260" s="19" t="str" cm="1">
        <f t="array" ref="S260">IF(OR($O260&lt;S$387,$O260&gt;S$388),"",IFERROR(IF($O260=S$387,100,S259)*INDEX($B$2:$B$428,MATCH($O260,$A$2:$A$428,0))/INDEX($B$2:$B$428,MATCH($O260,$A$2:$A$428,0)-1),""))</f>
        <v/>
      </c>
      <c r="T260" s="19" t="str" cm="1">
        <f t="array" ref="T260">IF(OR($O260&lt;T$387,$O260&gt;T$388),"",IFERROR(IF($O260=T$387,100,T259)*INDEX($B$2:$B$428,MATCH($O260,$A$2:$A$428,0))/INDEX($B$2:$B$428,MATCH($O260,$A$2:$A$428,0)-1),""))</f>
        <v/>
      </c>
      <c r="U260" s="19" t="str" cm="1">
        <f t="array" ref="U260">IF(OR($O260&lt;U$387,$O260&gt;U$388),"",IFERROR(IF($O260=U$387,100,U259)*INDEX($B$2:$B$428,MATCH($O260,$A$2:$A$428,0))/INDEX($B$2:$B$428,MATCH($O260,$A$2:$A$428,0)-1),""))</f>
        <v/>
      </c>
      <c r="V260" s="19" cm="1">
        <f t="array" ref="V260">IF(OR($O260&lt;V$387,$O260&gt;V$388),"",IFERROR(IF($O260=V$387,100,V259)*INDEX($B$2:$B$428,MATCH($O260,$A$2:$A$428,0))/INDEX($B$2:$B$428,MATCH($O260,$A$2:$A$428,0)-1),""))</f>
        <v>115.51609618073356</v>
      </c>
      <c r="W260" s="19" t="str" cm="1">
        <f t="array" ref="W260">IF(OR($O260&lt;W$387,$O260&gt;W$388),"",IFERROR(IF($O260=W$387,100,W259)*INDEX($B$2:$B$428,MATCH($O260,$A$2:$A$428,0))/INDEX($B$2:$B$428,MATCH($O260,$A$2:$A$428,0)-1),""))</f>
        <v/>
      </c>
      <c r="X260" s="19" t="str" cm="1">
        <f t="array" ref="X260">IF(OR($O260&lt;X$387,$O260&gt;X$388),"",IFERROR(IF($O260=X$387,100,X259)*INDEX($B$2:$B$428,MATCH($O260,$A$2:$A$428,0))/INDEX($B$2:$B$428,MATCH($O260,$A$2:$A$428,0)-1),""))</f>
        <v/>
      </c>
      <c r="AA260" s="19"/>
      <c r="AB260" s="19"/>
      <c r="AC260" s="19"/>
      <c r="AD260" s="19"/>
      <c r="AE260" s="19"/>
      <c r="AF260" s="19"/>
      <c r="AG260" s="19"/>
      <c r="AH260" s="19"/>
      <c r="AJ260" s="11">
        <v>40725</v>
      </c>
      <c r="AK260">
        <v>4196996.0999999996</v>
      </c>
      <c r="AL260" s="26">
        <f t="shared" si="30"/>
        <v>0.58609364683469689</v>
      </c>
    </row>
    <row r="261" spans="1:38" x14ac:dyDescent="0.3">
      <c r="A261" s="11">
        <v>41122</v>
      </c>
      <c r="B261" s="18">
        <v>998020.56</v>
      </c>
      <c r="C261" s="18">
        <v>1559624.44</v>
      </c>
      <c r="D261" s="18">
        <v>2765940.29</v>
      </c>
      <c r="E261" s="11">
        <f t="shared" si="31"/>
        <v>41122</v>
      </c>
      <c r="F261" s="9">
        <f t="shared" si="27"/>
        <v>-6.5900477490045684E-2</v>
      </c>
      <c r="G261" s="9">
        <f t="shared" si="28"/>
        <v>-5.5672124554441149E-3</v>
      </c>
      <c r="H261" s="9">
        <f t="shared" si="29"/>
        <v>0.10387731308147008</v>
      </c>
      <c r="I261" s="11">
        <f t="shared" si="32"/>
        <v>41122</v>
      </c>
      <c r="O261" s="11">
        <v>42583</v>
      </c>
      <c r="P261" s="19" t="str" cm="1">
        <f t="array" ref="P261">IF(OR($O261&lt;P$387,$O261&gt;P$388),"",IFERROR(IF($O261=P$387,100,P260)*INDEX($B$2:$B$428,MATCH($O261,$A$2:$A$428,0))/INDEX($B$2:$B$428,MATCH($O261,$A$2:$A$428,0)-1),""))</f>
        <v/>
      </c>
      <c r="Q261" s="19" t="str" cm="1">
        <f t="array" ref="Q261">IF(OR($O261&lt;Q$387,$O261&gt;Q$388),"",IFERROR(IF($O261=Q$387,100,Q260)*INDEX($B$2:$B$428,MATCH($O261,$A$2:$A$428,0))/INDEX($B$2:$B$428,MATCH($O261,$A$2:$A$428,0)-1),""))</f>
        <v/>
      </c>
      <c r="R261" s="19" t="str" cm="1">
        <f t="array" ref="R261">IF(OR($O261&lt;R$387,$O261&gt;R$388),"",IFERROR(IF($O261=R$387,100,R260)*INDEX($B$2:$B$428,MATCH($O261,$A$2:$A$428,0))/INDEX($B$2:$B$428,MATCH($O261,$A$2:$A$428,0)-1),""))</f>
        <v/>
      </c>
      <c r="S261" s="19" t="str" cm="1">
        <f t="array" ref="S261">IF(OR($O261&lt;S$387,$O261&gt;S$388),"",IFERROR(IF($O261=S$387,100,S260)*INDEX($B$2:$B$428,MATCH($O261,$A$2:$A$428,0))/INDEX($B$2:$B$428,MATCH($O261,$A$2:$A$428,0)-1),""))</f>
        <v/>
      </c>
      <c r="T261" s="19" t="str" cm="1">
        <f t="array" ref="T261">IF(OR($O261&lt;T$387,$O261&gt;T$388),"",IFERROR(IF($O261=T$387,100,T260)*INDEX($B$2:$B$428,MATCH($O261,$A$2:$A$428,0))/INDEX($B$2:$B$428,MATCH($O261,$A$2:$A$428,0)-1),""))</f>
        <v/>
      </c>
      <c r="U261" s="19" t="str" cm="1">
        <f t="array" ref="U261">IF(OR($O261&lt;U$387,$O261&gt;U$388),"",IFERROR(IF($O261=U$387,100,U260)*INDEX($B$2:$B$428,MATCH($O261,$A$2:$A$428,0))/INDEX($B$2:$B$428,MATCH($O261,$A$2:$A$428,0)-1),""))</f>
        <v/>
      </c>
      <c r="V261" s="19" cm="1">
        <f t="array" ref="V261">IF(OR($O261&lt;V$387,$O261&gt;V$388),"",IFERROR(IF($O261=V$387,100,V260)*INDEX($B$2:$B$428,MATCH($O261,$A$2:$A$428,0))/INDEX($B$2:$B$428,MATCH($O261,$A$2:$A$428,0)-1),""))</f>
        <v>116.53264776382161</v>
      </c>
      <c r="W261" s="19" t="str" cm="1">
        <f t="array" ref="W261">IF(OR($O261&lt;W$387,$O261&gt;W$388),"",IFERROR(IF($O261=W$387,100,W260)*INDEX($B$2:$B$428,MATCH($O261,$A$2:$A$428,0))/INDEX($B$2:$B$428,MATCH($O261,$A$2:$A$428,0)-1),""))</f>
        <v/>
      </c>
      <c r="X261" s="19" t="str" cm="1">
        <f t="array" ref="X261">IF(OR($O261&lt;X$387,$O261&gt;X$388),"",IFERROR(IF($O261=X$387,100,X260)*INDEX($B$2:$B$428,MATCH($O261,$A$2:$A$428,0))/INDEX($B$2:$B$428,MATCH($O261,$A$2:$A$428,0)-1),""))</f>
        <v/>
      </c>
      <c r="AA261" s="19"/>
      <c r="AB261" s="19"/>
      <c r="AC261" s="19"/>
      <c r="AD261" s="19"/>
      <c r="AE261" s="19"/>
      <c r="AF261" s="19"/>
      <c r="AG261" s="19"/>
      <c r="AH261" s="19"/>
      <c r="AJ261" s="11">
        <v>40756</v>
      </c>
      <c r="AK261">
        <v>4239492.5999999996</v>
      </c>
      <c r="AL261" s="26">
        <f t="shared" si="30"/>
        <v>0.5910280749163237</v>
      </c>
    </row>
    <row r="262" spans="1:38" x14ac:dyDescent="0.3">
      <c r="A262" s="11">
        <v>41153</v>
      </c>
      <c r="B262" s="18">
        <v>1001501.57</v>
      </c>
      <c r="C262" s="18">
        <v>1557624.07</v>
      </c>
      <c r="D262" s="18">
        <v>2812607.05</v>
      </c>
      <c r="E262" s="11">
        <f t="shared" si="31"/>
        <v>41153</v>
      </c>
      <c r="F262" s="9">
        <f t="shared" si="27"/>
        <v>9.3093855446966245E-3</v>
      </c>
      <c r="G262" s="9">
        <f t="shared" si="28"/>
        <v>3.7089367378270843E-2</v>
      </c>
      <c r="H262" s="9">
        <f t="shared" si="29"/>
        <v>9.7319049817094827E-2</v>
      </c>
      <c r="I262" s="11">
        <f t="shared" si="32"/>
        <v>41153</v>
      </c>
      <c r="O262" s="11">
        <v>42614</v>
      </c>
      <c r="P262" s="19" t="str" cm="1">
        <f t="array" ref="P262">IF(OR($O262&lt;P$387,$O262&gt;P$388),"",IFERROR(IF($O262=P$387,100,P261)*INDEX($B$2:$B$428,MATCH($O262,$A$2:$A$428,0))/INDEX($B$2:$B$428,MATCH($O262,$A$2:$A$428,0)-1),""))</f>
        <v/>
      </c>
      <c r="Q262" s="19" t="str" cm="1">
        <f t="array" ref="Q262">IF(OR($O262&lt;Q$387,$O262&gt;Q$388),"",IFERROR(IF($O262=Q$387,100,Q261)*INDEX($B$2:$B$428,MATCH($O262,$A$2:$A$428,0))/INDEX($B$2:$B$428,MATCH($O262,$A$2:$A$428,0)-1),""))</f>
        <v/>
      </c>
      <c r="R262" s="19" t="str" cm="1">
        <f t="array" ref="R262">IF(OR($O262&lt;R$387,$O262&gt;R$388),"",IFERROR(IF($O262=R$387,100,R261)*INDEX($B$2:$B$428,MATCH($O262,$A$2:$A$428,0))/INDEX($B$2:$B$428,MATCH($O262,$A$2:$A$428,0)-1),""))</f>
        <v/>
      </c>
      <c r="S262" s="19" t="str" cm="1">
        <f t="array" ref="S262">IF(OR($O262&lt;S$387,$O262&gt;S$388),"",IFERROR(IF($O262=S$387,100,S261)*INDEX($B$2:$B$428,MATCH($O262,$A$2:$A$428,0))/INDEX($B$2:$B$428,MATCH($O262,$A$2:$A$428,0)-1),""))</f>
        <v/>
      </c>
      <c r="T262" s="19" t="str" cm="1">
        <f t="array" ref="T262">IF(OR($O262&lt;T$387,$O262&gt;T$388),"",IFERROR(IF($O262=T$387,100,T261)*INDEX($B$2:$B$428,MATCH($O262,$A$2:$A$428,0))/INDEX($B$2:$B$428,MATCH($O262,$A$2:$A$428,0)-1),""))</f>
        <v/>
      </c>
      <c r="U262" s="19" t="str" cm="1">
        <f t="array" ref="U262">IF(OR($O262&lt;U$387,$O262&gt;U$388),"",IFERROR(IF($O262=U$387,100,U261)*INDEX($B$2:$B$428,MATCH($O262,$A$2:$A$428,0))/INDEX($B$2:$B$428,MATCH($O262,$A$2:$A$428,0)-1),""))</f>
        <v/>
      </c>
      <c r="V262" s="19" cm="1">
        <f t="array" ref="V262">IF(OR($O262&lt;V$387,$O262&gt;V$388),"",IFERROR(IF($O262=V$387,100,V261)*INDEX($B$2:$B$428,MATCH($O262,$A$2:$A$428,0))/INDEX($B$2:$B$428,MATCH($O262,$A$2:$A$428,0)-1),""))</f>
        <v>120.44816296001274</v>
      </c>
      <c r="W262" s="19" t="str" cm="1">
        <f t="array" ref="W262">IF(OR($O262&lt;W$387,$O262&gt;W$388),"",IFERROR(IF($O262=W$387,100,W261)*INDEX($B$2:$B$428,MATCH($O262,$A$2:$A$428,0))/INDEX($B$2:$B$428,MATCH($O262,$A$2:$A$428,0)-1),""))</f>
        <v/>
      </c>
      <c r="X262" s="19" t="str" cm="1">
        <f t="array" ref="X262">IF(OR($O262&lt;X$387,$O262&gt;X$388),"",IFERROR(IF($O262=X$387,100,X261)*INDEX($B$2:$B$428,MATCH($O262,$A$2:$A$428,0))/INDEX($B$2:$B$428,MATCH($O262,$A$2:$A$428,0)-1),""))</f>
        <v/>
      </c>
      <c r="AA262" s="19"/>
      <c r="AB262" s="19"/>
      <c r="AC262" s="19"/>
      <c r="AD262" s="19"/>
      <c r="AE262" s="19"/>
      <c r="AF262" s="19"/>
      <c r="AG262" s="19"/>
      <c r="AH262" s="19"/>
      <c r="AJ262" s="11">
        <v>40787</v>
      </c>
      <c r="AK262">
        <v>4272946.9000000004</v>
      </c>
      <c r="AL262" s="26">
        <f t="shared" si="30"/>
        <v>0.59985826409403764</v>
      </c>
    </row>
    <row r="263" spans="1:38" x14ac:dyDescent="0.3">
      <c r="A263" s="11">
        <v>41183</v>
      </c>
      <c r="B263" s="18">
        <v>1003346.15</v>
      </c>
      <c r="C263" s="18">
        <v>1567887.31</v>
      </c>
      <c r="D263" s="18">
        <v>2848145.26</v>
      </c>
      <c r="E263" s="11">
        <f t="shared" si="31"/>
        <v>41183</v>
      </c>
      <c r="F263" s="9">
        <f t="shared" si="27"/>
        <v>-4.0363470604556584E-2</v>
      </c>
      <c r="G263" s="9">
        <f t="shared" si="28"/>
        <v>6.7800206506194449E-3</v>
      </c>
      <c r="H263" s="9">
        <f t="shared" si="29"/>
        <v>0.10542416977263169</v>
      </c>
      <c r="I263" s="11">
        <f t="shared" si="32"/>
        <v>41183</v>
      </c>
      <c r="O263" s="11">
        <v>42644</v>
      </c>
      <c r="P263" s="19" t="str" cm="1">
        <f t="array" ref="P263">IF(OR($O263&lt;P$387,$O263&gt;P$388),"",IFERROR(IF($O263=P$387,100,P262)*INDEX($B$2:$B$428,MATCH($O263,$A$2:$A$428,0))/INDEX($B$2:$B$428,MATCH($O263,$A$2:$A$428,0)-1),""))</f>
        <v/>
      </c>
      <c r="Q263" s="19" t="str" cm="1">
        <f t="array" ref="Q263">IF(OR($O263&lt;Q$387,$O263&gt;Q$388),"",IFERROR(IF($O263=Q$387,100,Q262)*INDEX($B$2:$B$428,MATCH($O263,$A$2:$A$428,0))/INDEX($B$2:$B$428,MATCH($O263,$A$2:$A$428,0)-1),""))</f>
        <v/>
      </c>
      <c r="R263" s="19" t="str" cm="1">
        <f t="array" ref="R263">IF(OR($O263&lt;R$387,$O263&gt;R$388),"",IFERROR(IF($O263=R$387,100,R262)*INDEX($B$2:$B$428,MATCH($O263,$A$2:$A$428,0))/INDEX($B$2:$B$428,MATCH($O263,$A$2:$A$428,0)-1),""))</f>
        <v/>
      </c>
      <c r="S263" s="19" t="str" cm="1">
        <f t="array" ref="S263">IF(OR($O263&lt;S$387,$O263&gt;S$388),"",IFERROR(IF($O263=S$387,100,S262)*INDEX($B$2:$B$428,MATCH($O263,$A$2:$A$428,0))/INDEX($B$2:$B$428,MATCH($O263,$A$2:$A$428,0)-1),""))</f>
        <v/>
      </c>
      <c r="T263" s="19" t="str" cm="1">
        <f t="array" ref="T263">IF(OR($O263&lt;T$387,$O263&gt;T$388),"",IFERROR(IF($O263=T$387,100,T262)*INDEX($B$2:$B$428,MATCH($O263,$A$2:$A$428,0))/INDEX($B$2:$B$428,MATCH($O263,$A$2:$A$428,0)-1),""))</f>
        <v/>
      </c>
      <c r="U263" s="19" t="str" cm="1">
        <f t="array" ref="U263">IF(OR($O263&lt;U$387,$O263&gt;U$388),"",IFERROR(IF($O263=U$387,100,U262)*INDEX($B$2:$B$428,MATCH($O263,$A$2:$A$428,0))/INDEX($B$2:$B$428,MATCH($O263,$A$2:$A$428,0)-1),""))</f>
        <v/>
      </c>
      <c r="V263" s="19" cm="1">
        <f t="array" ref="V263">IF(OR($O263&lt;V$387,$O263&gt;V$388),"",IFERROR(IF($O263=V$387,100,V262)*INDEX($B$2:$B$428,MATCH($O263,$A$2:$A$428,0))/INDEX($B$2:$B$428,MATCH($O263,$A$2:$A$428,0)-1),""))</f>
        <v>121.79285786023753</v>
      </c>
      <c r="W263" s="19" t="str" cm="1">
        <f t="array" ref="W263">IF(OR($O263&lt;W$387,$O263&gt;W$388),"",IFERROR(IF($O263=W$387,100,W262)*INDEX($B$2:$B$428,MATCH($O263,$A$2:$A$428,0))/INDEX($B$2:$B$428,MATCH($O263,$A$2:$A$428,0)-1),""))</f>
        <v/>
      </c>
      <c r="X263" s="19" t="str" cm="1">
        <f t="array" ref="X263">IF(OR($O263&lt;X$387,$O263&gt;X$388),"",IFERROR(IF($O263=X$387,100,X262)*INDEX($B$2:$B$428,MATCH($O263,$A$2:$A$428,0))/INDEX($B$2:$B$428,MATCH($O263,$A$2:$A$428,0)-1),""))</f>
        <v/>
      </c>
      <c r="AA263" s="19"/>
      <c r="AB263" s="19"/>
      <c r="AC263" s="19"/>
      <c r="AD263" s="19"/>
      <c r="AE263" s="19"/>
      <c r="AF263" s="19"/>
      <c r="AG263" s="19"/>
      <c r="AH263" s="19"/>
      <c r="AJ263" s="11">
        <v>40817</v>
      </c>
      <c r="AK263">
        <v>4305775.5999999996</v>
      </c>
      <c r="AL263" s="26">
        <f t="shared" si="30"/>
        <v>0.59838649975163605</v>
      </c>
    </row>
    <row r="264" spans="1:38" x14ac:dyDescent="0.3">
      <c r="A264" s="11">
        <v>41214</v>
      </c>
      <c r="B264" s="18">
        <v>995043.94</v>
      </c>
      <c r="C264" s="18">
        <v>1564275.5</v>
      </c>
      <c r="D264" s="18">
        <v>2893569.78</v>
      </c>
      <c r="E264" s="11">
        <f t="shared" si="31"/>
        <v>41214</v>
      </c>
      <c r="F264" s="9">
        <f t="shared" si="27"/>
        <v>-1.9997143836399056E-2</v>
      </c>
      <c r="G264" s="9">
        <f t="shared" si="28"/>
        <v>1.906193576696591E-2</v>
      </c>
      <c r="H264" s="9">
        <f t="shared" si="29"/>
        <v>0.10611223722951579</v>
      </c>
      <c r="I264" s="11">
        <f t="shared" si="32"/>
        <v>41214</v>
      </c>
      <c r="O264" s="11">
        <v>42675</v>
      </c>
      <c r="P264" s="19" t="str" cm="1">
        <f t="array" ref="P264">IF(OR($O264&lt;P$387,$O264&gt;P$388),"",IFERROR(IF($O264=P$387,100,P263)*INDEX($B$2:$B$428,MATCH($O264,$A$2:$A$428,0))/INDEX($B$2:$B$428,MATCH($O264,$A$2:$A$428,0)-1),""))</f>
        <v/>
      </c>
      <c r="Q264" s="19" t="str" cm="1">
        <f t="array" ref="Q264">IF(OR($O264&lt;Q$387,$O264&gt;Q$388),"",IFERROR(IF($O264=Q$387,100,Q263)*INDEX($B$2:$B$428,MATCH($O264,$A$2:$A$428,0))/INDEX($B$2:$B$428,MATCH($O264,$A$2:$A$428,0)-1),""))</f>
        <v/>
      </c>
      <c r="R264" s="19" t="str" cm="1">
        <f t="array" ref="R264">IF(OR($O264&lt;R$387,$O264&gt;R$388),"",IFERROR(IF($O264=R$387,100,R263)*INDEX($B$2:$B$428,MATCH($O264,$A$2:$A$428,0))/INDEX($B$2:$B$428,MATCH($O264,$A$2:$A$428,0)-1),""))</f>
        <v/>
      </c>
      <c r="S264" s="19" t="str" cm="1">
        <f t="array" ref="S264">IF(OR($O264&lt;S$387,$O264&gt;S$388),"",IFERROR(IF($O264=S$387,100,S263)*INDEX($B$2:$B$428,MATCH($O264,$A$2:$A$428,0))/INDEX($B$2:$B$428,MATCH($O264,$A$2:$A$428,0)-1),""))</f>
        <v/>
      </c>
      <c r="T264" s="19" t="str" cm="1">
        <f t="array" ref="T264">IF(OR($O264&lt;T$387,$O264&gt;T$388),"",IFERROR(IF($O264=T$387,100,T263)*INDEX($B$2:$B$428,MATCH($O264,$A$2:$A$428,0))/INDEX($B$2:$B$428,MATCH($O264,$A$2:$A$428,0)-1),""))</f>
        <v/>
      </c>
      <c r="U264" s="19" t="str" cm="1">
        <f t="array" ref="U264">IF(OR($O264&lt;U$387,$O264&gt;U$388),"",IFERROR(IF($O264=U$387,100,U263)*INDEX($B$2:$B$428,MATCH($O264,$A$2:$A$428,0))/INDEX($B$2:$B$428,MATCH($O264,$A$2:$A$428,0)-1),""))</f>
        <v/>
      </c>
      <c r="V264" s="19" cm="1">
        <f t="array" ref="V264">IF(OR($O264&lt;V$387,$O264&gt;V$388),"",IFERROR(IF($O264=V$387,100,V263)*INDEX($B$2:$B$428,MATCH($O264,$A$2:$A$428,0))/INDEX($B$2:$B$428,MATCH($O264,$A$2:$A$428,0)-1),""))</f>
        <v>122.42065709446696</v>
      </c>
      <c r="W264" s="19" t="str" cm="1">
        <f t="array" ref="W264">IF(OR($O264&lt;W$387,$O264&gt;W$388),"",IFERROR(IF($O264=W$387,100,W263)*INDEX($B$2:$B$428,MATCH($O264,$A$2:$A$428,0))/INDEX($B$2:$B$428,MATCH($O264,$A$2:$A$428,0)-1),""))</f>
        <v/>
      </c>
      <c r="X264" s="19" t="str" cm="1">
        <f t="array" ref="X264">IF(OR($O264&lt;X$387,$O264&gt;X$388),"",IFERROR(IF($O264=X$387,100,X263)*INDEX($B$2:$B$428,MATCH($O264,$A$2:$A$428,0))/INDEX($B$2:$B$428,MATCH($O264,$A$2:$A$428,0)-1),""))</f>
        <v/>
      </c>
      <c r="AA264" s="19"/>
      <c r="AB264" s="19"/>
      <c r="AC264" s="19"/>
      <c r="AD264" s="19"/>
      <c r="AE264" s="19"/>
      <c r="AF264" s="19"/>
      <c r="AG264" s="19"/>
      <c r="AH264" s="19"/>
      <c r="AJ264" s="11">
        <v>40848</v>
      </c>
      <c r="AK264">
        <v>4338880.2</v>
      </c>
      <c r="AL264" s="26">
        <f t="shared" si="30"/>
        <v>0.60291640916935196</v>
      </c>
    </row>
    <row r="265" spans="1:38" x14ac:dyDescent="0.3">
      <c r="A265" s="11">
        <v>41244</v>
      </c>
      <c r="B265" s="18">
        <v>1002204.69</v>
      </c>
      <c r="C265" s="18">
        <v>1581280.63</v>
      </c>
      <c r="D265" s="18">
        <v>2966578.5</v>
      </c>
      <c r="E265" s="11">
        <f t="shared" si="31"/>
        <v>41244</v>
      </c>
      <c r="F265" s="9">
        <f t="shared" si="27"/>
        <v>-6.923520042299236E-3</v>
      </c>
      <c r="G265" s="9">
        <f t="shared" si="28"/>
        <v>2.9376471634009693E-2</v>
      </c>
      <c r="H265" s="9">
        <f t="shared" si="29"/>
        <v>0.11796056075930372</v>
      </c>
      <c r="I265" s="11">
        <f t="shared" si="32"/>
        <v>41244</v>
      </c>
      <c r="O265" s="11">
        <v>42705</v>
      </c>
      <c r="P265" s="19" t="str" cm="1">
        <f t="array" ref="P265">IF(OR($O265&lt;P$387,$O265&gt;P$388),"",IFERROR(IF($O265=P$387,100,P264)*INDEX($B$2:$B$428,MATCH($O265,$A$2:$A$428,0))/INDEX($B$2:$B$428,MATCH($O265,$A$2:$A$428,0)-1),""))</f>
        <v/>
      </c>
      <c r="Q265" s="19" t="str" cm="1">
        <f t="array" ref="Q265">IF(OR($O265&lt;Q$387,$O265&gt;Q$388),"",IFERROR(IF($O265=Q$387,100,Q264)*INDEX($B$2:$B$428,MATCH($O265,$A$2:$A$428,0))/INDEX($B$2:$B$428,MATCH($O265,$A$2:$A$428,0)-1),""))</f>
        <v/>
      </c>
      <c r="R265" s="19" t="str" cm="1">
        <f t="array" ref="R265">IF(OR($O265&lt;R$387,$O265&gt;R$388),"",IFERROR(IF($O265=R$387,100,R264)*INDEX($B$2:$B$428,MATCH($O265,$A$2:$A$428,0))/INDEX($B$2:$B$428,MATCH($O265,$A$2:$A$428,0)-1),""))</f>
        <v/>
      </c>
      <c r="S265" s="19" t="str" cm="1">
        <f t="array" ref="S265">IF(OR($O265&lt;S$387,$O265&gt;S$388),"",IFERROR(IF($O265=S$387,100,S264)*INDEX($B$2:$B$428,MATCH($O265,$A$2:$A$428,0))/INDEX($B$2:$B$428,MATCH($O265,$A$2:$A$428,0)-1),""))</f>
        <v/>
      </c>
      <c r="T265" s="19" t="str" cm="1">
        <f t="array" ref="T265">IF(OR($O265&lt;T$387,$O265&gt;T$388),"",IFERROR(IF($O265=T$387,100,T264)*INDEX($B$2:$B$428,MATCH($O265,$A$2:$A$428,0))/INDEX($B$2:$B$428,MATCH($O265,$A$2:$A$428,0)-1),""))</f>
        <v/>
      </c>
      <c r="U265" s="19" t="str" cm="1">
        <f t="array" ref="U265">IF(OR($O265&lt;U$387,$O265&gt;U$388),"",IFERROR(IF($O265=U$387,100,U264)*INDEX($B$2:$B$428,MATCH($O265,$A$2:$A$428,0))/INDEX($B$2:$B$428,MATCH($O265,$A$2:$A$428,0)-1),""))</f>
        <v/>
      </c>
      <c r="V265" s="19" cm="1">
        <f t="array" ref="V265">IF(OR($O265&lt;V$387,$O265&gt;V$388),"",IFERROR(IF($O265=V$387,100,V264)*INDEX($B$2:$B$428,MATCH($O265,$A$2:$A$428,0))/INDEX($B$2:$B$428,MATCH($O265,$A$2:$A$428,0)-1),""))</f>
        <v>132.65850911353078</v>
      </c>
      <c r="W265" s="19" t="str" cm="1">
        <f t="array" ref="W265">IF(OR($O265&lt;W$387,$O265&gt;W$388),"",IFERROR(IF($O265=W$387,100,W264)*INDEX($B$2:$B$428,MATCH($O265,$A$2:$A$428,0))/INDEX($B$2:$B$428,MATCH($O265,$A$2:$A$428,0)-1),""))</f>
        <v/>
      </c>
      <c r="X265" s="19" t="str" cm="1">
        <f t="array" ref="X265">IF(OR($O265&lt;X$387,$O265&gt;X$388),"",IFERROR(IF($O265=X$387,100,X264)*INDEX($B$2:$B$428,MATCH($O265,$A$2:$A$428,0))/INDEX($B$2:$B$428,MATCH($O265,$A$2:$A$428,0)-1),""))</f>
        <v/>
      </c>
      <c r="AA265" s="19"/>
      <c r="AB265" s="19"/>
      <c r="AC265" s="19"/>
      <c r="AD265" s="19"/>
      <c r="AE265" s="19"/>
      <c r="AF265" s="19"/>
      <c r="AG265" s="19"/>
      <c r="AH265" s="19"/>
      <c r="AJ265" s="11">
        <v>40878</v>
      </c>
      <c r="AK265">
        <v>4376382</v>
      </c>
      <c r="AL265" s="26">
        <f t="shared" si="30"/>
        <v>0.6063370953449676</v>
      </c>
    </row>
    <row r="266" spans="1:38" x14ac:dyDescent="0.3">
      <c r="A266" s="11">
        <v>41275</v>
      </c>
      <c r="B266" s="18">
        <v>1014926.18</v>
      </c>
      <c r="C266" s="18">
        <v>1599520.85</v>
      </c>
      <c r="D266" s="18">
        <v>2869420.71</v>
      </c>
      <c r="E266" s="11">
        <f t="shared" si="31"/>
        <v>41275</v>
      </c>
      <c r="F266" s="9">
        <f t="shared" si="27"/>
        <v>-3.4938398537700754E-2</v>
      </c>
      <c r="G266" s="9">
        <f t="shared" si="28"/>
        <v>1.7664199775611733E-2</v>
      </c>
      <c r="H266" s="9">
        <f t="shared" si="29"/>
        <v>9.3514039816352312E-2</v>
      </c>
      <c r="I266" s="11">
        <f t="shared" si="32"/>
        <v>41275</v>
      </c>
      <c r="O266" s="11">
        <v>42736</v>
      </c>
      <c r="P266" s="19" t="str" cm="1">
        <f t="array" ref="P266">IF(OR($O266&lt;P$387,$O266&gt;P$388),"",IFERROR(IF($O266=P$387,100,P265)*INDEX($B$2:$B$428,MATCH($O266,$A$2:$A$428,0))/INDEX($B$2:$B$428,MATCH($O266,$A$2:$A$428,0)-1),""))</f>
        <v/>
      </c>
      <c r="Q266" s="19" t="str" cm="1">
        <f t="array" ref="Q266">IF(OR($O266&lt;Q$387,$O266&gt;Q$388),"",IFERROR(IF($O266=Q$387,100,Q265)*INDEX($B$2:$B$428,MATCH($O266,$A$2:$A$428,0))/INDEX($B$2:$B$428,MATCH($O266,$A$2:$A$428,0)-1),""))</f>
        <v/>
      </c>
      <c r="R266" s="19" t="str" cm="1">
        <f t="array" ref="R266">IF(OR($O266&lt;R$387,$O266&gt;R$388),"",IFERROR(IF($O266=R$387,100,R265)*INDEX($B$2:$B$428,MATCH($O266,$A$2:$A$428,0))/INDEX($B$2:$B$428,MATCH($O266,$A$2:$A$428,0)-1),""))</f>
        <v/>
      </c>
      <c r="S266" s="19" t="str" cm="1">
        <f t="array" ref="S266">IF(OR($O266&lt;S$387,$O266&gt;S$388),"",IFERROR(IF($O266=S$387,100,S265)*INDEX($B$2:$B$428,MATCH($O266,$A$2:$A$428,0))/INDEX($B$2:$B$428,MATCH($O266,$A$2:$A$428,0)-1),""))</f>
        <v/>
      </c>
      <c r="T266" s="19" t="str" cm="1">
        <f t="array" ref="T266">IF(OR($O266&lt;T$387,$O266&gt;T$388),"",IFERROR(IF($O266=T$387,100,T265)*INDEX($B$2:$B$428,MATCH($O266,$A$2:$A$428,0))/INDEX($B$2:$B$428,MATCH($O266,$A$2:$A$428,0)-1),""))</f>
        <v/>
      </c>
      <c r="U266" s="19" t="str" cm="1">
        <f t="array" ref="U266">IF(OR($O266&lt;U$387,$O266&gt;U$388),"",IFERROR(IF($O266=U$387,100,U265)*INDEX($B$2:$B$428,MATCH($O266,$A$2:$A$428,0))/INDEX($B$2:$B$428,MATCH($O266,$A$2:$A$428,0)-1),""))</f>
        <v/>
      </c>
      <c r="V266" s="19" cm="1">
        <f t="array" ref="V266">IF(OR($O266&lt;V$387,$O266&gt;V$388),"",IFERROR(IF($O266=V$387,100,V265)*INDEX($B$2:$B$428,MATCH($O266,$A$2:$A$428,0))/INDEX($B$2:$B$428,MATCH($O266,$A$2:$A$428,0)-1),""))</f>
        <v>135.37723616316126</v>
      </c>
      <c r="W266" s="19" t="str" cm="1">
        <f t="array" ref="W266">IF(OR($O266&lt;W$387,$O266&gt;W$388),"",IFERROR(IF($O266=W$387,100,W265)*INDEX($B$2:$B$428,MATCH($O266,$A$2:$A$428,0))/INDEX($B$2:$B$428,MATCH($O266,$A$2:$A$428,0)-1),""))</f>
        <v/>
      </c>
      <c r="X266" s="19" t="str" cm="1">
        <f t="array" ref="X266">IF(OR($O266&lt;X$387,$O266&gt;X$388),"",IFERROR(IF($O266=X$387,100,X265)*INDEX($B$2:$B$428,MATCH($O266,$A$2:$A$428,0))/INDEX($B$2:$B$428,MATCH($O266,$A$2:$A$428,0)-1),""))</f>
        <v/>
      </c>
      <c r="AA266" s="19"/>
      <c r="AB266" s="19"/>
      <c r="AC266" s="19"/>
      <c r="AD266" s="19"/>
      <c r="AE266" s="19"/>
      <c r="AF266" s="19"/>
      <c r="AG266" s="19"/>
      <c r="AH266" s="19"/>
      <c r="AJ266" s="11">
        <v>40909</v>
      </c>
      <c r="AK266">
        <v>4412978.2</v>
      </c>
      <c r="AL266" s="26">
        <f t="shared" si="30"/>
        <v>0.59461804275398411</v>
      </c>
    </row>
    <row r="267" spans="1:38" x14ac:dyDescent="0.3">
      <c r="A267" s="11">
        <v>41306</v>
      </c>
      <c r="B267" s="18">
        <v>1045396.84</v>
      </c>
      <c r="C267" s="18">
        <v>1631793.22</v>
      </c>
      <c r="D267" s="18">
        <v>2899937.41</v>
      </c>
      <c r="E267" s="11">
        <f t="shared" si="31"/>
        <v>41306</v>
      </c>
      <c r="F267" s="9">
        <f t="shared" si="27"/>
        <v>-2.5112075381240384E-2</v>
      </c>
      <c r="G267" s="9">
        <f t="shared" si="28"/>
        <v>2.6121735782868027E-2</v>
      </c>
      <c r="H267" s="9">
        <f t="shared" si="29"/>
        <v>6.6256423864813563E-2</v>
      </c>
      <c r="I267" s="11">
        <f t="shared" si="32"/>
        <v>41306</v>
      </c>
      <c r="O267" s="11">
        <v>42767</v>
      </c>
      <c r="P267" s="19" t="str" cm="1">
        <f t="array" ref="P267">IF(OR($O267&lt;P$387,$O267&gt;P$388),"",IFERROR(IF($O267=P$387,100,P266)*INDEX($B$2:$B$428,MATCH($O267,$A$2:$A$428,0))/INDEX($B$2:$B$428,MATCH($O267,$A$2:$A$428,0)-1),""))</f>
        <v/>
      </c>
      <c r="Q267" s="19" t="str" cm="1">
        <f t="array" ref="Q267">IF(OR($O267&lt;Q$387,$O267&gt;Q$388),"",IFERROR(IF($O267=Q$387,100,Q266)*INDEX($B$2:$B$428,MATCH($O267,$A$2:$A$428,0))/INDEX($B$2:$B$428,MATCH($O267,$A$2:$A$428,0)-1),""))</f>
        <v/>
      </c>
      <c r="R267" s="19" t="str" cm="1">
        <f t="array" ref="R267">IF(OR($O267&lt;R$387,$O267&gt;R$388),"",IFERROR(IF($O267=R$387,100,R266)*INDEX($B$2:$B$428,MATCH($O267,$A$2:$A$428,0))/INDEX($B$2:$B$428,MATCH($O267,$A$2:$A$428,0)-1),""))</f>
        <v/>
      </c>
      <c r="S267" s="19" t="str" cm="1">
        <f t="array" ref="S267">IF(OR($O267&lt;S$387,$O267&gt;S$388),"",IFERROR(IF($O267=S$387,100,S266)*INDEX($B$2:$B$428,MATCH($O267,$A$2:$A$428,0))/INDEX($B$2:$B$428,MATCH($O267,$A$2:$A$428,0)-1),""))</f>
        <v/>
      </c>
      <c r="T267" s="19" t="str" cm="1">
        <f t="array" ref="T267">IF(OR($O267&lt;T$387,$O267&gt;T$388),"",IFERROR(IF($O267=T$387,100,T266)*INDEX($B$2:$B$428,MATCH($O267,$A$2:$A$428,0))/INDEX($B$2:$B$428,MATCH($O267,$A$2:$A$428,0)-1),""))</f>
        <v/>
      </c>
      <c r="U267" s="19" t="str" cm="1">
        <f t="array" ref="U267">IF(OR($O267&lt;U$387,$O267&gt;U$388),"",IFERROR(IF($O267=U$387,100,U266)*INDEX($B$2:$B$428,MATCH($O267,$A$2:$A$428,0))/INDEX($B$2:$B$428,MATCH($O267,$A$2:$A$428,0)-1),""))</f>
        <v/>
      </c>
      <c r="V267" s="19" cm="1">
        <f t="array" ref="V267">IF(OR($O267&lt;V$387,$O267&gt;V$388),"",IFERROR(IF($O267=V$387,100,V266)*INDEX($B$2:$B$428,MATCH($O267,$A$2:$A$428,0))/INDEX($B$2:$B$428,MATCH($O267,$A$2:$A$428,0)-1),""))</f>
        <v>139.24114158895358</v>
      </c>
      <c r="W267" s="19" t="str" cm="1">
        <f t="array" ref="W267">IF(OR($O267&lt;W$387,$O267&gt;W$388),"",IFERROR(IF($O267=W$387,100,W266)*INDEX($B$2:$B$428,MATCH($O267,$A$2:$A$428,0))/INDEX($B$2:$B$428,MATCH($O267,$A$2:$A$428,0)-1),""))</f>
        <v/>
      </c>
      <c r="X267" s="19" t="str" cm="1">
        <f t="array" ref="X267">IF(OR($O267&lt;X$387,$O267&gt;X$388),"",IFERROR(IF($O267=X$387,100,X266)*INDEX($B$2:$B$428,MATCH($O267,$A$2:$A$428,0))/INDEX($B$2:$B$428,MATCH($O267,$A$2:$A$428,0)-1),""))</f>
        <v/>
      </c>
      <c r="AA267" s="19"/>
      <c r="AB267" s="19"/>
      <c r="AC267" s="19"/>
      <c r="AD267" s="19"/>
      <c r="AE267" s="19"/>
      <c r="AF267" s="19"/>
      <c r="AG267" s="19"/>
      <c r="AH267" s="19"/>
      <c r="AJ267" s="11">
        <v>40940</v>
      </c>
      <c r="AK267">
        <v>4448189.5</v>
      </c>
      <c r="AL267" s="26">
        <f t="shared" si="30"/>
        <v>0.61142569128406055</v>
      </c>
    </row>
    <row r="268" spans="1:38" x14ac:dyDescent="0.3">
      <c r="A268" s="11">
        <v>41334</v>
      </c>
      <c r="B268" s="18">
        <v>1045582.82</v>
      </c>
      <c r="C268" s="18">
        <v>1623965.4</v>
      </c>
      <c r="D268" s="18">
        <v>2914528.87</v>
      </c>
      <c r="E268" s="11">
        <f t="shared" si="31"/>
        <v>41334</v>
      </c>
      <c r="F268" s="9">
        <f t="shared" si="27"/>
        <v>7.5032622546444827E-4</v>
      </c>
      <c r="G268" s="9">
        <f t="shared" si="28"/>
        <v>4.2589433882098682E-2</v>
      </c>
      <c r="H268" s="9">
        <f t="shared" si="29"/>
        <v>8.1709909260561764E-2</v>
      </c>
      <c r="I268" s="11">
        <f t="shared" si="32"/>
        <v>41334</v>
      </c>
      <c r="O268" s="11">
        <v>42795</v>
      </c>
      <c r="P268" s="19" t="str" cm="1">
        <f t="array" ref="P268">IF(OR($O268&lt;P$387,$O268&gt;P$388),"",IFERROR(IF($O268=P$387,100,P267)*INDEX($B$2:$B$428,MATCH($O268,$A$2:$A$428,0))/INDEX($B$2:$B$428,MATCH($O268,$A$2:$A$428,0)-1),""))</f>
        <v/>
      </c>
      <c r="Q268" s="19" t="str" cm="1">
        <f t="array" ref="Q268">IF(OR($O268&lt;Q$387,$O268&gt;Q$388),"",IFERROR(IF($O268=Q$387,100,Q267)*INDEX($B$2:$B$428,MATCH($O268,$A$2:$A$428,0))/INDEX($B$2:$B$428,MATCH($O268,$A$2:$A$428,0)-1),""))</f>
        <v/>
      </c>
      <c r="R268" s="19" t="str" cm="1">
        <f t="array" ref="R268">IF(OR($O268&lt;R$387,$O268&gt;R$388),"",IFERROR(IF($O268=R$387,100,R267)*INDEX($B$2:$B$428,MATCH($O268,$A$2:$A$428,0))/INDEX($B$2:$B$428,MATCH($O268,$A$2:$A$428,0)-1),""))</f>
        <v/>
      </c>
      <c r="S268" s="19" t="str" cm="1">
        <f t="array" ref="S268">IF(OR($O268&lt;S$387,$O268&gt;S$388),"",IFERROR(IF($O268=S$387,100,S267)*INDEX($B$2:$B$428,MATCH($O268,$A$2:$A$428,0))/INDEX($B$2:$B$428,MATCH($O268,$A$2:$A$428,0)-1),""))</f>
        <v/>
      </c>
      <c r="T268" s="19" t="str" cm="1">
        <f t="array" ref="T268">IF(OR($O268&lt;T$387,$O268&gt;T$388),"",IFERROR(IF($O268=T$387,100,T267)*INDEX($B$2:$B$428,MATCH($O268,$A$2:$A$428,0))/INDEX($B$2:$B$428,MATCH($O268,$A$2:$A$428,0)-1),""))</f>
        <v/>
      </c>
      <c r="U268" s="19" t="str" cm="1">
        <f t="array" ref="U268">IF(OR($O268&lt;U$387,$O268&gt;U$388),"",IFERROR(IF($O268=U$387,100,U267)*INDEX($B$2:$B$428,MATCH($O268,$A$2:$A$428,0))/INDEX($B$2:$B$428,MATCH($O268,$A$2:$A$428,0)-1),""))</f>
        <v/>
      </c>
      <c r="V268" s="19" cm="1">
        <f t="array" ref="V268">IF(OR($O268&lt;V$387,$O268&gt;V$388),"",IFERROR(IF($O268=V$387,100,V267)*INDEX($B$2:$B$428,MATCH($O268,$A$2:$A$428,0))/INDEX($B$2:$B$428,MATCH($O268,$A$2:$A$428,0)-1),""))</f>
        <v>141.44445830324057</v>
      </c>
      <c r="W268" s="19" t="str" cm="1">
        <f t="array" ref="W268">IF(OR($O268&lt;W$387,$O268&gt;W$388),"",IFERROR(IF($O268=W$387,100,W267)*INDEX($B$2:$B$428,MATCH($O268,$A$2:$A$428,0))/INDEX($B$2:$B$428,MATCH($O268,$A$2:$A$428,0)-1),""))</f>
        <v/>
      </c>
      <c r="X268" s="19" t="str" cm="1">
        <f t="array" ref="X268">IF(OR($O268&lt;X$387,$O268&gt;X$388),"",IFERROR(IF($O268=X$387,100,X267)*INDEX($B$2:$B$428,MATCH($O268,$A$2:$A$428,0))/INDEX($B$2:$B$428,MATCH($O268,$A$2:$A$428,0)-1),""))</f>
        <v/>
      </c>
      <c r="AA268" s="19"/>
      <c r="AB268" s="19"/>
      <c r="AC268" s="19"/>
      <c r="AD268" s="19"/>
      <c r="AE268" s="19"/>
      <c r="AF268" s="19"/>
      <c r="AG268" s="19"/>
      <c r="AH268" s="19"/>
      <c r="AJ268" s="11">
        <v>40969</v>
      </c>
      <c r="AK268">
        <v>4489325.5</v>
      </c>
      <c r="AL268" s="26">
        <f t="shared" si="30"/>
        <v>0.60017300594487966</v>
      </c>
    </row>
    <row r="269" spans="1:38" x14ac:dyDescent="0.3">
      <c r="A269" s="11">
        <v>41365</v>
      </c>
      <c r="B269" s="18">
        <v>1051448.78</v>
      </c>
      <c r="C269" s="18">
        <v>1635030.71</v>
      </c>
      <c r="D269" s="18">
        <v>2919577.67</v>
      </c>
      <c r="E269" s="11">
        <f t="shared" si="31"/>
        <v>41365</v>
      </c>
      <c r="F269" s="9">
        <f t="shared" si="27"/>
        <v>3.3698309039846386E-2</v>
      </c>
      <c r="G269" s="9">
        <f t="shared" si="28"/>
        <v>6.543799884083823E-2</v>
      </c>
      <c r="H269" s="9">
        <f t="shared" si="29"/>
        <v>6.0823146922433624E-2</v>
      </c>
      <c r="I269" s="11">
        <f t="shared" si="32"/>
        <v>41365</v>
      </c>
      <c r="O269" s="11">
        <v>42826</v>
      </c>
      <c r="P269" s="19" t="str" cm="1">
        <f t="array" ref="P269">IF(OR($O269&lt;P$387,$O269&gt;P$388),"",IFERROR(IF($O269=P$387,100,P268)*INDEX($B$2:$B$428,MATCH($O269,$A$2:$A$428,0))/INDEX($B$2:$B$428,MATCH($O269,$A$2:$A$428,0)-1),""))</f>
        <v/>
      </c>
      <c r="Q269" s="19" t="str" cm="1">
        <f t="array" ref="Q269">IF(OR($O269&lt;Q$387,$O269&gt;Q$388),"",IFERROR(IF($O269=Q$387,100,Q268)*INDEX($B$2:$B$428,MATCH($O269,$A$2:$A$428,0))/INDEX($B$2:$B$428,MATCH($O269,$A$2:$A$428,0)-1),""))</f>
        <v/>
      </c>
      <c r="R269" s="19" t="str" cm="1">
        <f t="array" ref="R269">IF(OR($O269&lt;R$387,$O269&gt;R$388),"",IFERROR(IF($O269=R$387,100,R268)*INDEX($B$2:$B$428,MATCH($O269,$A$2:$A$428,0))/INDEX($B$2:$B$428,MATCH($O269,$A$2:$A$428,0)-1),""))</f>
        <v/>
      </c>
      <c r="S269" s="19" t="str" cm="1">
        <f t="array" ref="S269">IF(OR($O269&lt;S$387,$O269&gt;S$388),"",IFERROR(IF($O269=S$387,100,S268)*INDEX($B$2:$B$428,MATCH($O269,$A$2:$A$428,0))/INDEX($B$2:$B$428,MATCH($O269,$A$2:$A$428,0)-1),""))</f>
        <v/>
      </c>
      <c r="T269" s="19" t="str" cm="1">
        <f t="array" ref="T269">IF(OR($O269&lt;T$387,$O269&gt;T$388),"",IFERROR(IF($O269=T$387,100,T268)*INDEX($B$2:$B$428,MATCH($O269,$A$2:$A$428,0))/INDEX($B$2:$B$428,MATCH($O269,$A$2:$A$428,0)-1),""))</f>
        <v/>
      </c>
      <c r="U269" s="19" t="str" cm="1">
        <f t="array" ref="U269">IF(OR($O269&lt;U$387,$O269&gt;U$388),"",IFERROR(IF($O269=U$387,100,U268)*INDEX($B$2:$B$428,MATCH($O269,$A$2:$A$428,0))/INDEX($B$2:$B$428,MATCH($O269,$A$2:$A$428,0)-1),""))</f>
        <v/>
      </c>
      <c r="V269" s="19" cm="1">
        <f t="array" ref="V269">IF(OR($O269&lt;V$387,$O269&gt;V$388),"",IFERROR(IF($O269=V$387,100,V268)*INDEX($B$2:$B$428,MATCH($O269,$A$2:$A$428,0))/INDEX($B$2:$B$428,MATCH($O269,$A$2:$A$428,0)-1),""))</f>
        <v>141.5328197646551</v>
      </c>
      <c r="W269" s="19" t="str" cm="1">
        <f t="array" ref="W269">IF(OR($O269&lt;W$387,$O269&gt;W$388),"",IFERROR(IF($O269=W$387,100,W268)*INDEX($B$2:$B$428,MATCH($O269,$A$2:$A$428,0))/INDEX($B$2:$B$428,MATCH($O269,$A$2:$A$428,0)-1),""))</f>
        <v/>
      </c>
      <c r="X269" s="19" t="str" cm="1">
        <f t="array" ref="X269">IF(OR($O269&lt;X$387,$O269&gt;X$388),"",IFERROR(IF($O269=X$387,100,X268)*INDEX($B$2:$B$428,MATCH($O269,$A$2:$A$428,0))/INDEX($B$2:$B$428,MATCH($O269,$A$2:$A$428,0)-1),""))</f>
        <v/>
      </c>
      <c r="AA269" s="19"/>
      <c r="AB269" s="19"/>
      <c r="AC269" s="19"/>
      <c r="AD269" s="19"/>
      <c r="AE269" s="19"/>
      <c r="AF269" s="19"/>
      <c r="AG269" s="19"/>
      <c r="AH269" s="19"/>
      <c r="AJ269" s="11">
        <v>41000</v>
      </c>
      <c r="AK269">
        <v>4520600.5</v>
      </c>
      <c r="AL269" s="26">
        <f t="shared" si="30"/>
        <v>0.60880879431836543</v>
      </c>
    </row>
    <row r="270" spans="1:38" x14ac:dyDescent="0.3">
      <c r="A270" s="11">
        <v>41395</v>
      </c>
      <c r="B270" s="18">
        <v>1026880.32</v>
      </c>
      <c r="C270" s="18">
        <v>1618268.69</v>
      </c>
      <c r="D270" s="18">
        <v>2919427.55</v>
      </c>
      <c r="E270" s="11">
        <f t="shared" si="31"/>
        <v>41395</v>
      </c>
      <c r="F270" s="9">
        <f t="shared" ref="F270:F333" si="33">B270/B258-1</f>
        <v>4.160826505676174E-2</v>
      </c>
      <c r="G270" s="9">
        <f t="shared" ref="G270:G333" si="34">C270/C258-1</f>
        <v>6.7008338802161616E-2</v>
      </c>
      <c r="H270" s="9">
        <f t="shared" ref="H270:H333" si="35">D270/D258-1</f>
        <v>4.0411516255362434E-2</v>
      </c>
      <c r="I270" s="11">
        <f t="shared" si="32"/>
        <v>41395</v>
      </c>
      <c r="O270" s="11">
        <v>42856</v>
      </c>
      <c r="P270" s="19" t="str" cm="1">
        <f t="array" ref="P270">IF(OR($O270&lt;P$387,$O270&gt;P$388),"",IFERROR(IF($O270=P$387,100,P269)*INDEX($B$2:$B$428,MATCH($O270,$A$2:$A$428,0))/INDEX($B$2:$B$428,MATCH($O270,$A$2:$A$428,0)-1),""))</f>
        <v/>
      </c>
      <c r="Q270" s="19" t="str" cm="1">
        <f t="array" ref="Q270">IF(OR($O270&lt;Q$387,$O270&gt;Q$388),"",IFERROR(IF($O270=Q$387,100,Q269)*INDEX($B$2:$B$428,MATCH($O270,$A$2:$A$428,0))/INDEX($B$2:$B$428,MATCH($O270,$A$2:$A$428,0)-1),""))</f>
        <v/>
      </c>
      <c r="R270" s="19" t="str" cm="1">
        <f t="array" ref="R270">IF(OR($O270&lt;R$387,$O270&gt;R$388),"",IFERROR(IF($O270=R$387,100,R269)*INDEX($B$2:$B$428,MATCH($O270,$A$2:$A$428,0))/INDEX($B$2:$B$428,MATCH($O270,$A$2:$A$428,0)-1),""))</f>
        <v/>
      </c>
      <c r="S270" s="19" t="str" cm="1">
        <f t="array" ref="S270">IF(OR($O270&lt;S$387,$O270&gt;S$388),"",IFERROR(IF($O270=S$387,100,S269)*INDEX($B$2:$B$428,MATCH($O270,$A$2:$A$428,0))/INDEX($B$2:$B$428,MATCH($O270,$A$2:$A$428,0)-1),""))</f>
        <v/>
      </c>
      <c r="T270" s="19" t="str" cm="1">
        <f t="array" ref="T270">IF(OR($O270&lt;T$387,$O270&gt;T$388),"",IFERROR(IF($O270=T$387,100,T269)*INDEX($B$2:$B$428,MATCH($O270,$A$2:$A$428,0))/INDEX($B$2:$B$428,MATCH($O270,$A$2:$A$428,0)-1),""))</f>
        <v/>
      </c>
      <c r="U270" s="19" t="str" cm="1">
        <f t="array" ref="U270">IF(OR($O270&lt;U$387,$O270&gt;U$388),"",IFERROR(IF($O270=U$387,100,U269)*INDEX($B$2:$B$428,MATCH($O270,$A$2:$A$428,0))/INDEX($B$2:$B$428,MATCH($O270,$A$2:$A$428,0)-1),""))</f>
        <v/>
      </c>
      <c r="V270" s="19" cm="1">
        <f t="array" ref="V270">IF(OR($O270&lt;V$387,$O270&gt;V$388),"",IFERROR(IF($O270=V$387,100,V269)*INDEX($B$2:$B$428,MATCH($O270,$A$2:$A$428,0))/INDEX($B$2:$B$428,MATCH($O270,$A$2:$A$428,0)-1),""))</f>
        <v>144.45984997871503</v>
      </c>
      <c r="W270" s="19" t="str" cm="1">
        <f t="array" ref="W270">IF(OR($O270&lt;W$387,$O270&gt;W$388),"",IFERROR(IF($O270=W$387,100,W269)*INDEX($B$2:$B$428,MATCH($O270,$A$2:$A$428,0))/INDEX($B$2:$B$428,MATCH($O270,$A$2:$A$428,0)-1),""))</f>
        <v/>
      </c>
      <c r="X270" s="19" t="str" cm="1">
        <f t="array" ref="X270">IF(OR($O270&lt;X$387,$O270&gt;X$388),"",IFERROR(IF($O270=X$387,100,X269)*INDEX($B$2:$B$428,MATCH($O270,$A$2:$A$428,0))/INDEX($B$2:$B$428,MATCH($O270,$A$2:$A$428,0)-1),""))</f>
        <v/>
      </c>
      <c r="AA270" s="19"/>
      <c r="AB270" s="19"/>
      <c r="AC270" s="19"/>
      <c r="AD270" s="19"/>
      <c r="AE270" s="19"/>
      <c r="AF270" s="19"/>
      <c r="AG270" s="19"/>
      <c r="AH270" s="19"/>
      <c r="AJ270" s="11">
        <v>41030</v>
      </c>
      <c r="AK270">
        <v>4554181.4000000004</v>
      </c>
      <c r="AL270" s="26">
        <f t="shared" ref="AL270:AL333" si="36">D258/AK270</f>
        <v>0.61614400339872277</v>
      </c>
    </row>
    <row r="271" spans="1:38" x14ac:dyDescent="0.3">
      <c r="A271" s="11">
        <v>41426</v>
      </c>
      <c r="B271" s="18">
        <v>1020523.62</v>
      </c>
      <c r="C271" s="18">
        <v>1617045.25</v>
      </c>
      <c r="D271" s="18">
        <v>2970306.53</v>
      </c>
      <c r="E271" s="11">
        <f t="shared" si="31"/>
        <v>41426</v>
      </c>
      <c r="F271" s="9">
        <f t="shared" si="33"/>
        <v>2.9965218460760168E-2</v>
      </c>
      <c r="G271" s="9">
        <f t="shared" si="34"/>
        <v>5.5261141730193808E-2</v>
      </c>
      <c r="H271" s="9">
        <f t="shared" si="35"/>
        <v>3.7369532112759174E-2</v>
      </c>
      <c r="I271" s="11">
        <f t="shared" si="32"/>
        <v>41426</v>
      </c>
      <c r="O271" s="11">
        <v>42887</v>
      </c>
      <c r="P271" s="19" t="str" cm="1">
        <f t="array" ref="P271">IF(OR($O271&lt;P$387,$O271&gt;P$388),"",IFERROR(IF($O271=P$387,100,P270)*INDEX($B$2:$B$428,MATCH($O271,$A$2:$A$428,0))/INDEX($B$2:$B$428,MATCH($O271,$A$2:$A$428,0)-1),""))</f>
        <v/>
      </c>
      <c r="Q271" s="19" t="str" cm="1">
        <f t="array" ref="Q271">IF(OR($O271&lt;Q$387,$O271&gt;Q$388),"",IFERROR(IF($O271=Q$387,100,Q270)*INDEX($B$2:$B$428,MATCH($O271,$A$2:$A$428,0))/INDEX($B$2:$B$428,MATCH($O271,$A$2:$A$428,0)-1),""))</f>
        <v/>
      </c>
      <c r="R271" s="19" t="str" cm="1">
        <f t="array" ref="R271">IF(OR($O271&lt;R$387,$O271&gt;R$388),"",IFERROR(IF($O271=R$387,100,R270)*INDEX($B$2:$B$428,MATCH($O271,$A$2:$A$428,0))/INDEX($B$2:$B$428,MATCH($O271,$A$2:$A$428,0)-1),""))</f>
        <v/>
      </c>
      <c r="S271" s="19" t="str" cm="1">
        <f t="array" ref="S271">IF(OR($O271&lt;S$387,$O271&gt;S$388),"",IFERROR(IF($O271=S$387,100,S270)*INDEX($B$2:$B$428,MATCH($O271,$A$2:$A$428,0))/INDEX($B$2:$B$428,MATCH($O271,$A$2:$A$428,0)-1),""))</f>
        <v/>
      </c>
      <c r="T271" s="19" t="str" cm="1">
        <f t="array" ref="T271">IF(OR($O271&lt;T$387,$O271&gt;T$388),"",IFERROR(IF($O271=T$387,100,T270)*INDEX($B$2:$B$428,MATCH($O271,$A$2:$A$428,0))/INDEX($B$2:$B$428,MATCH($O271,$A$2:$A$428,0)-1),""))</f>
        <v/>
      </c>
      <c r="U271" s="19" t="str" cm="1">
        <f t="array" ref="U271">IF(OR($O271&lt;U$387,$O271&gt;U$388),"",IFERROR(IF($O271=U$387,100,U270)*INDEX($B$2:$B$428,MATCH($O271,$A$2:$A$428,0))/INDEX($B$2:$B$428,MATCH($O271,$A$2:$A$428,0)-1),""))</f>
        <v/>
      </c>
      <c r="V271" s="19" cm="1">
        <f t="array" ref="V271">IF(OR($O271&lt;V$387,$O271&gt;V$388),"",IFERROR(IF($O271=V$387,100,V270)*INDEX($B$2:$B$428,MATCH($O271,$A$2:$A$428,0))/INDEX($B$2:$B$428,MATCH($O271,$A$2:$A$428,0)-1),""))</f>
        <v>146.52032729968792</v>
      </c>
      <c r="W271" s="19" t="str" cm="1">
        <f t="array" ref="W271">IF(OR($O271&lt;W$387,$O271&gt;W$388),"",IFERROR(IF($O271=W$387,100,W270)*INDEX($B$2:$B$428,MATCH($O271,$A$2:$A$428,0))/INDEX($B$2:$B$428,MATCH($O271,$A$2:$A$428,0)-1),""))</f>
        <v/>
      </c>
      <c r="X271" s="19" t="str" cm="1">
        <f t="array" ref="X271">IF(OR($O271&lt;X$387,$O271&gt;X$388),"",IFERROR(IF($O271=X$387,100,X270)*INDEX($B$2:$B$428,MATCH($O271,$A$2:$A$428,0))/INDEX($B$2:$B$428,MATCH($O271,$A$2:$A$428,0)-1),""))</f>
        <v/>
      </c>
      <c r="AA271" s="19"/>
      <c r="AB271" s="19"/>
      <c r="AC271" s="19"/>
      <c r="AD271" s="19"/>
      <c r="AE271" s="19"/>
      <c r="AF271" s="19"/>
      <c r="AG271" s="19"/>
      <c r="AH271" s="19"/>
      <c r="AJ271" s="11">
        <v>41061</v>
      </c>
      <c r="AK271">
        <v>4585738.9000000004</v>
      </c>
      <c r="AL271" s="26">
        <f t="shared" si="36"/>
        <v>0.62439362171274071</v>
      </c>
    </row>
    <row r="272" spans="1:38" x14ac:dyDescent="0.3">
      <c r="A272" s="11">
        <v>41456</v>
      </c>
      <c r="B272" s="18">
        <v>1003866.7</v>
      </c>
      <c r="C272" s="18">
        <v>1614285.77</v>
      </c>
      <c r="D272" s="18">
        <v>2942631.81</v>
      </c>
      <c r="E272" s="11">
        <f t="shared" si="31"/>
        <v>41456</v>
      </c>
      <c r="F272" s="9">
        <f t="shared" si="33"/>
        <v>1.7142680204849992E-2</v>
      </c>
      <c r="G272" s="9">
        <f t="shared" si="34"/>
        <v>5.1818257494937292E-2</v>
      </c>
      <c r="H272" s="9">
        <f t="shared" si="35"/>
        <v>6.7084783915872137E-2</v>
      </c>
      <c r="I272" s="11">
        <f t="shared" si="32"/>
        <v>41456</v>
      </c>
      <c r="O272" s="11">
        <v>42917</v>
      </c>
      <c r="P272" s="19" t="str" cm="1">
        <f t="array" ref="P272">IF(OR($O272&lt;P$387,$O272&gt;P$388),"",IFERROR(IF($O272=P$387,100,P271)*INDEX($B$2:$B$428,MATCH($O272,$A$2:$A$428,0))/INDEX($B$2:$B$428,MATCH($O272,$A$2:$A$428,0)-1),""))</f>
        <v/>
      </c>
      <c r="Q272" s="19" t="str" cm="1">
        <f t="array" ref="Q272">IF(OR($O272&lt;Q$387,$O272&gt;Q$388),"",IFERROR(IF($O272=Q$387,100,Q271)*INDEX($B$2:$B$428,MATCH($O272,$A$2:$A$428,0))/INDEX($B$2:$B$428,MATCH($O272,$A$2:$A$428,0)-1),""))</f>
        <v/>
      </c>
      <c r="R272" s="19" t="str" cm="1">
        <f t="array" ref="R272">IF(OR($O272&lt;R$387,$O272&gt;R$388),"",IFERROR(IF($O272=R$387,100,R271)*INDEX($B$2:$B$428,MATCH($O272,$A$2:$A$428,0))/INDEX($B$2:$B$428,MATCH($O272,$A$2:$A$428,0)-1),""))</f>
        <v/>
      </c>
      <c r="S272" s="19" t="str" cm="1">
        <f t="array" ref="S272">IF(OR($O272&lt;S$387,$O272&gt;S$388),"",IFERROR(IF($O272=S$387,100,S271)*INDEX($B$2:$B$428,MATCH($O272,$A$2:$A$428,0))/INDEX($B$2:$B$428,MATCH($O272,$A$2:$A$428,0)-1),""))</f>
        <v/>
      </c>
      <c r="T272" s="19" t="str" cm="1">
        <f t="array" ref="T272">IF(OR($O272&lt;T$387,$O272&gt;T$388),"",IFERROR(IF($O272=T$387,100,T271)*INDEX($B$2:$B$428,MATCH($O272,$A$2:$A$428,0))/INDEX($B$2:$B$428,MATCH($O272,$A$2:$A$428,0)-1),""))</f>
        <v/>
      </c>
      <c r="U272" s="19" t="str" cm="1">
        <f t="array" ref="U272">IF(OR($O272&lt;U$387,$O272&gt;U$388),"",IFERROR(IF($O272=U$387,100,U271)*INDEX($B$2:$B$428,MATCH($O272,$A$2:$A$428,0))/INDEX($B$2:$B$428,MATCH($O272,$A$2:$A$428,0)-1),""))</f>
        <v/>
      </c>
      <c r="V272" s="19" cm="1">
        <f t="array" ref="V272">IF(OR($O272&lt;V$387,$O272&gt;V$388),"",IFERROR(IF($O272=V$387,100,V271)*INDEX($B$2:$B$428,MATCH($O272,$A$2:$A$428,0))/INDEX($B$2:$B$428,MATCH($O272,$A$2:$A$428,0)-1),""))</f>
        <v>152.63770704076714</v>
      </c>
      <c r="W272" s="19" t="str" cm="1">
        <f t="array" ref="W272">IF(OR($O272&lt;W$387,$O272&gt;W$388),"",IFERROR(IF($O272=W$387,100,W271)*INDEX($B$2:$B$428,MATCH($O272,$A$2:$A$428,0))/INDEX($B$2:$B$428,MATCH($O272,$A$2:$A$428,0)-1),""))</f>
        <v/>
      </c>
      <c r="X272" s="19" t="str" cm="1">
        <f t="array" ref="X272">IF(OR($O272&lt;X$387,$O272&gt;X$388),"",IFERROR(IF($O272=X$387,100,X271)*INDEX($B$2:$B$428,MATCH($O272,$A$2:$A$428,0))/INDEX($B$2:$B$428,MATCH($O272,$A$2:$A$428,0)-1),""))</f>
        <v/>
      </c>
      <c r="AA272" s="19"/>
      <c r="AB272" s="19"/>
      <c r="AC272" s="19"/>
      <c r="AD272" s="19"/>
      <c r="AE272" s="19"/>
      <c r="AF272" s="19"/>
      <c r="AG272" s="19"/>
      <c r="AH272" s="19"/>
      <c r="AJ272" s="11">
        <v>41091</v>
      </c>
      <c r="AK272">
        <v>4627422.5999999996</v>
      </c>
      <c r="AL272" s="26">
        <f t="shared" si="36"/>
        <v>0.5959335484077033</v>
      </c>
    </row>
    <row r="273" spans="1:38" x14ac:dyDescent="0.3">
      <c r="A273" s="11">
        <v>41487</v>
      </c>
      <c r="B273" s="18">
        <v>996840.18</v>
      </c>
      <c r="C273" s="18">
        <v>1615203.05</v>
      </c>
      <c r="D273" s="18">
        <v>2982703.41</v>
      </c>
      <c r="E273" s="11">
        <f t="shared" si="31"/>
        <v>41487</v>
      </c>
      <c r="F273" s="9">
        <f t="shared" si="33"/>
        <v>-1.1827211255046599E-3</v>
      </c>
      <c r="G273" s="9">
        <f t="shared" si="34"/>
        <v>3.56358932154206E-2</v>
      </c>
      <c r="H273" s="9">
        <f t="shared" si="35"/>
        <v>7.8368691032010718E-2</v>
      </c>
      <c r="I273" s="11">
        <f t="shared" si="32"/>
        <v>41487</v>
      </c>
      <c r="O273" s="11">
        <v>42948</v>
      </c>
      <c r="P273" s="19" t="str" cm="1">
        <f t="array" ref="P273">IF(OR($O273&lt;P$387,$O273&gt;P$388),"",IFERROR(IF($O273=P$387,100,P272)*INDEX($B$2:$B$428,MATCH($O273,$A$2:$A$428,0))/INDEX($B$2:$B$428,MATCH($O273,$A$2:$A$428,0)-1),""))</f>
        <v/>
      </c>
      <c r="Q273" s="19" t="str" cm="1">
        <f t="array" ref="Q273">IF(OR($O273&lt;Q$387,$O273&gt;Q$388),"",IFERROR(IF($O273=Q$387,100,Q272)*INDEX($B$2:$B$428,MATCH($O273,$A$2:$A$428,0))/INDEX($B$2:$B$428,MATCH($O273,$A$2:$A$428,0)-1),""))</f>
        <v/>
      </c>
      <c r="R273" s="19" t="str" cm="1">
        <f t="array" ref="R273">IF(OR($O273&lt;R$387,$O273&gt;R$388),"",IFERROR(IF($O273=R$387,100,R272)*INDEX($B$2:$B$428,MATCH($O273,$A$2:$A$428,0))/INDEX($B$2:$B$428,MATCH($O273,$A$2:$A$428,0)-1),""))</f>
        <v/>
      </c>
      <c r="S273" s="19" t="str" cm="1">
        <f t="array" ref="S273">IF(OR($O273&lt;S$387,$O273&gt;S$388),"",IFERROR(IF($O273=S$387,100,S272)*INDEX($B$2:$B$428,MATCH($O273,$A$2:$A$428,0))/INDEX($B$2:$B$428,MATCH($O273,$A$2:$A$428,0)-1),""))</f>
        <v/>
      </c>
      <c r="T273" s="19" t="str" cm="1">
        <f t="array" ref="T273">IF(OR($O273&lt;T$387,$O273&gt;T$388),"",IFERROR(IF($O273=T$387,100,T272)*INDEX($B$2:$B$428,MATCH($O273,$A$2:$A$428,0))/INDEX($B$2:$B$428,MATCH($O273,$A$2:$A$428,0)-1),""))</f>
        <v/>
      </c>
      <c r="U273" s="19" t="str" cm="1">
        <f t="array" ref="U273">IF(OR($O273&lt;U$387,$O273&gt;U$388),"",IFERROR(IF($O273=U$387,100,U272)*INDEX($B$2:$B$428,MATCH($O273,$A$2:$A$428,0))/INDEX($B$2:$B$428,MATCH($O273,$A$2:$A$428,0)-1),""))</f>
        <v/>
      </c>
      <c r="V273" s="19" cm="1">
        <f t="array" ref="V273">IF(OR($O273&lt;V$387,$O273&gt;V$388),"",IFERROR(IF($O273=V$387,100,V272)*INDEX($B$2:$B$428,MATCH($O273,$A$2:$A$428,0))/INDEX($B$2:$B$428,MATCH($O273,$A$2:$A$428,0)-1),""))</f>
        <v>155.01970088661537</v>
      </c>
      <c r="W273" s="19" t="str" cm="1">
        <f t="array" ref="W273">IF(OR($O273&lt;W$387,$O273&gt;W$388),"",IFERROR(IF($O273=W$387,100,W272)*INDEX($B$2:$B$428,MATCH($O273,$A$2:$A$428,0))/INDEX($B$2:$B$428,MATCH($O273,$A$2:$A$428,0)-1),""))</f>
        <v/>
      </c>
      <c r="X273" s="19" t="str" cm="1">
        <f t="array" ref="X273">IF(OR($O273&lt;X$387,$O273&gt;X$388),"",IFERROR(IF($O273=X$387,100,X272)*INDEX($B$2:$B$428,MATCH($O273,$A$2:$A$428,0))/INDEX($B$2:$B$428,MATCH($O273,$A$2:$A$428,0)-1),""))</f>
        <v/>
      </c>
      <c r="AA273" s="19"/>
      <c r="AB273" s="19"/>
      <c r="AC273" s="19"/>
      <c r="AD273" s="19"/>
      <c r="AE273" s="19"/>
      <c r="AF273" s="19"/>
      <c r="AG273" s="19"/>
      <c r="AH273" s="19"/>
      <c r="AJ273" s="11">
        <v>41122</v>
      </c>
      <c r="AK273">
        <v>4671301.8</v>
      </c>
      <c r="AL273" s="26">
        <f t="shared" si="36"/>
        <v>0.59211337833064015</v>
      </c>
    </row>
    <row r="274" spans="1:38" x14ac:dyDescent="0.3">
      <c r="A274" s="11">
        <v>41518</v>
      </c>
      <c r="B274" s="18">
        <v>1059684.54</v>
      </c>
      <c r="C274" s="18">
        <v>1656896.58</v>
      </c>
      <c r="D274" s="18">
        <v>2996761.89</v>
      </c>
      <c r="E274" s="11">
        <f t="shared" si="31"/>
        <v>41518</v>
      </c>
      <c r="F274" s="9">
        <f t="shared" si="33"/>
        <v>5.8095735186915576E-2</v>
      </c>
      <c r="G274" s="9">
        <f t="shared" si="34"/>
        <v>6.3733292205737424E-2</v>
      </c>
      <c r="H274" s="9">
        <f t="shared" si="35"/>
        <v>6.547478432865339E-2</v>
      </c>
      <c r="I274" s="11">
        <f t="shared" si="32"/>
        <v>41518</v>
      </c>
      <c r="O274" s="11">
        <v>42979</v>
      </c>
      <c r="P274" s="19" t="str" cm="1">
        <f t="array" ref="P274">IF(OR($O274&lt;P$387,$O274&gt;P$388),"",IFERROR(IF($O274=P$387,100,P273)*INDEX($B$2:$B$428,MATCH($O274,$A$2:$A$428,0))/INDEX($B$2:$B$428,MATCH($O274,$A$2:$A$428,0)-1),""))</f>
        <v/>
      </c>
      <c r="Q274" s="19" t="str" cm="1">
        <f t="array" ref="Q274">IF(OR($O274&lt;Q$387,$O274&gt;Q$388),"",IFERROR(IF($O274=Q$387,100,Q273)*INDEX($B$2:$B$428,MATCH($O274,$A$2:$A$428,0))/INDEX($B$2:$B$428,MATCH($O274,$A$2:$A$428,0)-1),""))</f>
        <v/>
      </c>
      <c r="R274" s="19" t="str" cm="1">
        <f t="array" ref="R274">IF(OR($O274&lt;R$387,$O274&gt;R$388),"",IFERROR(IF($O274=R$387,100,R273)*INDEX($B$2:$B$428,MATCH($O274,$A$2:$A$428,0))/INDEX($B$2:$B$428,MATCH($O274,$A$2:$A$428,0)-1),""))</f>
        <v/>
      </c>
      <c r="S274" s="19" t="str" cm="1">
        <f t="array" ref="S274">IF(OR($O274&lt;S$387,$O274&gt;S$388),"",IFERROR(IF($O274=S$387,100,S273)*INDEX($B$2:$B$428,MATCH($O274,$A$2:$A$428,0))/INDEX($B$2:$B$428,MATCH($O274,$A$2:$A$428,0)-1),""))</f>
        <v/>
      </c>
      <c r="T274" s="19" t="str" cm="1">
        <f t="array" ref="T274">IF(OR($O274&lt;T$387,$O274&gt;T$388),"",IFERROR(IF($O274=T$387,100,T273)*INDEX($B$2:$B$428,MATCH($O274,$A$2:$A$428,0))/INDEX($B$2:$B$428,MATCH($O274,$A$2:$A$428,0)-1),""))</f>
        <v/>
      </c>
      <c r="U274" s="19" t="str" cm="1">
        <f t="array" ref="U274">IF(OR($O274&lt;U$387,$O274&gt;U$388),"",IFERROR(IF($O274=U$387,100,U273)*INDEX($B$2:$B$428,MATCH($O274,$A$2:$A$428,0))/INDEX($B$2:$B$428,MATCH($O274,$A$2:$A$428,0)-1),""))</f>
        <v/>
      </c>
      <c r="V274" s="19" cm="1">
        <f t="array" ref="V274">IF(OR($O274&lt;V$387,$O274&gt;V$388),"",IFERROR(IF($O274=V$387,100,V273)*INDEX($B$2:$B$428,MATCH($O274,$A$2:$A$428,0))/INDEX($B$2:$B$428,MATCH($O274,$A$2:$A$428,0)-1),""))</f>
        <v>158.04858415514607</v>
      </c>
      <c r="W274" s="19" t="str" cm="1">
        <f t="array" ref="W274">IF(OR($O274&lt;W$387,$O274&gt;W$388),"",IFERROR(IF($O274=W$387,100,W273)*INDEX($B$2:$B$428,MATCH($O274,$A$2:$A$428,0))/INDEX($B$2:$B$428,MATCH($O274,$A$2:$A$428,0)-1),""))</f>
        <v/>
      </c>
      <c r="X274" s="19" t="str" cm="1">
        <f t="array" ref="X274">IF(OR($O274&lt;X$387,$O274&gt;X$388),"",IFERROR(IF($O274=X$387,100,X273)*INDEX($B$2:$B$428,MATCH($O274,$A$2:$A$428,0))/INDEX($B$2:$B$428,MATCH($O274,$A$2:$A$428,0)-1),""))</f>
        <v/>
      </c>
      <c r="AA274" s="19"/>
      <c r="AB274" s="19"/>
      <c r="AC274" s="19"/>
      <c r="AD274" s="19"/>
      <c r="AE274" s="19"/>
      <c r="AF274" s="19"/>
      <c r="AG274" s="19"/>
      <c r="AH274" s="19"/>
      <c r="AJ274" s="11">
        <v>41153</v>
      </c>
      <c r="AK274">
        <v>4703853.5</v>
      </c>
      <c r="AL274" s="26">
        <f t="shared" si="36"/>
        <v>0.59793678735955524</v>
      </c>
    </row>
    <row r="275" spans="1:38" x14ac:dyDescent="0.3">
      <c r="A275" s="11">
        <v>41548</v>
      </c>
      <c r="B275" s="18">
        <v>1070861.1200000001</v>
      </c>
      <c r="C275" s="18">
        <v>1683156.11</v>
      </c>
      <c r="D275" s="18">
        <v>3040493.28</v>
      </c>
      <c r="E275" s="11">
        <f t="shared" si="31"/>
        <v>41548</v>
      </c>
      <c r="F275" s="9">
        <f t="shared" si="33"/>
        <v>6.7289808208264024E-2</v>
      </c>
      <c r="G275" s="9">
        <f t="shared" si="34"/>
        <v>7.3518548982962395E-2</v>
      </c>
      <c r="H275" s="9">
        <f t="shared" si="35"/>
        <v>6.7534483827556002E-2</v>
      </c>
      <c r="I275" s="11">
        <f t="shared" si="32"/>
        <v>41548</v>
      </c>
      <c r="O275" s="11">
        <v>43009</v>
      </c>
      <c r="P275" s="19" t="str" cm="1">
        <f t="array" ref="P275">IF(OR($O275&lt;P$387,$O275&gt;P$388),"",IFERROR(IF($O275=P$387,100,P274)*INDEX($B$2:$B$428,MATCH($O275,$A$2:$A$428,0))/INDEX($B$2:$B$428,MATCH($O275,$A$2:$A$428,0)-1),""))</f>
        <v/>
      </c>
      <c r="Q275" s="19" t="str" cm="1">
        <f t="array" ref="Q275">IF(OR($O275&lt;Q$387,$O275&gt;Q$388),"",IFERROR(IF($O275=Q$387,100,Q274)*INDEX($B$2:$B$428,MATCH($O275,$A$2:$A$428,0))/INDEX($B$2:$B$428,MATCH($O275,$A$2:$A$428,0)-1),""))</f>
        <v/>
      </c>
      <c r="R275" s="19" t="str" cm="1">
        <f t="array" ref="R275">IF(OR($O275&lt;R$387,$O275&gt;R$388),"",IFERROR(IF($O275=R$387,100,R274)*INDEX($B$2:$B$428,MATCH($O275,$A$2:$A$428,0))/INDEX($B$2:$B$428,MATCH($O275,$A$2:$A$428,0)-1),""))</f>
        <v/>
      </c>
      <c r="S275" s="19" t="str" cm="1">
        <f t="array" ref="S275">IF(OR($O275&lt;S$387,$O275&gt;S$388),"",IFERROR(IF($O275=S$387,100,S274)*INDEX($B$2:$B$428,MATCH($O275,$A$2:$A$428,0))/INDEX($B$2:$B$428,MATCH($O275,$A$2:$A$428,0)-1),""))</f>
        <v/>
      </c>
      <c r="T275" s="19" t="str" cm="1">
        <f t="array" ref="T275">IF(OR($O275&lt;T$387,$O275&gt;T$388),"",IFERROR(IF($O275=T$387,100,T274)*INDEX($B$2:$B$428,MATCH($O275,$A$2:$A$428,0))/INDEX($B$2:$B$428,MATCH($O275,$A$2:$A$428,0)-1),""))</f>
        <v/>
      </c>
      <c r="U275" s="19" t="str" cm="1">
        <f t="array" ref="U275">IF(OR($O275&lt;U$387,$O275&gt;U$388),"",IFERROR(IF($O275=U$387,100,U274)*INDEX($B$2:$B$428,MATCH($O275,$A$2:$A$428,0))/INDEX($B$2:$B$428,MATCH($O275,$A$2:$A$428,0)-1),""))</f>
        <v/>
      </c>
      <c r="V275" s="19" cm="1">
        <f t="array" ref="V275">IF(OR($O275&lt;V$387,$O275&gt;V$388),"",IFERROR(IF($O275=V$387,100,V274)*INDEX($B$2:$B$428,MATCH($O275,$A$2:$A$428,0))/INDEX($B$2:$B$428,MATCH($O275,$A$2:$A$428,0)-1),""))</f>
        <v>157.44452801752672</v>
      </c>
      <c r="W275" s="19" t="str" cm="1">
        <f t="array" ref="W275">IF(OR($O275&lt;W$387,$O275&gt;W$388),"",IFERROR(IF($O275=W$387,100,W274)*INDEX($B$2:$B$428,MATCH($O275,$A$2:$A$428,0))/INDEX($B$2:$B$428,MATCH($O275,$A$2:$A$428,0)-1),""))</f>
        <v/>
      </c>
      <c r="X275" s="19" t="str" cm="1">
        <f t="array" ref="X275">IF(OR($O275&lt;X$387,$O275&gt;X$388),"",IFERROR(IF($O275=X$387,100,X274)*INDEX($B$2:$B$428,MATCH($O275,$A$2:$A$428,0))/INDEX($B$2:$B$428,MATCH($O275,$A$2:$A$428,0)-1),""))</f>
        <v/>
      </c>
      <c r="AA275" s="19"/>
      <c r="AB275" s="19"/>
      <c r="AC275" s="19"/>
      <c r="AD275" s="19"/>
      <c r="AE275" s="19"/>
      <c r="AF275" s="19"/>
      <c r="AG275" s="19"/>
      <c r="AH275" s="19"/>
      <c r="AJ275" s="11">
        <v>41183</v>
      </c>
      <c r="AK275">
        <v>4751486.0999999996</v>
      </c>
      <c r="AL275" s="26">
        <f t="shared" si="36"/>
        <v>0.59942199136392293</v>
      </c>
    </row>
    <row r="276" spans="1:38" x14ac:dyDescent="0.3">
      <c r="A276" s="11">
        <v>41579</v>
      </c>
      <c r="B276" s="18">
        <v>1021653.19</v>
      </c>
      <c r="C276" s="18">
        <v>1647842.63</v>
      </c>
      <c r="D276" s="18">
        <v>3107954.24</v>
      </c>
      <c r="E276" s="11">
        <f t="shared" si="31"/>
        <v>41579</v>
      </c>
      <c r="F276" s="9">
        <f t="shared" si="33"/>
        <v>2.6741783885443349E-2</v>
      </c>
      <c r="G276" s="9">
        <f t="shared" si="34"/>
        <v>5.3422258419312918E-2</v>
      </c>
      <c r="H276" s="9">
        <f t="shared" si="35"/>
        <v>7.4089956800696299E-2</v>
      </c>
      <c r="I276" s="11">
        <f t="shared" si="32"/>
        <v>41579</v>
      </c>
      <c r="O276" s="11">
        <v>43040</v>
      </c>
      <c r="P276" s="19" t="str" cm="1">
        <f t="array" ref="P276">IF(OR($O276&lt;P$387,$O276&gt;P$388),"",IFERROR(IF($O276=P$387,100,P275)*INDEX($B$2:$B$428,MATCH($O276,$A$2:$A$428,0))/INDEX($B$2:$B$428,MATCH($O276,$A$2:$A$428,0)-1),""))</f>
        <v/>
      </c>
      <c r="Q276" s="19" t="str" cm="1">
        <f t="array" ref="Q276">IF(OR($O276&lt;Q$387,$O276&gt;Q$388),"",IFERROR(IF($O276=Q$387,100,Q275)*INDEX($B$2:$B$428,MATCH($O276,$A$2:$A$428,0))/INDEX($B$2:$B$428,MATCH($O276,$A$2:$A$428,0)-1),""))</f>
        <v/>
      </c>
      <c r="R276" s="19" t="str" cm="1">
        <f t="array" ref="R276">IF(OR($O276&lt;R$387,$O276&gt;R$388),"",IFERROR(IF($O276=R$387,100,R275)*INDEX($B$2:$B$428,MATCH($O276,$A$2:$A$428,0))/INDEX($B$2:$B$428,MATCH($O276,$A$2:$A$428,0)-1),""))</f>
        <v/>
      </c>
      <c r="S276" s="19" t="str" cm="1">
        <f t="array" ref="S276">IF(OR($O276&lt;S$387,$O276&gt;S$388),"",IFERROR(IF($O276=S$387,100,S275)*INDEX($B$2:$B$428,MATCH($O276,$A$2:$A$428,0))/INDEX($B$2:$B$428,MATCH($O276,$A$2:$A$428,0)-1),""))</f>
        <v/>
      </c>
      <c r="T276" s="19" t="str" cm="1">
        <f t="array" ref="T276">IF(OR($O276&lt;T$387,$O276&gt;T$388),"",IFERROR(IF($O276=T$387,100,T275)*INDEX($B$2:$B$428,MATCH($O276,$A$2:$A$428,0))/INDEX($B$2:$B$428,MATCH($O276,$A$2:$A$428,0)-1),""))</f>
        <v/>
      </c>
      <c r="U276" s="19" t="str" cm="1">
        <f t="array" ref="U276">IF(OR($O276&lt;U$387,$O276&gt;U$388),"",IFERROR(IF($O276=U$387,100,U275)*INDEX($B$2:$B$428,MATCH($O276,$A$2:$A$428,0))/INDEX($B$2:$B$428,MATCH($O276,$A$2:$A$428,0)-1),""))</f>
        <v/>
      </c>
      <c r="V276" s="19" cm="1">
        <f t="array" ref="V276">IF(OR($O276&lt;V$387,$O276&gt;V$388),"",IFERROR(IF($O276=V$387,100,V275)*INDEX($B$2:$B$428,MATCH($O276,$A$2:$A$428,0))/INDEX($B$2:$B$428,MATCH($O276,$A$2:$A$428,0)-1),""))</f>
        <v>159.42670306974389</v>
      </c>
      <c r="W276" s="19" t="str" cm="1">
        <f t="array" ref="W276">IF(OR($O276&lt;W$387,$O276&gt;W$388),"",IFERROR(IF($O276=W$387,100,W275)*INDEX($B$2:$B$428,MATCH($O276,$A$2:$A$428,0))/INDEX($B$2:$B$428,MATCH($O276,$A$2:$A$428,0)-1),""))</f>
        <v/>
      </c>
      <c r="X276" s="19" t="str" cm="1">
        <f t="array" ref="X276">IF(OR($O276&lt;X$387,$O276&gt;X$388),"",IFERROR(IF($O276=X$387,100,X275)*INDEX($B$2:$B$428,MATCH($O276,$A$2:$A$428,0))/INDEX($B$2:$B$428,MATCH($O276,$A$2:$A$428,0)-1),""))</f>
        <v/>
      </c>
      <c r="AA276" s="19"/>
      <c r="AB276" s="19"/>
      <c r="AC276" s="19"/>
      <c r="AD276" s="19"/>
      <c r="AE276" s="19"/>
      <c r="AF276" s="19"/>
      <c r="AG276" s="19"/>
      <c r="AH276" s="19"/>
      <c r="AJ276" s="11">
        <v>41214</v>
      </c>
      <c r="AK276">
        <v>4786564.5</v>
      </c>
      <c r="AL276" s="26">
        <f t="shared" si="36"/>
        <v>0.60451912431139276</v>
      </c>
    </row>
    <row r="277" spans="1:38" x14ac:dyDescent="0.3">
      <c r="A277" s="11">
        <v>41609</v>
      </c>
      <c r="B277" s="18">
        <v>1025357.79</v>
      </c>
      <c r="C277" s="18">
        <v>1660187.02</v>
      </c>
      <c r="D277" s="18">
        <v>3177361.38</v>
      </c>
      <c r="E277" s="11">
        <f t="shared" si="31"/>
        <v>41609</v>
      </c>
      <c r="F277" s="9">
        <f t="shared" si="33"/>
        <v>2.3102166883693265E-2</v>
      </c>
      <c r="G277" s="9">
        <f t="shared" si="34"/>
        <v>4.990030770186582E-2</v>
      </c>
      <c r="H277" s="9">
        <f t="shared" si="35"/>
        <v>7.1052520605809022E-2</v>
      </c>
      <c r="I277" s="11">
        <f t="shared" si="32"/>
        <v>41609</v>
      </c>
      <c r="O277" s="11">
        <v>43070</v>
      </c>
      <c r="P277" s="19" t="str" cm="1">
        <f t="array" ref="P277">IF(OR($O277&lt;P$387,$O277&gt;P$388),"",IFERROR(IF($O277=P$387,100,P276)*INDEX($B$2:$B$428,MATCH($O277,$A$2:$A$428,0))/INDEX($B$2:$B$428,MATCH($O277,$A$2:$A$428,0)-1),""))</f>
        <v/>
      </c>
      <c r="Q277" s="19" t="str" cm="1">
        <f t="array" ref="Q277">IF(OR($O277&lt;Q$387,$O277&gt;Q$388),"",IFERROR(IF($O277=Q$387,100,Q276)*INDEX($B$2:$B$428,MATCH($O277,$A$2:$A$428,0))/INDEX($B$2:$B$428,MATCH($O277,$A$2:$A$428,0)-1),""))</f>
        <v/>
      </c>
      <c r="R277" s="19" t="str" cm="1">
        <f t="array" ref="R277">IF(OR($O277&lt;R$387,$O277&gt;R$388),"",IFERROR(IF($O277=R$387,100,R276)*INDEX($B$2:$B$428,MATCH($O277,$A$2:$A$428,0))/INDEX($B$2:$B$428,MATCH($O277,$A$2:$A$428,0)-1),""))</f>
        <v/>
      </c>
      <c r="S277" s="19" t="str" cm="1">
        <f t="array" ref="S277">IF(OR($O277&lt;S$387,$O277&gt;S$388),"",IFERROR(IF($O277=S$387,100,S276)*INDEX($B$2:$B$428,MATCH($O277,$A$2:$A$428,0))/INDEX($B$2:$B$428,MATCH($O277,$A$2:$A$428,0)-1),""))</f>
        <v/>
      </c>
      <c r="T277" s="19" t="str" cm="1">
        <f t="array" ref="T277">IF(OR($O277&lt;T$387,$O277&gt;T$388),"",IFERROR(IF($O277=T$387,100,T276)*INDEX($B$2:$B$428,MATCH($O277,$A$2:$A$428,0))/INDEX($B$2:$B$428,MATCH($O277,$A$2:$A$428,0)-1),""))</f>
        <v/>
      </c>
      <c r="U277" s="19" t="str" cm="1">
        <f t="array" ref="U277">IF(OR($O277&lt;U$387,$O277&gt;U$388),"",IFERROR(IF($O277=U$387,100,U276)*INDEX($B$2:$B$428,MATCH($O277,$A$2:$A$428,0))/INDEX($B$2:$B$428,MATCH($O277,$A$2:$A$428,0)-1),""))</f>
        <v/>
      </c>
      <c r="V277" s="19" cm="1">
        <f t="array" ref="V277">IF(OR($O277&lt;V$387,$O277&gt;V$388),"",IFERROR(IF($O277=V$387,100,V276)*INDEX($B$2:$B$428,MATCH($O277,$A$2:$A$428,0))/INDEX($B$2:$B$428,MATCH($O277,$A$2:$A$428,0)-1),""))</f>
        <v>160.83783979748426</v>
      </c>
      <c r="W277" s="19" t="str" cm="1">
        <f t="array" ref="W277">IF(OR($O277&lt;W$387,$O277&gt;W$388),"",IFERROR(IF($O277=W$387,100,W276)*INDEX($B$2:$B$428,MATCH($O277,$A$2:$A$428,0))/INDEX($B$2:$B$428,MATCH($O277,$A$2:$A$428,0)-1),""))</f>
        <v/>
      </c>
      <c r="X277" s="19" t="str" cm="1">
        <f t="array" ref="X277">IF(OR($O277&lt;X$387,$O277&gt;X$388),"",IFERROR(IF($O277=X$387,100,X276)*INDEX($B$2:$B$428,MATCH($O277,$A$2:$A$428,0))/INDEX($B$2:$B$428,MATCH($O277,$A$2:$A$428,0)-1),""))</f>
        <v/>
      </c>
      <c r="AA277" s="19"/>
      <c r="AB277" s="19"/>
      <c r="AC277" s="19"/>
      <c r="AD277" s="19"/>
      <c r="AE277" s="19"/>
      <c r="AF277" s="19"/>
      <c r="AG277" s="19"/>
      <c r="AH277" s="19"/>
      <c r="AJ277" s="11">
        <v>41244</v>
      </c>
      <c r="AK277">
        <v>4814760</v>
      </c>
      <c r="AL277" s="26">
        <f t="shared" si="36"/>
        <v>0.61614254916132893</v>
      </c>
    </row>
    <row r="278" spans="1:38" x14ac:dyDescent="0.3">
      <c r="A278" s="11">
        <v>41640</v>
      </c>
      <c r="B278" s="18">
        <v>1010408.33</v>
      </c>
      <c r="C278" s="18">
        <v>1650951.25</v>
      </c>
      <c r="D278" s="18">
        <v>3104074.32</v>
      </c>
      <c r="E278" s="11">
        <f t="shared" si="31"/>
        <v>41640</v>
      </c>
      <c r="F278" s="9">
        <f t="shared" si="33"/>
        <v>-4.4514074905428469E-3</v>
      </c>
      <c r="G278" s="9">
        <f t="shared" si="34"/>
        <v>3.2153629007086737E-2</v>
      </c>
      <c r="H278" s="9">
        <f t="shared" si="35"/>
        <v>8.1777345922898759E-2</v>
      </c>
      <c r="I278" s="11">
        <f t="shared" si="32"/>
        <v>41640</v>
      </c>
      <c r="O278" s="11">
        <v>43101</v>
      </c>
      <c r="P278" s="19" t="str" cm="1">
        <f t="array" ref="P278">IF(OR($O278&lt;P$387,$O278&gt;P$388),"",IFERROR(IF($O278=P$387,100,P277)*INDEX($B$2:$B$428,MATCH($O278,$A$2:$A$428,0))/INDEX($B$2:$B$428,MATCH($O278,$A$2:$A$428,0)-1),""))</f>
        <v/>
      </c>
      <c r="Q278" s="19" t="str" cm="1">
        <f t="array" ref="Q278">IF(OR($O278&lt;Q$387,$O278&gt;Q$388),"",IFERROR(IF($O278=Q$387,100,Q277)*INDEX($B$2:$B$428,MATCH($O278,$A$2:$A$428,0))/INDEX($B$2:$B$428,MATCH($O278,$A$2:$A$428,0)-1),""))</f>
        <v/>
      </c>
      <c r="R278" s="19" t="str" cm="1">
        <f t="array" ref="R278">IF(OR($O278&lt;R$387,$O278&gt;R$388),"",IFERROR(IF($O278=R$387,100,R277)*INDEX($B$2:$B$428,MATCH($O278,$A$2:$A$428,0))/INDEX($B$2:$B$428,MATCH($O278,$A$2:$A$428,0)-1),""))</f>
        <v/>
      </c>
      <c r="S278" s="19" t="str" cm="1">
        <f t="array" ref="S278">IF(OR($O278&lt;S$387,$O278&gt;S$388),"",IFERROR(IF($O278=S$387,100,S277)*INDEX($B$2:$B$428,MATCH($O278,$A$2:$A$428,0))/INDEX($B$2:$B$428,MATCH($O278,$A$2:$A$428,0)-1),""))</f>
        <v/>
      </c>
      <c r="T278" s="19" t="str" cm="1">
        <f t="array" ref="T278">IF(OR($O278&lt;T$387,$O278&gt;T$388),"",IFERROR(IF($O278=T$387,100,T277)*INDEX($B$2:$B$428,MATCH($O278,$A$2:$A$428,0))/INDEX($B$2:$B$428,MATCH($O278,$A$2:$A$428,0)-1),""))</f>
        <v/>
      </c>
      <c r="U278" s="19" t="str" cm="1">
        <f t="array" ref="U278">IF(OR($O278&lt;U$387,$O278&gt;U$388),"",IFERROR(IF($O278=U$387,100,U277)*INDEX($B$2:$B$428,MATCH($O278,$A$2:$A$428,0))/INDEX($B$2:$B$428,MATCH($O278,$A$2:$A$428,0)-1),""))</f>
        <v/>
      </c>
      <c r="V278" s="19" cm="1">
        <f t="array" ref="V278">IF(OR($O278&lt;V$387,$O278&gt;V$388),"",IFERROR(IF($O278=V$387,100,V277)*INDEX($B$2:$B$428,MATCH($O278,$A$2:$A$428,0))/INDEX($B$2:$B$428,MATCH($O278,$A$2:$A$428,0)-1),""))</f>
        <v>163.12729021331248</v>
      </c>
      <c r="W278" s="19" t="str" cm="1">
        <f t="array" ref="W278">IF(OR($O278&lt;W$387,$O278&gt;W$388),"",IFERROR(IF($O278=W$387,100,W277)*INDEX($B$2:$B$428,MATCH($O278,$A$2:$A$428,0))/INDEX($B$2:$B$428,MATCH($O278,$A$2:$A$428,0)-1),""))</f>
        <v/>
      </c>
      <c r="X278" s="19" t="str" cm="1">
        <f t="array" ref="X278">IF(OR($O278&lt;X$387,$O278&gt;X$388),"",IFERROR(IF($O278=X$387,100,X277)*INDEX($B$2:$B$428,MATCH($O278,$A$2:$A$428,0))/INDEX($B$2:$B$428,MATCH($O278,$A$2:$A$428,0)-1),""))</f>
        <v/>
      </c>
      <c r="AA278" s="19"/>
      <c r="AB278" s="19"/>
      <c r="AC278" s="19"/>
      <c r="AD278" s="19"/>
      <c r="AE278" s="19"/>
      <c r="AF278" s="19"/>
      <c r="AG278" s="19"/>
      <c r="AH278" s="19"/>
      <c r="AJ278" s="11">
        <v>41275</v>
      </c>
      <c r="AK278">
        <v>4859466.4000000004</v>
      </c>
      <c r="AL278" s="26">
        <f t="shared" si="36"/>
        <v>0.59048061532023344</v>
      </c>
    </row>
    <row r="279" spans="1:38" x14ac:dyDescent="0.3">
      <c r="A279" s="11">
        <v>41671</v>
      </c>
      <c r="B279" s="18">
        <v>1049860.99</v>
      </c>
      <c r="C279" s="18">
        <v>1686848.5</v>
      </c>
      <c r="D279" s="18">
        <v>3139311.35</v>
      </c>
      <c r="E279" s="11">
        <f t="shared" si="31"/>
        <v>41671</v>
      </c>
      <c r="F279" s="9">
        <f t="shared" si="33"/>
        <v>4.2702922270168031E-3</v>
      </c>
      <c r="G279" s="9">
        <f t="shared" si="34"/>
        <v>3.3739127804440772E-2</v>
      </c>
      <c r="H279" s="9">
        <f t="shared" si="35"/>
        <v>8.254451946947361E-2</v>
      </c>
      <c r="I279" s="11">
        <f t="shared" si="32"/>
        <v>41671</v>
      </c>
      <c r="O279" s="11">
        <v>43132</v>
      </c>
      <c r="P279" s="19" t="str" cm="1">
        <f t="array" ref="P279">IF(OR($O279&lt;P$387,$O279&gt;P$388),"",IFERROR(IF($O279=P$387,100,P278)*INDEX($B$2:$B$428,MATCH($O279,$A$2:$A$428,0))/INDEX($B$2:$B$428,MATCH($O279,$A$2:$A$428,0)-1),""))</f>
        <v/>
      </c>
      <c r="Q279" s="19" t="str" cm="1">
        <f t="array" ref="Q279">IF(OR($O279&lt;Q$387,$O279&gt;Q$388),"",IFERROR(IF($O279=Q$387,100,Q278)*INDEX($B$2:$B$428,MATCH($O279,$A$2:$A$428,0))/INDEX($B$2:$B$428,MATCH($O279,$A$2:$A$428,0)-1),""))</f>
        <v/>
      </c>
      <c r="R279" s="19" t="str" cm="1">
        <f t="array" ref="R279">IF(OR($O279&lt;R$387,$O279&gt;R$388),"",IFERROR(IF($O279=R$387,100,R278)*INDEX($B$2:$B$428,MATCH($O279,$A$2:$A$428,0))/INDEX($B$2:$B$428,MATCH($O279,$A$2:$A$428,0)-1),""))</f>
        <v/>
      </c>
      <c r="S279" s="19" t="str" cm="1">
        <f t="array" ref="S279">IF(OR($O279&lt;S$387,$O279&gt;S$388),"",IFERROR(IF($O279=S$387,100,S278)*INDEX($B$2:$B$428,MATCH($O279,$A$2:$A$428,0))/INDEX($B$2:$B$428,MATCH($O279,$A$2:$A$428,0)-1),""))</f>
        <v/>
      </c>
      <c r="T279" s="19" t="str" cm="1">
        <f t="array" ref="T279">IF(OR($O279&lt;T$387,$O279&gt;T$388),"",IFERROR(IF($O279=T$387,100,T278)*INDEX($B$2:$B$428,MATCH($O279,$A$2:$A$428,0))/INDEX($B$2:$B$428,MATCH($O279,$A$2:$A$428,0)-1),""))</f>
        <v/>
      </c>
      <c r="U279" s="19" t="str" cm="1">
        <f t="array" ref="U279">IF(OR($O279&lt;U$387,$O279&gt;U$388),"",IFERROR(IF($O279=U$387,100,U278)*INDEX($B$2:$B$428,MATCH($O279,$A$2:$A$428,0))/INDEX($B$2:$B$428,MATCH($O279,$A$2:$A$428,0)-1),""))</f>
        <v/>
      </c>
      <c r="V279" s="19" cm="1">
        <f t="array" ref="V279">IF(OR($O279&lt;V$387,$O279&gt;V$388),"",IFERROR(IF($O279=V$387,100,V278)*INDEX($B$2:$B$428,MATCH($O279,$A$2:$A$428,0))/INDEX($B$2:$B$428,MATCH($O279,$A$2:$A$428,0)-1),""))</f>
        <v>164.19506059811505</v>
      </c>
      <c r="W279" s="19" t="str" cm="1">
        <f t="array" ref="W279">IF(OR($O279&lt;W$387,$O279&gt;W$388),"",IFERROR(IF($O279=W$387,100,W278)*INDEX($B$2:$B$428,MATCH($O279,$A$2:$A$428,0))/INDEX($B$2:$B$428,MATCH($O279,$A$2:$A$428,0)-1),""))</f>
        <v/>
      </c>
      <c r="X279" s="19" t="str" cm="1">
        <f t="array" ref="X279">IF(OR($O279&lt;X$387,$O279&gt;X$388),"",IFERROR(IF($O279=X$387,100,X278)*INDEX($B$2:$B$428,MATCH($O279,$A$2:$A$428,0))/INDEX($B$2:$B$428,MATCH($O279,$A$2:$A$428,0)-1),""))</f>
        <v/>
      </c>
      <c r="AA279" s="19"/>
      <c r="AB279" s="19"/>
      <c r="AC279" s="19"/>
      <c r="AD279" s="19"/>
      <c r="AE279" s="19"/>
      <c r="AF279" s="19"/>
      <c r="AG279" s="19"/>
      <c r="AH279" s="19"/>
      <c r="AJ279" s="11">
        <v>41306</v>
      </c>
      <c r="AK279">
        <v>4890026.0999999996</v>
      </c>
      <c r="AL279" s="26">
        <f t="shared" si="36"/>
        <v>0.59303106991596632</v>
      </c>
    </row>
    <row r="280" spans="1:38" x14ac:dyDescent="0.3">
      <c r="A280" s="11">
        <v>41699</v>
      </c>
      <c r="B280" s="18">
        <v>1081083.2</v>
      </c>
      <c r="C280" s="18">
        <v>1706644.69</v>
      </c>
      <c r="D280" s="18">
        <v>3163410.76</v>
      </c>
      <c r="E280" s="11">
        <f t="shared" si="31"/>
        <v>41699</v>
      </c>
      <c r="F280" s="9">
        <f t="shared" si="33"/>
        <v>3.3952719307304591E-2</v>
      </c>
      <c r="G280" s="9">
        <f t="shared" si="34"/>
        <v>5.0911977558142585E-2</v>
      </c>
      <c r="H280" s="9">
        <f t="shared" si="35"/>
        <v>8.5393523653790382E-2</v>
      </c>
      <c r="I280" s="11">
        <f t="shared" si="32"/>
        <v>41699</v>
      </c>
      <c r="O280" s="11">
        <v>43160</v>
      </c>
      <c r="P280" s="19" t="str" cm="1">
        <f t="array" ref="P280">IF(OR($O280&lt;P$387,$O280&gt;P$388),"",IFERROR(IF($O280=P$387,100,P279)*INDEX($B$2:$B$428,MATCH($O280,$A$2:$A$428,0))/INDEX($B$2:$B$428,MATCH($O280,$A$2:$A$428,0)-1),""))</f>
        <v/>
      </c>
      <c r="Q280" s="19" t="str" cm="1">
        <f t="array" ref="Q280">IF(OR($O280&lt;Q$387,$O280&gt;Q$388),"",IFERROR(IF($O280=Q$387,100,Q279)*INDEX($B$2:$B$428,MATCH($O280,$A$2:$A$428,0))/INDEX($B$2:$B$428,MATCH($O280,$A$2:$A$428,0)-1),""))</f>
        <v/>
      </c>
      <c r="R280" s="19" t="str" cm="1">
        <f t="array" ref="R280">IF(OR($O280&lt;R$387,$O280&gt;R$388),"",IFERROR(IF($O280=R$387,100,R279)*INDEX($B$2:$B$428,MATCH($O280,$A$2:$A$428,0))/INDEX($B$2:$B$428,MATCH($O280,$A$2:$A$428,0)-1),""))</f>
        <v/>
      </c>
      <c r="S280" s="19" t="str" cm="1">
        <f t="array" ref="S280">IF(OR($O280&lt;S$387,$O280&gt;S$388),"",IFERROR(IF($O280=S$387,100,S279)*INDEX($B$2:$B$428,MATCH($O280,$A$2:$A$428,0))/INDEX($B$2:$B$428,MATCH($O280,$A$2:$A$428,0)-1),""))</f>
        <v/>
      </c>
      <c r="T280" s="19" t="str" cm="1">
        <f t="array" ref="T280">IF(OR($O280&lt;T$387,$O280&gt;T$388),"",IFERROR(IF($O280=T$387,100,T279)*INDEX($B$2:$B$428,MATCH($O280,$A$2:$A$428,0))/INDEX($B$2:$B$428,MATCH($O280,$A$2:$A$428,0)-1),""))</f>
        <v/>
      </c>
      <c r="U280" s="19" t="str" cm="1">
        <f t="array" ref="U280">IF(OR($O280&lt;U$387,$O280&gt;U$388),"",IFERROR(IF($O280=U$387,100,U279)*INDEX($B$2:$B$428,MATCH($O280,$A$2:$A$428,0))/INDEX($B$2:$B$428,MATCH($O280,$A$2:$A$428,0)-1),""))</f>
        <v/>
      </c>
      <c r="V280" s="19" cm="1">
        <f t="array" ref="V280">IF(OR($O280&lt;V$387,$O280&gt;V$388),"",IFERROR(IF($O280=V$387,100,V279)*INDEX($B$2:$B$428,MATCH($O280,$A$2:$A$428,0))/INDEX($B$2:$B$428,MATCH($O280,$A$2:$A$428,0)-1),""))</f>
        <v>165.69211079016699</v>
      </c>
      <c r="W280" s="19" t="str" cm="1">
        <f t="array" ref="W280">IF(OR($O280&lt;W$387,$O280&gt;W$388),"",IFERROR(IF($O280=W$387,100,W279)*INDEX($B$2:$B$428,MATCH($O280,$A$2:$A$428,0))/INDEX($B$2:$B$428,MATCH($O280,$A$2:$A$428,0)-1),""))</f>
        <v/>
      </c>
      <c r="X280" s="19" t="str" cm="1">
        <f t="array" ref="X280">IF(OR($O280&lt;X$387,$O280&gt;X$388),"",IFERROR(IF($O280=X$387,100,X279)*INDEX($B$2:$B$428,MATCH($O280,$A$2:$A$428,0))/INDEX($B$2:$B$428,MATCH($O280,$A$2:$A$428,0)-1),""))</f>
        <v/>
      </c>
      <c r="AA280" s="19"/>
      <c r="AB280" s="19"/>
      <c r="AC280" s="19"/>
      <c r="AD280" s="19"/>
      <c r="AE280" s="19"/>
      <c r="AF280" s="19"/>
      <c r="AG280" s="19"/>
      <c r="AH280" s="19"/>
      <c r="AJ280" s="11">
        <v>41334</v>
      </c>
      <c r="AK280">
        <v>4926899.5</v>
      </c>
      <c r="AL280" s="26">
        <f t="shared" si="36"/>
        <v>0.59155435786745802</v>
      </c>
    </row>
    <row r="281" spans="1:38" x14ac:dyDescent="0.3">
      <c r="A281" s="11">
        <v>41730</v>
      </c>
      <c r="B281" s="18">
        <v>1081398.8799999999</v>
      </c>
      <c r="C281" s="18">
        <v>1716892.6</v>
      </c>
      <c r="D281" s="18">
        <v>3144145.61</v>
      </c>
      <c r="E281" s="11">
        <f t="shared" si="31"/>
        <v>41730</v>
      </c>
      <c r="F281" s="9">
        <f t="shared" si="33"/>
        <v>2.8484601979375412E-2</v>
      </c>
      <c r="G281" s="9">
        <f t="shared" si="34"/>
        <v>5.006749383930531E-2</v>
      </c>
      <c r="H281" s="9">
        <f t="shared" si="35"/>
        <v>7.6917953684719098E-2</v>
      </c>
      <c r="I281" s="11">
        <f t="shared" si="32"/>
        <v>41730</v>
      </c>
      <c r="O281" s="11">
        <v>43191</v>
      </c>
      <c r="P281" s="19" t="str" cm="1">
        <f t="array" ref="P281">IF(OR($O281&lt;P$387,$O281&gt;P$388),"",IFERROR(IF($O281=P$387,100,P280)*INDEX($B$2:$B$428,MATCH($O281,$A$2:$A$428,0))/INDEX($B$2:$B$428,MATCH($O281,$A$2:$A$428,0)-1),""))</f>
        <v/>
      </c>
      <c r="Q281" s="19" t="str" cm="1">
        <f t="array" ref="Q281">IF(OR($O281&lt;Q$387,$O281&gt;Q$388),"",IFERROR(IF($O281=Q$387,100,Q280)*INDEX($B$2:$B$428,MATCH($O281,$A$2:$A$428,0))/INDEX($B$2:$B$428,MATCH($O281,$A$2:$A$428,0)-1),""))</f>
        <v/>
      </c>
      <c r="R281" s="19" t="str" cm="1">
        <f t="array" ref="R281">IF(OR($O281&lt;R$387,$O281&gt;R$388),"",IFERROR(IF($O281=R$387,100,R280)*INDEX($B$2:$B$428,MATCH($O281,$A$2:$A$428,0))/INDEX($B$2:$B$428,MATCH($O281,$A$2:$A$428,0)-1),""))</f>
        <v/>
      </c>
      <c r="S281" s="19" t="str" cm="1">
        <f t="array" ref="S281">IF(OR($O281&lt;S$387,$O281&gt;S$388),"",IFERROR(IF($O281=S$387,100,S280)*INDEX($B$2:$B$428,MATCH($O281,$A$2:$A$428,0))/INDEX($B$2:$B$428,MATCH($O281,$A$2:$A$428,0)-1),""))</f>
        <v/>
      </c>
      <c r="T281" s="19" t="str" cm="1">
        <f t="array" ref="T281">IF(OR($O281&lt;T$387,$O281&gt;T$388),"",IFERROR(IF($O281=T$387,100,T280)*INDEX($B$2:$B$428,MATCH($O281,$A$2:$A$428,0))/INDEX($B$2:$B$428,MATCH($O281,$A$2:$A$428,0)-1),""))</f>
        <v/>
      </c>
      <c r="U281" s="19" t="str" cm="1">
        <f t="array" ref="U281">IF(OR($O281&lt;U$387,$O281&gt;U$388),"",IFERROR(IF($O281=U$387,100,U280)*INDEX($B$2:$B$428,MATCH($O281,$A$2:$A$428,0))/INDEX($B$2:$B$428,MATCH($O281,$A$2:$A$428,0)-1),""))</f>
        <v/>
      </c>
      <c r="V281" s="19" cm="1">
        <f t="array" ref="V281">IF(OR($O281&lt;V$387,$O281&gt;V$388),"",IFERROR(IF($O281=V$387,100,V280)*INDEX($B$2:$B$428,MATCH($O281,$A$2:$A$428,0))/INDEX($B$2:$B$428,MATCH($O281,$A$2:$A$428,0)-1),""))</f>
        <v>163.77633758003179</v>
      </c>
      <c r="W281" s="19" t="str" cm="1">
        <f t="array" ref="W281">IF(OR($O281&lt;W$387,$O281&gt;W$388),"",IFERROR(IF($O281=W$387,100,W280)*INDEX($B$2:$B$428,MATCH($O281,$A$2:$A$428,0))/INDEX($B$2:$B$428,MATCH($O281,$A$2:$A$428,0)-1),""))</f>
        <v/>
      </c>
      <c r="X281" s="19" t="str" cm="1">
        <f t="array" ref="X281">IF(OR($O281&lt;X$387,$O281&gt;X$388),"",IFERROR(IF($O281=X$387,100,X280)*INDEX($B$2:$B$428,MATCH($O281,$A$2:$A$428,0))/INDEX($B$2:$B$428,MATCH($O281,$A$2:$A$428,0)-1),""))</f>
        <v/>
      </c>
      <c r="AA281" s="19"/>
      <c r="AB281" s="19"/>
      <c r="AC281" s="19"/>
      <c r="AD281" s="19"/>
      <c r="AE281" s="19"/>
      <c r="AF281" s="19"/>
      <c r="AG281" s="19"/>
      <c r="AH281" s="19"/>
      <c r="AJ281" s="11">
        <v>41365</v>
      </c>
      <c r="AK281">
        <v>4987524.8</v>
      </c>
      <c r="AL281" s="26">
        <f t="shared" si="36"/>
        <v>0.58537607071146791</v>
      </c>
    </row>
    <row r="282" spans="1:38" x14ac:dyDescent="0.3">
      <c r="A282" s="11">
        <v>41760</v>
      </c>
      <c r="B282" s="18">
        <v>1105659.93</v>
      </c>
      <c r="C282" s="18">
        <v>1750829.66</v>
      </c>
      <c r="D282" s="18">
        <v>3221326.1</v>
      </c>
      <c r="E282" s="11">
        <f t="shared" si="31"/>
        <v>41760</v>
      </c>
      <c r="F282" s="9">
        <f t="shared" si="33"/>
        <v>7.6717421169391953E-2</v>
      </c>
      <c r="G282" s="9">
        <f t="shared" si="34"/>
        <v>8.1915302952564772E-2</v>
      </c>
      <c r="H282" s="9">
        <f t="shared" si="35"/>
        <v>0.1034101873841673</v>
      </c>
      <c r="I282" s="11">
        <f t="shared" si="32"/>
        <v>41760</v>
      </c>
      <c r="O282" s="11">
        <v>43221</v>
      </c>
      <c r="P282" s="19" t="str" cm="1">
        <f t="array" ref="P282">IF(OR($O282&lt;P$387,$O282&gt;P$388),"",IFERROR(IF($O282=P$387,100,P281)*INDEX($B$2:$B$428,MATCH($O282,$A$2:$A$428,0))/INDEX($B$2:$B$428,MATCH($O282,$A$2:$A$428,0)-1),""))</f>
        <v/>
      </c>
      <c r="Q282" s="19" t="str" cm="1">
        <f t="array" ref="Q282">IF(OR($O282&lt;Q$387,$O282&gt;Q$388),"",IFERROR(IF($O282=Q$387,100,Q281)*INDEX($B$2:$B$428,MATCH($O282,$A$2:$A$428,0))/INDEX($B$2:$B$428,MATCH($O282,$A$2:$A$428,0)-1),""))</f>
        <v/>
      </c>
      <c r="R282" s="19" t="str" cm="1">
        <f t="array" ref="R282">IF(OR($O282&lt;R$387,$O282&gt;R$388),"",IFERROR(IF($O282=R$387,100,R281)*INDEX($B$2:$B$428,MATCH($O282,$A$2:$A$428,0))/INDEX($B$2:$B$428,MATCH($O282,$A$2:$A$428,0)-1),""))</f>
        <v/>
      </c>
      <c r="S282" s="19" t="str" cm="1">
        <f t="array" ref="S282">IF(OR($O282&lt;S$387,$O282&gt;S$388),"",IFERROR(IF($O282=S$387,100,S281)*INDEX($B$2:$B$428,MATCH($O282,$A$2:$A$428,0))/INDEX($B$2:$B$428,MATCH($O282,$A$2:$A$428,0)-1),""))</f>
        <v/>
      </c>
      <c r="T282" s="19" t="str" cm="1">
        <f t="array" ref="T282">IF(OR($O282&lt;T$387,$O282&gt;T$388),"",IFERROR(IF($O282=T$387,100,T281)*INDEX($B$2:$B$428,MATCH($O282,$A$2:$A$428,0))/INDEX($B$2:$B$428,MATCH($O282,$A$2:$A$428,0)-1),""))</f>
        <v/>
      </c>
      <c r="U282" s="19" t="str" cm="1">
        <f t="array" ref="U282">IF(OR($O282&lt;U$387,$O282&gt;U$388),"",IFERROR(IF($O282=U$387,100,U281)*INDEX($B$2:$B$428,MATCH($O282,$A$2:$A$428,0))/INDEX($B$2:$B$428,MATCH($O282,$A$2:$A$428,0)-1),""))</f>
        <v/>
      </c>
      <c r="V282" s="19" cm="1">
        <f t="array" ref="V282">IF(OR($O282&lt;V$387,$O282&gt;V$388),"",IFERROR(IF($O282=V$387,100,V281)*INDEX($B$2:$B$428,MATCH($O282,$A$2:$A$428,0))/INDEX($B$2:$B$428,MATCH($O282,$A$2:$A$428,0)-1),""))</f>
        <v>160.96001941540331</v>
      </c>
      <c r="W282" s="19" t="str" cm="1">
        <f t="array" ref="W282">IF(OR($O282&lt;W$387,$O282&gt;W$388),"",IFERROR(IF($O282=W$387,100,W281)*INDEX($B$2:$B$428,MATCH($O282,$A$2:$A$428,0))/INDEX($B$2:$B$428,MATCH($O282,$A$2:$A$428,0)-1),""))</f>
        <v/>
      </c>
      <c r="X282" s="19" t="str" cm="1">
        <f t="array" ref="X282">IF(OR($O282&lt;X$387,$O282&gt;X$388),"",IFERROR(IF($O282=X$387,100,X281)*INDEX($B$2:$B$428,MATCH($O282,$A$2:$A$428,0))/INDEX($B$2:$B$428,MATCH($O282,$A$2:$A$428,0)-1),""))</f>
        <v/>
      </c>
      <c r="AA282" s="19"/>
      <c r="AB282" s="19"/>
      <c r="AC282" s="19"/>
      <c r="AD282" s="19"/>
      <c r="AE282" s="19"/>
      <c r="AF282" s="19"/>
      <c r="AG282" s="19"/>
      <c r="AH282" s="19"/>
      <c r="AJ282" s="11">
        <v>41395</v>
      </c>
      <c r="AK282">
        <v>5026983.0999999996</v>
      </c>
      <c r="AL282" s="26">
        <f t="shared" si="36"/>
        <v>0.580751415297179</v>
      </c>
    </row>
    <row r="283" spans="1:38" x14ac:dyDescent="0.3">
      <c r="A283" s="11">
        <v>41791</v>
      </c>
      <c r="B283" s="18">
        <v>1136284.02</v>
      </c>
      <c r="C283" s="18">
        <v>1779742.89</v>
      </c>
      <c r="D283" s="18">
        <v>3306661.73</v>
      </c>
      <c r="E283" s="11">
        <f t="shared" si="31"/>
        <v>41791</v>
      </c>
      <c r="F283" s="9">
        <f t="shared" si="33"/>
        <v>0.11343235740099766</v>
      </c>
      <c r="G283" s="9">
        <f t="shared" si="34"/>
        <v>0.10061415411844532</v>
      </c>
      <c r="H283" s="9">
        <f t="shared" si="35"/>
        <v>0.11323922181189849</v>
      </c>
      <c r="I283" s="11">
        <f t="shared" si="32"/>
        <v>41791</v>
      </c>
      <c r="O283" s="11">
        <v>43252</v>
      </c>
      <c r="P283" s="19" t="str" cm="1">
        <f t="array" ref="P283">IF(OR($O283&lt;P$387,$O283&gt;P$388),"",IFERROR(IF($O283=P$387,100,P282)*INDEX($B$2:$B$428,MATCH($O283,$A$2:$A$428,0))/INDEX($B$2:$B$428,MATCH($O283,$A$2:$A$428,0)-1),""))</f>
        <v/>
      </c>
      <c r="Q283" s="19" t="str" cm="1">
        <f t="array" ref="Q283">IF(OR($O283&lt;Q$387,$O283&gt;Q$388),"",IFERROR(IF($O283=Q$387,100,Q282)*INDEX($B$2:$B$428,MATCH($O283,$A$2:$A$428,0))/INDEX($B$2:$B$428,MATCH($O283,$A$2:$A$428,0)-1),""))</f>
        <v/>
      </c>
      <c r="R283" s="19" t="str" cm="1">
        <f t="array" ref="R283">IF(OR($O283&lt;R$387,$O283&gt;R$388),"",IFERROR(IF($O283=R$387,100,R282)*INDEX($B$2:$B$428,MATCH($O283,$A$2:$A$428,0))/INDEX($B$2:$B$428,MATCH($O283,$A$2:$A$428,0)-1),""))</f>
        <v/>
      </c>
      <c r="S283" s="19" t="str" cm="1">
        <f t="array" ref="S283">IF(OR($O283&lt;S$387,$O283&gt;S$388),"",IFERROR(IF($O283=S$387,100,S282)*INDEX($B$2:$B$428,MATCH($O283,$A$2:$A$428,0))/INDEX($B$2:$B$428,MATCH($O283,$A$2:$A$428,0)-1),""))</f>
        <v/>
      </c>
      <c r="T283" s="19" t="str" cm="1">
        <f t="array" ref="T283">IF(OR($O283&lt;T$387,$O283&gt;T$388),"",IFERROR(IF($O283=T$387,100,T282)*INDEX($B$2:$B$428,MATCH($O283,$A$2:$A$428,0))/INDEX($B$2:$B$428,MATCH($O283,$A$2:$A$428,0)-1),""))</f>
        <v/>
      </c>
      <c r="U283" s="19" t="str" cm="1">
        <f t="array" ref="U283">IF(OR($O283&lt;U$387,$O283&gt;U$388),"",IFERROR(IF($O283=U$387,100,U282)*INDEX($B$2:$B$428,MATCH($O283,$A$2:$A$428,0))/INDEX($B$2:$B$428,MATCH($O283,$A$2:$A$428,0)-1),""))</f>
        <v/>
      </c>
      <c r="V283" s="19" cm="1">
        <f t="array" ref="V283">IF(OR($O283&lt;V$387,$O283&gt;V$388),"",IFERROR(IF($O283=V$387,100,V282)*INDEX($B$2:$B$428,MATCH($O283,$A$2:$A$428,0))/INDEX($B$2:$B$428,MATCH($O283,$A$2:$A$428,0)-1),""))</f>
        <v>161.87796564979604</v>
      </c>
      <c r="W283" s="19" t="str" cm="1">
        <f t="array" ref="W283">IF(OR($O283&lt;W$387,$O283&gt;W$388),"",IFERROR(IF($O283=W$387,100,W282)*INDEX($B$2:$B$428,MATCH($O283,$A$2:$A$428,0))/INDEX($B$2:$B$428,MATCH($O283,$A$2:$A$428,0)-1),""))</f>
        <v/>
      </c>
      <c r="X283" s="19" t="str" cm="1">
        <f t="array" ref="X283">IF(OR($O283&lt;X$387,$O283&gt;X$388),"",IFERROR(IF($O283=X$387,100,X282)*INDEX($B$2:$B$428,MATCH($O283,$A$2:$A$428,0))/INDEX($B$2:$B$428,MATCH($O283,$A$2:$A$428,0)-1),""))</f>
        <v/>
      </c>
      <c r="AA283" s="19"/>
      <c r="AB283" s="19"/>
      <c r="AC283" s="19"/>
      <c r="AD283" s="19"/>
      <c r="AE283" s="19"/>
      <c r="AF283" s="19"/>
      <c r="AG283" s="19"/>
      <c r="AH283" s="19"/>
      <c r="AJ283" s="11">
        <v>41426</v>
      </c>
      <c r="AK283">
        <v>5066353.9000000004</v>
      </c>
      <c r="AL283" s="26">
        <f t="shared" si="36"/>
        <v>0.58628090114273301</v>
      </c>
    </row>
    <row r="284" spans="1:38" x14ac:dyDescent="0.3">
      <c r="A284" s="11">
        <v>41821</v>
      </c>
      <c r="B284" s="18">
        <v>1149300.81</v>
      </c>
      <c r="C284" s="18">
        <v>1799679.43</v>
      </c>
      <c r="D284" s="18">
        <v>3248607.39</v>
      </c>
      <c r="E284" s="11">
        <f t="shared" si="31"/>
        <v>41821</v>
      </c>
      <c r="F284" s="9">
        <f t="shared" si="33"/>
        <v>0.14487392599037308</v>
      </c>
      <c r="G284" s="9">
        <f t="shared" si="34"/>
        <v>0.11484562612479698</v>
      </c>
      <c r="H284" s="9">
        <f t="shared" si="35"/>
        <v>0.10398024617289781</v>
      </c>
      <c r="I284" s="11">
        <f t="shared" si="32"/>
        <v>41821</v>
      </c>
      <c r="O284" s="11">
        <v>43282</v>
      </c>
      <c r="P284" s="19" t="str" cm="1">
        <f t="array" ref="P284">IF(OR($O284&lt;P$387,$O284&gt;P$388),"",IFERROR(IF($O284=P$387,100,P283)*INDEX($B$2:$B$428,MATCH($O284,$A$2:$A$428,0))/INDEX($B$2:$B$428,MATCH($O284,$A$2:$A$428,0)-1),""))</f>
        <v/>
      </c>
      <c r="Q284" s="19" t="str" cm="1">
        <f t="array" ref="Q284">IF(OR($O284&lt;Q$387,$O284&gt;Q$388),"",IFERROR(IF($O284=Q$387,100,Q283)*INDEX($B$2:$B$428,MATCH($O284,$A$2:$A$428,0))/INDEX($B$2:$B$428,MATCH($O284,$A$2:$A$428,0)-1),""))</f>
        <v/>
      </c>
      <c r="R284" s="19" t="str" cm="1">
        <f t="array" ref="R284">IF(OR($O284&lt;R$387,$O284&gt;R$388),"",IFERROR(IF($O284=R$387,100,R283)*INDEX($B$2:$B$428,MATCH($O284,$A$2:$A$428,0))/INDEX($B$2:$B$428,MATCH($O284,$A$2:$A$428,0)-1),""))</f>
        <v/>
      </c>
      <c r="S284" s="19" t="str" cm="1">
        <f t="array" ref="S284">IF(OR($O284&lt;S$387,$O284&gt;S$388),"",IFERROR(IF($O284=S$387,100,S283)*INDEX($B$2:$B$428,MATCH($O284,$A$2:$A$428,0))/INDEX($B$2:$B$428,MATCH($O284,$A$2:$A$428,0)-1),""))</f>
        <v/>
      </c>
      <c r="T284" s="19" t="str" cm="1">
        <f t="array" ref="T284">IF(OR($O284&lt;T$387,$O284&gt;T$388),"",IFERROR(IF($O284=T$387,100,T283)*INDEX($B$2:$B$428,MATCH($O284,$A$2:$A$428,0))/INDEX($B$2:$B$428,MATCH($O284,$A$2:$A$428,0)-1),""))</f>
        <v/>
      </c>
      <c r="U284" s="19" t="str" cm="1">
        <f t="array" ref="U284">IF(OR($O284&lt;U$387,$O284&gt;U$388),"",IFERROR(IF($O284=U$387,100,U283)*INDEX($B$2:$B$428,MATCH($O284,$A$2:$A$428,0))/INDEX($B$2:$B$428,MATCH($O284,$A$2:$A$428,0)-1),""))</f>
        <v/>
      </c>
      <c r="V284" s="19" cm="1">
        <f t="array" ref="V284">IF(OR($O284&lt;V$387,$O284&gt;V$388),"",IFERROR(IF($O284=V$387,100,V283)*INDEX($B$2:$B$428,MATCH($O284,$A$2:$A$428,0))/INDEX($B$2:$B$428,MATCH($O284,$A$2:$A$428,0)-1),""))</f>
        <v>165.93401441262895</v>
      </c>
      <c r="W284" s="19" t="str" cm="1">
        <f t="array" ref="W284">IF(OR($O284&lt;W$387,$O284&gt;W$388),"",IFERROR(IF($O284=W$387,100,W283)*INDEX($B$2:$B$428,MATCH($O284,$A$2:$A$428,0))/INDEX($B$2:$B$428,MATCH($O284,$A$2:$A$428,0)-1),""))</f>
        <v/>
      </c>
      <c r="X284" s="19" t="str" cm="1">
        <f t="array" ref="X284">IF(OR($O284&lt;X$387,$O284&gt;X$388),"",IFERROR(IF($O284=X$387,100,X283)*INDEX($B$2:$B$428,MATCH($O284,$A$2:$A$428,0))/INDEX($B$2:$B$428,MATCH($O284,$A$2:$A$428,0)-1),""))</f>
        <v/>
      </c>
      <c r="AA284" s="19"/>
      <c r="AB284" s="19"/>
      <c r="AC284" s="19"/>
      <c r="AD284" s="19"/>
      <c r="AE284" s="19"/>
      <c r="AF284" s="19"/>
      <c r="AG284" s="19"/>
      <c r="AH284" s="19"/>
      <c r="AJ284" s="11">
        <v>41456</v>
      </c>
      <c r="AK284">
        <v>5109922.0999999996</v>
      </c>
      <c r="AL284" s="26">
        <f t="shared" si="36"/>
        <v>0.57586627592620254</v>
      </c>
    </row>
    <row r="285" spans="1:38" x14ac:dyDescent="0.3">
      <c r="A285" s="11">
        <v>41852</v>
      </c>
      <c r="B285" s="18">
        <v>1186859.5</v>
      </c>
      <c r="C285" s="18">
        <v>1838332.58</v>
      </c>
      <c r="D285" s="18">
        <v>3274770.55</v>
      </c>
      <c r="E285" s="11">
        <f t="shared" si="31"/>
        <v>41852</v>
      </c>
      <c r="F285" s="9">
        <f t="shared" si="33"/>
        <v>0.19062165010242649</v>
      </c>
      <c r="G285" s="9">
        <f t="shared" si="34"/>
        <v>0.13814333126723599</v>
      </c>
      <c r="H285" s="9">
        <f t="shared" si="35"/>
        <v>9.7920275620028807E-2</v>
      </c>
      <c r="I285" s="11">
        <f t="shared" si="32"/>
        <v>41852</v>
      </c>
      <c r="O285" s="11">
        <v>43313</v>
      </c>
      <c r="P285" s="19" t="str" cm="1">
        <f t="array" ref="P285">IF(OR($O285&lt;P$387,$O285&gt;P$388),"",IFERROR(IF($O285=P$387,100,P284)*INDEX($B$2:$B$428,MATCH($O285,$A$2:$A$428,0))/INDEX($B$2:$B$428,MATCH($O285,$A$2:$A$428,0)-1),""))</f>
        <v/>
      </c>
      <c r="Q285" s="19" t="str" cm="1">
        <f t="array" ref="Q285">IF(OR($O285&lt;Q$387,$O285&gt;Q$388),"",IFERROR(IF($O285=Q$387,100,Q284)*INDEX($B$2:$B$428,MATCH($O285,$A$2:$A$428,0))/INDEX($B$2:$B$428,MATCH($O285,$A$2:$A$428,0)-1),""))</f>
        <v/>
      </c>
      <c r="R285" s="19" t="str" cm="1">
        <f t="array" ref="R285">IF(OR($O285&lt;R$387,$O285&gt;R$388),"",IFERROR(IF($O285=R$387,100,R284)*INDEX($B$2:$B$428,MATCH($O285,$A$2:$A$428,0))/INDEX($B$2:$B$428,MATCH($O285,$A$2:$A$428,0)-1),""))</f>
        <v/>
      </c>
      <c r="S285" s="19" t="str" cm="1">
        <f t="array" ref="S285">IF(OR($O285&lt;S$387,$O285&gt;S$388),"",IFERROR(IF($O285=S$387,100,S284)*INDEX($B$2:$B$428,MATCH($O285,$A$2:$A$428,0))/INDEX($B$2:$B$428,MATCH($O285,$A$2:$A$428,0)-1),""))</f>
        <v/>
      </c>
      <c r="T285" s="19" t="str" cm="1">
        <f t="array" ref="T285">IF(OR($O285&lt;T$387,$O285&gt;T$388),"",IFERROR(IF($O285=T$387,100,T284)*INDEX($B$2:$B$428,MATCH($O285,$A$2:$A$428,0))/INDEX($B$2:$B$428,MATCH($O285,$A$2:$A$428,0)-1),""))</f>
        <v/>
      </c>
      <c r="U285" s="19" t="str" cm="1">
        <f t="array" ref="U285">IF(OR($O285&lt;U$387,$O285&gt;U$388),"",IFERROR(IF($O285=U$387,100,U284)*INDEX($B$2:$B$428,MATCH($O285,$A$2:$A$428,0))/INDEX($B$2:$B$428,MATCH($O285,$A$2:$A$428,0)-1),""))</f>
        <v/>
      </c>
      <c r="V285" s="19" cm="1">
        <f t="array" ref="V285">IF(OR($O285&lt;V$387,$O285&gt;V$388),"",IFERROR(IF($O285=V$387,100,V284)*INDEX($B$2:$B$428,MATCH($O285,$A$2:$A$428,0))/INDEX($B$2:$B$428,MATCH($O285,$A$2:$A$428,0)-1),""))</f>
        <v>161.80106223652771</v>
      </c>
      <c r="W285" s="19" t="str" cm="1">
        <f t="array" ref="W285">IF(OR($O285&lt;W$387,$O285&gt;W$388),"",IFERROR(IF($O285=W$387,100,W284)*INDEX($B$2:$B$428,MATCH($O285,$A$2:$A$428,0))/INDEX($B$2:$B$428,MATCH($O285,$A$2:$A$428,0)-1),""))</f>
        <v/>
      </c>
      <c r="X285" s="19" t="str" cm="1">
        <f t="array" ref="X285">IF(OR($O285&lt;X$387,$O285&gt;X$388),"",IFERROR(IF($O285=X$387,100,X284)*INDEX($B$2:$B$428,MATCH($O285,$A$2:$A$428,0))/INDEX($B$2:$B$428,MATCH($O285,$A$2:$A$428,0)-1),""))</f>
        <v/>
      </c>
      <c r="AA285" s="19"/>
      <c r="AB285" s="19"/>
      <c r="AC285" s="19"/>
      <c r="AD285" s="19"/>
      <c r="AE285" s="19"/>
      <c r="AF285" s="19"/>
      <c r="AG285" s="19"/>
      <c r="AH285" s="19"/>
      <c r="AJ285" s="11">
        <v>41487</v>
      </c>
      <c r="AK285">
        <v>5144955.0999999996</v>
      </c>
      <c r="AL285" s="26">
        <f t="shared" si="36"/>
        <v>0.57973361322434092</v>
      </c>
    </row>
    <row r="286" spans="1:38" x14ac:dyDescent="0.3">
      <c r="A286" s="11">
        <v>41883</v>
      </c>
      <c r="B286" s="18">
        <v>1182446.22</v>
      </c>
      <c r="C286" s="18">
        <v>1850280.06</v>
      </c>
      <c r="D286" s="18">
        <v>3299930.94</v>
      </c>
      <c r="E286" s="11">
        <f t="shared" si="31"/>
        <v>41883</v>
      </c>
      <c r="F286" s="9">
        <f t="shared" si="33"/>
        <v>0.11584738227850333</v>
      </c>
      <c r="G286" s="9">
        <f t="shared" si="34"/>
        <v>0.11671427313827887</v>
      </c>
      <c r="H286" s="9">
        <f t="shared" si="35"/>
        <v>0.10116554505436537</v>
      </c>
      <c r="I286" s="11">
        <f t="shared" si="32"/>
        <v>41883</v>
      </c>
      <c r="O286" s="11">
        <v>43344</v>
      </c>
      <c r="P286" s="19" t="str" cm="1">
        <f t="array" ref="P286">IF(OR($O286&lt;P$387,$O286&gt;P$388),"",IFERROR(IF($O286=P$387,100,P285)*INDEX($B$2:$B$428,MATCH($O286,$A$2:$A$428,0))/INDEX($B$2:$B$428,MATCH($O286,$A$2:$A$428,0)-1),""))</f>
        <v/>
      </c>
      <c r="Q286" s="19" t="str" cm="1">
        <f t="array" ref="Q286">IF(OR($O286&lt;Q$387,$O286&gt;Q$388),"",IFERROR(IF($O286=Q$387,100,Q285)*INDEX($B$2:$B$428,MATCH($O286,$A$2:$A$428,0))/INDEX($B$2:$B$428,MATCH($O286,$A$2:$A$428,0)-1),""))</f>
        <v/>
      </c>
      <c r="R286" s="19" t="str" cm="1">
        <f t="array" ref="R286">IF(OR($O286&lt;R$387,$O286&gt;R$388),"",IFERROR(IF($O286=R$387,100,R285)*INDEX($B$2:$B$428,MATCH($O286,$A$2:$A$428,0))/INDEX($B$2:$B$428,MATCH($O286,$A$2:$A$428,0)-1),""))</f>
        <v/>
      </c>
      <c r="S286" s="19" t="str" cm="1">
        <f t="array" ref="S286">IF(OR($O286&lt;S$387,$O286&gt;S$388),"",IFERROR(IF($O286=S$387,100,S285)*INDEX($B$2:$B$428,MATCH($O286,$A$2:$A$428,0))/INDEX($B$2:$B$428,MATCH($O286,$A$2:$A$428,0)-1),""))</f>
        <v/>
      </c>
      <c r="T286" s="19" t="str" cm="1">
        <f t="array" ref="T286">IF(OR($O286&lt;T$387,$O286&gt;T$388),"",IFERROR(IF($O286=T$387,100,T285)*INDEX($B$2:$B$428,MATCH($O286,$A$2:$A$428,0))/INDEX($B$2:$B$428,MATCH($O286,$A$2:$A$428,0)-1),""))</f>
        <v/>
      </c>
      <c r="U286" s="19" t="str" cm="1">
        <f t="array" ref="U286">IF(OR($O286&lt;U$387,$O286&gt;U$388),"",IFERROR(IF($O286=U$387,100,U285)*INDEX($B$2:$B$428,MATCH($O286,$A$2:$A$428,0))/INDEX($B$2:$B$428,MATCH($O286,$A$2:$A$428,0)-1),""))</f>
        <v/>
      </c>
      <c r="V286" s="19" cm="1">
        <f t="array" ref="V286">IF(OR($O286&lt;V$387,$O286&gt;V$388),"",IFERROR(IF($O286=V$387,100,V285)*INDEX($B$2:$B$428,MATCH($O286,$A$2:$A$428,0))/INDEX($B$2:$B$428,MATCH($O286,$A$2:$A$428,0)-1),""))</f>
        <v>167.26090500517094</v>
      </c>
      <c r="W286" s="19" t="str" cm="1">
        <f t="array" ref="W286">IF(OR($O286&lt;W$387,$O286&gt;W$388),"",IFERROR(IF($O286=W$387,100,W285)*INDEX($B$2:$B$428,MATCH($O286,$A$2:$A$428,0))/INDEX($B$2:$B$428,MATCH($O286,$A$2:$A$428,0)-1),""))</f>
        <v/>
      </c>
      <c r="X286" s="19" t="str" cm="1">
        <f t="array" ref="X286">IF(OR($O286&lt;X$387,$O286&gt;X$388),"",IFERROR(IF($O286=X$387,100,X285)*INDEX($B$2:$B$428,MATCH($O286,$A$2:$A$428,0))/INDEX($B$2:$B$428,MATCH($O286,$A$2:$A$428,0)-1),""))</f>
        <v/>
      </c>
      <c r="AA286" s="19"/>
      <c r="AB286" s="19"/>
      <c r="AC286" s="19"/>
      <c r="AD286" s="19"/>
      <c r="AE286" s="19"/>
      <c r="AF286" s="19"/>
      <c r="AG286" s="19"/>
      <c r="AH286" s="19"/>
      <c r="AJ286" s="11">
        <v>41518</v>
      </c>
      <c r="AK286">
        <v>5190039.0999999996</v>
      </c>
      <c r="AL286" s="26">
        <f t="shared" si="36"/>
        <v>0.57740641876859855</v>
      </c>
    </row>
    <row r="287" spans="1:38" x14ac:dyDescent="0.3">
      <c r="A287" s="11">
        <v>41913</v>
      </c>
      <c r="B287" s="18">
        <v>1197411.22</v>
      </c>
      <c r="C287" s="18">
        <v>1878610.91</v>
      </c>
      <c r="D287" s="18">
        <v>3283136.33</v>
      </c>
      <c r="E287" s="11">
        <f t="shared" si="31"/>
        <v>41913</v>
      </c>
      <c r="F287" s="9">
        <f t="shared" si="33"/>
        <v>0.11817601520540766</v>
      </c>
      <c r="G287" s="9">
        <f t="shared" si="34"/>
        <v>0.11612398804766833</v>
      </c>
      <c r="H287" s="9">
        <f t="shared" si="35"/>
        <v>7.9803843539493213E-2</v>
      </c>
      <c r="I287" s="11">
        <f t="shared" si="32"/>
        <v>41913</v>
      </c>
      <c r="O287" s="11">
        <v>43374</v>
      </c>
      <c r="P287" s="19" t="str" cm="1">
        <f t="array" ref="P287">IF(OR($O287&lt;P$387,$O287&gt;P$388),"",IFERROR(IF($O287=P$387,100,P286)*INDEX($B$2:$B$428,MATCH($O287,$A$2:$A$428,0))/INDEX($B$2:$B$428,MATCH($O287,$A$2:$A$428,0)-1),""))</f>
        <v/>
      </c>
      <c r="Q287" s="19" t="str" cm="1">
        <f t="array" ref="Q287">IF(OR($O287&lt;Q$387,$O287&gt;Q$388),"",IFERROR(IF($O287=Q$387,100,Q286)*INDEX($B$2:$B$428,MATCH($O287,$A$2:$A$428,0))/INDEX($B$2:$B$428,MATCH($O287,$A$2:$A$428,0)-1),""))</f>
        <v/>
      </c>
      <c r="R287" s="19" t="str" cm="1">
        <f t="array" ref="R287">IF(OR($O287&lt;R$387,$O287&gt;R$388),"",IFERROR(IF($O287=R$387,100,R286)*INDEX($B$2:$B$428,MATCH($O287,$A$2:$A$428,0))/INDEX($B$2:$B$428,MATCH($O287,$A$2:$A$428,0)-1),""))</f>
        <v/>
      </c>
      <c r="S287" s="19" t="str" cm="1">
        <f t="array" ref="S287">IF(OR($O287&lt;S$387,$O287&gt;S$388),"",IFERROR(IF($O287=S$387,100,S286)*INDEX($B$2:$B$428,MATCH($O287,$A$2:$A$428,0))/INDEX($B$2:$B$428,MATCH($O287,$A$2:$A$428,0)-1),""))</f>
        <v/>
      </c>
      <c r="T287" s="19" t="str" cm="1">
        <f t="array" ref="T287">IF(OR($O287&lt;T$387,$O287&gt;T$388),"",IFERROR(IF($O287=T$387,100,T286)*INDEX($B$2:$B$428,MATCH($O287,$A$2:$A$428,0))/INDEX($B$2:$B$428,MATCH($O287,$A$2:$A$428,0)-1),""))</f>
        <v/>
      </c>
      <c r="U287" s="19" t="str" cm="1">
        <f t="array" ref="U287">IF(OR($O287&lt;U$387,$O287&gt;U$388),"",IFERROR(IF($O287=U$387,100,U286)*INDEX($B$2:$B$428,MATCH($O287,$A$2:$A$428,0))/INDEX($B$2:$B$428,MATCH($O287,$A$2:$A$428,0)-1),""))</f>
        <v/>
      </c>
      <c r="V287" s="19" cm="1">
        <f t="array" ref="V287">IF(OR($O287&lt;V$387,$O287&gt;V$388),"",IFERROR(IF($O287=V$387,100,V286)*INDEX($B$2:$B$428,MATCH($O287,$A$2:$A$428,0))/INDEX($B$2:$B$428,MATCH($O287,$A$2:$A$428,0)-1),""))</f>
        <v>173.89361066790042</v>
      </c>
      <c r="W287" s="19" t="str" cm="1">
        <f t="array" ref="W287">IF(OR($O287&lt;W$387,$O287&gt;W$388),"",IFERROR(IF($O287=W$387,100,W286)*INDEX($B$2:$B$428,MATCH($O287,$A$2:$A$428,0))/INDEX($B$2:$B$428,MATCH($O287,$A$2:$A$428,0)-1),""))</f>
        <v/>
      </c>
      <c r="X287" s="19" t="str" cm="1">
        <f t="array" ref="X287">IF(OR($O287&lt;X$387,$O287&gt;X$388),"",IFERROR(IF($O287=X$387,100,X286)*INDEX($B$2:$B$428,MATCH($O287,$A$2:$A$428,0))/INDEX($B$2:$B$428,MATCH($O287,$A$2:$A$428,0)-1),""))</f>
        <v/>
      </c>
      <c r="AA287" s="19"/>
      <c r="AB287" s="19"/>
      <c r="AC287" s="19"/>
      <c r="AD287" s="19"/>
      <c r="AE287" s="19"/>
      <c r="AF287" s="19"/>
      <c r="AG287" s="19"/>
      <c r="AH287" s="19"/>
      <c r="AJ287" s="11">
        <v>41548</v>
      </c>
      <c r="AK287">
        <v>5234360.2</v>
      </c>
      <c r="AL287" s="26">
        <f t="shared" si="36"/>
        <v>0.58087200036405584</v>
      </c>
    </row>
    <row r="288" spans="1:38" x14ac:dyDescent="0.3">
      <c r="A288" s="11">
        <v>41944</v>
      </c>
      <c r="B288" s="18">
        <v>1192672.6299999999</v>
      </c>
      <c r="C288" s="18">
        <v>1891087.24</v>
      </c>
      <c r="D288" s="18">
        <v>3380089.62</v>
      </c>
      <c r="E288" s="11">
        <f t="shared" si="31"/>
        <v>41944</v>
      </c>
      <c r="F288" s="9">
        <f t="shared" si="33"/>
        <v>0.16739480840851684</v>
      </c>
      <c r="G288" s="9">
        <f t="shared" si="34"/>
        <v>0.14761398058988195</v>
      </c>
      <c r="H288" s="9">
        <f t="shared" si="35"/>
        <v>8.7560935260102113E-2</v>
      </c>
      <c r="I288" s="11">
        <f t="shared" si="32"/>
        <v>41944</v>
      </c>
      <c r="O288" s="11">
        <v>43405</v>
      </c>
      <c r="P288" s="19" t="str" cm="1">
        <f t="array" ref="P288">IF(OR($O288&lt;P$387,$O288&gt;P$388),"",IFERROR(IF($O288=P$387,100,P287)*INDEX($B$2:$B$428,MATCH($O288,$A$2:$A$428,0))/INDEX($B$2:$B$428,MATCH($O288,$A$2:$A$428,0)-1),""))</f>
        <v/>
      </c>
      <c r="Q288" s="19" t="str" cm="1">
        <f t="array" ref="Q288">IF(OR($O288&lt;Q$387,$O288&gt;Q$388),"",IFERROR(IF($O288=Q$387,100,Q287)*INDEX($B$2:$B$428,MATCH($O288,$A$2:$A$428,0))/INDEX($B$2:$B$428,MATCH($O288,$A$2:$A$428,0)-1),""))</f>
        <v/>
      </c>
      <c r="R288" s="19" t="str" cm="1">
        <f t="array" ref="R288">IF(OR($O288&lt;R$387,$O288&gt;R$388),"",IFERROR(IF($O288=R$387,100,R287)*INDEX($B$2:$B$428,MATCH($O288,$A$2:$A$428,0))/INDEX($B$2:$B$428,MATCH($O288,$A$2:$A$428,0)-1),""))</f>
        <v/>
      </c>
      <c r="S288" s="19" t="str" cm="1">
        <f t="array" ref="S288">IF(OR($O288&lt;S$387,$O288&gt;S$388),"",IFERROR(IF($O288=S$387,100,S287)*INDEX($B$2:$B$428,MATCH($O288,$A$2:$A$428,0))/INDEX($B$2:$B$428,MATCH($O288,$A$2:$A$428,0)-1),""))</f>
        <v/>
      </c>
      <c r="T288" s="19" t="str" cm="1">
        <f t="array" ref="T288">IF(OR($O288&lt;T$387,$O288&gt;T$388),"",IFERROR(IF($O288=T$387,100,T287)*INDEX($B$2:$B$428,MATCH($O288,$A$2:$A$428,0))/INDEX($B$2:$B$428,MATCH($O288,$A$2:$A$428,0)-1),""))</f>
        <v/>
      </c>
      <c r="U288" s="19" t="str" cm="1">
        <f t="array" ref="U288">IF(OR($O288&lt;U$387,$O288&gt;U$388),"",IFERROR(IF($O288=U$387,100,U287)*INDEX($B$2:$B$428,MATCH($O288,$A$2:$A$428,0))/INDEX($B$2:$B$428,MATCH($O288,$A$2:$A$428,0)-1),""))</f>
        <v/>
      </c>
      <c r="V288" s="19" cm="1">
        <f t="array" ref="V288">IF(OR($O288&lt;V$387,$O288&gt;V$388),"",IFERROR(IF($O288=V$387,100,V287)*INDEX($B$2:$B$428,MATCH($O288,$A$2:$A$428,0))/INDEX($B$2:$B$428,MATCH($O288,$A$2:$A$428,0)-1),""))</f>
        <v>172.93991618646911</v>
      </c>
      <c r="W288" s="19" t="str" cm="1">
        <f t="array" ref="W288">IF(OR($O288&lt;W$387,$O288&gt;W$388),"",IFERROR(IF($O288=W$387,100,W287)*INDEX($B$2:$B$428,MATCH($O288,$A$2:$A$428,0))/INDEX($B$2:$B$428,MATCH($O288,$A$2:$A$428,0)-1),""))</f>
        <v/>
      </c>
      <c r="X288" s="19" t="str" cm="1">
        <f t="array" ref="X288">IF(OR($O288&lt;X$387,$O288&gt;X$388),"",IFERROR(IF($O288=X$387,100,X287)*INDEX($B$2:$B$428,MATCH($O288,$A$2:$A$428,0))/INDEX($B$2:$B$428,MATCH($O288,$A$2:$A$428,0)-1),""))</f>
        <v/>
      </c>
      <c r="AA288" s="19"/>
      <c r="AB288" s="19"/>
      <c r="AC288" s="19"/>
      <c r="AD288" s="19"/>
      <c r="AE288" s="19"/>
      <c r="AF288" s="19"/>
      <c r="AG288" s="19"/>
      <c r="AH288" s="19"/>
      <c r="AJ288" s="11">
        <v>41579</v>
      </c>
      <c r="AK288">
        <v>5278061.5</v>
      </c>
      <c r="AL288" s="26">
        <f t="shared" si="36"/>
        <v>0.58884388520292918</v>
      </c>
    </row>
    <row r="289" spans="1:38" x14ac:dyDescent="0.3">
      <c r="A289" s="11">
        <v>41974</v>
      </c>
      <c r="B289" s="18">
        <v>1200679.58</v>
      </c>
      <c r="C289" s="18">
        <v>1915773.07</v>
      </c>
      <c r="D289" s="18">
        <v>3560826.09</v>
      </c>
      <c r="E289" s="11">
        <f t="shared" si="31"/>
        <v>41974</v>
      </c>
      <c r="F289" s="9">
        <f t="shared" si="33"/>
        <v>0.17098596383609665</v>
      </c>
      <c r="G289" s="9">
        <f t="shared" si="34"/>
        <v>0.1539501555674132</v>
      </c>
      <c r="H289" s="9">
        <f t="shared" si="35"/>
        <v>0.12068652700751348</v>
      </c>
      <c r="I289" s="11">
        <f t="shared" si="32"/>
        <v>41974</v>
      </c>
      <c r="O289" s="11">
        <v>43435</v>
      </c>
      <c r="P289" s="19" t="str" cm="1">
        <f t="array" ref="P289">IF(OR($O289&lt;P$387,$O289&gt;P$388),"",IFERROR(IF($O289=P$387,100,P288)*INDEX($B$2:$B$428,MATCH($O289,$A$2:$A$428,0))/INDEX($B$2:$B$428,MATCH($O289,$A$2:$A$428,0)-1),""))</f>
        <v/>
      </c>
      <c r="Q289" s="19" t="str" cm="1">
        <f t="array" ref="Q289">IF(OR($O289&lt;Q$387,$O289&gt;Q$388),"",IFERROR(IF($O289=Q$387,100,Q288)*INDEX($B$2:$B$428,MATCH($O289,$A$2:$A$428,0))/INDEX($B$2:$B$428,MATCH($O289,$A$2:$A$428,0)-1),""))</f>
        <v/>
      </c>
      <c r="R289" s="19" t="str" cm="1">
        <f t="array" ref="R289">IF(OR($O289&lt;R$387,$O289&gt;R$388),"",IFERROR(IF($O289=R$387,100,R288)*INDEX($B$2:$B$428,MATCH($O289,$A$2:$A$428,0))/INDEX($B$2:$B$428,MATCH($O289,$A$2:$A$428,0)-1),""))</f>
        <v/>
      </c>
      <c r="S289" s="19" t="str" cm="1">
        <f t="array" ref="S289">IF(OR($O289&lt;S$387,$O289&gt;S$388),"",IFERROR(IF($O289=S$387,100,S288)*INDEX($B$2:$B$428,MATCH($O289,$A$2:$A$428,0))/INDEX($B$2:$B$428,MATCH($O289,$A$2:$A$428,0)-1),""))</f>
        <v/>
      </c>
      <c r="T289" s="19" t="str" cm="1">
        <f t="array" ref="T289">IF(OR($O289&lt;T$387,$O289&gt;T$388),"",IFERROR(IF($O289=T$387,100,T288)*INDEX($B$2:$B$428,MATCH($O289,$A$2:$A$428,0))/INDEX($B$2:$B$428,MATCH($O289,$A$2:$A$428,0)-1),""))</f>
        <v/>
      </c>
      <c r="U289" s="19" t="str" cm="1">
        <f t="array" ref="U289">IF(OR($O289&lt;U$387,$O289&gt;U$388),"",IFERROR(IF($O289=U$387,100,U288)*INDEX($B$2:$B$428,MATCH($O289,$A$2:$A$428,0))/INDEX($B$2:$B$428,MATCH($O289,$A$2:$A$428,0)-1),""))</f>
        <v/>
      </c>
      <c r="V289" s="19" cm="1">
        <f t="array" ref="V289">IF(OR($O289&lt;V$387,$O289&gt;V$388),"",IFERROR(IF($O289=V$387,100,V288)*INDEX($B$2:$B$428,MATCH($O289,$A$2:$A$428,0))/INDEX($B$2:$B$428,MATCH($O289,$A$2:$A$428,0)-1),""))</f>
        <v>175.40926487630767</v>
      </c>
      <c r="W289" s="19" t="str" cm="1">
        <f t="array" ref="W289">IF(OR($O289&lt;W$387,$O289&gt;W$388),"",IFERROR(IF($O289=W$387,100,W288)*INDEX($B$2:$B$428,MATCH($O289,$A$2:$A$428,0))/INDEX($B$2:$B$428,MATCH($O289,$A$2:$A$428,0)-1),""))</f>
        <v/>
      </c>
      <c r="X289" s="19" t="str" cm="1">
        <f t="array" ref="X289">IF(OR($O289&lt;X$387,$O289&gt;X$388),"",IFERROR(IF($O289=X$387,100,X288)*INDEX($B$2:$B$428,MATCH($O289,$A$2:$A$428,0))/INDEX($B$2:$B$428,MATCH($O289,$A$2:$A$428,0)-1),""))</f>
        <v/>
      </c>
      <c r="AA289" s="19"/>
      <c r="AB289" s="19"/>
      <c r="AC289" s="19"/>
      <c r="AD289" s="19"/>
      <c r="AE289" s="19"/>
      <c r="AF289" s="19"/>
      <c r="AG289" s="19"/>
      <c r="AH289" s="19"/>
      <c r="AJ289" s="11">
        <v>41609</v>
      </c>
      <c r="AK289">
        <v>5331619</v>
      </c>
      <c r="AL289" s="26">
        <f t="shared" si="36"/>
        <v>0.59594681840544117</v>
      </c>
    </row>
    <row r="290" spans="1:38" x14ac:dyDescent="0.3">
      <c r="A290" s="11">
        <v>42005</v>
      </c>
      <c r="B290" s="18">
        <v>1207401.92</v>
      </c>
      <c r="C290" s="18">
        <v>1934268.91</v>
      </c>
      <c r="D290" s="18">
        <v>3462851.34</v>
      </c>
      <c r="E290" s="11">
        <f t="shared" si="31"/>
        <v>42005</v>
      </c>
      <c r="F290" s="9">
        <f t="shared" si="33"/>
        <v>0.19496433684389758</v>
      </c>
      <c r="G290" s="9">
        <f t="shared" si="34"/>
        <v>0.17160873768986207</v>
      </c>
      <c r="H290" s="9">
        <f t="shared" si="35"/>
        <v>0.11558261272558701</v>
      </c>
      <c r="I290" s="11">
        <f t="shared" si="32"/>
        <v>42005</v>
      </c>
      <c r="O290" s="11">
        <v>43466</v>
      </c>
      <c r="P290" s="19" t="str" cm="1">
        <f t="array" ref="P290">IF(OR($O290&lt;P$387,$O290&gt;P$388),"",IFERROR(IF($O290=P$387,100,P289)*INDEX($B$2:$B$428,MATCH($O290,$A$2:$A$428,0))/INDEX($B$2:$B$428,MATCH($O290,$A$2:$A$428,0)-1),""))</f>
        <v/>
      </c>
      <c r="Q290" s="19" t="str" cm="1">
        <f t="array" ref="Q290">IF(OR($O290&lt;Q$387,$O290&gt;Q$388),"",IFERROR(IF($O290=Q$387,100,Q289)*INDEX($B$2:$B$428,MATCH($O290,$A$2:$A$428,0))/INDEX($B$2:$B$428,MATCH($O290,$A$2:$A$428,0)-1),""))</f>
        <v/>
      </c>
      <c r="R290" s="19" t="str" cm="1">
        <f t="array" ref="R290">IF(OR($O290&lt;R$387,$O290&gt;R$388),"",IFERROR(IF($O290=R$387,100,R289)*INDEX($B$2:$B$428,MATCH($O290,$A$2:$A$428,0))/INDEX($B$2:$B$428,MATCH($O290,$A$2:$A$428,0)-1),""))</f>
        <v/>
      </c>
      <c r="S290" s="19" t="str" cm="1">
        <f t="array" ref="S290">IF(OR($O290&lt;S$387,$O290&gt;S$388),"",IFERROR(IF($O290=S$387,100,S289)*INDEX($B$2:$B$428,MATCH($O290,$A$2:$A$428,0))/INDEX($B$2:$B$428,MATCH($O290,$A$2:$A$428,0)-1),""))</f>
        <v/>
      </c>
      <c r="T290" s="19" t="str" cm="1">
        <f t="array" ref="T290">IF(OR($O290&lt;T$387,$O290&gt;T$388),"",IFERROR(IF($O290=T$387,100,T289)*INDEX($B$2:$B$428,MATCH($O290,$A$2:$A$428,0))/INDEX($B$2:$B$428,MATCH($O290,$A$2:$A$428,0)-1),""))</f>
        <v/>
      </c>
      <c r="U290" s="19" t="str" cm="1">
        <f t="array" ref="U290">IF(OR($O290&lt;U$387,$O290&gt;U$388),"",IFERROR(IF($O290=U$387,100,U289)*INDEX($B$2:$B$428,MATCH($O290,$A$2:$A$428,0))/INDEX($B$2:$B$428,MATCH($O290,$A$2:$A$428,0)-1),""))</f>
        <v/>
      </c>
      <c r="V290" s="19" t="str" cm="1">
        <f t="array" ref="V290">IF(OR($O290&lt;V$387,$O290&gt;V$388),"",IFERROR(IF($O290=V$387,100,V289)*INDEX($B$2:$B$428,MATCH($O290,$A$2:$A$428,0))/INDEX($B$2:$B$428,MATCH($O290,$A$2:$A$428,0)-1),""))</f>
        <v/>
      </c>
      <c r="W290" s="19" cm="1">
        <f t="array" ref="W290">IF(OR($O290&lt;W$387,$O290&gt;W$388),"",IFERROR(IF($O290=W$387,100,W289)*INDEX($B$2:$B$428,MATCH($O290,$A$2:$A$428,0))/INDEX($B$2:$B$428,MATCH($O290,$A$2:$A$428,0)-1),""))</f>
        <v>102.06426390309362</v>
      </c>
      <c r="X290" s="19" t="str" cm="1">
        <f t="array" ref="X290">IF(OR($O290&lt;X$387,$O290&gt;X$388),"",IFERROR(IF($O290=X$387,100,X289)*INDEX($B$2:$B$428,MATCH($O290,$A$2:$A$428,0))/INDEX($B$2:$B$428,MATCH($O290,$A$2:$A$428,0)-1),""))</f>
        <v/>
      </c>
      <c r="AA290" s="19"/>
      <c r="AB290" s="19"/>
      <c r="AC290" s="19"/>
      <c r="AD290" s="19"/>
      <c r="AE290" s="19"/>
      <c r="AF290" s="19"/>
      <c r="AG290" s="19"/>
      <c r="AH290" s="19"/>
      <c r="AJ290" s="11">
        <v>41640</v>
      </c>
      <c r="AK290">
        <v>5375998.0999999996</v>
      </c>
      <c r="AL290" s="26">
        <f t="shared" si="36"/>
        <v>0.57739498085016061</v>
      </c>
    </row>
    <row r="291" spans="1:38" x14ac:dyDescent="0.3">
      <c r="A291" s="11">
        <v>42036</v>
      </c>
      <c r="B291" s="18">
        <v>1189108.19</v>
      </c>
      <c r="C291" s="18">
        <v>1927287.63</v>
      </c>
      <c r="D291" s="18">
        <v>3572848.58</v>
      </c>
      <c r="E291" s="11">
        <f t="shared" si="31"/>
        <v>42036</v>
      </c>
      <c r="F291" s="9">
        <f t="shared" si="33"/>
        <v>0.13263394042291243</v>
      </c>
      <c r="G291" s="9">
        <f t="shared" si="34"/>
        <v>0.14253747743202783</v>
      </c>
      <c r="H291" s="9">
        <f t="shared" si="35"/>
        <v>0.13809946885325664</v>
      </c>
      <c r="I291" s="11">
        <f t="shared" si="32"/>
        <v>42036</v>
      </c>
      <c r="O291" s="11">
        <v>43497</v>
      </c>
      <c r="P291" s="19" t="str" cm="1">
        <f t="array" ref="P291">IF(OR($O291&lt;P$387,$O291&gt;P$388),"",IFERROR(IF($O291=P$387,100,P290)*INDEX($B$2:$B$428,MATCH($O291,$A$2:$A$428,0))/INDEX($B$2:$B$428,MATCH($O291,$A$2:$A$428,0)-1),""))</f>
        <v/>
      </c>
      <c r="Q291" s="19" t="str" cm="1">
        <f t="array" ref="Q291">IF(OR($O291&lt;Q$387,$O291&gt;Q$388),"",IFERROR(IF($O291=Q$387,100,Q290)*INDEX($B$2:$B$428,MATCH($O291,$A$2:$A$428,0))/INDEX($B$2:$B$428,MATCH($O291,$A$2:$A$428,0)-1),""))</f>
        <v/>
      </c>
      <c r="R291" s="19" t="str" cm="1">
        <f t="array" ref="R291">IF(OR($O291&lt;R$387,$O291&gt;R$388),"",IFERROR(IF($O291=R$387,100,R290)*INDEX($B$2:$B$428,MATCH($O291,$A$2:$A$428,0))/INDEX($B$2:$B$428,MATCH($O291,$A$2:$A$428,0)-1),""))</f>
        <v/>
      </c>
      <c r="S291" s="19" t="str" cm="1">
        <f t="array" ref="S291">IF(OR($O291&lt;S$387,$O291&gt;S$388),"",IFERROR(IF($O291=S$387,100,S290)*INDEX($B$2:$B$428,MATCH($O291,$A$2:$A$428,0))/INDEX($B$2:$B$428,MATCH($O291,$A$2:$A$428,0)-1),""))</f>
        <v/>
      </c>
      <c r="T291" s="19" t="str" cm="1">
        <f t="array" ref="T291">IF(OR($O291&lt;T$387,$O291&gt;T$388),"",IFERROR(IF($O291=T$387,100,T290)*INDEX($B$2:$B$428,MATCH($O291,$A$2:$A$428,0))/INDEX($B$2:$B$428,MATCH($O291,$A$2:$A$428,0)-1),""))</f>
        <v/>
      </c>
      <c r="U291" s="19" t="str" cm="1">
        <f t="array" ref="U291">IF(OR($O291&lt;U$387,$O291&gt;U$388),"",IFERROR(IF($O291=U$387,100,U290)*INDEX($B$2:$B$428,MATCH($O291,$A$2:$A$428,0))/INDEX($B$2:$B$428,MATCH($O291,$A$2:$A$428,0)-1),""))</f>
        <v/>
      </c>
      <c r="V291" s="19" t="str" cm="1">
        <f t="array" ref="V291">IF(OR($O291&lt;V$387,$O291&gt;V$388),"",IFERROR(IF($O291=V$387,100,V290)*INDEX($B$2:$B$428,MATCH($O291,$A$2:$A$428,0))/INDEX($B$2:$B$428,MATCH($O291,$A$2:$A$428,0)-1),""))</f>
        <v/>
      </c>
      <c r="W291" s="19" cm="1">
        <f t="array" ref="W291">IF(OR($O291&lt;W$387,$O291&gt;W$388),"",IFERROR(IF($O291=W$387,100,W290)*INDEX($B$2:$B$428,MATCH($O291,$A$2:$A$428,0))/INDEX($B$2:$B$428,MATCH($O291,$A$2:$A$428,0)-1),""))</f>
        <v>102.65411794435823</v>
      </c>
      <c r="X291" s="19" t="str" cm="1">
        <f t="array" ref="X291">IF(OR($O291&lt;X$387,$O291&gt;X$388),"",IFERROR(IF($O291=X$387,100,X290)*INDEX($B$2:$B$428,MATCH($O291,$A$2:$A$428,0))/INDEX($B$2:$B$428,MATCH($O291,$A$2:$A$428,0)-1),""))</f>
        <v/>
      </c>
      <c r="AA291" s="19"/>
      <c r="AB291" s="19"/>
      <c r="AC291" s="19"/>
      <c r="AD291" s="19"/>
      <c r="AE291" s="19"/>
      <c r="AF291" s="19"/>
      <c r="AG291" s="19"/>
      <c r="AH291" s="19"/>
      <c r="AJ291" s="11">
        <v>41671</v>
      </c>
      <c r="AK291">
        <v>5433416.0999999996</v>
      </c>
      <c r="AL291" s="26">
        <f t="shared" si="36"/>
        <v>0.57777856365537705</v>
      </c>
    </row>
    <row r="292" spans="1:38" x14ac:dyDescent="0.3">
      <c r="A292" s="11">
        <v>42064</v>
      </c>
      <c r="B292" s="18">
        <v>1140312.8799999999</v>
      </c>
      <c r="C292" s="18">
        <v>1919732.26</v>
      </c>
      <c r="D292" s="18">
        <v>3738724.29</v>
      </c>
      <c r="E292" s="11">
        <f t="shared" si="31"/>
        <v>42064</v>
      </c>
      <c r="F292" s="9">
        <f t="shared" si="33"/>
        <v>5.4787346616800514E-2</v>
      </c>
      <c r="G292" s="9">
        <f t="shared" si="34"/>
        <v>0.12485760583241268</v>
      </c>
      <c r="H292" s="9">
        <f t="shared" si="35"/>
        <v>0.18186494693468136</v>
      </c>
      <c r="I292" s="11">
        <f t="shared" si="32"/>
        <v>42064</v>
      </c>
      <c r="O292" s="11">
        <v>43525</v>
      </c>
      <c r="P292" s="19" t="str" cm="1">
        <f t="array" ref="P292">IF(OR($O292&lt;P$387,$O292&gt;P$388),"",IFERROR(IF($O292=P$387,100,P291)*INDEX($B$2:$B$428,MATCH($O292,$A$2:$A$428,0))/INDEX($B$2:$B$428,MATCH($O292,$A$2:$A$428,0)-1),""))</f>
        <v/>
      </c>
      <c r="Q292" s="19" t="str" cm="1">
        <f t="array" ref="Q292">IF(OR($O292&lt;Q$387,$O292&gt;Q$388),"",IFERROR(IF($O292=Q$387,100,Q291)*INDEX($B$2:$B$428,MATCH($O292,$A$2:$A$428,0))/INDEX($B$2:$B$428,MATCH($O292,$A$2:$A$428,0)-1),""))</f>
        <v/>
      </c>
      <c r="R292" s="19" t="str" cm="1">
        <f t="array" ref="R292">IF(OR($O292&lt;R$387,$O292&gt;R$388),"",IFERROR(IF($O292=R$387,100,R291)*INDEX($B$2:$B$428,MATCH($O292,$A$2:$A$428,0))/INDEX($B$2:$B$428,MATCH($O292,$A$2:$A$428,0)-1),""))</f>
        <v/>
      </c>
      <c r="S292" s="19" t="str" cm="1">
        <f t="array" ref="S292">IF(OR($O292&lt;S$387,$O292&gt;S$388),"",IFERROR(IF($O292=S$387,100,S291)*INDEX($B$2:$B$428,MATCH($O292,$A$2:$A$428,0))/INDEX($B$2:$B$428,MATCH($O292,$A$2:$A$428,0)-1),""))</f>
        <v/>
      </c>
      <c r="T292" s="19" t="str" cm="1">
        <f t="array" ref="T292">IF(OR($O292&lt;T$387,$O292&gt;T$388),"",IFERROR(IF($O292=T$387,100,T291)*INDEX($B$2:$B$428,MATCH($O292,$A$2:$A$428,0))/INDEX($B$2:$B$428,MATCH($O292,$A$2:$A$428,0)-1),""))</f>
        <v/>
      </c>
      <c r="U292" s="19" t="str" cm="1">
        <f t="array" ref="U292">IF(OR($O292&lt;U$387,$O292&gt;U$388),"",IFERROR(IF($O292=U$387,100,U291)*INDEX($B$2:$B$428,MATCH($O292,$A$2:$A$428,0))/INDEX($B$2:$B$428,MATCH($O292,$A$2:$A$428,0)-1),""))</f>
        <v/>
      </c>
      <c r="V292" s="19" t="str" cm="1">
        <f t="array" ref="V292">IF(OR($O292&lt;V$387,$O292&gt;V$388),"",IFERROR(IF($O292=V$387,100,V291)*INDEX($B$2:$B$428,MATCH($O292,$A$2:$A$428,0))/INDEX($B$2:$B$428,MATCH($O292,$A$2:$A$428,0)-1),""))</f>
        <v/>
      </c>
      <c r="W292" s="19" cm="1">
        <f t="array" ref="W292">IF(OR($O292&lt;W$387,$O292&gt;W$388),"",IFERROR(IF($O292=W$387,100,W291)*INDEX($B$2:$B$428,MATCH($O292,$A$2:$A$428,0))/INDEX($B$2:$B$428,MATCH($O292,$A$2:$A$428,0)-1),""))</f>
        <v>102.34084759525571</v>
      </c>
      <c r="X292" s="19" t="str" cm="1">
        <f t="array" ref="X292">IF(OR($O292&lt;X$387,$O292&gt;X$388),"",IFERROR(IF($O292=X$387,100,X291)*INDEX($B$2:$B$428,MATCH($O292,$A$2:$A$428,0))/INDEX($B$2:$B$428,MATCH($O292,$A$2:$A$428,0)-1),""))</f>
        <v/>
      </c>
      <c r="AA292" s="19"/>
      <c r="AB292" s="19"/>
      <c r="AC292" s="19"/>
      <c r="AD292" s="19"/>
      <c r="AE292" s="19"/>
      <c r="AF292" s="19"/>
      <c r="AG292" s="19"/>
      <c r="AH292" s="19"/>
      <c r="AJ292" s="11">
        <v>41699</v>
      </c>
      <c r="AK292">
        <v>5475986.4000000004</v>
      </c>
      <c r="AL292" s="26">
        <f t="shared" si="36"/>
        <v>0.57768784086096336</v>
      </c>
    </row>
    <row r="293" spans="1:38" x14ac:dyDescent="0.3">
      <c r="A293" s="11">
        <v>42095</v>
      </c>
      <c r="B293" s="18">
        <v>1190414.25</v>
      </c>
      <c r="C293" s="18">
        <v>1972169.01</v>
      </c>
      <c r="D293" s="18">
        <v>3736260.72</v>
      </c>
      <c r="E293" s="11">
        <f t="shared" si="31"/>
        <v>42095</v>
      </c>
      <c r="F293" s="9">
        <f t="shared" si="33"/>
        <v>0.10080958286178365</v>
      </c>
      <c r="G293" s="9">
        <f t="shared" si="34"/>
        <v>0.14868513615819645</v>
      </c>
      <c r="H293" s="9">
        <f t="shared" si="35"/>
        <v>0.18832305606864064</v>
      </c>
      <c r="I293" s="11">
        <f t="shared" si="32"/>
        <v>42095</v>
      </c>
      <c r="O293" s="11">
        <v>43556</v>
      </c>
      <c r="P293" s="19" t="str" cm="1">
        <f t="array" ref="P293">IF(OR($O293&lt;P$387,$O293&gt;P$388),"",IFERROR(IF($O293=P$387,100,P292)*INDEX($B$2:$B$428,MATCH($O293,$A$2:$A$428,0))/INDEX($B$2:$B$428,MATCH($O293,$A$2:$A$428,0)-1),""))</f>
        <v/>
      </c>
      <c r="Q293" s="19" t="str" cm="1">
        <f t="array" ref="Q293">IF(OR($O293&lt;Q$387,$O293&gt;Q$388),"",IFERROR(IF($O293=Q$387,100,Q292)*INDEX($B$2:$B$428,MATCH($O293,$A$2:$A$428,0))/INDEX($B$2:$B$428,MATCH($O293,$A$2:$A$428,0)-1),""))</f>
        <v/>
      </c>
      <c r="R293" s="19" t="str" cm="1">
        <f t="array" ref="R293">IF(OR($O293&lt;R$387,$O293&gt;R$388),"",IFERROR(IF($O293=R$387,100,R292)*INDEX($B$2:$B$428,MATCH($O293,$A$2:$A$428,0))/INDEX($B$2:$B$428,MATCH($O293,$A$2:$A$428,0)-1),""))</f>
        <v/>
      </c>
      <c r="S293" s="19" t="str" cm="1">
        <f t="array" ref="S293">IF(OR($O293&lt;S$387,$O293&gt;S$388),"",IFERROR(IF($O293=S$387,100,S292)*INDEX($B$2:$B$428,MATCH($O293,$A$2:$A$428,0))/INDEX($B$2:$B$428,MATCH($O293,$A$2:$A$428,0)-1),""))</f>
        <v/>
      </c>
      <c r="T293" s="19" t="str" cm="1">
        <f t="array" ref="T293">IF(OR($O293&lt;T$387,$O293&gt;T$388),"",IFERROR(IF($O293=T$387,100,T292)*INDEX($B$2:$B$428,MATCH($O293,$A$2:$A$428,0))/INDEX($B$2:$B$428,MATCH($O293,$A$2:$A$428,0)-1),""))</f>
        <v/>
      </c>
      <c r="U293" s="19" t="str" cm="1">
        <f t="array" ref="U293">IF(OR($O293&lt;U$387,$O293&gt;U$388),"",IFERROR(IF($O293=U$387,100,U292)*INDEX($B$2:$B$428,MATCH($O293,$A$2:$A$428,0))/INDEX($B$2:$B$428,MATCH($O293,$A$2:$A$428,0)-1),""))</f>
        <v/>
      </c>
      <c r="V293" s="19" t="str" cm="1">
        <f t="array" ref="V293">IF(OR($O293&lt;V$387,$O293&gt;V$388),"",IFERROR(IF($O293=V$387,100,V292)*INDEX($B$2:$B$428,MATCH($O293,$A$2:$A$428,0))/INDEX($B$2:$B$428,MATCH($O293,$A$2:$A$428,0)-1),""))</f>
        <v/>
      </c>
      <c r="W293" s="19" cm="1">
        <f t="array" ref="W293">IF(OR($O293&lt;W$387,$O293&gt;W$388),"",IFERROR(IF($O293=W$387,100,W292)*INDEX($B$2:$B$428,MATCH($O293,$A$2:$A$428,0))/INDEX($B$2:$B$428,MATCH($O293,$A$2:$A$428,0)-1),""))</f>
        <v>102.61168826664712</v>
      </c>
      <c r="X293" s="19" t="str" cm="1">
        <f t="array" ref="X293">IF(OR($O293&lt;X$387,$O293&gt;X$388),"",IFERROR(IF($O293=X$387,100,X292)*INDEX($B$2:$B$428,MATCH($O293,$A$2:$A$428,0))/INDEX($B$2:$B$428,MATCH($O293,$A$2:$A$428,0)-1),""))</f>
        <v/>
      </c>
      <c r="AA293" s="19"/>
      <c r="AB293" s="19"/>
      <c r="AC293" s="19"/>
      <c r="AD293" s="19"/>
      <c r="AE293" s="19"/>
      <c r="AF293" s="19"/>
      <c r="AG293" s="19"/>
      <c r="AH293" s="19"/>
      <c r="AJ293" s="11">
        <v>41730</v>
      </c>
      <c r="AK293">
        <v>5509203.5</v>
      </c>
      <c r="AL293" s="26">
        <f t="shared" si="36"/>
        <v>0.5707078364413295</v>
      </c>
    </row>
    <row r="294" spans="1:38" x14ac:dyDescent="0.3">
      <c r="A294" s="11">
        <v>42125</v>
      </c>
      <c r="B294" s="18">
        <v>1183268.82</v>
      </c>
      <c r="C294" s="18">
        <v>1984129.32</v>
      </c>
      <c r="D294" s="18">
        <v>3781112.73</v>
      </c>
      <c r="E294" s="11">
        <f t="shared" si="31"/>
        <v>42125</v>
      </c>
      <c r="F294" s="9">
        <f t="shared" si="33"/>
        <v>7.0192369185342773E-2</v>
      </c>
      <c r="G294" s="9">
        <f t="shared" si="34"/>
        <v>0.13325091831035141</v>
      </c>
      <c r="H294" s="9">
        <f t="shared" si="35"/>
        <v>0.17377521325767042</v>
      </c>
      <c r="I294" s="11">
        <f t="shared" si="32"/>
        <v>42125</v>
      </c>
      <c r="O294" s="11">
        <v>43586</v>
      </c>
      <c r="P294" s="19" t="str" cm="1">
        <f t="array" ref="P294">IF(OR($O294&lt;P$387,$O294&gt;P$388),"",IFERROR(IF($O294=P$387,100,P293)*INDEX($B$2:$B$428,MATCH($O294,$A$2:$A$428,0))/INDEX($B$2:$B$428,MATCH($O294,$A$2:$A$428,0)-1),""))</f>
        <v/>
      </c>
      <c r="Q294" s="19" t="str" cm="1">
        <f t="array" ref="Q294">IF(OR($O294&lt;Q$387,$O294&gt;Q$388),"",IFERROR(IF($O294=Q$387,100,Q293)*INDEX($B$2:$B$428,MATCH($O294,$A$2:$A$428,0))/INDEX($B$2:$B$428,MATCH($O294,$A$2:$A$428,0)-1),""))</f>
        <v/>
      </c>
      <c r="R294" s="19" t="str" cm="1">
        <f t="array" ref="R294">IF(OR($O294&lt;R$387,$O294&gt;R$388),"",IFERROR(IF($O294=R$387,100,R293)*INDEX($B$2:$B$428,MATCH($O294,$A$2:$A$428,0))/INDEX($B$2:$B$428,MATCH($O294,$A$2:$A$428,0)-1),""))</f>
        <v/>
      </c>
      <c r="S294" s="19" t="str" cm="1">
        <f t="array" ref="S294">IF(OR($O294&lt;S$387,$O294&gt;S$388),"",IFERROR(IF($O294=S$387,100,S293)*INDEX($B$2:$B$428,MATCH($O294,$A$2:$A$428,0))/INDEX($B$2:$B$428,MATCH($O294,$A$2:$A$428,0)-1),""))</f>
        <v/>
      </c>
      <c r="T294" s="19" t="str" cm="1">
        <f t="array" ref="T294">IF(OR($O294&lt;T$387,$O294&gt;T$388),"",IFERROR(IF($O294=T$387,100,T293)*INDEX($B$2:$B$428,MATCH($O294,$A$2:$A$428,0))/INDEX($B$2:$B$428,MATCH($O294,$A$2:$A$428,0)-1),""))</f>
        <v/>
      </c>
      <c r="U294" s="19" t="str" cm="1">
        <f t="array" ref="U294">IF(OR($O294&lt;U$387,$O294&gt;U$388),"",IFERROR(IF($O294=U$387,100,U293)*INDEX($B$2:$B$428,MATCH($O294,$A$2:$A$428,0))/INDEX($B$2:$B$428,MATCH($O294,$A$2:$A$428,0)-1),""))</f>
        <v/>
      </c>
      <c r="V294" s="19" t="str" cm="1">
        <f t="array" ref="V294">IF(OR($O294&lt;V$387,$O294&gt;V$388),"",IFERROR(IF($O294=V$387,100,V293)*INDEX($B$2:$B$428,MATCH($O294,$A$2:$A$428,0))/INDEX($B$2:$B$428,MATCH($O294,$A$2:$A$428,0)-1),""))</f>
        <v/>
      </c>
      <c r="W294" s="19" cm="1">
        <f t="array" ref="W294">IF(OR($O294&lt;W$387,$O294&gt;W$388),"",IFERROR(IF($O294=W$387,100,W293)*INDEX($B$2:$B$428,MATCH($O294,$A$2:$A$428,0))/INDEX($B$2:$B$428,MATCH($O294,$A$2:$A$428,0)-1),""))</f>
        <v>103.95818167611287</v>
      </c>
      <c r="X294" s="19" t="str" cm="1">
        <f t="array" ref="X294">IF(OR($O294&lt;X$387,$O294&gt;X$388),"",IFERROR(IF($O294=X$387,100,X293)*INDEX($B$2:$B$428,MATCH($O294,$A$2:$A$428,0))/INDEX($B$2:$B$428,MATCH($O294,$A$2:$A$428,0)-1),""))</f>
        <v/>
      </c>
      <c r="AA294" s="19"/>
      <c r="AB294" s="19"/>
      <c r="AC294" s="19"/>
      <c r="AD294" s="19"/>
      <c r="AE294" s="19"/>
      <c r="AF294" s="19"/>
      <c r="AG294" s="19"/>
      <c r="AH294" s="19"/>
      <c r="AJ294" s="11">
        <v>41760</v>
      </c>
      <c r="AK294">
        <v>5549153</v>
      </c>
      <c r="AL294" s="26">
        <f t="shared" si="36"/>
        <v>0.58050770991536904</v>
      </c>
    </row>
    <row r="295" spans="1:38" x14ac:dyDescent="0.3">
      <c r="A295" s="11">
        <v>42156</v>
      </c>
      <c r="B295" s="18">
        <v>1238357.26</v>
      </c>
      <c r="C295" s="18">
        <v>2033575.55</v>
      </c>
      <c r="D295" s="18">
        <v>3878186.48</v>
      </c>
      <c r="E295" s="11">
        <f t="shared" si="31"/>
        <v>42156</v>
      </c>
      <c r="F295" s="9">
        <f t="shared" si="33"/>
        <v>8.9830744957585473E-2</v>
      </c>
      <c r="G295" s="9">
        <f t="shared" si="34"/>
        <v>0.14262321902013619</v>
      </c>
      <c r="H295" s="9">
        <f t="shared" si="35"/>
        <v>0.1728404042103211</v>
      </c>
      <c r="I295" s="11">
        <f t="shared" si="32"/>
        <v>42156</v>
      </c>
      <c r="O295" s="11">
        <v>43617</v>
      </c>
      <c r="P295" s="19" t="str" cm="1">
        <f t="array" ref="P295">IF(OR($O295&lt;P$387,$O295&gt;P$388),"",IFERROR(IF($O295=P$387,100,P294)*INDEX($B$2:$B$428,MATCH($O295,$A$2:$A$428,0))/INDEX($B$2:$B$428,MATCH($O295,$A$2:$A$428,0)-1),""))</f>
        <v/>
      </c>
      <c r="Q295" s="19" t="str" cm="1">
        <f t="array" ref="Q295">IF(OR($O295&lt;Q$387,$O295&gt;Q$388),"",IFERROR(IF($O295=Q$387,100,Q294)*INDEX($B$2:$B$428,MATCH($O295,$A$2:$A$428,0))/INDEX($B$2:$B$428,MATCH($O295,$A$2:$A$428,0)-1),""))</f>
        <v/>
      </c>
      <c r="R295" s="19" t="str" cm="1">
        <f t="array" ref="R295">IF(OR($O295&lt;R$387,$O295&gt;R$388),"",IFERROR(IF($O295=R$387,100,R294)*INDEX($B$2:$B$428,MATCH($O295,$A$2:$A$428,0))/INDEX($B$2:$B$428,MATCH($O295,$A$2:$A$428,0)-1),""))</f>
        <v/>
      </c>
      <c r="S295" s="19" t="str" cm="1">
        <f t="array" ref="S295">IF(OR($O295&lt;S$387,$O295&gt;S$388),"",IFERROR(IF($O295=S$387,100,S294)*INDEX($B$2:$B$428,MATCH($O295,$A$2:$A$428,0))/INDEX($B$2:$B$428,MATCH($O295,$A$2:$A$428,0)-1),""))</f>
        <v/>
      </c>
      <c r="T295" s="19" t="str" cm="1">
        <f t="array" ref="T295">IF(OR($O295&lt;T$387,$O295&gt;T$388),"",IFERROR(IF($O295=T$387,100,T294)*INDEX($B$2:$B$428,MATCH($O295,$A$2:$A$428,0))/INDEX($B$2:$B$428,MATCH($O295,$A$2:$A$428,0)-1),""))</f>
        <v/>
      </c>
      <c r="U295" s="19" t="str" cm="1">
        <f t="array" ref="U295">IF(OR($O295&lt;U$387,$O295&gt;U$388),"",IFERROR(IF($O295=U$387,100,U294)*INDEX($B$2:$B$428,MATCH($O295,$A$2:$A$428,0))/INDEX($B$2:$B$428,MATCH($O295,$A$2:$A$428,0)-1),""))</f>
        <v/>
      </c>
      <c r="V295" s="19" t="str" cm="1">
        <f t="array" ref="V295">IF(OR($O295&lt;V$387,$O295&gt;V$388),"",IFERROR(IF($O295=V$387,100,V294)*INDEX($B$2:$B$428,MATCH($O295,$A$2:$A$428,0))/INDEX($B$2:$B$428,MATCH($O295,$A$2:$A$428,0)-1),""))</f>
        <v/>
      </c>
      <c r="W295" s="19" cm="1">
        <f t="array" ref="W295">IF(OR($O295&lt;W$387,$O295&gt;W$388),"",IFERROR(IF($O295=W$387,100,W294)*INDEX($B$2:$B$428,MATCH($O295,$A$2:$A$428,0))/INDEX($B$2:$B$428,MATCH($O295,$A$2:$A$428,0)-1),""))</f>
        <v>105.7483212691121</v>
      </c>
      <c r="X295" s="19" t="str" cm="1">
        <f t="array" ref="X295">IF(OR($O295&lt;X$387,$O295&gt;X$388),"",IFERROR(IF($O295=X$387,100,X294)*INDEX($B$2:$B$428,MATCH($O295,$A$2:$A$428,0))/INDEX($B$2:$B$428,MATCH($O295,$A$2:$A$428,0)-1),""))</f>
        <v/>
      </c>
      <c r="AA295" s="19"/>
      <c r="AB295" s="19"/>
      <c r="AC295" s="19"/>
      <c r="AD295" s="19"/>
      <c r="AE295" s="19"/>
      <c r="AF295" s="19"/>
      <c r="AG295" s="19"/>
      <c r="AH295" s="19"/>
      <c r="AJ295" s="11">
        <v>41791</v>
      </c>
      <c r="AK295">
        <v>5575728.2000000002</v>
      </c>
      <c r="AL295" s="26">
        <f t="shared" si="36"/>
        <v>0.59304571732890421</v>
      </c>
    </row>
    <row r="296" spans="1:38" x14ac:dyDescent="0.3">
      <c r="A296" s="11">
        <v>42186</v>
      </c>
      <c r="B296" s="18">
        <v>1204133.52</v>
      </c>
      <c r="C296" s="18">
        <v>2043298.54</v>
      </c>
      <c r="D296" s="18">
        <v>3894114.69</v>
      </c>
      <c r="E296" s="11">
        <f t="shared" si="31"/>
        <v>42186</v>
      </c>
      <c r="F296" s="9">
        <f t="shared" si="33"/>
        <v>4.7709624428090347E-2</v>
      </c>
      <c r="G296" s="9">
        <f t="shared" si="34"/>
        <v>0.13536805829913834</v>
      </c>
      <c r="H296" s="9">
        <f t="shared" si="35"/>
        <v>0.19870277399079606</v>
      </c>
      <c r="I296" s="11">
        <f t="shared" si="32"/>
        <v>42186</v>
      </c>
      <c r="O296" s="11">
        <v>43647</v>
      </c>
      <c r="P296" s="19" t="str" cm="1">
        <f t="array" ref="P296">IF(OR($O296&lt;P$387,$O296&gt;P$388),"",IFERROR(IF($O296=P$387,100,P295)*INDEX($B$2:$B$428,MATCH($O296,$A$2:$A$428,0))/INDEX($B$2:$B$428,MATCH($O296,$A$2:$A$428,0)-1),""))</f>
        <v/>
      </c>
      <c r="Q296" s="19" t="str" cm="1">
        <f t="array" ref="Q296">IF(OR($O296&lt;Q$387,$O296&gt;Q$388),"",IFERROR(IF($O296=Q$387,100,Q295)*INDEX($B$2:$B$428,MATCH($O296,$A$2:$A$428,0))/INDEX($B$2:$B$428,MATCH($O296,$A$2:$A$428,0)-1),""))</f>
        <v/>
      </c>
      <c r="R296" s="19" t="str" cm="1">
        <f t="array" ref="R296">IF(OR($O296&lt;R$387,$O296&gt;R$388),"",IFERROR(IF($O296=R$387,100,R295)*INDEX($B$2:$B$428,MATCH($O296,$A$2:$A$428,0))/INDEX($B$2:$B$428,MATCH($O296,$A$2:$A$428,0)-1),""))</f>
        <v/>
      </c>
      <c r="S296" s="19" t="str" cm="1">
        <f t="array" ref="S296">IF(OR($O296&lt;S$387,$O296&gt;S$388),"",IFERROR(IF($O296=S$387,100,S295)*INDEX($B$2:$B$428,MATCH($O296,$A$2:$A$428,0))/INDEX($B$2:$B$428,MATCH($O296,$A$2:$A$428,0)-1),""))</f>
        <v/>
      </c>
      <c r="T296" s="19" t="str" cm="1">
        <f t="array" ref="T296">IF(OR($O296&lt;T$387,$O296&gt;T$388),"",IFERROR(IF($O296=T$387,100,T295)*INDEX($B$2:$B$428,MATCH($O296,$A$2:$A$428,0))/INDEX($B$2:$B$428,MATCH($O296,$A$2:$A$428,0)-1),""))</f>
        <v/>
      </c>
      <c r="U296" s="19" t="str" cm="1">
        <f t="array" ref="U296">IF(OR($O296&lt;U$387,$O296&gt;U$388),"",IFERROR(IF($O296=U$387,100,U295)*INDEX($B$2:$B$428,MATCH($O296,$A$2:$A$428,0))/INDEX($B$2:$B$428,MATCH($O296,$A$2:$A$428,0)-1),""))</f>
        <v/>
      </c>
      <c r="V296" s="19" t="str" cm="1">
        <f t="array" ref="V296">IF(OR($O296&lt;V$387,$O296&gt;V$388),"",IFERROR(IF($O296=V$387,100,V295)*INDEX($B$2:$B$428,MATCH($O296,$A$2:$A$428,0))/INDEX($B$2:$B$428,MATCH($O296,$A$2:$A$428,0)-1),""))</f>
        <v/>
      </c>
      <c r="W296" s="19" cm="1">
        <f t="array" ref="W296">IF(OR($O296&lt;W$387,$O296&gt;W$388),"",IFERROR(IF($O296=W$387,100,W295)*INDEX($B$2:$B$428,MATCH($O296,$A$2:$A$428,0))/INDEX($B$2:$B$428,MATCH($O296,$A$2:$A$428,0)-1),""))</f>
        <v>107.81336492332471</v>
      </c>
      <c r="X296" s="19" t="str" cm="1">
        <f t="array" ref="X296">IF(OR($O296&lt;X$387,$O296&gt;X$388),"",IFERROR(IF($O296=X$387,100,X295)*INDEX($B$2:$B$428,MATCH($O296,$A$2:$A$428,0))/INDEX($B$2:$B$428,MATCH($O296,$A$2:$A$428,0)-1),""))</f>
        <v/>
      </c>
      <c r="AA296" s="19"/>
      <c r="AB296" s="19"/>
      <c r="AC296" s="19"/>
      <c r="AD296" s="19"/>
      <c r="AE296" s="19"/>
      <c r="AF296" s="19"/>
      <c r="AG296" s="19"/>
      <c r="AH296" s="19"/>
      <c r="AJ296" s="11">
        <v>41821</v>
      </c>
      <c r="AK296">
        <v>5610029.2999999998</v>
      </c>
      <c r="AL296" s="26">
        <f t="shared" si="36"/>
        <v>0.57907137668603625</v>
      </c>
    </row>
    <row r="297" spans="1:38" x14ac:dyDescent="0.3">
      <c r="A297" s="11">
        <v>42217</v>
      </c>
      <c r="B297" s="18">
        <v>1166551.72</v>
      </c>
      <c r="C297" s="18">
        <v>2034274.14</v>
      </c>
      <c r="D297" s="18">
        <v>4013923.3</v>
      </c>
      <c r="E297" s="11">
        <f t="shared" si="31"/>
        <v>42217</v>
      </c>
      <c r="F297" s="9">
        <f t="shared" si="33"/>
        <v>-1.7110517293748795E-2</v>
      </c>
      <c r="G297" s="9">
        <f t="shared" si="34"/>
        <v>0.10658656770365238</v>
      </c>
      <c r="H297" s="9">
        <f t="shared" si="35"/>
        <v>0.22571130975878595</v>
      </c>
      <c r="I297" s="11">
        <f t="shared" si="32"/>
        <v>42217</v>
      </c>
      <c r="O297" s="11">
        <v>43678</v>
      </c>
      <c r="P297" s="19" t="str" cm="1">
        <f t="array" ref="P297">IF(OR($O297&lt;P$387,$O297&gt;P$388),"",IFERROR(IF($O297=P$387,100,P296)*INDEX($B$2:$B$428,MATCH($O297,$A$2:$A$428,0))/INDEX($B$2:$B$428,MATCH($O297,$A$2:$A$428,0)-1),""))</f>
        <v/>
      </c>
      <c r="Q297" s="19" t="str" cm="1">
        <f t="array" ref="Q297">IF(OR($O297&lt;Q$387,$O297&gt;Q$388),"",IFERROR(IF($O297=Q$387,100,Q296)*INDEX($B$2:$B$428,MATCH($O297,$A$2:$A$428,0))/INDEX($B$2:$B$428,MATCH($O297,$A$2:$A$428,0)-1),""))</f>
        <v/>
      </c>
      <c r="R297" s="19" t="str" cm="1">
        <f t="array" ref="R297">IF(OR($O297&lt;R$387,$O297&gt;R$388),"",IFERROR(IF($O297=R$387,100,R296)*INDEX($B$2:$B$428,MATCH($O297,$A$2:$A$428,0))/INDEX($B$2:$B$428,MATCH($O297,$A$2:$A$428,0)-1),""))</f>
        <v/>
      </c>
      <c r="S297" s="19" t="str" cm="1">
        <f t="array" ref="S297">IF(OR($O297&lt;S$387,$O297&gt;S$388),"",IFERROR(IF($O297=S$387,100,S296)*INDEX($B$2:$B$428,MATCH($O297,$A$2:$A$428,0))/INDEX($B$2:$B$428,MATCH($O297,$A$2:$A$428,0)-1),""))</f>
        <v/>
      </c>
      <c r="T297" s="19" t="str" cm="1">
        <f t="array" ref="T297">IF(OR($O297&lt;T$387,$O297&gt;T$388),"",IFERROR(IF($O297=T$387,100,T296)*INDEX($B$2:$B$428,MATCH($O297,$A$2:$A$428,0))/INDEX($B$2:$B$428,MATCH($O297,$A$2:$A$428,0)-1),""))</f>
        <v/>
      </c>
      <c r="U297" s="19" t="str" cm="1">
        <f t="array" ref="U297">IF(OR($O297&lt;U$387,$O297&gt;U$388),"",IFERROR(IF($O297=U$387,100,U296)*INDEX($B$2:$B$428,MATCH($O297,$A$2:$A$428,0))/INDEX($B$2:$B$428,MATCH($O297,$A$2:$A$428,0)-1),""))</f>
        <v/>
      </c>
      <c r="V297" s="19" t="str" cm="1">
        <f t="array" ref="V297">IF(OR($O297&lt;V$387,$O297&gt;V$388),"",IFERROR(IF($O297=V$387,100,V296)*INDEX($B$2:$B$428,MATCH($O297,$A$2:$A$428,0))/INDEX($B$2:$B$428,MATCH($O297,$A$2:$A$428,0)-1),""))</f>
        <v/>
      </c>
      <c r="W297" s="19" cm="1">
        <f t="array" ref="W297">IF(OR($O297&lt;W$387,$O297&gt;W$388),"",IFERROR(IF($O297=W$387,100,W296)*INDEX($B$2:$B$428,MATCH($O297,$A$2:$A$428,0))/INDEX($B$2:$B$428,MATCH($O297,$A$2:$A$428,0)-1),""))</f>
        <v>105.06816517343125</v>
      </c>
      <c r="X297" s="19" t="str" cm="1">
        <f t="array" ref="X297">IF(OR($O297&lt;X$387,$O297&gt;X$388),"",IFERROR(IF($O297=X$387,100,X296)*INDEX($B$2:$B$428,MATCH($O297,$A$2:$A$428,0))/INDEX($B$2:$B$428,MATCH($O297,$A$2:$A$428,0)-1),""))</f>
        <v/>
      </c>
      <c r="AA297" s="19"/>
      <c r="AB297" s="19"/>
      <c r="AC297" s="19"/>
      <c r="AD297" s="19"/>
      <c r="AE297" s="19"/>
      <c r="AF297" s="19"/>
      <c r="AG297" s="19"/>
      <c r="AH297" s="19"/>
      <c r="AJ297" s="11">
        <v>41852</v>
      </c>
      <c r="AK297">
        <v>5640030.7000000002</v>
      </c>
      <c r="AL297" s="26">
        <f t="shared" si="36"/>
        <v>0.58062991572013956</v>
      </c>
    </row>
    <row r="298" spans="1:38" x14ac:dyDescent="0.3">
      <c r="A298" s="11">
        <v>42248</v>
      </c>
      <c r="B298" s="18">
        <v>1124054.7</v>
      </c>
      <c r="C298" s="18">
        <v>2029610.73</v>
      </c>
      <c r="D298" s="18">
        <v>4148653.19</v>
      </c>
      <c r="E298" s="11">
        <f t="shared" si="31"/>
        <v>42248</v>
      </c>
      <c r="F298" s="9">
        <f t="shared" si="33"/>
        <v>-4.9381966817907408E-2</v>
      </c>
      <c r="G298" s="9">
        <f t="shared" si="34"/>
        <v>9.6920825056072912E-2</v>
      </c>
      <c r="H298" s="9">
        <f t="shared" si="35"/>
        <v>0.25719394297384901</v>
      </c>
      <c r="I298" s="11">
        <f t="shared" si="32"/>
        <v>42248</v>
      </c>
      <c r="O298" s="11">
        <v>43709</v>
      </c>
      <c r="P298" s="19" t="str" cm="1">
        <f t="array" ref="P298">IF(OR($O298&lt;P$387,$O298&gt;P$388),"",IFERROR(IF($O298=P$387,100,P297)*INDEX($B$2:$B$428,MATCH($O298,$A$2:$A$428,0))/INDEX($B$2:$B$428,MATCH($O298,$A$2:$A$428,0)-1),""))</f>
        <v/>
      </c>
      <c r="Q298" s="19" t="str" cm="1">
        <f t="array" ref="Q298">IF(OR($O298&lt;Q$387,$O298&gt;Q$388),"",IFERROR(IF($O298=Q$387,100,Q297)*INDEX($B$2:$B$428,MATCH($O298,$A$2:$A$428,0))/INDEX($B$2:$B$428,MATCH($O298,$A$2:$A$428,0)-1),""))</f>
        <v/>
      </c>
      <c r="R298" s="19" t="str" cm="1">
        <f t="array" ref="R298">IF(OR($O298&lt;R$387,$O298&gt;R$388),"",IFERROR(IF($O298=R$387,100,R297)*INDEX($B$2:$B$428,MATCH($O298,$A$2:$A$428,0))/INDEX($B$2:$B$428,MATCH($O298,$A$2:$A$428,0)-1),""))</f>
        <v/>
      </c>
      <c r="S298" s="19" t="str" cm="1">
        <f t="array" ref="S298">IF(OR($O298&lt;S$387,$O298&gt;S$388),"",IFERROR(IF($O298=S$387,100,S297)*INDEX($B$2:$B$428,MATCH($O298,$A$2:$A$428,0))/INDEX($B$2:$B$428,MATCH($O298,$A$2:$A$428,0)-1),""))</f>
        <v/>
      </c>
      <c r="T298" s="19" t="str" cm="1">
        <f t="array" ref="T298">IF(OR($O298&lt;T$387,$O298&gt;T$388),"",IFERROR(IF($O298=T$387,100,T297)*INDEX($B$2:$B$428,MATCH($O298,$A$2:$A$428,0))/INDEX($B$2:$B$428,MATCH($O298,$A$2:$A$428,0)-1),""))</f>
        <v/>
      </c>
      <c r="U298" s="19" t="str" cm="1">
        <f t="array" ref="U298">IF(OR($O298&lt;U$387,$O298&gt;U$388),"",IFERROR(IF($O298=U$387,100,U297)*INDEX($B$2:$B$428,MATCH($O298,$A$2:$A$428,0))/INDEX($B$2:$B$428,MATCH($O298,$A$2:$A$428,0)-1),""))</f>
        <v/>
      </c>
      <c r="V298" s="19" t="str" cm="1">
        <f t="array" ref="V298">IF(OR($O298&lt;V$387,$O298&gt;V$388),"",IFERROR(IF($O298=V$387,100,V297)*INDEX($B$2:$B$428,MATCH($O298,$A$2:$A$428,0))/INDEX($B$2:$B$428,MATCH($O298,$A$2:$A$428,0)-1),""))</f>
        <v/>
      </c>
      <c r="W298" s="19" cm="1">
        <f t="array" ref="W298">IF(OR($O298&lt;W$387,$O298&gt;W$388),"",IFERROR(IF($O298=W$387,100,W297)*INDEX($B$2:$B$428,MATCH($O298,$A$2:$A$428,0))/INDEX($B$2:$B$428,MATCH($O298,$A$2:$A$428,0)-1),""))</f>
        <v>106.53566293056127</v>
      </c>
      <c r="X298" s="19" t="str" cm="1">
        <f t="array" ref="X298">IF(OR($O298&lt;X$387,$O298&gt;X$388),"",IFERROR(IF($O298=X$387,100,X297)*INDEX($B$2:$B$428,MATCH($O298,$A$2:$A$428,0))/INDEX($B$2:$B$428,MATCH($O298,$A$2:$A$428,0)-1),""))</f>
        <v/>
      </c>
      <c r="AA298" s="19"/>
      <c r="AB298" s="19"/>
      <c r="AC298" s="19"/>
      <c r="AD298" s="19"/>
      <c r="AE298" s="19"/>
      <c r="AF298" s="19"/>
      <c r="AG298" s="19"/>
      <c r="AH298" s="19"/>
      <c r="AJ298" s="11">
        <v>41883</v>
      </c>
      <c r="AK298">
        <v>5683719.5999999996</v>
      </c>
      <c r="AL298" s="26">
        <f t="shared" si="36"/>
        <v>0.58059355004071633</v>
      </c>
    </row>
    <row r="299" spans="1:38" x14ac:dyDescent="0.3">
      <c r="A299" s="11">
        <v>42278</v>
      </c>
      <c r="B299" s="18">
        <v>1183371.67</v>
      </c>
      <c r="C299" s="18">
        <v>2094869.64</v>
      </c>
      <c r="D299" s="18">
        <v>4055283.92</v>
      </c>
      <c r="E299" s="11">
        <f t="shared" si="31"/>
        <v>42278</v>
      </c>
      <c r="F299" s="9">
        <f t="shared" si="33"/>
        <v>-1.1724919363959252E-2</v>
      </c>
      <c r="G299" s="9">
        <f t="shared" si="34"/>
        <v>0.11511629622123287</v>
      </c>
      <c r="H299" s="9">
        <f t="shared" si="35"/>
        <v>0.23518596621907562</v>
      </c>
      <c r="I299" s="11">
        <f t="shared" si="32"/>
        <v>42278</v>
      </c>
      <c r="O299" s="11">
        <v>43739</v>
      </c>
      <c r="P299" s="19" t="str" cm="1">
        <f t="array" ref="P299">IF(OR($O299&lt;P$387,$O299&gt;P$388),"",IFERROR(IF($O299=P$387,100,P298)*INDEX($B$2:$B$428,MATCH($O299,$A$2:$A$428,0))/INDEX($B$2:$B$428,MATCH($O299,$A$2:$A$428,0)-1),""))</f>
        <v/>
      </c>
      <c r="Q299" s="19" t="str" cm="1">
        <f t="array" ref="Q299">IF(OR($O299&lt;Q$387,$O299&gt;Q$388),"",IFERROR(IF($O299=Q$387,100,Q298)*INDEX($B$2:$B$428,MATCH($O299,$A$2:$A$428,0))/INDEX($B$2:$B$428,MATCH($O299,$A$2:$A$428,0)-1),""))</f>
        <v/>
      </c>
      <c r="R299" s="19" t="str" cm="1">
        <f t="array" ref="R299">IF(OR($O299&lt;R$387,$O299&gt;R$388),"",IFERROR(IF($O299=R$387,100,R298)*INDEX($B$2:$B$428,MATCH($O299,$A$2:$A$428,0))/INDEX($B$2:$B$428,MATCH($O299,$A$2:$A$428,0)-1),""))</f>
        <v/>
      </c>
      <c r="S299" s="19" t="str" cm="1">
        <f t="array" ref="S299">IF(OR($O299&lt;S$387,$O299&gt;S$388),"",IFERROR(IF($O299=S$387,100,S298)*INDEX($B$2:$B$428,MATCH($O299,$A$2:$A$428,0))/INDEX($B$2:$B$428,MATCH($O299,$A$2:$A$428,0)-1),""))</f>
        <v/>
      </c>
      <c r="T299" s="19" t="str" cm="1">
        <f t="array" ref="T299">IF(OR($O299&lt;T$387,$O299&gt;T$388),"",IFERROR(IF($O299=T$387,100,T298)*INDEX($B$2:$B$428,MATCH($O299,$A$2:$A$428,0))/INDEX($B$2:$B$428,MATCH($O299,$A$2:$A$428,0)-1),""))</f>
        <v/>
      </c>
      <c r="U299" s="19" t="str" cm="1">
        <f t="array" ref="U299">IF(OR($O299&lt;U$387,$O299&gt;U$388),"",IFERROR(IF($O299=U$387,100,U298)*INDEX($B$2:$B$428,MATCH($O299,$A$2:$A$428,0))/INDEX($B$2:$B$428,MATCH($O299,$A$2:$A$428,0)-1),""))</f>
        <v/>
      </c>
      <c r="V299" s="19" t="str" cm="1">
        <f t="array" ref="V299">IF(OR($O299&lt;V$387,$O299&gt;V$388),"",IFERROR(IF($O299=V$387,100,V298)*INDEX($B$2:$B$428,MATCH($O299,$A$2:$A$428,0))/INDEX($B$2:$B$428,MATCH($O299,$A$2:$A$428,0)-1),""))</f>
        <v/>
      </c>
      <c r="W299" s="19" cm="1">
        <f t="array" ref="W299">IF(OR($O299&lt;W$387,$O299&gt;W$388),"",IFERROR(IF($O299=W$387,100,W298)*INDEX($B$2:$B$428,MATCH($O299,$A$2:$A$428,0))/INDEX($B$2:$B$428,MATCH($O299,$A$2:$A$428,0)-1),""))</f>
        <v>108.67005124484554</v>
      </c>
      <c r="X299" s="19" t="str" cm="1">
        <f t="array" ref="X299">IF(OR($O299&lt;X$387,$O299&gt;X$388),"",IFERROR(IF($O299=X$387,100,X298)*INDEX($B$2:$B$428,MATCH($O299,$A$2:$A$428,0))/INDEX($B$2:$B$428,MATCH($O299,$A$2:$A$428,0)-1),""))</f>
        <v/>
      </c>
      <c r="AA299" s="19"/>
      <c r="AB299" s="19"/>
      <c r="AC299" s="19"/>
      <c r="AD299" s="19"/>
      <c r="AE299" s="19"/>
      <c r="AF299" s="19"/>
      <c r="AG299" s="19"/>
      <c r="AH299" s="19"/>
      <c r="AJ299" s="11">
        <v>41913</v>
      </c>
      <c r="AK299">
        <v>5716977.9000000004</v>
      </c>
      <c r="AL299" s="26">
        <f t="shared" si="36"/>
        <v>0.57427829658043628</v>
      </c>
    </row>
    <row r="300" spans="1:38" x14ac:dyDescent="0.3">
      <c r="A300" s="11">
        <v>42309</v>
      </c>
      <c r="B300" s="18">
        <v>1227352.43</v>
      </c>
      <c r="C300" s="18">
        <v>2160879.33</v>
      </c>
      <c r="D300" s="18">
        <v>4138986.04</v>
      </c>
      <c r="E300" s="11">
        <f t="shared" si="31"/>
        <v>42309</v>
      </c>
      <c r="F300" s="9">
        <f t="shared" si="33"/>
        <v>2.9077383959083658E-2</v>
      </c>
      <c r="G300" s="9">
        <f t="shared" si="34"/>
        <v>0.14266506816470303</v>
      </c>
      <c r="H300" s="9">
        <f t="shared" si="35"/>
        <v>0.22451961495624473</v>
      </c>
      <c r="I300" s="11">
        <f t="shared" si="32"/>
        <v>42309</v>
      </c>
      <c r="O300" s="11">
        <v>43770</v>
      </c>
      <c r="P300" s="19" t="str" cm="1">
        <f t="array" ref="P300">IF(OR($O300&lt;P$387,$O300&gt;P$388),"",IFERROR(IF($O300=P$387,100,P299)*INDEX($B$2:$B$428,MATCH($O300,$A$2:$A$428,0))/INDEX($B$2:$B$428,MATCH($O300,$A$2:$A$428,0)-1),""))</f>
        <v/>
      </c>
      <c r="Q300" s="19" t="str" cm="1">
        <f t="array" ref="Q300">IF(OR($O300&lt;Q$387,$O300&gt;Q$388),"",IFERROR(IF($O300=Q$387,100,Q299)*INDEX($B$2:$B$428,MATCH($O300,$A$2:$A$428,0))/INDEX($B$2:$B$428,MATCH($O300,$A$2:$A$428,0)-1),""))</f>
        <v/>
      </c>
      <c r="R300" s="19" t="str" cm="1">
        <f t="array" ref="R300">IF(OR($O300&lt;R$387,$O300&gt;R$388),"",IFERROR(IF($O300=R$387,100,R299)*INDEX($B$2:$B$428,MATCH($O300,$A$2:$A$428,0))/INDEX($B$2:$B$428,MATCH($O300,$A$2:$A$428,0)-1),""))</f>
        <v/>
      </c>
      <c r="S300" s="19" t="str" cm="1">
        <f t="array" ref="S300">IF(OR($O300&lt;S$387,$O300&gt;S$388),"",IFERROR(IF($O300=S$387,100,S299)*INDEX($B$2:$B$428,MATCH($O300,$A$2:$A$428,0))/INDEX($B$2:$B$428,MATCH($O300,$A$2:$A$428,0)-1),""))</f>
        <v/>
      </c>
      <c r="T300" s="19" t="str" cm="1">
        <f t="array" ref="T300">IF(OR($O300&lt;T$387,$O300&gt;T$388),"",IFERROR(IF($O300=T$387,100,T299)*INDEX($B$2:$B$428,MATCH($O300,$A$2:$A$428,0))/INDEX($B$2:$B$428,MATCH($O300,$A$2:$A$428,0)-1),""))</f>
        <v/>
      </c>
      <c r="U300" s="19" t="str" cm="1">
        <f t="array" ref="U300">IF(OR($O300&lt;U$387,$O300&gt;U$388),"",IFERROR(IF($O300=U$387,100,U299)*INDEX($B$2:$B$428,MATCH($O300,$A$2:$A$428,0))/INDEX($B$2:$B$428,MATCH($O300,$A$2:$A$428,0)-1),""))</f>
        <v/>
      </c>
      <c r="V300" s="19" t="str" cm="1">
        <f t="array" ref="V300">IF(OR($O300&lt;V$387,$O300&gt;V$388),"",IFERROR(IF($O300=V$387,100,V299)*INDEX($B$2:$B$428,MATCH($O300,$A$2:$A$428,0))/INDEX($B$2:$B$428,MATCH($O300,$A$2:$A$428,0)-1),""))</f>
        <v/>
      </c>
      <c r="W300" s="19" cm="1">
        <f t="array" ref="W300">IF(OR($O300&lt;W$387,$O300&gt;W$388),"",IFERROR(IF($O300=W$387,100,W299)*INDEX($B$2:$B$428,MATCH($O300,$A$2:$A$428,0))/INDEX($B$2:$B$428,MATCH($O300,$A$2:$A$428,0)-1),""))</f>
        <v>107.98183784154617</v>
      </c>
      <c r="X300" s="19" t="str" cm="1">
        <f t="array" ref="X300">IF(OR($O300&lt;X$387,$O300&gt;X$388),"",IFERROR(IF($O300=X$387,100,X299)*INDEX($B$2:$B$428,MATCH($O300,$A$2:$A$428,0))/INDEX($B$2:$B$428,MATCH($O300,$A$2:$A$428,0)-1),""))</f>
        <v/>
      </c>
      <c r="AA300" s="19"/>
      <c r="AB300" s="19"/>
      <c r="AC300" s="19"/>
      <c r="AD300" s="19"/>
      <c r="AE300" s="19"/>
      <c r="AF300" s="19"/>
      <c r="AG300" s="19"/>
      <c r="AH300" s="19"/>
      <c r="AJ300" s="11">
        <v>41944</v>
      </c>
      <c r="AK300">
        <v>5745170.2999999998</v>
      </c>
      <c r="AL300" s="26">
        <f t="shared" si="36"/>
        <v>0.58833584445703901</v>
      </c>
    </row>
    <row r="301" spans="1:38" x14ac:dyDescent="0.3">
      <c r="A301" s="11">
        <v>42339</v>
      </c>
      <c r="B301" s="18">
        <v>1312961.73</v>
      </c>
      <c r="C301" s="18">
        <v>2272217.17</v>
      </c>
      <c r="D301" s="18">
        <v>4300758.62</v>
      </c>
      <c r="E301" s="11">
        <f t="shared" si="31"/>
        <v>42339</v>
      </c>
      <c r="F301" s="9">
        <f t="shared" si="33"/>
        <v>9.3515498947687625E-2</v>
      </c>
      <c r="G301" s="9">
        <f t="shared" si="34"/>
        <v>0.18605757935620204</v>
      </c>
      <c r="H301" s="9">
        <f t="shared" si="35"/>
        <v>0.20779799723383863</v>
      </c>
      <c r="I301" s="11">
        <f t="shared" si="32"/>
        <v>42339</v>
      </c>
      <c r="O301" s="11">
        <v>43800</v>
      </c>
      <c r="P301" s="19" t="str" cm="1">
        <f t="array" ref="P301">IF(OR($O301&lt;P$387,$O301&gt;P$388),"",IFERROR(IF($O301=P$387,100,P300)*INDEX($B$2:$B$428,MATCH($O301,$A$2:$A$428,0))/INDEX($B$2:$B$428,MATCH($O301,$A$2:$A$428,0)-1),""))</f>
        <v/>
      </c>
      <c r="Q301" s="19" t="str" cm="1">
        <f t="array" ref="Q301">IF(OR($O301&lt;Q$387,$O301&gt;Q$388),"",IFERROR(IF($O301=Q$387,100,Q300)*INDEX($B$2:$B$428,MATCH($O301,$A$2:$A$428,0))/INDEX($B$2:$B$428,MATCH($O301,$A$2:$A$428,0)-1),""))</f>
        <v/>
      </c>
      <c r="R301" s="19" t="str" cm="1">
        <f t="array" ref="R301">IF(OR($O301&lt;R$387,$O301&gt;R$388),"",IFERROR(IF($O301=R$387,100,R300)*INDEX($B$2:$B$428,MATCH($O301,$A$2:$A$428,0))/INDEX($B$2:$B$428,MATCH($O301,$A$2:$A$428,0)-1),""))</f>
        <v/>
      </c>
      <c r="S301" s="19" t="str" cm="1">
        <f t="array" ref="S301">IF(OR($O301&lt;S$387,$O301&gt;S$388),"",IFERROR(IF($O301=S$387,100,S300)*INDEX($B$2:$B$428,MATCH($O301,$A$2:$A$428,0))/INDEX($B$2:$B$428,MATCH($O301,$A$2:$A$428,0)-1),""))</f>
        <v/>
      </c>
      <c r="T301" s="19" t="str" cm="1">
        <f t="array" ref="T301">IF(OR($O301&lt;T$387,$O301&gt;T$388),"",IFERROR(IF($O301=T$387,100,T300)*INDEX($B$2:$B$428,MATCH($O301,$A$2:$A$428,0))/INDEX($B$2:$B$428,MATCH($O301,$A$2:$A$428,0)-1),""))</f>
        <v/>
      </c>
      <c r="U301" s="19" t="str" cm="1">
        <f t="array" ref="U301">IF(OR($O301&lt;U$387,$O301&gt;U$388),"",IFERROR(IF($O301=U$387,100,U300)*INDEX($B$2:$B$428,MATCH($O301,$A$2:$A$428,0))/INDEX($B$2:$B$428,MATCH($O301,$A$2:$A$428,0)-1),""))</f>
        <v/>
      </c>
      <c r="V301" s="19" t="str" cm="1">
        <f t="array" ref="V301">IF(OR($O301&lt;V$387,$O301&gt;V$388),"",IFERROR(IF($O301=V$387,100,V300)*INDEX($B$2:$B$428,MATCH($O301,$A$2:$A$428,0))/INDEX($B$2:$B$428,MATCH($O301,$A$2:$A$428,0)-1),""))</f>
        <v/>
      </c>
      <c r="W301" s="19" cm="1">
        <f t="array" ref="W301">IF(OR($O301&lt;W$387,$O301&gt;W$388),"",IFERROR(IF($O301=W$387,100,W300)*INDEX($B$2:$B$428,MATCH($O301,$A$2:$A$428,0))/INDEX($B$2:$B$428,MATCH($O301,$A$2:$A$428,0)-1),""))</f>
        <v>111.37303045677118</v>
      </c>
      <c r="X301" s="19" t="str" cm="1">
        <f t="array" ref="X301">IF(OR($O301&lt;X$387,$O301&gt;X$388),"",IFERROR(IF($O301=X$387,100,X300)*INDEX($B$2:$B$428,MATCH($O301,$A$2:$A$428,0))/INDEX($B$2:$B$428,MATCH($O301,$A$2:$A$428,0)-1),""))</f>
        <v/>
      </c>
      <c r="AA301" s="19"/>
      <c r="AB301" s="19"/>
      <c r="AC301" s="19"/>
      <c r="AD301" s="19"/>
      <c r="AE301" s="19"/>
      <c r="AF301" s="19"/>
      <c r="AG301" s="19"/>
      <c r="AH301" s="19"/>
      <c r="AJ301" s="11">
        <v>41974</v>
      </c>
      <c r="AK301">
        <v>5778953</v>
      </c>
      <c r="AL301" s="26">
        <f t="shared" si="36"/>
        <v>0.61617149161794527</v>
      </c>
    </row>
    <row r="302" spans="1:38" x14ac:dyDescent="0.3">
      <c r="A302" s="11">
        <v>42370</v>
      </c>
      <c r="B302" s="18">
        <v>1292031.1599999999</v>
      </c>
      <c r="C302" s="18">
        <v>2286788.39</v>
      </c>
      <c r="D302" s="18">
        <v>4231706.82</v>
      </c>
      <c r="E302" s="11">
        <f t="shared" si="31"/>
        <v>42370</v>
      </c>
      <c r="F302" s="9">
        <f t="shared" si="33"/>
        <v>7.0092020393673016E-2</v>
      </c>
      <c r="G302" s="9">
        <f t="shared" si="34"/>
        <v>0.18224946809489917</v>
      </c>
      <c r="H302" s="9">
        <f t="shared" si="35"/>
        <v>0.22202959483672213</v>
      </c>
      <c r="I302" s="11">
        <f t="shared" si="32"/>
        <v>42370</v>
      </c>
      <c r="O302" s="11">
        <v>43831</v>
      </c>
      <c r="P302" s="19" t="str" cm="1">
        <f t="array" ref="P302">IF(OR($O302&lt;P$387,$O302&gt;P$388),"",IFERROR(IF($O302=P$387,100,P301)*INDEX($B$2:$B$428,MATCH($O302,$A$2:$A$428,0))/INDEX($B$2:$B$428,MATCH($O302,$A$2:$A$428,0)-1),""))</f>
        <v/>
      </c>
      <c r="Q302" s="19" t="str" cm="1">
        <f t="array" ref="Q302">IF(OR($O302&lt;Q$387,$O302&gt;Q$388),"",IFERROR(IF($O302=Q$387,100,Q301)*INDEX($B$2:$B$428,MATCH($O302,$A$2:$A$428,0))/INDEX($B$2:$B$428,MATCH($O302,$A$2:$A$428,0)-1),""))</f>
        <v/>
      </c>
      <c r="R302" s="19" t="str" cm="1">
        <f t="array" ref="R302">IF(OR($O302&lt;R$387,$O302&gt;R$388),"",IFERROR(IF($O302=R$387,100,R301)*INDEX($B$2:$B$428,MATCH($O302,$A$2:$A$428,0))/INDEX($B$2:$B$428,MATCH($O302,$A$2:$A$428,0)-1),""))</f>
        <v/>
      </c>
      <c r="S302" s="19" t="str" cm="1">
        <f t="array" ref="S302">IF(OR($O302&lt;S$387,$O302&gt;S$388),"",IFERROR(IF($O302=S$387,100,S301)*INDEX($B$2:$B$428,MATCH($O302,$A$2:$A$428,0))/INDEX($B$2:$B$428,MATCH($O302,$A$2:$A$428,0)-1),""))</f>
        <v/>
      </c>
      <c r="T302" s="19" t="str" cm="1">
        <f t="array" ref="T302">IF(OR($O302&lt;T$387,$O302&gt;T$388),"",IFERROR(IF($O302=T$387,100,T301)*INDEX($B$2:$B$428,MATCH($O302,$A$2:$A$428,0))/INDEX($B$2:$B$428,MATCH($O302,$A$2:$A$428,0)-1),""))</f>
        <v/>
      </c>
      <c r="U302" s="19" t="str" cm="1">
        <f t="array" ref="U302">IF(OR($O302&lt;U$387,$O302&gt;U$388),"",IFERROR(IF($O302=U$387,100,U301)*INDEX($B$2:$B$428,MATCH($O302,$A$2:$A$428,0))/INDEX($B$2:$B$428,MATCH($O302,$A$2:$A$428,0)-1),""))</f>
        <v/>
      </c>
      <c r="V302" s="19" t="str" cm="1">
        <f t="array" ref="V302">IF(OR($O302&lt;V$387,$O302&gt;V$388),"",IFERROR(IF($O302=V$387,100,V301)*INDEX($B$2:$B$428,MATCH($O302,$A$2:$A$428,0))/INDEX($B$2:$B$428,MATCH($O302,$A$2:$A$428,0)-1),""))</f>
        <v/>
      </c>
      <c r="W302" s="19" cm="1">
        <f t="array" ref="W302">IF(OR($O302&lt;W$387,$O302&gt;W$388),"",IFERROR(IF($O302=W$387,100,W301)*INDEX($B$2:$B$428,MATCH($O302,$A$2:$A$428,0))/INDEX($B$2:$B$428,MATCH($O302,$A$2:$A$428,0)-1),""))</f>
        <v>107.83100683762129</v>
      </c>
      <c r="X302" s="19" t="str" cm="1">
        <f t="array" ref="X302">IF(OR($O302&lt;X$387,$O302&gt;X$388),"",IFERROR(IF($O302=X$387,100,X301)*INDEX($B$2:$B$428,MATCH($O302,$A$2:$A$428,0))/INDEX($B$2:$B$428,MATCH($O302,$A$2:$A$428,0)-1),""))</f>
        <v/>
      </c>
      <c r="AA302" s="19"/>
      <c r="AB302" s="19"/>
      <c r="AC302" s="19"/>
      <c r="AD302" s="19"/>
      <c r="AE302" s="19"/>
      <c r="AF302" s="19"/>
      <c r="AG302" s="19"/>
      <c r="AH302" s="19"/>
      <c r="AJ302" s="11">
        <v>42005</v>
      </c>
      <c r="AK302">
        <v>5799714.2000000002</v>
      </c>
      <c r="AL302" s="26">
        <f t="shared" si="36"/>
        <v>0.59707275575751639</v>
      </c>
    </row>
    <row r="303" spans="1:38" x14ac:dyDescent="0.3">
      <c r="A303" s="11">
        <v>42401</v>
      </c>
      <c r="B303" s="18">
        <v>1399516.92</v>
      </c>
      <c r="C303" s="18">
        <v>2360392.0299999998</v>
      </c>
      <c r="D303" s="18">
        <v>4312089.8099999996</v>
      </c>
      <c r="E303" s="11">
        <f t="shared" si="31"/>
        <v>42401</v>
      </c>
      <c r="F303" s="9">
        <f t="shared" si="33"/>
        <v>0.1769466662238699</v>
      </c>
      <c r="G303" s="9">
        <f t="shared" si="34"/>
        <v>0.22472224345672775</v>
      </c>
      <c r="H303" s="9">
        <f t="shared" si="35"/>
        <v>0.20690527836474937</v>
      </c>
      <c r="I303" s="11">
        <f t="shared" si="32"/>
        <v>42401</v>
      </c>
      <c r="O303" s="11">
        <v>43862</v>
      </c>
      <c r="P303" s="19" t="str" cm="1">
        <f t="array" ref="P303">IF(OR($O303&lt;P$387,$O303&gt;P$388),"",IFERROR(IF($O303=P$387,100,P302)*INDEX($B$2:$B$428,MATCH($O303,$A$2:$A$428,0))/INDEX($B$2:$B$428,MATCH($O303,$A$2:$A$428,0)-1),""))</f>
        <v/>
      </c>
      <c r="Q303" s="19" t="str" cm="1">
        <f t="array" ref="Q303">IF(OR($O303&lt;Q$387,$O303&gt;Q$388),"",IFERROR(IF($O303=Q$387,100,Q302)*INDEX($B$2:$B$428,MATCH($O303,$A$2:$A$428,0))/INDEX($B$2:$B$428,MATCH($O303,$A$2:$A$428,0)-1),""))</f>
        <v/>
      </c>
      <c r="R303" s="19" t="str" cm="1">
        <f t="array" ref="R303">IF(OR($O303&lt;R$387,$O303&gt;R$388),"",IFERROR(IF($O303=R$387,100,R302)*INDEX($B$2:$B$428,MATCH($O303,$A$2:$A$428,0))/INDEX($B$2:$B$428,MATCH($O303,$A$2:$A$428,0)-1),""))</f>
        <v/>
      </c>
      <c r="S303" s="19" t="str" cm="1">
        <f t="array" ref="S303">IF(OR($O303&lt;S$387,$O303&gt;S$388),"",IFERROR(IF($O303=S$387,100,S302)*INDEX($B$2:$B$428,MATCH($O303,$A$2:$A$428,0))/INDEX($B$2:$B$428,MATCH($O303,$A$2:$A$428,0)-1),""))</f>
        <v/>
      </c>
      <c r="T303" s="19" t="str" cm="1">
        <f t="array" ref="T303">IF(OR($O303&lt;T$387,$O303&gt;T$388),"",IFERROR(IF($O303=T$387,100,T302)*INDEX($B$2:$B$428,MATCH($O303,$A$2:$A$428,0))/INDEX($B$2:$B$428,MATCH($O303,$A$2:$A$428,0)-1),""))</f>
        <v/>
      </c>
      <c r="U303" s="19" t="str" cm="1">
        <f t="array" ref="U303">IF(OR($O303&lt;U$387,$O303&gt;U$388),"",IFERROR(IF($O303=U$387,100,U302)*INDEX($B$2:$B$428,MATCH($O303,$A$2:$A$428,0))/INDEX($B$2:$B$428,MATCH($O303,$A$2:$A$428,0)-1),""))</f>
        <v/>
      </c>
      <c r="V303" s="19" t="str" cm="1">
        <f t="array" ref="V303">IF(OR($O303&lt;V$387,$O303&gt;V$388),"",IFERROR(IF($O303=V$387,100,V302)*INDEX($B$2:$B$428,MATCH($O303,$A$2:$A$428,0))/INDEX($B$2:$B$428,MATCH($O303,$A$2:$A$428,0)-1),""))</f>
        <v/>
      </c>
      <c r="W303" s="19" cm="1">
        <f t="array" ref="W303">IF(OR($O303&lt;W$387,$O303&gt;W$388),"",IFERROR(IF($O303=W$387,100,W302)*INDEX($B$2:$B$428,MATCH($O303,$A$2:$A$428,0))/INDEX($B$2:$B$428,MATCH($O303,$A$2:$A$428,0)-1),""))</f>
        <v>106.62994189660114</v>
      </c>
      <c r="X303" s="19" t="str" cm="1">
        <f t="array" ref="X303">IF(OR($O303&lt;X$387,$O303&gt;X$388),"",IFERROR(IF($O303=X$387,100,X302)*INDEX($B$2:$B$428,MATCH($O303,$A$2:$A$428,0))/INDEX($B$2:$B$428,MATCH($O303,$A$2:$A$428,0)-1),""))</f>
        <v/>
      </c>
      <c r="AA303" s="19"/>
      <c r="AB303" s="19"/>
      <c r="AC303" s="19"/>
      <c r="AD303" s="19"/>
      <c r="AE303" s="19"/>
      <c r="AF303" s="19"/>
      <c r="AG303" s="19"/>
      <c r="AH303" s="19"/>
      <c r="AJ303" s="11">
        <v>42036</v>
      </c>
      <c r="AK303">
        <v>5811881.5</v>
      </c>
      <c r="AL303" s="26">
        <f t="shared" si="36"/>
        <v>0.61474904125281982</v>
      </c>
    </row>
    <row r="304" spans="1:38" x14ac:dyDescent="0.3">
      <c r="A304" s="11">
        <v>42430</v>
      </c>
      <c r="B304" s="18">
        <v>1533881.44</v>
      </c>
      <c r="C304" s="18">
        <v>2423128.13</v>
      </c>
      <c r="D304" s="18">
        <v>4383409.8899999997</v>
      </c>
      <c r="E304" s="11">
        <f t="shared" si="31"/>
        <v>42430</v>
      </c>
      <c r="F304" s="9">
        <f t="shared" si="33"/>
        <v>0.3451408529209985</v>
      </c>
      <c r="G304" s="9">
        <f t="shared" si="34"/>
        <v>0.26222191525812044</v>
      </c>
      <c r="H304" s="9">
        <f t="shared" si="35"/>
        <v>0.17243464615038495</v>
      </c>
      <c r="I304" s="11">
        <f t="shared" si="32"/>
        <v>42430</v>
      </c>
      <c r="O304" s="11">
        <v>43891</v>
      </c>
      <c r="P304" s="19" t="str" cm="1">
        <f t="array" ref="P304">IF(OR($O304&lt;P$387,$O304&gt;P$388),"",IFERROR(IF($O304=P$387,100,P303)*INDEX($B$2:$B$428,MATCH($O304,$A$2:$A$428,0))/INDEX($B$2:$B$428,MATCH($O304,$A$2:$A$428,0)-1),""))</f>
        <v/>
      </c>
      <c r="Q304" s="19" t="str" cm="1">
        <f t="array" ref="Q304">IF(OR($O304&lt;Q$387,$O304&gt;Q$388),"",IFERROR(IF($O304=Q$387,100,Q303)*INDEX($B$2:$B$428,MATCH($O304,$A$2:$A$428,0))/INDEX($B$2:$B$428,MATCH($O304,$A$2:$A$428,0)-1),""))</f>
        <v/>
      </c>
      <c r="R304" s="19" t="str" cm="1">
        <f t="array" ref="R304">IF(OR($O304&lt;R$387,$O304&gt;R$388),"",IFERROR(IF($O304=R$387,100,R303)*INDEX($B$2:$B$428,MATCH($O304,$A$2:$A$428,0))/INDEX($B$2:$B$428,MATCH($O304,$A$2:$A$428,0)-1),""))</f>
        <v/>
      </c>
      <c r="S304" s="19" t="str" cm="1">
        <f t="array" ref="S304">IF(OR($O304&lt;S$387,$O304&gt;S$388),"",IFERROR(IF($O304=S$387,100,S303)*INDEX($B$2:$B$428,MATCH($O304,$A$2:$A$428,0))/INDEX($B$2:$B$428,MATCH($O304,$A$2:$A$428,0)-1),""))</f>
        <v/>
      </c>
      <c r="T304" s="19" t="str" cm="1">
        <f t="array" ref="T304">IF(OR($O304&lt;T$387,$O304&gt;T$388),"",IFERROR(IF($O304=T$387,100,T303)*INDEX($B$2:$B$428,MATCH($O304,$A$2:$A$428,0))/INDEX($B$2:$B$428,MATCH($O304,$A$2:$A$428,0)-1),""))</f>
        <v/>
      </c>
      <c r="U304" s="19" t="str" cm="1">
        <f t="array" ref="U304">IF(OR($O304&lt;U$387,$O304&gt;U$388),"",IFERROR(IF($O304=U$387,100,U303)*INDEX($B$2:$B$428,MATCH($O304,$A$2:$A$428,0))/INDEX($B$2:$B$428,MATCH($O304,$A$2:$A$428,0)-1),""))</f>
        <v/>
      </c>
      <c r="V304" s="19" t="str" cm="1">
        <f t="array" ref="V304">IF(OR($O304&lt;V$387,$O304&gt;V$388),"",IFERROR(IF($O304=V$387,100,V303)*INDEX($B$2:$B$428,MATCH($O304,$A$2:$A$428,0))/INDEX($B$2:$B$428,MATCH($O304,$A$2:$A$428,0)-1),""))</f>
        <v/>
      </c>
      <c r="W304" s="19" cm="1">
        <f t="array" ref="W304">IF(OR($O304&lt;W$387,$O304&gt;W$388),"",IFERROR(IF($O304=W$387,100,W303)*INDEX($B$2:$B$428,MATCH($O304,$A$2:$A$428,0))/INDEX($B$2:$B$428,MATCH($O304,$A$2:$A$428,0)-1),""))</f>
        <v>100.70916681747585</v>
      </c>
      <c r="X304" s="19" t="str" cm="1">
        <f t="array" ref="X304">IF(OR($O304&lt;X$387,$O304&gt;X$388),"",IFERROR(IF($O304=X$387,100,X303)*INDEX($B$2:$B$428,MATCH($O304,$A$2:$A$428,0))/INDEX($B$2:$B$428,MATCH($O304,$A$2:$A$428,0)-1),""))</f>
        <v/>
      </c>
      <c r="AA304" s="19"/>
      <c r="AB304" s="19"/>
      <c r="AC304" s="19"/>
      <c r="AD304" s="19"/>
      <c r="AE304" s="19"/>
      <c r="AF304" s="19"/>
      <c r="AG304" s="19"/>
      <c r="AH304" s="19"/>
      <c r="AJ304" s="11">
        <v>42064</v>
      </c>
      <c r="AK304">
        <v>5849630.5999999996</v>
      </c>
      <c r="AL304" s="26">
        <f t="shared" si="36"/>
        <v>0.63913852782430403</v>
      </c>
    </row>
    <row r="305" spans="1:38" x14ac:dyDescent="0.3">
      <c r="A305" s="11">
        <v>42461</v>
      </c>
      <c r="B305" s="18">
        <v>1575573.76</v>
      </c>
      <c r="C305" s="18">
        <v>2458650.7200000002</v>
      </c>
      <c r="D305" s="18">
        <v>4303083.5199999996</v>
      </c>
      <c r="E305" s="11">
        <f t="shared" si="31"/>
        <v>42461</v>
      </c>
      <c r="F305" s="9">
        <f t="shared" si="33"/>
        <v>0.32355082274930758</v>
      </c>
      <c r="G305" s="9">
        <f t="shared" si="34"/>
        <v>0.24667343799302488</v>
      </c>
      <c r="H305" s="9">
        <f t="shared" si="35"/>
        <v>0.15170857776755997</v>
      </c>
      <c r="I305" s="11">
        <f t="shared" si="32"/>
        <v>42461</v>
      </c>
      <c r="O305" s="11">
        <v>43922</v>
      </c>
      <c r="P305" s="19" t="str" cm="1">
        <f t="array" ref="P305">IF(OR($O305&lt;P$387,$O305&gt;P$388),"",IFERROR(IF($O305=P$387,100,P304)*INDEX($B$2:$B$428,MATCH($O305,$A$2:$A$428,0))/INDEX($B$2:$B$428,MATCH($O305,$A$2:$A$428,0)-1),""))</f>
        <v/>
      </c>
      <c r="Q305" s="19" t="str" cm="1">
        <f t="array" ref="Q305">IF(OR($O305&lt;Q$387,$O305&gt;Q$388),"",IFERROR(IF($O305=Q$387,100,Q304)*INDEX($B$2:$B$428,MATCH($O305,$A$2:$A$428,0))/INDEX($B$2:$B$428,MATCH($O305,$A$2:$A$428,0)-1),""))</f>
        <v/>
      </c>
      <c r="R305" s="19" t="str" cm="1">
        <f t="array" ref="R305">IF(OR($O305&lt;R$387,$O305&gt;R$388),"",IFERROR(IF($O305=R$387,100,R304)*INDEX($B$2:$B$428,MATCH($O305,$A$2:$A$428,0))/INDEX($B$2:$B$428,MATCH($O305,$A$2:$A$428,0)-1),""))</f>
        <v/>
      </c>
      <c r="S305" s="19" t="str" cm="1">
        <f t="array" ref="S305">IF(OR($O305&lt;S$387,$O305&gt;S$388),"",IFERROR(IF($O305=S$387,100,S304)*INDEX($B$2:$B$428,MATCH($O305,$A$2:$A$428,0))/INDEX($B$2:$B$428,MATCH($O305,$A$2:$A$428,0)-1),""))</f>
        <v/>
      </c>
      <c r="T305" s="19" t="str" cm="1">
        <f t="array" ref="T305">IF(OR($O305&lt;T$387,$O305&gt;T$388),"",IFERROR(IF($O305=T$387,100,T304)*INDEX($B$2:$B$428,MATCH($O305,$A$2:$A$428,0))/INDEX($B$2:$B$428,MATCH($O305,$A$2:$A$428,0)-1),""))</f>
        <v/>
      </c>
      <c r="U305" s="19" t="str" cm="1">
        <f t="array" ref="U305">IF(OR($O305&lt;U$387,$O305&gt;U$388),"",IFERROR(IF($O305=U$387,100,U304)*INDEX($B$2:$B$428,MATCH($O305,$A$2:$A$428,0))/INDEX($B$2:$B$428,MATCH($O305,$A$2:$A$428,0)-1),""))</f>
        <v/>
      </c>
      <c r="V305" s="19" t="str" cm="1">
        <f t="array" ref="V305">IF(OR($O305&lt;V$387,$O305&gt;V$388),"",IFERROR(IF($O305=V$387,100,V304)*INDEX($B$2:$B$428,MATCH($O305,$A$2:$A$428,0))/INDEX($B$2:$B$428,MATCH($O305,$A$2:$A$428,0)-1),""))</f>
        <v/>
      </c>
      <c r="W305" s="19" cm="1">
        <f t="array" ref="W305">IF(OR($O305&lt;W$387,$O305&gt;W$388),"",IFERROR(IF($O305=W$387,100,W304)*INDEX($B$2:$B$428,MATCH($O305,$A$2:$A$428,0))/INDEX($B$2:$B$428,MATCH($O305,$A$2:$A$428,0)-1),""))</f>
        <v>101.86726258708723</v>
      </c>
      <c r="X305" s="19" t="str" cm="1">
        <f t="array" ref="X305">IF(OR($O305&lt;X$387,$O305&gt;X$388),"",IFERROR(IF($O305=X$387,100,X304)*INDEX($B$2:$B$428,MATCH($O305,$A$2:$A$428,0))/INDEX($B$2:$B$428,MATCH($O305,$A$2:$A$428,0)-1),""))</f>
        <v/>
      </c>
      <c r="AA305" s="19"/>
      <c r="AB305" s="19"/>
      <c r="AC305" s="19"/>
      <c r="AD305" s="19"/>
      <c r="AE305" s="19"/>
      <c r="AF305" s="19"/>
      <c r="AG305" s="19"/>
      <c r="AH305" s="19"/>
      <c r="AJ305" s="11">
        <v>42095</v>
      </c>
      <c r="AK305">
        <v>5866868.9000000004</v>
      </c>
      <c r="AL305" s="26">
        <f t="shared" si="36"/>
        <v>0.63684066981622856</v>
      </c>
    </row>
    <row r="306" spans="1:38" x14ac:dyDescent="0.3">
      <c r="A306" s="11">
        <v>42491</v>
      </c>
      <c r="B306" s="18">
        <v>1588570.55</v>
      </c>
      <c r="C306" s="18">
        <v>2493775.1800000002</v>
      </c>
      <c r="D306" s="18">
        <v>4398378.21</v>
      </c>
      <c r="E306" s="11">
        <f t="shared" si="31"/>
        <v>42491</v>
      </c>
      <c r="F306" s="9">
        <f t="shared" si="33"/>
        <v>0.34252717822819001</v>
      </c>
      <c r="G306" s="9">
        <f t="shared" si="34"/>
        <v>0.25686121104243353</v>
      </c>
      <c r="H306" s="9">
        <f t="shared" si="35"/>
        <v>0.1632496897282405</v>
      </c>
      <c r="I306" s="11">
        <f t="shared" si="32"/>
        <v>42491</v>
      </c>
      <c r="O306" s="11">
        <v>43952</v>
      </c>
      <c r="P306" s="19" t="str" cm="1">
        <f t="array" ref="P306">IF(OR($O306&lt;P$387,$O306&gt;P$388),"",IFERROR(IF($O306=P$387,100,P305)*INDEX($B$2:$B$428,MATCH($O306,$A$2:$A$428,0))/INDEX($B$2:$B$428,MATCH($O306,$A$2:$A$428,0)-1),""))</f>
        <v/>
      </c>
      <c r="Q306" s="19" t="str" cm="1">
        <f t="array" ref="Q306">IF(OR($O306&lt;Q$387,$O306&gt;Q$388),"",IFERROR(IF($O306=Q$387,100,Q305)*INDEX($B$2:$B$428,MATCH($O306,$A$2:$A$428,0))/INDEX($B$2:$B$428,MATCH($O306,$A$2:$A$428,0)-1),""))</f>
        <v/>
      </c>
      <c r="R306" s="19" t="str" cm="1">
        <f t="array" ref="R306">IF(OR($O306&lt;R$387,$O306&gt;R$388),"",IFERROR(IF($O306=R$387,100,R305)*INDEX($B$2:$B$428,MATCH($O306,$A$2:$A$428,0))/INDEX($B$2:$B$428,MATCH($O306,$A$2:$A$428,0)-1),""))</f>
        <v/>
      </c>
      <c r="S306" s="19" t="str" cm="1">
        <f t="array" ref="S306">IF(OR($O306&lt;S$387,$O306&gt;S$388),"",IFERROR(IF($O306=S$387,100,S305)*INDEX($B$2:$B$428,MATCH($O306,$A$2:$A$428,0))/INDEX($B$2:$B$428,MATCH($O306,$A$2:$A$428,0)-1),""))</f>
        <v/>
      </c>
      <c r="T306" s="19" t="str" cm="1">
        <f t="array" ref="T306">IF(OR($O306&lt;T$387,$O306&gt;T$388),"",IFERROR(IF($O306=T$387,100,T305)*INDEX($B$2:$B$428,MATCH($O306,$A$2:$A$428,0))/INDEX($B$2:$B$428,MATCH($O306,$A$2:$A$428,0)-1),""))</f>
        <v/>
      </c>
      <c r="U306" s="19" t="str" cm="1">
        <f t="array" ref="U306">IF(OR($O306&lt;U$387,$O306&gt;U$388),"",IFERROR(IF($O306=U$387,100,U305)*INDEX($B$2:$B$428,MATCH($O306,$A$2:$A$428,0))/INDEX($B$2:$B$428,MATCH($O306,$A$2:$A$428,0)-1),""))</f>
        <v/>
      </c>
      <c r="V306" s="19" t="str" cm="1">
        <f t="array" ref="V306">IF(OR($O306&lt;V$387,$O306&gt;V$388),"",IFERROR(IF($O306=V$387,100,V305)*INDEX($B$2:$B$428,MATCH($O306,$A$2:$A$428,0))/INDEX($B$2:$B$428,MATCH($O306,$A$2:$A$428,0)-1),""))</f>
        <v/>
      </c>
      <c r="W306" s="19" cm="1">
        <f t="array" ref="W306">IF(OR($O306&lt;W$387,$O306&gt;W$388),"",IFERROR(IF($O306=W$387,100,W305)*INDEX($B$2:$B$428,MATCH($O306,$A$2:$A$428,0))/INDEX($B$2:$B$428,MATCH($O306,$A$2:$A$428,0)-1),""))</f>
        <v>106.60290642369647</v>
      </c>
      <c r="X306" s="19" t="str" cm="1">
        <f t="array" ref="X306">IF(OR($O306&lt;X$387,$O306&gt;X$388),"",IFERROR(IF($O306=X$387,100,X305)*INDEX($B$2:$B$428,MATCH($O306,$A$2:$A$428,0))/INDEX($B$2:$B$428,MATCH($O306,$A$2:$A$428,0)-1),""))</f>
        <v/>
      </c>
      <c r="AA306" s="19"/>
      <c r="AB306" s="19"/>
      <c r="AC306" s="19"/>
      <c r="AD306" s="19"/>
      <c r="AE306" s="19"/>
      <c r="AF306" s="19"/>
      <c r="AG306" s="19"/>
      <c r="AH306" s="19"/>
      <c r="AJ306" s="11">
        <v>42125</v>
      </c>
      <c r="AK306">
        <v>5877358.0999999996</v>
      </c>
      <c r="AL306" s="26">
        <f t="shared" si="36"/>
        <v>0.6433354350145859</v>
      </c>
    </row>
    <row r="307" spans="1:38" x14ac:dyDescent="0.3">
      <c r="A307" s="11">
        <v>42522</v>
      </c>
      <c r="B307" s="18">
        <v>1746541.89</v>
      </c>
      <c r="C307" s="18">
        <v>2627112.1</v>
      </c>
      <c r="D307" s="18">
        <v>4483098.0599999996</v>
      </c>
      <c r="E307" s="11">
        <f t="shared" si="31"/>
        <v>42522</v>
      </c>
      <c r="F307" s="9">
        <f t="shared" si="33"/>
        <v>0.41036996867931297</v>
      </c>
      <c r="G307" s="9">
        <f t="shared" si="34"/>
        <v>0.29186845308009346</v>
      </c>
      <c r="H307" s="9">
        <f t="shared" si="35"/>
        <v>0.15597795080756405</v>
      </c>
      <c r="I307" s="11">
        <f t="shared" si="32"/>
        <v>42522</v>
      </c>
      <c r="O307" s="11">
        <v>43983</v>
      </c>
      <c r="P307" s="19" t="str" cm="1">
        <f t="array" ref="P307">IF(OR($O307&lt;P$387,$O307&gt;P$388),"",IFERROR(IF($O307=P$387,100,P306)*INDEX($B$2:$B$428,MATCH($O307,$A$2:$A$428,0))/INDEX($B$2:$B$428,MATCH($O307,$A$2:$A$428,0)-1),""))</f>
        <v/>
      </c>
      <c r="Q307" s="19" t="str" cm="1">
        <f t="array" ref="Q307">IF(OR($O307&lt;Q$387,$O307&gt;Q$388),"",IFERROR(IF($O307=Q$387,100,Q306)*INDEX($B$2:$B$428,MATCH($O307,$A$2:$A$428,0))/INDEX($B$2:$B$428,MATCH($O307,$A$2:$A$428,0)-1),""))</f>
        <v/>
      </c>
      <c r="R307" s="19" t="str" cm="1">
        <f t="array" ref="R307">IF(OR($O307&lt;R$387,$O307&gt;R$388),"",IFERROR(IF($O307=R$387,100,R306)*INDEX($B$2:$B$428,MATCH($O307,$A$2:$A$428,0))/INDEX($B$2:$B$428,MATCH($O307,$A$2:$A$428,0)-1),""))</f>
        <v/>
      </c>
      <c r="S307" s="19" t="str" cm="1">
        <f t="array" ref="S307">IF(OR($O307&lt;S$387,$O307&gt;S$388),"",IFERROR(IF($O307=S$387,100,S306)*INDEX($B$2:$B$428,MATCH($O307,$A$2:$A$428,0))/INDEX($B$2:$B$428,MATCH($O307,$A$2:$A$428,0)-1),""))</f>
        <v/>
      </c>
      <c r="T307" s="19" t="str" cm="1">
        <f t="array" ref="T307">IF(OR($O307&lt;T$387,$O307&gt;T$388),"",IFERROR(IF($O307=T$387,100,T306)*INDEX($B$2:$B$428,MATCH($O307,$A$2:$A$428,0))/INDEX($B$2:$B$428,MATCH($O307,$A$2:$A$428,0)-1),""))</f>
        <v/>
      </c>
      <c r="U307" s="19" t="str" cm="1">
        <f t="array" ref="U307">IF(OR($O307&lt;U$387,$O307&gt;U$388),"",IFERROR(IF($O307=U$387,100,U306)*INDEX($B$2:$B$428,MATCH($O307,$A$2:$A$428,0))/INDEX($B$2:$B$428,MATCH($O307,$A$2:$A$428,0)-1),""))</f>
        <v/>
      </c>
      <c r="V307" s="19" t="str" cm="1">
        <f t="array" ref="V307">IF(OR($O307&lt;V$387,$O307&gt;V$388),"",IFERROR(IF($O307=V$387,100,V306)*INDEX($B$2:$B$428,MATCH($O307,$A$2:$A$428,0))/INDEX($B$2:$B$428,MATCH($O307,$A$2:$A$428,0)-1),""))</f>
        <v/>
      </c>
      <c r="W307" s="19" cm="1">
        <f t="array" ref="W307">IF(OR($O307&lt;W$387,$O307&gt;W$388),"",IFERROR(IF($O307=W$387,100,W306)*INDEX($B$2:$B$428,MATCH($O307,$A$2:$A$428,0))/INDEX($B$2:$B$428,MATCH($O307,$A$2:$A$428,0)-1),""))</f>
        <v>113.59532982992906</v>
      </c>
      <c r="X307" s="19" t="str" cm="1">
        <f t="array" ref="X307">IF(OR($O307&lt;X$387,$O307&gt;X$388),"",IFERROR(IF($O307=X$387,100,X306)*INDEX($B$2:$B$428,MATCH($O307,$A$2:$A$428,0))/INDEX($B$2:$B$428,MATCH($O307,$A$2:$A$428,0)-1),""))</f>
        <v/>
      </c>
      <c r="AA307" s="19"/>
      <c r="AB307" s="19"/>
      <c r="AC307" s="19"/>
      <c r="AD307" s="19"/>
      <c r="AE307" s="19"/>
      <c r="AF307" s="19"/>
      <c r="AG307" s="19"/>
      <c r="AH307" s="19"/>
      <c r="AJ307" s="11">
        <v>42156</v>
      </c>
      <c r="AK307">
        <v>5907278.5999999996</v>
      </c>
      <c r="AL307" s="26">
        <f t="shared" si="36"/>
        <v>0.65650983178616296</v>
      </c>
    </row>
    <row r="308" spans="1:38" x14ac:dyDescent="0.3">
      <c r="A308" s="11">
        <v>42552</v>
      </c>
      <c r="B308" s="18">
        <v>1820041.3</v>
      </c>
      <c r="C308" s="18">
        <v>2672668.2999999998</v>
      </c>
      <c r="D308" s="18">
        <v>4471533.0199999996</v>
      </c>
      <c r="E308" s="11">
        <f t="shared" si="31"/>
        <v>42552</v>
      </c>
      <c r="F308" s="9">
        <f t="shared" si="33"/>
        <v>0.51149458907181655</v>
      </c>
      <c r="G308" s="9">
        <f t="shared" si="34"/>
        <v>0.30801654661780353</v>
      </c>
      <c r="H308" s="9">
        <f t="shared" si="35"/>
        <v>0.14827974416952761</v>
      </c>
      <c r="I308" s="11">
        <f t="shared" si="32"/>
        <v>42552</v>
      </c>
      <c r="O308" s="11">
        <v>44013</v>
      </c>
      <c r="P308" s="19" t="str" cm="1">
        <f t="array" ref="P308">IF(OR($O308&lt;P$387,$O308&gt;P$388),"",IFERROR(IF($O308=P$387,100,P307)*INDEX($B$2:$B$428,MATCH($O308,$A$2:$A$428,0))/INDEX($B$2:$B$428,MATCH($O308,$A$2:$A$428,0)-1),""))</f>
        <v/>
      </c>
      <c r="Q308" s="19" t="str" cm="1">
        <f t="array" ref="Q308">IF(OR($O308&lt;Q$387,$O308&gt;Q$388),"",IFERROR(IF($O308=Q$387,100,Q307)*INDEX($B$2:$B$428,MATCH($O308,$A$2:$A$428,0))/INDEX($B$2:$B$428,MATCH($O308,$A$2:$A$428,0)-1),""))</f>
        <v/>
      </c>
      <c r="R308" s="19" t="str" cm="1">
        <f t="array" ref="R308">IF(OR($O308&lt;R$387,$O308&gt;R$388),"",IFERROR(IF($O308=R$387,100,R307)*INDEX($B$2:$B$428,MATCH($O308,$A$2:$A$428,0))/INDEX($B$2:$B$428,MATCH($O308,$A$2:$A$428,0)-1),""))</f>
        <v/>
      </c>
      <c r="S308" s="19" t="str" cm="1">
        <f t="array" ref="S308">IF(OR($O308&lt;S$387,$O308&gt;S$388),"",IFERROR(IF($O308=S$387,100,S307)*INDEX($B$2:$B$428,MATCH($O308,$A$2:$A$428,0))/INDEX($B$2:$B$428,MATCH($O308,$A$2:$A$428,0)-1),""))</f>
        <v/>
      </c>
      <c r="T308" s="19" t="str" cm="1">
        <f t="array" ref="T308">IF(OR($O308&lt;T$387,$O308&gt;T$388),"",IFERROR(IF($O308=T$387,100,T307)*INDEX($B$2:$B$428,MATCH($O308,$A$2:$A$428,0))/INDEX($B$2:$B$428,MATCH($O308,$A$2:$A$428,0)-1),""))</f>
        <v/>
      </c>
      <c r="U308" s="19" t="str" cm="1">
        <f t="array" ref="U308">IF(OR($O308&lt;U$387,$O308&gt;U$388),"",IFERROR(IF($O308=U$387,100,U307)*INDEX($B$2:$B$428,MATCH($O308,$A$2:$A$428,0))/INDEX($B$2:$B$428,MATCH($O308,$A$2:$A$428,0)-1),""))</f>
        <v/>
      </c>
      <c r="V308" s="19" t="str" cm="1">
        <f t="array" ref="V308">IF(OR($O308&lt;V$387,$O308&gt;V$388),"",IFERROR(IF($O308=V$387,100,V307)*INDEX($B$2:$B$428,MATCH($O308,$A$2:$A$428,0))/INDEX($B$2:$B$428,MATCH($O308,$A$2:$A$428,0)-1),""))</f>
        <v/>
      </c>
      <c r="W308" s="19" cm="1">
        <f t="array" ref="W308">IF(OR($O308&lt;W$387,$O308&gt;W$388),"",IFERROR(IF($O308=W$387,100,W307)*INDEX($B$2:$B$428,MATCH($O308,$A$2:$A$428,0))/INDEX($B$2:$B$428,MATCH($O308,$A$2:$A$428,0)-1),""))</f>
        <v>119.48208568842446</v>
      </c>
      <c r="X308" s="19" t="str" cm="1">
        <f t="array" ref="X308">IF(OR($O308&lt;X$387,$O308&gt;X$388),"",IFERROR(IF($O308=X$387,100,X307)*INDEX($B$2:$B$428,MATCH($O308,$A$2:$A$428,0))/INDEX($B$2:$B$428,MATCH($O308,$A$2:$A$428,0)-1),""))</f>
        <v/>
      </c>
      <c r="AA308" s="19"/>
      <c r="AB308" s="19"/>
      <c r="AC308" s="19"/>
      <c r="AD308" s="19"/>
      <c r="AE308" s="19"/>
      <c r="AF308" s="19"/>
      <c r="AG308" s="19"/>
      <c r="AH308" s="19"/>
      <c r="AJ308" s="11">
        <v>42186</v>
      </c>
      <c r="AK308">
        <v>5927451.7000000002</v>
      </c>
      <c r="AL308" s="26">
        <f t="shared" si="36"/>
        <v>0.65696270287617864</v>
      </c>
    </row>
    <row r="309" spans="1:38" x14ac:dyDescent="0.3">
      <c r="A309" s="11">
        <v>42583</v>
      </c>
      <c r="B309" s="18">
        <v>1836057.82</v>
      </c>
      <c r="C309" s="18">
        <v>2742366.38</v>
      </c>
      <c r="D309" s="18">
        <v>4457816.09</v>
      </c>
      <c r="E309" s="11">
        <f t="shared" si="31"/>
        <v>42583</v>
      </c>
      <c r="F309" s="9">
        <f t="shared" si="33"/>
        <v>0.57391891719983068</v>
      </c>
      <c r="G309" s="9">
        <f t="shared" si="34"/>
        <v>0.34808103100597831</v>
      </c>
      <c r="H309" s="9">
        <f t="shared" si="35"/>
        <v>0.11058825912293835</v>
      </c>
      <c r="I309" s="11">
        <f t="shared" si="32"/>
        <v>42583</v>
      </c>
      <c r="O309" s="11">
        <v>44044</v>
      </c>
      <c r="P309" s="19" t="str" cm="1">
        <f t="array" ref="P309">IF(OR($O309&lt;P$387,$O309&gt;P$388),"",IFERROR(IF($O309=P$387,100,P308)*INDEX($B$2:$B$428,MATCH($O309,$A$2:$A$428,0))/INDEX($B$2:$B$428,MATCH($O309,$A$2:$A$428,0)-1),""))</f>
        <v/>
      </c>
      <c r="Q309" s="19" t="str" cm="1">
        <f t="array" ref="Q309">IF(OR($O309&lt;Q$387,$O309&gt;Q$388),"",IFERROR(IF($O309=Q$387,100,Q308)*INDEX($B$2:$B$428,MATCH($O309,$A$2:$A$428,0))/INDEX($B$2:$B$428,MATCH($O309,$A$2:$A$428,0)-1),""))</f>
        <v/>
      </c>
      <c r="R309" s="19" t="str" cm="1">
        <f t="array" ref="R309">IF(OR($O309&lt;R$387,$O309&gt;R$388),"",IFERROR(IF($O309=R$387,100,R308)*INDEX($B$2:$B$428,MATCH($O309,$A$2:$A$428,0))/INDEX($B$2:$B$428,MATCH($O309,$A$2:$A$428,0)-1),""))</f>
        <v/>
      </c>
      <c r="S309" s="19" t="str" cm="1">
        <f t="array" ref="S309">IF(OR($O309&lt;S$387,$O309&gt;S$388),"",IFERROR(IF($O309=S$387,100,S308)*INDEX($B$2:$B$428,MATCH($O309,$A$2:$A$428,0))/INDEX($B$2:$B$428,MATCH($O309,$A$2:$A$428,0)-1),""))</f>
        <v/>
      </c>
      <c r="T309" s="19" t="str" cm="1">
        <f t="array" ref="T309">IF(OR($O309&lt;T$387,$O309&gt;T$388),"",IFERROR(IF($O309=T$387,100,T308)*INDEX($B$2:$B$428,MATCH($O309,$A$2:$A$428,0))/INDEX($B$2:$B$428,MATCH($O309,$A$2:$A$428,0)-1),""))</f>
        <v/>
      </c>
      <c r="U309" s="19" t="str" cm="1">
        <f t="array" ref="U309">IF(OR($O309&lt;U$387,$O309&gt;U$388),"",IFERROR(IF($O309=U$387,100,U308)*INDEX($B$2:$B$428,MATCH($O309,$A$2:$A$428,0))/INDEX($B$2:$B$428,MATCH($O309,$A$2:$A$428,0)-1),""))</f>
        <v/>
      </c>
      <c r="V309" s="19" t="str" cm="1">
        <f t="array" ref="V309">IF(OR($O309&lt;V$387,$O309&gt;V$388),"",IFERROR(IF($O309=V$387,100,V308)*INDEX($B$2:$B$428,MATCH($O309,$A$2:$A$428,0))/INDEX($B$2:$B$428,MATCH($O309,$A$2:$A$428,0)-1),""))</f>
        <v/>
      </c>
      <c r="W309" s="19" cm="1">
        <f t="array" ref="W309">IF(OR($O309&lt;W$387,$O309&gt;W$388),"",IFERROR(IF($O309=W$387,100,W308)*INDEX($B$2:$B$428,MATCH($O309,$A$2:$A$428,0))/INDEX($B$2:$B$428,MATCH($O309,$A$2:$A$428,0)-1),""))</f>
        <v>120.87057710827652</v>
      </c>
      <c r="X309" s="19" t="str" cm="1">
        <f t="array" ref="X309">IF(OR($O309&lt;X$387,$O309&gt;X$388),"",IFERROR(IF($O309=X$387,100,X308)*INDEX($B$2:$B$428,MATCH($O309,$A$2:$A$428,0))/INDEX($B$2:$B$428,MATCH($O309,$A$2:$A$428,0)-1),""))</f>
        <v/>
      </c>
      <c r="AA309" s="19"/>
      <c r="AB309" s="19"/>
      <c r="AC309" s="19"/>
      <c r="AD309" s="19"/>
      <c r="AE309" s="19"/>
      <c r="AF309" s="19"/>
      <c r="AG309" s="19"/>
      <c r="AH309" s="19"/>
      <c r="AJ309" s="11">
        <v>42217</v>
      </c>
      <c r="AK309">
        <v>5944775.2000000002</v>
      </c>
      <c r="AL309" s="26">
        <f t="shared" si="36"/>
        <v>0.67520186465587462</v>
      </c>
    </row>
    <row r="310" spans="1:38" x14ac:dyDescent="0.3">
      <c r="A310" s="11">
        <v>42614</v>
      </c>
      <c r="B310" s="18">
        <v>1897749.65</v>
      </c>
      <c r="C310" s="18">
        <v>2805851.53</v>
      </c>
      <c r="D310" s="18">
        <v>4591607.96</v>
      </c>
      <c r="E310" s="11">
        <f t="shared" si="31"/>
        <v>42614</v>
      </c>
      <c r="F310" s="9">
        <f t="shared" si="33"/>
        <v>0.68830720604611151</v>
      </c>
      <c r="G310" s="9">
        <f t="shared" si="34"/>
        <v>0.3824579701547004</v>
      </c>
      <c r="H310" s="9">
        <f t="shared" si="35"/>
        <v>0.10677073973493556</v>
      </c>
      <c r="I310" s="11">
        <f t="shared" si="32"/>
        <v>42614</v>
      </c>
      <c r="O310" s="11">
        <v>44075</v>
      </c>
      <c r="P310" s="19" t="str" cm="1">
        <f t="array" ref="P310">IF(OR($O310&lt;P$387,$O310&gt;P$388),"",IFERROR(IF($O310=P$387,100,P309)*INDEX($B$2:$B$428,MATCH($O310,$A$2:$A$428,0))/INDEX($B$2:$B$428,MATCH($O310,$A$2:$A$428,0)-1),""))</f>
        <v/>
      </c>
      <c r="Q310" s="19" t="str" cm="1">
        <f t="array" ref="Q310">IF(OR($O310&lt;Q$387,$O310&gt;Q$388),"",IFERROR(IF($O310=Q$387,100,Q309)*INDEX($B$2:$B$428,MATCH($O310,$A$2:$A$428,0))/INDEX($B$2:$B$428,MATCH($O310,$A$2:$A$428,0)-1),""))</f>
        <v/>
      </c>
      <c r="R310" s="19" t="str" cm="1">
        <f t="array" ref="R310">IF(OR($O310&lt;R$387,$O310&gt;R$388),"",IFERROR(IF($O310=R$387,100,R309)*INDEX($B$2:$B$428,MATCH($O310,$A$2:$A$428,0))/INDEX($B$2:$B$428,MATCH($O310,$A$2:$A$428,0)-1),""))</f>
        <v/>
      </c>
      <c r="S310" s="19" t="str" cm="1">
        <f t="array" ref="S310">IF(OR($O310&lt;S$387,$O310&gt;S$388),"",IFERROR(IF($O310=S$387,100,S309)*INDEX($B$2:$B$428,MATCH($O310,$A$2:$A$428,0))/INDEX($B$2:$B$428,MATCH($O310,$A$2:$A$428,0)-1),""))</f>
        <v/>
      </c>
      <c r="T310" s="19" t="str" cm="1">
        <f t="array" ref="T310">IF(OR($O310&lt;T$387,$O310&gt;T$388),"",IFERROR(IF($O310=T$387,100,T309)*INDEX($B$2:$B$428,MATCH($O310,$A$2:$A$428,0))/INDEX($B$2:$B$428,MATCH($O310,$A$2:$A$428,0)-1),""))</f>
        <v/>
      </c>
      <c r="U310" s="19" t="str" cm="1">
        <f t="array" ref="U310">IF(OR($O310&lt;U$387,$O310&gt;U$388),"",IFERROR(IF($O310=U$387,100,U309)*INDEX($B$2:$B$428,MATCH($O310,$A$2:$A$428,0))/INDEX($B$2:$B$428,MATCH($O310,$A$2:$A$428,0)-1),""))</f>
        <v/>
      </c>
      <c r="V310" s="19" t="str" cm="1">
        <f t="array" ref="V310">IF(OR($O310&lt;V$387,$O310&gt;V$388),"",IFERROR(IF($O310=V$387,100,V309)*INDEX($B$2:$B$428,MATCH($O310,$A$2:$A$428,0))/INDEX($B$2:$B$428,MATCH($O310,$A$2:$A$428,0)-1),""))</f>
        <v/>
      </c>
      <c r="W310" s="19" cm="1">
        <f t="array" ref="W310">IF(OR($O310&lt;W$387,$O310&gt;W$388),"",IFERROR(IF($O310=W$387,100,W309)*INDEX($B$2:$B$428,MATCH($O310,$A$2:$A$428,0))/INDEX($B$2:$B$428,MATCH($O310,$A$2:$A$428,0)-1),""))</f>
        <v>123.14225299985725</v>
      </c>
      <c r="X310" s="19" t="str" cm="1">
        <f t="array" ref="X310">IF(OR($O310&lt;X$387,$O310&gt;X$388),"",IFERROR(IF($O310=X$387,100,X309)*INDEX($B$2:$B$428,MATCH($O310,$A$2:$A$428,0))/INDEX($B$2:$B$428,MATCH($O310,$A$2:$A$428,0)-1),""))</f>
        <v/>
      </c>
      <c r="AA310" s="19"/>
      <c r="AB310" s="19"/>
      <c r="AC310" s="19"/>
      <c r="AD310" s="19"/>
      <c r="AE310" s="19"/>
      <c r="AF310" s="19"/>
      <c r="AG310" s="19"/>
      <c r="AH310" s="19"/>
      <c r="AJ310" s="11">
        <v>42248</v>
      </c>
      <c r="AK310">
        <v>5953381.4000000004</v>
      </c>
      <c r="AL310" s="26">
        <f t="shared" si="36"/>
        <v>0.69685661160563306</v>
      </c>
    </row>
    <row r="311" spans="1:38" x14ac:dyDescent="0.3">
      <c r="A311" s="11">
        <v>42644</v>
      </c>
      <c r="B311" s="18">
        <v>1918936.31</v>
      </c>
      <c r="C311" s="18">
        <v>2824324.97</v>
      </c>
      <c r="D311" s="18">
        <v>4586504.42</v>
      </c>
      <c r="E311" s="11">
        <f t="shared" si="31"/>
        <v>42644</v>
      </c>
      <c r="F311" s="9">
        <f t="shared" si="33"/>
        <v>0.6215837835631135</v>
      </c>
      <c r="G311" s="9">
        <f t="shared" si="34"/>
        <v>0.34821036883230616</v>
      </c>
      <c r="H311" s="9">
        <f t="shared" si="35"/>
        <v>0.13099465055457826</v>
      </c>
      <c r="I311" s="11">
        <f t="shared" si="32"/>
        <v>42644</v>
      </c>
      <c r="O311" s="11">
        <v>44105</v>
      </c>
      <c r="P311" s="19" t="str" cm="1">
        <f t="array" ref="P311">IF(OR($O311&lt;P$387,$O311&gt;P$388),"",IFERROR(IF($O311=P$387,100,P310)*INDEX($B$2:$B$428,MATCH($O311,$A$2:$A$428,0))/INDEX($B$2:$B$428,MATCH($O311,$A$2:$A$428,0)-1),""))</f>
        <v/>
      </c>
      <c r="Q311" s="19" t="str" cm="1">
        <f t="array" ref="Q311">IF(OR($O311&lt;Q$387,$O311&gt;Q$388),"",IFERROR(IF($O311=Q$387,100,Q310)*INDEX($B$2:$B$428,MATCH($O311,$A$2:$A$428,0))/INDEX($B$2:$B$428,MATCH($O311,$A$2:$A$428,0)-1),""))</f>
        <v/>
      </c>
      <c r="R311" s="19" t="str" cm="1">
        <f t="array" ref="R311">IF(OR($O311&lt;R$387,$O311&gt;R$388),"",IFERROR(IF($O311=R$387,100,R310)*INDEX($B$2:$B$428,MATCH($O311,$A$2:$A$428,0))/INDEX($B$2:$B$428,MATCH($O311,$A$2:$A$428,0)-1),""))</f>
        <v/>
      </c>
      <c r="S311" s="19" t="str" cm="1">
        <f t="array" ref="S311">IF(OR($O311&lt;S$387,$O311&gt;S$388),"",IFERROR(IF($O311=S$387,100,S310)*INDEX($B$2:$B$428,MATCH($O311,$A$2:$A$428,0))/INDEX($B$2:$B$428,MATCH($O311,$A$2:$A$428,0)-1),""))</f>
        <v/>
      </c>
      <c r="T311" s="19" t="str" cm="1">
        <f t="array" ref="T311">IF(OR($O311&lt;T$387,$O311&gt;T$388),"",IFERROR(IF($O311=T$387,100,T310)*INDEX($B$2:$B$428,MATCH($O311,$A$2:$A$428,0))/INDEX($B$2:$B$428,MATCH($O311,$A$2:$A$428,0)-1),""))</f>
        <v/>
      </c>
      <c r="U311" s="19" t="str" cm="1">
        <f t="array" ref="U311">IF(OR($O311&lt;U$387,$O311&gt;U$388),"",IFERROR(IF($O311=U$387,100,U310)*INDEX($B$2:$B$428,MATCH($O311,$A$2:$A$428,0))/INDEX($B$2:$B$428,MATCH($O311,$A$2:$A$428,0)-1),""))</f>
        <v/>
      </c>
      <c r="V311" s="19" t="str" cm="1">
        <f t="array" ref="V311">IF(OR($O311&lt;V$387,$O311&gt;V$388),"",IFERROR(IF($O311=V$387,100,V310)*INDEX($B$2:$B$428,MATCH($O311,$A$2:$A$428,0))/INDEX($B$2:$B$428,MATCH($O311,$A$2:$A$428,0)-1),""))</f>
        <v/>
      </c>
      <c r="W311" s="19" cm="1">
        <f t="array" ref="W311">IF(OR($O311&lt;W$387,$O311&gt;W$388),"",IFERROR(IF($O311=W$387,100,W310)*INDEX($B$2:$B$428,MATCH($O311,$A$2:$A$428,0))/INDEX($B$2:$B$428,MATCH($O311,$A$2:$A$428,0)-1),""))</f>
        <v>123.15271650002398</v>
      </c>
      <c r="X311" s="19" t="str" cm="1">
        <f t="array" ref="X311">IF(OR($O311&lt;X$387,$O311&gt;X$388),"",IFERROR(IF($O311=X$387,100,X310)*INDEX($B$2:$B$428,MATCH($O311,$A$2:$A$428,0))/INDEX($B$2:$B$428,MATCH($O311,$A$2:$A$428,0)-1),""))</f>
        <v/>
      </c>
      <c r="AA311" s="19"/>
      <c r="AB311" s="19"/>
      <c r="AC311" s="19"/>
      <c r="AD311" s="19"/>
      <c r="AE311" s="19"/>
      <c r="AF311" s="19"/>
      <c r="AG311" s="19"/>
      <c r="AH311" s="19"/>
      <c r="AJ311" s="11">
        <v>42278</v>
      </c>
      <c r="AK311">
        <v>5964828.4000000004</v>
      </c>
      <c r="AL311" s="26">
        <f t="shared" si="36"/>
        <v>0.67986598239775009</v>
      </c>
    </row>
    <row r="312" spans="1:38" x14ac:dyDescent="0.3">
      <c r="A312" s="11">
        <v>42675</v>
      </c>
      <c r="B312" s="18">
        <v>1928827.75</v>
      </c>
      <c r="C312" s="18">
        <v>2831739.36</v>
      </c>
      <c r="D312" s="18">
        <v>4662195.71</v>
      </c>
      <c r="E312" s="11">
        <f t="shared" si="31"/>
        <v>42675</v>
      </c>
      <c r="F312" s="9">
        <f t="shared" si="33"/>
        <v>0.57153536576287234</v>
      </c>
      <c r="G312" s="9">
        <f t="shared" si="34"/>
        <v>0.31045696105575682</v>
      </c>
      <c r="H312" s="9">
        <f t="shared" si="35"/>
        <v>0.126410107437811</v>
      </c>
      <c r="I312" s="11">
        <f t="shared" si="32"/>
        <v>42675</v>
      </c>
      <c r="O312" s="11">
        <v>44136</v>
      </c>
      <c r="P312" s="19" t="str" cm="1">
        <f t="array" ref="P312">IF(OR($O312&lt;P$387,$O312&gt;P$388),"",IFERROR(IF($O312=P$387,100,P311)*INDEX($B$2:$B$428,MATCH($O312,$A$2:$A$428,0))/INDEX($B$2:$B$428,MATCH($O312,$A$2:$A$428,0)-1),""))</f>
        <v/>
      </c>
      <c r="Q312" s="19" t="str" cm="1">
        <f t="array" ref="Q312">IF(OR($O312&lt;Q$387,$O312&gt;Q$388),"",IFERROR(IF($O312=Q$387,100,Q311)*INDEX($B$2:$B$428,MATCH($O312,$A$2:$A$428,0))/INDEX($B$2:$B$428,MATCH($O312,$A$2:$A$428,0)-1),""))</f>
        <v/>
      </c>
      <c r="R312" s="19" t="str" cm="1">
        <f t="array" ref="R312">IF(OR($O312&lt;R$387,$O312&gt;R$388),"",IFERROR(IF($O312=R$387,100,R311)*INDEX($B$2:$B$428,MATCH($O312,$A$2:$A$428,0))/INDEX($B$2:$B$428,MATCH($O312,$A$2:$A$428,0)-1),""))</f>
        <v/>
      </c>
      <c r="S312" s="19" t="str" cm="1">
        <f t="array" ref="S312">IF(OR($O312&lt;S$387,$O312&gt;S$388),"",IFERROR(IF($O312=S$387,100,S311)*INDEX($B$2:$B$428,MATCH($O312,$A$2:$A$428,0))/INDEX($B$2:$B$428,MATCH($O312,$A$2:$A$428,0)-1),""))</f>
        <v/>
      </c>
      <c r="T312" s="19" t="str" cm="1">
        <f t="array" ref="T312">IF(OR($O312&lt;T$387,$O312&gt;T$388),"",IFERROR(IF($O312=T$387,100,T311)*INDEX($B$2:$B$428,MATCH($O312,$A$2:$A$428,0))/INDEX($B$2:$B$428,MATCH($O312,$A$2:$A$428,0)-1),""))</f>
        <v/>
      </c>
      <c r="U312" s="19" t="str" cm="1">
        <f t="array" ref="U312">IF(OR($O312&lt;U$387,$O312&gt;U$388),"",IFERROR(IF($O312=U$387,100,U311)*INDEX($B$2:$B$428,MATCH($O312,$A$2:$A$428,0))/INDEX($B$2:$B$428,MATCH($O312,$A$2:$A$428,0)-1),""))</f>
        <v/>
      </c>
      <c r="V312" s="19" t="str" cm="1">
        <f t="array" ref="V312">IF(OR($O312&lt;V$387,$O312&gt;V$388),"",IFERROR(IF($O312=V$387,100,V311)*INDEX($B$2:$B$428,MATCH($O312,$A$2:$A$428,0))/INDEX($B$2:$B$428,MATCH($O312,$A$2:$A$428,0)-1),""))</f>
        <v/>
      </c>
      <c r="W312" s="19" cm="1">
        <f t="array" ref="W312">IF(OR($O312&lt;W$387,$O312&gt;W$388),"",IFERROR(IF($O312=W$387,100,W311)*INDEX($B$2:$B$428,MATCH($O312,$A$2:$A$428,0))/INDEX($B$2:$B$428,MATCH($O312,$A$2:$A$428,0)-1),""))</f>
        <v>128.61979366193324</v>
      </c>
      <c r="X312" s="19" t="str" cm="1">
        <f t="array" ref="X312">IF(OR($O312&lt;X$387,$O312&gt;X$388),"",IFERROR(IF($O312=X$387,100,X311)*INDEX($B$2:$B$428,MATCH($O312,$A$2:$A$428,0))/INDEX($B$2:$B$428,MATCH($O312,$A$2:$A$428,0)-1),""))</f>
        <v/>
      </c>
      <c r="AA312" s="19"/>
      <c r="AB312" s="19"/>
      <c r="AC312" s="19"/>
      <c r="AD312" s="19"/>
      <c r="AE312" s="19"/>
      <c r="AF312" s="19"/>
      <c r="AG312" s="19"/>
      <c r="AH312" s="19"/>
      <c r="AJ312" s="11">
        <v>42309</v>
      </c>
      <c r="AK312">
        <v>5980197.7000000002</v>
      </c>
      <c r="AL312" s="26">
        <f t="shared" si="36"/>
        <v>0.69211525231013682</v>
      </c>
    </row>
    <row r="313" spans="1:38" x14ac:dyDescent="0.3">
      <c r="A313" s="11">
        <v>42705</v>
      </c>
      <c r="B313" s="18">
        <v>2090132.66</v>
      </c>
      <c r="C313" s="18">
        <v>2994966.58</v>
      </c>
      <c r="D313" s="18">
        <v>4853850.3099999996</v>
      </c>
      <c r="E313" s="11">
        <f t="shared" si="31"/>
        <v>42705</v>
      </c>
      <c r="F313" s="9">
        <f t="shared" si="33"/>
        <v>0.5919219976046064</v>
      </c>
      <c r="G313" s="9">
        <f t="shared" si="34"/>
        <v>0.31808113218332923</v>
      </c>
      <c r="H313" s="9">
        <f t="shared" si="35"/>
        <v>0.12860328580821379</v>
      </c>
      <c r="I313" s="11">
        <f t="shared" si="32"/>
        <v>42705</v>
      </c>
      <c r="O313" s="11">
        <v>44166</v>
      </c>
      <c r="P313" s="19" t="str" cm="1">
        <f t="array" ref="P313">IF(OR($O313&lt;P$387,$O313&gt;P$388),"",IFERROR(IF($O313=P$387,100,P312)*INDEX($B$2:$B$428,MATCH($O313,$A$2:$A$428,0))/INDEX($B$2:$B$428,MATCH($O313,$A$2:$A$428,0)-1),""))</f>
        <v/>
      </c>
      <c r="Q313" s="19" t="str" cm="1">
        <f t="array" ref="Q313">IF(OR($O313&lt;Q$387,$O313&gt;Q$388),"",IFERROR(IF($O313=Q$387,100,Q312)*INDEX($B$2:$B$428,MATCH($O313,$A$2:$A$428,0))/INDEX($B$2:$B$428,MATCH($O313,$A$2:$A$428,0)-1),""))</f>
        <v/>
      </c>
      <c r="R313" s="19" t="str" cm="1">
        <f t="array" ref="R313">IF(OR($O313&lt;R$387,$O313&gt;R$388),"",IFERROR(IF($O313=R$387,100,R312)*INDEX($B$2:$B$428,MATCH($O313,$A$2:$A$428,0))/INDEX($B$2:$B$428,MATCH($O313,$A$2:$A$428,0)-1),""))</f>
        <v/>
      </c>
      <c r="S313" s="19" t="str" cm="1">
        <f t="array" ref="S313">IF(OR($O313&lt;S$387,$O313&gt;S$388),"",IFERROR(IF($O313=S$387,100,S312)*INDEX($B$2:$B$428,MATCH($O313,$A$2:$A$428,0))/INDEX($B$2:$B$428,MATCH($O313,$A$2:$A$428,0)-1),""))</f>
        <v/>
      </c>
      <c r="T313" s="19" t="str" cm="1">
        <f t="array" ref="T313">IF(OR($O313&lt;T$387,$O313&gt;T$388),"",IFERROR(IF($O313=T$387,100,T312)*INDEX($B$2:$B$428,MATCH($O313,$A$2:$A$428,0))/INDEX($B$2:$B$428,MATCH($O313,$A$2:$A$428,0)-1),""))</f>
        <v/>
      </c>
      <c r="U313" s="19" t="str" cm="1">
        <f t="array" ref="U313">IF(OR($O313&lt;U$387,$O313&gt;U$388),"",IFERROR(IF($O313=U$387,100,U312)*INDEX($B$2:$B$428,MATCH($O313,$A$2:$A$428,0))/INDEX($B$2:$B$428,MATCH($O313,$A$2:$A$428,0)-1),""))</f>
        <v/>
      </c>
      <c r="V313" s="19" t="str" cm="1">
        <f t="array" ref="V313">IF(OR($O313&lt;V$387,$O313&gt;V$388),"",IFERROR(IF($O313=V$387,100,V312)*INDEX($B$2:$B$428,MATCH($O313,$A$2:$A$428,0))/INDEX($B$2:$B$428,MATCH($O313,$A$2:$A$428,0)-1),""))</f>
        <v/>
      </c>
      <c r="W313" s="19" cm="1">
        <f t="array" ref="W313">IF(OR($O313&lt;W$387,$O313&gt;W$388),"",IFERROR(IF($O313=W$387,100,W312)*INDEX($B$2:$B$428,MATCH($O313,$A$2:$A$428,0))/INDEX($B$2:$B$428,MATCH($O313,$A$2:$A$428,0)-1),""))</f>
        <v>132.1220260930053</v>
      </c>
      <c r="X313" s="19" t="str" cm="1">
        <f t="array" ref="X313">IF(OR($O313&lt;X$387,$O313&gt;X$388),"",IFERROR(IF($O313=X$387,100,X312)*INDEX($B$2:$B$428,MATCH($O313,$A$2:$A$428,0))/INDEX($B$2:$B$428,MATCH($O313,$A$2:$A$428,0)-1),""))</f>
        <v/>
      </c>
      <c r="AA313" s="19"/>
      <c r="AB313" s="19"/>
      <c r="AC313" s="19"/>
      <c r="AD313" s="19"/>
      <c r="AE313" s="19"/>
      <c r="AF313" s="19"/>
      <c r="AG313" s="19"/>
      <c r="AH313" s="19"/>
      <c r="AJ313" s="11">
        <v>42339</v>
      </c>
      <c r="AK313">
        <v>5995787</v>
      </c>
      <c r="AL313" s="26">
        <f t="shared" si="36"/>
        <v>0.71729676521197305</v>
      </c>
    </row>
    <row r="314" spans="1:38" x14ac:dyDescent="0.3">
      <c r="A314" s="11">
        <v>42736</v>
      </c>
      <c r="B314" s="18">
        <v>2132968.21</v>
      </c>
      <c r="C314" s="18">
        <v>3047147.56</v>
      </c>
      <c r="D314" s="18">
        <v>4827797.9000000004</v>
      </c>
      <c r="E314" s="11">
        <f t="shared" si="31"/>
        <v>42736</v>
      </c>
      <c r="F314" s="9">
        <f t="shared" si="33"/>
        <v>0.65086437234222738</v>
      </c>
      <c r="G314" s="9">
        <f t="shared" si="34"/>
        <v>0.33250088784996845</v>
      </c>
      <c r="H314" s="9">
        <f t="shared" si="35"/>
        <v>0.14086303833307623</v>
      </c>
      <c r="I314" s="11">
        <f t="shared" si="32"/>
        <v>42736</v>
      </c>
      <c r="O314" s="11">
        <v>44197</v>
      </c>
      <c r="P314" s="19" t="str" cm="1">
        <f t="array" ref="P314">IF(OR($O314&lt;P$387,$O314&gt;P$388),"",IFERROR(IF($O314=P$387,100,P313)*INDEX($B$2:$B$428,MATCH($O314,$A$2:$A$428,0))/INDEX($B$2:$B$428,MATCH($O314,$A$2:$A$428,0)-1),""))</f>
        <v/>
      </c>
      <c r="Q314" s="19" t="str" cm="1">
        <f t="array" ref="Q314">IF(OR($O314&lt;Q$387,$O314&gt;Q$388),"",IFERROR(IF($O314=Q$387,100,Q313)*INDEX($B$2:$B$428,MATCH($O314,$A$2:$A$428,0))/INDEX($B$2:$B$428,MATCH($O314,$A$2:$A$428,0)-1),""))</f>
        <v/>
      </c>
      <c r="R314" s="19" t="str" cm="1">
        <f t="array" ref="R314">IF(OR($O314&lt;R$387,$O314&gt;R$388),"",IFERROR(IF($O314=R$387,100,R313)*INDEX($B$2:$B$428,MATCH($O314,$A$2:$A$428,0))/INDEX($B$2:$B$428,MATCH($O314,$A$2:$A$428,0)-1),""))</f>
        <v/>
      </c>
      <c r="S314" s="19" t="str" cm="1">
        <f t="array" ref="S314">IF(OR($O314&lt;S$387,$O314&gt;S$388),"",IFERROR(IF($O314=S$387,100,S313)*INDEX($B$2:$B$428,MATCH($O314,$A$2:$A$428,0))/INDEX($B$2:$B$428,MATCH($O314,$A$2:$A$428,0)-1),""))</f>
        <v/>
      </c>
      <c r="T314" s="19" t="str" cm="1">
        <f t="array" ref="T314">IF(OR($O314&lt;T$387,$O314&gt;T$388),"",IFERROR(IF($O314=T$387,100,T313)*INDEX($B$2:$B$428,MATCH($O314,$A$2:$A$428,0))/INDEX($B$2:$B$428,MATCH($O314,$A$2:$A$428,0)-1),""))</f>
        <v/>
      </c>
      <c r="U314" s="19" t="str" cm="1">
        <f t="array" ref="U314">IF(OR($O314&lt;U$387,$O314&gt;U$388),"",IFERROR(IF($O314=U$387,100,U313)*INDEX($B$2:$B$428,MATCH($O314,$A$2:$A$428,0))/INDEX($B$2:$B$428,MATCH($O314,$A$2:$A$428,0)-1),""))</f>
        <v/>
      </c>
      <c r="V314" s="19" t="str" cm="1">
        <f t="array" ref="V314">IF(OR($O314&lt;V$387,$O314&gt;V$388),"",IFERROR(IF($O314=V$387,100,V313)*INDEX($B$2:$B$428,MATCH($O314,$A$2:$A$428,0))/INDEX($B$2:$B$428,MATCH($O314,$A$2:$A$428,0)-1),""))</f>
        <v/>
      </c>
      <c r="W314" s="19" cm="1">
        <f t="array" ref="W314">IF(OR($O314&lt;W$387,$O314&gt;W$388),"",IFERROR(IF($O314=W$387,100,W313)*INDEX($B$2:$B$428,MATCH($O314,$A$2:$A$428,0))/INDEX($B$2:$B$428,MATCH($O314,$A$2:$A$428,0)-1),""))</f>
        <v>129.73994504147672</v>
      </c>
      <c r="X314" s="19" t="str" cm="1">
        <f t="array" ref="X314">IF(OR($O314&lt;X$387,$O314&gt;X$388),"",IFERROR(IF($O314=X$387,100,X313)*INDEX($B$2:$B$428,MATCH($O314,$A$2:$A$428,0))/INDEX($B$2:$B$428,MATCH($O314,$A$2:$A$428,0)-1),""))</f>
        <v/>
      </c>
      <c r="AA314" s="19"/>
      <c r="AB314" s="19"/>
      <c r="AC314" s="19"/>
      <c r="AD314" s="19"/>
      <c r="AE314" s="19"/>
      <c r="AF314" s="19"/>
      <c r="AG314" s="19"/>
      <c r="AH314" s="19"/>
      <c r="AJ314" s="11">
        <v>42370</v>
      </c>
      <c r="AK314">
        <v>6004302.5999999996</v>
      </c>
      <c r="AL314" s="26">
        <f t="shared" si="36"/>
        <v>0.70477907292680431</v>
      </c>
    </row>
    <row r="315" spans="1:38" x14ac:dyDescent="0.3">
      <c r="A315" s="11">
        <v>42767</v>
      </c>
      <c r="B315" s="18">
        <v>2193846.89</v>
      </c>
      <c r="C315" s="18">
        <v>3109156.92</v>
      </c>
      <c r="D315" s="18">
        <v>4932743.38</v>
      </c>
      <c r="E315" s="11">
        <f t="shared" si="31"/>
        <v>42767</v>
      </c>
      <c r="F315" s="9">
        <f t="shared" si="33"/>
        <v>0.56757439559930445</v>
      </c>
      <c r="G315" s="9">
        <f t="shared" si="34"/>
        <v>0.31722056356884076</v>
      </c>
      <c r="H315" s="9">
        <f t="shared" si="35"/>
        <v>0.1439333588462528</v>
      </c>
      <c r="I315" s="11">
        <f t="shared" si="32"/>
        <v>42767</v>
      </c>
      <c r="O315" s="11">
        <v>44228</v>
      </c>
      <c r="P315" s="19" t="str" cm="1">
        <f t="array" ref="P315">IF(OR($O315&lt;P$387,$O315&gt;P$388),"",IFERROR(IF($O315=P$387,100,P314)*INDEX($B$2:$B$428,MATCH($O315,$A$2:$A$428,0))/INDEX($B$2:$B$428,MATCH($O315,$A$2:$A$428,0)-1),""))</f>
        <v/>
      </c>
      <c r="Q315" s="19" t="str" cm="1">
        <f t="array" ref="Q315">IF(OR($O315&lt;Q$387,$O315&gt;Q$388),"",IFERROR(IF($O315=Q$387,100,Q314)*INDEX($B$2:$B$428,MATCH($O315,$A$2:$A$428,0))/INDEX($B$2:$B$428,MATCH($O315,$A$2:$A$428,0)-1),""))</f>
        <v/>
      </c>
      <c r="R315" s="19" t="str" cm="1">
        <f t="array" ref="R315">IF(OR($O315&lt;R$387,$O315&gt;R$388),"",IFERROR(IF($O315=R$387,100,R314)*INDEX($B$2:$B$428,MATCH($O315,$A$2:$A$428,0))/INDEX($B$2:$B$428,MATCH($O315,$A$2:$A$428,0)-1),""))</f>
        <v/>
      </c>
      <c r="S315" s="19" t="str" cm="1">
        <f t="array" ref="S315">IF(OR($O315&lt;S$387,$O315&gt;S$388),"",IFERROR(IF($O315=S$387,100,S314)*INDEX($B$2:$B$428,MATCH($O315,$A$2:$A$428,0))/INDEX($B$2:$B$428,MATCH($O315,$A$2:$A$428,0)-1),""))</f>
        <v/>
      </c>
      <c r="T315" s="19" t="str" cm="1">
        <f t="array" ref="T315">IF(OR($O315&lt;T$387,$O315&gt;T$388),"",IFERROR(IF($O315=T$387,100,T314)*INDEX($B$2:$B$428,MATCH($O315,$A$2:$A$428,0))/INDEX($B$2:$B$428,MATCH($O315,$A$2:$A$428,0)-1),""))</f>
        <v/>
      </c>
      <c r="U315" s="19" t="str" cm="1">
        <f t="array" ref="U315">IF(OR($O315&lt;U$387,$O315&gt;U$388),"",IFERROR(IF($O315=U$387,100,U314)*INDEX($B$2:$B$428,MATCH($O315,$A$2:$A$428,0))/INDEX($B$2:$B$428,MATCH($O315,$A$2:$A$428,0)-1),""))</f>
        <v/>
      </c>
      <c r="V315" s="19" t="str" cm="1">
        <f t="array" ref="V315">IF(OR($O315&lt;V$387,$O315&gt;V$388),"",IFERROR(IF($O315=V$387,100,V314)*INDEX($B$2:$B$428,MATCH($O315,$A$2:$A$428,0))/INDEX($B$2:$B$428,MATCH($O315,$A$2:$A$428,0)-1),""))</f>
        <v/>
      </c>
      <c r="W315" s="19" cm="1">
        <f t="array" ref="W315">IF(OR($O315&lt;W$387,$O315&gt;W$388),"",IFERROR(IF($O315=W$387,100,W314)*INDEX($B$2:$B$428,MATCH($O315,$A$2:$A$428,0))/INDEX($B$2:$B$428,MATCH($O315,$A$2:$A$428,0)-1),""))</f>
        <v>131.29911620185871</v>
      </c>
      <c r="X315" s="19" t="str" cm="1">
        <f t="array" ref="X315">IF(OR($O315&lt;X$387,$O315&gt;X$388),"",IFERROR(IF($O315=X$387,100,X314)*INDEX($B$2:$B$428,MATCH($O315,$A$2:$A$428,0))/INDEX($B$2:$B$428,MATCH($O315,$A$2:$A$428,0)-1),""))</f>
        <v/>
      </c>
      <c r="AA315" s="19"/>
      <c r="AB315" s="19"/>
      <c r="AC315" s="19"/>
      <c r="AD315" s="19"/>
      <c r="AE315" s="19"/>
      <c r="AF315" s="19"/>
      <c r="AG315" s="19"/>
      <c r="AH315" s="19"/>
      <c r="AJ315" s="11">
        <v>42401</v>
      </c>
      <c r="AK315">
        <v>6026854.0999999996</v>
      </c>
      <c r="AL315" s="26">
        <f t="shared" si="36"/>
        <v>0.71547937588202104</v>
      </c>
    </row>
    <row r="316" spans="1:38" x14ac:dyDescent="0.3">
      <c r="A316" s="11">
        <v>42795</v>
      </c>
      <c r="B316" s="18">
        <v>2228561.77</v>
      </c>
      <c r="C316" s="18">
        <v>3138396.32</v>
      </c>
      <c r="D316" s="18">
        <v>5052375.3499999996</v>
      </c>
      <c r="E316" s="11">
        <f t="shared" si="31"/>
        <v>42795</v>
      </c>
      <c r="F316" s="9">
        <f t="shared" si="33"/>
        <v>0.45289049849902363</v>
      </c>
      <c r="G316" s="9">
        <f t="shared" si="34"/>
        <v>0.29518380854255533</v>
      </c>
      <c r="H316" s="9">
        <f t="shared" si="35"/>
        <v>0.15261302884909989</v>
      </c>
      <c r="I316" s="11">
        <f t="shared" si="32"/>
        <v>42795</v>
      </c>
      <c r="O316" s="11">
        <v>44256</v>
      </c>
      <c r="P316" s="19" t="str" cm="1">
        <f t="array" ref="P316">IF(OR($O316&lt;P$387,$O316&gt;P$388),"",IFERROR(IF($O316=P$387,100,P315)*INDEX($B$2:$B$428,MATCH($O316,$A$2:$A$428,0))/INDEX($B$2:$B$428,MATCH($O316,$A$2:$A$428,0)-1),""))</f>
        <v/>
      </c>
      <c r="Q316" s="19" t="str" cm="1">
        <f t="array" ref="Q316">IF(OR($O316&lt;Q$387,$O316&gt;Q$388),"",IFERROR(IF($O316=Q$387,100,Q315)*INDEX($B$2:$B$428,MATCH($O316,$A$2:$A$428,0))/INDEX($B$2:$B$428,MATCH($O316,$A$2:$A$428,0)-1),""))</f>
        <v/>
      </c>
      <c r="R316" s="19" t="str" cm="1">
        <f t="array" ref="R316">IF(OR($O316&lt;R$387,$O316&gt;R$388),"",IFERROR(IF($O316=R$387,100,R315)*INDEX($B$2:$B$428,MATCH($O316,$A$2:$A$428,0))/INDEX($B$2:$B$428,MATCH($O316,$A$2:$A$428,0)-1),""))</f>
        <v/>
      </c>
      <c r="S316" s="19" t="str" cm="1">
        <f t="array" ref="S316">IF(OR($O316&lt;S$387,$O316&gt;S$388),"",IFERROR(IF($O316=S$387,100,S315)*INDEX($B$2:$B$428,MATCH($O316,$A$2:$A$428,0))/INDEX($B$2:$B$428,MATCH($O316,$A$2:$A$428,0)-1),""))</f>
        <v/>
      </c>
      <c r="T316" s="19" t="str" cm="1">
        <f t="array" ref="T316">IF(OR($O316&lt;T$387,$O316&gt;T$388),"",IFERROR(IF($O316=T$387,100,T315)*INDEX($B$2:$B$428,MATCH($O316,$A$2:$A$428,0))/INDEX($B$2:$B$428,MATCH($O316,$A$2:$A$428,0)-1),""))</f>
        <v/>
      </c>
      <c r="U316" s="19" t="str" cm="1">
        <f t="array" ref="U316">IF(OR($O316&lt;U$387,$O316&gt;U$388),"",IFERROR(IF($O316=U$387,100,U315)*INDEX($B$2:$B$428,MATCH($O316,$A$2:$A$428,0))/INDEX($B$2:$B$428,MATCH($O316,$A$2:$A$428,0)-1),""))</f>
        <v/>
      </c>
      <c r="V316" s="19" t="str" cm="1">
        <f t="array" ref="V316">IF(OR($O316&lt;V$387,$O316&gt;V$388),"",IFERROR(IF($O316=V$387,100,V315)*INDEX($B$2:$B$428,MATCH($O316,$A$2:$A$428,0))/INDEX($B$2:$B$428,MATCH($O316,$A$2:$A$428,0)-1),""))</f>
        <v/>
      </c>
      <c r="W316" s="19" cm="1">
        <f t="array" ref="W316">IF(OR($O316&lt;W$387,$O316&gt;W$388),"",IFERROR(IF($O316=W$387,100,W315)*INDEX($B$2:$B$428,MATCH($O316,$A$2:$A$428,0))/INDEX($B$2:$B$428,MATCH($O316,$A$2:$A$428,0)-1),""))</f>
        <v>131.16951324371092</v>
      </c>
      <c r="X316" s="19" t="str" cm="1">
        <f t="array" ref="X316">IF(OR($O316&lt;X$387,$O316&gt;X$388),"",IFERROR(IF($O316=X$387,100,X315)*INDEX($B$2:$B$428,MATCH($O316,$A$2:$A$428,0))/INDEX($B$2:$B$428,MATCH($O316,$A$2:$A$428,0)-1),""))</f>
        <v/>
      </c>
      <c r="AA316" s="19"/>
      <c r="AB316" s="19"/>
      <c r="AC316" s="19"/>
      <c r="AD316" s="19"/>
      <c r="AE316" s="19"/>
      <c r="AF316" s="19"/>
      <c r="AG316" s="19"/>
      <c r="AH316" s="19"/>
      <c r="AJ316" s="11">
        <v>42430</v>
      </c>
      <c r="AK316">
        <v>6039427.2000000002</v>
      </c>
      <c r="AL316" s="26">
        <f t="shared" si="36"/>
        <v>0.72579894497279474</v>
      </c>
    </row>
    <row r="317" spans="1:38" x14ac:dyDescent="0.3">
      <c r="A317" s="11">
        <v>42826</v>
      </c>
      <c r="B317" s="18">
        <v>2229953.9700000002</v>
      </c>
      <c r="C317" s="18">
        <v>3146590</v>
      </c>
      <c r="D317" s="18">
        <v>5077501.3899999997</v>
      </c>
      <c r="E317" s="11">
        <f t="shared" si="31"/>
        <v>42826</v>
      </c>
      <c r="F317" s="9">
        <f t="shared" si="33"/>
        <v>0.41532819764655149</v>
      </c>
      <c r="G317" s="9">
        <f t="shared" si="34"/>
        <v>0.27980358267399597</v>
      </c>
      <c r="H317" s="9">
        <f t="shared" si="35"/>
        <v>0.17996812434632936</v>
      </c>
      <c r="I317" s="11">
        <f t="shared" si="32"/>
        <v>42826</v>
      </c>
      <c r="O317" s="11">
        <v>44287</v>
      </c>
      <c r="P317" s="19" t="str" cm="1">
        <f t="array" ref="P317">IF(OR($O317&lt;P$387,$O317&gt;P$388),"",IFERROR(IF($O317=P$387,100,P316)*INDEX($B$2:$B$428,MATCH($O317,$A$2:$A$428,0))/INDEX($B$2:$B$428,MATCH($O317,$A$2:$A$428,0)-1),""))</f>
        <v/>
      </c>
      <c r="Q317" s="19" t="str" cm="1">
        <f t="array" ref="Q317">IF(OR($O317&lt;Q$387,$O317&gt;Q$388),"",IFERROR(IF($O317=Q$387,100,Q316)*INDEX($B$2:$B$428,MATCH($O317,$A$2:$A$428,0))/INDEX($B$2:$B$428,MATCH($O317,$A$2:$A$428,0)-1),""))</f>
        <v/>
      </c>
      <c r="R317" s="19" t="str" cm="1">
        <f t="array" ref="R317">IF(OR($O317&lt;R$387,$O317&gt;R$388),"",IFERROR(IF($O317=R$387,100,R316)*INDEX($B$2:$B$428,MATCH($O317,$A$2:$A$428,0))/INDEX($B$2:$B$428,MATCH($O317,$A$2:$A$428,0)-1),""))</f>
        <v/>
      </c>
      <c r="S317" s="19" t="str" cm="1">
        <f t="array" ref="S317">IF(OR($O317&lt;S$387,$O317&gt;S$388),"",IFERROR(IF($O317=S$387,100,S316)*INDEX($B$2:$B$428,MATCH($O317,$A$2:$A$428,0))/INDEX($B$2:$B$428,MATCH($O317,$A$2:$A$428,0)-1),""))</f>
        <v/>
      </c>
      <c r="T317" s="19" t="str" cm="1">
        <f t="array" ref="T317">IF(OR($O317&lt;T$387,$O317&gt;T$388),"",IFERROR(IF($O317=T$387,100,T316)*INDEX($B$2:$B$428,MATCH($O317,$A$2:$A$428,0))/INDEX($B$2:$B$428,MATCH($O317,$A$2:$A$428,0)-1),""))</f>
        <v/>
      </c>
      <c r="U317" s="19" t="str" cm="1">
        <f t="array" ref="U317">IF(OR($O317&lt;U$387,$O317&gt;U$388),"",IFERROR(IF($O317=U$387,100,U316)*INDEX($B$2:$B$428,MATCH($O317,$A$2:$A$428,0))/INDEX($B$2:$B$428,MATCH($O317,$A$2:$A$428,0)-1),""))</f>
        <v/>
      </c>
      <c r="V317" s="19" t="str" cm="1">
        <f t="array" ref="V317">IF(OR($O317&lt;V$387,$O317&gt;V$388),"",IFERROR(IF($O317=V$387,100,V316)*INDEX($B$2:$B$428,MATCH($O317,$A$2:$A$428,0))/INDEX($B$2:$B$428,MATCH($O317,$A$2:$A$428,0)-1),""))</f>
        <v/>
      </c>
      <c r="W317" s="19" cm="1">
        <f t="array" ref="W317">IF(OR($O317&lt;W$387,$O317&gt;W$388),"",IFERROR(IF($O317=W$387,100,W316)*INDEX($B$2:$B$428,MATCH($O317,$A$2:$A$428,0))/INDEX($B$2:$B$428,MATCH($O317,$A$2:$A$428,0)-1),""))</f>
        <v>133.02970596670804</v>
      </c>
      <c r="X317" s="19" t="str" cm="1">
        <f t="array" ref="X317">IF(OR($O317&lt;X$387,$O317&gt;X$388),"",IFERROR(IF($O317=X$387,100,X316)*INDEX($B$2:$B$428,MATCH($O317,$A$2:$A$428,0))/INDEX($B$2:$B$428,MATCH($O317,$A$2:$A$428,0)-1),""))</f>
        <v/>
      </c>
      <c r="AA317" s="19"/>
      <c r="AB317" s="19"/>
      <c r="AC317" s="19"/>
      <c r="AD317" s="19"/>
      <c r="AE317" s="19"/>
      <c r="AF317" s="19"/>
      <c r="AG317" s="19"/>
      <c r="AH317" s="19"/>
      <c r="AJ317" s="11">
        <v>42461</v>
      </c>
      <c r="AK317">
        <v>6062902.2000000002</v>
      </c>
      <c r="AL317" s="26">
        <f t="shared" si="36"/>
        <v>0.70973988661733645</v>
      </c>
    </row>
    <row r="318" spans="1:38" x14ac:dyDescent="0.3">
      <c r="A318" s="11">
        <v>42856</v>
      </c>
      <c r="B318" s="18">
        <v>2276071.4900000002</v>
      </c>
      <c r="C318" s="18">
        <v>3199139.69</v>
      </c>
      <c r="D318" s="18">
        <v>5064825.2699999996</v>
      </c>
      <c r="E318" s="11">
        <f t="shared" si="31"/>
        <v>42856</v>
      </c>
      <c r="F318" s="9">
        <f t="shared" si="33"/>
        <v>0.43277960805706761</v>
      </c>
      <c r="G318" s="9">
        <f t="shared" si="34"/>
        <v>0.28285008033482772</v>
      </c>
      <c r="H318" s="9">
        <f t="shared" si="35"/>
        <v>0.15152108986098312</v>
      </c>
      <c r="I318" s="11">
        <f t="shared" si="32"/>
        <v>42856</v>
      </c>
      <c r="O318" s="11">
        <v>44317</v>
      </c>
      <c r="P318" s="19" t="str" cm="1">
        <f t="array" ref="P318">IF(OR($O318&lt;P$387,$O318&gt;P$388),"",IFERROR(IF($O318=P$387,100,P317)*INDEX($B$2:$B$428,MATCH($O318,$A$2:$A$428,0))/INDEX($B$2:$B$428,MATCH($O318,$A$2:$A$428,0)-1),""))</f>
        <v/>
      </c>
      <c r="Q318" s="19" t="str" cm="1">
        <f t="array" ref="Q318">IF(OR($O318&lt;Q$387,$O318&gt;Q$388),"",IFERROR(IF($O318=Q$387,100,Q317)*INDEX($B$2:$B$428,MATCH($O318,$A$2:$A$428,0))/INDEX($B$2:$B$428,MATCH($O318,$A$2:$A$428,0)-1),""))</f>
        <v/>
      </c>
      <c r="R318" s="19" t="str" cm="1">
        <f t="array" ref="R318">IF(OR($O318&lt;R$387,$O318&gt;R$388),"",IFERROR(IF($O318=R$387,100,R317)*INDEX($B$2:$B$428,MATCH($O318,$A$2:$A$428,0))/INDEX($B$2:$B$428,MATCH($O318,$A$2:$A$428,0)-1),""))</f>
        <v/>
      </c>
      <c r="S318" s="19" t="str" cm="1">
        <f t="array" ref="S318">IF(OR($O318&lt;S$387,$O318&gt;S$388),"",IFERROR(IF($O318=S$387,100,S317)*INDEX($B$2:$B$428,MATCH($O318,$A$2:$A$428,0))/INDEX($B$2:$B$428,MATCH($O318,$A$2:$A$428,0)-1),""))</f>
        <v/>
      </c>
      <c r="T318" s="19" t="str" cm="1">
        <f t="array" ref="T318">IF(OR($O318&lt;T$387,$O318&gt;T$388),"",IFERROR(IF($O318=T$387,100,T317)*INDEX($B$2:$B$428,MATCH($O318,$A$2:$A$428,0))/INDEX($B$2:$B$428,MATCH($O318,$A$2:$A$428,0)-1),""))</f>
        <v/>
      </c>
      <c r="U318" s="19" t="str" cm="1">
        <f t="array" ref="U318">IF(OR($O318&lt;U$387,$O318&gt;U$388),"",IFERROR(IF($O318=U$387,100,U317)*INDEX($B$2:$B$428,MATCH($O318,$A$2:$A$428,0))/INDEX($B$2:$B$428,MATCH($O318,$A$2:$A$428,0)-1),""))</f>
        <v/>
      </c>
      <c r="V318" s="19" t="str" cm="1">
        <f t="array" ref="V318">IF(OR($O318&lt;V$387,$O318&gt;V$388),"",IFERROR(IF($O318=V$387,100,V317)*INDEX($B$2:$B$428,MATCH($O318,$A$2:$A$428,0))/INDEX($B$2:$B$428,MATCH($O318,$A$2:$A$428,0)-1),""))</f>
        <v/>
      </c>
      <c r="W318" s="19" cm="1">
        <f t="array" ref="W318">IF(OR($O318&lt;W$387,$O318&gt;W$388),"",IFERROR(IF($O318=W$387,100,W317)*INDEX($B$2:$B$428,MATCH($O318,$A$2:$A$428,0))/INDEX($B$2:$B$428,MATCH($O318,$A$2:$A$428,0)-1),""))</f>
        <v>136.10017084509843</v>
      </c>
      <c r="X318" s="19" t="str" cm="1">
        <f t="array" ref="X318">IF(OR($O318&lt;X$387,$O318&gt;X$388),"",IFERROR(IF($O318=X$387,100,X317)*INDEX($B$2:$B$428,MATCH($O318,$A$2:$A$428,0))/INDEX($B$2:$B$428,MATCH($O318,$A$2:$A$428,0)-1),""))</f>
        <v/>
      </c>
      <c r="AA318" s="19"/>
      <c r="AB318" s="19"/>
      <c r="AC318" s="19"/>
      <c r="AD318" s="19"/>
      <c r="AE318" s="19"/>
      <c r="AF318" s="19"/>
      <c r="AG318" s="19"/>
      <c r="AH318" s="19"/>
      <c r="AJ318" s="11">
        <v>42491</v>
      </c>
      <c r="AK318">
        <v>6087318.0999999996</v>
      </c>
      <c r="AL318" s="26">
        <f t="shared" si="36"/>
        <v>0.72254778504182327</v>
      </c>
    </row>
    <row r="319" spans="1:38" x14ac:dyDescent="0.3">
      <c r="A319" s="11">
        <v>42887</v>
      </c>
      <c r="B319" s="18">
        <v>2308535.83</v>
      </c>
      <c r="C319" s="18">
        <v>3230607.09</v>
      </c>
      <c r="D319" s="18">
        <v>5176269.01</v>
      </c>
      <c r="E319" s="11">
        <f t="shared" si="31"/>
        <v>42887</v>
      </c>
      <c r="F319" s="9">
        <f t="shared" si="33"/>
        <v>0.32177524239055044</v>
      </c>
      <c r="G319" s="9">
        <f t="shared" si="34"/>
        <v>0.22971802002662911</v>
      </c>
      <c r="H319" s="9">
        <f t="shared" si="35"/>
        <v>0.15461873479519661</v>
      </c>
      <c r="I319" s="11">
        <f t="shared" si="32"/>
        <v>42887</v>
      </c>
      <c r="O319" s="11">
        <v>44348</v>
      </c>
      <c r="P319" s="19" t="str" cm="1">
        <f t="array" ref="P319">IF(OR($O319&lt;P$387,$O319&gt;P$388),"",IFERROR(IF($O319=P$387,100,P318)*INDEX($B$2:$B$428,MATCH($O319,$A$2:$A$428,0))/INDEX($B$2:$B$428,MATCH($O319,$A$2:$A$428,0)-1),""))</f>
        <v/>
      </c>
      <c r="Q319" s="19" t="str" cm="1">
        <f t="array" ref="Q319">IF(OR($O319&lt;Q$387,$O319&gt;Q$388),"",IFERROR(IF($O319=Q$387,100,Q318)*INDEX($B$2:$B$428,MATCH($O319,$A$2:$A$428,0))/INDEX($B$2:$B$428,MATCH($O319,$A$2:$A$428,0)-1),""))</f>
        <v/>
      </c>
      <c r="R319" s="19" t="str" cm="1">
        <f t="array" ref="R319">IF(OR($O319&lt;R$387,$O319&gt;R$388),"",IFERROR(IF($O319=R$387,100,R318)*INDEX($B$2:$B$428,MATCH($O319,$A$2:$A$428,0))/INDEX($B$2:$B$428,MATCH($O319,$A$2:$A$428,0)-1),""))</f>
        <v/>
      </c>
      <c r="S319" s="19" t="str" cm="1">
        <f t="array" ref="S319">IF(OR($O319&lt;S$387,$O319&gt;S$388),"",IFERROR(IF($O319=S$387,100,S318)*INDEX($B$2:$B$428,MATCH($O319,$A$2:$A$428,0))/INDEX($B$2:$B$428,MATCH($O319,$A$2:$A$428,0)-1),""))</f>
        <v/>
      </c>
      <c r="T319" s="19" t="str" cm="1">
        <f t="array" ref="T319">IF(OR($O319&lt;T$387,$O319&gt;T$388),"",IFERROR(IF($O319=T$387,100,T318)*INDEX($B$2:$B$428,MATCH($O319,$A$2:$A$428,0))/INDEX($B$2:$B$428,MATCH($O319,$A$2:$A$428,0)-1),""))</f>
        <v/>
      </c>
      <c r="U319" s="19" t="str" cm="1">
        <f t="array" ref="U319">IF(OR($O319&lt;U$387,$O319&gt;U$388),"",IFERROR(IF($O319=U$387,100,U318)*INDEX($B$2:$B$428,MATCH($O319,$A$2:$A$428,0))/INDEX($B$2:$B$428,MATCH($O319,$A$2:$A$428,0)-1),""))</f>
        <v/>
      </c>
      <c r="V319" s="19" t="str" cm="1">
        <f t="array" ref="V319">IF(OR($O319&lt;V$387,$O319&gt;V$388),"",IFERROR(IF($O319=V$387,100,V318)*INDEX($B$2:$B$428,MATCH($O319,$A$2:$A$428,0))/INDEX($B$2:$B$428,MATCH($O319,$A$2:$A$428,0)-1),""))</f>
        <v/>
      </c>
      <c r="W319" s="19" cm="1">
        <f t="array" ref="W319">IF(OR($O319&lt;W$387,$O319&gt;W$388),"",IFERROR(IF($O319=W$387,100,W318)*INDEX($B$2:$B$428,MATCH($O319,$A$2:$A$428,0))/INDEX($B$2:$B$428,MATCH($O319,$A$2:$A$428,0)-1),""))</f>
        <v>142.02244572393985</v>
      </c>
      <c r="X319" s="19" t="str" cm="1">
        <f t="array" ref="X319">IF(OR($O319&lt;X$387,$O319&gt;X$388),"",IFERROR(IF($O319=X$387,100,X318)*INDEX($B$2:$B$428,MATCH($O319,$A$2:$A$428,0))/INDEX($B$2:$B$428,MATCH($O319,$A$2:$A$428,0)-1),""))</f>
        <v/>
      </c>
      <c r="AA319" s="19"/>
      <c r="AB319" s="19"/>
      <c r="AC319" s="19"/>
      <c r="AD319" s="19"/>
      <c r="AE319" s="19"/>
      <c r="AF319" s="19"/>
      <c r="AG319" s="19"/>
      <c r="AH319" s="19"/>
      <c r="AJ319" s="11">
        <v>42522</v>
      </c>
      <c r="AK319">
        <v>6118507.5999999996</v>
      </c>
      <c r="AL319" s="26">
        <f t="shared" si="36"/>
        <v>0.73271103888144229</v>
      </c>
    </row>
    <row r="320" spans="1:38" x14ac:dyDescent="0.3">
      <c r="A320" s="11">
        <v>42917</v>
      </c>
      <c r="B320" s="18">
        <v>2404919.66</v>
      </c>
      <c r="C320" s="18">
        <v>3323550.18</v>
      </c>
      <c r="D320" s="18">
        <v>5110640.24</v>
      </c>
      <c r="E320" s="11">
        <f t="shared" si="31"/>
        <v>42917</v>
      </c>
      <c r="F320" s="9">
        <f t="shared" si="33"/>
        <v>0.32135444398981505</v>
      </c>
      <c r="G320" s="9">
        <f t="shared" si="34"/>
        <v>0.2435326074694717</v>
      </c>
      <c r="H320" s="9">
        <f t="shared" si="35"/>
        <v>0.14292798848659749</v>
      </c>
      <c r="I320" s="11">
        <f t="shared" si="32"/>
        <v>42917</v>
      </c>
      <c r="O320" s="11">
        <v>44378</v>
      </c>
      <c r="P320" s="19" t="str" cm="1">
        <f t="array" ref="P320">IF(OR($O320&lt;P$387,$O320&gt;P$388),"",IFERROR(IF($O320=P$387,100,P319)*INDEX($B$2:$B$428,MATCH($O320,$A$2:$A$428,0))/INDEX($B$2:$B$428,MATCH($O320,$A$2:$A$428,0)-1),""))</f>
        <v/>
      </c>
      <c r="Q320" s="19" t="str" cm="1">
        <f t="array" ref="Q320">IF(OR($O320&lt;Q$387,$O320&gt;Q$388),"",IFERROR(IF($O320=Q$387,100,Q319)*INDEX($B$2:$B$428,MATCH($O320,$A$2:$A$428,0))/INDEX($B$2:$B$428,MATCH($O320,$A$2:$A$428,0)-1),""))</f>
        <v/>
      </c>
      <c r="R320" s="19" t="str" cm="1">
        <f t="array" ref="R320">IF(OR($O320&lt;R$387,$O320&gt;R$388),"",IFERROR(IF($O320=R$387,100,R319)*INDEX($B$2:$B$428,MATCH($O320,$A$2:$A$428,0))/INDEX($B$2:$B$428,MATCH($O320,$A$2:$A$428,0)-1),""))</f>
        <v/>
      </c>
      <c r="S320" s="19" t="str" cm="1">
        <f t="array" ref="S320">IF(OR($O320&lt;S$387,$O320&gt;S$388),"",IFERROR(IF($O320=S$387,100,S319)*INDEX($B$2:$B$428,MATCH($O320,$A$2:$A$428,0))/INDEX($B$2:$B$428,MATCH($O320,$A$2:$A$428,0)-1),""))</f>
        <v/>
      </c>
      <c r="T320" s="19" t="str" cm="1">
        <f t="array" ref="T320">IF(OR($O320&lt;T$387,$O320&gt;T$388),"",IFERROR(IF($O320=T$387,100,T319)*INDEX($B$2:$B$428,MATCH($O320,$A$2:$A$428,0))/INDEX($B$2:$B$428,MATCH($O320,$A$2:$A$428,0)-1),""))</f>
        <v/>
      </c>
      <c r="U320" s="19" t="str" cm="1">
        <f t="array" ref="U320">IF(OR($O320&lt;U$387,$O320&gt;U$388),"",IFERROR(IF($O320=U$387,100,U319)*INDEX($B$2:$B$428,MATCH($O320,$A$2:$A$428,0))/INDEX($B$2:$B$428,MATCH($O320,$A$2:$A$428,0)-1),""))</f>
        <v/>
      </c>
      <c r="V320" s="19" t="str" cm="1">
        <f t="array" ref="V320">IF(OR($O320&lt;V$387,$O320&gt;V$388),"",IFERROR(IF($O320=V$387,100,V319)*INDEX($B$2:$B$428,MATCH($O320,$A$2:$A$428,0))/INDEX($B$2:$B$428,MATCH($O320,$A$2:$A$428,0)-1),""))</f>
        <v/>
      </c>
      <c r="W320" s="19" cm="1">
        <f t="array" ref="W320">IF(OR($O320&lt;W$387,$O320&gt;W$388),"",IFERROR(IF($O320=W$387,100,W319)*INDEX($B$2:$B$428,MATCH($O320,$A$2:$A$428,0))/INDEX($B$2:$B$428,MATCH($O320,$A$2:$A$428,0)-1),""))</f>
        <v>142.62393162563257</v>
      </c>
      <c r="X320" s="19" t="str" cm="1">
        <f t="array" ref="X320">IF(OR($O320&lt;X$387,$O320&gt;X$388),"",IFERROR(IF($O320=X$387,100,X319)*INDEX($B$2:$B$428,MATCH($O320,$A$2:$A$428,0))/INDEX($B$2:$B$428,MATCH($O320,$A$2:$A$428,0)-1),""))</f>
        <v/>
      </c>
      <c r="AA320" s="19"/>
      <c r="AB320" s="19"/>
      <c r="AC320" s="19"/>
      <c r="AD320" s="19"/>
      <c r="AE320" s="19"/>
      <c r="AF320" s="19"/>
      <c r="AG320" s="19"/>
      <c r="AH320" s="19"/>
      <c r="AJ320" s="11">
        <v>42552</v>
      </c>
      <c r="AK320">
        <v>6133537.5999999996</v>
      </c>
      <c r="AL320" s="26">
        <f t="shared" si="36"/>
        <v>0.7290300168698729</v>
      </c>
    </row>
    <row r="321" spans="1:38" x14ac:dyDescent="0.3">
      <c r="A321" s="11">
        <v>42948</v>
      </c>
      <c r="B321" s="18">
        <v>2442449.73</v>
      </c>
      <c r="C321" s="18">
        <v>3367257.37</v>
      </c>
      <c r="D321" s="18">
        <v>5243851.47</v>
      </c>
      <c r="E321" s="11">
        <f t="shared" si="31"/>
        <v>42948</v>
      </c>
      <c r="F321" s="9">
        <f t="shared" si="33"/>
        <v>0.33026841714603505</v>
      </c>
      <c r="G321" s="9">
        <f t="shared" si="34"/>
        <v>0.22786561072120515</v>
      </c>
      <c r="H321" s="9">
        <f t="shared" si="35"/>
        <v>0.17632745813881257</v>
      </c>
      <c r="I321" s="11">
        <f t="shared" si="32"/>
        <v>42948</v>
      </c>
      <c r="O321" s="11">
        <v>44409</v>
      </c>
      <c r="P321" s="19" t="str" cm="1">
        <f t="array" ref="P321">IF(OR($O321&lt;P$387,$O321&gt;P$388),"",IFERROR(IF($O321=P$387,100,P320)*INDEX($B$2:$B$428,MATCH($O321,$A$2:$A$428,0))/INDEX($B$2:$B$428,MATCH($O321,$A$2:$A$428,0)-1),""))</f>
        <v/>
      </c>
      <c r="Q321" s="19" t="str" cm="1">
        <f t="array" ref="Q321">IF(OR($O321&lt;Q$387,$O321&gt;Q$388),"",IFERROR(IF($O321=Q$387,100,Q320)*INDEX($B$2:$B$428,MATCH($O321,$A$2:$A$428,0))/INDEX($B$2:$B$428,MATCH($O321,$A$2:$A$428,0)-1),""))</f>
        <v/>
      </c>
      <c r="R321" s="19" t="str" cm="1">
        <f t="array" ref="R321">IF(OR($O321&lt;R$387,$O321&gt;R$388),"",IFERROR(IF($O321=R$387,100,R320)*INDEX($B$2:$B$428,MATCH($O321,$A$2:$A$428,0))/INDEX($B$2:$B$428,MATCH($O321,$A$2:$A$428,0)-1),""))</f>
        <v/>
      </c>
      <c r="S321" s="19" t="str" cm="1">
        <f t="array" ref="S321">IF(OR($O321&lt;S$387,$O321&gt;S$388),"",IFERROR(IF($O321=S$387,100,S320)*INDEX($B$2:$B$428,MATCH($O321,$A$2:$A$428,0))/INDEX($B$2:$B$428,MATCH($O321,$A$2:$A$428,0)-1),""))</f>
        <v/>
      </c>
      <c r="T321" s="19" t="str" cm="1">
        <f t="array" ref="T321">IF(OR($O321&lt;T$387,$O321&gt;T$388),"",IFERROR(IF($O321=T$387,100,T320)*INDEX($B$2:$B$428,MATCH($O321,$A$2:$A$428,0))/INDEX($B$2:$B$428,MATCH($O321,$A$2:$A$428,0)-1),""))</f>
        <v/>
      </c>
      <c r="U321" s="19" t="str" cm="1">
        <f t="array" ref="U321">IF(OR($O321&lt;U$387,$O321&gt;U$388),"",IFERROR(IF($O321=U$387,100,U320)*INDEX($B$2:$B$428,MATCH($O321,$A$2:$A$428,0))/INDEX($B$2:$B$428,MATCH($O321,$A$2:$A$428,0)-1),""))</f>
        <v/>
      </c>
      <c r="V321" s="19" t="str" cm="1">
        <f t="array" ref="V321">IF(OR($O321&lt;V$387,$O321&gt;V$388),"",IFERROR(IF($O321=V$387,100,V320)*INDEX($B$2:$B$428,MATCH($O321,$A$2:$A$428,0))/INDEX($B$2:$B$428,MATCH($O321,$A$2:$A$428,0)-1),""))</f>
        <v/>
      </c>
      <c r="W321" s="19" cm="1">
        <f t="array" ref="W321">IF(OR($O321&lt;W$387,$O321&gt;W$388),"",IFERROR(IF($O321=W$387,100,W320)*INDEX($B$2:$B$428,MATCH($O321,$A$2:$A$428,0))/INDEX($B$2:$B$428,MATCH($O321,$A$2:$A$428,0)-1),""))</f>
        <v>144.57134141091569</v>
      </c>
      <c r="X321" s="19" t="str" cm="1">
        <f t="array" ref="X321">IF(OR($O321&lt;X$387,$O321&gt;X$388),"",IFERROR(IF($O321=X$387,100,X320)*INDEX($B$2:$B$428,MATCH($O321,$A$2:$A$428,0))/INDEX($B$2:$B$428,MATCH($O321,$A$2:$A$428,0)-1),""))</f>
        <v/>
      </c>
      <c r="AA321" s="19"/>
      <c r="AB321" s="19"/>
      <c r="AC321" s="19"/>
      <c r="AD321" s="19"/>
      <c r="AE321" s="19"/>
      <c r="AF321" s="19"/>
      <c r="AG321" s="19"/>
      <c r="AH321" s="19"/>
      <c r="AJ321" s="11">
        <v>42583</v>
      </c>
      <c r="AK321">
        <v>6162547.7999999998</v>
      </c>
      <c r="AL321" s="26">
        <f t="shared" si="36"/>
        <v>0.72337225359939605</v>
      </c>
    </row>
    <row r="322" spans="1:38" x14ac:dyDescent="0.3">
      <c r="A322" s="11">
        <v>42979</v>
      </c>
      <c r="B322" s="18">
        <v>2490172.02</v>
      </c>
      <c r="C322" s="18">
        <v>3411459.81</v>
      </c>
      <c r="D322" s="18">
        <v>5291594.93</v>
      </c>
      <c r="E322" s="11">
        <f t="shared" ref="E322:E385" si="37">A322</f>
        <v>42979</v>
      </c>
      <c r="F322" s="9">
        <f t="shared" si="33"/>
        <v>0.31217098103535434</v>
      </c>
      <c r="G322" s="9">
        <f t="shared" si="34"/>
        <v>0.21583760705970079</v>
      </c>
      <c r="H322" s="9">
        <f t="shared" si="35"/>
        <v>0.15244920213092406</v>
      </c>
      <c r="I322" s="11">
        <f t="shared" ref="I322:I385" si="38">A322</f>
        <v>42979</v>
      </c>
      <c r="O322" s="11">
        <v>44440</v>
      </c>
      <c r="P322" s="19" t="str" cm="1">
        <f t="array" ref="P322">IF(OR($O322&lt;P$387,$O322&gt;P$388),"",IFERROR(IF($O322=P$387,100,P321)*INDEX($B$2:$B$428,MATCH($O322,$A$2:$A$428,0))/INDEX($B$2:$B$428,MATCH($O322,$A$2:$A$428,0)-1),""))</f>
        <v/>
      </c>
      <c r="Q322" s="19" t="str" cm="1">
        <f t="array" ref="Q322">IF(OR($O322&lt;Q$387,$O322&gt;Q$388),"",IFERROR(IF($O322=Q$387,100,Q321)*INDEX($B$2:$B$428,MATCH($O322,$A$2:$A$428,0))/INDEX($B$2:$B$428,MATCH($O322,$A$2:$A$428,0)-1),""))</f>
        <v/>
      </c>
      <c r="R322" s="19" t="str" cm="1">
        <f t="array" ref="R322">IF(OR($O322&lt;R$387,$O322&gt;R$388),"",IFERROR(IF($O322=R$387,100,R321)*INDEX($B$2:$B$428,MATCH($O322,$A$2:$A$428,0))/INDEX($B$2:$B$428,MATCH($O322,$A$2:$A$428,0)-1),""))</f>
        <v/>
      </c>
      <c r="S322" s="19" t="str" cm="1">
        <f t="array" ref="S322">IF(OR($O322&lt;S$387,$O322&gt;S$388),"",IFERROR(IF($O322=S$387,100,S321)*INDEX($B$2:$B$428,MATCH($O322,$A$2:$A$428,0))/INDEX($B$2:$B$428,MATCH($O322,$A$2:$A$428,0)-1),""))</f>
        <v/>
      </c>
      <c r="T322" s="19" t="str" cm="1">
        <f t="array" ref="T322">IF(OR($O322&lt;T$387,$O322&gt;T$388),"",IFERROR(IF($O322=T$387,100,T321)*INDEX($B$2:$B$428,MATCH($O322,$A$2:$A$428,0))/INDEX($B$2:$B$428,MATCH($O322,$A$2:$A$428,0)-1),""))</f>
        <v/>
      </c>
      <c r="U322" s="19" t="str" cm="1">
        <f t="array" ref="U322">IF(OR($O322&lt;U$387,$O322&gt;U$388),"",IFERROR(IF($O322=U$387,100,U321)*INDEX($B$2:$B$428,MATCH($O322,$A$2:$A$428,0))/INDEX($B$2:$B$428,MATCH($O322,$A$2:$A$428,0)-1),""))</f>
        <v/>
      </c>
      <c r="V322" s="19" t="str" cm="1">
        <f t="array" ref="V322">IF(OR($O322&lt;V$387,$O322&gt;V$388),"",IFERROR(IF($O322=V$387,100,V321)*INDEX($B$2:$B$428,MATCH($O322,$A$2:$A$428,0))/INDEX($B$2:$B$428,MATCH($O322,$A$2:$A$428,0)-1),""))</f>
        <v/>
      </c>
      <c r="W322" s="19" cm="1">
        <f t="array" ref="W322">IF(OR($O322&lt;W$387,$O322&gt;W$388),"",IFERROR(IF($O322=W$387,100,W321)*INDEX($B$2:$B$428,MATCH($O322,$A$2:$A$428,0))/INDEX($B$2:$B$428,MATCH($O322,$A$2:$A$428,0)-1),""))</f>
        <v>143.62786860893323</v>
      </c>
      <c r="X322" s="19" t="str" cm="1">
        <f t="array" ref="X322">IF(OR($O322&lt;X$387,$O322&gt;X$388),"",IFERROR(IF($O322=X$387,100,X321)*INDEX($B$2:$B$428,MATCH($O322,$A$2:$A$428,0))/INDEX($B$2:$B$428,MATCH($O322,$A$2:$A$428,0)-1),""))</f>
        <v/>
      </c>
      <c r="AA322" s="19"/>
      <c r="AB322" s="19"/>
      <c r="AC322" s="19"/>
      <c r="AD322" s="19"/>
      <c r="AE322" s="19"/>
      <c r="AF322" s="19"/>
      <c r="AG322" s="19"/>
      <c r="AH322" s="19"/>
      <c r="AJ322" s="11">
        <v>42614</v>
      </c>
      <c r="AK322">
        <v>6187449.7999999998</v>
      </c>
      <c r="AL322" s="26">
        <f t="shared" si="36"/>
        <v>0.74208407476695815</v>
      </c>
    </row>
    <row r="323" spans="1:38" x14ac:dyDescent="0.3">
      <c r="A323" s="11">
        <v>43009</v>
      </c>
      <c r="B323" s="18">
        <v>2480654.67</v>
      </c>
      <c r="C323" s="18">
        <v>3415082.17</v>
      </c>
      <c r="D323" s="18">
        <v>5297627.3099999996</v>
      </c>
      <c r="E323" s="11">
        <f t="shared" si="37"/>
        <v>43009</v>
      </c>
      <c r="F323" s="9">
        <f t="shared" si="33"/>
        <v>0.29272381635219569</v>
      </c>
      <c r="G323" s="9">
        <f t="shared" si="34"/>
        <v>0.20916757323432211</v>
      </c>
      <c r="H323" s="9">
        <f t="shared" si="35"/>
        <v>0.15504681231725481</v>
      </c>
      <c r="I323" s="11">
        <f t="shared" si="38"/>
        <v>43009</v>
      </c>
      <c r="O323" s="11">
        <v>44470</v>
      </c>
      <c r="P323" s="19" t="str" cm="1">
        <f t="array" ref="P323">IF(OR($O323&lt;P$387,$O323&gt;P$388),"",IFERROR(IF($O323=P$387,100,P322)*INDEX($B$2:$B$428,MATCH($O323,$A$2:$A$428,0))/INDEX($B$2:$B$428,MATCH($O323,$A$2:$A$428,0)-1),""))</f>
        <v/>
      </c>
      <c r="Q323" s="19" t="str" cm="1">
        <f t="array" ref="Q323">IF(OR($O323&lt;Q$387,$O323&gt;Q$388),"",IFERROR(IF($O323=Q$387,100,Q322)*INDEX($B$2:$B$428,MATCH($O323,$A$2:$A$428,0))/INDEX($B$2:$B$428,MATCH($O323,$A$2:$A$428,0)-1),""))</f>
        <v/>
      </c>
      <c r="R323" s="19" t="str" cm="1">
        <f t="array" ref="R323">IF(OR($O323&lt;R$387,$O323&gt;R$388),"",IFERROR(IF($O323=R$387,100,R322)*INDEX($B$2:$B$428,MATCH($O323,$A$2:$A$428,0))/INDEX($B$2:$B$428,MATCH($O323,$A$2:$A$428,0)-1),""))</f>
        <v/>
      </c>
      <c r="S323" s="19" t="str" cm="1">
        <f t="array" ref="S323">IF(OR($O323&lt;S$387,$O323&gt;S$388),"",IFERROR(IF($O323=S$387,100,S322)*INDEX($B$2:$B$428,MATCH($O323,$A$2:$A$428,0))/INDEX($B$2:$B$428,MATCH($O323,$A$2:$A$428,0)-1),""))</f>
        <v/>
      </c>
      <c r="T323" s="19" t="str" cm="1">
        <f t="array" ref="T323">IF(OR($O323&lt;T$387,$O323&gt;T$388),"",IFERROR(IF($O323=T$387,100,T322)*INDEX($B$2:$B$428,MATCH($O323,$A$2:$A$428,0))/INDEX($B$2:$B$428,MATCH($O323,$A$2:$A$428,0)-1),""))</f>
        <v/>
      </c>
      <c r="U323" s="19" t="str" cm="1">
        <f t="array" ref="U323">IF(OR($O323&lt;U$387,$O323&gt;U$388),"",IFERROR(IF($O323=U$387,100,U322)*INDEX($B$2:$B$428,MATCH($O323,$A$2:$A$428,0))/INDEX($B$2:$B$428,MATCH($O323,$A$2:$A$428,0)-1),""))</f>
        <v/>
      </c>
      <c r="V323" s="19" t="str" cm="1">
        <f t="array" ref="V323">IF(OR($O323&lt;V$387,$O323&gt;V$388),"",IFERROR(IF($O323=V$387,100,V322)*INDEX($B$2:$B$428,MATCH($O323,$A$2:$A$428,0))/INDEX($B$2:$B$428,MATCH($O323,$A$2:$A$428,0)-1),""))</f>
        <v/>
      </c>
      <c r="W323" s="19" cm="1">
        <f t="array" ref="W323">IF(OR($O323&lt;W$387,$O323&gt;W$388),"",IFERROR(IF($O323=W$387,100,W322)*INDEX($B$2:$B$428,MATCH($O323,$A$2:$A$428,0))/INDEX($B$2:$B$428,MATCH($O323,$A$2:$A$428,0)-1),""))</f>
        <v>142.51002934523683</v>
      </c>
      <c r="X323" s="19" t="str" cm="1">
        <f t="array" ref="X323">IF(OR($O323&lt;X$387,$O323&gt;X$388),"",IFERROR(IF($O323=X$387,100,X322)*INDEX($B$2:$B$428,MATCH($O323,$A$2:$A$428,0))/INDEX($B$2:$B$428,MATCH($O323,$A$2:$A$428,0)-1),""))</f>
        <v/>
      </c>
      <c r="AA323" s="19"/>
      <c r="AB323" s="19"/>
      <c r="AC323" s="19"/>
      <c r="AD323" s="19"/>
      <c r="AE323" s="19"/>
      <c r="AF323" s="19"/>
      <c r="AG323" s="19"/>
      <c r="AH323" s="19"/>
      <c r="AJ323" s="11">
        <v>42644</v>
      </c>
      <c r="AK323">
        <v>6205801.2999999998</v>
      </c>
      <c r="AL323" s="26">
        <f t="shared" si="36"/>
        <v>0.73906723697389409</v>
      </c>
    </row>
    <row r="324" spans="1:38" x14ac:dyDescent="0.3">
      <c r="A324" s="11">
        <v>43040</v>
      </c>
      <c r="B324" s="18">
        <v>2511885.2999999998</v>
      </c>
      <c r="C324" s="18">
        <v>3453857.69</v>
      </c>
      <c r="D324" s="18">
        <v>5363866.91</v>
      </c>
      <c r="E324" s="11">
        <f t="shared" si="37"/>
        <v>43040</v>
      </c>
      <c r="F324" s="9">
        <f t="shared" si="33"/>
        <v>0.30228596099366567</v>
      </c>
      <c r="G324" s="9">
        <f t="shared" si="34"/>
        <v>0.21969477091987732</v>
      </c>
      <c r="H324" s="9">
        <f t="shared" si="35"/>
        <v>0.15050230484640048</v>
      </c>
      <c r="I324" s="11">
        <f t="shared" si="38"/>
        <v>43040</v>
      </c>
      <c r="O324" s="11">
        <v>44501</v>
      </c>
      <c r="P324" s="19" t="str" cm="1">
        <f t="array" ref="P324">IF(OR($O324&lt;P$387,$O324&gt;P$388),"",IFERROR(IF($O324=P$387,100,P323)*INDEX($B$2:$B$428,MATCH($O324,$A$2:$A$428,0))/INDEX($B$2:$B$428,MATCH($O324,$A$2:$A$428,0)-1),""))</f>
        <v/>
      </c>
      <c r="Q324" s="19" t="str" cm="1">
        <f t="array" ref="Q324">IF(OR($O324&lt;Q$387,$O324&gt;Q$388),"",IFERROR(IF($O324=Q$387,100,Q323)*INDEX($B$2:$B$428,MATCH($O324,$A$2:$A$428,0))/INDEX($B$2:$B$428,MATCH($O324,$A$2:$A$428,0)-1),""))</f>
        <v/>
      </c>
      <c r="R324" s="19" t="str" cm="1">
        <f t="array" ref="R324">IF(OR($O324&lt;R$387,$O324&gt;R$388),"",IFERROR(IF($O324=R$387,100,R323)*INDEX($B$2:$B$428,MATCH($O324,$A$2:$A$428,0))/INDEX($B$2:$B$428,MATCH($O324,$A$2:$A$428,0)-1),""))</f>
        <v/>
      </c>
      <c r="S324" s="19" t="str" cm="1">
        <f t="array" ref="S324">IF(OR($O324&lt;S$387,$O324&gt;S$388),"",IFERROR(IF($O324=S$387,100,S323)*INDEX($B$2:$B$428,MATCH($O324,$A$2:$A$428,0))/INDEX($B$2:$B$428,MATCH($O324,$A$2:$A$428,0)-1),""))</f>
        <v/>
      </c>
      <c r="T324" s="19" t="str" cm="1">
        <f t="array" ref="T324">IF(OR($O324&lt;T$387,$O324&gt;T$388),"",IFERROR(IF($O324=T$387,100,T323)*INDEX($B$2:$B$428,MATCH($O324,$A$2:$A$428,0))/INDEX($B$2:$B$428,MATCH($O324,$A$2:$A$428,0)-1),""))</f>
        <v/>
      </c>
      <c r="U324" s="19" t="str" cm="1">
        <f t="array" ref="U324">IF(OR($O324&lt;U$387,$O324&gt;U$388),"",IFERROR(IF($O324=U$387,100,U323)*INDEX($B$2:$B$428,MATCH($O324,$A$2:$A$428,0))/INDEX($B$2:$B$428,MATCH($O324,$A$2:$A$428,0)-1),""))</f>
        <v/>
      </c>
      <c r="V324" s="19" t="str" cm="1">
        <f t="array" ref="V324">IF(OR($O324&lt;V$387,$O324&gt;V$388),"",IFERROR(IF($O324=V$387,100,V323)*INDEX($B$2:$B$428,MATCH($O324,$A$2:$A$428,0))/INDEX($B$2:$B$428,MATCH($O324,$A$2:$A$428,0)-1),""))</f>
        <v/>
      </c>
      <c r="W324" s="19" cm="1">
        <f t="array" ref="W324">IF(OR($O324&lt;W$387,$O324&gt;W$388),"",IFERROR(IF($O324=W$387,100,W323)*INDEX($B$2:$B$428,MATCH($O324,$A$2:$A$428,0))/INDEX($B$2:$B$428,MATCH($O324,$A$2:$A$428,0)-1),""))</f>
        <v>144.24779860971643</v>
      </c>
      <c r="X324" s="19" t="str" cm="1">
        <f t="array" ref="X324">IF(OR($O324&lt;X$387,$O324&gt;X$388),"",IFERROR(IF($O324=X$387,100,X323)*INDEX($B$2:$B$428,MATCH($O324,$A$2:$A$428,0))/INDEX($B$2:$B$428,MATCH($O324,$A$2:$A$428,0)-1),""))</f>
        <v/>
      </c>
      <c r="AA324" s="19"/>
      <c r="AB324" s="19"/>
      <c r="AC324" s="19"/>
      <c r="AD324" s="19"/>
      <c r="AE324" s="19"/>
      <c r="AF324" s="19"/>
      <c r="AG324" s="19"/>
      <c r="AH324" s="19"/>
      <c r="AJ324" s="11">
        <v>42675</v>
      </c>
      <c r="AK324">
        <v>6237575.4000000004</v>
      </c>
      <c r="AL324" s="26">
        <f t="shared" si="36"/>
        <v>0.74743717085969008</v>
      </c>
    </row>
    <row r="325" spans="1:38" x14ac:dyDescent="0.3">
      <c r="A325" s="11">
        <v>43070</v>
      </c>
      <c r="B325" s="18">
        <v>2534118.7999999998</v>
      </c>
      <c r="C325" s="18">
        <v>3505361.47</v>
      </c>
      <c r="D325" s="18">
        <v>5449151.4800000004</v>
      </c>
      <c r="E325" s="11">
        <f t="shared" si="37"/>
        <v>43070</v>
      </c>
      <c r="F325" s="9">
        <f t="shared" si="33"/>
        <v>0.21242007672374252</v>
      </c>
      <c r="G325" s="9">
        <f t="shared" si="34"/>
        <v>0.17041755771445044</v>
      </c>
      <c r="H325" s="9">
        <f t="shared" si="35"/>
        <v>0.12264514395376991</v>
      </c>
      <c r="I325" s="11">
        <f t="shared" si="38"/>
        <v>43070</v>
      </c>
      <c r="O325" s="11">
        <v>44531</v>
      </c>
      <c r="P325" s="19" t="str" cm="1">
        <f t="array" ref="P325">IF(OR($O325&lt;P$387,$O325&gt;P$388),"",IFERROR(IF($O325=P$387,100,P324)*INDEX($B$2:$B$428,MATCH($O325,$A$2:$A$428,0))/INDEX($B$2:$B$428,MATCH($O325,$A$2:$A$428,0)-1),""))</f>
        <v/>
      </c>
      <c r="Q325" s="19" t="str" cm="1">
        <f t="array" ref="Q325">IF(OR($O325&lt;Q$387,$O325&gt;Q$388),"",IFERROR(IF($O325=Q$387,100,Q324)*INDEX($B$2:$B$428,MATCH($O325,$A$2:$A$428,0))/INDEX($B$2:$B$428,MATCH($O325,$A$2:$A$428,0)-1),""))</f>
        <v/>
      </c>
      <c r="R325" s="19" t="str" cm="1">
        <f t="array" ref="R325">IF(OR($O325&lt;R$387,$O325&gt;R$388),"",IFERROR(IF($O325=R$387,100,R324)*INDEX($B$2:$B$428,MATCH($O325,$A$2:$A$428,0))/INDEX($B$2:$B$428,MATCH($O325,$A$2:$A$428,0)-1),""))</f>
        <v/>
      </c>
      <c r="S325" s="19" t="str" cm="1">
        <f t="array" ref="S325">IF(OR($O325&lt;S$387,$O325&gt;S$388),"",IFERROR(IF($O325=S$387,100,S324)*INDEX($B$2:$B$428,MATCH($O325,$A$2:$A$428,0))/INDEX($B$2:$B$428,MATCH($O325,$A$2:$A$428,0)-1),""))</f>
        <v/>
      </c>
      <c r="T325" s="19" t="str" cm="1">
        <f t="array" ref="T325">IF(OR($O325&lt;T$387,$O325&gt;T$388),"",IFERROR(IF($O325=T$387,100,T324)*INDEX($B$2:$B$428,MATCH($O325,$A$2:$A$428,0))/INDEX($B$2:$B$428,MATCH($O325,$A$2:$A$428,0)-1),""))</f>
        <v/>
      </c>
      <c r="U325" s="19" t="str" cm="1">
        <f t="array" ref="U325">IF(OR($O325&lt;U$387,$O325&gt;U$388),"",IFERROR(IF($O325=U$387,100,U324)*INDEX($B$2:$B$428,MATCH($O325,$A$2:$A$428,0))/INDEX($B$2:$B$428,MATCH($O325,$A$2:$A$428,0)-1),""))</f>
        <v/>
      </c>
      <c r="V325" s="19" t="str" cm="1">
        <f t="array" ref="V325">IF(OR($O325&lt;V$387,$O325&gt;V$388),"",IFERROR(IF($O325=V$387,100,V324)*INDEX($B$2:$B$428,MATCH($O325,$A$2:$A$428,0))/INDEX($B$2:$B$428,MATCH($O325,$A$2:$A$428,0)-1),""))</f>
        <v/>
      </c>
      <c r="W325" s="19" cm="1">
        <f t="array" ref="W325">IF(OR($O325&lt;W$387,$O325&gt;W$388),"",IFERROR(IF($O325=W$387,100,W324)*INDEX($B$2:$B$428,MATCH($O325,$A$2:$A$428,0))/INDEX($B$2:$B$428,MATCH($O325,$A$2:$A$428,0)-1),""))</f>
        <v>145.80850539132769</v>
      </c>
      <c r="X325" s="19" t="str" cm="1">
        <f t="array" ref="X325">IF(OR($O325&lt;X$387,$O325&gt;X$388),"",IFERROR(IF($O325=X$387,100,X324)*INDEX($B$2:$B$428,MATCH($O325,$A$2:$A$428,0))/INDEX($B$2:$B$428,MATCH($O325,$A$2:$A$428,0)-1),""))</f>
        <v/>
      </c>
      <c r="AA325" s="19"/>
      <c r="AB325" s="19"/>
      <c r="AC325" s="19"/>
      <c r="AD325" s="19"/>
      <c r="AE325" s="19"/>
      <c r="AF325" s="19"/>
      <c r="AG325" s="19"/>
      <c r="AH325" s="19"/>
      <c r="AJ325" s="11">
        <v>42705</v>
      </c>
      <c r="AK325">
        <v>6269328</v>
      </c>
      <c r="AL325" s="26">
        <f t="shared" si="36"/>
        <v>0.77422178421674537</v>
      </c>
    </row>
    <row r="326" spans="1:38" x14ac:dyDescent="0.3">
      <c r="A326" s="11">
        <v>43101</v>
      </c>
      <c r="B326" s="18">
        <v>2570190.7799999998</v>
      </c>
      <c r="C326" s="18">
        <v>3532846.45</v>
      </c>
      <c r="D326" s="18">
        <v>5417635.9900000002</v>
      </c>
      <c r="E326" s="11">
        <f t="shared" si="37"/>
        <v>43101</v>
      </c>
      <c r="F326" s="9">
        <f t="shared" si="33"/>
        <v>0.20498316287611229</v>
      </c>
      <c r="G326" s="9">
        <f t="shared" si="34"/>
        <v>0.1593946077229027</v>
      </c>
      <c r="H326" s="9">
        <f t="shared" si="35"/>
        <v>0.1221753897361777</v>
      </c>
      <c r="I326" s="11">
        <f t="shared" si="38"/>
        <v>43101</v>
      </c>
      <c r="O326" s="11">
        <v>44562</v>
      </c>
      <c r="P326" s="19" t="str" cm="1">
        <f t="array" ref="P326">IF(OR($O326&lt;P$387,$O326&gt;P$388),"",IFERROR(IF($O326=P$387,100,P325)*INDEX($B$2:$B$428,MATCH($O326,$A$2:$A$428,0))/INDEX($B$2:$B$428,MATCH($O326,$A$2:$A$428,0)-1),""))</f>
        <v/>
      </c>
      <c r="Q326" s="19" t="str" cm="1">
        <f t="array" ref="Q326">IF(OR($O326&lt;Q$387,$O326&gt;Q$388),"",IFERROR(IF($O326=Q$387,100,Q325)*INDEX($B$2:$B$428,MATCH($O326,$A$2:$A$428,0))/INDEX($B$2:$B$428,MATCH($O326,$A$2:$A$428,0)-1),""))</f>
        <v/>
      </c>
      <c r="R326" s="19" t="str" cm="1">
        <f t="array" ref="R326">IF(OR($O326&lt;R$387,$O326&gt;R$388),"",IFERROR(IF($O326=R$387,100,R325)*INDEX($B$2:$B$428,MATCH($O326,$A$2:$A$428,0))/INDEX($B$2:$B$428,MATCH($O326,$A$2:$A$428,0)-1),""))</f>
        <v/>
      </c>
      <c r="S326" s="19" t="str" cm="1">
        <f t="array" ref="S326">IF(OR($O326&lt;S$387,$O326&gt;S$388),"",IFERROR(IF($O326=S$387,100,S325)*INDEX($B$2:$B$428,MATCH($O326,$A$2:$A$428,0))/INDEX($B$2:$B$428,MATCH($O326,$A$2:$A$428,0)-1),""))</f>
        <v/>
      </c>
      <c r="T326" s="19" t="str" cm="1">
        <f t="array" ref="T326">IF(OR($O326&lt;T$387,$O326&gt;T$388),"",IFERROR(IF($O326=T$387,100,T325)*INDEX($B$2:$B$428,MATCH($O326,$A$2:$A$428,0))/INDEX($B$2:$B$428,MATCH($O326,$A$2:$A$428,0)-1),""))</f>
        <v/>
      </c>
      <c r="U326" s="19" t="str" cm="1">
        <f t="array" ref="U326">IF(OR($O326&lt;U$387,$O326&gt;U$388),"",IFERROR(IF($O326=U$387,100,U325)*INDEX($B$2:$B$428,MATCH($O326,$A$2:$A$428,0))/INDEX($B$2:$B$428,MATCH($O326,$A$2:$A$428,0)-1),""))</f>
        <v/>
      </c>
      <c r="V326" s="19" t="str" cm="1">
        <f t="array" ref="V326">IF(OR($O326&lt;V$387,$O326&gt;V$388),"",IFERROR(IF($O326=V$387,100,V325)*INDEX($B$2:$B$428,MATCH($O326,$A$2:$A$428,0))/INDEX($B$2:$B$428,MATCH($O326,$A$2:$A$428,0)-1),""))</f>
        <v/>
      </c>
      <c r="W326" s="19" cm="1">
        <f t="array" ref="W326">IF(OR($O326&lt;W$387,$O326&gt;W$388),"",IFERROR(IF($O326=W$387,100,W325)*INDEX($B$2:$B$428,MATCH($O326,$A$2:$A$428,0))/INDEX($B$2:$B$428,MATCH($O326,$A$2:$A$428,0)-1),""))</f>
        <v>146.78081161670684</v>
      </c>
      <c r="X326" s="19" t="str" cm="1">
        <f t="array" ref="X326">IF(OR($O326&lt;X$387,$O326&gt;X$388),"",IFERROR(IF($O326=X$387,100,X325)*INDEX($B$2:$B$428,MATCH($O326,$A$2:$A$428,0))/INDEX($B$2:$B$428,MATCH($O326,$A$2:$A$428,0)-1),""))</f>
        <v/>
      </c>
      <c r="AA326" s="19"/>
      <c r="AB326" s="19"/>
      <c r="AC326" s="19"/>
      <c r="AD326" s="19"/>
      <c r="AE326" s="19"/>
      <c r="AF326" s="19"/>
      <c r="AG326" s="19"/>
      <c r="AH326" s="19"/>
      <c r="AJ326" s="11">
        <v>42736</v>
      </c>
      <c r="AK326">
        <v>6300745.5</v>
      </c>
      <c r="AL326" s="26">
        <f t="shared" si="36"/>
        <v>0.76622645685339941</v>
      </c>
    </row>
    <row r="327" spans="1:38" x14ac:dyDescent="0.3">
      <c r="A327" s="11">
        <v>43132</v>
      </c>
      <c r="B327" s="18">
        <v>2587014.29</v>
      </c>
      <c r="C327" s="18">
        <v>3560272.77</v>
      </c>
      <c r="D327" s="18">
        <v>5484092.7300000004</v>
      </c>
      <c r="E327" s="11">
        <f t="shared" si="37"/>
        <v>43132</v>
      </c>
      <c r="F327" s="9">
        <f t="shared" si="33"/>
        <v>0.17921369161728506</v>
      </c>
      <c r="G327" s="9">
        <f t="shared" si="34"/>
        <v>0.14509266068179016</v>
      </c>
      <c r="H327" s="9">
        <f t="shared" si="35"/>
        <v>0.11177336981191188</v>
      </c>
      <c r="I327" s="11">
        <f t="shared" si="38"/>
        <v>43132</v>
      </c>
      <c r="O327" s="11">
        <v>44593</v>
      </c>
      <c r="P327" s="19" t="str" cm="1">
        <f t="array" ref="P327">IF(OR($O327&lt;P$387,$O327&gt;P$388),"",IFERROR(IF($O327=P$387,100,P326)*INDEX($B$2:$B$428,MATCH($O327,$A$2:$A$428,0))/INDEX($B$2:$B$428,MATCH($O327,$A$2:$A$428,0)-1),""))</f>
        <v/>
      </c>
      <c r="Q327" s="19" t="str" cm="1">
        <f t="array" ref="Q327">IF(OR($O327&lt;Q$387,$O327&gt;Q$388),"",IFERROR(IF($O327=Q$387,100,Q326)*INDEX($B$2:$B$428,MATCH($O327,$A$2:$A$428,0))/INDEX($B$2:$B$428,MATCH($O327,$A$2:$A$428,0)-1),""))</f>
        <v/>
      </c>
      <c r="R327" s="19" t="str" cm="1">
        <f t="array" ref="R327">IF(OR($O327&lt;R$387,$O327&gt;R$388),"",IFERROR(IF($O327=R$387,100,R326)*INDEX($B$2:$B$428,MATCH($O327,$A$2:$A$428,0))/INDEX($B$2:$B$428,MATCH($O327,$A$2:$A$428,0)-1),""))</f>
        <v/>
      </c>
      <c r="S327" s="19" t="str" cm="1">
        <f t="array" ref="S327">IF(OR($O327&lt;S$387,$O327&gt;S$388),"",IFERROR(IF($O327=S$387,100,S326)*INDEX($B$2:$B$428,MATCH($O327,$A$2:$A$428,0))/INDEX($B$2:$B$428,MATCH($O327,$A$2:$A$428,0)-1),""))</f>
        <v/>
      </c>
      <c r="T327" s="19" t="str" cm="1">
        <f t="array" ref="T327">IF(OR($O327&lt;T$387,$O327&gt;T$388),"",IFERROR(IF($O327=T$387,100,T326)*INDEX($B$2:$B$428,MATCH($O327,$A$2:$A$428,0))/INDEX($B$2:$B$428,MATCH($O327,$A$2:$A$428,0)-1),""))</f>
        <v/>
      </c>
      <c r="U327" s="19" t="str" cm="1">
        <f t="array" ref="U327">IF(OR($O327&lt;U$387,$O327&gt;U$388),"",IFERROR(IF($O327=U$387,100,U326)*INDEX($B$2:$B$428,MATCH($O327,$A$2:$A$428,0))/INDEX($B$2:$B$428,MATCH($O327,$A$2:$A$428,0)-1),""))</f>
        <v/>
      </c>
      <c r="V327" s="19" t="str" cm="1">
        <f t="array" ref="V327">IF(OR($O327&lt;V$387,$O327&gt;V$388),"",IFERROR(IF($O327=V$387,100,V326)*INDEX($B$2:$B$428,MATCH($O327,$A$2:$A$428,0))/INDEX($B$2:$B$428,MATCH($O327,$A$2:$A$428,0)-1),""))</f>
        <v/>
      </c>
      <c r="W327" s="19" cm="1">
        <f t="array" ref="W327">IF(OR($O327&lt;W$387,$O327&gt;W$388),"",IFERROR(IF($O327=W$387,100,W326)*INDEX($B$2:$B$428,MATCH($O327,$A$2:$A$428,0))/INDEX($B$2:$B$428,MATCH($O327,$A$2:$A$428,0)-1),""))</f>
        <v>150.81150254838406</v>
      </c>
      <c r="X327" s="19" t="str" cm="1">
        <f t="array" ref="X327">IF(OR($O327&lt;X$387,$O327&gt;X$388),"",IFERROR(IF($O327=X$387,100,X326)*INDEX($B$2:$B$428,MATCH($O327,$A$2:$A$428,0))/INDEX($B$2:$B$428,MATCH($O327,$A$2:$A$428,0)-1),""))</f>
        <v/>
      </c>
      <c r="AA327" s="19"/>
      <c r="AB327" s="19"/>
      <c r="AC327" s="19"/>
      <c r="AD327" s="19"/>
      <c r="AE327" s="19"/>
      <c r="AF327" s="19"/>
      <c r="AG327" s="19"/>
      <c r="AH327" s="19"/>
      <c r="AJ327" s="11">
        <v>42767</v>
      </c>
      <c r="AK327">
        <v>6321571.7000000002</v>
      </c>
      <c r="AL327" s="26">
        <f t="shared" si="36"/>
        <v>0.78030331918880236</v>
      </c>
    </row>
    <row r="328" spans="1:38" x14ac:dyDescent="0.3">
      <c r="A328" s="11">
        <v>43160</v>
      </c>
      <c r="B328" s="18">
        <v>2610601.42</v>
      </c>
      <c r="C328" s="18">
        <v>3579759.73</v>
      </c>
      <c r="D328" s="18">
        <v>5593531.1399999997</v>
      </c>
      <c r="E328" s="11">
        <f t="shared" si="37"/>
        <v>43160</v>
      </c>
      <c r="F328" s="9">
        <f t="shared" si="33"/>
        <v>0.17142879104490771</v>
      </c>
      <c r="G328" s="9">
        <f t="shared" si="34"/>
        <v>0.1406334207019464</v>
      </c>
      <c r="H328" s="9">
        <f t="shared" si="35"/>
        <v>0.10710918182276385</v>
      </c>
      <c r="I328" s="11">
        <f t="shared" si="38"/>
        <v>43160</v>
      </c>
      <c r="O328" s="11">
        <v>44621</v>
      </c>
      <c r="P328" s="19" t="str" cm="1">
        <f t="array" ref="P328">IF(OR($O328&lt;P$387,$O328&gt;P$388),"",IFERROR(IF($O328=P$387,100,P327)*INDEX($B$2:$B$428,MATCH($O328,$A$2:$A$428,0))/INDEX($B$2:$B$428,MATCH($O328,$A$2:$A$428,0)-1),""))</f>
        <v/>
      </c>
      <c r="Q328" s="19" t="str" cm="1">
        <f t="array" ref="Q328">IF(OR($O328&lt;Q$387,$O328&gt;Q$388),"",IFERROR(IF($O328=Q$387,100,Q327)*INDEX($B$2:$B$428,MATCH($O328,$A$2:$A$428,0))/INDEX($B$2:$B$428,MATCH($O328,$A$2:$A$428,0)-1),""))</f>
        <v/>
      </c>
      <c r="R328" s="19" t="str" cm="1">
        <f t="array" ref="R328">IF(OR($O328&lt;R$387,$O328&gt;R$388),"",IFERROR(IF($O328=R$387,100,R327)*INDEX($B$2:$B$428,MATCH($O328,$A$2:$A$428,0))/INDEX($B$2:$B$428,MATCH($O328,$A$2:$A$428,0)-1),""))</f>
        <v/>
      </c>
      <c r="S328" s="19" t="str" cm="1">
        <f t="array" ref="S328">IF(OR($O328&lt;S$387,$O328&gt;S$388),"",IFERROR(IF($O328=S$387,100,S327)*INDEX($B$2:$B$428,MATCH($O328,$A$2:$A$428,0))/INDEX($B$2:$B$428,MATCH($O328,$A$2:$A$428,0)-1),""))</f>
        <v/>
      </c>
      <c r="T328" s="19" t="str" cm="1">
        <f t="array" ref="T328">IF(OR($O328&lt;T$387,$O328&gt;T$388),"",IFERROR(IF($O328=T$387,100,T327)*INDEX($B$2:$B$428,MATCH($O328,$A$2:$A$428,0))/INDEX($B$2:$B$428,MATCH($O328,$A$2:$A$428,0)-1),""))</f>
        <v/>
      </c>
      <c r="U328" s="19" t="str" cm="1">
        <f t="array" ref="U328">IF(OR($O328&lt;U$387,$O328&gt;U$388),"",IFERROR(IF($O328=U$387,100,U327)*INDEX($B$2:$B$428,MATCH($O328,$A$2:$A$428,0))/INDEX($B$2:$B$428,MATCH($O328,$A$2:$A$428,0)-1),""))</f>
        <v/>
      </c>
      <c r="V328" s="19" t="str" cm="1">
        <f t="array" ref="V328">IF(OR($O328&lt;V$387,$O328&gt;V$388),"",IFERROR(IF($O328=V$387,100,V327)*INDEX($B$2:$B$428,MATCH($O328,$A$2:$A$428,0))/INDEX($B$2:$B$428,MATCH($O328,$A$2:$A$428,0)-1),""))</f>
        <v/>
      </c>
      <c r="W328" s="19" cm="1">
        <f t="array" ref="W328">IF(OR($O328&lt;W$387,$O328&gt;W$388),"",IFERROR(IF($O328=W$387,100,W327)*INDEX($B$2:$B$428,MATCH($O328,$A$2:$A$428,0))/INDEX($B$2:$B$428,MATCH($O328,$A$2:$A$428,0)-1),""))</f>
        <v>157.09052568558985</v>
      </c>
      <c r="X328" s="19" t="str" cm="1">
        <f t="array" ref="X328">IF(OR($O328&lt;X$387,$O328&gt;X$388),"",IFERROR(IF($O328=X$387,100,X327)*INDEX($B$2:$B$428,MATCH($O328,$A$2:$A$428,0))/INDEX($B$2:$B$428,MATCH($O328,$A$2:$A$428,0)-1),""))</f>
        <v/>
      </c>
      <c r="AA328" s="19"/>
      <c r="AB328" s="19"/>
      <c r="AC328" s="19"/>
      <c r="AD328" s="19"/>
      <c r="AE328" s="19"/>
      <c r="AF328" s="19"/>
      <c r="AG328" s="19"/>
      <c r="AH328" s="19"/>
      <c r="AJ328" s="11">
        <v>42795</v>
      </c>
      <c r="AK328">
        <v>6354702.5</v>
      </c>
      <c r="AL328" s="26">
        <f t="shared" si="36"/>
        <v>0.79506087814496429</v>
      </c>
    </row>
    <row r="329" spans="1:38" x14ac:dyDescent="0.3">
      <c r="A329" s="11">
        <v>43191</v>
      </c>
      <c r="B329" s="18">
        <v>2580417</v>
      </c>
      <c r="C329" s="18">
        <v>3566365.94</v>
      </c>
      <c r="D329" s="18">
        <v>5645608.3700000001</v>
      </c>
      <c r="E329" s="11">
        <f t="shared" si="37"/>
        <v>43191</v>
      </c>
      <c r="F329" s="9">
        <f t="shared" si="33"/>
        <v>0.15716155342883598</v>
      </c>
      <c r="G329" s="9">
        <f t="shared" si="34"/>
        <v>0.13340662113589641</v>
      </c>
      <c r="H329" s="9">
        <f t="shared" si="35"/>
        <v>0.11188711461879097</v>
      </c>
      <c r="I329" s="11">
        <f t="shared" si="38"/>
        <v>43191</v>
      </c>
      <c r="O329" s="11">
        <v>44652</v>
      </c>
      <c r="P329" s="19" t="str" cm="1">
        <f t="array" ref="P329">IF(OR($O329&lt;P$387,$O329&gt;P$388),"",IFERROR(IF($O329=P$387,100,P328)*INDEX($B$2:$B$428,MATCH($O329,$A$2:$A$428,0))/INDEX($B$2:$B$428,MATCH($O329,$A$2:$A$428,0)-1),""))</f>
        <v/>
      </c>
      <c r="Q329" s="19" t="str" cm="1">
        <f t="array" ref="Q329">IF(OR($O329&lt;Q$387,$O329&gt;Q$388),"",IFERROR(IF($O329=Q$387,100,Q328)*INDEX($B$2:$B$428,MATCH($O329,$A$2:$A$428,0))/INDEX($B$2:$B$428,MATCH($O329,$A$2:$A$428,0)-1),""))</f>
        <v/>
      </c>
      <c r="R329" s="19" t="str" cm="1">
        <f t="array" ref="R329">IF(OR($O329&lt;R$387,$O329&gt;R$388),"",IFERROR(IF($O329=R$387,100,R328)*INDEX($B$2:$B$428,MATCH($O329,$A$2:$A$428,0))/INDEX($B$2:$B$428,MATCH($O329,$A$2:$A$428,0)-1),""))</f>
        <v/>
      </c>
      <c r="S329" s="19" t="str" cm="1">
        <f t="array" ref="S329">IF(OR($O329&lt;S$387,$O329&gt;S$388),"",IFERROR(IF($O329=S$387,100,S328)*INDEX($B$2:$B$428,MATCH($O329,$A$2:$A$428,0))/INDEX($B$2:$B$428,MATCH($O329,$A$2:$A$428,0)-1),""))</f>
        <v/>
      </c>
      <c r="T329" s="19" t="str" cm="1">
        <f t="array" ref="T329">IF(OR($O329&lt;T$387,$O329&gt;T$388),"",IFERROR(IF($O329=T$387,100,T328)*INDEX($B$2:$B$428,MATCH($O329,$A$2:$A$428,0))/INDEX($B$2:$B$428,MATCH($O329,$A$2:$A$428,0)-1),""))</f>
        <v/>
      </c>
      <c r="U329" s="19" t="str" cm="1">
        <f t="array" ref="U329">IF(OR($O329&lt;U$387,$O329&gt;U$388),"",IFERROR(IF($O329=U$387,100,U328)*INDEX($B$2:$B$428,MATCH($O329,$A$2:$A$428,0))/INDEX($B$2:$B$428,MATCH($O329,$A$2:$A$428,0)-1),""))</f>
        <v/>
      </c>
      <c r="V329" s="19" t="str" cm="1">
        <f t="array" ref="V329">IF(OR($O329&lt;V$387,$O329&gt;V$388),"",IFERROR(IF($O329=V$387,100,V328)*INDEX($B$2:$B$428,MATCH($O329,$A$2:$A$428,0))/INDEX($B$2:$B$428,MATCH($O329,$A$2:$A$428,0)-1),""))</f>
        <v/>
      </c>
      <c r="W329" s="19" cm="1">
        <f t="array" ref="W329">IF(OR($O329&lt;W$387,$O329&gt;W$388),"",IFERROR(IF($O329=W$387,100,W328)*INDEX($B$2:$B$428,MATCH($O329,$A$2:$A$428,0))/INDEX($B$2:$B$428,MATCH($O329,$A$2:$A$428,0)-1),""))</f>
        <v>158.03721265424986</v>
      </c>
      <c r="X329" s="19" t="str" cm="1">
        <f t="array" ref="X329">IF(OR($O329&lt;X$387,$O329&gt;X$388),"",IFERROR(IF($O329=X$387,100,X328)*INDEX($B$2:$B$428,MATCH($O329,$A$2:$A$428,0))/INDEX($B$2:$B$428,MATCH($O329,$A$2:$A$428,0)-1),""))</f>
        <v/>
      </c>
      <c r="AA329" s="19"/>
      <c r="AB329" s="19"/>
      <c r="AC329" s="19"/>
      <c r="AD329" s="19"/>
      <c r="AE329" s="19"/>
      <c r="AF329" s="19"/>
      <c r="AG329" s="19"/>
      <c r="AH329" s="19"/>
      <c r="AJ329" s="11">
        <v>42826</v>
      </c>
      <c r="AK329">
        <v>6372040</v>
      </c>
      <c r="AL329" s="26">
        <f t="shared" si="36"/>
        <v>0.79684079039051847</v>
      </c>
    </row>
    <row r="330" spans="1:38" x14ac:dyDescent="0.3">
      <c r="A330" s="11">
        <v>43221</v>
      </c>
      <c r="B330" s="18">
        <v>2536043.83</v>
      </c>
      <c r="C330" s="18">
        <v>3540645.07</v>
      </c>
      <c r="D330" s="18">
        <v>5728935.0199999996</v>
      </c>
      <c r="E330" s="11">
        <f t="shared" si="37"/>
        <v>43221</v>
      </c>
      <c r="F330" s="9">
        <f t="shared" si="33"/>
        <v>0.11421976029408443</v>
      </c>
      <c r="G330" s="9">
        <f t="shared" si="34"/>
        <v>0.10674913042012246</v>
      </c>
      <c r="H330" s="9">
        <f t="shared" si="35"/>
        <v>0.13112194687813972</v>
      </c>
      <c r="I330" s="11">
        <f t="shared" si="38"/>
        <v>43221</v>
      </c>
      <c r="O330" s="11">
        <v>44682</v>
      </c>
      <c r="P330" s="19" t="str" cm="1">
        <f t="array" ref="P330">IF(OR($O330&lt;P$387,$O330&gt;P$388),"",IFERROR(IF($O330=P$387,100,P329)*INDEX($B$2:$B$428,MATCH($O330,$A$2:$A$428,0))/INDEX($B$2:$B$428,MATCH($O330,$A$2:$A$428,0)-1),""))</f>
        <v/>
      </c>
      <c r="Q330" s="19" t="str" cm="1">
        <f t="array" ref="Q330">IF(OR($O330&lt;Q$387,$O330&gt;Q$388),"",IFERROR(IF($O330=Q$387,100,Q329)*INDEX($B$2:$B$428,MATCH($O330,$A$2:$A$428,0))/INDEX($B$2:$B$428,MATCH($O330,$A$2:$A$428,0)-1),""))</f>
        <v/>
      </c>
      <c r="R330" s="19" t="str" cm="1">
        <f t="array" ref="R330">IF(OR($O330&lt;R$387,$O330&gt;R$388),"",IFERROR(IF($O330=R$387,100,R329)*INDEX($B$2:$B$428,MATCH($O330,$A$2:$A$428,0))/INDEX($B$2:$B$428,MATCH($O330,$A$2:$A$428,0)-1),""))</f>
        <v/>
      </c>
      <c r="S330" s="19" t="str" cm="1">
        <f t="array" ref="S330">IF(OR($O330&lt;S$387,$O330&gt;S$388),"",IFERROR(IF($O330=S$387,100,S329)*INDEX($B$2:$B$428,MATCH($O330,$A$2:$A$428,0))/INDEX($B$2:$B$428,MATCH($O330,$A$2:$A$428,0)-1),""))</f>
        <v/>
      </c>
      <c r="T330" s="19" t="str" cm="1">
        <f t="array" ref="T330">IF(OR($O330&lt;T$387,$O330&gt;T$388),"",IFERROR(IF($O330=T$387,100,T329)*INDEX($B$2:$B$428,MATCH($O330,$A$2:$A$428,0))/INDEX($B$2:$B$428,MATCH($O330,$A$2:$A$428,0)-1),""))</f>
        <v/>
      </c>
      <c r="U330" s="19" t="str" cm="1">
        <f t="array" ref="U330">IF(OR($O330&lt;U$387,$O330&gt;U$388),"",IFERROR(IF($O330=U$387,100,U329)*INDEX($B$2:$B$428,MATCH($O330,$A$2:$A$428,0))/INDEX($B$2:$B$428,MATCH($O330,$A$2:$A$428,0)-1),""))</f>
        <v/>
      </c>
      <c r="V330" s="19" t="str" cm="1">
        <f t="array" ref="V330">IF(OR($O330&lt;V$387,$O330&gt;V$388),"",IFERROR(IF($O330=V$387,100,V329)*INDEX($B$2:$B$428,MATCH($O330,$A$2:$A$428,0))/INDEX($B$2:$B$428,MATCH($O330,$A$2:$A$428,0)-1),""))</f>
        <v/>
      </c>
      <c r="W330" s="19" cm="1">
        <f t="array" ref="W330">IF(OR($O330&lt;W$387,$O330&gt;W$388),"",IFERROR(IF($O330=W$387,100,W329)*INDEX($B$2:$B$428,MATCH($O330,$A$2:$A$428,0))/INDEX($B$2:$B$428,MATCH($O330,$A$2:$A$428,0)-1),""))</f>
        <v>162.35260356456257</v>
      </c>
      <c r="X330" s="19" t="str" cm="1">
        <f t="array" ref="X330">IF(OR($O330&lt;X$387,$O330&gt;X$388),"",IFERROR(IF($O330=X$387,100,X329)*INDEX($B$2:$B$428,MATCH($O330,$A$2:$A$428,0))/INDEX($B$2:$B$428,MATCH($O330,$A$2:$A$428,0)-1),""))</f>
        <v/>
      </c>
      <c r="AA330" s="19"/>
      <c r="AB330" s="19"/>
      <c r="AC330" s="19"/>
      <c r="AD330" s="19"/>
      <c r="AE330" s="19"/>
      <c r="AF330" s="19"/>
      <c r="AG330" s="19"/>
      <c r="AH330" s="19"/>
      <c r="AJ330" s="11">
        <v>42856</v>
      </c>
      <c r="AK330">
        <v>6405472</v>
      </c>
      <c r="AL330" s="26">
        <f t="shared" si="36"/>
        <v>0.79070289746017153</v>
      </c>
    </row>
    <row r="331" spans="1:38" x14ac:dyDescent="0.3">
      <c r="A331" s="11">
        <v>43252</v>
      </c>
      <c r="B331" s="18">
        <v>2550506.75</v>
      </c>
      <c r="C331" s="18">
        <v>3573675.31</v>
      </c>
      <c r="D331" s="18">
        <v>5790723.4000000004</v>
      </c>
      <c r="E331" s="11">
        <f t="shared" si="37"/>
        <v>43252</v>
      </c>
      <c r="F331" s="9">
        <f t="shared" si="33"/>
        <v>0.1048157524156772</v>
      </c>
      <c r="G331" s="9">
        <f t="shared" si="34"/>
        <v>0.10619311183397429</v>
      </c>
      <c r="H331" s="9">
        <f t="shared" si="35"/>
        <v>0.11870603881153396</v>
      </c>
      <c r="I331" s="11">
        <f t="shared" si="38"/>
        <v>43252</v>
      </c>
      <c r="O331" s="11">
        <v>44713</v>
      </c>
      <c r="P331" s="19" t="str" cm="1">
        <f t="array" ref="P331">IF(OR($O331&lt;P$387,$O331&gt;P$388),"",IFERROR(IF($O331=P$387,100,P330)*INDEX($B$2:$B$428,MATCH($O331,$A$2:$A$428,0))/INDEX($B$2:$B$428,MATCH($O331,$A$2:$A$428,0)-1),""))</f>
        <v/>
      </c>
      <c r="Q331" s="19" t="str" cm="1">
        <f t="array" ref="Q331">IF(OR($O331&lt;Q$387,$O331&gt;Q$388),"",IFERROR(IF($O331=Q$387,100,Q330)*INDEX($B$2:$B$428,MATCH($O331,$A$2:$A$428,0))/INDEX($B$2:$B$428,MATCH($O331,$A$2:$A$428,0)-1),""))</f>
        <v/>
      </c>
      <c r="R331" s="19" t="str" cm="1">
        <f t="array" ref="R331">IF(OR($O331&lt;R$387,$O331&gt;R$388),"",IFERROR(IF($O331=R$387,100,R330)*INDEX($B$2:$B$428,MATCH($O331,$A$2:$A$428,0))/INDEX($B$2:$B$428,MATCH($O331,$A$2:$A$428,0)-1),""))</f>
        <v/>
      </c>
      <c r="S331" s="19" t="str" cm="1">
        <f t="array" ref="S331">IF(OR($O331&lt;S$387,$O331&gt;S$388),"",IFERROR(IF($O331=S$387,100,S330)*INDEX($B$2:$B$428,MATCH($O331,$A$2:$A$428,0))/INDEX($B$2:$B$428,MATCH($O331,$A$2:$A$428,0)-1),""))</f>
        <v/>
      </c>
      <c r="T331" s="19" t="str" cm="1">
        <f t="array" ref="T331">IF(OR($O331&lt;T$387,$O331&gt;T$388),"",IFERROR(IF($O331=T$387,100,T330)*INDEX($B$2:$B$428,MATCH($O331,$A$2:$A$428,0))/INDEX($B$2:$B$428,MATCH($O331,$A$2:$A$428,0)-1),""))</f>
        <v/>
      </c>
      <c r="U331" s="19" t="str" cm="1">
        <f t="array" ref="U331">IF(OR($O331&lt;U$387,$O331&gt;U$388),"",IFERROR(IF($O331=U$387,100,U330)*INDEX($B$2:$B$428,MATCH($O331,$A$2:$A$428,0))/INDEX($B$2:$B$428,MATCH($O331,$A$2:$A$428,0)-1),""))</f>
        <v/>
      </c>
      <c r="V331" s="19" t="str" cm="1">
        <f t="array" ref="V331">IF(OR($O331&lt;V$387,$O331&gt;V$388),"",IFERROR(IF($O331=V$387,100,V330)*INDEX($B$2:$B$428,MATCH($O331,$A$2:$A$428,0))/INDEX($B$2:$B$428,MATCH($O331,$A$2:$A$428,0)-1),""))</f>
        <v/>
      </c>
      <c r="W331" s="19" cm="1">
        <f t="array" ref="W331">IF(OR($O331&lt;W$387,$O331&gt;W$388),"",IFERROR(IF($O331=W$387,100,W330)*INDEX($B$2:$B$428,MATCH($O331,$A$2:$A$428,0))/INDEX($B$2:$B$428,MATCH($O331,$A$2:$A$428,0)-1),""))</f>
        <v>160.59527322108329</v>
      </c>
      <c r="X331" s="19" t="str" cm="1">
        <f t="array" ref="X331">IF(OR($O331&lt;X$387,$O331&gt;X$388),"",IFERROR(IF($O331=X$387,100,X330)*INDEX($B$2:$B$428,MATCH($O331,$A$2:$A$428,0))/INDEX($B$2:$B$428,MATCH($O331,$A$2:$A$428,0)-1),""))</f>
        <v/>
      </c>
      <c r="AA331" s="19"/>
      <c r="AB331" s="19"/>
      <c r="AC331" s="19"/>
      <c r="AD331" s="19"/>
      <c r="AE331" s="19"/>
      <c r="AF331" s="19"/>
      <c r="AG331" s="19"/>
      <c r="AH331" s="19"/>
      <c r="AJ331" s="11">
        <v>42887</v>
      </c>
      <c r="AK331">
        <v>6426381.9000000004</v>
      </c>
      <c r="AL331" s="26">
        <f t="shared" si="36"/>
        <v>0.80547173986034026</v>
      </c>
    </row>
    <row r="332" spans="1:38" x14ac:dyDescent="0.3">
      <c r="A332" s="11">
        <v>43282</v>
      </c>
      <c r="B332" s="18">
        <v>2614412.79</v>
      </c>
      <c r="C332" s="18">
        <v>3641522.19</v>
      </c>
      <c r="D332" s="18">
        <v>5758837.4500000002</v>
      </c>
      <c r="E332" s="11">
        <f t="shared" si="37"/>
        <v>43282</v>
      </c>
      <c r="F332" s="9">
        <f t="shared" si="33"/>
        <v>8.7110240514229886E-2</v>
      </c>
      <c r="G332" s="9">
        <f t="shared" si="34"/>
        <v>9.5672396316880626E-2</v>
      </c>
      <c r="H332" s="9">
        <f t="shared" si="35"/>
        <v>0.12683287798790555</v>
      </c>
      <c r="I332" s="11">
        <f t="shared" si="38"/>
        <v>43282</v>
      </c>
      <c r="O332" s="11">
        <v>44743</v>
      </c>
      <c r="P332" s="19" t="str" cm="1">
        <f t="array" ref="P332">IF(OR($O332&lt;P$387,$O332&gt;P$388),"",IFERROR(IF($O332=P$387,100,P331)*INDEX($B$2:$B$428,MATCH($O332,$A$2:$A$428,0))/INDEX($B$2:$B$428,MATCH($O332,$A$2:$A$428,0)-1),""))</f>
        <v/>
      </c>
      <c r="Q332" s="19" t="str" cm="1">
        <f t="array" ref="Q332">IF(OR($O332&lt;Q$387,$O332&gt;Q$388),"",IFERROR(IF($O332=Q$387,100,Q331)*INDEX($B$2:$B$428,MATCH($O332,$A$2:$A$428,0))/INDEX($B$2:$B$428,MATCH($O332,$A$2:$A$428,0)-1),""))</f>
        <v/>
      </c>
      <c r="R332" s="19" t="str" cm="1">
        <f t="array" ref="R332">IF(OR($O332&lt;R$387,$O332&gt;R$388),"",IFERROR(IF($O332=R$387,100,R331)*INDEX($B$2:$B$428,MATCH($O332,$A$2:$A$428,0))/INDEX($B$2:$B$428,MATCH($O332,$A$2:$A$428,0)-1),""))</f>
        <v/>
      </c>
      <c r="S332" s="19" t="str" cm="1">
        <f t="array" ref="S332">IF(OR($O332&lt;S$387,$O332&gt;S$388),"",IFERROR(IF($O332=S$387,100,S331)*INDEX($B$2:$B$428,MATCH($O332,$A$2:$A$428,0))/INDEX($B$2:$B$428,MATCH($O332,$A$2:$A$428,0)-1),""))</f>
        <v/>
      </c>
      <c r="T332" s="19" t="str" cm="1">
        <f t="array" ref="T332">IF(OR($O332&lt;T$387,$O332&gt;T$388),"",IFERROR(IF($O332=T$387,100,T331)*INDEX($B$2:$B$428,MATCH($O332,$A$2:$A$428,0))/INDEX($B$2:$B$428,MATCH($O332,$A$2:$A$428,0)-1),""))</f>
        <v/>
      </c>
      <c r="U332" s="19" t="str" cm="1">
        <f t="array" ref="U332">IF(OR($O332&lt;U$387,$O332&gt;U$388),"",IFERROR(IF($O332=U$387,100,U331)*INDEX($B$2:$B$428,MATCH($O332,$A$2:$A$428,0))/INDEX($B$2:$B$428,MATCH($O332,$A$2:$A$428,0)-1),""))</f>
        <v/>
      </c>
      <c r="V332" s="19" t="str" cm="1">
        <f t="array" ref="V332">IF(OR($O332&lt;V$387,$O332&gt;V$388),"",IFERROR(IF($O332=V$387,100,V331)*INDEX($B$2:$B$428,MATCH($O332,$A$2:$A$428,0))/INDEX($B$2:$B$428,MATCH($O332,$A$2:$A$428,0)-1),""))</f>
        <v/>
      </c>
      <c r="W332" s="19" cm="1">
        <f t="array" ref="W332">IF(OR($O332&lt;W$387,$O332&gt;W$388),"",IFERROR(IF($O332=W$387,100,W331)*INDEX($B$2:$B$428,MATCH($O332,$A$2:$A$428,0))/INDEX($B$2:$B$428,MATCH($O332,$A$2:$A$428,0)-1),""))</f>
        <v>161.06756648377853</v>
      </c>
      <c r="X332" s="19" t="str" cm="1">
        <f t="array" ref="X332">IF(OR($O332&lt;X$387,$O332&gt;X$388),"",IFERROR(IF($O332=X$387,100,X331)*INDEX($B$2:$B$428,MATCH($O332,$A$2:$A$428,0))/INDEX($B$2:$B$428,MATCH($O332,$A$2:$A$428,0)-1),""))</f>
        <v/>
      </c>
      <c r="AA332" s="19"/>
      <c r="AB332" s="19"/>
      <c r="AC332" s="19"/>
      <c r="AD332" s="19"/>
      <c r="AE332" s="19"/>
      <c r="AF332" s="19"/>
      <c r="AG332" s="19"/>
      <c r="AH332" s="19"/>
      <c r="AJ332" s="11">
        <v>42917</v>
      </c>
      <c r="AK332">
        <v>6452700.5999999996</v>
      </c>
      <c r="AL332" s="26">
        <f t="shared" si="36"/>
        <v>0.79201570889559025</v>
      </c>
    </row>
    <row r="333" spans="1:38" x14ac:dyDescent="0.3">
      <c r="A333" s="11">
        <v>43313</v>
      </c>
      <c r="B333" s="18">
        <v>2549295.08</v>
      </c>
      <c r="C333" s="18">
        <v>3595765.86</v>
      </c>
      <c r="D333" s="18">
        <v>5804033.4699999997</v>
      </c>
      <c r="E333" s="11">
        <f t="shared" si="37"/>
        <v>43313</v>
      </c>
      <c r="F333" s="9">
        <f t="shared" si="33"/>
        <v>4.3745158267801898E-2</v>
      </c>
      <c r="G333" s="9">
        <f t="shared" si="34"/>
        <v>6.7861902103431904E-2</v>
      </c>
      <c r="H333" s="9">
        <f t="shared" si="35"/>
        <v>0.10682644296940769</v>
      </c>
      <c r="I333" s="11">
        <f t="shared" si="38"/>
        <v>43313</v>
      </c>
      <c r="O333" s="11">
        <v>44774</v>
      </c>
      <c r="P333" s="19" t="str" cm="1">
        <f t="array" ref="P333">IF(OR($O333&lt;P$387,$O333&gt;P$388),"",IFERROR(IF($O333=P$387,100,P332)*INDEX($B$2:$B$428,MATCH($O333,$A$2:$A$428,0))/INDEX($B$2:$B$428,MATCH($O333,$A$2:$A$428,0)-1),""))</f>
        <v/>
      </c>
      <c r="Q333" s="19" t="str" cm="1">
        <f t="array" ref="Q333">IF(OR($O333&lt;Q$387,$O333&gt;Q$388),"",IFERROR(IF($O333=Q$387,100,Q332)*INDEX($B$2:$B$428,MATCH($O333,$A$2:$A$428,0))/INDEX($B$2:$B$428,MATCH($O333,$A$2:$A$428,0)-1),""))</f>
        <v/>
      </c>
      <c r="R333" s="19" t="str" cm="1">
        <f t="array" ref="R333">IF(OR($O333&lt;R$387,$O333&gt;R$388),"",IFERROR(IF($O333=R$387,100,R332)*INDEX($B$2:$B$428,MATCH($O333,$A$2:$A$428,0))/INDEX($B$2:$B$428,MATCH($O333,$A$2:$A$428,0)-1),""))</f>
        <v/>
      </c>
      <c r="S333" s="19" t="str" cm="1">
        <f t="array" ref="S333">IF(OR($O333&lt;S$387,$O333&gt;S$388),"",IFERROR(IF($O333=S$387,100,S332)*INDEX($B$2:$B$428,MATCH($O333,$A$2:$A$428,0))/INDEX($B$2:$B$428,MATCH($O333,$A$2:$A$428,0)-1),""))</f>
        <v/>
      </c>
      <c r="T333" s="19" t="str" cm="1">
        <f t="array" ref="T333">IF(OR($O333&lt;T$387,$O333&gt;T$388),"",IFERROR(IF($O333=T$387,100,T332)*INDEX($B$2:$B$428,MATCH($O333,$A$2:$A$428,0))/INDEX($B$2:$B$428,MATCH($O333,$A$2:$A$428,0)-1),""))</f>
        <v/>
      </c>
      <c r="U333" s="19" t="str" cm="1">
        <f t="array" ref="U333">IF(OR($O333&lt;U$387,$O333&gt;U$388),"",IFERROR(IF($O333=U$387,100,U332)*INDEX($B$2:$B$428,MATCH($O333,$A$2:$A$428,0))/INDEX($B$2:$B$428,MATCH($O333,$A$2:$A$428,0)-1),""))</f>
        <v/>
      </c>
      <c r="V333" s="19" t="str" cm="1">
        <f t="array" ref="V333">IF(OR($O333&lt;V$387,$O333&gt;V$388),"",IFERROR(IF($O333=V$387,100,V332)*INDEX($B$2:$B$428,MATCH($O333,$A$2:$A$428,0))/INDEX($B$2:$B$428,MATCH($O333,$A$2:$A$428,0)-1),""))</f>
        <v/>
      </c>
      <c r="W333" s="19" cm="1">
        <f t="array" ref="W333">IF(OR($O333&lt;W$387,$O333&gt;W$388),"",IFERROR(IF($O333=W$387,100,W332)*INDEX($B$2:$B$428,MATCH($O333,$A$2:$A$428,0))/INDEX($B$2:$B$428,MATCH($O333,$A$2:$A$428,0)-1),""))</f>
        <v>165.30939013747266</v>
      </c>
      <c r="X333" s="19" t="str" cm="1">
        <f t="array" ref="X333">IF(OR($O333&lt;X$387,$O333&gt;X$388),"",IFERROR(IF($O333=X$387,100,X332)*INDEX($B$2:$B$428,MATCH($O333,$A$2:$A$428,0))/INDEX($B$2:$B$428,MATCH($O333,$A$2:$A$428,0)-1),""))</f>
        <v/>
      </c>
      <c r="AA333" s="19"/>
      <c r="AB333" s="19"/>
      <c r="AC333" s="19"/>
      <c r="AD333" s="19"/>
      <c r="AE333" s="19"/>
      <c r="AF333" s="19"/>
      <c r="AG333" s="19"/>
      <c r="AH333" s="19"/>
      <c r="AJ333" s="11">
        <v>42948</v>
      </c>
      <c r="AK333">
        <v>6478412.5</v>
      </c>
      <c r="AL333" s="26">
        <f t="shared" si="36"/>
        <v>0.80943463695774232</v>
      </c>
    </row>
    <row r="334" spans="1:38" x14ac:dyDescent="0.3">
      <c r="A334" s="11">
        <v>43344</v>
      </c>
      <c r="B334" s="18">
        <v>2635318.9300000002</v>
      </c>
      <c r="C334" s="18">
        <v>3673267.23</v>
      </c>
      <c r="D334" s="18">
        <v>5830451.9299999997</v>
      </c>
      <c r="E334" s="11">
        <f t="shared" si="37"/>
        <v>43344</v>
      </c>
      <c r="F334" s="9">
        <f t="shared" ref="F334:F397" si="39">B334/B322-1</f>
        <v>5.8287904945619085E-2</v>
      </c>
      <c r="G334" s="9">
        <f t="shared" ref="G334:G397" si="40">C334/C322-1</f>
        <v>7.6743515849890587E-2</v>
      </c>
      <c r="H334" s="9">
        <f t="shared" ref="H334:H397" si="41">D334/D322-1</f>
        <v>0.10183262459207176</v>
      </c>
      <c r="I334" s="11">
        <f t="shared" si="38"/>
        <v>43344</v>
      </c>
      <c r="O334" s="11">
        <v>44805</v>
      </c>
      <c r="P334" s="19" t="str" cm="1">
        <f t="array" ref="P334">IF(OR($O334&lt;P$387,$O334&gt;P$388),"",IFERROR(IF($O334=P$387,100,P333)*INDEX($B$2:$B$428,MATCH($O334,$A$2:$A$428,0))/INDEX($B$2:$B$428,MATCH($O334,$A$2:$A$428,0)-1),""))</f>
        <v/>
      </c>
      <c r="Q334" s="19" t="str" cm="1">
        <f t="array" ref="Q334">IF(OR($O334&lt;Q$387,$O334&gt;Q$388),"",IFERROR(IF($O334=Q$387,100,Q333)*INDEX($B$2:$B$428,MATCH($O334,$A$2:$A$428,0))/INDEX($B$2:$B$428,MATCH($O334,$A$2:$A$428,0)-1),""))</f>
        <v/>
      </c>
      <c r="R334" s="19" t="str" cm="1">
        <f t="array" ref="R334">IF(OR($O334&lt;R$387,$O334&gt;R$388),"",IFERROR(IF($O334=R$387,100,R333)*INDEX($B$2:$B$428,MATCH($O334,$A$2:$A$428,0))/INDEX($B$2:$B$428,MATCH($O334,$A$2:$A$428,0)-1),""))</f>
        <v/>
      </c>
      <c r="S334" s="19" t="str" cm="1">
        <f t="array" ref="S334">IF(OR($O334&lt;S$387,$O334&gt;S$388),"",IFERROR(IF($O334=S$387,100,S333)*INDEX($B$2:$B$428,MATCH($O334,$A$2:$A$428,0))/INDEX($B$2:$B$428,MATCH($O334,$A$2:$A$428,0)-1),""))</f>
        <v/>
      </c>
      <c r="T334" s="19" t="str" cm="1">
        <f t="array" ref="T334">IF(OR($O334&lt;T$387,$O334&gt;T$388),"",IFERROR(IF($O334=T$387,100,T333)*INDEX($B$2:$B$428,MATCH($O334,$A$2:$A$428,0))/INDEX($B$2:$B$428,MATCH($O334,$A$2:$A$428,0)-1),""))</f>
        <v/>
      </c>
      <c r="U334" s="19" t="str" cm="1">
        <f t="array" ref="U334">IF(OR($O334&lt;U$387,$O334&gt;U$388),"",IFERROR(IF($O334=U$387,100,U333)*INDEX($B$2:$B$428,MATCH($O334,$A$2:$A$428,0))/INDEX($B$2:$B$428,MATCH($O334,$A$2:$A$428,0)-1),""))</f>
        <v/>
      </c>
      <c r="V334" s="19" t="str" cm="1">
        <f t="array" ref="V334">IF(OR($O334&lt;V$387,$O334&gt;V$388),"",IFERROR(IF($O334=V$387,100,V333)*INDEX($B$2:$B$428,MATCH($O334,$A$2:$A$428,0))/INDEX($B$2:$B$428,MATCH($O334,$A$2:$A$428,0)-1),""))</f>
        <v/>
      </c>
      <c r="W334" s="19" cm="1">
        <f t="array" ref="W334">IF(OR($O334&lt;W$387,$O334&gt;W$388),"",IFERROR(IF($O334=W$387,100,W333)*INDEX($B$2:$B$428,MATCH($O334,$A$2:$A$428,0))/INDEX($B$2:$B$428,MATCH($O334,$A$2:$A$428,0)-1),""))</f>
        <v>166.59892010440268</v>
      </c>
      <c r="X334" s="19" t="str" cm="1">
        <f t="array" ref="X334">IF(OR($O334&lt;X$387,$O334&gt;X$388),"",IFERROR(IF($O334=X$387,100,X333)*INDEX($B$2:$B$428,MATCH($O334,$A$2:$A$428,0))/INDEX($B$2:$B$428,MATCH($O334,$A$2:$A$428,0)-1),""))</f>
        <v/>
      </c>
      <c r="AA334" s="19"/>
      <c r="AB334" s="19"/>
      <c r="AC334" s="19"/>
      <c r="AD334" s="19"/>
      <c r="AE334" s="19"/>
      <c r="AF334" s="19"/>
      <c r="AG334" s="19"/>
      <c r="AH334" s="19"/>
      <c r="AJ334" s="11">
        <v>42979</v>
      </c>
      <c r="AK334">
        <v>6497846.7000000002</v>
      </c>
      <c r="AL334" s="26">
        <f t="shared" ref="AL334:AL397" si="42">D322/AK334</f>
        <v>0.81436130680029728</v>
      </c>
    </row>
    <row r="335" spans="1:38" x14ac:dyDescent="0.3">
      <c r="A335" s="11">
        <v>43374</v>
      </c>
      <c r="B335" s="18">
        <v>2739822.1</v>
      </c>
      <c r="C335" s="18">
        <v>3772984.29</v>
      </c>
      <c r="D335" s="18">
        <v>5786986.9500000002</v>
      </c>
      <c r="E335" s="11">
        <f t="shared" si="37"/>
        <v>43374</v>
      </c>
      <c r="F335" s="9">
        <f t="shared" si="39"/>
        <v>0.10447541656412818</v>
      </c>
      <c r="G335" s="9">
        <f t="shared" si="40"/>
        <v>0.10480044174164038</v>
      </c>
      <c r="H335" s="9">
        <f t="shared" si="41"/>
        <v>9.2373361009421506E-2</v>
      </c>
      <c r="I335" s="11">
        <f t="shared" si="38"/>
        <v>43374</v>
      </c>
      <c r="O335" s="11">
        <v>44835</v>
      </c>
      <c r="P335" s="19" t="str" cm="1">
        <f t="array" ref="P335">IF(OR($O335&lt;P$387,$O335&gt;P$388),"",IFERROR(IF($O335=P$387,100,P334)*INDEX($B$2:$B$428,MATCH($O335,$A$2:$A$428,0))/INDEX($B$2:$B$428,MATCH($O335,$A$2:$A$428,0)-1),""))</f>
        <v/>
      </c>
      <c r="Q335" s="19" t="str" cm="1">
        <f t="array" ref="Q335">IF(OR($O335&lt;Q$387,$O335&gt;Q$388),"",IFERROR(IF($O335=Q$387,100,Q334)*INDEX($B$2:$B$428,MATCH($O335,$A$2:$A$428,0))/INDEX($B$2:$B$428,MATCH($O335,$A$2:$A$428,0)-1),""))</f>
        <v/>
      </c>
      <c r="R335" s="19" t="str" cm="1">
        <f t="array" ref="R335">IF(OR($O335&lt;R$387,$O335&gt;R$388),"",IFERROR(IF($O335=R$387,100,R334)*INDEX($B$2:$B$428,MATCH($O335,$A$2:$A$428,0))/INDEX($B$2:$B$428,MATCH($O335,$A$2:$A$428,0)-1),""))</f>
        <v/>
      </c>
      <c r="S335" s="19" t="str" cm="1">
        <f t="array" ref="S335">IF(OR($O335&lt;S$387,$O335&gt;S$388),"",IFERROR(IF($O335=S$387,100,S334)*INDEX($B$2:$B$428,MATCH($O335,$A$2:$A$428,0))/INDEX($B$2:$B$428,MATCH($O335,$A$2:$A$428,0)-1),""))</f>
        <v/>
      </c>
      <c r="T335" s="19" t="str" cm="1">
        <f t="array" ref="T335">IF(OR($O335&lt;T$387,$O335&gt;T$388),"",IFERROR(IF($O335=T$387,100,T334)*INDEX($B$2:$B$428,MATCH($O335,$A$2:$A$428,0))/INDEX($B$2:$B$428,MATCH($O335,$A$2:$A$428,0)-1),""))</f>
        <v/>
      </c>
      <c r="U335" s="19" t="str" cm="1">
        <f t="array" ref="U335">IF(OR($O335&lt;U$387,$O335&gt;U$388),"",IFERROR(IF($O335=U$387,100,U334)*INDEX($B$2:$B$428,MATCH($O335,$A$2:$A$428,0))/INDEX($B$2:$B$428,MATCH($O335,$A$2:$A$428,0)-1),""))</f>
        <v/>
      </c>
      <c r="V335" s="19" t="str" cm="1">
        <f t="array" ref="V335">IF(OR($O335&lt;V$387,$O335&gt;V$388),"",IFERROR(IF($O335=V$387,100,V334)*INDEX($B$2:$B$428,MATCH($O335,$A$2:$A$428,0))/INDEX($B$2:$B$428,MATCH($O335,$A$2:$A$428,0)-1),""))</f>
        <v/>
      </c>
      <c r="W335" s="19" cm="1">
        <f t="array" ref="W335">IF(OR($O335&lt;W$387,$O335&gt;W$388),"",IFERROR(IF($O335=W$387,100,W334)*INDEX($B$2:$B$428,MATCH($O335,$A$2:$A$428,0))/INDEX($B$2:$B$428,MATCH($O335,$A$2:$A$428,0)-1),""))</f>
        <v>168.42381488730143</v>
      </c>
      <c r="X335" s="19" t="str" cm="1">
        <f t="array" ref="X335">IF(OR($O335&lt;X$387,$O335&gt;X$388),"",IFERROR(IF($O335=X$387,100,X334)*INDEX($B$2:$B$428,MATCH($O335,$A$2:$A$428,0))/INDEX($B$2:$B$428,MATCH($O335,$A$2:$A$428,0)-1),""))</f>
        <v/>
      </c>
      <c r="AA335" s="19"/>
      <c r="AB335" s="19"/>
      <c r="AC335" s="19"/>
      <c r="AD335" s="19"/>
      <c r="AE335" s="19"/>
      <c r="AF335" s="19"/>
      <c r="AG335" s="19"/>
      <c r="AH335" s="19"/>
      <c r="AJ335" s="11">
        <v>43009</v>
      </c>
      <c r="AK335">
        <v>6527019.7999999998</v>
      </c>
      <c r="AL335" s="26">
        <f t="shared" si="42"/>
        <v>0.81164566254265069</v>
      </c>
    </row>
    <row r="336" spans="1:38" x14ac:dyDescent="0.3">
      <c r="A336" s="11">
        <v>43405</v>
      </c>
      <c r="B336" s="18">
        <v>2724795.94</v>
      </c>
      <c r="C336" s="18">
        <v>3778639.62</v>
      </c>
      <c r="D336" s="18">
        <v>5869781.5599999996</v>
      </c>
      <c r="E336" s="11">
        <f t="shared" si="37"/>
        <v>43405</v>
      </c>
      <c r="F336" s="9">
        <f t="shared" si="39"/>
        <v>8.4761290652881405E-2</v>
      </c>
      <c r="G336" s="9">
        <f t="shared" si="40"/>
        <v>9.403454315455595E-2</v>
      </c>
      <c r="H336" s="9">
        <f t="shared" si="41"/>
        <v>9.4319016203927353E-2</v>
      </c>
      <c r="I336" s="11">
        <f t="shared" si="38"/>
        <v>43405</v>
      </c>
      <c r="O336" s="11">
        <v>44866</v>
      </c>
      <c r="P336" s="19" t="str" cm="1">
        <f t="array" ref="P336">IF(OR($O336&lt;P$387,$O336&gt;P$388),"",IFERROR(IF($O336=P$387,100,P335)*INDEX($B$2:$B$428,MATCH($O336,$A$2:$A$428,0))/INDEX($B$2:$B$428,MATCH($O336,$A$2:$A$428,0)-1),""))</f>
        <v/>
      </c>
      <c r="Q336" s="19" t="str" cm="1">
        <f t="array" ref="Q336">IF(OR($O336&lt;Q$387,$O336&gt;Q$388),"",IFERROR(IF($O336=Q$387,100,Q335)*INDEX($B$2:$B$428,MATCH($O336,$A$2:$A$428,0))/INDEX($B$2:$B$428,MATCH($O336,$A$2:$A$428,0)-1),""))</f>
        <v/>
      </c>
      <c r="R336" s="19" t="str" cm="1">
        <f t="array" ref="R336">IF(OR($O336&lt;R$387,$O336&gt;R$388),"",IFERROR(IF($O336=R$387,100,R335)*INDEX($B$2:$B$428,MATCH($O336,$A$2:$A$428,0))/INDEX($B$2:$B$428,MATCH($O336,$A$2:$A$428,0)-1),""))</f>
        <v/>
      </c>
      <c r="S336" s="19" t="str" cm="1">
        <f t="array" ref="S336">IF(OR($O336&lt;S$387,$O336&gt;S$388),"",IFERROR(IF($O336=S$387,100,S335)*INDEX($B$2:$B$428,MATCH($O336,$A$2:$A$428,0))/INDEX($B$2:$B$428,MATCH($O336,$A$2:$A$428,0)-1),""))</f>
        <v/>
      </c>
      <c r="T336" s="19" t="str" cm="1">
        <f t="array" ref="T336">IF(OR($O336&lt;T$387,$O336&gt;T$388),"",IFERROR(IF($O336=T$387,100,T335)*INDEX($B$2:$B$428,MATCH($O336,$A$2:$A$428,0))/INDEX($B$2:$B$428,MATCH($O336,$A$2:$A$428,0)-1),""))</f>
        <v/>
      </c>
      <c r="U336" s="19" t="str" cm="1">
        <f t="array" ref="U336">IF(OR($O336&lt;U$387,$O336&gt;U$388),"",IFERROR(IF($O336=U$387,100,U335)*INDEX($B$2:$B$428,MATCH($O336,$A$2:$A$428,0))/INDEX($B$2:$B$428,MATCH($O336,$A$2:$A$428,0)-1),""))</f>
        <v/>
      </c>
      <c r="V336" s="19" t="str" cm="1">
        <f t="array" ref="V336">IF(OR($O336&lt;V$387,$O336&gt;V$388),"",IFERROR(IF($O336=V$387,100,V335)*INDEX($B$2:$B$428,MATCH($O336,$A$2:$A$428,0))/INDEX($B$2:$B$428,MATCH($O336,$A$2:$A$428,0)-1),""))</f>
        <v/>
      </c>
      <c r="W336" s="19" cm="1">
        <f t="array" ref="W336">IF(OR($O336&lt;W$387,$O336&gt;W$388),"",IFERROR(IF($O336=W$387,100,W335)*INDEX($B$2:$B$428,MATCH($O336,$A$2:$A$428,0))/INDEX($B$2:$B$428,MATCH($O336,$A$2:$A$428,0)-1),""))</f>
        <v>169.23908321748178</v>
      </c>
      <c r="X336" s="19" t="str" cm="1">
        <f t="array" ref="X336">IF(OR($O336&lt;X$387,$O336&gt;X$388),"",IFERROR(IF($O336=X$387,100,X335)*INDEX($B$2:$B$428,MATCH($O336,$A$2:$A$428,0))/INDEX($B$2:$B$428,MATCH($O336,$A$2:$A$428,0)-1),""))</f>
        <v/>
      </c>
      <c r="AA336" s="19"/>
      <c r="AB336" s="19"/>
      <c r="AC336" s="19"/>
      <c r="AD336" s="19"/>
      <c r="AE336" s="19"/>
      <c r="AF336" s="19"/>
      <c r="AG336" s="19"/>
      <c r="AH336" s="19"/>
      <c r="AJ336" s="11">
        <v>43040</v>
      </c>
      <c r="AK336">
        <v>6555446.2999999998</v>
      </c>
      <c r="AL336" s="26">
        <f t="shared" si="42"/>
        <v>0.81823062298595906</v>
      </c>
    </row>
    <row r="337" spans="1:38" x14ac:dyDescent="0.3">
      <c r="A337" s="11">
        <v>43435</v>
      </c>
      <c r="B337" s="18">
        <v>2763702.35</v>
      </c>
      <c r="C337" s="18">
        <v>3832957.88</v>
      </c>
      <c r="D337" s="18">
        <v>5937903.8200000003</v>
      </c>
      <c r="E337" s="11">
        <f t="shared" si="37"/>
        <v>43435</v>
      </c>
      <c r="F337" s="9">
        <f t="shared" si="39"/>
        <v>9.0596995689389281E-2</v>
      </c>
      <c r="G337" s="9">
        <f t="shared" si="40"/>
        <v>9.3455814130346981E-2</v>
      </c>
      <c r="H337" s="9">
        <f t="shared" si="41"/>
        <v>8.9693292945491665E-2</v>
      </c>
      <c r="I337" s="11">
        <f t="shared" si="38"/>
        <v>43435</v>
      </c>
      <c r="O337" s="11">
        <v>44896</v>
      </c>
      <c r="P337" s="19" t="str" cm="1">
        <f t="array" ref="P337">IF(OR($O337&lt;P$387,$O337&gt;P$388),"",IFERROR(IF($O337=P$387,100,P336)*INDEX($B$2:$B$428,MATCH($O337,$A$2:$A$428,0))/INDEX($B$2:$B$428,MATCH($O337,$A$2:$A$428,0)-1),""))</f>
        <v/>
      </c>
      <c r="Q337" s="19" t="str" cm="1">
        <f t="array" ref="Q337">IF(OR($O337&lt;Q$387,$O337&gt;Q$388),"",IFERROR(IF($O337=Q$387,100,Q336)*INDEX($B$2:$B$428,MATCH($O337,$A$2:$A$428,0))/INDEX($B$2:$B$428,MATCH($O337,$A$2:$A$428,0)-1),""))</f>
        <v/>
      </c>
      <c r="R337" s="19" t="str" cm="1">
        <f t="array" ref="R337">IF(OR($O337&lt;R$387,$O337&gt;R$388),"",IFERROR(IF($O337=R$387,100,R336)*INDEX($B$2:$B$428,MATCH($O337,$A$2:$A$428,0))/INDEX($B$2:$B$428,MATCH($O337,$A$2:$A$428,0)-1),""))</f>
        <v/>
      </c>
      <c r="S337" s="19" t="str" cm="1">
        <f t="array" ref="S337">IF(OR($O337&lt;S$387,$O337&gt;S$388),"",IFERROR(IF($O337=S$387,100,S336)*INDEX($B$2:$B$428,MATCH($O337,$A$2:$A$428,0))/INDEX($B$2:$B$428,MATCH($O337,$A$2:$A$428,0)-1),""))</f>
        <v/>
      </c>
      <c r="T337" s="19" t="str" cm="1">
        <f t="array" ref="T337">IF(OR($O337&lt;T$387,$O337&gt;T$388),"",IFERROR(IF($O337=T$387,100,T336)*INDEX($B$2:$B$428,MATCH($O337,$A$2:$A$428,0))/INDEX($B$2:$B$428,MATCH($O337,$A$2:$A$428,0)-1),""))</f>
        <v/>
      </c>
      <c r="U337" s="19" t="str" cm="1">
        <f t="array" ref="U337">IF(OR($O337&lt;U$387,$O337&gt;U$388),"",IFERROR(IF($O337=U$387,100,U336)*INDEX($B$2:$B$428,MATCH($O337,$A$2:$A$428,0))/INDEX($B$2:$B$428,MATCH($O337,$A$2:$A$428,0)-1),""))</f>
        <v/>
      </c>
      <c r="V337" s="19" t="str" cm="1">
        <f t="array" ref="V337">IF(OR($O337&lt;V$387,$O337&gt;V$388),"",IFERROR(IF($O337=V$387,100,V336)*INDEX($B$2:$B$428,MATCH($O337,$A$2:$A$428,0))/INDEX($B$2:$B$428,MATCH($O337,$A$2:$A$428,0)-1),""))</f>
        <v/>
      </c>
      <c r="W337" s="19" cm="1">
        <f t="array" ref="W337">IF(OR($O337&lt;W$387,$O337&gt;W$388),"",IFERROR(IF($O337=W$387,100,W336)*INDEX($B$2:$B$428,MATCH($O337,$A$2:$A$428,0))/INDEX($B$2:$B$428,MATCH($O337,$A$2:$A$428,0)-1),""))</f>
        <v>171.45043387179521</v>
      </c>
      <c r="X337" s="19" t="str" cm="1">
        <f t="array" ref="X337">IF(OR($O337&lt;X$387,$O337&gt;X$388),"",IFERROR(IF($O337=X$387,100,X336)*INDEX($B$2:$B$428,MATCH($O337,$A$2:$A$428,0))/INDEX($B$2:$B$428,MATCH($O337,$A$2:$A$428,0)-1),""))</f>
        <v/>
      </c>
      <c r="AA337" s="19"/>
      <c r="AB337" s="19"/>
      <c r="AC337" s="19"/>
      <c r="AD337" s="19"/>
      <c r="AE337" s="19"/>
      <c r="AF337" s="19"/>
      <c r="AG337" s="19"/>
      <c r="AH337" s="19"/>
      <c r="AJ337" s="11">
        <v>43070</v>
      </c>
      <c r="AK337">
        <v>6585479</v>
      </c>
      <c r="AL337" s="26">
        <f t="shared" si="42"/>
        <v>0.8274495264505437</v>
      </c>
    </row>
    <row r="338" spans="1:38" x14ac:dyDescent="0.3">
      <c r="A338" s="11">
        <v>43466</v>
      </c>
      <c r="B338" s="18">
        <v>2820752.46</v>
      </c>
      <c r="C338" s="18">
        <v>3867946.08</v>
      </c>
      <c r="D338" s="18">
        <v>5859272.2199999997</v>
      </c>
      <c r="E338" s="11">
        <f t="shared" si="37"/>
        <v>43466</v>
      </c>
      <c r="F338" s="9">
        <f t="shared" si="39"/>
        <v>9.7487580279935537E-2</v>
      </c>
      <c r="G338" s="9">
        <f t="shared" si="40"/>
        <v>9.4852588342751121E-2</v>
      </c>
      <c r="H338" s="9">
        <f t="shared" si="41"/>
        <v>8.1518254606840035E-2</v>
      </c>
      <c r="I338" s="11">
        <f t="shared" si="38"/>
        <v>43466</v>
      </c>
      <c r="O338" s="11">
        <v>44927</v>
      </c>
      <c r="P338" s="19" t="str" cm="1">
        <f t="array" ref="P338">IF(OR($O338&lt;P$387,$O338&gt;P$388),"",IFERROR(IF($O338=P$387,100,P337)*INDEX($B$2:$B$428,MATCH($O338,$A$2:$A$428,0))/INDEX($B$2:$B$428,MATCH($O338,$A$2:$A$428,0)-1),""))</f>
        <v/>
      </c>
      <c r="Q338" s="19" t="str" cm="1">
        <f t="array" ref="Q338">IF(OR($O338&lt;Q$387,$O338&gt;Q$388),"",IFERROR(IF($O338=Q$387,100,Q337)*INDEX($B$2:$B$428,MATCH($O338,$A$2:$A$428,0))/INDEX($B$2:$B$428,MATCH($O338,$A$2:$A$428,0)-1),""))</f>
        <v/>
      </c>
      <c r="R338" s="19" t="str" cm="1">
        <f t="array" ref="R338">IF(OR($O338&lt;R$387,$O338&gt;R$388),"",IFERROR(IF($O338=R$387,100,R337)*INDEX($B$2:$B$428,MATCH($O338,$A$2:$A$428,0))/INDEX($B$2:$B$428,MATCH($O338,$A$2:$A$428,0)-1),""))</f>
        <v/>
      </c>
      <c r="S338" s="19" t="str" cm="1">
        <f t="array" ref="S338">IF(OR($O338&lt;S$387,$O338&gt;S$388),"",IFERROR(IF($O338=S$387,100,S337)*INDEX($B$2:$B$428,MATCH($O338,$A$2:$A$428,0))/INDEX($B$2:$B$428,MATCH($O338,$A$2:$A$428,0)-1),""))</f>
        <v/>
      </c>
      <c r="T338" s="19" t="str" cm="1">
        <f t="array" ref="T338">IF(OR($O338&lt;T$387,$O338&gt;T$388),"",IFERROR(IF($O338=T$387,100,T337)*INDEX($B$2:$B$428,MATCH($O338,$A$2:$A$428,0))/INDEX($B$2:$B$428,MATCH($O338,$A$2:$A$428,0)-1),""))</f>
        <v/>
      </c>
      <c r="U338" s="19" t="str" cm="1">
        <f t="array" ref="U338">IF(OR($O338&lt;U$387,$O338&gt;U$388),"",IFERROR(IF($O338=U$387,100,U337)*INDEX($B$2:$B$428,MATCH($O338,$A$2:$A$428,0))/INDEX($B$2:$B$428,MATCH($O338,$A$2:$A$428,0)-1),""))</f>
        <v/>
      </c>
      <c r="V338" s="19" t="str" cm="1">
        <f t="array" ref="V338">IF(OR($O338&lt;V$387,$O338&gt;V$388),"",IFERROR(IF($O338=V$387,100,V337)*INDEX($B$2:$B$428,MATCH($O338,$A$2:$A$428,0))/INDEX($B$2:$B$428,MATCH($O338,$A$2:$A$428,0)-1),""))</f>
        <v/>
      </c>
      <c r="W338" s="19" t="str" cm="1">
        <f t="array" ref="W338">IF(OR($O338&lt;W$387,$O338&gt;W$388),"",IFERROR(IF($O338=W$387,100,W337)*INDEX($B$2:$B$428,MATCH($O338,$A$2:$A$428,0))/INDEX($B$2:$B$428,MATCH($O338,$A$2:$A$428,0)-1),""))</f>
        <v/>
      </c>
      <c r="X338" s="19" cm="1">
        <f t="array" ref="X338">IF(OR($O338&lt;X$387,$O338&gt;X$388),"",IFERROR(IF($O338=X$387,100,X337)*INDEX($B$2:$B$428,MATCH($O338,$A$2:$A$428,0))/INDEX($B$2:$B$428,MATCH($O338,$A$2:$A$428,0)-1),""))</f>
        <v>99.428468972812396</v>
      </c>
      <c r="AA338" s="19"/>
      <c r="AB338" s="19"/>
      <c r="AC338" s="19"/>
      <c r="AD338" s="19"/>
      <c r="AE338" s="19"/>
      <c r="AF338" s="19"/>
      <c r="AG338" s="19"/>
      <c r="AH338" s="19"/>
      <c r="AJ338" s="11">
        <v>43101</v>
      </c>
      <c r="AK338">
        <v>6624006.7000000002</v>
      </c>
      <c r="AL338" s="26">
        <f t="shared" si="42"/>
        <v>0.81787900214533293</v>
      </c>
    </row>
    <row r="339" spans="1:38" x14ac:dyDescent="0.3">
      <c r="A339" s="11">
        <v>43497</v>
      </c>
      <c r="B339" s="18">
        <v>2837054.27</v>
      </c>
      <c r="C339" s="18">
        <v>3899150.46</v>
      </c>
      <c r="D339" s="18">
        <v>5957862.2300000004</v>
      </c>
      <c r="E339" s="11">
        <f t="shared" si="37"/>
        <v>43497</v>
      </c>
      <c r="F339" s="9">
        <f t="shared" si="39"/>
        <v>9.6651951621032683E-2</v>
      </c>
      <c r="G339" s="9">
        <f t="shared" si="40"/>
        <v>9.5183069357913208E-2</v>
      </c>
      <c r="H339" s="9">
        <f t="shared" si="41"/>
        <v>8.6389768248867682E-2</v>
      </c>
      <c r="I339" s="11">
        <f t="shared" si="38"/>
        <v>43497</v>
      </c>
      <c r="O339" s="11">
        <v>44958</v>
      </c>
      <c r="P339" s="19" t="str" cm="1">
        <f t="array" ref="P339">IF(OR($O339&lt;P$387,$O339&gt;P$388),"",IFERROR(IF($O339=P$387,100,P338)*INDEX($B$2:$B$428,MATCH($O339,$A$2:$A$428,0))/INDEX($B$2:$B$428,MATCH($O339,$A$2:$A$428,0)-1),""))</f>
        <v/>
      </c>
      <c r="Q339" s="19" t="str" cm="1">
        <f t="array" ref="Q339">IF(OR($O339&lt;Q$387,$O339&gt;Q$388),"",IFERROR(IF($O339=Q$387,100,Q338)*INDEX($B$2:$B$428,MATCH($O339,$A$2:$A$428,0))/INDEX($B$2:$B$428,MATCH($O339,$A$2:$A$428,0)-1),""))</f>
        <v/>
      </c>
      <c r="R339" s="19" t="str" cm="1">
        <f t="array" ref="R339">IF(OR($O339&lt;R$387,$O339&gt;R$388),"",IFERROR(IF($O339=R$387,100,R338)*INDEX($B$2:$B$428,MATCH($O339,$A$2:$A$428,0))/INDEX($B$2:$B$428,MATCH($O339,$A$2:$A$428,0)-1),""))</f>
        <v/>
      </c>
      <c r="S339" s="19" t="str" cm="1">
        <f t="array" ref="S339">IF(OR($O339&lt;S$387,$O339&gt;S$388),"",IFERROR(IF($O339=S$387,100,S338)*INDEX($B$2:$B$428,MATCH($O339,$A$2:$A$428,0))/INDEX($B$2:$B$428,MATCH($O339,$A$2:$A$428,0)-1),""))</f>
        <v/>
      </c>
      <c r="T339" s="19" t="str" cm="1">
        <f t="array" ref="T339">IF(OR($O339&lt;T$387,$O339&gt;T$388),"",IFERROR(IF($O339=T$387,100,T338)*INDEX($B$2:$B$428,MATCH($O339,$A$2:$A$428,0))/INDEX($B$2:$B$428,MATCH($O339,$A$2:$A$428,0)-1),""))</f>
        <v/>
      </c>
      <c r="U339" s="19" t="str" cm="1">
        <f t="array" ref="U339">IF(OR($O339&lt;U$387,$O339&gt;U$388),"",IFERROR(IF($O339=U$387,100,U338)*INDEX($B$2:$B$428,MATCH($O339,$A$2:$A$428,0))/INDEX($B$2:$B$428,MATCH($O339,$A$2:$A$428,0)-1),""))</f>
        <v/>
      </c>
      <c r="V339" s="19" t="str" cm="1">
        <f t="array" ref="V339">IF(OR($O339&lt;V$387,$O339&gt;V$388),"",IFERROR(IF($O339=V$387,100,V338)*INDEX($B$2:$B$428,MATCH($O339,$A$2:$A$428,0))/INDEX($B$2:$B$428,MATCH($O339,$A$2:$A$428,0)-1),""))</f>
        <v/>
      </c>
      <c r="W339" s="19" t="str" cm="1">
        <f t="array" ref="W339">IF(OR($O339&lt;W$387,$O339&gt;W$388),"",IFERROR(IF($O339=W$387,100,W338)*INDEX($B$2:$B$428,MATCH($O339,$A$2:$A$428,0))/INDEX($B$2:$B$428,MATCH($O339,$A$2:$A$428,0)-1),""))</f>
        <v/>
      </c>
      <c r="X339" s="19" cm="1">
        <f t="array" ref="X339">IF(OR($O339&lt;X$387,$O339&gt;X$388),"",IFERROR(IF($O339=X$387,100,X338)*INDEX($B$2:$B$428,MATCH($O339,$A$2:$A$428,0))/INDEX($B$2:$B$428,MATCH($O339,$A$2:$A$428,0)-1),""))</f>
        <v>101.42995843978034</v>
      </c>
      <c r="AA339" s="19"/>
      <c r="AB339" s="19"/>
      <c r="AC339" s="19"/>
      <c r="AD339" s="19"/>
      <c r="AE339" s="19"/>
      <c r="AF339" s="19"/>
      <c r="AG339" s="19"/>
      <c r="AH339" s="19"/>
      <c r="AJ339" s="11">
        <v>43132</v>
      </c>
      <c r="AK339">
        <v>6653617.4000000004</v>
      </c>
      <c r="AL339" s="26">
        <f t="shared" si="42"/>
        <v>0.82422724366447642</v>
      </c>
    </row>
    <row r="340" spans="1:38" x14ac:dyDescent="0.3">
      <c r="A340" s="11">
        <v>43525</v>
      </c>
      <c r="B340" s="18">
        <v>2828396.41</v>
      </c>
      <c r="C340" s="18">
        <v>3882047.42</v>
      </c>
      <c r="D340" s="18">
        <v>6007918.6600000001</v>
      </c>
      <c r="E340" s="11">
        <f t="shared" si="37"/>
        <v>43525</v>
      </c>
      <c r="F340" s="9">
        <f t="shared" si="39"/>
        <v>8.3427132281265859E-2</v>
      </c>
      <c r="G340" s="9">
        <f t="shared" si="40"/>
        <v>8.4443569624713222E-2</v>
      </c>
      <c r="H340" s="9">
        <f t="shared" si="41"/>
        <v>7.4083349073837512E-2</v>
      </c>
      <c r="I340" s="11">
        <f t="shared" si="38"/>
        <v>43525</v>
      </c>
      <c r="O340" s="11">
        <v>44986</v>
      </c>
      <c r="P340" s="19" t="str" cm="1">
        <f t="array" ref="P340">IF(OR($O340&lt;P$387,$O340&gt;P$388),"",IFERROR(IF($O340=P$387,100,P339)*INDEX($B$2:$B$428,MATCH($O340,$A$2:$A$428,0))/INDEX($B$2:$B$428,MATCH($O340,$A$2:$A$428,0)-1),""))</f>
        <v/>
      </c>
      <c r="Q340" s="19" t="str" cm="1">
        <f t="array" ref="Q340">IF(OR($O340&lt;Q$387,$O340&gt;Q$388),"",IFERROR(IF($O340=Q$387,100,Q339)*INDEX($B$2:$B$428,MATCH($O340,$A$2:$A$428,0))/INDEX($B$2:$B$428,MATCH($O340,$A$2:$A$428,0)-1),""))</f>
        <v/>
      </c>
      <c r="R340" s="19" t="str" cm="1">
        <f t="array" ref="R340">IF(OR($O340&lt;R$387,$O340&gt;R$388),"",IFERROR(IF($O340=R$387,100,R339)*INDEX($B$2:$B$428,MATCH($O340,$A$2:$A$428,0))/INDEX($B$2:$B$428,MATCH($O340,$A$2:$A$428,0)-1),""))</f>
        <v/>
      </c>
      <c r="S340" s="19" t="str" cm="1">
        <f t="array" ref="S340">IF(OR($O340&lt;S$387,$O340&gt;S$388),"",IFERROR(IF($O340=S$387,100,S339)*INDEX($B$2:$B$428,MATCH($O340,$A$2:$A$428,0))/INDEX($B$2:$B$428,MATCH($O340,$A$2:$A$428,0)-1),""))</f>
        <v/>
      </c>
      <c r="T340" s="19" t="str" cm="1">
        <f t="array" ref="T340">IF(OR($O340&lt;T$387,$O340&gt;T$388),"",IFERROR(IF($O340=T$387,100,T339)*INDEX($B$2:$B$428,MATCH($O340,$A$2:$A$428,0))/INDEX($B$2:$B$428,MATCH($O340,$A$2:$A$428,0)-1),""))</f>
        <v/>
      </c>
      <c r="U340" s="19" t="str" cm="1">
        <f t="array" ref="U340">IF(OR($O340&lt;U$387,$O340&gt;U$388),"",IFERROR(IF($O340=U$387,100,U339)*INDEX($B$2:$B$428,MATCH($O340,$A$2:$A$428,0))/INDEX($B$2:$B$428,MATCH($O340,$A$2:$A$428,0)-1),""))</f>
        <v/>
      </c>
      <c r="V340" s="19" t="str" cm="1">
        <f t="array" ref="V340">IF(OR($O340&lt;V$387,$O340&gt;V$388),"",IFERROR(IF($O340=V$387,100,V339)*INDEX($B$2:$B$428,MATCH($O340,$A$2:$A$428,0))/INDEX($B$2:$B$428,MATCH($O340,$A$2:$A$428,0)-1),""))</f>
        <v/>
      </c>
      <c r="W340" s="19" t="str" cm="1">
        <f t="array" ref="W340">IF(OR($O340&lt;W$387,$O340&gt;W$388),"",IFERROR(IF($O340=W$387,100,W339)*INDEX($B$2:$B$428,MATCH($O340,$A$2:$A$428,0))/INDEX($B$2:$B$428,MATCH($O340,$A$2:$A$428,0)-1),""))</f>
        <v/>
      </c>
      <c r="X340" s="19" cm="1">
        <f t="array" ref="X340">IF(OR($O340&lt;X$387,$O340&gt;X$388),"",IFERROR(IF($O340=X$387,100,X339)*INDEX($B$2:$B$428,MATCH($O340,$A$2:$A$428,0))/INDEX($B$2:$B$428,MATCH($O340,$A$2:$A$428,0)-1),""))</f>
        <v>102.94595008677301</v>
      </c>
      <c r="AA340" s="19"/>
      <c r="AB340" s="19"/>
      <c r="AC340" s="19"/>
      <c r="AD340" s="19"/>
      <c r="AE340" s="19"/>
      <c r="AF340" s="19"/>
      <c r="AG340" s="19"/>
      <c r="AH340" s="19"/>
      <c r="AJ340" s="11">
        <v>43160</v>
      </c>
      <c r="AK340">
        <v>6681888.7000000002</v>
      </c>
      <c r="AL340" s="26">
        <f t="shared" si="42"/>
        <v>0.83711827465788224</v>
      </c>
    </row>
    <row r="341" spans="1:38" x14ac:dyDescent="0.3">
      <c r="A341" s="11">
        <v>43556</v>
      </c>
      <c r="B341" s="18">
        <v>2835881.64</v>
      </c>
      <c r="C341" s="18">
        <v>3898797.52</v>
      </c>
      <c r="D341" s="18">
        <v>5999602.9299999997</v>
      </c>
      <c r="E341" s="11">
        <f t="shared" si="37"/>
        <v>43556</v>
      </c>
      <c r="F341" s="9">
        <f t="shared" si="39"/>
        <v>9.9001300952520577E-2</v>
      </c>
      <c r="G341" s="9">
        <f t="shared" si="40"/>
        <v>9.3212975222615624E-2</v>
      </c>
      <c r="H341" s="9">
        <f t="shared" si="41"/>
        <v>6.2702641912088408E-2</v>
      </c>
      <c r="I341" s="11">
        <f t="shared" si="38"/>
        <v>43556</v>
      </c>
      <c r="O341" s="11">
        <v>45017</v>
      </c>
      <c r="P341" s="19" t="str" cm="1">
        <f t="array" ref="P341">IF(OR($O341&lt;P$387,$O341&gt;P$388),"",IFERROR(IF($O341=P$387,100,P340)*INDEX($B$2:$B$428,MATCH($O341,$A$2:$A$428,0))/INDEX($B$2:$B$428,MATCH($O341,$A$2:$A$428,0)-1),""))</f>
        <v/>
      </c>
      <c r="Q341" s="19" t="str" cm="1">
        <f t="array" ref="Q341">IF(OR($O341&lt;Q$387,$O341&gt;Q$388),"",IFERROR(IF($O341=Q$387,100,Q340)*INDEX($B$2:$B$428,MATCH($O341,$A$2:$A$428,0))/INDEX($B$2:$B$428,MATCH($O341,$A$2:$A$428,0)-1),""))</f>
        <v/>
      </c>
      <c r="R341" s="19" t="str" cm="1">
        <f t="array" ref="R341">IF(OR($O341&lt;R$387,$O341&gt;R$388),"",IFERROR(IF($O341=R$387,100,R340)*INDEX($B$2:$B$428,MATCH($O341,$A$2:$A$428,0))/INDEX($B$2:$B$428,MATCH($O341,$A$2:$A$428,0)-1),""))</f>
        <v/>
      </c>
      <c r="S341" s="19" t="str" cm="1">
        <f t="array" ref="S341">IF(OR($O341&lt;S$387,$O341&gt;S$388),"",IFERROR(IF($O341=S$387,100,S340)*INDEX($B$2:$B$428,MATCH($O341,$A$2:$A$428,0))/INDEX($B$2:$B$428,MATCH($O341,$A$2:$A$428,0)-1),""))</f>
        <v/>
      </c>
      <c r="T341" s="19" t="str" cm="1">
        <f t="array" ref="T341">IF(OR($O341&lt;T$387,$O341&gt;T$388),"",IFERROR(IF($O341=T$387,100,T340)*INDEX($B$2:$B$428,MATCH($O341,$A$2:$A$428,0))/INDEX($B$2:$B$428,MATCH($O341,$A$2:$A$428,0)-1),""))</f>
        <v/>
      </c>
      <c r="U341" s="19" t="str" cm="1">
        <f t="array" ref="U341">IF(OR($O341&lt;U$387,$O341&gt;U$388),"",IFERROR(IF($O341=U$387,100,U340)*INDEX($B$2:$B$428,MATCH($O341,$A$2:$A$428,0))/INDEX($B$2:$B$428,MATCH($O341,$A$2:$A$428,0)-1),""))</f>
        <v/>
      </c>
      <c r="V341" s="19" t="str" cm="1">
        <f t="array" ref="V341">IF(OR($O341&lt;V$387,$O341&gt;V$388),"",IFERROR(IF($O341=V$387,100,V340)*INDEX($B$2:$B$428,MATCH($O341,$A$2:$A$428,0))/INDEX($B$2:$B$428,MATCH($O341,$A$2:$A$428,0)-1),""))</f>
        <v/>
      </c>
      <c r="W341" s="19" t="str" cm="1">
        <f t="array" ref="W341">IF(OR($O341&lt;W$387,$O341&gt;W$388),"",IFERROR(IF($O341=W$387,100,W340)*INDEX($B$2:$B$428,MATCH($O341,$A$2:$A$428,0))/INDEX($B$2:$B$428,MATCH($O341,$A$2:$A$428,0)-1),""))</f>
        <v/>
      </c>
      <c r="X341" s="19" cm="1">
        <f t="array" ref="X341">IF(OR($O341&lt;X$387,$O341&gt;X$388),"",IFERROR(IF($O341=X$387,100,X340)*INDEX($B$2:$B$428,MATCH($O341,$A$2:$A$428,0))/INDEX($B$2:$B$428,MATCH($O341,$A$2:$A$428,0)-1),""))</f>
        <v>103.72840975826658</v>
      </c>
      <c r="AA341" s="19"/>
      <c r="AB341" s="19"/>
      <c r="AC341" s="19"/>
      <c r="AD341" s="19"/>
      <c r="AE341" s="19"/>
      <c r="AF341" s="19"/>
      <c r="AG341" s="19"/>
      <c r="AH341" s="19"/>
      <c r="AJ341" s="11">
        <v>43191</v>
      </c>
      <c r="AK341">
        <v>6731345.5999999996</v>
      </c>
      <c r="AL341" s="26">
        <f t="shared" si="42"/>
        <v>0.83870428076074421</v>
      </c>
    </row>
    <row r="342" spans="1:38" x14ac:dyDescent="0.3">
      <c r="A342" s="11">
        <v>43586</v>
      </c>
      <c r="B342" s="18">
        <v>2873094.71</v>
      </c>
      <c r="C342" s="18">
        <v>3941330.33</v>
      </c>
      <c r="D342" s="18">
        <v>5984046.3600000003</v>
      </c>
      <c r="E342" s="11">
        <f t="shared" si="37"/>
        <v>43586</v>
      </c>
      <c r="F342" s="9">
        <f t="shared" si="39"/>
        <v>0.1329042014230486</v>
      </c>
      <c r="G342" s="9">
        <f t="shared" si="40"/>
        <v>0.11316730484933935</v>
      </c>
      <c r="H342" s="9">
        <f t="shared" si="41"/>
        <v>4.4530325288975048E-2</v>
      </c>
      <c r="I342" s="11">
        <f t="shared" si="38"/>
        <v>43586</v>
      </c>
      <c r="O342" s="11">
        <v>45047</v>
      </c>
      <c r="P342" s="19" t="str" cm="1">
        <f t="array" ref="P342">IF(OR($O342&lt;P$387,$O342&gt;P$388),"",IFERROR(IF($O342=P$387,100,P341)*INDEX($B$2:$B$428,MATCH($O342,$A$2:$A$428,0))/INDEX($B$2:$B$428,MATCH($O342,$A$2:$A$428,0)-1),""))</f>
        <v/>
      </c>
      <c r="Q342" s="19" t="str" cm="1">
        <f t="array" ref="Q342">IF(OR($O342&lt;Q$387,$O342&gt;Q$388),"",IFERROR(IF($O342=Q$387,100,Q341)*INDEX($B$2:$B$428,MATCH($O342,$A$2:$A$428,0))/INDEX($B$2:$B$428,MATCH($O342,$A$2:$A$428,0)-1),""))</f>
        <v/>
      </c>
      <c r="R342" s="19" t="str" cm="1">
        <f t="array" ref="R342">IF(OR($O342&lt;R$387,$O342&gt;R$388),"",IFERROR(IF($O342=R$387,100,R341)*INDEX($B$2:$B$428,MATCH($O342,$A$2:$A$428,0))/INDEX($B$2:$B$428,MATCH($O342,$A$2:$A$428,0)-1),""))</f>
        <v/>
      </c>
      <c r="S342" s="19" t="str" cm="1">
        <f t="array" ref="S342">IF(OR($O342&lt;S$387,$O342&gt;S$388),"",IFERROR(IF($O342=S$387,100,S341)*INDEX($B$2:$B$428,MATCH($O342,$A$2:$A$428,0))/INDEX($B$2:$B$428,MATCH($O342,$A$2:$A$428,0)-1),""))</f>
        <v/>
      </c>
      <c r="T342" s="19" t="str" cm="1">
        <f t="array" ref="T342">IF(OR($O342&lt;T$387,$O342&gt;T$388),"",IFERROR(IF($O342=T$387,100,T341)*INDEX($B$2:$B$428,MATCH($O342,$A$2:$A$428,0))/INDEX($B$2:$B$428,MATCH($O342,$A$2:$A$428,0)-1),""))</f>
        <v/>
      </c>
      <c r="U342" s="19" t="str" cm="1">
        <f t="array" ref="U342">IF(OR($O342&lt;U$387,$O342&gt;U$388),"",IFERROR(IF($O342=U$387,100,U341)*INDEX($B$2:$B$428,MATCH($O342,$A$2:$A$428,0))/INDEX($B$2:$B$428,MATCH($O342,$A$2:$A$428,0)-1),""))</f>
        <v/>
      </c>
      <c r="V342" s="19" t="str" cm="1">
        <f t="array" ref="V342">IF(OR($O342&lt;V$387,$O342&gt;V$388),"",IFERROR(IF($O342=V$387,100,V341)*INDEX($B$2:$B$428,MATCH($O342,$A$2:$A$428,0))/INDEX($B$2:$B$428,MATCH($O342,$A$2:$A$428,0)-1),""))</f>
        <v/>
      </c>
      <c r="W342" s="19" t="str" cm="1">
        <f t="array" ref="W342">IF(OR($O342&lt;W$387,$O342&gt;W$388),"",IFERROR(IF($O342=W$387,100,W341)*INDEX($B$2:$B$428,MATCH($O342,$A$2:$A$428,0))/INDEX($B$2:$B$428,MATCH($O342,$A$2:$A$428,0)-1),""))</f>
        <v/>
      </c>
      <c r="X342" s="19" cm="1">
        <f t="array" ref="X342">IF(OR($O342&lt;X$387,$O342&gt;X$388),"",IFERROR(IF($O342=X$387,100,X341)*INDEX($B$2:$B$428,MATCH($O342,$A$2:$A$428,0))/INDEX($B$2:$B$428,MATCH($O342,$A$2:$A$428,0)-1),""))</f>
        <v>105.65520681461136</v>
      </c>
      <c r="AA342" s="19"/>
      <c r="AB342" s="19"/>
      <c r="AC342" s="19"/>
      <c r="AD342" s="19"/>
      <c r="AE342" s="19"/>
      <c r="AF342" s="19"/>
      <c r="AG342" s="19"/>
      <c r="AH342" s="19"/>
      <c r="AJ342" s="11">
        <v>43221</v>
      </c>
      <c r="AK342">
        <v>6743537.7999999998</v>
      </c>
      <c r="AL342" s="26">
        <f t="shared" si="42"/>
        <v>0.84954443645292532</v>
      </c>
    </row>
    <row r="343" spans="1:38" x14ac:dyDescent="0.3">
      <c r="A343" s="11">
        <v>43617</v>
      </c>
      <c r="B343" s="18">
        <v>2922568.84</v>
      </c>
      <c r="C343" s="18">
        <v>3994529.3</v>
      </c>
      <c r="D343" s="18">
        <v>6078713.8600000003</v>
      </c>
      <c r="E343" s="11">
        <f t="shared" si="37"/>
        <v>43617</v>
      </c>
      <c r="F343" s="9">
        <f t="shared" si="39"/>
        <v>0.14587771234089053</v>
      </c>
      <c r="G343" s="9">
        <f t="shared" si="40"/>
        <v>0.11776503277238115</v>
      </c>
      <c r="H343" s="9">
        <f t="shared" si="41"/>
        <v>4.9733071346491853E-2</v>
      </c>
      <c r="I343" s="11">
        <f t="shared" si="38"/>
        <v>43617</v>
      </c>
      <c r="O343" s="11">
        <v>45078</v>
      </c>
      <c r="P343" s="19" t="str" cm="1">
        <f t="array" ref="P343">IF(OR($O343&lt;P$387,$O343&gt;P$388),"",IFERROR(IF($O343=P$387,100,P342)*INDEX($B$2:$B$428,MATCH($O343,$A$2:$A$428,0))/INDEX($B$2:$B$428,MATCH($O343,$A$2:$A$428,0)-1),""))</f>
        <v/>
      </c>
      <c r="Q343" s="19" t="str" cm="1">
        <f t="array" ref="Q343">IF(OR($O343&lt;Q$387,$O343&gt;Q$388),"",IFERROR(IF($O343=Q$387,100,Q342)*INDEX($B$2:$B$428,MATCH($O343,$A$2:$A$428,0))/INDEX($B$2:$B$428,MATCH($O343,$A$2:$A$428,0)-1),""))</f>
        <v/>
      </c>
      <c r="R343" s="19" t="str" cm="1">
        <f t="array" ref="R343">IF(OR($O343&lt;R$387,$O343&gt;R$388),"",IFERROR(IF($O343=R$387,100,R342)*INDEX($B$2:$B$428,MATCH($O343,$A$2:$A$428,0))/INDEX($B$2:$B$428,MATCH($O343,$A$2:$A$428,0)-1),""))</f>
        <v/>
      </c>
      <c r="S343" s="19" t="str" cm="1">
        <f t="array" ref="S343">IF(OR($O343&lt;S$387,$O343&gt;S$388),"",IFERROR(IF($O343=S$387,100,S342)*INDEX($B$2:$B$428,MATCH($O343,$A$2:$A$428,0))/INDEX($B$2:$B$428,MATCH($O343,$A$2:$A$428,0)-1),""))</f>
        <v/>
      </c>
      <c r="T343" s="19" t="str" cm="1">
        <f t="array" ref="T343">IF(OR($O343&lt;T$387,$O343&gt;T$388),"",IFERROR(IF($O343=T$387,100,T342)*INDEX($B$2:$B$428,MATCH($O343,$A$2:$A$428,0))/INDEX($B$2:$B$428,MATCH($O343,$A$2:$A$428,0)-1),""))</f>
        <v/>
      </c>
      <c r="U343" s="19" t="str" cm="1">
        <f t="array" ref="U343">IF(OR($O343&lt;U$387,$O343&gt;U$388),"",IFERROR(IF($O343=U$387,100,U342)*INDEX($B$2:$B$428,MATCH($O343,$A$2:$A$428,0))/INDEX($B$2:$B$428,MATCH($O343,$A$2:$A$428,0)-1),""))</f>
        <v/>
      </c>
      <c r="V343" s="19" t="str" cm="1">
        <f t="array" ref="V343">IF(OR($O343&lt;V$387,$O343&gt;V$388),"",IFERROR(IF($O343=V$387,100,V342)*INDEX($B$2:$B$428,MATCH($O343,$A$2:$A$428,0))/INDEX($B$2:$B$428,MATCH($O343,$A$2:$A$428,0)-1),""))</f>
        <v/>
      </c>
      <c r="W343" s="19" t="str" cm="1">
        <f t="array" ref="W343">IF(OR($O343&lt;W$387,$O343&gt;W$388),"",IFERROR(IF($O343=W$387,100,W342)*INDEX($B$2:$B$428,MATCH($O343,$A$2:$A$428,0))/INDEX($B$2:$B$428,MATCH($O343,$A$2:$A$428,0)-1),""))</f>
        <v/>
      </c>
      <c r="X343" s="19" cm="1">
        <f t="array" ref="X343">IF(OR($O343&lt;X$387,$O343&gt;X$388),"",IFERROR(IF($O343=X$387,100,X342)*INDEX($B$2:$B$428,MATCH($O343,$A$2:$A$428,0))/INDEX($B$2:$B$428,MATCH($O343,$A$2:$A$428,0)-1),""))</f>
        <v>109.10143297993679</v>
      </c>
      <c r="AA343" s="19"/>
      <c r="AB343" s="19"/>
      <c r="AC343" s="19"/>
      <c r="AD343" s="19"/>
      <c r="AE343" s="19"/>
      <c r="AF343" s="19"/>
      <c r="AG343" s="19"/>
      <c r="AH343" s="19"/>
      <c r="AJ343" s="11">
        <v>43252</v>
      </c>
      <c r="AK343">
        <v>6785258.0999999996</v>
      </c>
      <c r="AL343" s="26">
        <f t="shared" si="42"/>
        <v>0.85342713787114466</v>
      </c>
    </row>
    <row r="344" spans="1:38" x14ac:dyDescent="0.3">
      <c r="A344" s="11">
        <v>43647</v>
      </c>
      <c r="B344" s="18">
        <v>2979640.5</v>
      </c>
      <c r="C344" s="18">
        <v>4018959.15</v>
      </c>
      <c r="D344" s="18">
        <v>6045103.9199999999</v>
      </c>
      <c r="E344" s="11">
        <f t="shared" si="37"/>
        <v>43647</v>
      </c>
      <c r="F344" s="9">
        <f t="shared" si="39"/>
        <v>0.13969779806654015</v>
      </c>
      <c r="G344" s="9">
        <f t="shared" si="40"/>
        <v>0.10364812853165661</v>
      </c>
      <c r="H344" s="9">
        <f t="shared" si="41"/>
        <v>4.9709072792113673E-2</v>
      </c>
      <c r="I344" s="11">
        <f t="shared" si="38"/>
        <v>43647</v>
      </c>
      <c r="O344" s="11">
        <v>45108</v>
      </c>
      <c r="P344" s="19" t="str" cm="1">
        <f t="array" ref="P344">IF(OR($O344&lt;P$387,$O344&gt;P$388),"",IFERROR(IF($O344=P$387,100,P343)*INDEX($B$2:$B$428,MATCH($O344,$A$2:$A$428,0))/INDEX($B$2:$B$428,MATCH($O344,$A$2:$A$428,0)-1),""))</f>
        <v/>
      </c>
      <c r="Q344" s="19" t="str" cm="1">
        <f t="array" ref="Q344">IF(OR($O344&lt;Q$387,$O344&gt;Q$388),"",IFERROR(IF($O344=Q$387,100,Q343)*INDEX($B$2:$B$428,MATCH($O344,$A$2:$A$428,0))/INDEX($B$2:$B$428,MATCH($O344,$A$2:$A$428,0)-1),""))</f>
        <v/>
      </c>
      <c r="R344" s="19" t="str" cm="1">
        <f t="array" ref="R344">IF(OR($O344&lt;R$387,$O344&gt;R$388),"",IFERROR(IF($O344=R$387,100,R343)*INDEX($B$2:$B$428,MATCH($O344,$A$2:$A$428,0))/INDEX($B$2:$B$428,MATCH($O344,$A$2:$A$428,0)-1),""))</f>
        <v/>
      </c>
      <c r="S344" s="19" t="str" cm="1">
        <f t="array" ref="S344">IF(OR($O344&lt;S$387,$O344&gt;S$388),"",IFERROR(IF($O344=S$387,100,S343)*INDEX($B$2:$B$428,MATCH($O344,$A$2:$A$428,0))/INDEX($B$2:$B$428,MATCH($O344,$A$2:$A$428,0)-1),""))</f>
        <v/>
      </c>
      <c r="T344" s="19" t="str" cm="1">
        <f t="array" ref="T344">IF(OR($O344&lt;T$387,$O344&gt;T$388),"",IFERROR(IF($O344=T$387,100,T343)*INDEX($B$2:$B$428,MATCH($O344,$A$2:$A$428,0))/INDEX($B$2:$B$428,MATCH($O344,$A$2:$A$428,0)-1),""))</f>
        <v/>
      </c>
      <c r="U344" s="19" t="str" cm="1">
        <f t="array" ref="U344">IF(OR($O344&lt;U$387,$O344&gt;U$388),"",IFERROR(IF($O344=U$387,100,U343)*INDEX($B$2:$B$428,MATCH($O344,$A$2:$A$428,0))/INDEX($B$2:$B$428,MATCH($O344,$A$2:$A$428,0)-1),""))</f>
        <v/>
      </c>
      <c r="V344" s="19" t="str" cm="1">
        <f t="array" ref="V344">IF(OR($O344&lt;V$387,$O344&gt;V$388),"",IFERROR(IF($O344=V$387,100,V343)*INDEX($B$2:$B$428,MATCH($O344,$A$2:$A$428,0))/INDEX($B$2:$B$428,MATCH($O344,$A$2:$A$428,0)-1),""))</f>
        <v/>
      </c>
      <c r="W344" s="19" t="str" cm="1">
        <f t="array" ref="W344">IF(OR($O344&lt;W$387,$O344&gt;W$388),"",IFERROR(IF($O344=W$387,100,W343)*INDEX($B$2:$B$428,MATCH($O344,$A$2:$A$428,0))/INDEX($B$2:$B$428,MATCH($O344,$A$2:$A$428,0)-1),""))</f>
        <v/>
      </c>
      <c r="X344" s="19" cm="1">
        <f t="array" ref="X344">IF(OR($O344&lt;X$387,$O344&gt;X$388),"",IFERROR(IF($O344=X$387,100,X343)*INDEX($B$2:$B$428,MATCH($O344,$A$2:$A$428,0))/INDEX($B$2:$B$428,MATCH($O344,$A$2:$A$428,0)-1),""))</f>
        <v>110.93513787593974</v>
      </c>
      <c r="AA344" s="19"/>
      <c r="AB344" s="19"/>
      <c r="AC344" s="19"/>
      <c r="AD344" s="19"/>
      <c r="AE344" s="19"/>
      <c r="AF344" s="19"/>
      <c r="AG344" s="19"/>
      <c r="AH344" s="19"/>
      <c r="AJ344" s="11">
        <v>43282</v>
      </c>
      <c r="AK344">
        <v>6829225</v>
      </c>
      <c r="AL344" s="26">
        <f t="shared" si="42"/>
        <v>0.84326368658229889</v>
      </c>
    </row>
    <row r="345" spans="1:38" x14ac:dyDescent="0.3">
      <c r="A345" s="11">
        <v>43678</v>
      </c>
      <c r="B345" s="18">
        <v>2903771.35</v>
      </c>
      <c r="C345" s="18">
        <v>4095014.42</v>
      </c>
      <c r="D345" s="18">
        <v>6172226.2300000004</v>
      </c>
      <c r="E345" s="11">
        <f t="shared" si="37"/>
        <v>43678</v>
      </c>
      <c r="F345" s="9">
        <f t="shared" si="39"/>
        <v>0.13904874048554627</v>
      </c>
      <c r="G345" s="9">
        <f t="shared" si="40"/>
        <v>0.13884345628666717</v>
      </c>
      <c r="H345" s="9">
        <f t="shared" si="41"/>
        <v>6.3437394340181363E-2</v>
      </c>
      <c r="I345" s="11">
        <f t="shared" si="38"/>
        <v>43678</v>
      </c>
      <c r="O345" s="11">
        <v>45139</v>
      </c>
      <c r="P345" s="19" t="str" cm="1">
        <f t="array" ref="P345">IF(OR($O345&lt;P$387,$O345&gt;P$388),"",IFERROR(IF($O345=P$387,100,P344)*INDEX($B$2:$B$428,MATCH($O345,$A$2:$A$428,0))/INDEX($B$2:$B$428,MATCH($O345,$A$2:$A$428,0)-1),""))</f>
        <v/>
      </c>
      <c r="Q345" s="19" t="str" cm="1">
        <f t="array" ref="Q345">IF(OR($O345&lt;Q$387,$O345&gt;Q$388),"",IFERROR(IF($O345=Q$387,100,Q344)*INDEX($B$2:$B$428,MATCH($O345,$A$2:$A$428,0))/INDEX($B$2:$B$428,MATCH($O345,$A$2:$A$428,0)-1),""))</f>
        <v/>
      </c>
      <c r="R345" s="19" t="str" cm="1">
        <f t="array" ref="R345">IF(OR($O345&lt;R$387,$O345&gt;R$388),"",IFERROR(IF($O345=R$387,100,R344)*INDEX($B$2:$B$428,MATCH($O345,$A$2:$A$428,0))/INDEX($B$2:$B$428,MATCH($O345,$A$2:$A$428,0)-1),""))</f>
        <v/>
      </c>
      <c r="S345" s="19" t="str" cm="1">
        <f t="array" ref="S345">IF(OR($O345&lt;S$387,$O345&gt;S$388),"",IFERROR(IF($O345=S$387,100,S344)*INDEX($B$2:$B$428,MATCH($O345,$A$2:$A$428,0))/INDEX($B$2:$B$428,MATCH($O345,$A$2:$A$428,0)-1),""))</f>
        <v/>
      </c>
      <c r="T345" s="19" t="str" cm="1">
        <f t="array" ref="T345">IF(OR($O345&lt;T$387,$O345&gt;T$388),"",IFERROR(IF($O345=T$387,100,T344)*INDEX($B$2:$B$428,MATCH($O345,$A$2:$A$428,0))/INDEX($B$2:$B$428,MATCH($O345,$A$2:$A$428,0)-1),""))</f>
        <v/>
      </c>
      <c r="U345" s="19" t="str" cm="1">
        <f t="array" ref="U345">IF(OR($O345&lt;U$387,$O345&gt;U$388),"",IFERROR(IF($O345=U$387,100,U344)*INDEX($B$2:$B$428,MATCH($O345,$A$2:$A$428,0))/INDEX($B$2:$B$428,MATCH($O345,$A$2:$A$428,0)-1),""))</f>
        <v/>
      </c>
      <c r="V345" s="19" t="str" cm="1">
        <f t="array" ref="V345">IF(OR($O345&lt;V$387,$O345&gt;V$388),"",IFERROR(IF($O345=V$387,100,V344)*INDEX($B$2:$B$428,MATCH($O345,$A$2:$A$428,0))/INDEX($B$2:$B$428,MATCH($O345,$A$2:$A$428,0)-1),""))</f>
        <v/>
      </c>
      <c r="W345" s="19" t="str" cm="1">
        <f t="array" ref="W345">IF(OR($O345&lt;W$387,$O345&gt;W$388),"",IFERROR(IF($O345=W$387,100,W344)*INDEX($B$2:$B$428,MATCH($O345,$A$2:$A$428,0))/INDEX($B$2:$B$428,MATCH($O345,$A$2:$A$428,0)-1),""))</f>
        <v/>
      </c>
      <c r="X345" s="19" cm="1">
        <f t="array" ref="X345">IF(OR($O345&lt;X$387,$O345&gt;X$388),"",IFERROR(IF($O345=X$387,100,X344)*INDEX($B$2:$B$428,MATCH($O345,$A$2:$A$428,0))/INDEX($B$2:$B$428,MATCH($O345,$A$2:$A$428,0)-1),""))</f>
        <v>112.17790532179957</v>
      </c>
      <c r="AA345" s="19"/>
      <c r="AB345" s="19"/>
      <c r="AC345" s="19"/>
      <c r="AD345" s="19"/>
      <c r="AE345" s="19"/>
      <c r="AF345" s="19"/>
      <c r="AG345" s="19"/>
      <c r="AH345" s="19"/>
      <c r="AJ345" s="11">
        <v>43313</v>
      </c>
      <c r="AK345">
        <v>6872205.9000000004</v>
      </c>
      <c r="AL345" s="26">
        <f t="shared" si="42"/>
        <v>0.84456629420838503</v>
      </c>
    </row>
    <row r="346" spans="1:38" x14ac:dyDescent="0.3">
      <c r="A346" s="11">
        <v>43709</v>
      </c>
      <c r="B346" s="18">
        <v>2944328.62</v>
      </c>
      <c r="C346" s="18">
        <v>4119034.74</v>
      </c>
      <c r="D346" s="18">
        <v>6268086.5599999996</v>
      </c>
      <c r="E346" s="11">
        <f t="shared" si="37"/>
        <v>43709</v>
      </c>
      <c r="F346" s="9">
        <f t="shared" si="39"/>
        <v>0.11725703727252479</v>
      </c>
      <c r="G346" s="9">
        <f t="shared" si="40"/>
        <v>0.121354500527314</v>
      </c>
      <c r="H346" s="9">
        <f t="shared" si="41"/>
        <v>7.5060155757085578E-2</v>
      </c>
      <c r="I346" s="11">
        <f t="shared" si="38"/>
        <v>43709</v>
      </c>
      <c r="O346" s="11">
        <v>45170</v>
      </c>
      <c r="P346" s="19" t="str" cm="1">
        <f t="array" ref="P346">IF(OR($O346&lt;P$387,$O346&gt;P$388),"",IFERROR(IF($O346=P$387,100,P345)*INDEX($B$2:$B$428,MATCH($O346,$A$2:$A$428,0))/INDEX($B$2:$B$428,MATCH($O346,$A$2:$A$428,0)-1),""))</f>
        <v/>
      </c>
      <c r="Q346" s="19" t="str" cm="1">
        <f t="array" ref="Q346">IF(OR($O346&lt;Q$387,$O346&gt;Q$388),"",IFERROR(IF($O346=Q$387,100,Q345)*INDEX($B$2:$B$428,MATCH($O346,$A$2:$A$428,0))/INDEX($B$2:$B$428,MATCH($O346,$A$2:$A$428,0)-1),""))</f>
        <v/>
      </c>
      <c r="R346" s="19" t="str" cm="1">
        <f t="array" ref="R346">IF(OR($O346&lt;R$387,$O346&gt;R$388),"",IFERROR(IF($O346=R$387,100,R345)*INDEX($B$2:$B$428,MATCH($O346,$A$2:$A$428,0))/INDEX($B$2:$B$428,MATCH($O346,$A$2:$A$428,0)-1),""))</f>
        <v/>
      </c>
      <c r="S346" s="19" t="str" cm="1">
        <f t="array" ref="S346">IF(OR($O346&lt;S$387,$O346&gt;S$388),"",IFERROR(IF($O346=S$387,100,S345)*INDEX($B$2:$B$428,MATCH($O346,$A$2:$A$428,0))/INDEX($B$2:$B$428,MATCH($O346,$A$2:$A$428,0)-1),""))</f>
        <v/>
      </c>
      <c r="T346" s="19" t="str" cm="1">
        <f t="array" ref="T346">IF(OR($O346&lt;T$387,$O346&gt;T$388),"",IFERROR(IF($O346=T$387,100,T345)*INDEX($B$2:$B$428,MATCH($O346,$A$2:$A$428,0))/INDEX($B$2:$B$428,MATCH($O346,$A$2:$A$428,0)-1),""))</f>
        <v/>
      </c>
      <c r="U346" s="19" t="str" cm="1">
        <f t="array" ref="U346">IF(OR($O346&lt;U$387,$O346&gt;U$388),"",IFERROR(IF($O346=U$387,100,U345)*INDEX($B$2:$B$428,MATCH($O346,$A$2:$A$428,0))/INDEX($B$2:$B$428,MATCH($O346,$A$2:$A$428,0)-1),""))</f>
        <v/>
      </c>
      <c r="V346" s="19" t="str" cm="1">
        <f t="array" ref="V346">IF(OR($O346&lt;V$387,$O346&gt;V$388),"",IFERROR(IF($O346=V$387,100,V345)*INDEX($B$2:$B$428,MATCH($O346,$A$2:$A$428,0))/INDEX($B$2:$B$428,MATCH($O346,$A$2:$A$428,0)-1),""))</f>
        <v/>
      </c>
      <c r="W346" s="19" t="str" cm="1">
        <f t="array" ref="W346">IF(OR($O346&lt;W$387,$O346&gt;W$388),"",IFERROR(IF($O346=W$387,100,W345)*INDEX($B$2:$B$428,MATCH($O346,$A$2:$A$428,0))/INDEX($B$2:$B$428,MATCH($O346,$A$2:$A$428,0)-1),""))</f>
        <v/>
      </c>
      <c r="X346" s="19" cm="1">
        <f t="array" ref="X346">IF(OR($O346&lt;X$387,$O346&gt;X$388),"",IFERROR(IF($O346=X$387,100,X345)*INDEX($B$2:$B$428,MATCH($O346,$A$2:$A$428,0))/INDEX($B$2:$B$428,MATCH($O346,$A$2:$A$428,0)-1),""))</f>
        <v>113.44848543974946</v>
      </c>
      <c r="AA346" s="19"/>
      <c r="AB346" s="19"/>
      <c r="AC346" s="19"/>
      <c r="AD346" s="19"/>
      <c r="AE346" s="19"/>
      <c r="AF346" s="19"/>
      <c r="AG346" s="19"/>
      <c r="AH346" s="19"/>
      <c r="AJ346" s="11">
        <v>43344</v>
      </c>
      <c r="AK346">
        <v>6904478.5</v>
      </c>
      <c r="AL346" s="26">
        <f t="shared" si="42"/>
        <v>0.84444493961419387</v>
      </c>
    </row>
    <row r="347" spans="1:38" x14ac:dyDescent="0.3">
      <c r="A347" s="11">
        <v>43739</v>
      </c>
      <c r="B347" s="18">
        <v>3003316.76</v>
      </c>
      <c r="C347" s="18">
        <v>4131475.84</v>
      </c>
      <c r="D347" s="18">
        <v>6221833.5700000003</v>
      </c>
      <c r="E347" s="11">
        <f t="shared" si="37"/>
        <v>43739</v>
      </c>
      <c r="F347" s="9">
        <f t="shared" si="39"/>
        <v>9.6172178478303172E-2</v>
      </c>
      <c r="G347" s="9">
        <f t="shared" si="40"/>
        <v>9.5015383697767852E-2</v>
      </c>
      <c r="H347" s="9">
        <f t="shared" si="41"/>
        <v>7.5142146294281842E-2</v>
      </c>
      <c r="I347" s="11">
        <f t="shared" si="38"/>
        <v>43739</v>
      </c>
      <c r="O347" s="11">
        <v>45200</v>
      </c>
      <c r="P347" s="19" t="str" cm="1">
        <f t="array" ref="P347">IF(OR($O347&lt;P$387,$O347&gt;P$388),"",IFERROR(IF($O347=P$387,100,P346)*INDEX($B$2:$B$428,MATCH($O347,$A$2:$A$428,0))/INDEX($B$2:$B$428,MATCH($O347,$A$2:$A$428,0)-1),""))</f>
        <v/>
      </c>
      <c r="Q347" s="19" t="str" cm="1">
        <f t="array" ref="Q347">IF(OR($O347&lt;Q$387,$O347&gt;Q$388),"",IFERROR(IF($O347=Q$387,100,Q346)*INDEX($B$2:$B$428,MATCH($O347,$A$2:$A$428,0))/INDEX($B$2:$B$428,MATCH($O347,$A$2:$A$428,0)-1),""))</f>
        <v/>
      </c>
      <c r="R347" s="19" t="str" cm="1">
        <f t="array" ref="R347">IF(OR($O347&lt;R$387,$O347&gt;R$388),"",IFERROR(IF($O347=R$387,100,R346)*INDEX($B$2:$B$428,MATCH($O347,$A$2:$A$428,0))/INDEX($B$2:$B$428,MATCH($O347,$A$2:$A$428,0)-1),""))</f>
        <v/>
      </c>
      <c r="S347" s="19" t="str" cm="1">
        <f t="array" ref="S347">IF(OR($O347&lt;S$387,$O347&gt;S$388),"",IFERROR(IF($O347=S$387,100,S346)*INDEX($B$2:$B$428,MATCH($O347,$A$2:$A$428,0))/INDEX($B$2:$B$428,MATCH($O347,$A$2:$A$428,0)-1),""))</f>
        <v/>
      </c>
      <c r="T347" s="19" t="str" cm="1">
        <f t="array" ref="T347">IF(OR($O347&lt;T$387,$O347&gt;T$388),"",IFERROR(IF($O347=T$387,100,T346)*INDEX($B$2:$B$428,MATCH($O347,$A$2:$A$428,0))/INDEX($B$2:$B$428,MATCH($O347,$A$2:$A$428,0)-1),""))</f>
        <v/>
      </c>
      <c r="U347" s="19" t="str" cm="1">
        <f t="array" ref="U347">IF(OR($O347&lt;U$387,$O347&gt;U$388),"",IFERROR(IF($O347=U$387,100,U346)*INDEX($B$2:$B$428,MATCH($O347,$A$2:$A$428,0))/INDEX($B$2:$B$428,MATCH($O347,$A$2:$A$428,0)-1),""))</f>
        <v/>
      </c>
      <c r="V347" s="19" t="str" cm="1">
        <f t="array" ref="V347">IF(OR($O347&lt;V$387,$O347&gt;V$388),"",IFERROR(IF($O347=V$387,100,V346)*INDEX($B$2:$B$428,MATCH($O347,$A$2:$A$428,0))/INDEX($B$2:$B$428,MATCH($O347,$A$2:$A$428,0)-1),""))</f>
        <v/>
      </c>
      <c r="W347" s="19" t="str" cm="1">
        <f t="array" ref="W347">IF(OR($O347&lt;W$387,$O347&gt;W$388),"",IFERROR(IF($O347=W$387,100,W346)*INDEX($B$2:$B$428,MATCH($O347,$A$2:$A$428,0))/INDEX($B$2:$B$428,MATCH($O347,$A$2:$A$428,0)-1),""))</f>
        <v/>
      </c>
      <c r="X347" s="19" cm="1">
        <f t="array" ref="X347">IF(OR($O347&lt;X$387,$O347&gt;X$388),"",IFERROR(IF($O347=X$387,100,X346)*INDEX($B$2:$B$428,MATCH($O347,$A$2:$A$428,0))/INDEX($B$2:$B$428,MATCH($O347,$A$2:$A$428,0)-1),""))</f>
        <v>114.00713252680318</v>
      </c>
      <c r="AA347" s="19"/>
      <c r="AB347" s="19"/>
      <c r="AC347" s="19"/>
      <c r="AD347" s="19"/>
      <c r="AE347" s="19"/>
      <c r="AF347" s="19"/>
      <c r="AG347" s="19"/>
      <c r="AH347" s="19"/>
      <c r="AJ347" s="11">
        <v>43374</v>
      </c>
      <c r="AK347">
        <v>6948164.0999999996</v>
      </c>
      <c r="AL347" s="26">
        <f t="shared" si="42"/>
        <v>0.83288000494979686</v>
      </c>
    </row>
    <row r="348" spans="1:38" x14ac:dyDescent="0.3">
      <c r="A348" s="11">
        <v>43770</v>
      </c>
      <c r="B348" s="18">
        <v>2984296.59</v>
      </c>
      <c r="C348" s="18">
        <v>4190113.83</v>
      </c>
      <c r="D348" s="18">
        <v>6364641.8700000001</v>
      </c>
      <c r="E348" s="11">
        <f t="shared" si="37"/>
        <v>43770</v>
      </c>
      <c r="F348" s="9">
        <f t="shared" si="39"/>
        <v>9.5236728075864585E-2</v>
      </c>
      <c r="G348" s="9">
        <f t="shared" si="40"/>
        <v>0.1088948011400992</v>
      </c>
      <c r="H348" s="9">
        <f t="shared" si="41"/>
        <v>8.43064268987892E-2</v>
      </c>
      <c r="I348" s="11">
        <f t="shared" si="38"/>
        <v>43770</v>
      </c>
      <c r="O348" s="11">
        <v>45231</v>
      </c>
      <c r="P348" s="19" t="str" cm="1">
        <f t="array" ref="P348">IF(OR($O348&lt;P$387,$O348&gt;P$388),"",IFERROR(IF($O348=P$387,100,P347)*INDEX($B$2:$B$428,MATCH($O348,$A$2:$A$428,0))/INDEX($B$2:$B$428,MATCH($O348,$A$2:$A$428,0)-1),""))</f>
        <v/>
      </c>
      <c r="Q348" s="19" t="str" cm="1">
        <f t="array" ref="Q348">IF(OR($O348&lt;Q$387,$O348&gt;Q$388),"",IFERROR(IF($O348=Q$387,100,Q347)*INDEX($B$2:$B$428,MATCH($O348,$A$2:$A$428,0))/INDEX($B$2:$B$428,MATCH($O348,$A$2:$A$428,0)-1),""))</f>
        <v/>
      </c>
      <c r="R348" s="19" t="str" cm="1">
        <f t="array" ref="R348">IF(OR($O348&lt;R$387,$O348&gt;R$388),"",IFERROR(IF($O348=R$387,100,R347)*INDEX($B$2:$B$428,MATCH($O348,$A$2:$A$428,0))/INDEX($B$2:$B$428,MATCH($O348,$A$2:$A$428,0)-1),""))</f>
        <v/>
      </c>
      <c r="S348" s="19" t="str" cm="1">
        <f t="array" ref="S348">IF(OR($O348&lt;S$387,$O348&gt;S$388),"",IFERROR(IF($O348=S$387,100,S347)*INDEX($B$2:$B$428,MATCH($O348,$A$2:$A$428,0))/INDEX($B$2:$B$428,MATCH($O348,$A$2:$A$428,0)-1),""))</f>
        <v/>
      </c>
      <c r="T348" s="19" t="str" cm="1">
        <f t="array" ref="T348">IF(OR($O348&lt;T$387,$O348&gt;T$388),"",IFERROR(IF($O348=T$387,100,T347)*INDEX($B$2:$B$428,MATCH($O348,$A$2:$A$428,0))/INDEX($B$2:$B$428,MATCH($O348,$A$2:$A$428,0)-1),""))</f>
        <v/>
      </c>
      <c r="U348" s="19" t="str" cm="1">
        <f t="array" ref="U348">IF(OR($O348&lt;U$387,$O348&gt;U$388),"",IFERROR(IF($O348=U$387,100,U347)*INDEX($B$2:$B$428,MATCH($O348,$A$2:$A$428,0))/INDEX($B$2:$B$428,MATCH($O348,$A$2:$A$428,0)-1),""))</f>
        <v/>
      </c>
      <c r="V348" s="19" t="str" cm="1">
        <f t="array" ref="V348">IF(OR($O348&lt;V$387,$O348&gt;V$388),"",IFERROR(IF($O348=V$387,100,V347)*INDEX($B$2:$B$428,MATCH($O348,$A$2:$A$428,0))/INDEX($B$2:$B$428,MATCH($O348,$A$2:$A$428,0)-1),""))</f>
        <v/>
      </c>
      <c r="W348" s="19" t="str" cm="1">
        <f t="array" ref="W348">IF(OR($O348&lt;W$387,$O348&gt;W$388),"",IFERROR(IF($O348=W$387,100,W347)*INDEX($B$2:$B$428,MATCH($O348,$A$2:$A$428,0))/INDEX($B$2:$B$428,MATCH($O348,$A$2:$A$428,0)-1),""))</f>
        <v/>
      </c>
      <c r="X348" s="19" cm="1">
        <f t="array" ref="X348">IF(OR($O348&lt;X$387,$O348&gt;X$388),"",IFERROR(IF($O348=X$387,100,X347)*INDEX($B$2:$B$428,MATCH($O348,$A$2:$A$428,0))/INDEX($B$2:$B$428,MATCH($O348,$A$2:$A$428,0)-1),""))</f>
        <v>115.52098947782289</v>
      </c>
      <c r="AA348" s="19"/>
      <c r="AB348" s="19"/>
      <c r="AC348" s="19"/>
      <c r="AD348" s="19"/>
      <c r="AE348" s="19"/>
      <c r="AF348" s="19"/>
      <c r="AG348" s="19"/>
      <c r="AH348" s="19"/>
      <c r="AJ348" s="11">
        <v>43405</v>
      </c>
      <c r="AK348">
        <v>6981588.4000000004</v>
      </c>
      <c r="AL348" s="26">
        <f t="shared" si="42"/>
        <v>0.84075159171514602</v>
      </c>
    </row>
    <row r="349" spans="1:38" x14ac:dyDescent="0.3">
      <c r="A349" s="11">
        <v>43800</v>
      </c>
      <c r="B349" s="18">
        <v>3078019.06</v>
      </c>
      <c r="C349" s="18">
        <v>4231844.4800000004</v>
      </c>
      <c r="D349" s="18">
        <v>6437298.6699999999</v>
      </c>
      <c r="E349" s="11">
        <f t="shared" si="37"/>
        <v>43800</v>
      </c>
      <c r="F349" s="9">
        <f t="shared" si="39"/>
        <v>0.11373030456771138</v>
      </c>
      <c r="G349" s="9">
        <f t="shared" si="40"/>
        <v>0.10406756674299822</v>
      </c>
      <c r="H349" s="9">
        <f t="shared" si="41"/>
        <v>8.4102886327990234E-2</v>
      </c>
      <c r="I349" s="11">
        <f t="shared" si="38"/>
        <v>43800</v>
      </c>
      <c r="O349" s="11">
        <v>45261</v>
      </c>
      <c r="P349" s="19" t="str" cm="1">
        <f t="array" ref="P349">IF(OR($O349&lt;P$387,$O349&gt;P$388),"",IFERROR(IF($O349=P$387,100,P348)*INDEX($B$2:$B$428,MATCH($O349,$A$2:$A$428,0))/INDEX($B$2:$B$428,MATCH($O349,$A$2:$A$428,0)-1),""))</f>
        <v/>
      </c>
      <c r="Q349" s="19" t="str" cm="1">
        <f t="array" ref="Q349">IF(OR($O349&lt;Q$387,$O349&gt;Q$388),"",IFERROR(IF($O349=Q$387,100,Q348)*INDEX($B$2:$B$428,MATCH($O349,$A$2:$A$428,0))/INDEX($B$2:$B$428,MATCH($O349,$A$2:$A$428,0)-1),""))</f>
        <v/>
      </c>
      <c r="R349" s="19" t="str" cm="1">
        <f t="array" ref="R349">IF(OR($O349&lt;R$387,$O349&gt;R$388),"",IFERROR(IF($O349=R$387,100,R348)*INDEX($B$2:$B$428,MATCH($O349,$A$2:$A$428,0))/INDEX($B$2:$B$428,MATCH($O349,$A$2:$A$428,0)-1),""))</f>
        <v/>
      </c>
      <c r="S349" s="19" t="str" cm="1">
        <f t="array" ref="S349">IF(OR($O349&lt;S$387,$O349&gt;S$388),"",IFERROR(IF($O349=S$387,100,S348)*INDEX($B$2:$B$428,MATCH($O349,$A$2:$A$428,0))/INDEX($B$2:$B$428,MATCH($O349,$A$2:$A$428,0)-1),""))</f>
        <v/>
      </c>
      <c r="T349" s="19" t="str" cm="1">
        <f t="array" ref="T349">IF(OR($O349&lt;T$387,$O349&gt;T$388),"",IFERROR(IF($O349=T$387,100,T348)*INDEX($B$2:$B$428,MATCH($O349,$A$2:$A$428,0))/INDEX($B$2:$B$428,MATCH($O349,$A$2:$A$428,0)-1),""))</f>
        <v/>
      </c>
      <c r="U349" s="19" t="str" cm="1">
        <f t="array" ref="U349">IF(OR($O349&lt;U$387,$O349&gt;U$388),"",IFERROR(IF($O349=U$387,100,U348)*INDEX($B$2:$B$428,MATCH($O349,$A$2:$A$428,0))/INDEX($B$2:$B$428,MATCH($O349,$A$2:$A$428,0)-1),""))</f>
        <v/>
      </c>
      <c r="V349" s="19" t="str" cm="1">
        <f t="array" ref="V349">IF(OR($O349&lt;V$387,$O349&gt;V$388),"",IFERROR(IF($O349=V$387,100,V348)*INDEX($B$2:$B$428,MATCH($O349,$A$2:$A$428,0))/INDEX($B$2:$B$428,MATCH($O349,$A$2:$A$428,0)-1),""))</f>
        <v/>
      </c>
      <c r="W349" s="19" t="str" cm="1">
        <f t="array" ref="W349">IF(OR($O349&lt;W$387,$O349&gt;W$388),"",IFERROR(IF($O349=W$387,100,W348)*INDEX($B$2:$B$428,MATCH($O349,$A$2:$A$428,0))/INDEX($B$2:$B$428,MATCH($O349,$A$2:$A$428,0)-1),""))</f>
        <v/>
      </c>
      <c r="X349" s="19" cm="1">
        <f t="array" ref="X349">IF(OR($O349&lt;X$387,$O349&gt;X$388),"",IFERROR(IF($O349=X$387,100,X348)*INDEX($B$2:$B$428,MATCH($O349,$A$2:$A$428,0))/INDEX($B$2:$B$428,MATCH($O349,$A$2:$A$428,0)-1),""))</f>
        <v>119.39314457678311</v>
      </c>
      <c r="AA349" s="19"/>
      <c r="AB349" s="19"/>
      <c r="AC349" s="19"/>
      <c r="AD349" s="19"/>
      <c r="AE349" s="19"/>
      <c r="AF349" s="19"/>
      <c r="AG349" s="19"/>
      <c r="AH349" s="19"/>
      <c r="AJ349" s="11">
        <v>43435</v>
      </c>
      <c r="AK349">
        <v>7004141</v>
      </c>
      <c r="AL349" s="26">
        <f t="shared" si="42"/>
        <v>0.84777045750506741</v>
      </c>
    </row>
    <row r="350" spans="1:38" x14ac:dyDescent="0.3">
      <c r="A350" s="11">
        <v>43831</v>
      </c>
      <c r="B350" s="18">
        <v>2980128.07</v>
      </c>
      <c r="C350" s="18">
        <v>4222098.3499999996</v>
      </c>
      <c r="D350" s="18">
        <v>6425866.29</v>
      </c>
      <c r="E350" s="11">
        <f t="shared" si="37"/>
        <v>43831</v>
      </c>
      <c r="F350" s="9">
        <f t="shared" si="39"/>
        <v>5.6501097583018689E-2</v>
      </c>
      <c r="G350" s="9">
        <f t="shared" si="40"/>
        <v>9.1560808417473938E-2</v>
      </c>
      <c r="H350" s="9">
        <f t="shared" si="41"/>
        <v>9.6700417513627679E-2</v>
      </c>
      <c r="I350" s="11">
        <f t="shared" si="38"/>
        <v>43831</v>
      </c>
      <c r="O350" s="11">
        <v>45292</v>
      </c>
      <c r="P350" s="19" t="str" cm="1">
        <f t="array" ref="P350">IF(OR($O350&lt;P$387,$O350&gt;P$388),"",IFERROR(IF($O350=P$387,100,P349)*INDEX($B$2:$B$428,MATCH($O350,$A$2:$A$428,0))/INDEX($B$2:$B$428,MATCH($O350,$A$2:$A$428,0)-1),""))</f>
        <v/>
      </c>
      <c r="Q350" s="19" t="str" cm="1">
        <f t="array" ref="Q350">IF(OR($O350&lt;Q$387,$O350&gt;Q$388),"",IFERROR(IF($O350=Q$387,100,Q349)*INDEX($B$2:$B$428,MATCH($O350,$A$2:$A$428,0))/INDEX($B$2:$B$428,MATCH($O350,$A$2:$A$428,0)-1),""))</f>
        <v/>
      </c>
      <c r="R350" s="19" t="str" cm="1">
        <f t="array" ref="R350">IF(OR($O350&lt;R$387,$O350&gt;R$388),"",IFERROR(IF($O350=R$387,100,R349)*INDEX($B$2:$B$428,MATCH($O350,$A$2:$A$428,0))/INDEX($B$2:$B$428,MATCH($O350,$A$2:$A$428,0)-1),""))</f>
        <v/>
      </c>
      <c r="S350" s="19" t="str" cm="1">
        <f t="array" ref="S350">IF(OR($O350&lt;S$387,$O350&gt;S$388),"",IFERROR(IF($O350=S$387,100,S349)*INDEX($B$2:$B$428,MATCH($O350,$A$2:$A$428,0))/INDEX($B$2:$B$428,MATCH($O350,$A$2:$A$428,0)-1),""))</f>
        <v/>
      </c>
      <c r="T350" s="19" t="str" cm="1">
        <f t="array" ref="T350">IF(OR($O350&lt;T$387,$O350&gt;T$388),"",IFERROR(IF($O350=T$387,100,T349)*INDEX($B$2:$B$428,MATCH($O350,$A$2:$A$428,0))/INDEX($B$2:$B$428,MATCH($O350,$A$2:$A$428,0)-1),""))</f>
        <v/>
      </c>
      <c r="U350" s="19" t="str" cm="1">
        <f t="array" ref="U350">IF(OR($O350&lt;U$387,$O350&gt;U$388),"",IFERROR(IF($O350=U$387,100,U349)*INDEX($B$2:$B$428,MATCH($O350,$A$2:$A$428,0))/INDEX($B$2:$B$428,MATCH($O350,$A$2:$A$428,0)-1),""))</f>
        <v/>
      </c>
      <c r="V350" s="19" t="str" cm="1">
        <f t="array" ref="V350">IF(OR($O350&lt;V$387,$O350&gt;V$388),"",IFERROR(IF($O350=V$387,100,V349)*INDEX($B$2:$B$428,MATCH($O350,$A$2:$A$428,0))/INDEX($B$2:$B$428,MATCH($O350,$A$2:$A$428,0)-1),""))</f>
        <v/>
      </c>
      <c r="W350" s="19" t="str" cm="1">
        <f t="array" ref="W350">IF(OR($O350&lt;W$387,$O350&gt;W$388),"",IFERROR(IF($O350=W$387,100,W349)*INDEX($B$2:$B$428,MATCH($O350,$A$2:$A$428,0))/INDEX($B$2:$B$428,MATCH($O350,$A$2:$A$428,0)-1),""))</f>
        <v/>
      </c>
      <c r="X350" s="19" cm="1">
        <f t="array" ref="X350">IF(OR($O350&lt;X$387,$O350&gt;X$388),"",IFERROR(IF($O350=X$387,100,X349)*INDEX($B$2:$B$428,MATCH($O350,$A$2:$A$428,0))/INDEX($B$2:$B$428,MATCH($O350,$A$2:$A$428,0)-1),""))</f>
        <v>118.59193672422622</v>
      </c>
      <c r="AA350" s="19"/>
      <c r="AB350" s="19"/>
      <c r="AC350" s="19"/>
      <c r="AD350" s="19"/>
      <c r="AE350" s="19"/>
      <c r="AF350" s="19"/>
      <c r="AG350" s="19"/>
      <c r="AH350" s="19"/>
      <c r="AJ350" s="11">
        <v>43466</v>
      </c>
      <c r="AK350">
        <v>7029231.9000000004</v>
      </c>
      <c r="AL350" s="26">
        <f t="shared" si="42"/>
        <v>0.83355796242829883</v>
      </c>
    </row>
    <row r="351" spans="1:38" x14ac:dyDescent="0.3">
      <c r="A351" s="11">
        <v>43862</v>
      </c>
      <c r="B351" s="18">
        <v>2946934.21</v>
      </c>
      <c r="C351" s="18">
        <v>4279750.33</v>
      </c>
      <c r="D351" s="18">
        <v>6498845.3799999999</v>
      </c>
      <c r="E351" s="11">
        <f t="shared" si="37"/>
        <v>43862</v>
      </c>
      <c r="F351" s="9">
        <f t="shared" si="39"/>
        <v>3.8730291895332725E-2</v>
      </c>
      <c r="G351" s="9">
        <f t="shared" si="40"/>
        <v>9.7610972929728979E-2</v>
      </c>
      <c r="H351" s="9">
        <f t="shared" si="41"/>
        <v>9.0801554167525556E-2</v>
      </c>
      <c r="I351" s="11">
        <f t="shared" si="38"/>
        <v>43862</v>
      </c>
      <c r="O351" s="11">
        <v>45323</v>
      </c>
      <c r="P351" s="19" t="str" cm="1">
        <f t="array" ref="P351">IF(OR($O351&lt;P$387,$O351&gt;P$388),"",IFERROR(IF($O351=P$387,100,P350)*INDEX($B$2:$B$428,MATCH($O351,$A$2:$A$428,0))/INDEX($B$2:$B$428,MATCH($O351,$A$2:$A$428,0)-1),""))</f>
        <v/>
      </c>
      <c r="Q351" s="19" t="str" cm="1">
        <f t="array" ref="Q351">IF(OR($O351&lt;Q$387,$O351&gt;Q$388),"",IFERROR(IF($O351=Q$387,100,Q350)*INDEX($B$2:$B$428,MATCH($O351,$A$2:$A$428,0))/INDEX($B$2:$B$428,MATCH($O351,$A$2:$A$428,0)-1),""))</f>
        <v/>
      </c>
      <c r="R351" s="19" t="str" cm="1">
        <f t="array" ref="R351">IF(OR($O351&lt;R$387,$O351&gt;R$388),"",IFERROR(IF($O351=R$387,100,R350)*INDEX($B$2:$B$428,MATCH($O351,$A$2:$A$428,0))/INDEX($B$2:$B$428,MATCH($O351,$A$2:$A$428,0)-1),""))</f>
        <v/>
      </c>
      <c r="S351" s="19" t="str" cm="1">
        <f t="array" ref="S351">IF(OR($O351&lt;S$387,$O351&gt;S$388),"",IFERROR(IF($O351=S$387,100,S350)*INDEX($B$2:$B$428,MATCH($O351,$A$2:$A$428,0))/INDEX($B$2:$B$428,MATCH($O351,$A$2:$A$428,0)-1),""))</f>
        <v/>
      </c>
      <c r="T351" s="19" t="str" cm="1">
        <f t="array" ref="T351">IF(OR($O351&lt;T$387,$O351&gt;T$388),"",IFERROR(IF($O351=T$387,100,T350)*INDEX($B$2:$B$428,MATCH($O351,$A$2:$A$428,0))/INDEX($B$2:$B$428,MATCH($O351,$A$2:$A$428,0)-1),""))</f>
        <v/>
      </c>
      <c r="U351" s="19" t="str" cm="1">
        <f t="array" ref="U351">IF(OR($O351&lt;U$387,$O351&gt;U$388),"",IFERROR(IF($O351=U$387,100,U350)*INDEX($B$2:$B$428,MATCH($O351,$A$2:$A$428,0))/INDEX($B$2:$B$428,MATCH($O351,$A$2:$A$428,0)-1),""))</f>
        <v/>
      </c>
      <c r="V351" s="19" t="str" cm="1">
        <f t="array" ref="V351">IF(OR($O351&lt;V$387,$O351&gt;V$388),"",IFERROR(IF($O351=V$387,100,V350)*INDEX($B$2:$B$428,MATCH($O351,$A$2:$A$428,0))/INDEX($B$2:$B$428,MATCH($O351,$A$2:$A$428,0)-1),""))</f>
        <v/>
      </c>
      <c r="W351" s="19" t="str" cm="1">
        <f t="array" ref="W351">IF(OR($O351&lt;W$387,$O351&gt;W$388),"",IFERROR(IF($O351=W$387,100,W350)*INDEX($B$2:$B$428,MATCH($O351,$A$2:$A$428,0))/INDEX($B$2:$B$428,MATCH($O351,$A$2:$A$428,0)-1),""))</f>
        <v/>
      </c>
      <c r="X351" s="19" cm="1">
        <f t="array" ref="X351">IF(OR($O351&lt;X$387,$O351&gt;X$388),"",IFERROR(IF($O351=X$387,100,X350)*INDEX($B$2:$B$428,MATCH($O351,$A$2:$A$428,0))/INDEX($B$2:$B$428,MATCH($O351,$A$2:$A$428,0)-1),""))</f>
        <v>121.33857268554421</v>
      </c>
      <c r="AA351" s="19"/>
      <c r="AB351" s="19"/>
      <c r="AC351" s="19"/>
      <c r="AD351" s="19"/>
      <c r="AE351" s="19"/>
      <c r="AF351" s="19"/>
      <c r="AG351" s="19"/>
      <c r="AH351" s="19"/>
      <c r="AJ351" s="11">
        <v>43497</v>
      </c>
      <c r="AK351">
        <v>7066500.7999999998</v>
      </c>
      <c r="AL351" s="26">
        <f t="shared" si="42"/>
        <v>0.84311350109802585</v>
      </c>
    </row>
    <row r="352" spans="1:38" x14ac:dyDescent="0.3">
      <c r="A352" s="11">
        <v>43891</v>
      </c>
      <c r="B352" s="18">
        <v>2783301.61</v>
      </c>
      <c r="C352" s="18">
        <v>4358648.2699999996</v>
      </c>
      <c r="D352" s="18">
        <v>6420093.0700000003</v>
      </c>
      <c r="E352" s="11">
        <f t="shared" si="37"/>
        <v>43891</v>
      </c>
      <c r="F352" s="9">
        <f t="shared" si="39"/>
        <v>-1.5943592574422905E-2</v>
      </c>
      <c r="G352" s="9">
        <f t="shared" si="40"/>
        <v>0.12277048640482602</v>
      </c>
      <c r="H352" s="9">
        <f t="shared" si="41"/>
        <v>6.8605191469086835E-2</v>
      </c>
      <c r="I352" s="11">
        <f t="shared" si="38"/>
        <v>43891</v>
      </c>
      <c r="O352" s="11">
        <v>45352</v>
      </c>
      <c r="P352" s="19" t="str" cm="1">
        <f t="array" ref="P352">IF(OR($O352&lt;P$387,$O352&gt;P$388),"",IFERROR(IF($O352=P$387,100,P351)*INDEX($B$2:$B$428,MATCH($O352,$A$2:$A$428,0))/INDEX($B$2:$B$428,MATCH($O352,$A$2:$A$428,0)-1),""))</f>
        <v/>
      </c>
      <c r="Q352" s="19" t="str" cm="1">
        <f t="array" ref="Q352">IF(OR($O352&lt;Q$387,$O352&gt;Q$388),"",IFERROR(IF($O352=Q$387,100,Q351)*INDEX($B$2:$B$428,MATCH($O352,$A$2:$A$428,0))/INDEX($B$2:$B$428,MATCH($O352,$A$2:$A$428,0)-1),""))</f>
        <v/>
      </c>
      <c r="R352" s="19" t="str" cm="1">
        <f t="array" ref="R352">IF(OR($O352&lt;R$387,$O352&gt;R$388),"",IFERROR(IF($O352=R$387,100,R351)*INDEX($B$2:$B$428,MATCH($O352,$A$2:$A$428,0))/INDEX($B$2:$B$428,MATCH($O352,$A$2:$A$428,0)-1),""))</f>
        <v/>
      </c>
      <c r="S352" s="19" t="str" cm="1">
        <f t="array" ref="S352">IF(OR($O352&lt;S$387,$O352&gt;S$388),"",IFERROR(IF($O352=S$387,100,S351)*INDEX($B$2:$B$428,MATCH($O352,$A$2:$A$428,0))/INDEX($B$2:$B$428,MATCH($O352,$A$2:$A$428,0)-1),""))</f>
        <v/>
      </c>
      <c r="T352" s="19" t="str" cm="1">
        <f t="array" ref="T352">IF(OR($O352&lt;T$387,$O352&gt;T$388),"",IFERROR(IF($O352=T$387,100,T351)*INDEX($B$2:$B$428,MATCH($O352,$A$2:$A$428,0))/INDEX($B$2:$B$428,MATCH($O352,$A$2:$A$428,0)-1),""))</f>
        <v/>
      </c>
      <c r="U352" s="19" t="str" cm="1">
        <f t="array" ref="U352">IF(OR($O352&lt;U$387,$O352&gt;U$388),"",IFERROR(IF($O352=U$387,100,U351)*INDEX($B$2:$B$428,MATCH($O352,$A$2:$A$428,0))/INDEX($B$2:$B$428,MATCH($O352,$A$2:$A$428,0)-1),""))</f>
        <v/>
      </c>
      <c r="V352" s="19" t="str" cm="1">
        <f t="array" ref="V352">IF(OR($O352&lt;V$387,$O352&gt;V$388),"",IFERROR(IF($O352=V$387,100,V351)*INDEX($B$2:$B$428,MATCH($O352,$A$2:$A$428,0))/INDEX($B$2:$B$428,MATCH($O352,$A$2:$A$428,0)-1),""))</f>
        <v/>
      </c>
      <c r="W352" s="19" t="str" cm="1">
        <f t="array" ref="W352">IF(OR($O352&lt;W$387,$O352&gt;W$388),"",IFERROR(IF($O352=W$387,100,W351)*INDEX($B$2:$B$428,MATCH($O352,$A$2:$A$428,0))/INDEX($B$2:$B$428,MATCH($O352,$A$2:$A$428,0)-1),""))</f>
        <v/>
      </c>
      <c r="X352" s="19" cm="1">
        <f t="array" ref="X352">IF(OR($O352&lt;X$387,$O352&gt;X$388),"",IFERROR(IF($O352=X$387,100,X351)*INDEX($B$2:$B$428,MATCH($O352,$A$2:$A$428,0))/INDEX($B$2:$B$428,MATCH($O352,$A$2:$A$428,0)-1),""))</f>
        <v>122.24942983515712</v>
      </c>
      <c r="AA352" s="19"/>
      <c r="AB352" s="19"/>
      <c r="AC352" s="19"/>
      <c r="AD352" s="19"/>
      <c r="AE352" s="19"/>
      <c r="AF352" s="19"/>
      <c r="AG352" s="19"/>
      <c r="AH352" s="19"/>
      <c r="AJ352" s="11">
        <v>43525</v>
      </c>
      <c r="AK352">
        <v>7079611.5</v>
      </c>
      <c r="AL352" s="26">
        <f t="shared" si="42"/>
        <v>0.84862264829079959</v>
      </c>
    </row>
    <row r="353" spans="1:38" x14ac:dyDescent="0.3">
      <c r="A353" s="11">
        <v>43922</v>
      </c>
      <c r="B353" s="18">
        <v>2815307.93</v>
      </c>
      <c r="C353" s="18">
        <v>4488713.1500000004</v>
      </c>
      <c r="D353" s="18">
        <v>6449801.1900000004</v>
      </c>
      <c r="E353" s="11">
        <f t="shared" si="37"/>
        <v>43922</v>
      </c>
      <c r="F353" s="9">
        <f t="shared" si="39"/>
        <v>-7.2547844415679075E-3</v>
      </c>
      <c r="G353" s="9">
        <f t="shared" si="40"/>
        <v>0.15130707018609169</v>
      </c>
      <c r="H353" s="9">
        <f t="shared" si="41"/>
        <v>7.5038009223720614E-2</v>
      </c>
      <c r="I353" s="11">
        <f t="shared" si="38"/>
        <v>43922</v>
      </c>
      <c r="O353" s="11">
        <v>45383</v>
      </c>
      <c r="P353" s="19" t="str" cm="1">
        <f t="array" ref="P353">IF(OR($O353&lt;P$387,$O353&gt;P$388),"",IFERROR(IF($O353=P$387,100,P352)*INDEX($B$2:$B$428,MATCH($O353,$A$2:$A$428,0))/INDEX($B$2:$B$428,MATCH($O353,$A$2:$A$428,0)-1),""))</f>
        <v/>
      </c>
      <c r="Q353" s="19" t="str" cm="1">
        <f t="array" ref="Q353">IF(OR($O353&lt;Q$387,$O353&gt;Q$388),"",IFERROR(IF($O353=Q$387,100,Q352)*INDEX($B$2:$B$428,MATCH($O353,$A$2:$A$428,0))/INDEX($B$2:$B$428,MATCH($O353,$A$2:$A$428,0)-1),""))</f>
        <v/>
      </c>
      <c r="R353" s="19" t="str" cm="1">
        <f t="array" ref="R353">IF(OR($O353&lt;R$387,$O353&gt;R$388),"",IFERROR(IF($O353=R$387,100,R352)*INDEX($B$2:$B$428,MATCH($O353,$A$2:$A$428,0))/INDEX($B$2:$B$428,MATCH($O353,$A$2:$A$428,0)-1),""))</f>
        <v/>
      </c>
      <c r="S353" s="19" t="str" cm="1">
        <f t="array" ref="S353">IF(OR($O353&lt;S$387,$O353&gt;S$388),"",IFERROR(IF($O353=S$387,100,S352)*INDEX($B$2:$B$428,MATCH($O353,$A$2:$A$428,0))/INDEX($B$2:$B$428,MATCH($O353,$A$2:$A$428,0)-1),""))</f>
        <v/>
      </c>
      <c r="T353" s="19" t="str" cm="1">
        <f t="array" ref="T353">IF(OR($O353&lt;T$387,$O353&gt;T$388),"",IFERROR(IF($O353=T$387,100,T352)*INDEX($B$2:$B$428,MATCH($O353,$A$2:$A$428,0))/INDEX($B$2:$B$428,MATCH($O353,$A$2:$A$428,0)-1),""))</f>
        <v/>
      </c>
      <c r="U353" s="19" t="str" cm="1">
        <f t="array" ref="U353">IF(OR($O353&lt;U$387,$O353&gt;U$388),"",IFERROR(IF($O353=U$387,100,U352)*INDEX($B$2:$B$428,MATCH($O353,$A$2:$A$428,0))/INDEX($B$2:$B$428,MATCH($O353,$A$2:$A$428,0)-1),""))</f>
        <v/>
      </c>
      <c r="V353" s="19" t="str" cm="1">
        <f t="array" ref="V353">IF(OR($O353&lt;V$387,$O353&gt;V$388),"",IFERROR(IF($O353=V$387,100,V352)*INDEX($B$2:$B$428,MATCH($O353,$A$2:$A$428,0))/INDEX($B$2:$B$428,MATCH($O353,$A$2:$A$428,0)-1),""))</f>
        <v/>
      </c>
      <c r="W353" s="19" t="str" cm="1">
        <f t="array" ref="W353">IF(OR($O353&lt;W$387,$O353&gt;W$388),"",IFERROR(IF($O353=W$387,100,W352)*INDEX($B$2:$B$428,MATCH($O353,$A$2:$A$428,0))/INDEX($B$2:$B$428,MATCH($O353,$A$2:$A$428,0)-1),""))</f>
        <v/>
      </c>
      <c r="X353" s="19" cm="1">
        <f t="array" ref="X353">IF(OR($O353&lt;X$387,$O353&gt;X$388),"",IFERROR(IF($O353=X$387,100,X352)*INDEX($B$2:$B$428,MATCH($O353,$A$2:$A$428,0))/INDEX($B$2:$B$428,MATCH($O353,$A$2:$A$428,0)-1),""))</f>
        <v>122.95384827193469</v>
      </c>
      <c r="AA353" s="19"/>
      <c r="AB353" s="19"/>
      <c r="AC353" s="19"/>
      <c r="AD353" s="19"/>
      <c r="AE353" s="19"/>
      <c r="AF353" s="19"/>
      <c r="AG353" s="19"/>
      <c r="AH353" s="19"/>
      <c r="AJ353" s="11">
        <v>43556</v>
      </c>
      <c r="AK353">
        <v>7105191</v>
      </c>
      <c r="AL353" s="26">
        <f t="shared" si="42"/>
        <v>0.84439713584054243</v>
      </c>
    </row>
    <row r="354" spans="1:38" x14ac:dyDescent="0.3">
      <c r="A354" s="11">
        <v>43952</v>
      </c>
      <c r="B354" s="18">
        <v>2946187.03</v>
      </c>
      <c r="C354" s="18">
        <v>4638022.09</v>
      </c>
      <c r="D354" s="18">
        <v>6541807.0199999996</v>
      </c>
      <c r="E354" s="11">
        <f t="shared" si="37"/>
        <v>43952</v>
      </c>
      <c r="F354" s="9">
        <f t="shared" si="39"/>
        <v>2.5440275165867998E-2</v>
      </c>
      <c r="G354" s="9">
        <f t="shared" si="40"/>
        <v>0.1767656353736784</v>
      </c>
      <c r="H354" s="9">
        <f t="shared" si="41"/>
        <v>9.3207944331500592E-2</v>
      </c>
      <c r="I354" s="11">
        <f t="shared" si="38"/>
        <v>43952</v>
      </c>
      <c r="O354" s="11">
        <v>45413</v>
      </c>
      <c r="P354" s="19" t="str" cm="1">
        <f t="array" ref="P354">IF(OR($O354&lt;P$387,$O354&gt;P$388),"",IFERROR(IF($O354=P$387,100,P353)*INDEX($B$2:$B$428,MATCH($O354,$A$2:$A$428,0))/INDEX($B$2:$B$428,MATCH($O354,$A$2:$A$428,0)-1),""))</f>
        <v/>
      </c>
      <c r="Q354" s="19" t="str" cm="1">
        <f t="array" ref="Q354">IF(OR($O354&lt;Q$387,$O354&gt;Q$388),"",IFERROR(IF($O354=Q$387,100,Q353)*INDEX($B$2:$B$428,MATCH($O354,$A$2:$A$428,0))/INDEX($B$2:$B$428,MATCH($O354,$A$2:$A$428,0)-1),""))</f>
        <v/>
      </c>
      <c r="R354" s="19" t="str" cm="1">
        <f t="array" ref="R354">IF(OR($O354&lt;R$387,$O354&gt;R$388),"",IFERROR(IF($O354=R$387,100,R353)*INDEX($B$2:$B$428,MATCH($O354,$A$2:$A$428,0))/INDEX($B$2:$B$428,MATCH($O354,$A$2:$A$428,0)-1),""))</f>
        <v/>
      </c>
      <c r="S354" s="19" t="str" cm="1">
        <f t="array" ref="S354">IF(OR($O354&lt;S$387,$O354&gt;S$388),"",IFERROR(IF($O354=S$387,100,S353)*INDEX($B$2:$B$428,MATCH($O354,$A$2:$A$428,0))/INDEX($B$2:$B$428,MATCH($O354,$A$2:$A$428,0)-1),""))</f>
        <v/>
      </c>
      <c r="T354" s="19" t="str" cm="1">
        <f t="array" ref="T354">IF(OR($O354&lt;T$387,$O354&gt;T$388),"",IFERROR(IF($O354=T$387,100,T353)*INDEX($B$2:$B$428,MATCH($O354,$A$2:$A$428,0))/INDEX($B$2:$B$428,MATCH($O354,$A$2:$A$428,0)-1),""))</f>
        <v/>
      </c>
      <c r="U354" s="19" t="str" cm="1">
        <f t="array" ref="U354">IF(OR($O354&lt;U$387,$O354&gt;U$388),"",IFERROR(IF($O354=U$387,100,U353)*INDEX($B$2:$B$428,MATCH($O354,$A$2:$A$428,0))/INDEX($B$2:$B$428,MATCH($O354,$A$2:$A$428,0)-1),""))</f>
        <v/>
      </c>
      <c r="V354" s="19" t="str" cm="1">
        <f t="array" ref="V354">IF(OR($O354&lt;V$387,$O354&gt;V$388),"",IFERROR(IF($O354=V$387,100,V353)*INDEX($B$2:$B$428,MATCH($O354,$A$2:$A$428,0))/INDEX($B$2:$B$428,MATCH($O354,$A$2:$A$428,0)-1),""))</f>
        <v/>
      </c>
      <c r="W354" s="19" t="str" cm="1">
        <f t="array" ref="W354">IF(OR($O354&lt;W$387,$O354&gt;W$388),"",IFERROR(IF($O354=W$387,100,W353)*INDEX($B$2:$B$428,MATCH($O354,$A$2:$A$428,0))/INDEX($B$2:$B$428,MATCH($O354,$A$2:$A$428,0)-1),""))</f>
        <v/>
      </c>
      <c r="X354" s="19" cm="1">
        <f t="array" ref="X354">IF(OR($O354&lt;X$387,$O354&gt;X$388),"",IFERROR(IF($O354=X$387,100,X353)*INDEX($B$2:$B$428,MATCH($O354,$A$2:$A$428,0))/INDEX($B$2:$B$428,MATCH($O354,$A$2:$A$428,0)-1),""))</f>
        <v>125.01832002837374</v>
      </c>
      <c r="AA354" s="19"/>
      <c r="AB354" s="19"/>
      <c r="AC354" s="19"/>
      <c r="AD354" s="19"/>
      <c r="AE354" s="19"/>
      <c r="AF354" s="19"/>
      <c r="AG354" s="19"/>
      <c r="AH354" s="19"/>
      <c r="AJ354" s="11">
        <v>43586</v>
      </c>
      <c r="AK354">
        <v>7159347.9000000004</v>
      </c>
      <c r="AL354" s="26">
        <f t="shared" si="42"/>
        <v>0.8358367889902375</v>
      </c>
    </row>
    <row r="355" spans="1:38" x14ac:dyDescent="0.3">
      <c r="A355" s="11">
        <v>43983</v>
      </c>
      <c r="B355" s="18">
        <v>3139436.8</v>
      </c>
      <c r="C355" s="18">
        <v>4853880.43</v>
      </c>
      <c r="D355" s="18">
        <v>6699653.2599999998</v>
      </c>
      <c r="E355" s="11">
        <f t="shared" si="37"/>
        <v>43983</v>
      </c>
      <c r="F355" s="9">
        <f t="shared" si="39"/>
        <v>7.4204568608211119E-2</v>
      </c>
      <c r="G355" s="9">
        <f t="shared" si="40"/>
        <v>0.21513201317612074</v>
      </c>
      <c r="H355" s="9">
        <f t="shared" si="41"/>
        <v>0.10214979916820743</v>
      </c>
      <c r="I355" s="11">
        <f t="shared" si="38"/>
        <v>43983</v>
      </c>
      <c r="O355" s="11">
        <v>45444</v>
      </c>
      <c r="P355" s="19" t="str" cm="1">
        <f t="array" ref="P355">IF(OR($O355&lt;P$387,$O355&gt;P$388),"",IFERROR(IF($O355=P$387,100,P354)*INDEX($B$2:$B$428,MATCH($O355,$A$2:$A$428,0))/INDEX($B$2:$B$428,MATCH($O355,$A$2:$A$428,0)-1),""))</f>
        <v/>
      </c>
      <c r="Q355" s="19" t="str" cm="1">
        <f t="array" ref="Q355">IF(OR($O355&lt;Q$387,$O355&gt;Q$388),"",IFERROR(IF($O355=Q$387,100,Q354)*INDEX($B$2:$B$428,MATCH($O355,$A$2:$A$428,0))/INDEX($B$2:$B$428,MATCH($O355,$A$2:$A$428,0)-1),""))</f>
        <v/>
      </c>
      <c r="R355" s="19" t="str" cm="1">
        <f t="array" ref="R355">IF(OR($O355&lt;R$387,$O355&gt;R$388),"",IFERROR(IF($O355=R$387,100,R354)*INDEX($B$2:$B$428,MATCH($O355,$A$2:$A$428,0))/INDEX($B$2:$B$428,MATCH($O355,$A$2:$A$428,0)-1),""))</f>
        <v/>
      </c>
      <c r="S355" s="19" t="str" cm="1">
        <f t="array" ref="S355">IF(OR($O355&lt;S$387,$O355&gt;S$388),"",IFERROR(IF($O355=S$387,100,S354)*INDEX($B$2:$B$428,MATCH($O355,$A$2:$A$428,0))/INDEX($B$2:$B$428,MATCH($O355,$A$2:$A$428,0)-1),""))</f>
        <v/>
      </c>
      <c r="T355" s="19" t="str" cm="1">
        <f t="array" ref="T355">IF(OR($O355&lt;T$387,$O355&gt;T$388),"",IFERROR(IF($O355=T$387,100,T354)*INDEX($B$2:$B$428,MATCH($O355,$A$2:$A$428,0))/INDEX($B$2:$B$428,MATCH($O355,$A$2:$A$428,0)-1),""))</f>
        <v/>
      </c>
      <c r="U355" s="19" t="str" cm="1">
        <f t="array" ref="U355">IF(OR($O355&lt;U$387,$O355&gt;U$388),"",IFERROR(IF($O355=U$387,100,U354)*INDEX($B$2:$B$428,MATCH($O355,$A$2:$A$428,0))/INDEX($B$2:$B$428,MATCH($O355,$A$2:$A$428,0)-1),""))</f>
        <v/>
      </c>
      <c r="V355" s="19" t="str" cm="1">
        <f t="array" ref="V355">IF(OR($O355&lt;V$387,$O355&gt;V$388),"",IFERROR(IF($O355=V$387,100,V354)*INDEX($B$2:$B$428,MATCH($O355,$A$2:$A$428,0))/INDEX($B$2:$B$428,MATCH($O355,$A$2:$A$428,0)-1),""))</f>
        <v/>
      </c>
      <c r="W355" s="19" t="str" cm="1">
        <f t="array" ref="W355">IF(OR($O355&lt;W$387,$O355&gt;W$388),"",IFERROR(IF($O355=W$387,100,W354)*INDEX($B$2:$B$428,MATCH($O355,$A$2:$A$428,0))/INDEX($B$2:$B$428,MATCH($O355,$A$2:$A$428,0)-1),""))</f>
        <v/>
      </c>
      <c r="X355" s="19" cm="1">
        <f t="array" ref="X355">IF(OR($O355&lt;X$387,$O355&gt;X$388),"",IFERROR(IF($O355=X$387,100,X354)*INDEX($B$2:$B$428,MATCH($O355,$A$2:$A$428,0))/INDEX($B$2:$B$428,MATCH($O355,$A$2:$A$428,0)-1),""))</f>
        <v>125.65724476865314</v>
      </c>
      <c r="AA355" s="19"/>
      <c r="AB355" s="19"/>
      <c r="AC355" s="19"/>
      <c r="AD355" s="19"/>
      <c r="AE355" s="19"/>
      <c r="AF355" s="19"/>
      <c r="AG355" s="19"/>
      <c r="AH355" s="19"/>
      <c r="AJ355" s="11">
        <v>43617</v>
      </c>
      <c r="AK355">
        <v>7172273.7000000002</v>
      </c>
      <c r="AL355" s="26">
        <f t="shared" si="42"/>
        <v>0.84752954422249671</v>
      </c>
    </row>
    <row r="356" spans="1:38" x14ac:dyDescent="0.3">
      <c r="A356" s="11">
        <v>44013</v>
      </c>
      <c r="B356" s="18">
        <v>3302129.21</v>
      </c>
      <c r="C356" s="18">
        <v>4947120.54</v>
      </c>
      <c r="D356" s="18">
        <v>6589611.3600000003</v>
      </c>
      <c r="E356" s="11">
        <f t="shared" si="37"/>
        <v>44013</v>
      </c>
      <c r="F356" s="9">
        <f t="shared" si="39"/>
        <v>0.10823074461499638</v>
      </c>
      <c r="G356" s="9">
        <f t="shared" si="40"/>
        <v>0.2309457138921156</v>
      </c>
      <c r="H356" s="9">
        <f t="shared" si="41"/>
        <v>9.0074123986275456E-2</v>
      </c>
      <c r="I356" s="11">
        <f t="shared" si="38"/>
        <v>44013</v>
      </c>
      <c r="O356" s="11">
        <v>45474</v>
      </c>
      <c r="P356" s="19" t="str" cm="1">
        <f t="array" ref="P356">IF(OR($O356&lt;P$387,$O356&gt;P$388),"",IFERROR(IF($O356=P$387,100,P355)*INDEX($B$2:$B$428,MATCH($O356,$A$2:$A$428,0))/INDEX($B$2:$B$428,MATCH($O356,$A$2:$A$428,0)-1),""))</f>
        <v/>
      </c>
      <c r="Q356" s="19" t="str" cm="1">
        <f t="array" ref="Q356">IF(OR($O356&lt;Q$387,$O356&gt;Q$388),"",IFERROR(IF($O356=Q$387,100,Q355)*INDEX($B$2:$B$428,MATCH($O356,$A$2:$A$428,0))/INDEX($B$2:$B$428,MATCH($O356,$A$2:$A$428,0)-1),""))</f>
        <v/>
      </c>
      <c r="R356" s="19" t="str" cm="1">
        <f t="array" ref="R356">IF(OR($O356&lt;R$387,$O356&gt;R$388),"",IFERROR(IF($O356=R$387,100,R355)*INDEX($B$2:$B$428,MATCH($O356,$A$2:$A$428,0))/INDEX($B$2:$B$428,MATCH($O356,$A$2:$A$428,0)-1),""))</f>
        <v/>
      </c>
      <c r="S356" s="19" t="str" cm="1">
        <f t="array" ref="S356">IF(OR($O356&lt;S$387,$O356&gt;S$388),"",IFERROR(IF($O356=S$387,100,S355)*INDEX($B$2:$B$428,MATCH($O356,$A$2:$A$428,0))/INDEX($B$2:$B$428,MATCH($O356,$A$2:$A$428,0)-1),""))</f>
        <v/>
      </c>
      <c r="T356" s="19" t="str" cm="1">
        <f t="array" ref="T356">IF(OR($O356&lt;T$387,$O356&gt;T$388),"",IFERROR(IF($O356=T$387,100,T355)*INDEX($B$2:$B$428,MATCH($O356,$A$2:$A$428,0))/INDEX($B$2:$B$428,MATCH($O356,$A$2:$A$428,0)-1),""))</f>
        <v/>
      </c>
      <c r="U356" s="19" t="str" cm="1">
        <f t="array" ref="U356">IF(OR($O356&lt;U$387,$O356&gt;U$388),"",IFERROR(IF($O356=U$387,100,U355)*INDEX($B$2:$B$428,MATCH($O356,$A$2:$A$428,0))/INDEX($B$2:$B$428,MATCH($O356,$A$2:$A$428,0)-1),""))</f>
        <v/>
      </c>
      <c r="V356" s="19" t="str" cm="1">
        <f t="array" ref="V356">IF(OR($O356&lt;V$387,$O356&gt;V$388),"",IFERROR(IF($O356=V$387,100,V355)*INDEX($B$2:$B$428,MATCH($O356,$A$2:$A$428,0))/INDEX($B$2:$B$428,MATCH($O356,$A$2:$A$428,0)-1),""))</f>
        <v/>
      </c>
      <c r="W356" s="19" t="str" cm="1">
        <f t="array" ref="W356">IF(OR($O356&lt;W$387,$O356&gt;W$388),"",IFERROR(IF($O356=W$387,100,W355)*INDEX($B$2:$B$428,MATCH($O356,$A$2:$A$428,0))/INDEX($B$2:$B$428,MATCH($O356,$A$2:$A$428,0)-1),""))</f>
        <v/>
      </c>
      <c r="X356" s="19" cm="1">
        <f t="array" ref="X356">IF(OR($O356&lt;X$387,$O356&gt;X$388),"",IFERROR(IF($O356=X$387,100,X355)*INDEX($B$2:$B$428,MATCH($O356,$A$2:$A$428,0))/INDEX($B$2:$B$428,MATCH($O356,$A$2:$A$428,0)-1),""))</f>
        <v>126.21228344920699</v>
      </c>
      <c r="AA356" s="19"/>
      <c r="AB356" s="19"/>
      <c r="AC356" s="19"/>
      <c r="AD356" s="19"/>
      <c r="AE356" s="19"/>
      <c r="AF356" s="19"/>
      <c r="AG356" s="19"/>
      <c r="AH356" s="19"/>
      <c r="AJ356" s="11">
        <v>43647</v>
      </c>
      <c r="AK356">
        <v>7212263.9000000004</v>
      </c>
      <c r="AL356" s="26">
        <f t="shared" si="42"/>
        <v>0.83817009524568276</v>
      </c>
    </row>
    <row r="357" spans="1:38" x14ac:dyDescent="0.3">
      <c r="A357" s="11">
        <v>44044</v>
      </c>
      <c r="B357" s="18">
        <v>3340502.98</v>
      </c>
      <c r="C357" s="18">
        <v>4730781.08</v>
      </c>
      <c r="D357" s="18">
        <v>6659994.9199999999</v>
      </c>
      <c r="E357" s="11">
        <f t="shared" si="37"/>
        <v>44044</v>
      </c>
      <c r="F357" s="9">
        <f t="shared" si="39"/>
        <v>0.15040152180026145</v>
      </c>
      <c r="G357" s="9">
        <f t="shared" si="40"/>
        <v>0.15525382692059009</v>
      </c>
      <c r="H357" s="9">
        <f t="shared" si="41"/>
        <v>7.9026379109244038E-2</v>
      </c>
      <c r="I357" s="11">
        <f t="shared" si="38"/>
        <v>44044</v>
      </c>
      <c r="O357" s="11">
        <v>45505</v>
      </c>
      <c r="P357" s="19" t="str" cm="1">
        <f t="array" ref="P357">IF(OR($O357&lt;P$387,$O357&gt;P$388),"",IFERROR(IF($O357=P$387,100,P356)*INDEX($B$2:$B$428,MATCH($O357,$A$2:$A$428,0))/INDEX($B$2:$B$428,MATCH($O357,$A$2:$A$428,0)-1),""))</f>
        <v/>
      </c>
      <c r="Q357" s="19" t="str" cm="1">
        <f t="array" ref="Q357">IF(OR($O357&lt;Q$387,$O357&gt;Q$388),"",IFERROR(IF($O357=Q$387,100,Q356)*INDEX($B$2:$B$428,MATCH($O357,$A$2:$A$428,0))/INDEX($B$2:$B$428,MATCH($O357,$A$2:$A$428,0)-1),""))</f>
        <v/>
      </c>
      <c r="R357" s="19" t="str" cm="1">
        <f t="array" ref="R357">IF(OR($O357&lt;R$387,$O357&gt;R$388),"",IFERROR(IF($O357=R$387,100,R356)*INDEX($B$2:$B$428,MATCH($O357,$A$2:$A$428,0))/INDEX($B$2:$B$428,MATCH($O357,$A$2:$A$428,0)-1),""))</f>
        <v/>
      </c>
      <c r="S357" s="19" t="str" cm="1">
        <f t="array" ref="S357">IF(OR($O357&lt;S$387,$O357&gt;S$388),"",IFERROR(IF($O357=S$387,100,S356)*INDEX($B$2:$B$428,MATCH($O357,$A$2:$A$428,0))/INDEX($B$2:$B$428,MATCH($O357,$A$2:$A$428,0)-1),""))</f>
        <v/>
      </c>
      <c r="T357" s="19" t="str" cm="1">
        <f t="array" ref="T357">IF(OR($O357&lt;T$387,$O357&gt;T$388),"",IFERROR(IF($O357=T$387,100,T356)*INDEX($B$2:$B$428,MATCH($O357,$A$2:$A$428,0))/INDEX($B$2:$B$428,MATCH($O357,$A$2:$A$428,0)-1),""))</f>
        <v/>
      </c>
      <c r="U357" s="19" t="str" cm="1">
        <f t="array" ref="U357">IF(OR($O357&lt;U$387,$O357&gt;U$388),"",IFERROR(IF($O357=U$387,100,U356)*INDEX($B$2:$B$428,MATCH($O357,$A$2:$A$428,0))/INDEX($B$2:$B$428,MATCH($O357,$A$2:$A$428,0)-1),""))</f>
        <v/>
      </c>
      <c r="V357" s="19" t="str" cm="1">
        <f t="array" ref="V357">IF(OR($O357&lt;V$387,$O357&gt;V$388),"",IFERROR(IF($O357=V$387,100,V356)*INDEX($B$2:$B$428,MATCH($O357,$A$2:$A$428,0))/INDEX($B$2:$B$428,MATCH($O357,$A$2:$A$428,0)-1),""))</f>
        <v/>
      </c>
      <c r="W357" s="19" t="str" cm="1">
        <f t="array" ref="W357">IF(OR($O357&lt;W$387,$O357&gt;W$388),"",IFERROR(IF($O357=W$387,100,W356)*INDEX($B$2:$B$428,MATCH($O357,$A$2:$A$428,0))/INDEX($B$2:$B$428,MATCH($O357,$A$2:$A$428,0)-1),""))</f>
        <v/>
      </c>
      <c r="X357" s="19" cm="1">
        <f t="array" ref="X357">IF(OR($O357&lt;X$387,$O357&gt;X$388),"",IFERROR(IF($O357=X$387,100,X356)*INDEX($B$2:$B$428,MATCH($O357,$A$2:$A$428,0))/INDEX($B$2:$B$428,MATCH($O357,$A$2:$A$428,0)-1),""))</f>
        <v>127.43870733347121</v>
      </c>
      <c r="AA357" s="19"/>
      <c r="AB357" s="19"/>
      <c r="AC357" s="19"/>
      <c r="AD357" s="19"/>
      <c r="AE357" s="19"/>
      <c r="AF357" s="19"/>
      <c r="AG357" s="19"/>
      <c r="AH357" s="19"/>
      <c r="AJ357" s="11">
        <v>43678</v>
      </c>
      <c r="AK357">
        <v>7243871.7999999998</v>
      </c>
      <c r="AL357" s="26">
        <f t="shared" si="42"/>
        <v>0.85206177033668662</v>
      </c>
    </row>
    <row r="358" spans="1:38" x14ac:dyDescent="0.3">
      <c r="A358" s="11">
        <v>44075</v>
      </c>
      <c r="B358" s="18">
        <v>3403285.34</v>
      </c>
      <c r="C358" s="18">
        <v>4837826.42</v>
      </c>
      <c r="D358" s="18">
        <v>6784365.8200000003</v>
      </c>
      <c r="E358" s="11">
        <f t="shared" si="37"/>
        <v>44075</v>
      </c>
      <c r="F358" s="9">
        <f t="shared" si="39"/>
        <v>0.15587822530489137</v>
      </c>
      <c r="G358" s="9">
        <f t="shared" si="40"/>
        <v>0.17450488412243881</v>
      </c>
      <c r="H358" s="9">
        <f t="shared" si="41"/>
        <v>8.2366325840911969E-2</v>
      </c>
      <c r="I358" s="11">
        <f t="shared" si="38"/>
        <v>44075</v>
      </c>
      <c r="O358" s="11">
        <v>45536</v>
      </c>
      <c r="P358" s="19" t="str" cm="1">
        <f t="array" ref="P358">IF(OR($O358&lt;P$387,$O358&gt;P$388),"",IFERROR(IF($O358=P$387,100,P357)*INDEX($B$2:$B$428,MATCH($O358,$A$2:$A$428,0))/INDEX($B$2:$B$428,MATCH($O358,$A$2:$A$428,0)-1),""))</f>
        <v/>
      </c>
      <c r="Q358" s="19" t="str" cm="1">
        <f t="array" ref="Q358">IF(OR($O358&lt;Q$387,$O358&gt;Q$388),"",IFERROR(IF($O358=Q$387,100,Q357)*INDEX($B$2:$B$428,MATCH($O358,$A$2:$A$428,0))/INDEX($B$2:$B$428,MATCH($O358,$A$2:$A$428,0)-1),""))</f>
        <v/>
      </c>
      <c r="R358" s="19" t="str" cm="1">
        <f t="array" ref="R358">IF(OR($O358&lt;R$387,$O358&gt;R$388),"",IFERROR(IF($O358=R$387,100,R357)*INDEX($B$2:$B$428,MATCH($O358,$A$2:$A$428,0))/INDEX($B$2:$B$428,MATCH($O358,$A$2:$A$428,0)-1),""))</f>
        <v/>
      </c>
      <c r="S358" s="19" t="str" cm="1">
        <f t="array" ref="S358">IF(OR($O358&lt;S$387,$O358&gt;S$388),"",IFERROR(IF($O358=S$387,100,S357)*INDEX($B$2:$B$428,MATCH($O358,$A$2:$A$428,0))/INDEX($B$2:$B$428,MATCH($O358,$A$2:$A$428,0)-1),""))</f>
        <v/>
      </c>
      <c r="T358" s="19" t="str" cm="1">
        <f t="array" ref="T358">IF(OR($O358&lt;T$387,$O358&gt;T$388),"",IFERROR(IF($O358=T$387,100,T357)*INDEX($B$2:$B$428,MATCH($O358,$A$2:$A$428,0))/INDEX($B$2:$B$428,MATCH($O358,$A$2:$A$428,0)-1),""))</f>
        <v/>
      </c>
      <c r="U358" s="19" t="str" cm="1">
        <f t="array" ref="U358">IF(OR($O358&lt;U$387,$O358&gt;U$388),"",IFERROR(IF($O358=U$387,100,U357)*INDEX($B$2:$B$428,MATCH($O358,$A$2:$A$428,0))/INDEX($B$2:$B$428,MATCH($O358,$A$2:$A$428,0)-1),""))</f>
        <v/>
      </c>
      <c r="V358" s="19" t="str" cm="1">
        <f t="array" ref="V358">IF(OR($O358&lt;V$387,$O358&gt;V$388),"",IFERROR(IF($O358=V$387,100,V357)*INDEX($B$2:$B$428,MATCH($O358,$A$2:$A$428,0))/INDEX($B$2:$B$428,MATCH($O358,$A$2:$A$428,0)-1),""))</f>
        <v/>
      </c>
      <c r="W358" s="19" t="str" cm="1">
        <f t="array" ref="W358">IF(OR($O358&lt;W$387,$O358&gt;W$388),"",IFERROR(IF($O358=W$387,100,W357)*INDEX($B$2:$B$428,MATCH($O358,$A$2:$A$428,0))/INDEX($B$2:$B$428,MATCH($O358,$A$2:$A$428,0)-1),""))</f>
        <v/>
      </c>
      <c r="X358" s="19" cm="1">
        <f t="array" ref="X358">IF(OR($O358&lt;X$387,$O358&gt;X$388),"",IFERROR(IF($O358=X$387,100,X357)*INDEX($B$2:$B$428,MATCH($O358,$A$2:$A$428,0))/INDEX($B$2:$B$428,MATCH($O358,$A$2:$A$428,0)-1),""))</f>
        <v>129.29782365877824</v>
      </c>
      <c r="AA358" s="19"/>
      <c r="AB358" s="19"/>
      <c r="AC358" s="19"/>
      <c r="AD358" s="19"/>
      <c r="AE358" s="19"/>
      <c r="AF358" s="19"/>
      <c r="AG358" s="19"/>
      <c r="AH358" s="19"/>
      <c r="AJ358" s="11">
        <v>43709</v>
      </c>
      <c r="AK358">
        <v>7285028.2000000002</v>
      </c>
      <c r="AL358" s="26">
        <f t="shared" si="42"/>
        <v>0.86040662958586756</v>
      </c>
    </row>
    <row r="359" spans="1:38" x14ac:dyDescent="0.3">
      <c r="A359" s="11">
        <v>44105</v>
      </c>
      <c r="B359" s="18">
        <v>3403574.52</v>
      </c>
      <c r="C359" s="18">
        <v>4881049.95</v>
      </c>
      <c r="D359" s="18">
        <v>6940042.5499999998</v>
      </c>
      <c r="E359" s="11">
        <f t="shared" si="37"/>
        <v>44105</v>
      </c>
      <c r="F359" s="9">
        <f t="shared" si="39"/>
        <v>0.13327190968694236</v>
      </c>
      <c r="G359" s="9">
        <f t="shared" si="40"/>
        <v>0.18143010852025232</v>
      </c>
      <c r="H359" s="9">
        <f t="shared" si="41"/>
        <v>0.11543365342702328</v>
      </c>
      <c r="I359" s="11">
        <f t="shared" si="38"/>
        <v>44105</v>
      </c>
      <c r="O359" s="11">
        <v>45566</v>
      </c>
      <c r="P359" s="19" t="str" cm="1">
        <f t="array" ref="P359">IF(OR($O359&lt;P$387,$O359&gt;P$388),"",IFERROR(IF($O359=P$387,100,P358)*INDEX($B$2:$B$428,MATCH($O359,$A$2:$A$428,0))/INDEX($B$2:$B$428,MATCH($O359,$A$2:$A$428,0)-1),""))</f>
        <v/>
      </c>
      <c r="Q359" s="19" t="str" cm="1">
        <f t="array" ref="Q359">IF(OR($O359&lt;Q$387,$O359&gt;Q$388),"",IFERROR(IF($O359=Q$387,100,Q358)*INDEX($B$2:$B$428,MATCH($O359,$A$2:$A$428,0))/INDEX($B$2:$B$428,MATCH($O359,$A$2:$A$428,0)-1),""))</f>
        <v/>
      </c>
      <c r="R359" s="19" t="str" cm="1">
        <f t="array" ref="R359">IF(OR($O359&lt;R$387,$O359&gt;R$388),"",IFERROR(IF($O359=R$387,100,R358)*INDEX($B$2:$B$428,MATCH($O359,$A$2:$A$428,0))/INDEX($B$2:$B$428,MATCH($O359,$A$2:$A$428,0)-1),""))</f>
        <v/>
      </c>
      <c r="S359" s="19" t="str" cm="1">
        <f t="array" ref="S359">IF(OR($O359&lt;S$387,$O359&gt;S$388),"",IFERROR(IF($O359=S$387,100,S358)*INDEX($B$2:$B$428,MATCH($O359,$A$2:$A$428,0))/INDEX($B$2:$B$428,MATCH($O359,$A$2:$A$428,0)-1),""))</f>
        <v/>
      </c>
      <c r="T359" s="19" t="str" cm="1">
        <f t="array" ref="T359">IF(OR($O359&lt;T$387,$O359&gt;T$388),"",IFERROR(IF($O359=T$387,100,T358)*INDEX($B$2:$B$428,MATCH($O359,$A$2:$A$428,0))/INDEX($B$2:$B$428,MATCH($O359,$A$2:$A$428,0)-1),""))</f>
        <v/>
      </c>
      <c r="U359" s="19" t="str" cm="1">
        <f t="array" ref="U359">IF(OR($O359&lt;U$387,$O359&gt;U$388),"",IFERROR(IF($O359=U$387,100,U358)*INDEX($B$2:$B$428,MATCH($O359,$A$2:$A$428,0))/INDEX($B$2:$B$428,MATCH($O359,$A$2:$A$428,0)-1),""))</f>
        <v/>
      </c>
      <c r="V359" s="19" t="str" cm="1">
        <f t="array" ref="V359">IF(OR($O359&lt;V$387,$O359&gt;V$388),"",IFERROR(IF($O359=V$387,100,V358)*INDEX($B$2:$B$428,MATCH($O359,$A$2:$A$428,0))/INDEX($B$2:$B$428,MATCH($O359,$A$2:$A$428,0)-1),""))</f>
        <v/>
      </c>
      <c r="W359" s="19" t="str" cm="1">
        <f t="array" ref="W359">IF(OR($O359&lt;W$387,$O359&gt;W$388),"",IFERROR(IF($O359=W$387,100,W358)*INDEX($B$2:$B$428,MATCH($O359,$A$2:$A$428,0))/INDEX($B$2:$B$428,MATCH($O359,$A$2:$A$428,0)-1),""))</f>
        <v/>
      </c>
      <c r="X359" s="19" cm="1">
        <f t="array" ref="X359">IF(OR($O359&lt;X$387,$O359&gt;X$388),"",IFERROR(IF($O359=X$387,100,X358)*INDEX($B$2:$B$428,MATCH($O359,$A$2:$A$428,0))/INDEX($B$2:$B$428,MATCH($O359,$A$2:$A$428,0)-1),""))</f>
        <v>129.25185583535139</v>
      </c>
      <c r="AA359" s="19"/>
      <c r="AB359" s="19"/>
      <c r="AC359" s="19"/>
      <c r="AD359" s="19"/>
      <c r="AE359" s="19"/>
      <c r="AF359" s="19"/>
      <c r="AG359" s="19"/>
      <c r="AH359" s="19"/>
      <c r="AJ359" s="11">
        <v>43739</v>
      </c>
      <c r="AK359">
        <v>7321659.9000000004</v>
      </c>
      <c r="AL359" s="26">
        <f t="shared" si="42"/>
        <v>0.84978456456301665</v>
      </c>
    </row>
    <row r="360" spans="1:38" x14ac:dyDescent="0.3">
      <c r="A360" s="11">
        <v>44136</v>
      </c>
      <c r="B360" s="18">
        <v>3554668.26</v>
      </c>
      <c r="C360" s="18">
        <v>4896226.1100000003</v>
      </c>
      <c r="D360" s="18">
        <v>7076136.2999999998</v>
      </c>
      <c r="E360" s="11">
        <f t="shared" si="37"/>
        <v>44136</v>
      </c>
      <c r="F360" s="9">
        <f t="shared" si="39"/>
        <v>0.19112432454309114</v>
      </c>
      <c r="G360" s="9">
        <f t="shared" si="40"/>
        <v>0.16851863902704523</v>
      </c>
      <c r="H360" s="9">
        <f t="shared" si="41"/>
        <v>0.11178860406170821</v>
      </c>
      <c r="I360" s="11">
        <f t="shared" si="38"/>
        <v>44136</v>
      </c>
      <c r="O360" s="11">
        <v>45597</v>
      </c>
      <c r="P360" s="19" t="str" cm="1">
        <f t="array" ref="P360">IF(OR($O360&lt;P$387,$O360&gt;P$388),"",IFERROR(IF($O360=P$387,100,P359)*INDEX($B$2:$B$428,MATCH($O360,$A$2:$A$428,0))/INDEX($B$2:$B$428,MATCH($O360,$A$2:$A$428,0)-1),""))</f>
        <v/>
      </c>
      <c r="Q360" s="19" t="str" cm="1">
        <f t="array" ref="Q360">IF(OR($O360&lt;Q$387,$O360&gt;Q$388),"",IFERROR(IF($O360=Q$387,100,Q359)*INDEX($B$2:$B$428,MATCH($O360,$A$2:$A$428,0))/INDEX($B$2:$B$428,MATCH($O360,$A$2:$A$428,0)-1),""))</f>
        <v/>
      </c>
      <c r="R360" s="19" t="str" cm="1">
        <f t="array" ref="R360">IF(OR($O360&lt;R$387,$O360&gt;R$388),"",IFERROR(IF($O360=R$387,100,R359)*INDEX($B$2:$B$428,MATCH($O360,$A$2:$A$428,0))/INDEX($B$2:$B$428,MATCH($O360,$A$2:$A$428,0)-1),""))</f>
        <v/>
      </c>
      <c r="S360" s="19" t="str" cm="1">
        <f t="array" ref="S360">IF(OR($O360&lt;S$387,$O360&gt;S$388),"",IFERROR(IF($O360=S$387,100,S359)*INDEX($B$2:$B$428,MATCH($O360,$A$2:$A$428,0))/INDEX($B$2:$B$428,MATCH($O360,$A$2:$A$428,0)-1),""))</f>
        <v/>
      </c>
      <c r="T360" s="19" t="str" cm="1">
        <f t="array" ref="T360">IF(OR($O360&lt;T$387,$O360&gt;T$388),"",IFERROR(IF($O360=T$387,100,T359)*INDEX($B$2:$B$428,MATCH($O360,$A$2:$A$428,0))/INDEX($B$2:$B$428,MATCH($O360,$A$2:$A$428,0)-1),""))</f>
        <v/>
      </c>
      <c r="U360" s="19" t="str" cm="1">
        <f t="array" ref="U360">IF(OR($O360&lt;U$387,$O360&gt;U$388),"",IFERROR(IF($O360=U$387,100,U359)*INDEX($B$2:$B$428,MATCH($O360,$A$2:$A$428,0))/INDEX($B$2:$B$428,MATCH($O360,$A$2:$A$428,0)-1),""))</f>
        <v/>
      </c>
      <c r="V360" s="19" t="str" cm="1">
        <f t="array" ref="V360">IF(OR($O360&lt;V$387,$O360&gt;V$388),"",IFERROR(IF($O360=V$387,100,V359)*INDEX($B$2:$B$428,MATCH($O360,$A$2:$A$428,0))/INDEX($B$2:$B$428,MATCH($O360,$A$2:$A$428,0)-1),""))</f>
        <v/>
      </c>
      <c r="W360" s="19" t="str" cm="1">
        <f t="array" ref="W360">IF(OR($O360&lt;W$387,$O360&gt;W$388),"",IFERROR(IF($O360=W$387,100,W359)*INDEX($B$2:$B$428,MATCH($O360,$A$2:$A$428,0))/INDEX($B$2:$B$428,MATCH($O360,$A$2:$A$428,0)-1),""))</f>
        <v/>
      </c>
      <c r="X360" s="19" cm="1">
        <f t="array" ref="X360">IF(OR($O360&lt;X$387,$O360&gt;X$388),"",IFERROR(IF($O360=X$387,100,X359)*INDEX($B$2:$B$428,MATCH($O360,$A$2:$A$428,0))/INDEX($B$2:$B$428,MATCH($O360,$A$2:$A$428,0)-1),""))</f>
        <v>129.33427092810396</v>
      </c>
      <c r="AA360" s="19"/>
      <c r="AB360" s="19"/>
      <c r="AC360" s="19"/>
      <c r="AD360" s="19"/>
      <c r="AE360" s="19"/>
      <c r="AF360" s="19"/>
      <c r="AG360" s="19"/>
      <c r="AH360" s="19"/>
      <c r="AJ360" s="11">
        <v>43770</v>
      </c>
      <c r="AK360">
        <v>7352003.0999999996</v>
      </c>
      <c r="AL360" s="26">
        <f t="shared" si="42"/>
        <v>0.86570173916275961</v>
      </c>
    </row>
    <row r="361" spans="1:38" x14ac:dyDescent="0.3">
      <c r="A361" s="11">
        <v>44166</v>
      </c>
      <c r="B361" s="18">
        <v>3651459.54</v>
      </c>
      <c r="C361" s="18">
        <v>4973115.05</v>
      </c>
      <c r="D361" s="18">
        <v>7305733.5300000003</v>
      </c>
      <c r="E361" s="11">
        <f t="shared" si="37"/>
        <v>44166</v>
      </c>
      <c r="F361" s="9">
        <f t="shared" si="39"/>
        <v>0.18630179632480903</v>
      </c>
      <c r="G361" s="9">
        <f t="shared" si="40"/>
        <v>0.17516488932977037</v>
      </c>
      <c r="H361" s="9">
        <f t="shared" si="41"/>
        <v>0.1349067216730524</v>
      </c>
      <c r="I361" s="11">
        <f t="shared" si="38"/>
        <v>44166</v>
      </c>
      <c r="O361" s="11">
        <v>45627</v>
      </c>
      <c r="P361" s="19" t="str" cm="1">
        <f t="array" ref="P361">IF(OR($O361&lt;P$387,$O361&gt;P$388),"",IFERROR(IF($O361=P$387,100,P360)*INDEX($B$2:$B$428,MATCH($O361,$A$2:$A$428,0))/INDEX($B$2:$B$428,MATCH($O361,$A$2:$A$428,0)-1),""))</f>
        <v/>
      </c>
      <c r="Q361" s="19" t="str" cm="1">
        <f t="array" ref="Q361">IF(OR($O361&lt;Q$387,$O361&gt;Q$388),"",IFERROR(IF($O361=Q$387,100,Q360)*INDEX($B$2:$B$428,MATCH($O361,$A$2:$A$428,0))/INDEX($B$2:$B$428,MATCH($O361,$A$2:$A$428,0)-1),""))</f>
        <v/>
      </c>
      <c r="R361" s="19" t="str" cm="1">
        <f t="array" ref="R361">IF(OR($O361&lt;R$387,$O361&gt;R$388),"",IFERROR(IF($O361=R$387,100,R360)*INDEX($B$2:$B$428,MATCH($O361,$A$2:$A$428,0))/INDEX($B$2:$B$428,MATCH($O361,$A$2:$A$428,0)-1),""))</f>
        <v/>
      </c>
      <c r="S361" s="19" t="str" cm="1">
        <f t="array" ref="S361">IF(OR($O361&lt;S$387,$O361&gt;S$388),"",IFERROR(IF($O361=S$387,100,S360)*INDEX($B$2:$B$428,MATCH($O361,$A$2:$A$428,0))/INDEX($B$2:$B$428,MATCH($O361,$A$2:$A$428,0)-1),""))</f>
        <v/>
      </c>
      <c r="T361" s="19" t="str" cm="1">
        <f t="array" ref="T361">IF(OR($O361&lt;T$387,$O361&gt;T$388),"",IFERROR(IF($O361=T$387,100,T360)*INDEX($B$2:$B$428,MATCH($O361,$A$2:$A$428,0))/INDEX($B$2:$B$428,MATCH($O361,$A$2:$A$428,0)-1),""))</f>
        <v/>
      </c>
      <c r="U361" s="19" t="str" cm="1">
        <f t="array" ref="U361">IF(OR($O361&lt;U$387,$O361&gt;U$388),"",IFERROR(IF($O361=U$387,100,U360)*INDEX($B$2:$B$428,MATCH($O361,$A$2:$A$428,0))/INDEX($B$2:$B$428,MATCH($O361,$A$2:$A$428,0)-1),""))</f>
        <v/>
      </c>
      <c r="V361" s="19" t="str" cm="1">
        <f t="array" ref="V361">IF(OR($O361&lt;V$387,$O361&gt;V$388),"",IFERROR(IF($O361=V$387,100,V360)*INDEX($B$2:$B$428,MATCH($O361,$A$2:$A$428,0))/INDEX($B$2:$B$428,MATCH($O361,$A$2:$A$428,0)-1),""))</f>
        <v/>
      </c>
      <c r="W361" s="19" t="str" cm="1">
        <f t="array" ref="W361">IF(OR($O361&lt;W$387,$O361&gt;W$388),"",IFERROR(IF($O361=W$387,100,W360)*INDEX($B$2:$B$428,MATCH($O361,$A$2:$A$428,0))/INDEX($B$2:$B$428,MATCH($O361,$A$2:$A$428,0)-1),""))</f>
        <v/>
      </c>
      <c r="X361" s="19" cm="1">
        <f t="array" ref="X361">IF(OR($O361&lt;X$387,$O361&gt;X$388),"",IFERROR(IF($O361=X$387,100,X360)*INDEX($B$2:$B$428,MATCH($O361,$A$2:$A$428,0))/INDEX($B$2:$B$428,MATCH($O361,$A$2:$A$428,0)-1),""))</f>
        <v>130.24915624796267</v>
      </c>
      <c r="AA361" s="19"/>
      <c r="AB361" s="19"/>
      <c r="AC361" s="19"/>
      <c r="AD361" s="19"/>
      <c r="AE361" s="19"/>
      <c r="AF361" s="19"/>
      <c r="AG361" s="19"/>
      <c r="AH361" s="19"/>
      <c r="AJ361" s="11">
        <v>43800</v>
      </c>
      <c r="AK361">
        <v>7389131</v>
      </c>
      <c r="AL361" s="26">
        <f t="shared" si="42"/>
        <v>0.87118480779404239</v>
      </c>
    </row>
    <row r="362" spans="1:38" x14ac:dyDescent="0.3">
      <c r="A362" s="11">
        <v>44197</v>
      </c>
      <c r="B362" s="18">
        <v>3585625.91</v>
      </c>
      <c r="C362" s="18">
        <v>4962494.67</v>
      </c>
      <c r="D362" s="18">
        <v>7328486.7000000002</v>
      </c>
      <c r="E362" s="11">
        <f t="shared" si="37"/>
        <v>44197</v>
      </c>
      <c r="F362" s="9">
        <f t="shared" si="39"/>
        <v>0.20317846272962359</v>
      </c>
      <c r="G362" s="9">
        <f t="shared" si="40"/>
        <v>0.17536216796086723</v>
      </c>
      <c r="H362" s="9">
        <f t="shared" si="41"/>
        <v>0.14046672763867929</v>
      </c>
      <c r="I362" s="11">
        <f t="shared" si="38"/>
        <v>44197</v>
      </c>
      <c r="O362" s="11">
        <v>45658</v>
      </c>
      <c r="P362" s="19" t="str" cm="1">
        <f t="array" ref="P362">IF(OR($O362&lt;P$387,$O362&gt;P$388),"",IFERROR(IF($O362=P$387,100,P361)*INDEX($B$2:$B$428,MATCH($O362,$A$2:$A$428,0))/INDEX($B$2:$B$428,MATCH($O362,$A$2:$A$428,0)-1),""))</f>
        <v/>
      </c>
      <c r="Q362" s="19" t="str" cm="1">
        <f t="array" ref="Q362">IF(OR($O362&lt;Q$387,$O362&gt;Q$388),"",IFERROR(IF($O362=Q$387,100,Q361)*INDEX($B$2:$B$428,MATCH($O362,$A$2:$A$428,0))/INDEX($B$2:$B$428,MATCH($O362,$A$2:$A$428,0)-1),""))</f>
        <v/>
      </c>
      <c r="R362" s="19" t="str" cm="1">
        <f t="array" ref="R362">IF(OR($O362&lt;R$387,$O362&gt;R$388),"",IFERROR(IF($O362=R$387,100,R361)*INDEX($B$2:$B$428,MATCH($O362,$A$2:$A$428,0))/INDEX($B$2:$B$428,MATCH($O362,$A$2:$A$428,0)-1),""))</f>
        <v/>
      </c>
      <c r="S362" s="19" t="str" cm="1">
        <f t="array" ref="S362">IF(OR($O362&lt;S$387,$O362&gt;S$388),"",IFERROR(IF($O362=S$387,100,S361)*INDEX($B$2:$B$428,MATCH($O362,$A$2:$A$428,0))/INDEX($B$2:$B$428,MATCH($O362,$A$2:$A$428,0)-1),""))</f>
        <v/>
      </c>
      <c r="T362" s="19" t="str" cm="1">
        <f t="array" ref="T362">IF(OR($O362&lt;T$387,$O362&gt;T$388),"",IFERROR(IF($O362=T$387,100,T361)*INDEX($B$2:$B$428,MATCH($O362,$A$2:$A$428,0))/INDEX($B$2:$B$428,MATCH($O362,$A$2:$A$428,0)-1),""))</f>
        <v/>
      </c>
      <c r="U362" s="19" t="str" cm="1">
        <f t="array" ref="U362">IF(OR($O362&lt;U$387,$O362&gt;U$388),"",IFERROR(IF($O362=U$387,100,U361)*INDEX($B$2:$B$428,MATCH($O362,$A$2:$A$428,0))/INDEX($B$2:$B$428,MATCH($O362,$A$2:$A$428,0)-1),""))</f>
        <v/>
      </c>
      <c r="V362" s="19" t="str" cm="1">
        <f t="array" ref="V362">IF(OR($O362&lt;V$387,$O362&gt;V$388),"",IFERROR(IF($O362=V$387,100,V361)*INDEX($B$2:$B$428,MATCH($O362,$A$2:$A$428,0))/INDEX($B$2:$B$428,MATCH($O362,$A$2:$A$428,0)-1),""))</f>
        <v/>
      </c>
      <c r="W362" s="19" t="str" cm="1">
        <f t="array" ref="W362">IF(OR($O362&lt;W$387,$O362&gt;W$388),"",IFERROR(IF($O362=W$387,100,W361)*INDEX($B$2:$B$428,MATCH($O362,$A$2:$A$428,0))/INDEX($B$2:$B$428,MATCH($O362,$A$2:$A$428,0)-1),""))</f>
        <v/>
      </c>
      <c r="X362" s="19" cm="1">
        <f t="array" ref="X362">IF(OR($O362&lt;X$387,$O362&gt;X$388),"",IFERROR(IF($O362=X$387,100,X361)*INDEX($B$2:$B$428,MATCH($O362,$A$2:$A$428,0))/INDEX($B$2:$B$428,MATCH($O362,$A$2:$A$428,0)-1),""))</f>
        <v>130.96140732006808</v>
      </c>
      <c r="AA362" s="19"/>
      <c r="AB362" s="19"/>
      <c r="AC362" s="19"/>
      <c r="AD362" s="19"/>
      <c r="AE362" s="19"/>
      <c r="AF362" s="19"/>
      <c r="AG362" s="19"/>
      <c r="AH362" s="19"/>
      <c r="AJ362" s="11">
        <v>43831</v>
      </c>
      <c r="AK362">
        <v>7425631.9000000004</v>
      </c>
      <c r="AL362" s="26">
        <f t="shared" si="42"/>
        <v>0.86536289120391219</v>
      </c>
    </row>
    <row r="363" spans="1:38" x14ac:dyDescent="0.3">
      <c r="A363" s="11">
        <v>44228</v>
      </c>
      <c r="B363" s="18">
        <v>3628716.76</v>
      </c>
      <c r="C363" s="18">
        <v>5004301.3899999997</v>
      </c>
      <c r="D363" s="18">
        <v>7509475.1299999999</v>
      </c>
      <c r="E363" s="11">
        <f t="shared" si="37"/>
        <v>44228</v>
      </c>
      <c r="F363" s="9">
        <f t="shared" si="39"/>
        <v>0.23135316278404461</v>
      </c>
      <c r="G363" s="9">
        <f t="shared" si="40"/>
        <v>0.16929750666086152</v>
      </c>
      <c r="H363" s="9">
        <f t="shared" si="41"/>
        <v>0.15550912368375203</v>
      </c>
      <c r="I363" s="11">
        <f t="shared" si="38"/>
        <v>44228</v>
      </c>
      <c r="O363" s="11">
        <v>45689</v>
      </c>
      <c r="P363" s="19" t="str" cm="1">
        <f t="array" ref="P363">IF(OR($O363&lt;P$387,$O363&gt;P$388),"",IFERROR(IF($O363=P$387,100,P362)*INDEX($B$2:$B$428,MATCH($O363,$A$2:$A$428,0))/INDEX($B$2:$B$428,MATCH($O363,$A$2:$A$428,0)-1),""))</f>
        <v/>
      </c>
      <c r="Q363" s="19" t="str" cm="1">
        <f t="array" ref="Q363">IF(OR($O363&lt;Q$387,$O363&gt;Q$388),"",IFERROR(IF($O363=Q$387,100,Q362)*INDEX($B$2:$B$428,MATCH($O363,$A$2:$A$428,0))/INDEX($B$2:$B$428,MATCH($O363,$A$2:$A$428,0)-1),""))</f>
        <v/>
      </c>
      <c r="R363" s="19" t="str" cm="1">
        <f t="array" ref="R363">IF(OR($O363&lt;R$387,$O363&gt;R$388),"",IFERROR(IF($O363=R$387,100,R362)*INDEX($B$2:$B$428,MATCH($O363,$A$2:$A$428,0))/INDEX($B$2:$B$428,MATCH($O363,$A$2:$A$428,0)-1),""))</f>
        <v/>
      </c>
      <c r="S363" s="19" t="str" cm="1">
        <f t="array" ref="S363">IF(OR($O363&lt;S$387,$O363&gt;S$388),"",IFERROR(IF($O363=S$387,100,S362)*INDEX($B$2:$B$428,MATCH($O363,$A$2:$A$428,0))/INDEX($B$2:$B$428,MATCH($O363,$A$2:$A$428,0)-1),""))</f>
        <v/>
      </c>
      <c r="T363" s="19" t="str" cm="1">
        <f t="array" ref="T363">IF(OR($O363&lt;T$387,$O363&gt;T$388),"",IFERROR(IF($O363=T$387,100,T362)*INDEX($B$2:$B$428,MATCH($O363,$A$2:$A$428,0))/INDEX($B$2:$B$428,MATCH($O363,$A$2:$A$428,0)-1),""))</f>
        <v/>
      </c>
      <c r="U363" s="19" t="str" cm="1">
        <f t="array" ref="U363">IF(OR($O363&lt;U$387,$O363&gt;U$388),"",IFERROR(IF($O363=U$387,100,U362)*INDEX($B$2:$B$428,MATCH($O363,$A$2:$A$428,0))/INDEX($B$2:$B$428,MATCH($O363,$A$2:$A$428,0)-1),""))</f>
        <v/>
      </c>
      <c r="V363" s="19" t="str" cm="1">
        <f t="array" ref="V363">IF(OR($O363&lt;V$387,$O363&gt;V$388),"",IFERROR(IF($O363=V$387,100,V362)*INDEX($B$2:$B$428,MATCH($O363,$A$2:$A$428,0))/INDEX($B$2:$B$428,MATCH($O363,$A$2:$A$428,0)-1),""))</f>
        <v/>
      </c>
      <c r="W363" s="19" t="str" cm="1">
        <f t="array" ref="W363">IF(OR($O363&lt;W$387,$O363&gt;W$388),"",IFERROR(IF($O363=W$387,100,W362)*INDEX($B$2:$B$428,MATCH($O363,$A$2:$A$428,0))/INDEX($B$2:$B$428,MATCH($O363,$A$2:$A$428,0)-1),""))</f>
        <v/>
      </c>
      <c r="X363" s="19" cm="1">
        <f t="array" ref="X363">IF(OR($O363&lt;X$387,$O363&gt;X$388),"",IFERROR(IF($O363=X$387,100,X362)*INDEX($B$2:$B$428,MATCH($O363,$A$2:$A$428,0))/INDEX($B$2:$B$428,MATCH($O363,$A$2:$A$428,0)-1),""))</f>
        <v>132.61448549140846</v>
      </c>
      <c r="AA363" s="19"/>
      <c r="AB363" s="19"/>
      <c r="AC363" s="19"/>
      <c r="AD363" s="19"/>
      <c r="AE363" s="19"/>
      <c r="AF363" s="19"/>
      <c r="AG363" s="19"/>
      <c r="AH363" s="19"/>
      <c r="AJ363" s="11">
        <v>43862</v>
      </c>
      <c r="AK363">
        <v>7466680.9000000004</v>
      </c>
      <c r="AL363" s="26">
        <f t="shared" si="42"/>
        <v>0.87037941851780487</v>
      </c>
    </row>
    <row r="364" spans="1:38" x14ac:dyDescent="0.3">
      <c r="A364" s="11">
        <v>44256</v>
      </c>
      <c r="B364" s="18">
        <v>3625134.92</v>
      </c>
      <c r="C364" s="18">
        <v>5045108.9400000004</v>
      </c>
      <c r="D364" s="18">
        <v>7572176.5800000001</v>
      </c>
      <c r="E364" s="11">
        <f t="shared" si="37"/>
        <v>44256</v>
      </c>
      <c r="F364" s="9">
        <f t="shared" si="39"/>
        <v>0.30245852873990176</v>
      </c>
      <c r="G364" s="9">
        <f t="shared" si="40"/>
        <v>0.15749393561412584</v>
      </c>
      <c r="H364" s="9">
        <f t="shared" si="41"/>
        <v>0.17944965866359319</v>
      </c>
      <c r="I364" s="11">
        <f t="shared" si="38"/>
        <v>44256</v>
      </c>
      <c r="O364" s="11">
        <v>45717</v>
      </c>
      <c r="P364" s="19" t="str" cm="1">
        <f t="array" ref="P364">IF(OR($O364&lt;P$387,$O364&gt;P$388),"",IFERROR(IF($O364=P$387,100,P363)*INDEX($B$2:$B$428,MATCH($O364,$A$2:$A$428,0))/INDEX($B$2:$B$428,MATCH($O364,$A$2:$A$428,0)-1),""))</f>
        <v/>
      </c>
      <c r="Q364" s="19" t="str" cm="1">
        <f t="array" ref="Q364">IF(OR($O364&lt;Q$387,$O364&gt;Q$388),"",IFERROR(IF($O364=Q$387,100,Q363)*INDEX($B$2:$B$428,MATCH($O364,$A$2:$A$428,0))/INDEX($B$2:$B$428,MATCH($O364,$A$2:$A$428,0)-1),""))</f>
        <v/>
      </c>
      <c r="R364" s="19" t="str" cm="1">
        <f t="array" ref="R364">IF(OR($O364&lt;R$387,$O364&gt;R$388),"",IFERROR(IF($O364=R$387,100,R363)*INDEX($B$2:$B$428,MATCH($O364,$A$2:$A$428,0))/INDEX($B$2:$B$428,MATCH($O364,$A$2:$A$428,0)-1),""))</f>
        <v/>
      </c>
      <c r="S364" s="19" t="str" cm="1">
        <f t="array" ref="S364">IF(OR($O364&lt;S$387,$O364&gt;S$388),"",IFERROR(IF($O364=S$387,100,S363)*INDEX($B$2:$B$428,MATCH($O364,$A$2:$A$428,0))/INDEX($B$2:$B$428,MATCH($O364,$A$2:$A$428,0)-1),""))</f>
        <v/>
      </c>
      <c r="T364" s="19" t="str" cm="1">
        <f t="array" ref="T364">IF(OR($O364&lt;T$387,$O364&gt;T$388),"",IFERROR(IF($O364=T$387,100,T363)*INDEX($B$2:$B$428,MATCH($O364,$A$2:$A$428,0))/INDEX($B$2:$B$428,MATCH($O364,$A$2:$A$428,0)-1),""))</f>
        <v/>
      </c>
      <c r="U364" s="19" t="str" cm="1">
        <f t="array" ref="U364">IF(OR($O364&lt;U$387,$O364&gt;U$388),"",IFERROR(IF($O364=U$387,100,U363)*INDEX($B$2:$B$428,MATCH($O364,$A$2:$A$428,0))/INDEX($B$2:$B$428,MATCH($O364,$A$2:$A$428,0)-1),""))</f>
        <v/>
      </c>
      <c r="V364" s="19" t="str" cm="1">
        <f t="array" ref="V364">IF(OR($O364&lt;V$387,$O364&gt;V$388),"",IFERROR(IF($O364=V$387,100,V363)*INDEX($B$2:$B$428,MATCH($O364,$A$2:$A$428,0))/INDEX($B$2:$B$428,MATCH($O364,$A$2:$A$428,0)-1),""))</f>
        <v/>
      </c>
      <c r="W364" s="19" t="str" cm="1">
        <f t="array" ref="W364">IF(OR($O364&lt;W$387,$O364&gt;W$388),"",IFERROR(IF($O364=W$387,100,W363)*INDEX($B$2:$B$428,MATCH($O364,$A$2:$A$428,0))/INDEX($B$2:$B$428,MATCH($O364,$A$2:$A$428,0)-1),""))</f>
        <v/>
      </c>
      <c r="X364" s="19" cm="1">
        <f t="array" ref="X364">IF(OR($O364&lt;X$387,$O364&gt;X$388),"",IFERROR(IF($O364=X$387,100,X363)*INDEX($B$2:$B$428,MATCH($O364,$A$2:$A$428,0))/INDEX($B$2:$B$428,MATCH($O364,$A$2:$A$428,0)-1),""))</f>
        <v>134.41650761598842</v>
      </c>
      <c r="AA364" s="19"/>
      <c r="AB364" s="19"/>
      <c r="AC364" s="19"/>
      <c r="AD364" s="19"/>
      <c r="AE364" s="19"/>
      <c r="AF364" s="19"/>
      <c r="AG364" s="19"/>
      <c r="AH364" s="19"/>
      <c r="AJ364" s="11">
        <v>43891</v>
      </c>
      <c r="AK364">
        <v>7499672</v>
      </c>
      <c r="AL364" s="26">
        <f t="shared" si="42"/>
        <v>0.85604984724665301</v>
      </c>
    </row>
    <row r="365" spans="1:38" x14ac:dyDescent="0.3">
      <c r="A365" s="11">
        <v>44287</v>
      </c>
      <c r="B365" s="18">
        <v>3676545.11</v>
      </c>
      <c r="C365" s="18">
        <v>5018717.97</v>
      </c>
      <c r="D365" s="18">
        <v>7428769.0599999996</v>
      </c>
      <c r="E365" s="11">
        <f t="shared" si="37"/>
        <v>44287</v>
      </c>
      <c r="F365" s="9">
        <f t="shared" si="39"/>
        <v>0.30591224882458934</v>
      </c>
      <c r="G365" s="9">
        <f t="shared" si="40"/>
        <v>0.1180750033002218</v>
      </c>
      <c r="H365" s="9">
        <f t="shared" si="41"/>
        <v>0.15178264277631159</v>
      </c>
      <c r="I365" s="11">
        <f t="shared" si="38"/>
        <v>44287</v>
      </c>
      <c r="O365" s="11">
        <v>45748</v>
      </c>
      <c r="P365" s="19" t="str" cm="1">
        <f t="array" ref="P365">IF(OR($O365&lt;P$387,$O365&gt;P$388),"",IFERROR(IF($O365=P$387,100,P364)*INDEX($B$2:$B$428,MATCH($O365,$A$2:$A$428,0))/INDEX($B$2:$B$428,MATCH($O365,$A$2:$A$428,0)-1),""))</f>
        <v/>
      </c>
      <c r="Q365" s="19" t="str" cm="1">
        <f t="array" ref="Q365">IF(OR($O365&lt;Q$387,$O365&gt;Q$388),"",IFERROR(IF($O365=Q$387,100,Q364)*INDEX($B$2:$B$428,MATCH($O365,$A$2:$A$428,0))/INDEX($B$2:$B$428,MATCH($O365,$A$2:$A$428,0)-1),""))</f>
        <v/>
      </c>
      <c r="R365" s="19" t="str" cm="1">
        <f t="array" ref="R365">IF(OR($O365&lt;R$387,$O365&gt;R$388),"",IFERROR(IF($O365=R$387,100,R364)*INDEX($B$2:$B$428,MATCH($O365,$A$2:$A$428,0))/INDEX($B$2:$B$428,MATCH($O365,$A$2:$A$428,0)-1),""))</f>
        <v/>
      </c>
      <c r="S365" s="19" t="str" cm="1">
        <f t="array" ref="S365">IF(OR($O365&lt;S$387,$O365&gt;S$388),"",IFERROR(IF($O365=S$387,100,S364)*INDEX($B$2:$B$428,MATCH($O365,$A$2:$A$428,0))/INDEX($B$2:$B$428,MATCH($O365,$A$2:$A$428,0)-1),""))</f>
        <v/>
      </c>
      <c r="T365" s="19" t="str" cm="1">
        <f t="array" ref="T365">IF(OR($O365&lt;T$387,$O365&gt;T$388),"",IFERROR(IF($O365=T$387,100,T364)*INDEX($B$2:$B$428,MATCH($O365,$A$2:$A$428,0))/INDEX($B$2:$B$428,MATCH($O365,$A$2:$A$428,0)-1),""))</f>
        <v/>
      </c>
      <c r="U365" s="19" t="str" cm="1">
        <f t="array" ref="U365">IF(OR($O365&lt;U$387,$O365&gt;U$388),"",IFERROR(IF($O365=U$387,100,U364)*INDEX($B$2:$B$428,MATCH($O365,$A$2:$A$428,0))/INDEX($B$2:$B$428,MATCH($O365,$A$2:$A$428,0)-1),""))</f>
        <v/>
      </c>
      <c r="V365" s="19" t="str" cm="1">
        <f t="array" ref="V365">IF(OR($O365&lt;V$387,$O365&gt;V$388),"",IFERROR(IF($O365=V$387,100,V364)*INDEX($B$2:$B$428,MATCH($O365,$A$2:$A$428,0))/INDEX($B$2:$B$428,MATCH($O365,$A$2:$A$428,0)-1),""))</f>
        <v/>
      </c>
      <c r="W365" s="19" t="str" cm="1">
        <f t="array" ref="W365">IF(OR($O365&lt;W$387,$O365&gt;W$388),"",IFERROR(IF($O365=W$387,100,W364)*INDEX($B$2:$B$428,MATCH($O365,$A$2:$A$428,0))/INDEX($B$2:$B$428,MATCH($O365,$A$2:$A$428,0)-1),""))</f>
        <v/>
      </c>
      <c r="X365" s="19" cm="1">
        <f t="array" ref="X365">IF(OR($O365&lt;X$387,$O365&gt;X$388),"",IFERROR(IF($O365=X$387,100,X364)*INDEX($B$2:$B$428,MATCH($O365,$A$2:$A$428,0))/INDEX($B$2:$B$428,MATCH($O365,$A$2:$A$428,0)-1),""))</f>
        <v>135.37337965152966</v>
      </c>
      <c r="AA365" s="19"/>
      <c r="AB365" s="19"/>
      <c r="AC365" s="19"/>
      <c r="AD365" s="19"/>
      <c r="AE365" s="19"/>
      <c r="AF365" s="19"/>
      <c r="AG365" s="19"/>
      <c r="AH365" s="19"/>
      <c r="AJ365" s="11">
        <v>43922</v>
      </c>
      <c r="AK365">
        <v>7455902.5999999996</v>
      </c>
      <c r="AL365" s="26">
        <f t="shared" si="42"/>
        <v>0.86505974340383696</v>
      </c>
    </row>
    <row r="366" spans="1:38" x14ac:dyDescent="0.3">
      <c r="A366" s="11">
        <v>44317</v>
      </c>
      <c r="B366" s="18">
        <v>3761403.62</v>
      </c>
      <c r="C366" s="18">
        <v>5053686.92</v>
      </c>
      <c r="D366" s="18">
        <v>7507613.6799999997</v>
      </c>
      <c r="E366" s="11">
        <f t="shared" si="37"/>
        <v>44317</v>
      </c>
      <c r="F366" s="9">
        <f t="shared" si="39"/>
        <v>0.27670225335287024</v>
      </c>
      <c r="G366" s="9">
        <f t="shared" si="40"/>
        <v>8.962114063583515E-2</v>
      </c>
      <c r="H366" s="9">
        <f t="shared" si="41"/>
        <v>0.14763606707554633</v>
      </c>
      <c r="I366" s="11">
        <f t="shared" si="38"/>
        <v>44317</v>
      </c>
      <c r="O366" s="11">
        <v>45778</v>
      </c>
      <c r="P366" s="19" t="str" cm="1">
        <f t="array" ref="P366">IF(OR($O366&lt;P$387,$O366&gt;P$388),"",IFERROR(IF($O366=P$387,100,P365)*INDEX($B$2:$B$428,MATCH($O366,$A$2:$A$428,0))/INDEX($B$2:$B$428,MATCH($O366,$A$2:$A$428,0)-1),""))</f>
        <v/>
      </c>
      <c r="Q366" s="19" t="str" cm="1">
        <f t="array" ref="Q366">IF(OR($O366&lt;Q$387,$O366&gt;Q$388),"",IFERROR(IF($O366=Q$387,100,Q365)*INDEX($B$2:$B$428,MATCH($O366,$A$2:$A$428,0))/INDEX($B$2:$B$428,MATCH($O366,$A$2:$A$428,0)-1),""))</f>
        <v/>
      </c>
      <c r="R366" s="19" t="str" cm="1">
        <f t="array" ref="R366">IF(OR($O366&lt;R$387,$O366&gt;R$388),"",IFERROR(IF($O366=R$387,100,R365)*INDEX($B$2:$B$428,MATCH($O366,$A$2:$A$428,0))/INDEX($B$2:$B$428,MATCH($O366,$A$2:$A$428,0)-1),""))</f>
        <v/>
      </c>
      <c r="S366" s="19" t="str" cm="1">
        <f t="array" ref="S366">IF(OR($O366&lt;S$387,$O366&gt;S$388),"",IFERROR(IF($O366=S$387,100,S365)*INDEX($B$2:$B$428,MATCH($O366,$A$2:$A$428,0))/INDEX($B$2:$B$428,MATCH($O366,$A$2:$A$428,0)-1),""))</f>
        <v/>
      </c>
      <c r="T366" s="19" t="str" cm="1">
        <f t="array" ref="T366">IF(OR($O366&lt;T$387,$O366&gt;T$388),"",IFERROR(IF($O366=T$387,100,T365)*INDEX($B$2:$B$428,MATCH($O366,$A$2:$A$428,0))/INDEX($B$2:$B$428,MATCH($O366,$A$2:$A$428,0)-1),""))</f>
        <v/>
      </c>
      <c r="U366" s="19" t="str" cm="1">
        <f t="array" ref="U366">IF(OR($O366&lt;U$387,$O366&gt;U$388),"",IFERROR(IF($O366=U$387,100,U365)*INDEX($B$2:$B$428,MATCH($O366,$A$2:$A$428,0))/INDEX($B$2:$B$428,MATCH($O366,$A$2:$A$428,0)-1),""))</f>
        <v/>
      </c>
      <c r="V366" s="19" t="str" cm="1">
        <f t="array" ref="V366">IF(OR($O366&lt;V$387,$O366&gt;V$388),"",IFERROR(IF($O366=V$387,100,V365)*INDEX($B$2:$B$428,MATCH($O366,$A$2:$A$428,0))/INDEX($B$2:$B$428,MATCH($O366,$A$2:$A$428,0)-1),""))</f>
        <v/>
      </c>
      <c r="W366" s="19" t="str" cm="1">
        <f t="array" ref="W366">IF(OR($O366&lt;W$387,$O366&gt;W$388),"",IFERROR(IF($O366=W$387,100,W365)*INDEX($B$2:$B$428,MATCH($O366,$A$2:$A$428,0))/INDEX($B$2:$B$428,MATCH($O366,$A$2:$A$428,0)-1),""))</f>
        <v/>
      </c>
      <c r="X366" s="19" cm="1">
        <f t="array" ref="X366">IF(OR($O366&lt;X$387,$O366&gt;X$388),"",IFERROR(IF($O366=X$387,100,X365)*INDEX($B$2:$B$428,MATCH($O366,$A$2:$A$428,0))/INDEX($B$2:$B$428,MATCH($O366,$A$2:$A$428,0)-1),""))</f>
        <v>137.69639358595336</v>
      </c>
      <c r="AA366" s="19"/>
      <c r="AB366" s="19"/>
      <c r="AC366" s="19"/>
      <c r="AD366" s="19"/>
      <c r="AE366" s="19"/>
      <c r="AF366" s="19"/>
      <c r="AG366" s="19"/>
      <c r="AH366" s="19"/>
      <c r="AJ366" s="11">
        <v>43952</v>
      </c>
      <c r="AK366">
        <v>7416096</v>
      </c>
      <c r="AL366" s="26">
        <f t="shared" si="42"/>
        <v>0.8821092688120542</v>
      </c>
    </row>
    <row r="367" spans="1:38" x14ac:dyDescent="0.3">
      <c r="A367" s="11">
        <v>44348</v>
      </c>
      <c r="B367" s="18">
        <v>3925077.67</v>
      </c>
      <c r="C367" s="18">
        <v>5133428.6100000003</v>
      </c>
      <c r="D367" s="18">
        <v>7670021.2199999997</v>
      </c>
      <c r="E367" s="11">
        <f t="shared" si="37"/>
        <v>44348</v>
      </c>
      <c r="F367" s="9">
        <f t="shared" si="39"/>
        <v>0.25024898414900409</v>
      </c>
      <c r="G367" s="9">
        <f t="shared" si="40"/>
        <v>5.7592720717267509E-2</v>
      </c>
      <c r="H367" s="9">
        <f t="shared" si="41"/>
        <v>0.14483853452439721</v>
      </c>
      <c r="I367" s="11">
        <f t="shared" si="38"/>
        <v>44348</v>
      </c>
      <c r="O367" s="11">
        <v>45809</v>
      </c>
      <c r="P367" s="19" t="str" cm="1">
        <f t="array" ref="P367">IF(OR($O367&lt;P$387,$O367&gt;P$388),"",IFERROR(IF($O367=P$387,100,P366)*INDEX($B$2:$B$428,MATCH($O367,$A$2:$A$428,0))/INDEX($B$2:$B$428,MATCH($O367,$A$2:$A$428,0)-1),""))</f>
        <v/>
      </c>
      <c r="Q367" s="19" t="str" cm="1">
        <f t="array" ref="Q367">IF(OR($O367&lt;Q$387,$O367&gt;Q$388),"",IFERROR(IF($O367=Q$387,100,Q366)*INDEX($B$2:$B$428,MATCH($O367,$A$2:$A$428,0))/INDEX($B$2:$B$428,MATCH($O367,$A$2:$A$428,0)-1),""))</f>
        <v/>
      </c>
      <c r="R367" s="19" t="str" cm="1">
        <f t="array" ref="R367">IF(OR($O367&lt;R$387,$O367&gt;R$388),"",IFERROR(IF($O367=R$387,100,R366)*INDEX($B$2:$B$428,MATCH($O367,$A$2:$A$428,0))/INDEX($B$2:$B$428,MATCH($O367,$A$2:$A$428,0)-1),""))</f>
        <v/>
      </c>
      <c r="S367" s="19" t="str" cm="1">
        <f t="array" ref="S367">IF(OR($O367&lt;S$387,$O367&gt;S$388),"",IFERROR(IF($O367=S$387,100,S366)*INDEX($B$2:$B$428,MATCH($O367,$A$2:$A$428,0))/INDEX($B$2:$B$428,MATCH($O367,$A$2:$A$428,0)-1),""))</f>
        <v/>
      </c>
      <c r="T367" s="19" t="str" cm="1">
        <f t="array" ref="T367">IF(OR($O367&lt;T$387,$O367&gt;T$388),"",IFERROR(IF($O367=T$387,100,T366)*INDEX($B$2:$B$428,MATCH($O367,$A$2:$A$428,0))/INDEX($B$2:$B$428,MATCH($O367,$A$2:$A$428,0)-1),""))</f>
        <v/>
      </c>
      <c r="U367" s="19" t="str" cm="1">
        <f t="array" ref="U367">IF(OR($O367&lt;U$387,$O367&gt;U$388),"",IFERROR(IF($O367=U$387,100,U366)*INDEX($B$2:$B$428,MATCH($O367,$A$2:$A$428,0))/INDEX($B$2:$B$428,MATCH($O367,$A$2:$A$428,0)-1),""))</f>
        <v/>
      </c>
      <c r="V367" s="19" t="str" cm="1">
        <f t="array" ref="V367">IF(OR($O367&lt;V$387,$O367&gt;V$388),"",IFERROR(IF($O367=V$387,100,V366)*INDEX($B$2:$B$428,MATCH($O367,$A$2:$A$428,0))/INDEX($B$2:$B$428,MATCH($O367,$A$2:$A$428,0)-1),""))</f>
        <v/>
      </c>
      <c r="W367" s="19" t="str" cm="1">
        <f t="array" ref="W367">IF(OR($O367&lt;W$387,$O367&gt;W$388),"",IFERROR(IF($O367=W$387,100,W366)*INDEX($B$2:$B$428,MATCH($O367,$A$2:$A$428,0))/INDEX($B$2:$B$428,MATCH($O367,$A$2:$A$428,0)-1),""))</f>
        <v/>
      </c>
      <c r="X367" s="19" cm="1">
        <f t="array" ref="X367">IF(OR($O367&lt;X$387,$O367&gt;X$388),"",IFERROR(IF($O367=X$387,100,X366)*INDEX($B$2:$B$428,MATCH($O367,$A$2:$A$428,0))/INDEX($B$2:$B$428,MATCH($O367,$A$2:$A$428,0)-1),""))</f>
        <v>140.88938234027154</v>
      </c>
      <c r="AA367" s="19"/>
      <c r="AB367" s="19"/>
      <c r="AC367" s="19"/>
      <c r="AD367" s="19"/>
      <c r="AE367" s="19"/>
      <c r="AF367" s="19"/>
      <c r="AG367" s="19"/>
      <c r="AH367" s="19"/>
      <c r="AJ367" s="11">
        <v>43983</v>
      </c>
      <c r="AK367">
        <v>7425634.4000000004</v>
      </c>
      <c r="AL367" s="26">
        <f t="shared" si="42"/>
        <v>0.90223311559750363</v>
      </c>
    </row>
    <row r="368" spans="1:38" x14ac:dyDescent="0.3">
      <c r="A368" s="11">
        <v>44378</v>
      </c>
      <c r="B368" s="18">
        <v>3941700.95</v>
      </c>
      <c r="C368" s="18">
        <v>5191114.72</v>
      </c>
      <c r="D368" s="18">
        <v>7714487.4400000004</v>
      </c>
      <c r="E368" s="11">
        <f t="shared" si="37"/>
        <v>44378</v>
      </c>
      <c r="F368" s="9">
        <f t="shared" si="39"/>
        <v>0.19368464991107981</v>
      </c>
      <c r="G368" s="9">
        <f t="shared" si="40"/>
        <v>4.9320443685813231E-2</v>
      </c>
      <c r="H368" s="9">
        <f t="shared" si="41"/>
        <v>0.17070446473189271</v>
      </c>
      <c r="I368" s="11">
        <f t="shared" si="38"/>
        <v>44378</v>
      </c>
      <c r="O368" s="11">
        <v>45839</v>
      </c>
      <c r="P368" s="19" t="str" cm="1">
        <f t="array" ref="P368">IF(OR($O368&lt;P$387,$O368&gt;P$388),"",IFERROR(IF($O368=P$387,100,P367)*INDEX($B$2:$B$428,MATCH($O368,$A$2:$A$428,0))/INDEX($B$2:$B$428,MATCH($O368,$A$2:$A$428,0)-1),""))</f>
        <v/>
      </c>
      <c r="Q368" s="19" t="str" cm="1">
        <f t="array" ref="Q368">IF(OR($O368&lt;Q$387,$O368&gt;Q$388),"",IFERROR(IF($O368=Q$387,100,Q367)*INDEX($B$2:$B$428,MATCH($O368,$A$2:$A$428,0))/INDEX($B$2:$B$428,MATCH($O368,$A$2:$A$428,0)-1),""))</f>
        <v/>
      </c>
      <c r="R368" s="19" t="str" cm="1">
        <f t="array" ref="R368">IF(OR($O368&lt;R$387,$O368&gt;R$388),"",IFERROR(IF($O368=R$387,100,R367)*INDEX($B$2:$B$428,MATCH($O368,$A$2:$A$428,0))/INDEX($B$2:$B$428,MATCH($O368,$A$2:$A$428,0)-1),""))</f>
        <v/>
      </c>
      <c r="S368" s="19" t="str" cm="1">
        <f t="array" ref="S368">IF(OR($O368&lt;S$387,$O368&gt;S$388),"",IFERROR(IF($O368=S$387,100,S367)*INDEX($B$2:$B$428,MATCH($O368,$A$2:$A$428,0))/INDEX($B$2:$B$428,MATCH($O368,$A$2:$A$428,0)-1),""))</f>
        <v/>
      </c>
      <c r="T368" s="19" t="str" cm="1">
        <f t="array" ref="T368">IF(OR($O368&lt;T$387,$O368&gt;T$388),"",IFERROR(IF($O368=T$387,100,T367)*INDEX($B$2:$B$428,MATCH($O368,$A$2:$A$428,0))/INDEX($B$2:$B$428,MATCH($O368,$A$2:$A$428,0)-1),""))</f>
        <v/>
      </c>
      <c r="U368" s="19" t="str" cm="1">
        <f t="array" ref="U368">IF(OR($O368&lt;U$387,$O368&gt;U$388),"",IFERROR(IF($O368=U$387,100,U367)*INDEX($B$2:$B$428,MATCH($O368,$A$2:$A$428,0))/INDEX($B$2:$B$428,MATCH($O368,$A$2:$A$428,0)-1),""))</f>
        <v/>
      </c>
      <c r="V368" s="19" t="str" cm="1">
        <f t="array" ref="V368">IF(OR($O368&lt;V$387,$O368&gt;V$388),"",IFERROR(IF($O368=V$387,100,V367)*INDEX($B$2:$B$428,MATCH($O368,$A$2:$A$428,0))/INDEX($B$2:$B$428,MATCH($O368,$A$2:$A$428,0)-1),""))</f>
        <v/>
      </c>
      <c r="W368" s="19" t="str" cm="1">
        <f t="array" ref="W368">IF(OR($O368&lt;W$387,$O368&gt;W$388),"",IFERROR(IF($O368=W$387,100,W367)*INDEX($B$2:$B$428,MATCH($O368,$A$2:$A$428,0))/INDEX($B$2:$B$428,MATCH($O368,$A$2:$A$428,0)-1),""))</f>
        <v/>
      </c>
      <c r="X368" s="19" cm="1">
        <f t="array" ref="X368">IF(OR($O368&lt;X$387,$O368&gt;X$388),"",IFERROR(IF($O368=X$387,100,X367)*INDEX($B$2:$B$428,MATCH($O368,$A$2:$A$428,0))/INDEX($B$2:$B$428,MATCH($O368,$A$2:$A$428,0)-1),""))</f>
        <v>143.54641108782229</v>
      </c>
      <c r="AA368" s="19"/>
      <c r="AB368" s="19"/>
      <c r="AC368" s="19"/>
      <c r="AD368" s="19"/>
      <c r="AE368" s="19"/>
      <c r="AF368" s="19"/>
      <c r="AG368" s="19"/>
      <c r="AH368" s="19"/>
      <c r="AJ368" s="11">
        <v>44013</v>
      </c>
      <c r="AK368">
        <v>7437396.2999999998</v>
      </c>
      <c r="AL368" s="26">
        <f t="shared" si="42"/>
        <v>0.88601051956852162</v>
      </c>
    </row>
    <row r="369" spans="1:38" x14ac:dyDescent="0.3">
      <c r="A369" s="11">
        <v>44409</v>
      </c>
      <c r="B369" s="18">
        <v>3995521.56</v>
      </c>
      <c r="C369" s="18">
        <v>5212554.57</v>
      </c>
      <c r="D369" s="18">
        <v>7806344.4500000002</v>
      </c>
      <c r="E369" s="11">
        <f t="shared" si="37"/>
        <v>44409</v>
      </c>
      <c r="F369" s="9">
        <f t="shared" si="39"/>
        <v>0.19608381849131007</v>
      </c>
      <c r="G369" s="9">
        <f t="shared" si="40"/>
        <v>0.10183804362386617</v>
      </c>
      <c r="H369" s="9">
        <f t="shared" si="41"/>
        <v>0.17212468534435454</v>
      </c>
      <c r="I369" s="11">
        <f t="shared" si="38"/>
        <v>44409</v>
      </c>
      <c r="O369" s="11">
        <v>45870</v>
      </c>
      <c r="P369" s="19" t="str" cm="1">
        <f t="array" ref="P369">IF(OR($O369&lt;P$387,$O369&gt;P$388),"",IFERROR(IF($O369=P$387,100,P368)*INDEX($B$2:$B$428,MATCH($O369,$A$2:$A$428,0))/INDEX($B$2:$B$428,MATCH($O369,$A$2:$A$428,0)-1),""))</f>
        <v/>
      </c>
      <c r="Q369" s="19" t="str" cm="1">
        <f t="array" ref="Q369">IF(OR($O369&lt;Q$387,$O369&gt;Q$388),"",IFERROR(IF($O369=Q$387,100,Q368)*INDEX($B$2:$B$428,MATCH($O369,$A$2:$A$428,0))/INDEX($B$2:$B$428,MATCH($O369,$A$2:$A$428,0)-1),""))</f>
        <v/>
      </c>
      <c r="R369" s="19" t="str" cm="1">
        <f t="array" ref="R369">IF(OR($O369&lt;R$387,$O369&gt;R$388),"",IFERROR(IF($O369=R$387,100,R368)*INDEX($B$2:$B$428,MATCH($O369,$A$2:$A$428,0))/INDEX($B$2:$B$428,MATCH($O369,$A$2:$A$428,0)-1),""))</f>
        <v/>
      </c>
      <c r="S369" s="19" t="str" cm="1">
        <f t="array" ref="S369">IF(OR($O369&lt;S$387,$O369&gt;S$388),"",IFERROR(IF($O369=S$387,100,S368)*INDEX($B$2:$B$428,MATCH($O369,$A$2:$A$428,0))/INDEX($B$2:$B$428,MATCH($O369,$A$2:$A$428,0)-1),""))</f>
        <v/>
      </c>
      <c r="T369" s="19" t="str" cm="1">
        <f t="array" ref="T369">IF(OR($O369&lt;T$387,$O369&gt;T$388),"",IFERROR(IF($O369=T$387,100,T368)*INDEX($B$2:$B$428,MATCH($O369,$A$2:$A$428,0))/INDEX($B$2:$B$428,MATCH($O369,$A$2:$A$428,0)-1),""))</f>
        <v/>
      </c>
      <c r="U369" s="19" t="str" cm="1">
        <f t="array" ref="U369">IF(OR($O369&lt;U$387,$O369&gt;U$388),"",IFERROR(IF($O369=U$387,100,U368)*INDEX($B$2:$B$428,MATCH($O369,$A$2:$A$428,0))/INDEX($B$2:$B$428,MATCH($O369,$A$2:$A$428,0)-1),""))</f>
        <v/>
      </c>
      <c r="V369" s="19" t="str" cm="1">
        <f t="array" ref="V369">IF(OR($O369&lt;V$387,$O369&gt;V$388),"",IFERROR(IF($O369=V$387,100,V368)*INDEX($B$2:$B$428,MATCH($O369,$A$2:$A$428,0))/INDEX($B$2:$B$428,MATCH($O369,$A$2:$A$428,0)-1),""))</f>
        <v/>
      </c>
      <c r="W369" s="19" t="str" cm="1">
        <f t="array" ref="W369">IF(OR($O369&lt;W$387,$O369&gt;W$388),"",IFERROR(IF($O369=W$387,100,W368)*INDEX($B$2:$B$428,MATCH($O369,$A$2:$A$428,0))/INDEX($B$2:$B$428,MATCH($O369,$A$2:$A$428,0)-1),""))</f>
        <v/>
      </c>
      <c r="X369" s="19" cm="1">
        <f t="array" ref="X369">IF(OR($O369&lt;X$387,$O369&gt;X$388),"",IFERROR(IF($O369=X$387,100,X368)*INDEX($B$2:$B$428,MATCH($O369,$A$2:$A$428,0))/INDEX($B$2:$B$428,MATCH($O369,$A$2:$A$428,0)-1),""))</f>
        <v>145.94772372894292</v>
      </c>
      <c r="AA369" s="19"/>
      <c r="AB369" s="19"/>
      <c r="AC369" s="19"/>
      <c r="AD369" s="19"/>
      <c r="AE369" s="19"/>
      <c r="AF369" s="19"/>
      <c r="AG369" s="19"/>
      <c r="AH369" s="19"/>
      <c r="AJ369" s="11">
        <v>44044</v>
      </c>
      <c r="AK369">
        <v>7444416.5999999996</v>
      </c>
      <c r="AL369" s="26">
        <f t="shared" si="42"/>
        <v>0.8946295294650759</v>
      </c>
    </row>
    <row r="370" spans="1:38" x14ac:dyDescent="0.3">
      <c r="A370" s="11">
        <v>44440</v>
      </c>
      <c r="B370" s="18">
        <v>3969446.78</v>
      </c>
      <c r="C370" s="18">
        <v>5262849.9400000004</v>
      </c>
      <c r="D370" s="18">
        <v>7784670.21</v>
      </c>
      <c r="E370" s="11">
        <f t="shared" si="37"/>
        <v>44440</v>
      </c>
      <c r="F370" s="9">
        <f t="shared" si="39"/>
        <v>0.1663573234209037</v>
      </c>
      <c r="G370" s="9">
        <f t="shared" si="40"/>
        <v>8.7854231032952201E-2</v>
      </c>
      <c r="H370" s="9">
        <f t="shared" si="41"/>
        <v>0.14744257850175879</v>
      </c>
      <c r="I370" s="11">
        <f t="shared" si="38"/>
        <v>44440</v>
      </c>
      <c r="O370" s="11">
        <v>45901</v>
      </c>
      <c r="P370" s="19" t="str" cm="1">
        <f t="array" ref="P370">IF(OR($O370&lt;P$387,$O370&gt;P$388),"",IFERROR(IF($O370=P$387,100,P369)*INDEX($B$2:$B$428,MATCH($O370,$A$2:$A$428,0))/INDEX($B$2:$B$428,MATCH($O370,$A$2:$A$428,0)-1),""))</f>
        <v/>
      </c>
      <c r="Q370" s="19" t="str" cm="1">
        <f t="array" ref="Q370">IF(OR($O370&lt;Q$387,$O370&gt;Q$388),"",IFERROR(IF($O370=Q$387,100,Q369)*INDEX($B$2:$B$428,MATCH($O370,$A$2:$A$428,0))/INDEX($B$2:$B$428,MATCH($O370,$A$2:$A$428,0)-1),""))</f>
        <v/>
      </c>
      <c r="R370" s="19" t="str" cm="1">
        <f t="array" ref="R370">IF(OR($O370&lt;R$387,$O370&gt;R$388),"",IFERROR(IF($O370=R$387,100,R369)*INDEX($B$2:$B$428,MATCH($O370,$A$2:$A$428,0))/INDEX($B$2:$B$428,MATCH($O370,$A$2:$A$428,0)-1),""))</f>
        <v/>
      </c>
      <c r="S370" s="19" t="str" cm="1">
        <f t="array" ref="S370">IF(OR($O370&lt;S$387,$O370&gt;S$388),"",IFERROR(IF($O370=S$387,100,S369)*INDEX($B$2:$B$428,MATCH($O370,$A$2:$A$428,0))/INDEX($B$2:$B$428,MATCH($O370,$A$2:$A$428,0)-1),""))</f>
        <v/>
      </c>
      <c r="T370" s="19" t="str" cm="1">
        <f t="array" ref="T370">IF(OR($O370&lt;T$387,$O370&gt;T$388),"",IFERROR(IF($O370=T$387,100,T369)*INDEX($B$2:$B$428,MATCH($O370,$A$2:$A$428,0))/INDEX($B$2:$B$428,MATCH($O370,$A$2:$A$428,0)-1),""))</f>
        <v/>
      </c>
      <c r="U370" s="19" t="str" cm="1">
        <f t="array" ref="U370">IF(OR($O370&lt;U$387,$O370&gt;U$388),"",IFERROR(IF($O370=U$387,100,U369)*INDEX($B$2:$B$428,MATCH($O370,$A$2:$A$428,0))/INDEX($B$2:$B$428,MATCH($O370,$A$2:$A$428,0)-1),""))</f>
        <v/>
      </c>
      <c r="V370" s="19" t="str" cm="1">
        <f t="array" ref="V370">IF(OR($O370&lt;V$387,$O370&gt;V$388),"",IFERROR(IF($O370=V$387,100,V369)*INDEX($B$2:$B$428,MATCH($O370,$A$2:$A$428,0))/INDEX($B$2:$B$428,MATCH($O370,$A$2:$A$428,0)-1),""))</f>
        <v/>
      </c>
      <c r="W370" s="19" t="str" cm="1">
        <f t="array" ref="W370">IF(OR($O370&lt;W$387,$O370&gt;W$388),"",IFERROR(IF($O370=W$387,100,W369)*INDEX($B$2:$B$428,MATCH($O370,$A$2:$A$428,0))/INDEX($B$2:$B$428,MATCH($O370,$A$2:$A$428,0)-1),""))</f>
        <v/>
      </c>
      <c r="X370" s="19" cm="1">
        <f t="array" ref="X370">IF(OR($O370&lt;X$387,$O370&gt;X$388),"",IFERROR(IF($O370=X$387,100,X369)*INDEX($B$2:$B$428,MATCH($O370,$A$2:$A$428,0))/INDEX($B$2:$B$428,MATCH($O370,$A$2:$A$428,0)-1),""))</f>
        <v>148.24805818061427</v>
      </c>
      <c r="AA370" s="19"/>
      <c r="AB370" s="19"/>
      <c r="AC370" s="19"/>
      <c r="AD370" s="19"/>
      <c r="AE370" s="19"/>
      <c r="AF370" s="19"/>
      <c r="AG370" s="19"/>
      <c r="AH370" s="19"/>
      <c r="AJ370" s="11">
        <v>44075</v>
      </c>
      <c r="AK370">
        <v>7474347.5999999996</v>
      </c>
      <c r="AL370" s="26">
        <f t="shared" si="42"/>
        <v>0.90768668826694665</v>
      </c>
    </row>
    <row r="371" spans="1:38" x14ac:dyDescent="0.3">
      <c r="A371" s="11">
        <v>44470</v>
      </c>
      <c r="B371" s="18">
        <v>3938553.03</v>
      </c>
      <c r="C371" s="18">
        <v>5289723.28</v>
      </c>
      <c r="D371" s="18">
        <v>7745153.7000000002</v>
      </c>
      <c r="E371" s="11">
        <f t="shared" si="37"/>
        <v>44470</v>
      </c>
      <c r="F371" s="9">
        <f t="shared" si="39"/>
        <v>0.15718137118972186</v>
      </c>
      <c r="G371" s="9">
        <f t="shared" si="40"/>
        <v>8.3726520766295387E-2</v>
      </c>
      <c r="H371" s="9">
        <f t="shared" si="41"/>
        <v>0.11600954089251236</v>
      </c>
      <c r="I371" s="11">
        <f t="shared" si="38"/>
        <v>44470</v>
      </c>
      <c r="O371" s="11">
        <v>45931</v>
      </c>
      <c r="P371" s="19" t="str" cm="1">
        <f t="array" ref="P371">IF(OR($O371&lt;P$387,$O371&gt;P$388),"",IFERROR(IF($O371=P$387,100,P370)*INDEX($B$2:$B$428,MATCH($O371,$A$2:$A$428,0))/INDEX($B$2:$B$428,MATCH($O371,$A$2:$A$428,0)-1),""))</f>
        <v/>
      </c>
      <c r="Q371" s="19" t="str" cm="1">
        <f t="array" ref="Q371">IF(OR($O371&lt;Q$387,$O371&gt;Q$388),"",IFERROR(IF($O371=Q$387,100,Q370)*INDEX($B$2:$B$428,MATCH($O371,$A$2:$A$428,0))/INDEX($B$2:$B$428,MATCH($O371,$A$2:$A$428,0)-1),""))</f>
        <v/>
      </c>
      <c r="R371" s="19" t="str" cm="1">
        <f t="array" ref="R371">IF(OR($O371&lt;R$387,$O371&gt;R$388),"",IFERROR(IF($O371=R$387,100,R370)*INDEX($B$2:$B$428,MATCH($O371,$A$2:$A$428,0))/INDEX($B$2:$B$428,MATCH($O371,$A$2:$A$428,0)-1),""))</f>
        <v/>
      </c>
      <c r="S371" s="19" t="str" cm="1">
        <f t="array" ref="S371">IF(OR($O371&lt;S$387,$O371&gt;S$388),"",IFERROR(IF($O371=S$387,100,S370)*INDEX($B$2:$B$428,MATCH($O371,$A$2:$A$428,0))/INDEX($B$2:$B$428,MATCH($O371,$A$2:$A$428,0)-1),""))</f>
        <v/>
      </c>
      <c r="T371" s="19" t="str" cm="1">
        <f t="array" ref="T371">IF(OR($O371&lt;T$387,$O371&gt;T$388),"",IFERROR(IF($O371=T$387,100,T370)*INDEX($B$2:$B$428,MATCH($O371,$A$2:$A$428,0))/INDEX($B$2:$B$428,MATCH($O371,$A$2:$A$428,0)-1),""))</f>
        <v/>
      </c>
      <c r="U371" s="19" t="str" cm="1">
        <f t="array" ref="U371">IF(OR($O371&lt;U$387,$O371&gt;U$388),"",IFERROR(IF($O371=U$387,100,U370)*INDEX($B$2:$B$428,MATCH($O371,$A$2:$A$428,0))/INDEX($B$2:$B$428,MATCH($O371,$A$2:$A$428,0)-1),""))</f>
        <v/>
      </c>
      <c r="V371" s="19" t="str" cm="1">
        <f t="array" ref="V371">IF(OR($O371&lt;V$387,$O371&gt;V$388),"",IFERROR(IF($O371=V$387,100,V370)*INDEX($B$2:$B$428,MATCH($O371,$A$2:$A$428,0))/INDEX($B$2:$B$428,MATCH($O371,$A$2:$A$428,0)-1),""))</f>
        <v/>
      </c>
      <c r="W371" s="19" t="str" cm="1">
        <f t="array" ref="W371">IF(OR($O371&lt;W$387,$O371&gt;W$388),"",IFERROR(IF($O371=W$387,100,W370)*INDEX($B$2:$B$428,MATCH($O371,$A$2:$A$428,0))/INDEX($B$2:$B$428,MATCH($O371,$A$2:$A$428,0)-1),""))</f>
        <v/>
      </c>
      <c r="X371" s="19" cm="1">
        <f t="array" ref="X371">IF(OR($O371&lt;X$387,$O371&gt;X$388),"",IFERROR(IF($O371=X$387,100,X370)*INDEX($B$2:$B$428,MATCH($O371,$A$2:$A$428,0))/INDEX($B$2:$B$428,MATCH($O371,$A$2:$A$428,0)-1),""))</f>
        <v>149.13282940875015</v>
      </c>
      <c r="AA371" s="19"/>
      <c r="AB371" s="19"/>
      <c r="AC371" s="19"/>
      <c r="AD371" s="19"/>
      <c r="AE371" s="19"/>
      <c r="AF371" s="19"/>
      <c r="AG371" s="19"/>
      <c r="AH371" s="19"/>
      <c r="AJ371" s="11">
        <v>44105</v>
      </c>
      <c r="AK371">
        <v>7499790.4000000004</v>
      </c>
      <c r="AL371" s="26">
        <f t="shared" si="42"/>
        <v>0.92536486753016456</v>
      </c>
    </row>
    <row r="372" spans="1:38" x14ac:dyDescent="0.3">
      <c r="A372" s="11">
        <v>44501</v>
      </c>
      <c r="B372" s="18">
        <v>3986579.8</v>
      </c>
      <c r="C372" s="18">
        <v>5316499.79</v>
      </c>
      <c r="D372" s="18">
        <v>7878607.1500000004</v>
      </c>
      <c r="E372" s="11">
        <f t="shared" si="37"/>
        <v>44501</v>
      </c>
      <c r="F372" s="9">
        <f t="shared" si="39"/>
        <v>0.12150544253600759</v>
      </c>
      <c r="G372" s="9">
        <f t="shared" si="40"/>
        <v>8.5836248277349148E-2</v>
      </c>
      <c r="H372" s="9">
        <f t="shared" si="41"/>
        <v>0.11340522793491137</v>
      </c>
      <c r="I372" s="11">
        <f t="shared" si="38"/>
        <v>44501</v>
      </c>
      <c r="O372" s="11">
        <v>45962</v>
      </c>
      <c r="P372" s="19" t="str" cm="1">
        <f t="array" ref="P372">IF(OR($O372&lt;P$387,$O372&gt;P$388),"",IFERROR(IF($O372=P$387,100,P371)*INDEX($B$2:$B$428,MATCH($O372,$A$2:$A$428,0))/INDEX($B$2:$B$428,MATCH($O372,$A$2:$A$428,0)-1),""))</f>
        <v/>
      </c>
      <c r="Q372" s="19" t="str" cm="1">
        <f t="array" ref="Q372">IF(OR($O372&lt;Q$387,$O372&gt;Q$388),"",IFERROR(IF($O372=Q$387,100,Q371)*INDEX($B$2:$B$428,MATCH($O372,$A$2:$A$428,0))/INDEX($B$2:$B$428,MATCH($O372,$A$2:$A$428,0)-1),""))</f>
        <v/>
      </c>
      <c r="R372" s="19" t="str" cm="1">
        <f t="array" ref="R372">IF(OR($O372&lt;R$387,$O372&gt;R$388),"",IFERROR(IF($O372=R$387,100,R371)*INDEX($B$2:$B$428,MATCH($O372,$A$2:$A$428,0))/INDEX($B$2:$B$428,MATCH($O372,$A$2:$A$428,0)-1),""))</f>
        <v/>
      </c>
      <c r="S372" s="19" t="str" cm="1">
        <f t="array" ref="S372">IF(OR($O372&lt;S$387,$O372&gt;S$388),"",IFERROR(IF($O372=S$387,100,S371)*INDEX($B$2:$B$428,MATCH($O372,$A$2:$A$428,0))/INDEX($B$2:$B$428,MATCH($O372,$A$2:$A$428,0)-1),""))</f>
        <v/>
      </c>
      <c r="T372" s="19" t="str" cm="1">
        <f t="array" ref="T372">IF(OR($O372&lt;T$387,$O372&gt;T$388),"",IFERROR(IF($O372=T$387,100,T371)*INDEX($B$2:$B$428,MATCH($O372,$A$2:$A$428,0))/INDEX($B$2:$B$428,MATCH($O372,$A$2:$A$428,0)-1),""))</f>
        <v/>
      </c>
      <c r="U372" s="19" t="str" cm="1">
        <f t="array" ref="U372">IF(OR($O372&lt;U$387,$O372&gt;U$388),"",IFERROR(IF($O372=U$387,100,U371)*INDEX($B$2:$B$428,MATCH($O372,$A$2:$A$428,0))/INDEX($B$2:$B$428,MATCH($O372,$A$2:$A$428,0)-1),""))</f>
        <v/>
      </c>
      <c r="V372" s="19" t="str" cm="1">
        <f t="array" ref="V372">IF(OR($O372&lt;V$387,$O372&gt;V$388),"",IFERROR(IF($O372=V$387,100,V371)*INDEX($B$2:$B$428,MATCH($O372,$A$2:$A$428,0))/INDEX($B$2:$B$428,MATCH($O372,$A$2:$A$428,0)-1),""))</f>
        <v/>
      </c>
      <c r="W372" s="19" t="str" cm="1">
        <f t="array" ref="W372">IF(OR($O372&lt;W$387,$O372&gt;W$388),"",IFERROR(IF($O372=W$387,100,W371)*INDEX($B$2:$B$428,MATCH($O372,$A$2:$A$428,0))/INDEX($B$2:$B$428,MATCH($O372,$A$2:$A$428,0)-1),""))</f>
        <v/>
      </c>
      <c r="X372" s="19" cm="1">
        <f t="array" ref="X372">IF(OR($O372&lt;X$387,$O372&gt;X$388),"",IFERROR(IF($O372=X$387,100,X371)*INDEX($B$2:$B$428,MATCH($O372,$A$2:$A$428,0))/INDEX($B$2:$B$428,MATCH($O372,$A$2:$A$428,0)-1),""))</f>
        <v>151.22093245010058</v>
      </c>
      <c r="AA372" s="19"/>
      <c r="AB372" s="19"/>
      <c r="AC372" s="19"/>
      <c r="AD372" s="19"/>
      <c r="AE372" s="19"/>
      <c r="AF372" s="19"/>
      <c r="AG372" s="19"/>
      <c r="AH372" s="19"/>
      <c r="AJ372" s="11">
        <v>44136</v>
      </c>
      <c r="AK372">
        <v>7541758.5</v>
      </c>
      <c r="AL372" s="26">
        <f t="shared" si="42"/>
        <v>0.93826079156472586</v>
      </c>
    </row>
    <row r="373" spans="1:38" x14ac:dyDescent="0.3">
      <c r="A373" s="11">
        <v>44531</v>
      </c>
      <c r="B373" s="18">
        <v>4029713.09</v>
      </c>
      <c r="C373" s="18">
        <v>5359710.07</v>
      </c>
      <c r="D373" s="18">
        <v>8014882.9199999999</v>
      </c>
      <c r="E373" s="11">
        <f t="shared" si="37"/>
        <v>44531</v>
      </c>
      <c r="F373" s="9">
        <f t="shared" si="39"/>
        <v>0.10358968676947189</v>
      </c>
      <c r="G373" s="9">
        <f t="shared" si="40"/>
        <v>7.7736995044987101E-2</v>
      </c>
      <c r="H373" s="9">
        <f t="shared" si="41"/>
        <v>9.7067513766820879E-2</v>
      </c>
      <c r="I373" s="11">
        <f t="shared" si="38"/>
        <v>44531</v>
      </c>
      <c r="O373" s="11">
        <v>45992</v>
      </c>
      <c r="P373" s="19" t="str" cm="1">
        <f t="array" ref="P373">IF(OR($O373&lt;P$387,$O373&gt;P$388),"",IFERROR(IF($O373=P$387,100,P372)*INDEX($B$2:$B$428,MATCH($O373,$A$2:$A$428,0))/INDEX($B$2:$B$428,MATCH($O373,$A$2:$A$428,0)-1),""))</f>
        <v/>
      </c>
      <c r="Q373" s="19" t="str" cm="1">
        <f t="array" ref="Q373">IF(OR($O373&lt;Q$387,$O373&gt;Q$388),"",IFERROR(IF($O373=Q$387,100,Q372)*INDEX($B$2:$B$428,MATCH($O373,$A$2:$A$428,0))/INDEX($B$2:$B$428,MATCH($O373,$A$2:$A$428,0)-1),""))</f>
        <v/>
      </c>
      <c r="R373" s="19" t="str" cm="1">
        <f t="array" ref="R373">IF(OR($O373&lt;R$387,$O373&gt;R$388),"",IFERROR(IF($O373=R$387,100,R372)*INDEX($B$2:$B$428,MATCH($O373,$A$2:$A$428,0))/INDEX($B$2:$B$428,MATCH($O373,$A$2:$A$428,0)-1),""))</f>
        <v/>
      </c>
      <c r="S373" s="19" t="str" cm="1">
        <f t="array" ref="S373">IF(OR($O373&lt;S$387,$O373&gt;S$388),"",IFERROR(IF($O373=S$387,100,S372)*INDEX($B$2:$B$428,MATCH($O373,$A$2:$A$428,0))/INDEX($B$2:$B$428,MATCH($O373,$A$2:$A$428,0)-1),""))</f>
        <v/>
      </c>
      <c r="T373" s="19" t="str" cm="1">
        <f t="array" ref="T373">IF(OR($O373&lt;T$387,$O373&gt;T$388),"",IFERROR(IF($O373=T$387,100,T372)*INDEX($B$2:$B$428,MATCH($O373,$A$2:$A$428,0))/INDEX($B$2:$B$428,MATCH($O373,$A$2:$A$428,0)-1),""))</f>
        <v/>
      </c>
      <c r="U373" s="19" t="str" cm="1">
        <f t="array" ref="U373">IF(OR($O373&lt;U$387,$O373&gt;U$388),"",IFERROR(IF($O373=U$387,100,U372)*INDEX($B$2:$B$428,MATCH($O373,$A$2:$A$428,0))/INDEX($B$2:$B$428,MATCH($O373,$A$2:$A$428,0)-1),""))</f>
        <v/>
      </c>
      <c r="V373" s="19" t="str" cm="1">
        <f t="array" ref="V373">IF(OR($O373&lt;V$387,$O373&gt;V$388),"",IFERROR(IF($O373=V$387,100,V372)*INDEX($B$2:$B$428,MATCH($O373,$A$2:$A$428,0))/INDEX($B$2:$B$428,MATCH($O373,$A$2:$A$428,0)-1),""))</f>
        <v/>
      </c>
      <c r="W373" s="19" t="str" cm="1">
        <f t="array" ref="W373">IF(OR($O373&lt;W$387,$O373&gt;W$388),"",IFERROR(IF($O373=W$387,100,W372)*INDEX($B$2:$B$428,MATCH($O373,$A$2:$A$428,0))/INDEX($B$2:$B$428,MATCH($O373,$A$2:$A$428,0)-1),""))</f>
        <v/>
      </c>
      <c r="X373" s="19" cm="1">
        <f t="array" ref="X373">IF(OR($O373&lt;X$387,$O373&gt;X$388),"",IFERROR(IF($O373=X$387,100,X372)*INDEX($B$2:$B$428,MATCH($O373,$A$2:$A$428,0))/INDEX($B$2:$B$428,MATCH($O373,$A$2:$A$428,0)-1),""))</f>
        <v>151.84170583781014</v>
      </c>
      <c r="AA373" s="19"/>
      <c r="AB373" s="19"/>
      <c r="AC373" s="19"/>
      <c r="AD373" s="19"/>
      <c r="AE373" s="19"/>
      <c r="AF373" s="19"/>
      <c r="AG373" s="19"/>
      <c r="AH373" s="19"/>
      <c r="AJ373" s="11">
        <v>44166</v>
      </c>
      <c r="AK373">
        <v>7609597</v>
      </c>
      <c r="AL373" s="26">
        <f t="shared" si="42"/>
        <v>0.96006838864134336</v>
      </c>
    </row>
    <row r="374" spans="1:38" x14ac:dyDescent="0.3">
      <c r="A374" s="11">
        <v>44562</v>
      </c>
      <c r="B374" s="18">
        <v>4056584.74</v>
      </c>
      <c r="C374" s="18">
        <v>5290734.24</v>
      </c>
      <c r="D374" s="18">
        <v>7994833.04</v>
      </c>
      <c r="E374" s="11">
        <f t="shared" si="37"/>
        <v>44562</v>
      </c>
      <c r="F374" s="9">
        <f t="shared" si="39"/>
        <v>0.13134633724241462</v>
      </c>
      <c r="G374" s="9">
        <f t="shared" si="40"/>
        <v>6.6144064997051277E-2</v>
      </c>
      <c r="H374" s="9">
        <f t="shared" si="41"/>
        <v>9.0925503078282066E-2</v>
      </c>
      <c r="I374" s="11">
        <f t="shared" si="38"/>
        <v>44562</v>
      </c>
      <c r="O374" s="11">
        <v>46023</v>
      </c>
      <c r="P374" s="19" t="str" cm="1">
        <f t="array" ref="P374">IF(OR($O374&lt;P$387,$O374&gt;P$388),"",IFERROR(IF($O374=P$387,100,P373)*INDEX($B$2:$B$428,MATCH($O374,$A$2:$A$428,0))/INDEX($B$2:$B$428,MATCH($O374,$A$2:$A$428,0)-1),""))</f>
        <v/>
      </c>
      <c r="Q374" s="19" t="str" cm="1">
        <f t="array" ref="Q374">IF(OR($O374&lt;Q$387,$O374&gt;Q$388),"",IFERROR(IF($O374=Q$387,100,Q373)*INDEX($B$2:$B$428,MATCH($O374,$A$2:$A$428,0))/INDEX($B$2:$B$428,MATCH($O374,$A$2:$A$428,0)-1),""))</f>
        <v/>
      </c>
      <c r="R374" s="19" t="str" cm="1">
        <f t="array" ref="R374">IF(OR($O374&lt;R$387,$O374&gt;R$388),"",IFERROR(IF($O374=R$387,100,R373)*INDEX($B$2:$B$428,MATCH($O374,$A$2:$A$428,0))/INDEX($B$2:$B$428,MATCH($O374,$A$2:$A$428,0)-1),""))</f>
        <v/>
      </c>
      <c r="S374" s="19" t="str" cm="1">
        <f t="array" ref="S374">IF(OR($O374&lt;S$387,$O374&gt;S$388),"",IFERROR(IF($O374=S$387,100,S373)*INDEX($B$2:$B$428,MATCH($O374,$A$2:$A$428,0))/INDEX($B$2:$B$428,MATCH($O374,$A$2:$A$428,0)-1),""))</f>
        <v/>
      </c>
      <c r="T374" s="19" t="str" cm="1">
        <f t="array" ref="T374">IF(OR($O374&lt;T$387,$O374&gt;T$388),"",IFERROR(IF($O374=T$387,100,T373)*INDEX($B$2:$B$428,MATCH($O374,$A$2:$A$428,0))/INDEX($B$2:$B$428,MATCH($O374,$A$2:$A$428,0)-1),""))</f>
        <v/>
      </c>
      <c r="U374" s="19" t="str" cm="1">
        <f t="array" ref="U374">IF(OR($O374&lt;U$387,$O374&gt;U$388),"",IFERROR(IF($O374=U$387,100,U373)*INDEX($B$2:$B$428,MATCH($O374,$A$2:$A$428,0))/INDEX($B$2:$B$428,MATCH($O374,$A$2:$A$428,0)-1),""))</f>
        <v/>
      </c>
      <c r="V374" s="19" t="str" cm="1">
        <f t="array" ref="V374">IF(OR($O374&lt;V$387,$O374&gt;V$388),"",IFERROR(IF($O374=V$387,100,V373)*INDEX($B$2:$B$428,MATCH($O374,$A$2:$A$428,0))/INDEX($B$2:$B$428,MATCH($O374,$A$2:$A$428,0)-1),""))</f>
        <v/>
      </c>
      <c r="W374" s="19" t="str" cm="1">
        <f t="array" ref="W374">IF(OR($O374&lt;W$387,$O374&gt;W$388),"",IFERROR(IF($O374=W$387,100,W373)*INDEX($B$2:$B$428,MATCH($O374,$A$2:$A$428,0))/INDEX($B$2:$B$428,MATCH($O374,$A$2:$A$428,0)-1),""))</f>
        <v/>
      </c>
      <c r="X374" s="19" cm="1">
        <f t="array" ref="X374">IF(OR($O374&lt;X$387,$O374&gt;X$388),"",IFERROR(IF($O374=X$387,100,X373)*INDEX($B$2:$B$428,MATCH($O374,$A$2:$A$428,0))/INDEX($B$2:$B$428,MATCH($O374,$A$2:$A$428,0)-1),""))</f>
        <v>152.36028817420618</v>
      </c>
      <c r="AA374" s="19"/>
      <c r="AB374" s="19"/>
      <c r="AC374" s="19"/>
      <c r="AD374" s="19"/>
      <c r="AE374" s="19"/>
      <c r="AF374" s="19"/>
      <c r="AG374" s="19"/>
      <c r="AH374" s="19"/>
      <c r="AJ374" s="11">
        <v>44197</v>
      </c>
      <c r="AK374">
        <v>7674501</v>
      </c>
      <c r="AL374" s="26">
        <f t="shared" si="42"/>
        <v>0.95491377224395435</v>
      </c>
    </row>
    <row r="375" spans="1:38" x14ac:dyDescent="0.3">
      <c r="A375" s="11">
        <v>44593</v>
      </c>
      <c r="B375" s="18">
        <v>4167981.04</v>
      </c>
      <c r="C375" s="18">
        <v>5245615.2300000004</v>
      </c>
      <c r="D375" s="18">
        <v>8111833.9500000002</v>
      </c>
      <c r="E375" s="11">
        <f t="shared" si="37"/>
        <v>44593</v>
      </c>
      <c r="F375" s="9">
        <f t="shared" si="39"/>
        <v>0.14861018802691017</v>
      </c>
      <c r="G375" s="9">
        <f t="shared" si="40"/>
        <v>4.8221284289993838E-2</v>
      </c>
      <c r="H375" s="9">
        <f t="shared" si="41"/>
        <v>8.0213171969050867E-2</v>
      </c>
      <c r="I375" s="11">
        <f t="shared" si="38"/>
        <v>44593</v>
      </c>
      <c r="O375" s="11">
        <v>46054</v>
      </c>
      <c r="P375" s="19" t="str" cm="1">
        <f t="array" ref="P375">IF(OR($O375&lt;P$387,$O375&gt;P$388),"",IFERROR(IF($O375=P$387,100,P374)*INDEX($B$2:$B$428,MATCH($O375,$A$2:$A$428,0))/INDEX($B$2:$B$428,MATCH($O375,$A$2:$A$428,0)-1),""))</f>
        <v/>
      </c>
      <c r="Q375" s="19" t="str" cm="1">
        <f t="array" ref="Q375">IF(OR($O375&lt;Q$387,$O375&gt;Q$388),"",IFERROR(IF($O375=Q$387,100,Q374)*INDEX($B$2:$B$428,MATCH($O375,$A$2:$A$428,0))/INDEX($B$2:$B$428,MATCH($O375,$A$2:$A$428,0)-1),""))</f>
        <v/>
      </c>
      <c r="R375" s="19" t="str" cm="1">
        <f t="array" ref="R375">IF(OR($O375&lt;R$387,$O375&gt;R$388),"",IFERROR(IF($O375=R$387,100,R374)*INDEX($B$2:$B$428,MATCH($O375,$A$2:$A$428,0))/INDEX($B$2:$B$428,MATCH($O375,$A$2:$A$428,0)-1),""))</f>
        <v/>
      </c>
      <c r="S375" s="19" t="str" cm="1">
        <f t="array" ref="S375">IF(OR($O375&lt;S$387,$O375&gt;S$388),"",IFERROR(IF($O375=S$387,100,S374)*INDEX($B$2:$B$428,MATCH($O375,$A$2:$A$428,0))/INDEX($B$2:$B$428,MATCH($O375,$A$2:$A$428,0)-1),""))</f>
        <v/>
      </c>
      <c r="T375" s="19" t="str" cm="1">
        <f t="array" ref="T375">IF(OR($O375&lt;T$387,$O375&gt;T$388),"",IFERROR(IF($O375=T$387,100,T374)*INDEX($B$2:$B$428,MATCH($O375,$A$2:$A$428,0))/INDEX($B$2:$B$428,MATCH($O375,$A$2:$A$428,0)-1),""))</f>
        <v/>
      </c>
      <c r="U375" s="19" t="str" cm="1">
        <f t="array" ref="U375">IF(OR($O375&lt;U$387,$O375&gt;U$388),"",IFERROR(IF($O375=U$387,100,U374)*INDEX($B$2:$B$428,MATCH($O375,$A$2:$A$428,0))/INDEX($B$2:$B$428,MATCH($O375,$A$2:$A$428,0)-1),""))</f>
        <v/>
      </c>
      <c r="V375" s="19" t="str" cm="1">
        <f t="array" ref="V375">IF(OR($O375&lt;V$387,$O375&gt;V$388),"",IFERROR(IF($O375=V$387,100,V374)*INDEX($B$2:$B$428,MATCH($O375,$A$2:$A$428,0))/INDEX($B$2:$B$428,MATCH($O375,$A$2:$A$428,0)-1),""))</f>
        <v/>
      </c>
      <c r="W375" s="19" t="str" cm="1">
        <f t="array" ref="W375">IF(OR($O375&lt;W$387,$O375&gt;W$388),"",IFERROR(IF($O375=W$387,100,W374)*INDEX($B$2:$B$428,MATCH($O375,$A$2:$A$428,0))/INDEX($B$2:$B$428,MATCH($O375,$A$2:$A$428,0)-1),""))</f>
        <v/>
      </c>
      <c r="X375" s="19" cm="1">
        <f t="array" ref="X375">IF(OR($O375&lt;X$387,$O375&gt;X$388),"",IFERROR(IF($O375=X$387,100,X374)*INDEX($B$2:$B$428,MATCH($O375,$A$2:$A$428,0))/INDEX($B$2:$B$428,MATCH($O375,$A$2:$A$428,0)-1),""))</f>
        <v>154.76062537639578</v>
      </c>
      <c r="AA375" s="19"/>
      <c r="AB375" s="19"/>
      <c r="AC375" s="19"/>
      <c r="AD375" s="19"/>
      <c r="AE375" s="19"/>
      <c r="AF375" s="19"/>
      <c r="AG375" s="19"/>
      <c r="AH375" s="19"/>
      <c r="AJ375" s="11">
        <v>44228</v>
      </c>
      <c r="AK375">
        <v>7763639.7000000002</v>
      </c>
      <c r="AL375" s="26">
        <f t="shared" si="42"/>
        <v>0.96726218889318105</v>
      </c>
    </row>
    <row r="376" spans="1:38" x14ac:dyDescent="0.3">
      <c r="A376" s="11">
        <v>44621</v>
      </c>
      <c r="B376" s="18">
        <v>4341514.55</v>
      </c>
      <c r="C376" s="18">
        <v>5272178.9800000004</v>
      </c>
      <c r="D376" s="18">
        <v>7961559.2300000004</v>
      </c>
      <c r="E376" s="11">
        <f t="shared" si="37"/>
        <v>44621</v>
      </c>
      <c r="F376" s="9">
        <f t="shared" si="39"/>
        <v>0.19761461181698592</v>
      </c>
      <c r="G376" s="9">
        <f t="shared" si="40"/>
        <v>4.5007955764776897E-2</v>
      </c>
      <c r="H376" s="9">
        <f t="shared" si="41"/>
        <v>5.142281692538142E-2</v>
      </c>
      <c r="I376" s="11">
        <f t="shared" si="38"/>
        <v>44621</v>
      </c>
      <c r="O376" s="11">
        <v>46082</v>
      </c>
      <c r="P376" s="19" t="str" cm="1">
        <f t="array" ref="P376">IF(OR($O376&lt;P$387,$O376&gt;P$388),"",IFERROR(IF($O376=P$387,100,P375)*INDEX($B$2:$B$428,MATCH($O376,$A$2:$A$428,0))/INDEX($B$2:$B$428,MATCH($O376,$A$2:$A$428,0)-1),""))</f>
        <v/>
      </c>
      <c r="Q376" s="19" t="str" cm="1">
        <f t="array" ref="Q376">IF(OR($O376&lt;Q$387,$O376&gt;Q$388),"",IFERROR(IF($O376=Q$387,100,Q375)*INDEX($B$2:$B$428,MATCH($O376,$A$2:$A$428,0))/INDEX($B$2:$B$428,MATCH($O376,$A$2:$A$428,0)-1),""))</f>
        <v/>
      </c>
      <c r="R376" s="19" t="str" cm="1">
        <f t="array" ref="R376">IF(OR($O376&lt;R$387,$O376&gt;R$388),"",IFERROR(IF($O376=R$387,100,R375)*INDEX($B$2:$B$428,MATCH($O376,$A$2:$A$428,0))/INDEX($B$2:$B$428,MATCH($O376,$A$2:$A$428,0)-1),""))</f>
        <v/>
      </c>
      <c r="S376" s="19" t="str" cm="1">
        <f t="array" ref="S376">IF(OR($O376&lt;S$387,$O376&gt;S$388),"",IFERROR(IF($O376=S$387,100,S375)*INDEX($B$2:$B$428,MATCH($O376,$A$2:$A$428,0))/INDEX($B$2:$B$428,MATCH($O376,$A$2:$A$428,0)-1),""))</f>
        <v/>
      </c>
      <c r="T376" s="19" t="str" cm="1">
        <f t="array" ref="T376">IF(OR($O376&lt;T$387,$O376&gt;T$388),"",IFERROR(IF($O376=T$387,100,T375)*INDEX($B$2:$B$428,MATCH($O376,$A$2:$A$428,0))/INDEX($B$2:$B$428,MATCH($O376,$A$2:$A$428,0)-1),""))</f>
        <v/>
      </c>
      <c r="U376" s="19" t="str" cm="1">
        <f t="array" ref="U376">IF(OR($O376&lt;U$387,$O376&gt;U$388),"",IFERROR(IF($O376=U$387,100,U375)*INDEX($B$2:$B$428,MATCH($O376,$A$2:$A$428,0))/INDEX($B$2:$B$428,MATCH($O376,$A$2:$A$428,0)-1),""))</f>
        <v/>
      </c>
      <c r="V376" s="19" t="str" cm="1">
        <f t="array" ref="V376">IF(OR($O376&lt;V$387,$O376&gt;V$388),"",IFERROR(IF($O376=V$387,100,V375)*INDEX($B$2:$B$428,MATCH($O376,$A$2:$A$428,0))/INDEX($B$2:$B$428,MATCH($O376,$A$2:$A$428,0)-1),""))</f>
        <v/>
      </c>
      <c r="W376" s="19" t="str" cm="1">
        <f t="array" ref="W376">IF(OR($O376&lt;W$387,$O376&gt;W$388),"",IFERROR(IF($O376=W$387,100,W375)*INDEX($B$2:$B$428,MATCH($O376,$A$2:$A$428,0))/INDEX($B$2:$B$428,MATCH($O376,$A$2:$A$428,0)-1),""))</f>
        <v/>
      </c>
      <c r="X376" s="19" cm="1">
        <f t="array" ref="X376">IF(OR($O376&lt;X$387,$O376&gt;X$388),"",IFERROR(IF($O376=X$387,100,X375)*INDEX($B$2:$B$428,MATCH($O376,$A$2:$A$428,0))/INDEX($B$2:$B$428,MATCH($O376,$A$2:$A$428,0)-1),""))</f>
        <v>159.17006772908087</v>
      </c>
      <c r="AA376" s="19"/>
      <c r="AB376" s="19"/>
      <c r="AC376" s="19"/>
      <c r="AD376" s="19"/>
      <c r="AE376" s="19"/>
      <c r="AF376" s="19"/>
      <c r="AG376" s="19"/>
      <c r="AH376" s="19"/>
      <c r="AJ376" s="11">
        <v>44256</v>
      </c>
      <c r="AK376">
        <v>7898172.5999999996</v>
      </c>
      <c r="AL376" s="26">
        <f t="shared" si="42"/>
        <v>0.9587251334568202</v>
      </c>
    </row>
    <row r="377" spans="1:38" x14ac:dyDescent="0.3">
      <c r="A377" s="11">
        <v>44652</v>
      </c>
      <c r="B377" s="18">
        <v>4367678.16</v>
      </c>
      <c r="C377" s="18">
        <v>5298813.4800000004</v>
      </c>
      <c r="D377" s="18">
        <v>8013025.7800000003</v>
      </c>
      <c r="E377" s="11">
        <f t="shared" si="37"/>
        <v>44652</v>
      </c>
      <c r="F377" s="9">
        <f t="shared" si="39"/>
        <v>0.1879843791716731</v>
      </c>
      <c r="G377" s="9">
        <f t="shared" si="40"/>
        <v>5.5810171377293161E-2</v>
      </c>
      <c r="H377" s="9">
        <f t="shared" si="41"/>
        <v>7.8647850711353273E-2</v>
      </c>
      <c r="I377" s="11">
        <f t="shared" si="38"/>
        <v>44652</v>
      </c>
      <c r="O377" s="11">
        <v>46113</v>
      </c>
      <c r="P377" s="19" t="str" cm="1">
        <f t="array" ref="P377">IF(OR($O377&lt;P$387,$O377&gt;P$388),"",IFERROR(IF($O377=P$387,100,P376)*INDEX($B$2:$B$428,MATCH($O377,$A$2:$A$428,0))/INDEX($B$2:$B$428,MATCH($O377,$A$2:$A$428,0)-1),""))</f>
        <v/>
      </c>
      <c r="Q377" s="19" t="str" cm="1">
        <f t="array" ref="Q377">IF(OR($O377&lt;Q$387,$O377&gt;Q$388),"",IFERROR(IF($O377=Q$387,100,Q376)*INDEX($B$2:$B$428,MATCH($O377,$A$2:$A$428,0))/INDEX($B$2:$B$428,MATCH($O377,$A$2:$A$428,0)-1),""))</f>
        <v/>
      </c>
      <c r="R377" s="19" t="str" cm="1">
        <f t="array" ref="R377">IF(OR($O377&lt;R$387,$O377&gt;R$388),"",IFERROR(IF($O377=R$387,100,R376)*INDEX($B$2:$B$428,MATCH($O377,$A$2:$A$428,0))/INDEX($B$2:$B$428,MATCH($O377,$A$2:$A$428,0)-1),""))</f>
        <v/>
      </c>
      <c r="S377" s="19" t="str" cm="1">
        <f t="array" ref="S377">IF(OR($O377&lt;S$387,$O377&gt;S$388),"",IFERROR(IF($O377=S$387,100,S376)*INDEX($B$2:$B$428,MATCH($O377,$A$2:$A$428,0))/INDEX($B$2:$B$428,MATCH($O377,$A$2:$A$428,0)-1),""))</f>
        <v/>
      </c>
      <c r="T377" s="19" t="str" cm="1">
        <f t="array" ref="T377">IF(OR($O377&lt;T$387,$O377&gt;T$388),"",IFERROR(IF($O377=T$387,100,T376)*INDEX($B$2:$B$428,MATCH($O377,$A$2:$A$428,0))/INDEX($B$2:$B$428,MATCH($O377,$A$2:$A$428,0)-1),""))</f>
        <v/>
      </c>
      <c r="U377" s="19" t="str" cm="1">
        <f t="array" ref="U377">IF(OR($O377&lt;U$387,$O377&gt;U$388),"",IFERROR(IF($O377=U$387,100,U376)*INDEX($B$2:$B$428,MATCH($O377,$A$2:$A$428,0))/INDEX($B$2:$B$428,MATCH($O377,$A$2:$A$428,0)-1),""))</f>
        <v/>
      </c>
      <c r="V377" s="19" t="str" cm="1">
        <f t="array" ref="V377">IF(OR($O377&lt;V$387,$O377&gt;V$388),"",IFERROR(IF($O377=V$387,100,V376)*INDEX($B$2:$B$428,MATCH($O377,$A$2:$A$428,0))/INDEX($B$2:$B$428,MATCH($O377,$A$2:$A$428,0)-1),""))</f>
        <v/>
      </c>
      <c r="W377" s="19" t="str" cm="1">
        <f t="array" ref="W377">IF(OR($O377&lt;W$387,$O377&gt;W$388),"",IFERROR(IF($O377=W$387,100,W376)*INDEX($B$2:$B$428,MATCH($O377,$A$2:$A$428,0))/INDEX($B$2:$B$428,MATCH($O377,$A$2:$A$428,0)-1),""))</f>
        <v/>
      </c>
      <c r="X377" s="19" cm="1">
        <f t="array" ref="X377">IF(OR($O377&lt;X$387,$O377&gt;X$388),"",IFERROR(IF($O377=X$387,100,X376)*INDEX($B$2:$B$428,MATCH($O377,$A$2:$A$428,0))/INDEX($B$2:$B$428,MATCH($O377,$A$2:$A$428,0)-1),""))</f>
        <v>161.46126002604595</v>
      </c>
      <c r="AA377" s="19"/>
      <c r="AB377" s="19"/>
      <c r="AC377" s="19"/>
      <c r="AD377" s="19"/>
      <c r="AE377" s="19"/>
      <c r="AF377" s="19"/>
      <c r="AG377" s="19"/>
      <c r="AH377" s="19"/>
      <c r="AJ377" s="11">
        <v>44287</v>
      </c>
      <c r="AK377">
        <v>8067825.5999999996</v>
      </c>
      <c r="AL377" s="26">
        <f t="shared" si="42"/>
        <v>0.92078949500346163</v>
      </c>
    </row>
    <row r="378" spans="1:38" x14ac:dyDescent="0.3">
      <c r="A378" s="11">
        <v>44682</v>
      </c>
      <c r="B378" s="18">
        <v>4486942.7199999997</v>
      </c>
      <c r="C378" s="18">
        <v>5365999.75</v>
      </c>
      <c r="D378" s="18">
        <v>8127141.7800000003</v>
      </c>
      <c r="E378" s="11">
        <f t="shared" si="37"/>
        <v>44682</v>
      </c>
      <c r="F378" s="9">
        <f t="shared" si="39"/>
        <v>0.19289051994903961</v>
      </c>
      <c r="G378" s="9">
        <f t="shared" si="40"/>
        <v>6.179900633812907E-2</v>
      </c>
      <c r="H378" s="9">
        <f t="shared" si="41"/>
        <v>8.2519975907977328E-2</v>
      </c>
      <c r="I378" s="11">
        <f t="shared" si="38"/>
        <v>44682</v>
      </c>
      <c r="O378" s="11">
        <v>46143</v>
      </c>
      <c r="P378" s="19" t="str" cm="1">
        <f t="array" ref="P378">IF(OR($O378&lt;P$387,$O378&gt;P$388),"",IFERROR(IF($O378=P$387,100,P377)*INDEX($B$2:$B$428,MATCH($O378,$A$2:$A$428,0))/INDEX($B$2:$B$428,MATCH($O378,$A$2:$A$428,0)-1),""))</f>
        <v/>
      </c>
      <c r="Q378" s="19" t="str" cm="1">
        <f t="array" ref="Q378">IF(OR($O378&lt;Q$387,$O378&gt;Q$388),"",IFERROR(IF($O378=Q$387,100,Q377)*INDEX($B$2:$B$428,MATCH($O378,$A$2:$A$428,0))/INDEX($B$2:$B$428,MATCH($O378,$A$2:$A$428,0)-1),""))</f>
        <v/>
      </c>
      <c r="R378" s="19" t="str" cm="1">
        <f t="array" ref="R378">IF(OR($O378&lt;R$387,$O378&gt;R$388),"",IFERROR(IF($O378=R$387,100,R377)*INDEX($B$2:$B$428,MATCH($O378,$A$2:$A$428,0))/INDEX($B$2:$B$428,MATCH($O378,$A$2:$A$428,0)-1),""))</f>
        <v/>
      </c>
      <c r="S378" s="19" t="str" cm="1">
        <f t="array" ref="S378">IF(OR($O378&lt;S$387,$O378&gt;S$388),"",IFERROR(IF($O378=S$387,100,S377)*INDEX($B$2:$B$428,MATCH($O378,$A$2:$A$428,0))/INDEX($B$2:$B$428,MATCH($O378,$A$2:$A$428,0)-1),""))</f>
        <v/>
      </c>
      <c r="T378" s="19" t="str" cm="1">
        <f t="array" ref="T378">IF(OR($O378&lt;T$387,$O378&gt;T$388),"",IFERROR(IF($O378=T$387,100,T377)*INDEX($B$2:$B$428,MATCH($O378,$A$2:$A$428,0))/INDEX($B$2:$B$428,MATCH($O378,$A$2:$A$428,0)-1),""))</f>
        <v/>
      </c>
      <c r="U378" s="19" t="str" cm="1">
        <f t="array" ref="U378">IF(OR($O378&lt;U$387,$O378&gt;U$388),"",IFERROR(IF($O378=U$387,100,U377)*INDEX($B$2:$B$428,MATCH($O378,$A$2:$A$428,0))/INDEX($B$2:$B$428,MATCH($O378,$A$2:$A$428,0)-1),""))</f>
        <v/>
      </c>
      <c r="V378" s="19" t="str" cm="1">
        <f t="array" ref="V378">IF(OR($O378&lt;V$387,$O378&gt;V$388),"",IFERROR(IF($O378=V$387,100,V377)*INDEX($B$2:$B$428,MATCH($O378,$A$2:$A$428,0))/INDEX($B$2:$B$428,MATCH($O378,$A$2:$A$428,0)-1),""))</f>
        <v/>
      </c>
      <c r="W378" s="19" t="str" cm="1">
        <f t="array" ref="W378">IF(OR($O378&lt;W$387,$O378&gt;W$388),"",IFERROR(IF($O378=W$387,100,W377)*INDEX($B$2:$B$428,MATCH($O378,$A$2:$A$428,0))/INDEX($B$2:$B$428,MATCH($O378,$A$2:$A$428,0)-1),""))</f>
        <v/>
      </c>
      <c r="X378" s="19" cm="1">
        <f t="array" ref="X378">IF(OR($O378&lt;X$387,$O378&gt;X$388),"",IFERROR(IF($O378=X$387,100,X377)*INDEX($B$2:$B$428,MATCH($O378,$A$2:$A$428,0))/INDEX($B$2:$B$428,MATCH($O378,$A$2:$A$428,0)-1),""))</f>
        <v>164.28116639289897</v>
      </c>
      <c r="AA378" s="19"/>
      <c r="AB378" s="19"/>
      <c r="AC378" s="19"/>
      <c r="AD378" s="19"/>
      <c r="AE378" s="19"/>
      <c r="AF378" s="19"/>
      <c r="AG378" s="19"/>
      <c r="AH378" s="19"/>
      <c r="AJ378" s="11">
        <v>44317</v>
      </c>
      <c r="AK378">
        <v>8221925</v>
      </c>
      <c r="AL378" s="26">
        <f t="shared" si="42"/>
        <v>0.91312115836619767</v>
      </c>
    </row>
    <row r="379" spans="1:38" x14ac:dyDescent="0.3">
      <c r="A379" s="11">
        <v>44713</v>
      </c>
      <c r="B379" s="18">
        <v>4438375.34</v>
      </c>
      <c r="C379" s="18">
        <v>5433693.2800000003</v>
      </c>
      <c r="D379" s="18">
        <v>8307536.04</v>
      </c>
      <c r="E379" s="11">
        <f t="shared" si="37"/>
        <v>44713</v>
      </c>
      <c r="F379" s="9">
        <f t="shared" si="39"/>
        <v>0.13077388860944494</v>
      </c>
      <c r="G379" s="9">
        <f t="shared" si="40"/>
        <v>5.8492031897566354E-2</v>
      </c>
      <c r="H379" s="9">
        <f t="shared" si="41"/>
        <v>8.3117738753791803E-2</v>
      </c>
      <c r="I379" s="11">
        <f t="shared" si="38"/>
        <v>44713</v>
      </c>
      <c r="O379" s="11">
        <v>46174</v>
      </c>
      <c r="P379" s="19" t="str" cm="1">
        <f t="array" ref="P379">IF(OR($O379&lt;P$387,$O379&gt;P$388),"",IFERROR(IF($O379=P$387,100,P378)*INDEX($B$2:$B$428,MATCH($O379,$A$2:$A$428,0))/INDEX($B$2:$B$428,MATCH($O379,$A$2:$A$428,0)-1),""))</f>
        <v/>
      </c>
      <c r="Q379" s="19" t="str" cm="1">
        <f t="array" ref="Q379">IF(OR($O379&lt;Q$387,$O379&gt;Q$388),"",IFERROR(IF($O379=Q$387,100,Q378)*INDEX($B$2:$B$428,MATCH($O379,$A$2:$A$428,0))/INDEX($B$2:$B$428,MATCH($O379,$A$2:$A$428,0)-1),""))</f>
        <v/>
      </c>
      <c r="R379" s="19" t="str" cm="1">
        <f t="array" ref="R379">IF(OR($O379&lt;R$387,$O379&gt;R$388),"",IFERROR(IF($O379=R$387,100,R378)*INDEX($B$2:$B$428,MATCH($O379,$A$2:$A$428,0))/INDEX($B$2:$B$428,MATCH($O379,$A$2:$A$428,0)-1),""))</f>
        <v/>
      </c>
      <c r="S379" s="19" t="str" cm="1">
        <f t="array" ref="S379">IF(OR($O379&lt;S$387,$O379&gt;S$388),"",IFERROR(IF($O379=S$387,100,S378)*INDEX($B$2:$B$428,MATCH($O379,$A$2:$A$428,0))/INDEX($B$2:$B$428,MATCH($O379,$A$2:$A$428,0)-1),""))</f>
        <v/>
      </c>
      <c r="T379" s="19" t="str" cm="1">
        <f t="array" ref="T379">IF(OR($O379&lt;T$387,$O379&gt;T$388),"",IFERROR(IF($O379=T$387,100,T378)*INDEX($B$2:$B$428,MATCH($O379,$A$2:$A$428,0))/INDEX($B$2:$B$428,MATCH($O379,$A$2:$A$428,0)-1),""))</f>
        <v/>
      </c>
      <c r="U379" s="19" t="str" cm="1">
        <f t="array" ref="U379">IF(OR($O379&lt;U$387,$O379&gt;U$388),"",IFERROR(IF($O379=U$387,100,U378)*INDEX($B$2:$B$428,MATCH($O379,$A$2:$A$428,0))/INDEX($B$2:$B$428,MATCH($O379,$A$2:$A$428,0)-1),""))</f>
        <v/>
      </c>
      <c r="V379" s="19" t="str" cm="1">
        <f t="array" ref="V379">IF(OR($O379&lt;V$387,$O379&gt;V$388),"",IFERROR(IF($O379=V$387,100,V378)*INDEX($B$2:$B$428,MATCH($O379,$A$2:$A$428,0))/INDEX($B$2:$B$428,MATCH($O379,$A$2:$A$428,0)-1),""))</f>
        <v/>
      </c>
      <c r="W379" s="19" t="str" cm="1">
        <f t="array" ref="W379">IF(OR($O379&lt;W$387,$O379&gt;W$388),"",IFERROR(IF($O379=W$387,100,W378)*INDEX($B$2:$B$428,MATCH($O379,$A$2:$A$428,0))/INDEX($B$2:$B$428,MATCH($O379,$A$2:$A$428,0)-1),""))</f>
        <v/>
      </c>
      <c r="X379" s="19" cm="1">
        <f t="array" ref="X379">IF(OR($O379&lt;X$387,$O379&gt;X$388),"",IFERROR(IF($O379=X$387,100,X378)*INDEX($B$2:$B$428,MATCH($O379,$A$2:$A$428,0))/INDEX($B$2:$B$428,MATCH($O379,$A$2:$A$428,0)-1),""))</f>
        <v>167.07317440436339</v>
      </c>
      <c r="AA379" s="19"/>
      <c r="AB379" s="19"/>
      <c r="AC379" s="19"/>
      <c r="AD379" s="19"/>
      <c r="AE379" s="19"/>
      <c r="AF379" s="19"/>
      <c r="AG379" s="19"/>
      <c r="AH379" s="19"/>
      <c r="AJ379" s="11">
        <v>44348</v>
      </c>
      <c r="AK379">
        <v>8349087.7000000002</v>
      </c>
      <c r="AL379" s="26">
        <f t="shared" si="42"/>
        <v>0.91866578668229815</v>
      </c>
    </row>
    <row r="380" spans="1:38" x14ac:dyDescent="0.3">
      <c r="A380" s="11">
        <v>44743</v>
      </c>
      <c r="B380" s="18">
        <v>4451428.12</v>
      </c>
      <c r="C380" s="18">
        <v>5445972.4900000002</v>
      </c>
      <c r="D380" s="18">
        <v>8249437.3600000003</v>
      </c>
      <c r="E380" s="11">
        <f t="shared" si="37"/>
        <v>44743</v>
      </c>
      <c r="F380" s="9">
        <f t="shared" si="39"/>
        <v>0.1293165505110172</v>
      </c>
      <c r="G380" s="9">
        <f t="shared" si="40"/>
        <v>4.9094998617175811E-2</v>
      </c>
      <c r="H380" s="9">
        <f t="shared" si="41"/>
        <v>6.9343546691936764E-2</v>
      </c>
      <c r="I380" s="11">
        <f t="shared" si="38"/>
        <v>44743</v>
      </c>
      <c r="O380" s="11">
        <v>46204</v>
      </c>
      <c r="P380" s="19" t="str" cm="1">
        <f t="array" ref="P380">IF(OR($O380&lt;P$387,$O380&gt;P$388),"",IFERROR(IF($O380=P$387,100,P379)*INDEX($B$2:$B$428,MATCH($O380,$A$2:$A$428,0))/INDEX($B$2:$B$428,MATCH($O380,$A$2:$A$428,0)-1),""))</f>
        <v/>
      </c>
      <c r="Q380" s="19" t="str" cm="1">
        <f t="array" ref="Q380">IF(OR($O380&lt;Q$387,$O380&gt;Q$388),"",IFERROR(IF($O380=Q$387,100,Q379)*INDEX($B$2:$B$428,MATCH($O380,$A$2:$A$428,0))/INDEX($B$2:$B$428,MATCH($O380,$A$2:$A$428,0)-1),""))</f>
        <v/>
      </c>
      <c r="R380" s="19" t="str" cm="1">
        <f t="array" ref="R380">IF(OR($O380&lt;R$387,$O380&gt;R$388),"",IFERROR(IF($O380=R$387,100,R379)*INDEX($B$2:$B$428,MATCH($O380,$A$2:$A$428,0))/INDEX($B$2:$B$428,MATCH($O380,$A$2:$A$428,0)-1),""))</f>
        <v/>
      </c>
      <c r="S380" s="19" t="str" cm="1">
        <f t="array" ref="S380">IF(OR($O380&lt;S$387,$O380&gt;S$388),"",IFERROR(IF($O380=S$387,100,S379)*INDEX($B$2:$B$428,MATCH($O380,$A$2:$A$428,0))/INDEX($B$2:$B$428,MATCH($O380,$A$2:$A$428,0)-1),""))</f>
        <v/>
      </c>
      <c r="T380" s="19" t="str" cm="1">
        <f t="array" ref="T380">IF(OR($O380&lt;T$387,$O380&gt;T$388),"",IFERROR(IF($O380=T$387,100,T379)*INDEX($B$2:$B$428,MATCH($O380,$A$2:$A$428,0))/INDEX($B$2:$B$428,MATCH($O380,$A$2:$A$428,0)-1),""))</f>
        <v/>
      </c>
      <c r="U380" s="19" t="str" cm="1">
        <f t="array" ref="U380">IF(OR($O380&lt;U$387,$O380&gt;U$388),"",IFERROR(IF($O380=U$387,100,U379)*INDEX($B$2:$B$428,MATCH($O380,$A$2:$A$428,0))/INDEX($B$2:$B$428,MATCH($O380,$A$2:$A$428,0)-1),""))</f>
        <v/>
      </c>
      <c r="V380" s="19" t="str" cm="1">
        <f t="array" ref="V380">IF(OR($O380&lt;V$387,$O380&gt;V$388),"",IFERROR(IF($O380=V$387,100,V379)*INDEX($B$2:$B$428,MATCH($O380,$A$2:$A$428,0))/INDEX($B$2:$B$428,MATCH($O380,$A$2:$A$428,0)-1),""))</f>
        <v/>
      </c>
      <c r="W380" s="19" t="str" cm="1">
        <f t="array" ref="W380">IF(OR($O380&lt;W$387,$O380&gt;W$388),"",IFERROR(IF($O380=W$387,100,W379)*INDEX($B$2:$B$428,MATCH($O380,$A$2:$A$428,0))/INDEX($B$2:$B$428,MATCH($O380,$A$2:$A$428,0)-1),""))</f>
        <v/>
      </c>
      <c r="X380" s="19" cm="1">
        <f t="array" ref="X380">IF(OR($O380&lt;X$387,$O380&gt;X$388),"",IFERROR(IF($O380=X$387,100,X379)*INDEX($B$2:$B$428,MATCH($O380,$A$2:$A$428,0))/INDEX($B$2:$B$428,MATCH($O380,$A$2:$A$428,0)-1),""))</f>
        <v>169.59019790830732</v>
      </c>
      <c r="AA380" s="19"/>
      <c r="AB380" s="19"/>
      <c r="AC380" s="19"/>
      <c r="AD380" s="19"/>
      <c r="AE380" s="19"/>
      <c r="AF380" s="19"/>
      <c r="AG380" s="19"/>
      <c r="AH380" s="19"/>
      <c r="AJ380" s="11">
        <v>44378</v>
      </c>
      <c r="AK380">
        <v>8470620.6999999993</v>
      </c>
      <c r="AL380" s="26">
        <f t="shared" si="42"/>
        <v>0.91073461003867184</v>
      </c>
    </row>
    <row r="381" spans="1:38" x14ac:dyDescent="0.3">
      <c r="A381" s="11">
        <v>44774</v>
      </c>
      <c r="B381" s="18">
        <v>4568659.5</v>
      </c>
      <c r="C381" s="18">
        <v>5511893.4800000004</v>
      </c>
      <c r="D381" s="18">
        <v>8217814.2699999996</v>
      </c>
      <c r="E381" s="11">
        <f t="shared" si="37"/>
        <v>44774</v>
      </c>
      <c r="F381" s="9">
        <f t="shared" si="39"/>
        <v>0.14344508755447682</v>
      </c>
      <c r="G381" s="9">
        <f t="shared" si="40"/>
        <v>5.7426527814748551E-2</v>
      </c>
      <c r="H381" s="9">
        <f t="shared" si="41"/>
        <v>5.2709667455168363E-2</v>
      </c>
      <c r="I381" s="11">
        <f t="shared" si="38"/>
        <v>44774</v>
      </c>
      <c r="O381" s="11">
        <v>46235</v>
      </c>
      <c r="P381" s="19" t="str" cm="1">
        <f t="array" ref="P381">IF(OR($O381&lt;P$387,$O381&gt;P$388),"",IFERROR(IF($O381=P$387,100,P380)*INDEX($B$2:$B$428,MATCH($O381,$A$2:$A$428,0))/INDEX($B$2:$B$428,MATCH($O381,$A$2:$A$428,0)-1),""))</f>
        <v/>
      </c>
      <c r="Q381" s="19" t="str" cm="1">
        <f t="array" ref="Q381">IF(OR($O381&lt;Q$387,$O381&gt;Q$388),"",IFERROR(IF($O381=Q$387,100,Q380)*INDEX($B$2:$B$428,MATCH($O381,$A$2:$A$428,0))/INDEX($B$2:$B$428,MATCH($O381,$A$2:$A$428,0)-1),""))</f>
        <v/>
      </c>
      <c r="R381" s="19" t="str" cm="1">
        <f t="array" ref="R381">IF(OR($O381&lt;R$387,$O381&gt;R$388),"",IFERROR(IF($O381=R$387,100,R380)*INDEX($B$2:$B$428,MATCH($O381,$A$2:$A$428,0))/INDEX($B$2:$B$428,MATCH($O381,$A$2:$A$428,0)-1),""))</f>
        <v/>
      </c>
      <c r="S381" s="19" t="str" cm="1">
        <f t="array" ref="S381">IF(OR($O381&lt;S$387,$O381&gt;S$388),"",IFERROR(IF($O381=S$387,100,S380)*INDEX($B$2:$B$428,MATCH($O381,$A$2:$A$428,0))/INDEX($B$2:$B$428,MATCH($O381,$A$2:$A$428,0)-1),""))</f>
        <v/>
      </c>
      <c r="T381" s="19" t="str" cm="1">
        <f t="array" ref="T381">IF(OR($O381&lt;T$387,$O381&gt;T$388),"",IFERROR(IF($O381=T$387,100,T380)*INDEX($B$2:$B$428,MATCH($O381,$A$2:$A$428,0))/INDEX($B$2:$B$428,MATCH($O381,$A$2:$A$428,0)-1),""))</f>
        <v/>
      </c>
      <c r="U381" s="19" t="str" cm="1">
        <f t="array" ref="U381">IF(OR($O381&lt;U$387,$O381&gt;U$388),"",IFERROR(IF($O381=U$387,100,U380)*INDEX($B$2:$B$428,MATCH($O381,$A$2:$A$428,0))/INDEX($B$2:$B$428,MATCH($O381,$A$2:$A$428,0)-1),""))</f>
        <v/>
      </c>
      <c r="V381" s="19" t="str" cm="1">
        <f t="array" ref="V381">IF(OR($O381&lt;V$387,$O381&gt;V$388),"",IFERROR(IF($O381=V$387,100,V380)*INDEX($B$2:$B$428,MATCH($O381,$A$2:$A$428,0))/INDEX($B$2:$B$428,MATCH($O381,$A$2:$A$428,0)-1),""))</f>
        <v/>
      </c>
      <c r="W381" s="19" t="str" cm="1">
        <f t="array" ref="W381">IF(OR($O381&lt;W$387,$O381&gt;W$388),"",IFERROR(IF($O381=W$387,100,W380)*INDEX($B$2:$B$428,MATCH($O381,$A$2:$A$428,0))/INDEX($B$2:$B$428,MATCH($O381,$A$2:$A$428,0)-1),""))</f>
        <v/>
      </c>
      <c r="X381" s="19" t="str" cm="1">
        <f t="array" ref="X381">IF(OR($O381&lt;X$387,$O381&gt;X$388),"",IFERROR(IF($O381=X$387,100,X380)*INDEX($B$2:$B$428,MATCH($O381,$A$2:$A$428,0))/INDEX($B$2:$B$428,MATCH($O381,$A$2:$A$428,0)-1),""))</f>
        <v/>
      </c>
      <c r="AA381" s="19"/>
      <c r="AB381" s="19"/>
      <c r="AC381" s="19"/>
      <c r="AD381" s="19"/>
      <c r="AE381" s="19"/>
      <c r="AF381" s="19"/>
      <c r="AG381" s="19"/>
      <c r="AH381" s="19"/>
      <c r="AJ381" s="11">
        <v>44409</v>
      </c>
      <c r="AK381">
        <v>8600772.5</v>
      </c>
      <c r="AL381" s="26">
        <f t="shared" si="42"/>
        <v>0.90763294227349933</v>
      </c>
    </row>
    <row r="382" spans="1:38" x14ac:dyDescent="0.3">
      <c r="A382" s="11">
        <v>44805</v>
      </c>
      <c r="B382" s="18">
        <v>4604298.2699999996</v>
      </c>
      <c r="C382" s="18">
        <v>5551325.2000000002</v>
      </c>
      <c r="D382" s="18">
        <v>8146392.6900000004</v>
      </c>
      <c r="E382" s="11">
        <f t="shared" si="37"/>
        <v>44805</v>
      </c>
      <c r="F382" s="9">
        <f t="shared" si="39"/>
        <v>0.15993450099865036</v>
      </c>
      <c r="G382" s="9">
        <f t="shared" si="40"/>
        <v>5.4813506615010832E-2</v>
      </c>
      <c r="H382" s="9">
        <f t="shared" si="41"/>
        <v>4.6465999232098598E-2</v>
      </c>
      <c r="I382" s="11">
        <f t="shared" si="38"/>
        <v>44805</v>
      </c>
      <c r="O382" s="11">
        <v>46266</v>
      </c>
      <c r="P382" s="19" t="str" cm="1">
        <f t="array" ref="P382">IF(OR($O382&lt;P$387,$O382&gt;P$388),"",IFERROR(IF($O382=P$387,100,P381)*INDEX($B$2:$B$428,MATCH($O382,$A$2:$A$428,0))/INDEX($B$2:$B$428,MATCH($O382,$A$2:$A$428,0)-1),""))</f>
        <v/>
      </c>
      <c r="Q382" s="19" t="str" cm="1">
        <f t="array" ref="Q382">IF(OR($O382&lt;Q$387,$O382&gt;Q$388),"",IFERROR(IF($O382=Q$387,100,Q381)*INDEX($B$2:$B$428,MATCH($O382,$A$2:$A$428,0))/INDEX($B$2:$B$428,MATCH($O382,$A$2:$A$428,0)-1),""))</f>
        <v/>
      </c>
      <c r="R382" s="19" t="str" cm="1">
        <f t="array" ref="R382">IF(OR($O382&lt;R$387,$O382&gt;R$388),"",IFERROR(IF($O382=R$387,100,R381)*INDEX($B$2:$B$428,MATCH($O382,$A$2:$A$428,0))/INDEX($B$2:$B$428,MATCH($O382,$A$2:$A$428,0)-1),""))</f>
        <v/>
      </c>
      <c r="S382" s="19" t="str" cm="1">
        <f t="array" ref="S382">IF(OR($O382&lt;S$387,$O382&gt;S$388),"",IFERROR(IF($O382=S$387,100,S381)*INDEX($B$2:$B$428,MATCH($O382,$A$2:$A$428,0))/INDEX($B$2:$B$428,MATCH($O382,$A$2:$A$428,0)-1),""))</f>
        <v/>
      </c>
      <c r="T382" s="19" t="str" cm="1">
        <f t="array" ref="T382">IF(OR($O382&lt;T$387,$O382&gt;T$388),"",IFERROR(IF($O382=T$387,100,T381)*INDEX($B$2:$B$428,MATCH($O382,$A$2:$A$428,0))/INDEX($B$2:$B$428,MATCH($O382,$A$2:$A$428,0)-1),""))</f>
        <v/>
      </c>
      <c r="U382" s="19" t="str" cm="1">
        <f t="array" ref="U382">IF(OR($O382&lt;U$387,$O382&gt;U$388),"",IFERROR(IF($O382=U$387,100,U381)*INDEX($B$2:$B$428,MATCH($O382,$A$2:$A$428,0))/INDEX($B$2:$B$428,MATCH($O382,$A$2:$A$428,0)-1),""))</f>
        <v/>
      </c>
      <c r="V382" s="19" t="str" cm="1">
        <f t="array" ref="V382">IF(OR($O382&lt;V$387,$O382&gt;V$388),"",IFERROR(IF($O382=V$387,100,V381)*INDEX($B$2:$B$428,MATCH($O382,$A$2:$A$428,0))/INDEX($B$2:$B$428,MATCH($O382,$A$2:$A$428,0)-1),""))</f>
        <v/>
      </c>
      <c r="W382" s="19" t="str" cm="1">
        <f t="array" ref="W382">IF(OR($O382&lt;W$387,$O382&gt;W$388),"",IFERROR(IF($O382=W$387,100,W381)*INDEX($B$2:$B$428,MATCH($O382,$A$2:$A$428,0))/INDEX($B$2:$B$428,MATCH($O382,$A$2:$A$428,0)-1),""))</f>
        <v/>
      </c>
      <c r="X382" s="19" t="str" cm="1">
        <f t="array" ref="X382">IF(OR($O382&lt;X$387,$O382&gt;X$388),"",IFERROR(IF($O382=X$387,100,X381)*INDEX($B$2:$B$428,MATCH($O382,$A$2:$A$428,0))/INDEX($B$2:$B$428,MATCH($O382,$A$2:$A$428,0)-1),""))</f>
        <v/>
      </c>
      <c r="AA382" s="19"/>
      <c r="AB382" s="19"/>
      <c r="AC382" s="19"/>
      <c r="AD382" s="19"/>
      <c r="AE382" s="19"/>
      <c r="AF382" s="19"/>
      <c r="AG382" s="19"/>
      <c r="AH382" s="19"/>
      <c r="AJ382" s="11">
        <v>44440</v>
      </c>
      <c r="AK382">
        <v>8715615.4000000004</v>
      </c>
      <c r="AL382" s="26">
        <f t="shared" si="42"/>
        <v>0.89318652243420471</v>
      </c>
    </row>
    <row r="383" spans="1:38" x14ac:dyDescent="0.3">
      <c r="A383" s="11">
        <v>44835</v>
      </c>
      <c r="B383" s="18">
        <v>4654732.93</v>
      </c>
      <c r="C383" s="18">
        <v>5556504.2699999996</v>
      </c>
      <c r="D383" s="18">
        <v>8198910.1900000004</v>
      </c>
      <c r="E383" s="11">
        <f t="shared" si="37"/>
        <v>44835</v>
      </c>
      <c r="F383" s="9">
        <f t="shared" si="39"/>
        <v>0.18183832858028071</v>
      </c>
      <c r="G383" s="9">
        <f t="shared" si="40"/>
        <v>5.0433827230372597E-2</v>
      </c>
      <c r="H383" s="9">
        <f t="shared" si="41"/>
        <v>5.8585859955238906E-2</v>
      </c>
      <c r="I383" s="11">
        <f t="shared" si="38"/>
        <v>44835</v>
      </c>
      <c r="O383" s="11">
        <v>46296</v>
      </c>
      <c r="P383" s="19" t="str" cm="1">
        <f t="array" ref="P383">IF(OR($O383&lt;P$387,$O383&gt;P$388),"",IFERROR(IF($O383=P$387,100,P382)*INDEX($B$2:$B$428,MATCH($O383,$A$2:$A$428,0))/INDEX($B$2:$B$428,MATCH($O383,$A$2:$A$428,0)-1),""))</f>
        <v/>
      </c>
      <c r="Q383" s="19" t="str" cm="1">
        <f t="array" ref="Q383">IF(OR($O383&lt;Q$387,$O383&gt;Q$388),"",IFERROR(IF($O383=Q$387,100,Q382)*INDEX($B$2:$B$428,MATCH($O383,$A$2:$A$428,0))/INDEX($B$2:$B$428,MATCH($O383,$A$2:$A$428,0)-1),""))</f>
        <v/>
      </c>
      <c r="R383" s="19" t="str" cm="1">
        <f t="array" ref="R383">IF(OR($O383&lt;R$387,$O383&gt;R$388),"",IFERROR(IF($O383=R$387,100,R382)*INDEX($B$2:$B$428,MATCH($O383,$A$2:$A$428,0))/INDEX($B$2:$B$428,MATCH($O383,$A$2:$A$428,0)-1),""))</f>
        <v/>
      </c>
      <c r="S383" s="19" t="str" cm="1">
        <f t="array" ref="S383">IF(OR($O383&lt;S$387,$O383&gt;S$388),"",IFERROR(IF($O383=S$387,100,S382)*INDEX($B$2:$B$428,MATCH($O383,$A$2:$A$428,0))/INDEX($B$2:$B$428,MATCH($O383,$A$2:$A$428,0)-1),""))</f>
        <v/>
      </c>
      <c r="T383" s="19" t="str" cm="1">
        <f t="array" ref="T383">IF(OR($O383&lt;T$387,$O383&gt;T$388),"",IFERROR(IF($O383=T$387,100,T382)*INDEX($B$2:$B$428,MATCH($O383,$A$2:$A$428,0))/INDEX($B$2:$B$428,MATCH($O383,$A$2:$A$428,0)-1),""))</f>
        <v/>
      </c>
      <c r="U383" s="19" t="str" cm="1">
        <f t="array" ref="U383">IF(OR($O383&lt;U$387,$O383&gt;U$388),"",IFERROR(IF($O383=U$387,100,U382)*INDEX($B$2:$B$428,MATCH($O383,$A$2:$A$428,0))/INDEX($B$2:$B$428,MATCH($O383,$A$2:$A$428,0)-1),""))</f>
        <v/>
      </c>
      <c r="V383" s="19" t="str" cm="1">
        <f t="array" ref="V383">IF(OR($O383&lt;V$387,$O383&gt;V$388),"",IFERROR(IF($O383=V$387,100,V382)*INDEX($B$2:$B$428,MATCH($O383,$A$2:$A$428,0))/INDEX($B$2:$B$428,MATCH($O383,$A$2:$A$428,0)-1),""))</f>
        <v/>
      </c>
      <c r="W383" s="19" t="str" cm="1">
        <f t="array" ref="W383">IF(OR($O383&lt;W$387,$O383&gt;W$388),"",IFERROR(IF($O383=W$387,100,W382)*INDEX($B$2:$B$428,MATCH($O383,$A$2:$A$428,0))/INDEX($B$2:$B$428,MATCH($O383,$A$2:$A$428,0)-1),""))</f>
        <v/>
      </c>
      <c r="X383" s="19" t="str" cm="1">
        <f t="array" ref="X383">IF(OR($O383&lt;X$387,$O383&gt;X$388),"",IFERROR(IF($O383=X$387,100,X382)*INDEX($B$2:$B$428,MATCH($O383,$A$2:$A$428,0))/INDEX($B$2:$B$428,MATCH($O383,$A$2:$A$428,0)-1),""))</f>
        <v/>
      </c>
      <c r="AA383" s="19"/>
      <c r="AB383" s="19"/>
      <c r="AC383" s="19"/>
      <c r="AD383" s="19"/>
      <c r="AE383" s="19"/>
      <c r="AF383" s="19"/>
      <c r="AG383" s="19"/>
      <c r="AH383" s="19"/>
      <c r="AJ383" s="11">
        <v>44470</v>
      </c>
      <c r="AK383">
        <v>8814068.4000000004</v>
      </c>
      <c r="AL383" s="26">
        <f t="shared" si="42"/>
        <v>0.87872629851613127</v>
      </c>
    </row>
    <row r="384" spans="1:38" x14ac:dyDescent="0.3">
      <c r="A384" s="11">
        <v>44866</v>
      </c>
      <c r="B384" s="18">
        <v>4677264.5199999996</v>
      </c>
      <c r="C384" s="18">
        <v>5629273.9900000002</v>
      </c>
      <c r="D384" s="18">
        <v>8348203.4900000002</v>
      </c>
      <c r="E384" s="11">
        <f t="shared" si="37"/>
        <v>44866</v>
      </c>
      <c r="F384" s="9">
        <f t="shared" si="39"/>
        <v>0.17325245063450123</v>
      </c>
      <c r="G384" s="9">
        <f t="shared" si="40"/>
        <v>5.8830849685785447E-2</v>
      </c>
      <c r="H384" s="9">
        <f t="shared" si="41"/>
        <v>5.9603979619671676E-2</v>
      </c>
      <c r="I384" s="11">
        <f t="shared" si="38"/>
        <v>44866</v>
      </c>
      <c r="O384" s="11">
        <v>46327</v>
      </c>
      <c r="P384" s="19" t="str" cm="1">
        <f t="array" ref="P384">IF(OR($O384&lt;P$387,$O384&gt;P$388),"",IFERROR(IF($O384=P$387,100,P383)*INDEX($B$2:$B$428,MATCH($O384,$A$2:$A$428,0))/INDEX($B$2:$B$428,MATCH($O384,$A$2:$A$428,0)-1),""))</f>
        <v/>
      </c>
      <c r="Q384" s="19" t="str" cm="1">
        <f t="array" ref="Q384">IF(OR($O384&lt;Q$387,$O384&gt;Q$388),"",IFERROR(IF($O384=Q$387,100,Q383)*INDEX($B$2:$B$428,MATCH($O384,$A$2:$A$428,0))/INDEX($B$2:$B$428,MATCH($O384,$A$2:$A$428,0)-1),""))</f>
        <v/>
      </c>
      <c r="R384" s="19" t="str" cm="1">
        <f t="array" ref="R384">IF(OR($O384&lt;R$387,$O384&gt;R$388),"",IFERROR(IF($O384=R$387,100,R383)*INDEX($B$2:$B$428,MATCH($O384,$A$2:$A$428,0))/INDEX($B$2:$B$428,MATCH($O384,$A$2:$A$428,0)-1),""))</f>
        <v/>
      </c>
      <c r="S384" s="19" t="str" cm="1">
        <f t="array" ref="S384">IF(OR($O384&lt;S$387,$O384&gt;S$388),"",IFERROR(IF($O384=S$387,100,S383)*INDEX($B$2:$B$428,MATCH($O384,$A$2:$A$428,0))/INDEX($B$2:$B$428,MATCH($O384,$A$2:$A$428,0)-1),""))</f>
        <v/>
      </c>
      <c r="T384" s="19" t="str" cm="1">
        <f t="array" ref="T384">IF(OR($O384&lt;T$387,$O384&gt;T$388),"",IFERROR(IF($O384=T$387,100,T383)*INDEX($B$2:$B$428,MATCH($O384,$A$2:$A$428,0))/INDEX($B$2:$B$428,MATCH($O384,$A$2:$A$428,0)-1),""))</f>
        <v/>
      </c>
      <c r="U384" s="19" t="str" cm="1">
        <f t="array" ref="U384">IF(OR($O384&lt;U$387,$O384&gt;U$388),"",IFERROR(IF($O384=U$387,100,U383)*INDEX($B$2:$B$428,MATCH($O384,$A$2:$A$428,0))/INDEX($B$2:$B$428,MATCH($O384,$A$2:$A$428,0)-1),""))</f>
        <v/>
      </c>
      <c r="V384" s="19" t="str" cm="1">
        <f t="array" ref="V384">IF(OR($O384&lt;V$387,$O384&gt;V$388),"",IFERROR(IF($O384=V$387,100,V383)*INDEX($B$2:$B$428,MATCH($O384,$A$2:$A$428,0))/INDEX($B$2:$B$428,MATCH($O384,$A$2:$A$428,0)-1),""))</f>
        <v/>
      </c>
      <c r="W384" s="19" t="str" cm="1">
        <f t="array" ref="W384">IF(OR($O384&lt;W$387,$O384&gt;W$388),"",IFERROR(IF($O384=W$387,100,W383)*INDEX($B$2:$B$428,MATCH($O384,$A$2:$A$428,0))/INDEX($B$2:$B$428,MATCH($O384,$A$2:$A$428,0)-1),""))</f>
        <v/>
      </c>
      <c r="X384" s="19" t="str" cm="1">
        <f t="array" ref="X384">IF(OR($O384&lt;X$387,$O384&gt;X$388),"",IFERROR(IF($O384=X$387,100,X383)*INDEX($B$2:$B$428,MATCH($O384,$A$2:$A$428,0))/INDEX($B$2:$B$428,MATCH($O384,$A$2:$A$428,0)-1),""))</f>
        <v/>
      </c>
      <c r="AA384" s="19"/>
      <c r="AB384" s="19"/>
      <c r="AC384" s="19"/>
      <c r="AD384" s="19"/>
      <c r="AE384" s="19"/>
      <c r="AF384" s="19"/>
      <c r="AG384" s="19"/>
      <c r="AH384" s="19"/>
      <c r="AJ384" s="11">
        <v>44501</v>
      </c>
      <c r="AK384">
        <v>8922174.5</v>
      </c>
      <c r="AL384" s="26">
        <f t="shared" si="42"/>
        <v>0.88303665771163753</v>
      </c>
    </row>
    <row r="385" spans="1:47" x14ac:dyDescent="0.3">
      <c r="A385" s="11">
        <v>44896</v>
      </c>
      <c r="B385" s="18">
        <v>4738379.67</v>
      </c>
      <c r="C385" s="18">
        <v>5691840.2199999997</v>
      </c>
      <c r="D385" s="18">
        <v>8460762.6199999992</v>
      </c>
      <c r="E385" s="11">
        <f t="shared" si="37"/>
        <v>44896</v>
      </c>
      <c r="F385" s="9">
        <f t="shared" si="39"/>
        <v>0.17586030671975217</v>
      </c>
      <c r="G385" s="9">
        <f t="shared" si="40"/>
        <v>6.196793215719576E-2</v>
      </c>
      <c r="H385" s="9">
        <f t="shared" si="41"/>
        <v>5.5631467664657874E-2</v>
      </c>
      <c r="I385" s="11">
        <f t="shared" si="38"/>
        <v>44896</v>
      </c>
      <c r="O385" s="11">
        <v>46357</v>
      </c>
      <c r="P385" s="19" t="str" cm="1">
        <f t="array" ref="P385">IF(OR($O385&lt;P$387,$O385&gt;P$388),"",IFERROR(IF($O385=P$387,100,P384)*INDEX($B$2:$B$428,MATCH($O385,$A$2:$A$428,0))/INDEX($B$2:$B$428,MATCH($O385,$A$2:$A$428,0)-1),""))</f>
        <v/>
      </c>
      <c r="Q385" s="19" t="str" cm="1">
        <f t="array" ref="Q385">IF(OR($O385&lt;Q$387,$O385&gt;Q$388),"",IFERROR(IF($O385=Q$387,100,Q384)*INDEX($B$2:$B$428,MATCH($O385,$A$2:$A$428,0))/INDEX($B$2:$B$428,MATCH($O385,$A$2:$A$428,0)-1),""))</f>
        <v/>
      </c>
      <c r="R385" s="19" t="str" cm="1">
        <f t="array" ref="R385">IF(OR($O385&lt;R$387,$O385&gt;R$388),"",IFERROR(IF($O385=R$387,100,R384)*INDEX($B$2:$B$428,MATCH($O385,$A$2:$A$428,0))/INDEX($B$2:$B$428,MATCH($O385,$A$2:$A$428,0)-1),""))</f>
        <v/>
      </c>
      <c r="S385" s="19" t="str" cm="1">
        <f t="array" ref="S385">IF(OR($O385&lt;S$387,$O385&gt;S$388),"",IFERROR(IF($O385=S$387,100,S384)*INDEX($B$2:$B$428,MATCH($O385,$A$2:$A$428,0))/INDEX($B$2:$B$428,MATCH($O385,$A$2:$A$428,0)-1),""))</f>
        <v/>
      </c>
      <c r="T385" s="19" t="str" cm="1">
        <f t="array" ref="T385">IF(OR($O385&lt;T$387,$O385&gt;T$388),"",IFERROR(IF($O385=T$387,100,T384)*INDEX($B$2:$B$428,MATCH($O385,$A$2:$A$428,0))/INDEX($B$2:$B$428,MATCH($O385,$A$2:$A$428,0)-1),""))</f>
        <v/>
      </c>
      <c r="U385" s="19" t="str" cm="1">
        <f t="array" ref="U385">IF(OR($O385&lt;U$387,$O385&gt;U$388),"",IFERROR(IF($O385=U$387,100,U384)*INDEX($B$2:$B$428,MATCH($O385,$A$2:$A$428,0))/INDEX($B$2:$B$428,MATCH($O385,$A$2:$A$428,0)-1),""))</f>
        <v/>
      </c>
      <c r="V385" s="19" t="str" cm="1">
        <f t="array" ref="V385">IF(OR($O385&lt;V$387,$O385&gt;V$388),"",IFERROR(IF($O385=V$387,100,V384)*INDEX($B$2:$B$428,MATCH($O385,$A$2:$A$428,0))/INDEX($B$2:$B$428,MATCH($O385,$A$2:$A$428,0)-1),""))</f>
        <v/>
      </c>
      <c r="W385" s="19" t="str" cm="1">
        <f t="array" ref="W385">IF(OR($O385&lt;W$387,$O385&gt;W$388),"",IFERROR(IF($O385=W$387,100,W384)*INDEX($B$2:$B$428,MATCH($O385,$A$2:$A$428,0))/INDEX($B$2:$B$428,MATCH($O385,$A$2:$A$428,0)-1),""))</f>
        <v/>
      </c>
      <c r="X385" s="19" t="str" cm="1">
        <f t="array" ref="X385">IF(OR($O385&lt;X$387,$O385&gt;X$388),"",IFERROR(IF($O385=X$387,100,X384)*INDEX($B$2:$B$428,MATCH($O385,$A$2:$A$428,0))/INDEX($B$2:$B$428,MATCH($O385,$A$2:$A$428,0)-1),""))</f>
        <v/>
      </c>
      <c r="AA385" s="19"/>
      <c r="AB385" s="19"/>
      <c r="AC385" s="19"/>
      <c r="AD385" s="19"/>
      <c r="AE385" s="19"/>
      <c r="AF385" s="19"/>
      <c r="AG385" s="19"/>
      <c r="AH385" s="19"/>
      <c r="AJ385" s="11">
        <v>44531</v>
      </c>
      <c r="AK385">
        <v>9012142</v>
      </c>
      <c r="AL385" s="26">
        <f t="shared" si="42"/>
        <v>0.88934272451543706</v>
      </c>
    </row>
    <row r="386" spans="1:47" x14ac:dyDescent="0.3">
      <c r="A386" s="11">
        <v>44927</v>
      </c>
      <c r="B386" s="18">
        <v>4711298.3600000003</v>
      </c>
      <c r="C386" s="18">
        <v>5637180.1900000004</v>
      </c>
      <c r="D386" s="18">
        <v>8268506.2400000002</v>
      </c>
      <c r="E386" s="11">
        <f t="shared" ref="E386:E428" si="43">A386</f>
        <v>44927</v>
      </c>
      <c r="F386" s="9">
        <f t="shared" si="39"/>
        <v>0.16139527754571192</v>
      </c>
      <c r="G386" s="9">
        <f t="shared" si="40"/>
        <v>6.5481639085315235E-2</v>
      </c>
      <c r="H386" s="9">
        <f t="shared" si="41"/>
        <v>3.423125894321366E-2</v>
      </c>
      <c r="I386" s="11">
        <f t="shared" ref="I386:I429" si="44">A386</f>
        <v>44927</v>
      </c>
      <c r="AJ386" s="11">
        <v>44562</v>
      </c>
      <c r="AK386">
        <v>9055758.9000000004</v>
      </c>
      <c r="AL386" s="26">
        <f t="shared" si="42"/>
        <v>0.88284517380426275</v>
      </c>
    </row>
    <row r="387" spans="1:47" x14ac:dyDescent="0.3">
      <c r="A387" s="11">
        <v>44958</v>
      </c>
      <c r="B387" s="18">
        <v>4806136.53</v>
      </c>
      <c r="C387" s="18">
        <v>5719397.7699999996</v>
      </c>
      <c r="D387" s="18">
        <v>8387064.1299999999</v>
      </c>
      <c r="E387" s="11">
        <f t="shared" si="43"/>
        <v>44958</v>
      </c>
      <c r="F387" s="9">
        <f t="shared" si="39"/>
        <v>0.15310901942106736</v>
      </c>
      <c r="G387" s="9">
        <f t="shared" si="40"/>
        <v>9.0319727853924059E-2</v>
      </c>
      <c r="H387" s="9">
        <f t="shared" si="41"/>
        <v>3.3929464248956931E-2</v>
      </c>
      <c r="I387" s="11">
        <f t="shared" si="44"/>
        <v>44958</v>
      </c>
      <c r="O387" s="21" t="s">
        <v>25</v>
      </c>
      <c r="P387" s="20">
        <f>DATE(1995,1,1)</f>
        <v>34700</v>
      </c>
      <c r="Q387" s="20">
        <f>DATE(1999,1,1)</f>
        <v>36161</v>
      </c>
      <c r="R387" s="20">
        <f>DATE(2003,1,1)</f>
        <v>37622</v>
      </c>
      <c r="S387" s="20">
        <f>DATE(2007,1,1)</f>
        <v>39083</v>
      </c>
      <c r="T387" s="20">
        <f>DATE(2011,1,1)</f>
        <v>40544</v>
      </c>
      <c r="U387" s="20">
        <f>DATE(2015,1,1)</f>
        <v>42005</v>
      </c>
      <c r="V387" s="20">
        <f>DATE(2016,5,1)</f>
        <v>42491</v>
      </c>
      <c r="W387" s="20">
        <f>DATE(2019,1,1)</f>
        <v>43466</v>
      </c>
      <c r="X387" s="20">
        <f>DATE(2023,1,1)</f>
        <v>44927</v>
      </c>
      <c r="AA387" s="20">
        <f t="shared" ref="AA387:AH388" si="45">Q387</f>
        <v>36161</v>
      </c>
      <c r="AB387" s="20">
        <f t="shared" si="45"/>
        <v>37622</v>
      </c>
      <c r="AC387" s="20">
        <f t="shared" si="45"/>
        <v>39083</v>
      </c>
      <c r="AD387" s="20">
        <f t="shared" si="45"/>
        <v>40544</v>
      </c>
      <c r="AE387" s="20">
        <f t="shared" si="45"/>
        <v>42005</v>
      </c>
      <c r="AF387" s="20">
        <f t="shared" si="45"/>
        <v>42491</v>
      </c>
      <c r="AG387" s="20">
        <f t="shared" si="45"/>
        <v>43466</v>
      </c>
      <c r="AH387" s="20">
        <f t="shared" si="45"/>
        <v>44927</v>
      </c>
      <c r="AJ387" s="11">
        <v>44593</v>
      </c>
      <c r="AK387">
        <v>9102282.3000000007</v>
      </c>
      <c r="AL387" s="26">
        <f t="shared" si="42"/>
        <v>0.89118681256458054</v>
      </c>
      <c r="AM387" s="25" t="s">
        <v>25</v>
      </c>
      <c r="AN387" s="20">
        <f t="shared" ref="AN387:AU388" si="46">AA387</f>
        <v>36161</v>
      </c>
      <c r="AO387" s="20">
        <f t="shared" si="46"/>
        <v>37622</v>
      </c>
      <c r="AP387" s="20">
        <f t="shared" si="46"/>
        <v>39083</v>
      </c>
      <c r="AQ387" s="20">
        <f t="shared" si="46"/>
        <v>40544</v>
      </c>
      <c r="AR387" s="20">
        <f t="shared" si="46"/>
        <v>42005</v>
      </c>
      <c r="AS387" s="20">
        <f t="shared" si="46"/>
        <v>42491</v>
      </c>
      <c r="AT387" s="20">
        <f t="shared" si="46"/>
        <v>43466</v>
      </c>
      <c r="AU387" s="20">
        <f t="shared" si="46"/>
        <v>44927</v>
      </c>
    </row>
    <row r="388" spans="1:47" x14ac:dyDescent="0.3">
      <c r="A388" s="11">
        <v>44986</v>
      </c>
      <c r="B388" s="18">
        <v>4877969.97</v>
      </c>
      <c r="C388" s="18">
        <v>5794341.1399999997</v>
      </c>
      <c r="D388" s="18">
        <v>8444768.5299999993</v>
      </c>
      <c r="E388" s="11">
        <f t="shared" si="43"/>
        <v>44986</v>
      </c>
      <c r="F388" s="9">
        <f t="shared" si="39"/>
        <v>0.12356411888565466</v>
      </c>
      <c r="G388" s="9">
        <f t="shared" si="40"/>
        <v>9.9041053420382719E-2</v>
      </c>
      <c r="H388" s="9">
        <f t="shared" si="41"/>
        <v>6.0692797232383189E-2</v>
      </c>
      <c r="I388" s="11">
        <f t="shared" si="44"/>
        <v>44986</v>
      </c>
      <c r="O388" s="21" t="s">
        <v>26</v>
      </c>
      <c r="P388" s="20">
        <f>DATE(1998,12,1)</f>
        <v>36130</v>
      </c>
      <c r="Q388" s="20">
        <f>DATE(2002,12,1)</f>
        <v>37591</v>
      </c>
      <c r="R388" s="20">
        <f>DATE(2006,12,1)</f>
        <v>39052</v>
      </c>
      <c r="S388" s="20">
        <f>DATE(2010,12,1)</f>
        <v>40513</v>
      </c>
      <c r="T388" s="20">
        <f>DATE(2014,12,1)</f>
        <v>41974</v>
      </c>
      <c r="U388" s="20">
        <f>DATE(2016,4,1)</f>
        <v>42461</v>
      </c>
      <c r="V388" s="20">
        <f>DATE(2018,12,1)</f>
        <v>43435</v>
      </c>
      <c r="W388" s="20">
        <f>DATE(2022,12,1)</f>
        <v>44896</v>
      </c>
      <c r="X388" s="20">
        <f>DATE(2026,12,1)</f>
        <v>46357</v>
      </c>
      <c r="AA388" s="20">
        <f t="shared" si="45"/>
        <v>37591</v>
      </c>
      <c r="AB388" s="20">
        <f t="shared" si="45"/>
        <v>39052</v>
      </c>
      <c r="AC388" s="20">
        <f t="shared" si="45"/>
        <v>40513</v>
      </c>
      <c r="AD388" s="20">
        <f t="shared" si="45"/>
        <v>41974</v>
      </c>
      <c r="AE388" s="20">
        <f t="shared" si="45"/>
        <v>42461</v>
      </c>
      <c r="AF388" s="20">
        <f t="shared" si="45"/>
        <v>43435</v>
      </c>
      <c r="AG388" s="20">
        <f t="shared" si="45"/>
        <v>44896</v>
      </c>
      <c r="AH388" s="20">
        <f t="shared" si="45"/>
        <v>46357</v>
      </c>
      <c r="AJ388" s="11">
        <v>44621</v>
      </c>
      <c r="AK388">
        <v>9175000</v>
      </c>
      <c r="AL388" s="26">
        <f t="shared" si="42"/>
        <v>0.86774487520435972</v>
      </c>
      <c r="AM388" s="25" t="s">
        <v>26</v>
      </c>
      <c r="AN388" s="20">
        <f t="shared" si="46"/>
        <v>37591</v>
      </c>
      <c r="AO388" s="20">
        <f t="shared" si="46"/>
        <v>39052</v>
      </c>
      <c r="AP388" s="20">
        <f t="shared" si="46"/>
        <v>40513</v>
      </c>
      <c r="AQ388" s="20">
        <f t="shared" si="46"/>
        <v>41974</v>
      </c>
      <c r="AR388" s="20">
        <f t="shared" si="46"/>
        <v>42461</v>
      </c>
      <c r="AS388" s="20">
        <f t="shared" si="46"/>
        <v>43435</v>
      </c>
      <c r="AT388" s="20">
        <f t="shared" si="46"/>
        <v>44896</v>
      </c>
      <c r="AU388" s="20">
        <f t="shared" si="46"/>
        <v>46357</v>
      </c>
    </row>
    <row r="389" spans="1:47" x14ac:dyDescent="0.3">
      <c r="A389" s="11">
        <v>45017</v>
      </c>
      <c r="B389" s="18">
        <v>4915045.88</v>
      </c>
      <c r="C389" s="18">
        <v>5817539.2400000002</v>
      </c>
      <c r="D389" s="18">
        <v>8603284.5700000003</v>
      </c>
      <c r="E389" s="11">
        <f t="shared" si="43"/>
        <v>45017</v>
      </c>
      <c r="F389" s="9">
        <f t="shared" si="39"/>
        <v>0.1253223566271191</v>
      </c>
      <c r="G389" s="9">
        <f t="shared" si="40"/>
        <v>9.7894700758555331E-2</v>
      </c>
      <c r="H389" s="9">
        <f t="shared" si="41"/>
        <v>7.3662409956704256E-2</v>
      </c>
      <c r="I389" s="11">
        <f t="shared" si="44"/>
        <v>45017</v>
      </c>
      <c r="AJ389" s="11">
        <v>44652</v>
      </c>
      <c r="AK389">
        <v>9269054.1999999993</v>
      </c>
      <c r="AL389" s="26">
        <f t="shared" si="42"/>
        <v>0.86449227797157568</v>
      </c>
    </row>
    <row r="390" spans="1:47" x14ac:dyDescent="0.3">
      <c r="A390" s="11">
        <v>45047</v>
      </c>
      <c r="B390" s="18">
        <v>5006344.84</v>
      </c>
      <c r="C390" s="18">
        <v>5922818.04</v>
      </c>
      <c r="D390" s="18">
        <v>8598458.8599999994</v>
      </c>
      <c r="E390" s="11">
        <f t="shared" si="43"/>
        <v>45047</v>
      </c>
      <c r="F390" s="9">
        <f t="shared" si="39"/>
        <v>0.11575858048840892</v>
      </c>
      <c r="G390" s="9">
        <f t="shared" si="40"/>
        <v>0.10376785612038097</v>
      </c>
      <c r="H390" s="9">
        <f t="shared" si="41"/>
        <v>5.7992968839285952E-2</v>
      </c>
      <c r="I390" s="11">
        <f t="shared" si="44"/>
        <v>45047</v>
      </c>
      <c r="AJ390" s="11">
        <v>44682</v>
      </c>
      <c r="AK390">
        <v>9379974.1999999993</v>
      </c>
      <c r="AL390" s="26">
        <f t="shared" si="42"/>
        <v>0.86643540874558067</v>
      </c>
    </row>
    <row r="391" spans="1:47" x14ac:dyDescent="0.3">
      <c r="A391" s="11">
        <v>45078</v>
      </c>
      <c r="B391" s="18">
        <v>5169640.12</v>
      </c>
      <c r="C391" s="18">
        <v>5992871.6799999997</v>
      </c>
      <c r="D391" s="18">
        <v>8788773.2300000004</v>
      </c>
      <c r="E391" s="11">
        <f t="shared" si="43"/>
        <v>45078</v>
      </c>
      <c r="F391" s="9">
        <f t="shared" si="39"/>
        <v>0.16475956267366976</v>
      </c>
      <c r="G391" s="9">
        <f t="shared" si="40"/>
        <v>0.10290945240839933</v>
      </c>
      <c r="H391" s="9">
        <f t="shared" si="41"/>
        <v>5.7927788417996506E-2</v>
      </c>
      <c r="I391" s="11">
        <f t="shared" si="44"/>
        <v>45078</v>
      </c>
      <c r="AJ391" s="11">
        <v>44713</v>
      </c>
      <c r="AK391">
        <v>9488842.6999999993</v>
      </c>
      <c r="AL391" s="26">
        <f t="shared" si="42"/>
        <v>0.87550571788907416</v>
      </c>
    </row>
    <row r="392" spans="1:47" x14ac:dyDescent="0.3">
      <c r="A392" s="11">
        <v>45108</v>
      </c>
      <c r="B392" s="18">
        <v>5256528.0199999996</v>
      </c>
      <c r="C392" s="18">
        <v>6067062.7000000002</v>
      </c>
      <c r="D392" s="18">
        <v>8726491.3399999999</v>
      </c>
      <c r="E392" s="11">
        <f t="shared" si="43"/>
        <v>45108</v>
      </c>
      <c r="F392" s="9">
        <f t="shared" si="39"/>
        <v>0.18086328214146241</v>
      </c>
      <c r="G392" s="9">
        <f t="shared" si="40"/>
        <v>0.11404578542041066</v>
      </c>
      <c r="H392" s="9">
        <f t="shared" si="41"/>
        <v>5.7828668693594265E-2</v>
      </c>
      <c r="I392" s="11">
        <f t="shared" si="44"/>
        <v>45108</v>
      </c>
      <c r="AJ392" s="11">
        <v>44743</v>
      </c>
      <c r="AK392">
        <v>9592032.5</v>
      </c>
      <c r="AL392" s="26">
        <f t="shared" si="42"/>
        <v>0.86003017191611897</v>
      </c>
    </row>
    <row r="393" spans="1:47" x14ac:dyDescent="0.3">
      <c r="A393" s="11">
        <v>45139</v>
      </c>
      <c r="B393" s="18">
        <v>5315415.0599999996</v>
      </c>
      <c r="C393" s="18">
        <v>6163293.1299999999</v>
      </c>
      <c r="D393" s="18">
        <v>8863572.2200000007</v>
      </c>
      <c r="E393" s="11">
        <f t="shared" si="43"/>
        <v>45139</v>
      </c>
      <c r="F393" s="9">
        <f t="shared" si="39"/>
        <v>0.16345178711611141</v>
      </c>
      <c r="G393" s="9">
        <f t="shared" si="40"/>
        <v>0.11818073995145473</v>
      </c>
      <c r="H393" s="9">
        <f t="shared" si="41"/>
        <v>7.8580256109876956E-2</v>
      </c>
      <c r="I393" s="11">
        <f t="shared" si="44"/>
        <v>45139</v>
      </c>
      <c r="AJ393" s="11">
        <v>44774</v>
      </c>
      <c r="AK393">
        <v>9698374.8000000007</v>
      </c>
      <c r="AL393" s="26">
        <f t="shared" si="42"/>
        <v>0.84733931606767754</v>
      </c>
    </row>
    <row r="394" spans="1:47" x14ac:dyDescent="0.3">
      <c r="A394" s="11">
        <v>45170</v>
      </c>
      <c r="B394" s="18">
        <v>5375619.9699999997</v>
      </c>
      <c r="C394" s="18">
        <v>6211220.7999999998</v>
      </c>
      <c r="D394" s="18">
        <v>8695180.1999999993</v>
      </c>
      <c r="E394" s="11">
        <f t="shared" si="43"/>
        <v>45170</v>
      </c>
      <c r="F394" s="9">
        <f t="shared" si="39"/>
        <v>0.16752209669509543</v>
      </c>
      <c r="G394" s="9">
        <f t="shared" si="40"/>
        <v>0.1188717245388542</v>
      </c>
      <c r="H394" s="9">
        <f t="shared" si="41"/>
        <v>6.7365707851728684E-2</v>
      </c>
      <c r="I394" s="11">
        <f t="shared" si="44"/>
        <v>45170</v>
      </c>
      <c r="AJ394" s="11">
        <v>44805</v>
      </c>
      <c r="AK394">
        <v>9794173.5999999996</v>
      </c>
      <c r="AL394" s="26">
        <f t="shared" si="42"/>
        <v>0.83175906643108721</v>
      </c>
    </row>
    <row r="395" spans="1:47" x14ac:dyDescent="0.3">
      <c r="A395" s="11">
        <v>45200</v>
      </c>
      <c r="B395" s="18">
        <v>5402090.79</v>
      </c>
      <c r="C395" s="18">
        <v>6253007.5199999996</v>
      </c>
      <c r="D395" s="18">
        <v>8794598.4299999997</v>
      </c>
      <c r="E395" s="11">
        <f t="shared" si="43"/>
        <v>45200</v>
      </c>
      <c r="F395" s="9">
        <f t="shared" si="39"/>
        <v>0.16055869826241564</v>
      </c>
      <c r="G395" s="9">
        <f t="shared" si="40"/>
        <v>0.12534917929614053</v>
      </c>
      <c r="H395" s="9">
        <f t="shared" si="41"/>
        <v>7.2654563374354941E-2</v>
      </c>
      <c r="I395" s="11">
        <f t="shared" si="44"/>
        <v>45200</v>
      </c>
      <c r="AJ395" s="11">
        <v>44835</v>
      </c>
      <c r="AK395">
        <v>9901599.3000000007</v>
      </c>
      <c r="AL395" s="26">
        <f t="shared" si="42"/>
        <v>0.82803898053115521</v>
      </c>
    </row>
    <row r="396" spans="1:47" x14ac:dyDescent="0.3">
      <c r="A396" s="11">
        <v>45231</v>
      </c>
      <c r="B396" s="18">
        <v>5473823.0800000001</v>
      </c>
      <c r="C396" s="18">
        <v>6333747.9100000001</v>
      </c>
      <c r="D396" s="18">
        <v>8967976.9399999995</v>
      </c>
      <c r="E396" s="11">
        <f t="shared" si="43"/>
        <v>45231</v>
      </c>
      <c r="F396" s="9">
        <f t="shared" si="39"/>
        <v>0.17030436414145766</v>
      </c>
      <c r="G396" s="9">
        <f t="shared" si="40"/>
        <v>0.12514472048286285</v>
      </c>
      <c r="H396" s="9">
        <f t="shared" si="41"/>
        <v>7.4240338144895723E-2</v>
      </c>
      <c r="I396" s="11">
        <f t="shared" si="44"/>
        <v>45231</v>
      </c>
      <c r="AJ396" s="11">
        <v>44866</v>
      </c>
      <c r="AK396">
        <v>9994943</v>
      </c>
      <c r="AL396" s="26">
        <f t="shared" si="42"/>
        <v>0.83524273124919279</v>
      </c>
    </row>
    <row r="397" spans="1:47" x14ac:dyDescent="0.3">
      <c r="A397" s="11">
        <v>45261</v>
      </c>
      <c r="B397" s="18">
        <v>5657300.4900000002</v>
      </c>
      <c r="C397" s="18">
        <v>6521378.4299999997</v>
      </c>
      <c r="D397" s="18">
        <v>9192465.6600000001</v>
      </c>
      <c r="E397" s="11">
        <f t="shared" si="43"/>
        <v>45261</v>
      </c>
      <c r="F397" s="9">
        <f t="shared" si="39"/>
        <v>0.19393144576783139</v>
      </c>
      <c r="G397" s="9">
        <f t="shared" si="40"/>
        <v>0.14574165435726161</v>
      </c>
      <c r="H397" s="9">
        <f t="shared" si="41"/>
        <v>8.6481925195532883E-2</v>
      </c>
      <c r="I397" s="11">
        <f t="shared" si="44"/>
        <v>45261</v>
      </c>
      <c r="AJ397" s="11">
        <v>44896</v>
      </c>
      <c r="AK397">
        <v>10079676.699999999</v>
      </c>
      <c r="AL397" s="26">
        <f t="shared" si="42"/>
        <v>0.83938829307888418</v>
      </c>
    </row>
    <row r="398" spans="1:47" x14ac:dyDescent="0.3">
      <c r="A398" s="11">
        <v>45292</v>
      </c>
      <c r="B398" s="18">
        <v>5619336.2199999997</v>
      </c>
      <c r="C398" s="18">
        <v>6529468.4500000002</v>
      </c>
      <c r="D398" s="18">
        <v>9164293.8800000008</v>
      </c>
      <c r="E398" s="11">
        <f t="shared" si="43"/>
        <v>45292</v>
      </c>
      <c r="F398" s="9">
        <f t="shared" ref="F398:F428" si="47">B398/B386-1</f>
        <v>0.19273622483972752</v>
      </c>
      <c r="G398" s="9">
        <f t="shared" ref="G398:G428" si="48">C398/C386-1</f>
        <v>0.15828627610358503</v>
      </c>
      <c r="H398" s="9">
        <f t="shared" ref="H398:H428" si="49">D398/D386-1</f>
        <v>0.10833729987001872</v>
      </c>
      <c r="I398" s="11">
        <f t="shared" si="44"/>
        <v>45292</v>
      </c>
      <c r="AJ398" s="11">
        <v>44927</v>
      </c>
      <c r="AK398">
        <v>10167385.199999999</v>
      </c>
      <c r="AL398" s="26">
        <f t="shared" ref="AL398:AL440" si="50">D386/AK398</f>
        <v>0.81323821979322675</v>
      </c>
    </row>
    <row r="399" spans="1:47" x14ac:dyDescent="0.3">
      <c r="A399" s="11">
        <v>45323</v>
      </c>
      <c r="B399" s="18">
        <v>5749482.2599999998</v>
      </c>
      <c r="C399" s="18">
        <v>6647052.04</v>
      </c>
      <c r="D399" s="18">
        <v>9319168.3300000001</v>
      </c>
      <c r="E399" s="11">
        <f t="shared" si="43"/>
        <v>45323</v>
      </c>
      <c r="F399" s="9">
        <f t="shared" si="47"/>
        <v>0.19627942820841993</v>
      </c>
      <c r="G399" s="9">
        <f t="shared" si="48"/>
        <v>0.16219439656144097</v>
      </c>
      <c r="H399" s="9">
        <f t="shared" si="49"/>
        <v>0.11113593333165572</v>
      </c>
      <c r="I399" s="11">
        <f t="shared" si="44"/>
        <v>45323</v>
      </c>
      <c r="AJ399" s="11">
        <v>44958</v>
      </c>
      <c r="AK399">
        <v>10243929.800000001</v>
      </c>
      <c r="AL399" s="26">
        <f t="shared" si="50"/>
        <v>0.81873502588820934</v>
      </c>
    </row>
    <row r="400" spans="1:47" x14ac:dyDescent="0.3">
      <c r="A400" s="11">
        <v>45352</v>
      </c>
      <c r="B400" s="18">
        <v>5792642.1299999999</v>
      </c>
      <c r="C400" s="18">
        <v>6701265.2699999996</v>
      </c>
      <c r="D400" s="18">
        <v>9391032.1999999993</v>
      </c>
      <c r="E400" s="11">
        <f t="shared" si="43"/>
        <v>45352</v>
      </c>
      <c r="F400" s="9">
        <f t="shared" si="47"/>
        <v>0.18751082225297089</v>
      </c>
      <c r="G400" s="9">
        <f t="shared" si="48"/>
        <v>0.15651893944235384</v>
      </c>
      <c r="H400" s="9">
        <f t="shared" si="49"/>
        <v>0.11205323942727419</v>
      </c>
      <c r="I400" s="11">
        <f t="shared" si="44"/>
        <v>45352</v>
      </c>
      <c r="AJ400" s="11">
        <v>44986</v>
      </c>
      <c r="AK400">
        <v>10341166.6</v>
      </c>
      <c r="AL400" s="26">
        <f t="shared" si="50"/>
        <v>0.81661662137809476</v>
      </c>
    </row>
    <row r="401" spans="1:38" x14ac:dyDescent="0.3">
      <c r="A401" s="11">
        <v>45383</v>
      </c>
      <c r="B401" s="18">
        <v>5826020.1500000004</v>
      </c>
      <c r="C401" s="18">
        <v>6766183.4699999997</v>
      </c>
      <c r="D401" s="18">
        <v>9488782.6500000004</v>
      </c>
      <c r="E401" s="11">
        <f t="shared" si="43"/>
        <v>45383</v>
      </c>
      <c r="F401" s="9">
        <f t="shared" si="47"/>
        <v>0.18534400130563999</v>
      </c>
      <c r="G401" s="9">
        <f t="shared" si="48"/>
        <v>0.16306623657599939</v>
      </c>
      <c r="H401" s="9">
        <f t="shared" si="49"/>
        <v>0.10292558299045074</v>
      </c>
      <c r="I401" s="11">
        <f t="shared" si="44"/>
        <v>45383</v>
      </c>
      <c r="AJ401" s="11">
        <v>45017</v>
      </c>
      <c r="AK401">
        <v>10419034.199999999</v>
      </c>
      <c r="AL401" s="26">
        <f t="shared" si="50"/>
        <v>0.82572764469858451</v>
      </c>
    </row>
    <row r="402" spans="1:38" x14ac:dyDescent="0.3">
      <c r="A402" s="11">
        <v>45413</v>
      </c>
      <c r="B402" s="18">
        <v>5923842.6600000001</v>
      </c>
      <c r="C402" s="18">
        <v>6900262.1799999997</v>
      </c>
      <c r="D402" s="18">
        <v>9712156.3699999992</v>
      </c>
      <c r="E402" s="11">
        <f t="shared" si="43"/>
        <v>45413</v>
      </c>
      <c r="F402" s="9">
        <f t="shared" si="47"/>
        <v>0.18326700403642193</v>
      </c>
      <c r="G402" s="9">
        <f t="shared" si="48"/>
        <v>0.16503024968837288</v>
      </c>
      <c r="H402" s="9">
        <f t="shared" si="49"/>
        <v>0.1295229212738247</v>
      </c>
      <c r="I402" s="11">
        <f t="shared" si="44"/>
        <v>45413</v>
      </c>
      <c r="AJ402" s="11">
        <v>45047</v>
      </c>
      <c r="AK402">
        <v>10489164.199999999</v>
      </c>
      <c r="AL402" s="26">
        <f t="shared" si="50"/>
        <v>0.81974680690001978</v>
      </c>
    </row>
    <row r="403" spans="1:38" x14ac:dyDescent="0.3">
      <c r="A403" s="11">
        <v>45444</v>
      </c>
      <c r="B403" s="18">
        <v>5954117.3399999999</v>
      </c>
      <c r="C403" s="18">
        <v>7028160.9000000004</v>
      </c>
      <c r="D403" s="18">
        <v>9902337.4600000009</v>
      </c>
      <c r="E403" s="11">
        <f t="shared" si="43"/>
        <v>45444</v>
      </c>
      <c r="F403" s="9">
        <f t="shared" si="47"/>
        <v>0.15174696918747976</v>
      </c>
      <c r="G403" s="9">
        <f t="shared" si="48"/>
        <v>0.17275344363789236</v>
      </c>
      <c r="H403" s="9">
        <f t="shared" si="49"/>
        <v>0.12670303361553459</v>
      </c>
      <c r="I403" s="11">
        <f t="shared" si="44"/>
        <v>45444</v>
      </c>
      <c r="AJ403" s="11">
        <v>45078</v>
      </c>
      <c r="AK403">
        <v>10551265</v>
      </c>
      <c r="AL403" s="26">
        <f t="shared" si="50"/>
        <v>0.83295919778339378</v>
      </c>
    </row>
    <row r="404" spans="1:38" x14ac:dyDescent="0.3">
      <c r="A404" s="11">
        <v>45474</v>
      </c>
      <c r="B404" s="18">
        <v>5980417.1799999997</v>
      </c>
      <c r="C404" s="18">
        <v>7104215.3200000003</v>
      </c>
      <c r="D404" s="18">
        <v>9990540.2100000009</v>
      </c>
      <c r="E404" s="11">
        <f t="shared" si="43"/>
        <v>45474</v>
      </c>
      <c r="F404" s="9">
        <f t="shared" si="47"/>
        <v>0.13771241344966723</v>
      </c>
      <c r="G404" s="9">
        <f t="shared" si="48"/>
        <v>0.17094806354976355</v>
      </c>
      <c r="H404" s="9">
        <f t="shared" si="49"/>
        <v>0.1448519021850081</v>
      </c>
      <c r="I404" s="11">
        <f t="shared" si="44"/>
        <v>45474</v>
      </c>
      <c r="AJ404" s="11">
        <v>45108</v>
      </c>
      <c r="AK404">
        <v>10603576.800000001</v>
      </c>
      <c r="AL404" s="26">
        <f t="shared" si="50"/>
        <v>0.82297619988002535</v>
      </c>
    </row>
    <row r="405" spans="1:38" x14ac:dyDescent="0.3">
      <c r="A405" s="11">
        <v>45505</v>
      </c>
      <c r="B405" s="18">
        <v>6038529.7999999998</v>
      </c>
      <c r="C405" s="18">
        <v>7187021.29</v>
      </c>
      <c r="D405" s="18">
        <v>9870285.9199999999</v>
      </c>
      <c r="E405" s="11">
        <f t="shared" si="43"/>
        <v>45505</v>
      </c>
      <c r="F405" s="9">
        <f t="shared" si="47"/>
        <v>0.1360410676941568</v>
      </c>
      <c r="G405" s="9">
        <f t="shared" si="48"/>
        <v>0.16610083901688455</v>
      </c>
      <c r="H405" s="9">
        <f t="shared" si="49"/>
        <v>0.11357877783501591</v>
      </c>
      <c r="I405" s="11">
        <f t="shared" si="44"/>
        <v>45505</v>
      </c>
      <c r="AJ405" s="11">
        <v>45139</v>
      </c>
      <c r="AK405">
        <v>10662315.6</v>
      </c>
      <c r="AL405" s="26">
        <f t="shared" si="50"/>
        <v>0.83129899287543141</v>
      </c>
    </row>
    <row r="406" spans="1:38" x14ac:dyDescent="0.3">
      <c r="A406" s="11">
        <v>45536</v>
      </c>
      <c r="B406" s="18">
        <v>6126621.79</v>
      </c>
      <c r="C406" s="18">
        <v>7234825.8600000003</v>
      </c>
      <c r="D406" s="18">
        <v>9788890.1099999994</v>
      </c>
      <c r="E406" s="11">
        <f t="shared" si="43"/>
        <v>45536</v>
      </c>
      <c r="F406" s="9">
        <f t="shared" si="47"/>
        <v>0.13970515478980183</v>
      </c>
      <c r="G406" s="9">
        <f t="shared" si="48"/>
        <v>0.16479933542211223</v>
      </c>
      <c r="H406" s="9">
        <f t="shared" si="49"/>
        <v>0.12578346679922747</v>
      </c>
      <c r="I406" s="11">
        <f t="shared" si="44"/>
        <v>45536</v>
      </c>
      <c r="AJ406" s="11">
        <v>45170</v>
      </c>
      <c r="AK406">
        <v>10719528.5</v>
      </c>
      <c r="AL406" s="26">
        <f t="shared" si="50"/>
        <v>0.81115323309229503</v>
      </c>
    </row>
    <row r="407" spans="1:38" x14ac:dyDescent="0.3">
      <c r="A407" s="11">
        <v>45566</v>
      </c>
      <c r="B407" s="18">
        <v>6124443.6600000001</v>
      </c>
      <c r="C407" s="18">
        <v>7294228.8399999999</v>
      </c>
      <c r="D407" s="18">
        <v>9945371.0600000005</v>
      </c>
      <c r="E407" s="11">
        <f t="shared" si="43"/>
        <v>45566</v>
      </c>
      <c r="F407" s="9">
        <f t="shared" si="47"/>
        <v>0.13371727689900603</v>
      </c>
      <c r="G407" s="9">
        <f t="shared" si="48"/>
        <v>0.16651528351272482</v>
      </c>
      <c r="H407" s="9">
        <f t="shared" si="49"/>
        <v>0.13084993466836448</v>
      </c>
      <c r="I407" s="11">
        <f t="shared" si="44"/>
        <v>45566</v>
      </c>
      <c r="AJ407" s="11">
        <v>45200</v>
      </c>
      <c r="AK407">
        <v>10792677</v>
      </c>
      <c r="AL407" s="26">
        <f t="shared" si="50"/>
        <v>0.81486719467283231</v>
      </c>
    </row>
    <row r="408" spans="1:38" x14ac:dyDescent="0.3">
      <c r="A408" s="11">
        <v>45597</v>
      </c>
      <c r="B408" s="18">
        <v>6128348.7999999998</v>
      </c>
      <c r="C408" s="18">
        <v>7382373.7800000003</v>
      </c>
      <c r="D408" s="18">
        <v>10101800.99</v>
      </c>
      <c r="E408" s="11">
        <f t="shared" si="43"/>
        <v>45597</v>
      </c>
      <c r="F408" s="9">
        <f t="shared" si="47"/>
        <v>0.11957378059796553</v>
      </c>
      <c r="G408" s="9">
        <f t="shared" si="48"/>
        <v>0.16556166820981044</v>
      </c>
      <c r="H408" s="9">
        <f t="shared" si="49"/>
        <v>0.12643030391199916</v>
      </c>
      <c r="I408" s="11">
        <f t="shared" si="44"/>
        <v>45597</v>
      </c>
      <c r="AJ408" s="11">
        <v>45231</v>
      </c>
      <c r="AK408">
        <v>10873135.300000001</v>
      </c>
      <c r="AL408" s="26">
        <f t="shared" si="50"/>
        <v>0.82478298048953724</v>
      </c>
    </row>
    <row r="409" spans="1:38" x14ac:dyDescent="0.3">
      <c r="A409" s="11">
        <v>45627</v>
      </c>
      <c r="B409" s="18">
        <v>6171699.54</v>
      </c>
      <c r="C409" s="18">
        <v>7445159.7300000004</v>
      </c>
      <c r="D409" s="18">
        <v>10251233.210000001</v>
      </c>
      <c r="E409" s="11">
        <f t="shared" si="43"/>
        <v>45627</v>
      </c>
      <c r="F409" s="9">
        <f t="shared" si="47"/>
        <v>9.0926591385638078E-2</v>
      </c>
      <c r="G409" s="9">
        <f t="shared" si="48"/>
        <v>0.14165430053106132</v>
      </c>
      <c r="H409" s="9">
        <f t="shared" si="49"/>
        <v>0.1151777541696033</v>
      </c>
      <c r="I409" s="11">
        <f t="shared" si="44"/>
        <v>45627</v>
      </c>
      <c r="AJ409" s="11">
        <v>45261</v>
      </c>
      <c r="AK409">
        <v>10943344.699999999</v>
      </c>
      <c r="AL409" s="26">
        <f t="shared" si="50"/>
        <v>0.84000512750000467</v>
      </c>
    </row>
    <row r="410" spans="1:38" x14ac:dyDescent="0.3">
      <c r="A410" s="11">
        <v>45658</v>
      </c>
      <c r="B410" s="18">
        <v>6205448.7000000002</v>
      </c>
      <c r="C410" s="18">
        <v>7501762.1699999999</v>
      </c>
      <c r="D410" s="18">
        <v>10281641.43</v>
      </c>
      <c r="E410" s="11">
        <f t="shared" si="43"/>
        <v>45658</v>
      </c>
      <c r="F410" s="9">
        <f t="shared" si="47"/>
        <v>0.10430279610498205</v>
      </c>
      <c r="G410" s="9">
        <f t="shared" si="48"/>
        <v>0.14890855625468258</v>
      </c>
      <c r="H410" s="9">
        <f t="shared" si="49"/>
        <v>0.12192401996606406</v>
      </c>
      <c r="I410" s="11">
        <f t="shared" si="44"/>
        <v>45658</v>
      </c>
      <c r="AJ410" s="11">
        <v>45292</v>
      </c>
      <c r="AK410">
        <v>11024998.6</v>
      </c>
      <c r="AL410" s="26">
        <f t="shared" si="50"/>
        <v>0.83122857539410488</v>
      </c>
    </row>
    <row r="411" spans="1:38" x14ac:dyDescent="0.3">
      <c r="A411" s="11">
        <v>45689</v>
      </c>
      <c r="B411" s="18">
        <v>6283777.8200000003</v>
      </c>
      <c r="C411" s="18">
        <v>7601693.8799999999</v>
      </c>
      <c r="D411" s="18">
        <v>10534632.17</v>
      </c>
      <c r="E411" s="11">
        <f t="shared" si="43"/>
        <v>45689</v>
      </c>
      <c r="F411" s="9">
        <f t="shared" si="47"/>
        <v>9.2929334475414294E-2</v>
      </c>
      <c r="G411" s="9">
        <f t="shared" si="48"/>
        <v>0.14361883046127022</v>
      </c>
      <c r="H411" s="9">
        <f t="shared" si="49"/>
        <v>0.13042621368767571</v>
      </c>
      <c r="I411" s="11">
        <f t="shared" si="44"/>
        <v>45689</v>
      </c>
      <c r="AJ411" s="11">
        <v>45323</v>
      </c>
      <c r="AK411">
        <v>11097303.199999999</v>
      </c>
      <c r="AL411" s="26">
        <f t="shared" si="50"/>
        <v>0.83976874039090876</v>
      </c>
    </row>
    <row r="412" spans="1:38" x14ac:dyDescent="0.3">
      <c r="A412" s="11">
        <v>45717</v>
      </c>
      <c r="B412" s="18">
        <v>6369164.4699999997</v>
      </c>
      <c r="C412" s="18">
        <v>7639803.4699999997</v>
      </c>
      <c r="D412" s="18">
        <v>10575976.5</v>
      </c>
      <c r="E412" s="11">
        <f t="shared" si="43"/>
        <v>45717</v>
      </c>
      <c r="F412" s="9">
        <f t="shared" si="47"/>
        <v>9.9526662801107557E-2</v>
      </c>
      <c r="G412" s="9">
        <f t="shared" si="48"/>
        <v>0.14005387970561567</v>
      </c>
      <c r="H412" s="9">
        <f t="shared" si="49"/>
        <v>0.12617828102005668</v>
      </c>
      <c r="I412" s="11">
        <f t="shared" si="44"/>
        <v>45717</v>
      </c>
      <c r="AJ412" s="11">
        <v>45352</v>
      </c>
      <c r="AK412">
        <v>11127159.300000001</v>
      </c>
      <c r="AL412" s="26">
        <f t="shared" si="50"/>
        <v>0.84397391524717347</v>
      </c>
    </row>
    <row r="413" spans="1:38" x14ac:dyDescent="0.3">
      <c r="A413" s="11">
        <v>45748</v>
      </c>
      <c r="B413" s="18">
        <v>6414504.7000000002</v>
      </c>
      <c r="C413" s="18">
        <v>7690993.8200000003</v>
      </c>
      <c r="D413" s="18">
        <v>10699933.67</v>
      </c>
      <c r="E413" s="11">
        <f t="shared" si="43"/>
        <v>45748</v>
      </c>
      <c r="F413" s="9">
        <f t="shared" si="47"/>
        <v>0.1010097004213073</v>
      </c>
      <c r="G413" s="9">
        <f t="shared" si="48"/>
        <v>0.13668124048075825</v>
      </c>
      <c r="H413" s="9">
        <f t="shared" si="49"/>
        <v>0.12764029535443089</v>
      </c>
      <c r="I413" s="11">
        <f t="shared" si="44"/>
        <v>45748</v>
      </c>
      <c r="AJ413" s="11">
        <v>45383</v>
      </c>
      <c r="AK413">
        <v>11209216</v>
      </c>
      <c r="AL413" s="26">
        <f t="shared" si="50"/>
        <v>0.84651617472622531</v>
      </c>
    </row>
    <row r="414" spans="1:38" x14ac:dyDescent="0.3">
      <c r="A414" s="11">
        <v>45778</v>
      </c>
      <c r="B414" s="18">
        <v>6524577.9199999999</v>
      </c>
      <c r="C414" s="18">
        <v>7812981.8200000003</v>
      </c>
      <c r="D414" s="18">
        <v>10762780.779999999</v>
      </c>
      <c r="E414" s="11">
        <f t="shared" si="43"/>
        <v>45778</v>
      </c>
      <c r="F414" s="9">
        <f t="shared" si="47"/>
        <v>0.10140972582820074</v>
      </c>
      <c r="G414" s="9">
        <f t="shared" si="48"/>
        <v>0.13227318269811028</v>
      </c>
      <c r="H414" s="9">
        <f t="shared" si="49"/>
        <v>0.10817622472031929</v>
      </c>
      <c r="I414" s="11">
        <f t="shared" si="44"/>
        <v>45778</v>
      </c>
      <c r="AJ414" s="11">
        <v>45413</v>
      </c>
      <c r="AK414">
        <v>11263462.5</v>
      </c>
      <c r="AL414" s="26">
        <f t="shared" si="50"/>
        <v>0.86227093755583584</v>
      </c>
    </row>
    <row r="415" spans="1:38" x14ac:dyDescent="0.3">
      <c r="A415" s="11">
        <v>45809</v>
      </c>
      <c r="B415" s="18">
        <v>6675873.8499999996</v>
      </c>
      <c r="C415" s="18">
        <v>7909296.3700000001</v>
      </c>
      <c r="D415" s="18">
        <v>11015185.689999999</v>
      </c>
      <c r="E415" s="11">
        <f t="shared" si="43"/>
        <v>45809</v>
      </c>
      <c r="F415" s="9">
        <f t="shared" si="47"/>
        <v>0.12121973229368699</v>
      </c>
      <c r="G415" s="9">
        <f t="shared" si="48"/>
        <v>0.12537212544465226</v>
      </c>
      <c r="H415" s="9">
        <f t="shared" si="49"/>
        <v>0.1123823778471793</v>
      </c>
      <c r="I415" s="11">
        <f t="shared" si="44"/>
        <v>45809</v>
      </c>
      <c r="AJ415" s="11">
        <v>45444</v>
      </c>
      <c r="AK415">
        <v>11334338.1</v>
      </c>
      <c r="AL415" s="26">
        <f t="shared" si="50"/>
        <v>0.87365820329640609</v>
      </c>
    </row>
    <row r="416" spans="1:38" x14ac:dyDescent="0.3">
      <c r="A416" s="11">
        <v>45839</v>
      </c>
      <c r="B416" s="18">
        <v>6801773.96</v>
      </c>
      <c r="C416" s="18">
        <v>8075408.0199999996</v>
      </c>
      <c r="D416" s="18">
        <v>11078241.9</v>
      </c>
      <c r="E416" s="11">
        <f t="shared" si="43"/>
        <v>45839</v>
      </c>
      <c r="F416" s="9">
        <f t="shared" si="47"/>
        <v>0.13734105084622206</v>
      </c>
      <c r="G416" s="9">
        <f t="shared" si="48"/>
        <v>0.13670654058948184</v>
      </c>
      <c r="H416" s="9">
        <f t="shared" si="49"/>
        <v>0.10887316072370812</v>
      </c>
      <c r="I416" s="11">
        <f t="shared" si="44"/>
        <v>45839</v>
      </c>
      <c r="AJ416" s="11">
        <v>45474</v>
      </c>
      <c r="AK416">
        <v>11431270.300000001</v>
      </c>
      <c r="AL416" s="26">
        <f t="shared" si="50"/>
        <v>0.87396588023992405</v>
      </c>
    </row>
    <row r="417" spans="1:38" x14ac:dyDescent="0.3">
      <c r="A417" s="11">
        <v>45870</v>
      </c>
      <c r="B417" s="18">
        <v>6915557.2699999996</v>
      </c>
      <c r="C417" s="18">
        <v>8163576.0300000003</v>
      </c>
      <c r="D417" s="18">
        <v>11300378.699999999</v>
      </c>
      <c r="E417" s="11">
        <f t="shared" si="43"/>
        <v>45870</v>
      </c>
      <c r="F417" s="9">
        <f t="shared" si="47"/>
        <v>0.14523857611831281</v>
      </c>
      <c r="G417" s="9">
        <f t="shared" si="48"/>
        <v>0.13587753543443304</v>
      </c>
      <c r="H417" s="9">
        <f t="shared" si="49"/>
        <v>0.14488868829039947</v>
      </c>
      <c r="I417" s="11">
        <f t="shared" si="44"/>
        <v>45870</v>
      </c>
      <c r="AJ417" s="11">
        <v>45505</v>
      </c>
      <c r="AK417">
        <v>11502752.5</v>
      </c>
      <c r="AL417" s="26">
        <f t="shared" si="50"/>
        <v>0.8580803525069326</v>
      </c>
    </row>
    <row r="418" spans="1:38" x14ac:dyDescent="0.3">
      <c r="A418" s="11">
        <v>45901</v>
      </c>
      <c r="B418" s="18">
        <v>7024555.8499999996</v>
      </c>
      <c r="C418" s="18">
        <v>8257629.5599999996</v>
      </c>
      <c r="D418" s="18">
        <v>11293880.41</v>
      </c>
      <c r="E418" s="11">
        <f t="shared" si="43"/>
        <v>45901</v>
      </c>
      <c r="F418" s="9">
        <f t="shared" si="47"/>
        <v>0.1465626720202684</v>
      </c>
      <c r="G418" s="9">
        <f t="shared" si="48"/>
        <v>0.1413722624140672</v>
      </c>
      <c r="H418" s="9">
        <f t="shared" si="49"/>
        <v>0.15374473337508943</v>
      </c>
      <c r="I418" s="11">
        <f t="shared" si="44"/>
        <v>45901</v>
      </c>
      <c r="AJ418" s="11">
        <v>45536</v>
      </c>
      <c r="AK418">
        <v>11580828.6</v>
      </c>
      <c r="AL418" s="26">
        <f t="shared" si="50"/>
        <v>0.84526681536414416</v>
      </c>
    </row>
    <row r="419" spans="1:38" x14ac:dyDescent="0.3">
      <c r="A419" s="11">
        <v>45931</v>
      </c>
      <c r="B419" s="18">
        <v>7066479.6699999999</v>
      </c>
      <c r="C419" s="18">
        <v>8320522.4000000004</v>
      </c>
      <c r="D419" s="18">
        <v>11415282.52</v>
      </c>
      <c r="E419" s="11">
        <f t="shared" si="43"/>
        <v>45931</v>
      </c>
      <c r="F419" s="9">
        <f t="shared" si="47"/>
        <v>0.15381576879425474</v>
      </c>
      <c r="G419" s="9">
        <f t="shared" si="48"/>
        <v>0.14069939160285516</v>
      </c>
      <c r="H419" s="9">
        <f t="shared" si="49"/>
        <v>0.14779855383294249</v>
      </c>
      <c r="I419" s="11">
        <f t="shared" si="44"/>
        <v>45931</v>
      </c>
      <c r="AJ419" s="11">
        <v>45566</v>
      </c>
      <c r="AK419">
        <v>11672684.4</v>
      </c>
      <c r="AL419" s="26">
        <f t="shared" si="50"/>
        <v>0.85202089932286695</v>
      </c>
    </row>
    <row r="420" spans="1:38" x14ac:dyDescent="0.3">
      <c r="A420" s="11">
        <v>45962</v>
      </c>
      <c r="B420" s="18">
        <v>7165421.9199999999</v>
      </c>
      <c r="C420" s="18">
        <v>8406687.0399999991</v>
      </c>
      <c r="D420" s="18">
        <v>11678720.51</v>
      </c>
      <c r="E420" s="11">
        <f t="shared" si="43"/>
        <v>45962</v>
      </c>
      <c r="F420" s="9">
        <f t="shared" si="47"/>
        <v>0.16922553755425929</v>
      </c>
      <c r="G420" s="9">
        <f t="shared" si="48"/>
        <v>0.13875120530675678</v>
      </c>
      <c r="H420" s="9">
        <f t="shared" si="49"/>
        <v>0.15610280994062609</v>
      </c>
      <c r="I420" s="11">
        <f t="shared" si="44"/>
        <v>45962</v>
      </c>
      <c r="AJ420" s="11">
        <v>45597</v>
      </c>
      <c r="AK420">
        <v>11730368.699999999</v>
      </c>
      <c r="AL420" s="26">
        <f t="shared" si="50"/>
        <v>0.86116653690518707</v>
      </c>
    </row>
    <row r="421" spans="1:38" x14ac:dyDescent="0.3">
      <c r="A421" s="11">
        <v>45992</v>
      </c>
      <c r="B421" s="18">
        <v>7194836.5199999996</v>
      </c>
      <c r="C421" s="18">
        <v>8512605.1799999997</v>
      </c>
      <c r="D421" s="18">
        <v>11888798.689999999</v>
      </c>
      <c r="E421" s="11">
        <f t="shared" si="43"/>
        <v>45992</v>
      </c>
      <c r="F421" s="9">
        <f t="shared" si="47"/>
        <v>0.16577880588140226</v>
      </c>
      <c r="G421" s="9">
        <f t="shared" si="48"/>
        <v>0.14337441891256764</v>
      </c>
      <c r="H421" s="9">
        <f t="shared" si="49"/>
        <v>0.15974326663474647</v>
      </c>
      <c r="I421" s="11">
        <f t="shared" si="44"/>
        <v>45992</v>
      </c>
      <c r="AJ421" s="11">
        <v>45627</v>
      </c>
      <c r="AK421">
        <v>11779250.6</v>
      </c>
      <c r="AL421" s="26">
        <f t="shared" si="50"/>
        <v>0.87027889618037346</v>
      </c>
    </row>
    <row r="422" spans="1:38" x14ac:dyDescent="0.3">
      <c r="A422" s="11">
        <v>46023</v>
      </c>
      <c r="B422" s="18">
        <v>7219408.9199999999</v>
      </c>
      <c r="C422" s="18">
        <v>8474160.7100000009</v>
      </c>
      <c r="D422" s="18">
        <v>11871421.539999999</v>
      </c>
      <c r="E422" s="11">
        <f t="shared" si="43"/>
        <v>46023</v>
      </c>
      <c r="F422" s="9">
        <f t="shared" si="47"/>
        <v>0.16339837278809499</v>
      </c>
      <c r="G422" s="9">
        <f t="shared" si="48"/>
        <v>0.1296226830395506</v>
      </c>
      <c r="H422" s="9">
        <f t="shared" si="49"/>
        <v>0.15462318160223942</v>
      </c>
      <c r="I422" s="11">
        <f t="shared" si="44"/>
        <v>46023</v>
      </c>
      <c r="AJ422" s="11">
        <v>45658</v>
      </c>
      <c r="AK422">
        <v>11844378.199999999</v>
      </c>
      <c r="AL422" s="26">
        <f t="shared" si="50"/>
        <v>0.86806088562757988</v>
      </c>
    </row>
    <row r="423" spans="1:38" x14ac:dyDescent="0.3">
      <c r="A423" s="11">
        <v>46054</v>
      </c>
      <c r="B423" s="18">
        <v>7333146.0099999998</v>
      </c>
      <c r="C423" s="18">
        <v>8560800.1799999997</v>
      </c>
      <c r="D423" s="18">
        <v>12079955.23</v>
      </c>
      <c r="E423" s="11">
        <f t="shared" si="43"/>
        <v>46054</v>
      </c>
      <c r="F423" s="9">
        <f t="shared" si="47"/>
        <v>0.16699638657816185</v>
      </c>
      <c r="G423" s="9">
        <f t="shared" si="48"/>
        <v>0.12617007671453351</v>
      </c>
      <c r="H423" s="9">
        <f t="shared" si="49"/>
        <v>0.14668979752332456</v>
      </c>
      <c r="I423" s="11">
        <f t="shared" si="44"/>
        <v>46054</v>
      </c>
      <c r="AJ423" s="11">
        <v>45689</v>
      </c>
      <c r="AK423">
        <v>11936197.5</v>
      </c>
      <c r="AL423" s="26">
        <f t="shared" si="50"/>
        <v>0.8825785741229567</v>
      </c>
    </row>
    <row r="424" spans="1:38" x14ac:dyDescent="0.3">
      <c r="A424" s="11">
        <v>46082</v>
      </c>
      <c r="B424" s="18">
        <v>7542082.1299999999</v>
      </c>
      <c r="C424" s="18">
        <v>8746226.2799999993</v>
      </c>
      <c r="D424" s="18">
        <v>11901628.779999999</v>
      </c>
      <c r="E424" s="11">
        <f t="shared" si="43"/>
        <v>46082</v>
      </c>
      <c r="F424" s="9">
        <f t="shared" si="47"/>
        <v>0.18415565582026816</v>
      </c>
      <c r="G424" s="9">
        <f t="shared" si="48"/>
        <v>0.14482346494182785</v>
      </c>
      <c r="H424" s="9">
        <f t="shared" si="49"/>
        <v>0.12534561513066889</v>
      </c>
      <c r="I424" s="11">
        <f t="shared" si="44"/>
        <v>46082</v>
      </c>
      <c r="AJ424" s="11">
        <v>45717</v>
      </c>
      <c r="AK424">
        <v>12039140.800000001</v>
      </c>
      <c r="AL424" s="26">
        <f t="shared" si="50"/>
        <v>0.87846605299275171</v>
      </c>
    </row>
    <row r="425" spans="1:38" x14ac:dyDescent="0.3">
      <c r="A425" s="11">
        <v>46113</v>
      </c>
      <c r="B425" s="18">
        <v>7650647.5199999996</v>
      </c>
      <c r="C425" s="18">
        <v>8798326.4499999993</v>
      </c>
      <c r="D425" s="18">
        <v>12093866.51</v>
      </c>
      <c r="E425" s="11">
        <f t="shared" si="43"/>
        <v>46113</v>
      </c>
      <c r="F425" s="9">
        <f t="shared" si="47"/>
        <v>0.19271056423109312</v>
      </c>
      <c r="G425" s="9">
        <f t="shared" si="48"/>
        <v>0.14397783380353824</v>
      </c>
      <c r="H425" s="9">
        <f t="shared" si="49"/>
        <v>0.13027490477891912</v>
      </c>
      <c r="I425" s="11">
        <f t="shared" si="44"/>
        <v>46113</v>
      </c>
      <c r="AJ425" s="11">
        <v>45748</v>
      </c>
      <c r="AK425">
        <v>12134109.300000001</v>
      </c>
      <c r="AL425" s="26">
        <f t="shared" si="50"/>
        <v>0.88180627069182571</v>
      </c>
    </row>
    <row r="426" spans="1:38" x14ac:dyDescent="0.3">
      <c r="A426" s="11">
        <v>46143</v>
      </c>
      <c r="B426" s="18">
        <v>7784265.3899999997</v>
      </c>
      <c r="C426" s="18">
        <v>8956645.5199999996</v>
      </c>
      <c r="D426" s="18">
        <v>12352252.99</v>
      </c>
      <c r="E426" s="11">
        <f t="shared" si="43"/>
        <v>46143</v>
      </c>
      <c r="F426" s="9">
        <f t="shared" si="47"/>
        <v>0.19306803987099896</v>
      </c>
      <c r="G426" s="9">
        <f t="shared" si="48"/>
        <v>0.14637992591668403</v>
      </c>
      <c r="H426" s="9">
        <f t="shared" si="49"/>
        <v>0.14768229907215491</v>
      </c>
      <c r="I426" s="11">
        <f t="shared" si="44"/>
        <v>46143</v>
      </c>
      <c r="AJ426" s="11">
        <v>45778</v>
      </c>
      <c r="AK426">
        <v>12230518.300000001</v>
      </c>
      <c r="AL426" s="26">
        <f t="shared" si="50"/>
        <v>0.87999384130760827</v>
      </c>
    </row>
    <row r="427" spans="1:38" x14ac:dyDescent="0.3">
      <c r="A427" s="11">
        <v>46174</v>
      </c>
      <c r="B427" s="18">
        <v>7916561.3300000001</v>
      </c>
      <c r="C427" s="18">
        <v>9095117.8399999999</v>
      </c>
      <c r="D427" s="18">
        <v>12633283.1</v>
      </c>
      <c r="E427" s="11">
        <f t="shared" si="43"/>
        <v>46174</v>
      </c>
      <c r="F427" s="9">
        <f t="shared" si="47"/>
        <v>0.18584645364441688</v>
      </c>
      <c r="G427" s="9">
        <f t="shared" si="48"/>
        <v>0.1499275554394226</v>
      </c>
      <c r="H427" s="9">
        <f t="shared" si="49"/>
        <v>0.14689697074003671</v>
      </c>
      <c r="I427" s="11">
        <f t="shared" si="44"/>
        <v>46174</v>
      </c>
      <c r="AJ427" s="11">
        <v>45809</v>
      </c>
      <c r="AK427">
        <v>12304727.1</v>
      </c>
      <c r="AL427" s="26">
        <f t="shared" si="50"/>
        <v>0.89519951157632738</v>
      </c>
    </row>
    <row r="428" spans="1:38" x14ac:dyDescent="0.3">
      <c r="A428" s="11">
        <v>46204</v>
      </c>
      <c r="B428" s="18">
        <v>8035827.46</v>
      </c>
      <c r="C428" s="18">
        <v>9183605.0999999996</v>
      </c>
      <c r="D428" s="18">
        <v>12652369.51</v>
      </c>
      <c r="E428" s="11">
        <f t="shared" si="43"/>
        <v>46204</v>
      </c>
      <c r="F428" s="9">
        <f t="shared" si="47"/>
        <v>0.18143112477086776</v>
      </c>
      <c r="G428" s="9">
        <f t="shared" si="48"/>
        <v>0.13723109436147096</v>
      </c>
      <c r="H428" s="9">
        <f t="shared" si="49"/>
        <v>0.14209182505754803</v>
      </c>
      <c r="I428" s="11">
        <f t="shared" si="44"/>
        <v>46204</v>
      </c>
      <c r="AJ428" s="11">
        <v>45839</v>
      </c>
      <c r="AK428">
        <v>12380907.199999999</v>
      </c>
      <c r="AL428" s="26">
        <f t="shared" si="50"/>
        <v>0.89478434181301358</v>
      </c>
    </row>
    <row r="429" spans="1:38" x14ac:dyDescent="0.3">
      <c r="A429" t="s">
        <v>19</v>
      </c>
      <c r="E429" s="11"/>
      <c r="F429" s="9"/>
      <c r="G429" s="9">
        <f>C429/C417-1</f>
        <v>-1</v>
      </c>
      <c r="H429" s="9">
        <f>D429/D417-1</f>
        <v>-1</v>
      </c>
      <c r="I429" s="11" t="str">
        <f t="shared" si="44"/>
        <v>Fonte</v>
      </c>
      <c r="AJ429" s="11">
        <v>45870</v>
      </c>
      <c r="AK429">
        <v>12442688.699999999</v>
      </c>
      <c r="AL429" s="26">
        <f t="shared" si="50"/>
        <v>0.90819427958524757</v>
      </c>
    </row>
    <row r="430" spans="1:38" x14ac:dyDescent="0.3">
      <c r="AJ430" s="11">
        <v>45901</v>
      </c>
      <c r="AK430">
        <v>12524498.699999999</v>
      </c>
      <c r="AL430" s="26">
        <f t="shared" si="50"/>
        <v>0.90174311008551589</v>
      </c>
    </row>
    <row r="431" spans="1:38" x14ac:dyDescent="0.3">
      <c r="AJ431" s="11">
        <v>45931</v>
      </c>
      <c r="AK431">
        <v>12589120</v>
      </c>
      <c r="AL431" s="26">
        <f t="shared" si="50"/>
        <v>0.90675778132228457</v>
      </c>
    </row>
    <row r="432" spans="1:38" x14ac:dyDescent="0.3">
      <c r="AJ432" s="11">
        <v>45962</v>
      </c>
      <c r="AK432">
        <v>12653979.4</v>
      </c>
      <c r="AL432" s="26">
        <f t="shared" si="50"/>
        <v>0.92292868044340259</v>
      </c>
    </row>
    <row r="433" spans="36:38" x14ac:dyDescent="0.3">
      <c r="AJ433" s="11">
        <v>45992</v>
      </c>
      <c r="AK433">
        <v>12738565.6</v>
      </c>
      <c r="AL433" s="26">
        <f t="shared" si="50"/>
        <v>0.93329178993276918</v>
      </c>
    </row>
    <row r="434" spans="36:38" x14ac:dyDescent="0.3">
      <c r="AJ434" s="11">
        <v>46023</v>
      </c>
      <c r="AK434">
        <v>12808146.6</v>
      </c>
      <c r="AL434" s="26">
        <f t="shared" si="50"/>
        <v>0.92686490174932878</v>
      </c>
    </row>
    <row r="435" spans="36:38" x14ac:dyDescent="0.3">
      <c r="AJ435" s="11">
        <v>46054</v>
      </c>
      <c r="AK435">
        <v>12863521.300000001</v>
      </c>
      <c r="AL435" s="26">
        <f t="shared" si="50"/>
        <v>0.93908619174129249</v>
      </c>
    </row>
    <row r="436" spans="36:38" x14ac:dyDescent="0.3">
      <c r="AJ436" s="11">
        <v>46082</v>
      </c>
      <c r="AK436">
        <v>12964821.6</v>
      </c>
      <c r="AL436" s="26">
        <f t="shared" si="50"/>
        <v>0.91799402623480753</v>
      </c>
    </row>
    <row r="437" spans="36:38" x14ac:dyDescent="0.3">
      <c r="AJ437" s="11">
        <v>46113</v>
      </c>
      <c r="AK437">
        <v>13037854</v>
      </c>
      <c r="AL437" s="26">
        <f t="shared" si="50"/>
        <v>0.92759640581954672</v>
      </c>
    </row>
    <row r="438" spans="36:38" x14ac:dyDescent="0.3">
      <c r="AJ438" s="11">
        <v>46143</v>
      </c>
      <c r="AK438">
        <v>13106921.199999999</v>
      </c>
      <c r="AL438" s="26">
        <f t="shared" si="50"/>
        <v>0.94242216013322799</v>
      </c>
    </row>
    <row r="439" spans="36:38" x14ac:dyDescent="0.3">
      <c r="AJ439" s="11">
        <v>46174</v>
      </c>
      <c r="AK439">
        <v>13190204.199999999</v>
      </c>
      <c r="AL439" s="26">
        <f t="shared" si="50"/>
        <v>0.95777767413183801</v>
      </c>
    </row>
    <row r="440" spans="36:38" x14ac:dyDescent="0.3">
      <c r="AJ440" s="11">
        <v>46204</v>
      </c>
      <c r="AK440">
        <v>13258459.800000001</v>
      </c>
      <c r="AL440" s="26">
        <f t="shared" si="50"/>
        <v>0.9542865235372211</v>
      </c>
    </row>
    <row r="441" spans="36:38" x14ac:dyDescent="0.3">
      <c r="AJ441" s="11">
        <v>46235</v>
      </c>
      <c r="AK441">
        <v>13342452.6</v>
      </c>
      <c r="AL441" s="26"/>
    </row>
    <row r="442" spans="36:38" x14ac:dyDescent="0.3">
      <c r="AJ442" s="11"/>
      <c r="AL442" s="26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0025-4EAA-4205-B89F-A55E2A8D1802}">
  <dimension ref="A1:O332"/>
  <sheetViews>
    <sheetView workbookViewId="0">
      <selection activeCell="G6" sqref="G6"/>
    </sheetView>
  </sheetViews>
  <sheetFormatPr defaultRowHeight="14.4" x14ac:dyDescent="0.3"/>
  <cols>
    <col min="1" max="1" width="9" customWidth="1"/>
    <col min="2" max="2" width="9.5546875" customWidth="1"/>
    <col min="4" max="4" width="11.77734375" customWidth="1"/>
  </cols>
  <sheetData>
    <row r="1" spans="1:15" x14ac:dyDescent="0.3">
      <c r="A1" t="s">
        <v>4</v>
      </c>
      <c r="B1" t="s">
        <v>3</v>
      </c>
      <c r="C1" t="s">
        <v>2</v>
      </c>
      <c r="D1" t="s">
        <v>1</v>
      </c>
      <c r="E1" t="s">
        <v>0</v>
      </c>
      <c r="G1" s="22" t="s">
        <v>18</v>
      </c>
      <c r="H1" s="23" t="s">
        <v>17</v>
      </c>
      <c r="I1" s="23" t="s">
        <v>6</v>
      </c>
      <c r="J1" s="23" t="s">
        <v>5</v>
      </c>
      <c r="K1" s="22" t="s">
        <v>4</v>
      </c>
      <c r="L1" s="23" t="s">
        <v>3</v>
      </c>
      <c r="M1" s="23" t="s">
        <v>2</v>
      </c>
      <c r="N1" s="23" t="s">
        <v>1</v>
      </c>
      <c r="O1" s="24" t="s">
        <v>0</v>
      </c>
    </row>
    <row r="2" spans="1:15" x14ac:dyDescent="0.3">
      <c r="A2" t="s">
        <v>27</v>
      </c>
      <c r="B2">
        <v>100.55987793179592</v>
      </c>
      <c r="C2" t="s">
        <v>27</v>
      </c>
      <c r="D2" t="s">
        <v>27</v>
      </c>
      <c r="E2" t="s">
        <v>27</v>
      </c>
      <c r="G2">
        <v>99.147019550487485</v>
      </c>
      <c r="H2">
        <v>132.10536843573598</v>
      </c>
      <c r="I2">
        <v>100.63897928783332</v>
      </c>
      <c r="J2">
        <v>99.921081802840192</v>
      </c>
      <c r="K2">
        <v>99.959557165748436</v>
      </c>
      <c r="L2">
        <v>100.55987793179592</v>
      </c>
      <c r="M2">
        <v>100.82489251407691</v>
      </c>
      <c r="N2">
        <v>102.06426390309362</v>
      </c>
      <c r="O2">
        <v>99.428468972812396</v>
      </c>
    </row>
    <row r="3" spans="1:15" x14ac:dyDescent="0.3">
      <c r="A3" t="s">
        <v>27</v>
      </c>
      <c r="B3">
        <v>99.036263280166722</v>
      </c>
      <c r="C3" t="s">
        <v>27</v>
      </c>
      <c r="D3" t="s">
        <v>27</v>
      </c>
      <c r="E3" t="s">
        <v>27</v>
      </c>
      <c r="G3">
        <v>103.75395242223085</v>
      </c>
      <c r="H3">
        <v>137.42671589215166</v>
      </c>
      <c r="I3">
        <v>102.53407626234331</v>
      </c>
      <c r="J3">
        <v>101.04031139553869</v>
      </c>
      <c r="K3">
        <v>101.35557911635443</v>
      </c>
      <c r="L3">
        <v>99.036263280166722</v>
      </c>
      <c r="M3">
        <v>110.85116637129067</v>
      </c>
      <c r="N3">
        <v>102.65411794435823</v>
      </c>
      <c r="O3">
        <v>101.42995843978034</v>
      </c>
    </row>
    <row r="4" spans="1:15" x14ac:dyDescent="0.3">
      <c r="A4" t="s">
        <v>27</v>
      </c>
      <c r="B4">
        <v>94.972288943233295</v>
      </c>
      <c r="C4" t="s">
        <v>27</v>
      </c>
      <c r="D4" t="s">
        <v>27</v>
      </c>
      <c r="E4" t="s">
        <v>27</v>
      </c>
      <c r="G4">
        <v>108.29393125758604</v>
      </c>
      <c r="H4">
        <v>125.46754683554224</v>
      </c>
      <c r="I4">
        <v>99.657879564748484</v>
      </c>
      <c r="J4">
        <v>102.76580094033177</v>
      </c>
      <c r="K4">
        <v>102.70390533260266</v>
      </c>
      <c r="L4">
        <v>94.972288943233295</v>
      </c>
      <c r="M4">
        <v>115.51609618073356</v>
      </c>
      <c r="N4">
        <v>102.34084759525571</v>
      </c>
      <c r="O4">
        <v>102.94595008677301</v>
      </c>
    </row>
    <row r="5" spans="1:15" x14ac:dyDescent="0.3">
      <c r="A5" t="s">
        <v>27</v>
      </c>
      <c r="B5">
        <v>99.1450400114242</v>
      </c>
      <c r="C5" t="s">
        <v>27</v>
      </c>
      <c r="D5" t="s">
        <v>27</v>
      </c>
      <c r="E5" t="s">
        <v>27</v>
      </c>
      <c r="G5">
        <v>109.31172982162855</v>
      </c>
      <c r="H5">
        <v>124.16636232965307</v>
      </c>
      <c r="I5">
        <v>91.057731305605884</v>
      </c>
      <c r="J5">
        <v>102.46227819444603</v>
      </c>
      <c r="K5">
        <v>103.67998426717011</v>
      </c>
      <c r="L5">
        <v>99.1450400114242</v>
      </c>
      <c r="M5">
        <v>116.53264776382161</v>
      </c>
      <c r="N5">
        <v>102.61168826664712</v>
      </c>
      <c r="O5">
        <v>103.72840975826658</v>
      </c>
    </row>
    <row r="6" spans="1:15" x14ac:dyDescent="0.3">
      <c r="A6" t="s">
        <v>27</v>
      </c>
      <c r="B6">
        <v>98.549924535236954</v>
      </c>
      <c r="C6" t="s">
        <v>27</v>
      </c>
      <c r="D6" t="s">
        <v>27</v>
      </c>
      <c r="E6" t="s">
        <v>27</v>
      </c>
      <c r="G6">
        <v>107.36157199814508</v>
      </c>
      <c r="H6">
        <v>128.89498985029218</v>
      </c>
      <c r="I6">
        <v>93.808433382578315</v>
      </c>
      <c r="J6">
        <v>104.96885783672595</v>
      </c>
      <c r="K6">
        <v>104.78564448794876</v>
      </c>
      <c r="L6">
        <v>98.549924535236954</v>
      </c>
      <c r="M6">
        <v>120.44816296001274</v>
      </c>
      <c r="N6">
        <v>103.95818167611287</v>
      </c>
      <c r="O6">
        <v>105.65520681461136</v>
      </c>
    </row>
    <row r="7" spans="1:15" x14ac:dyDescent="0.3">
      <c r="A7" t="s">
        <v>27</v>
      </c>
      <c r="B7">
        <v>103.13802954823301</v>
      </c>
      <c r="C7" t="s">
        <v>27</v>
      </c>
      <c r="D7" t="s">
        <v>27</v>
      </c>
      <c r="E7" t="s">
        <v>27</v>
      </c>
      <c r="G7">
        <v>115.21329979353308</v>
      </c>
      <c r="H7">
        <v>130.6707282217572</v>
      </c>
      <c r="I7">
        <v>94.007317598264663</v>
      </c>
      <c r="J7">
        <v>105.31537732786802</v>
      </c>
      <c r="K7">
        <v>105.96970914821748</v>
      </c>
      <c r="L7">
        <v>103.13802954823301</v>
      </c>
      <c r="M7">
        <v>121.79285786023753</v>
      </c>
      <c r="N7">
        <v>105.7483212691121</v>
      </c>
      <c r="O7">
        <v>109.10143297993679</v>
      </c>
    </row>
    <row r="8" spans="1:15" x14ac:dyDescent="0.3">
      <c r="A8" t="s">
        <v>27</v>
      </c>
      <c r="B8">
        <v>100.28766542360952</v>
      </c>
      <c r="C8" t="s">
        <v>27</v>
      </c>
      <c r="D8" t="s">
        <v>27</v>
      </c>
      <c r="E8" t="s">
        <v>27</v>
      </c>
      <c r="G8">
        <v>119.33291725024876</v>
      </c>
      <c r="H8">
        <v>132.3551827851131</v>
      </c>
      <c r="I8">
        <v>97.470894951511241</v>
      </c>
      <c r="J8">
        <v>106.76250857773992</v>
      </c>
      <c r="K8">
        <v>106.35768186804343</v>
      </c>
      <c r="L8">
        <v>100.28766542360952</v>
      </c>
      <c r="M8">
        <v>122.42065709446696</v>
      </c>
      <c r="N8">
        <v>107.81336492332471</v>
      </c>
      <c r="O8">
        <v>110.93513787593974</v>
      </c>
    </row>
    <row r="9" spans="1:15" x14ac:dyDescent="0.3">
      <c r="A9" t="s">
        <v>27</v>
      </c>
      <c r="B9">
        <v>97.157621353067412</v>
      </c>
      <c r="C9" t="s">
        <v>27</v>
      </c>
      <c r="D9" t="s">
        <v>27</v>
      </c>
      <c r="E9" t="s">
        <v>27</v>
      </c>
      <c r="G9">
        <v>119.17279260151822</v>
      </c>
      <c r="H9">
        <v>137.35572025739521</v>
      </c>
      <c r="I9">
        <v>100.01037749807509</v>
      </c>
      <c r="J9">
        <v>105.93317302525246</v>
      </c>
      <c r="K9">
        <v>106.72387790763032</v>
      </c>
      <c r="L9">
        <v>97.157621353067412</v>
      </c>
      <c r="M9">
        <v>132.65850911353078</v>
      </c>
      <c r="N9">
        <v>105.06816517343125</v>
      </c>
      <c r="O9">
        <v>112.17790532179957</v>
      </c>
    </row>
    <row r="10" spans="1:15" x14ac:dyDescent="0.3">
      <c r="A10" t="s">
        <v>27</v>
      </c>
      <c r="B10">
        <v>93.618207448818282</v>
      </c>
      <c r="C10" t="s">
        <v>27</v>
      </c>
      <c r="D10" t="s">
        <v>27</v>
      </c>
      <c r="E10" t="s">
        <v>27</v>
      </c>
      <c r="G10">
        <v>122.72945237886566</v>
      </c>
      <c r="H10">
        <v>136.50782854539077</v>
      </c>
      <c r="I10">
        <v>100.06018413960966</v>
      </c>
      <c r="J10">
        <v>108.5577657338025</v>
      </c>
      <c r="K10">
        <v>99.115729535569287</v>
      </c>
      <c r="L10">
        <v>93.618207448818282</v>
      </c>
      <c r="M10">
        <v>135.37723616316126</v>
      </c>
      <c r="N10">
        <v>106.53566293056127</v>
      </c>
      <c r="O10">
        <v>113.44848543974946</v>
      </c>
    </row>
    <row r="11" spans="1:15" x14ac:dyDescent="0.3">
      <c r="A11" t="s">
        <v>27</v>
      </c>
      <c r="B11">
        <v>98.558490517511771</v>
      </c>
      <c r="C11" t="s">
        <v>27</v>
      </c>
      <c r="D11" t="s">
        <v>27</v>
      </c>
      <c r="E11" t="s">
        <v>27</v>
      </c>
      <c r="G11">
        <v>127.00094674344103</v>
      </c>
      <c r="H11">
        <v>139.07420464263632</v>
      </c>
      <c r="I11">
        <v>99.407585722859267</v>
      </c>
      <c r="J11">
        <v>109.95853927021568</v>
      </c>
      <c r="K11">
        <v>104.4381755343268</v>
      </c>
      <c r="L11">
        <v>98.558490517511771</v>
      </c>
      <c r="M11">
        <v>139.24114158895358</v>
      </c>
      <c r="N11">
        <v>108.67005124484554</v>
      </c>
      <c r="O11">
        <v>114.00713252680318</v>
      </c>
    </row>
    <row r="12" spans="1:15" x14ac:dyDescent="0.3">
      <c r="A12" t="s">
        <v>27</v>
      </c>
      <c r="B12">
        <v>102.22147943916895</v>
      </c>
      <c r="C12" t="s">
        <v>27</v>
      </c>
      <c r="D12" t="s">
        <v>27</v>
      </c>
      <c r="E12" t="s">
        <v>27</v>
      </c>
      <c r="G12">
        <v>130.48993859154407</v>
      </c>
      <c r="H12">
        <v>137.67548383531573</v>
      </c>
      <c r="I12">
        <v>101.73564725150895</v>
      </c>
      <c r="J12">
        <v>109.03383403650457</v>
      </c>
      <c r="K12">
        <v>101.42153445874719</v>
      </c>
      <c r="L12">
        <v>102.22147943916895</v>
      </c>
      <c r="M12">
        <v>141.44445830324057</v>
      </c>
      <c r="N12">
        <v>107.98183784154617</v>
      </c>
      <c r="O12">
        <v>115.52098947782289</v>
      </c>
    </row>
    <row r="13" spans="1:15" x14ac:dyDescent="0.3">
      <c r="A13" t="s">
        <v>27</v>
      </c>
      <c r="B13">
        <v>109.35154989476877</v>
      </c>
      <c r="C13" t="s">
        <v>27</v>
      </c>
      <c r="D13" t="s">
        <v>27</v>
      </c>
      <c r="E13" t="s">
        <v>27</v>
      </c>
      <c r="G13">
        <v>137.32002495283371</v>
      </c>
      <c r="H13">
        <v>136.73402524710104</v>
      </c>
      <c r="I13">
        <v>103.19512467280126</v>
      </c>
      <c r="J13">
        <v>110.9922456089555</v>
      </c>
      <c r="K13">
        <v>100.80660619832986</v>
      </c>
      <c r="L13">
        <v>109.35154989476877</v>
      </c>
      <c r="M13">
        <v>141.5328197646551</v>
      </c>
      <c r="N13">
        <v>111.37303045677118</v>
      </c>
      <c r="O13">
        <v>119.39314457678311</v>
      </c>
    </row>
    <row r="14" spans="1:15" x14ac:dyDescent="0.3">
      <c r="A14" t="s">
        <v>27</v>
      </c>
      <c r="B14">
        <v>107.60832294657665</v>
      </c>
      <c r="C14" t="s">
        <v>27</v>
      </c>
      <c r="D14" t="s">
        <v>27</v>
      </c>
      <c r="E14" t="s">
        <v>27</v>
      </c>
      <c r="G14">
        <v>139.96320565840591</v>
      </c>
      <c r="H14">
        <v>139.14515271347398</v>
      </c>
      <c r="I14">
        <v>104.02537087876478</v>
      </c>
      <c r="J14">
        <v>109.01776037256215</v>
      </c>
      <c r="K14">
        <v>105.04966663329731</v>
      </c>
      <c r="L14">
        <v>107.60832294657665</v>
      </c>
      <c r="M14">
        <v>144.45984997871503</v>
      </c>
      <c r="N14">
        <v>107.83100683762129</v>
      </c>
      <c r="O14">
        <v>118.59193672422622</v>
      </c>
    </row>
    <row r="15" spans="1:15" x14ac:dyDescent="0.3">
      <c r="A15" t="s">
        <v>27</v>
      </c>
      <c r="B15">
        <v>116.56039990286169</v>
      </c>
      <c r="C15" t="s">
        <v>27</v>
      </c>
      <c r="D15" t="s">
        <v>27</v>
      </c>
      <c r="E15" t="s">
        <v>27</v>
      </c>
      <c r="G15">
        <v>142.87886559691086</v>
      </c>
      <c r="H15">
        <v>139.87511617487161</v>
      </c>
      <c r="I15">
        <v>104.00363162506522</v>
      </c>
      <c r="J15">
        <v>110.96608768134072</v>
      </c>
      <c r="K15">
        <v>107.1128934628386</v>
      </c>
      <c r="L15">
        <v>116.56039990286169</v>
      </c>
      <c r="M15">
        <v>146.52032729968792</v>
      </c>
      <c r="N15">
        <v>106.62994189660114</v>
      </c>
      <c r="O15">
        <v>121.33857268554421</v>
      </c>
    </row>
    <row r="16" spans="1:15" x14ac:dyDescent="0.3">
      <c r="A16" t="s">
        <v>27</v>
      </c>
      <c r="B16">
        <v>127.75110575296034</v>
      </c>
      <c r="C16" t="s">
        <v>27</v>
      </c>
      <c r="D16" t="s">
        <v>27</v>
      </c>
      <c r="E16" t="s">
        <v>27</v>
      </c>
      <c r="G16">
        <v>139.211157507396</v>
      </c>
      <c r="H16">
        <v>139.20029226730887</v>
      </c>
      <c r="I16">
        <v>103.55678226379311</v>
      </c>
      <c r="J16">
        <v>109.05987508451346</v>
      </c>
      <c r="K16">
        <v>104.36333711237967</v>
      </c>
      <c r="L16">
        <v>127.75110575296034</v>
      </c>
      <c r="M16">
        <v>152.63770704076714</v>
      </c>
      <c r="N16">
        <v>100.70916681747585</v>
      </c>
      <c r="O16">
        <v>122.24942983515712</v>
      </c>
    </row>
    <row r="17" spans="1:15" x14ac:dyDescent="0.3">
      <c r="A17" t="s">
        <v>27</v>
      </c>
      <c r="B17">
        <v>131.22349927863354</v>
      </c>
      <c r="C17" t="s">
        <v>27</v>
      </c>
      <c r="D17" t="s">
        <v>27</v>
      </c>
      <c r="E17" t="s">
        <v>27</v>
      </c>
      <c r="G17">
        <v>145.4290883390766</v>
      </c>
      <c r="H17">
        <v>142.5269689581435</v>
      </c>
      <c r="I17">
        <v>104.00269016132235</v>
      </c>
      <c r="J17">
        <v>110.20056295741716</v>
      </c>
      <c r="K17">
        <v>101.6037120065054</v>
      </c>
      <c r="L17">
        <v>131.22349927863354</v>
      </c>
      <c r="M17">
        <v>155.01970088661537</v>
      </c>
      <c r="N17">
        <v>101.86726258708723</v>
      </c>
      <c r="O17">
        <v>122.95384827193469</v>
      </c>
    </row>
    <row r="18" spans="1:15" x14ac:dyDescent="0.3">
      <c r="A18" t="s">
        <v>27</v>
      </c>
      <c r="B18" t="s">
        <v>27</v>
      </c>
      <c r="C18">
        <v>100.82489251407691</v>
      </c>
      <c r="D18" t="s">
        <v>27</v>
      </c>
      <c r="E18" t="s">
        <v>27</v>
      </c>
      <c r="G18">
        <v>158.90405902769916</v>
      </c>
      <c r="H18">
        <v>144.40890026425649</v>
      </c>
      <c r="I18">
        <v>106.57992219444075</v>
      </c>
      <c r="J18">
        <v>112.40044100034373</v>
      </c>
      <c r="K18">
        <v>98.476061903587336</v>
      </c>
      <c r="M18">
        <v>158.04858415514607</v>
      </c>
      <c r="N18">
        <v>106.60290642369647</v>
      </c>
      <c r="O18">
        <v>125.01832002837374</v>
      </c>
    </row>
    <row r="19" spans="1:15" x14ac:dyDescent="0.3">
      <c r="A19" t="s">
        <v>27</v>
      </c>
      <c r="B19" t="s">
        <v>27</v>
      </c>
      <c r="C19">
        <v>110.85116637129067</v>
      </c>
      <c r="D19" t="s">
        <v>27</v>
      </c>
      <c r="E19" t="s">
        <v>27</v>
      </c>
      <c r="G19">
        <v>170.74149620702644</v>
      </c>
      <c r="H19">
        <v>144.54071717914482</v>
      </c>
      <c r="I19">
        <v>106.31902975314289</v>
      </c>
      <c r="J19">
        <v>113.24958628696703</v>
      </c>
      <c r="K19">
        <v>98.97277818078328</v>
      </c>
      <c r="M19">
        <v>157.44452801752672</v>
      </c>
      <c r="N19">
        <v>113.59532982992906</v>
      </c>
      <c r="O19">
        <v>125.65724476865314</v>
      </c>
    </row>
    <row r="20" spans="1:15" x14ac:dyDescent="0.3">
      <c r="A20" t="s">
        <v>27</v>
      </c>
      <c r="B20" t="s">
        <v>27</v>
      </c>
      <c r="C20">
        <v>115.51609618073356</v>
      </c>
      <c r="D20" t="s">
        <v>27</v>
      </c>
      <c r="E20" t="s">
        <v>27</v>
      </c>
      <c r="G20">
        <v>175.37270143588154</v>
      </c>
      <c r="H20">
        <v>145.12458157804457</v>
      </c>
      <c r="I20">
        <v>105.78606142244975</v>
      </c>
      <c r="J20">
        <v>114.20497377629361</v>
      </c>
      <c r="K20">
        <v>98.584679601514651</v>
      </c>
      <c r="M20">
        <v>159.42670306974389</v>
      </c>
      <c r="N20">
        <v>119.48208568842446</v>
      </c>
      <c r="O20">
        <v>126.21228344920699</v>
      </c>
    </row>
    <row r="21" spans="1:15" x14ac:dyDescent="0.3">
      <c r="A21" t="s">
        <v>27</v>
      </c>
      <c r="B21" t="s">
        <v>27</v>
      </c>
      <c r="C21">
        <v>116.53264776382161</v>
      </c>
      <c r="D21" t="s">
        <v>27</v>
      </c>
      <c r="E21" t="s">
        <v>27</v>
      </c>
      <c r="G21">
        <v>178.8098525112548</v>
      </c>
      <c r="H21">
        <v>143.07289464583343</v>
      </c>
      <c r="I21">
        <v>105.64344749615402</v>
      </c>
      <c r="J21">
        <v>112.58891751925808</v>
      </c>
      <c r="K21">
        <v>99.690723393928167</v>
      </c>
      <c r="M21">
        <v>160.83783979748426</v>
      </c>
      <c r="N21">
        <v>120.87057710827652</v>
      </c>
      <c r="O21">
        <v>127.43870733347121</v>
      </c>
    </row>
    <row r="22" spans="1:15" x14ac:dyDescent="0.3">
      <c r="A22" t="s">
        <v>27</v>
      </c>
      <c r="B22" t="s">
        <v>27</v>
      </c>
      <c r="C22">
        <v>120.44816296001274</v>
      </c>
      <c r="D22" t="s">
        <v>27</v>
      </c>
      <c r="E22" t="s">
        <v>27</v>
      </c>
      <c r="G22">
        <v>180.95924719846417</v>
      </c>
      <c r="H22">
        <v>143.57095373526803</v>
      </c>
      <c r="I22">
        <v>104.8479320303119</v>
      </c>
      <c r="J22">
        <v>106.30998200217155</v>
      </c>
      <c r="K22">
        <v>100.03843607535978</v>
      </c>
      <c r="M22">
        <v>163.12729021331248</v>
      </c>
      <c r="N22">
        <v>123.14225299985725</v>
      </c>
      <c r="O22">
        <v>129.29782365877824</v>
      </c>
    </row>
    <row r="23" spans="1:15" x14ac:dyDescent="0.3">
      <c r="A23" t="s">
        <v>27</v>
      </c>
      <c r="B23" t="s">
        <v>27</v>
      </c>
      <c r="C23">
        <v>121.79285786023753</v>
      </c>
      <c r="D23" t="s">
        <v>27</v>
      </c>
      <c r="E23" t="s">
        <v>27</v>
      </c>
      <c r="G23">
        <v>185.15831941115684</v>
      </c>
      <c r="H23">
        <v>148.00203002805321</v>
      </c>
      <c r="I23">
        <v>105.72297621937479</v>
      </c>
      <c r="J23">
        <v>100.92419558426674</v>
      </c>
      <c r="K23">
        <v>100.22268830615349</v>
      </c>
      <c r="M23">
        <v>164.19506059811505</v>
      </c>
      <c r="N23">
        <v>123.15271650002398</v>
      </c>
      <c r="O23">
        <v>129.25185583535139</v>
      </c>
    </row>
    <row r="24" spans="1:15" x14ac:dyDescent="0.3">
      <c r="A24" t="s">
        <v>27</v>
      </c>
      <c r="B24" t="s">
        <v>27</v>
      </c>
      <c r="C24">
        <v>122.42065709446696</v>
      </c>
      <c r="D24" t="s">
        <v>27</v>
      </c>
      <c r="E24" t="s">
        <v>27</v>
      </c>
      <c r="G24">
        <v>189.72858553066766</v>
      </c>
      <c r="H24">
        <v>150.68771372955001</v>
      </c>
      <c r="I24">
        <v>105.34272828561132</v>
      </c>
      <c r="J24">
        <v>95.786295860771261</v>
      </c>
      <c r="K24">
        <v>99.393393446067336</v>
      </c>
      <c r="M24">
        <v>165.69211079016699</v>
      </c>
      <c r="N24">
        <v>128.61979366193324</v>
      </c>
      <c r="O24">
        <v>129.33427092810396</v>
      </c>
    </row>
    <row r="25" spans="1:15" x14ac:dyDescent="0.3">
      <c r="A25" t="s">
        <v>27</v>
      </c>
      <c r="B25" t="s">
        <v>27</v>
      </c>
      <c r="C25">
        <v>132.65850911353078</v>
      </c>
      <c r="D25" t="s">
        <v>27</v>
      </c>
      <c r="E25" t="s">
        <v>27</v>
      </c>
      <c r="G25">
        <v>195.04962390757302</v>
      </c>
      <c r="H25">
        <v>152.62264853714575</v>
      </c>
      <c r="I25">
        <v>107.24800305376606</v>
      </c>
      <c r="J25">
        <v>98.98435699663338</v>
      </c>
      <c r="K25">
        <v>100.10866963991955</v>
      </c>
      <c r="M25">
        <v>163.77633758003179</v>
      </c>
      <c r="N25">
        <v>132.1220260930053</v>
      </c>
      <c r="O25">
        <v>130.24915624796267</v>
      </c>
    </row>
    <row r="26" spans="1:15" x14ac:dyDescent="0.3">
      <c r="A26" t="s">
        <v>27</v>
      </c>
      <c r="B26" t="s">
        <v>27</v>
      </c>
      <c r="C26">
        <v>135.37723616316126</v>
      </c>
      <c r="D26" t="s">
        <v>27</v>
      </c>
      <c r="E26" t="s">
        <v>27</v>
      </c>
      <c r="G26">
        <v>199.4483734710731</v>
      </c>
      <c r="H26">
        <v>145.98317517177279</v>
      </c>
      <c r="I26">
        <v>107.6327514695126</v>
      </c>
      <c r="J26">
        <v>101.91458036117102</v>
      </c>
      <c r="K26">
        <v>101.37939951421056</v>
      </c>
      <c r="M26">
        <v>160.96001941540331</v>
      </c>
      <c r="N26">
        <v>129.73994504147672</v>
      </c>
      <c r="O26">
        <v>130.96140732006808</v>
      </c>
    </row>
    <row r="27" spans="1:15" x14ac:dyDescent="0.3">
      <c r="A27" t="s">
        <v>27</v>
      </c>
      <c r="B27" t="s">
        <v>27</v>
      </c>
      <c r="C27">
        <v>139.24114158895358</v>
      </c>
      <c r="D27" t="s">
        <v>27</v>
      </c>
      <c r="E27" t="s">
        <v>27</v>
      </c>
      <c r="G27">
        <v>201.20959271501192</v>
      </c>
      <c r="H27">
        <v>149.84904509379476</v>
      </c>
      <c r="I27">
        <v>108.33156541420253</v>
      </c>
      <c r="J27">
        <v>102.16464699613702</v>
      </c>
      <c r="K27">
        <v>104.42306640789702</v>
      </c>
      <c r="M27">
        <v>161.87796564979604</v>
      </c>
      <c r="N27">
        <v>131.29911620185871</v>
      </c>
      <c r="O27">
        <v>132.61448549140846</v>
      </c>
    </row>
    <row r="28" spans="1:15" x14ac:dyDescent="0.3">
      <c r="A28" t="s">
        <v>27</v>
      </c>
      <c r="B28" t="s">
        <v>27</v>
      </c>
      <c r="C28">
        <v>141.44445830324057</v>
      </c>
      <c r="D28" t="s">
        <v>27</v>
      </c>
      <c r="E28" t="s">
        <v>27</v>
      </c>
      <c r="G28">
        <v>202.16880649721477</v>
      </c>
      <c r="H28">
        <v>153.51795282818088</v>
      </c>
      <c r="I28">
        <v>109.43441886599197</v>
      </c>
      <c r="J28">
        <v>103.58241428362285</v>
      </c>
      <c r="K28">
        <v>104.44164366119209</v>
      </c>
      <c r="M28">
        <v>165.93401441262895</v>
      </c>
      <c r="N28">
        <v>131.16951324371092</v>
      </c>
      <c r="O28">
        <v>134.41650761598842</v>
      </c>
    </row>
    <row r="29" spans="1:15" x14ac:dyDescent="0.3">
      <c r="A29" t="s">
        <v>27</v>
      </c>
      <c r="B29" t="s">
        <v>27</v>
      </c>
      <c r="C29">
        <v>141.5328197646551</v>
      </c>
      <c r="D29" t="s">
        <v>27</v>
      </c>
      <c r="E29" t="s">
        <v>27</v>
      </c>
      <c r="G29">
        <v>204.59860918482391</v>
      </c>
      <c r="H29">
        <v>155.96404409884406</v>
      </c>
      <c r="I29">
        <v>107.45475776369697</v>
      </c>
      <c r="J29">
        <v>107.24058014252459</v>
      </c>
      <c r="K29">
        <v>105.0275852932962</v>
      </c>
      <c r="M29">
        <v>161.80106223652771</v>
      </c>
      <c r="N29">
        <v>133.02970596670804</v>
      </c>
      <c r="O29">
        <v>135.37337965152966</v>
      </c>
    </row>
    <row r="30" spans="1:15" x14ac:dyDescent="0.3">
      <c r="A30" t="s">
        <v>27</v>
      </c>
      <c r="B30" t="s">
        <v>27</v>
      </c>
      <c r="C30">
        <v>144.45984997871503</v>
      </c>
      <c r="D30" t="s">
        <v>27</v>
      </c>
      <c r="E30" t="s">
        <v>27</v>
      </c>
      <c r="G30">
        <v>204.21840807664955</v>
      </c>
      <c r="H30">
        <v>162.09783085180837</v>
      </c>
      <c r="I30">
        <v>108.08087751267848</v>
      </c>
      <c r="J30">
        <v>112.73180011934761</v>
      </c>
      <c r="K30">
        <v>102.57347998901791</v>
      </c>
      <c r="M30">
        <v>167.26090500517094</v>
      </c>
      <c r="N30">
        <v>136.10017084509843</v>
      </c>
      <c r="O30">
        <v>137.69639358595336</v>
      </c>
    </row>
    <row r="31" spans="1:15" x14ac:dyDescent="0.3">
      <c r="A31" t="s">
        <v>27</v>
      </c>
      <c r="B31" t="s">
        <v>27</v>
      </c>
      <c r="C31">
        <v>146.52032729968792</v>
      </c>
      <c r="D31" t="s">
        <v>27</v>
      </c>
      <c r="E31" t="s">
        <v>27</v>
      </c>
      <c r="G31">
        <v>197.86362246550942</v>
      </c>
      <c r="H31">
        <v>163.6107526281011</v>
      </c>
      <c r="I31">
        <v>110.03481062189353</v>
      </c>
      <c r="J31">
        <v>114.95919923226947</v>
      </c>
      <c r="K31">
        <v>101.93851910063884</v>
      </c>
      <c r="M31">
        <v>173.89361066790042</v>
      </c>
      <c r="N31">
        <v>142.02244572393985</v>
      </c>
      <c r="O31">
        <v>140.88938234027154</v>
      </c>
    </row>
    <row r="32" spans="1:15" x14ac:dyDescent="0.3">
      <c r="A32" t="s">
        <v>27</v>
      </c>
      <c r="B32" t="s">
        <v>27</v>
      </c>
      <c r="C32">
        <v>152.63770704076714</v>
      </c>
      <c r="D32" t="s">
        <v>27</v>
      </c>
      <c r="E32" t="s">
        <v>27</v>
      </c>
      <c r="G32">
        <v>201.32483324905849</v>
      </c>
      <c r="H32">
        <v>170.90621026521035</v>
      </c>
      <c r="I32">
        <v>111.46147054282983</v>
      </c>
      <c r="J32">
        <v>118.44310303502625</v>
      </c>
      <c r="K32">
        <v>100.27468523702105</v>
      </c>
      <c r="M32">
        <v>172.93991618646911</v>
      </c>
      <c r="N32">
        <v>142.62393162563257</v>
      </c>
      <c r="O32">
        <v>143.54641108782229</v>
      </c>
    </row>
    <row r="33" spans="1:15" x14ac:dyDescent="0.3">
      <c r="A33" t="s">
        <v>27</v>
      </c>
      <c r="B33" t="s">
        <v>27</v>
      </c>
      <c r="C33">
        <v>155.01970088661537</v>
      </c>
      <c r="D33" t="s">
        <v>27</v>
      </c>
      <c r="E33" t="s">
        <v>27</v>
      </c>
      <c r="G33">
        <v>200.88016913488786</v>
      </c>
      <c r="H33">
        <v>176.60529739253732</v>
      </c>
      <c r="I33">
        <v>112.77648498877075</v>
      </c>
      <c r="J33">
        <v>119.34937798576421</v>
      </c>
      <c r="K33">
        <v>99.572817069353349</v>
      </c>
      <c r="M33">
        <v>175.40926487630767</v>
      </c>
      <c r="N33">
        <v>144.57134141091569</v>
      </c>
      <c r="O33">
        <v>145.94772372894292</v>
      </c>
    </row>
    <row r="34" spans="1:15" x14ac:dyDescent="0.3">
      <c r="A34" t="s">
        <v>27</v>
      </c>
      <c r="B34" t="s">
        <v>27</v>
      </c>
      <c r="C34">
        <v>158.04858415514607</v>
      </c>
      <c r="D34" t="s">
        <v>27</v>
      </c>
      <c r="E34" t="s">
        <v>27</v>
      </c>
      <c r="G34">
        <v>217.48817254213137</v>
      </c>
      <c r="H34">
        <v>180.9407572366124</v>
      </c>
      <c r="I34">
        <v>113.75846733411454</v>
      </c>
      <c r="J34">
        <v>124.51451065743575</v>
      </c>
      <c r="K34">
        <v>105.85024256610708</v>
      </c>
      <c r="N34">
        <v>143.62786860893323</v>
      </c>
      <c r="O34">
        <v>148.24805818061427</v>
      </c>
    </row>
    <row r="35" spans="1:15" x14ac:dyDescent="0.3">
      <c r="A35" t="s">
        <v>27</v>
      </c>
      <c r="B35" t="s">
        <v>27</v>
      </c>
      <c r="C35">
        <v>157.44452801752672</v>
      </c>
      <c r="D35" t="s">
        <v>27</v>
      </c>
      <c r="E35" t="s">
        <v>27</v>
      </c>
      <c r="G35">
        <v>226.91889463260404</v>
      </c>
      <c r="H35">
        <v>181.13509043673798</v>
      </c>
      <c r="I35">
        <v>114.77754299431332</v>
      </c>
      <c r="J35">
        <v>125.22188777742114</v>
      </c>
      <c r="K35">
        <v>106.9666537803912</v>
      </c>
      <c r="N35">
        <v>142.51002934523683</v>
      </c>
      <c r="O35">
        <v>149.13282940875015</v>
      </c>
    </row>
    <row r="36" spans="1:15" x14ac:dyDescent="0.3">
      <c r="A36" t="s">
        <v>27</v>
      </c>
      <c r="B36" t="s">
        <v>27</v>
      </c>
      <c r="C36">
        <v>159.42670306974389</v>
      </c>
      <c r="D36" t="s">
        <v>27</v>
      </c>
      <c r="E36" t="s">
        <v>27</v>
      </c>
      <c r="G36">
        <v>233.798148465715</v>
      </c>
      <c r="H36">
        <v>175.48179871520344</v>
      </c>
      <c r="I36">
        <v>116.06969663220947</v>
      </c>
      <c r="J36">
        <v>124.96774258783509</v>
      </c>
      <c r="K36">
        <v>102.0513500932429</v>
      </c>
      <c r="N36">
        <v>144.24779860971643</v>
      </c>
      <c r="O36">
        <v>151.22093245010058</v>
      </c>
    </row>
    <row r="37" spans="1:15" x14ac:dyDescent="0.3">
      <c r="A37" t="s">
        <v>27</v>
      </c>
      <c r="B37" t="s">
        <v>27</v>
      </c>
      <c r="C37">
        <v>160.83783979748426</v>
      </c>
      <c r="D37" t="s">
        <v>27</v>
      </c>
      <c r="E37" t="s">
        <v>27</v>
      </c>
      <c r="G37">
        <v>254.78656806034235</v>
      </c>
      <c r="H37">
        <v>178.04989143751743</v>
      </c>
      <c r="I37">
        <v>118.43607109919922</v>
      </c>
      <c r="J37">
        <v>126.73762463782944</v>
      </c>
      <c r="K37">
        <v>102.4213968324455</v>
      </c>
      <c r="N37">
        <v>145.80850539132769</v>
      </c>
      <c r="O37">
        <v>151.84170583781014</v>
      </c>
    </row>
    <row r="38" spans="1:15" x14ac:dyDescent="0.3">
      <c r="A38" t="s">
        <v>27</v>
      </c>
      <c r="B38" t="s">
        <v>27</v>
      </c>
      <c r="C38">
        <v>163.12729021331248</v>
      </c>
      <c r="D38" t="s">
        <v>27</v>
      </c>
      <c r="E38" t="s">
        <v>27</v>
      </c>
      <c r="G38">
        <v>264.01402814651675</v>
      </c>
      <c r="H38">
        <v>184.65367456784077</v>
      </c>
      <c r="I38">
        <v>120.2460743725688</v>
      </c>
      <c r="J38">
        <v>122.84547260323004</v>
      </c>
      <c r="K38">
        <v>100.92811849582627</v>
      </c>
      <c r="N38">
        <v>146.78081161670684</v>
      </c>
      <c r="O38">
        <v>152.36028817420618</v>
      </c>
    </row>
    <row r="39" spans="1:15" x14ac:dyDescent="0.3">
      <c r="A39" t="s">
        <v>27</v>
      </c>
      <c r="B39" t="s">
        <v>27</v>
      </c>
      <c r="C39">
        <v>164.19506059811505</v>
      </c>
      <c r="D39" t="s">
        <v>27</v>
      </c>
      <c r="E39" t="s">
        <v>27</v>
      </c>
      <c r="G39">
        <v>269.44122391006391</v>
      </c>
      <c r="H39">
        <v>182.96680289261275</v>
      </c>
      <c r="I39">
        <v>121.35139025130698</v>
      </c>
      <c r="J39">
        <v>125.96192187473576</v>
      </c>
      <c r="K39">
        <v>104.86898341669993</v>
      </c>
      <c r="N39">
        <v>150.81150254838406</v>
      </c>
      <c r="O39">
        <v>154.76062537639578</v>
      </c>
    </row>
    <row r="40" spans="1:15" x14ac:dyDescent="0.3">
      <c r="A40" t="s">
        <v>27</v>
      </c>
      <c r="B40" t="s">
        <v>27</v>
      </c>
      <c r="C40">
        <v>165.69211079016699</v>
      </c>
      <c r="D40" t="s">
        <v>27</v>
      </c>
      <c r="E40" t="s">
        <v>27</v>
      </c>
      <c r="G40">
        <v>269.64746299946472</v>
      </c>
      <c r="H40">
        <v>182.77732121220197</v>
      </c>
      <c r="I40">
        <v>122.30866095647509</v>
      </c>
      <c r="J40">
        <v>128.84884406341564</v>
      </c>
      <c r="K40">
        <v>107.98772147241407</v>
      </c>
      <c r="N40">
        <v>157.09052568558985</v>
      </c>
      <c r="O40">
        <v>159.17006772908087</v>
      </c>
    </row>
    <row r="41" spans="1:15" x14ac:dyDescent="0.3">
      <c r="A41" t="s">
        <v>27</v>
      </c>
      <c r="B41" t="s">
        <v>27</v>
      </c>
      <c r="C41">
        <v>163.77633758003179</v>
      </c>
      <c r="D41" t="s">
        <v>27</v>
      </c>
      <c r="E41" t="s">
        <v>27</v>
      </c>
      <c r="G41">
        <v>277.06360982808684</v>
      </c>
      <c r="H41">
        <v>185.03599767092464</v>
      </c>
      <c r="I41">
        <v>121.58914015866729</v>
      </c>
      <c r="J41">
        <v>129.30722956899629</v>
      </c>
      <c r="K41">
        <v>108.01925425723063</v>
      </c>
      <c r="N41">
        <v>158.03721265424986</v>
      </c>
      <c r="O41">
        <v>161.46126002604595</v>
      </c>
    </row>
    <row r="42" spans="1:15" x14ac:dyDescent="0.3">
      <c r="A42" t="s">
        <v>27</v>
      </c>
      <c r="B42" t="s">
        <v>27</v>
      </c>
      <c r="C42">
        <v>160.96001941540331</v>
      </c>
      <c r="D42" t="s">
        <v>27</v>
      </c>
      <c r="E42" t="s">
        <v>27</v>
      </c>
      <c r="G42">
        <v>283.11325940542434</v>
      </c>
      <c r="H42">
        <v>193.32240199173481</v>
      </c>
      <c r="I42">
        <v>122.23295871278512</v>
      </c>
      <c r="J42">
        <v>128.9126005293721</v>
      </c>
      <c r="K42">
        <v>110.44265285414556</v>
      </c>
      <c r="N42">
        <v>162.35260356456257</v>
      </c>
      <c r="O42">
        <v>164.28116639289897</v>
      </c>
    </row>
    <row r="43" spans="1:15" x14ac:dyDescent="0.3">
      <c r="A43" t="s">
        <v>27</v>
      </c>
      <c r="B43" t="s">
        <v>27</v>
      </c>
      <c r="C43">
        <v>161.87796564979604</v>
      </c>
      <c r="D43" t="s">
        <v>27</v>
      </c>
      <c r="E43" t="s">
        <v>27</v>
      </c>
      <c r="G43">
        <v>297.40502984603751</v>
      </c>
      <c r="H43">
        <v>208.33917865068432</v>
      </c>
      <c r="I43">
        <v>123.48096697313093</v>
      </c>
      <c r="J43">
        <v>129.94797715922425</v>
      </c>
      <c r="K43">
        <v>113.5016456321909</v>
      </c>
      <c r="N43">
        <v>160.59527322108329</v>
      </c>
      <c r="O43">
        <v>167.07317440436339</v>
      </c>
    </row>
    <row r="44" spans="1:15" x14ac:dyDescent="0.3">
      <c r="A44" t="s">
        <v>27</v>
      </c>
      <c r="B44" t="s">
        <v>27</v>
      </c>
      <c r="C44">
        <v>165.93401441262895</v>
      </c>
      <c r="D44" t="s">
        <v>27</v>
      </c>
      <c r="E44" t="s">
        <v>27</v>
      </c>
      <c r="G44">
        <v>302.47514247858425</v>
      </c>
      <c r="H44">
        <v>231.62290598766617</v>
      </c>
      <c r="I44">
        <v>124.52911745869265</v>
      </c>
      <c r="J44">
        <v>132.7025440667372</v>
      </c>
      <c r="K44">
        <v>114.80187256475715</v>
      </c>
      <c r="N44">
        <v>161.06756648377853</v>
      </c>
      <c r="O44">
        <v>169.59019790830732</v>
      </c>
    </row>
    <row r="45" spans="1:15" x14ac:dyDescent="0.3">
      <c r="A45" t="s">
        <v>27</v>
      </c>
      <c r="B45" t="s">
        <v>27</v>
      </c>
      <c r="C45">
        <v>161.80106223652771</v>
      </c>
      <c r="D45" t="s">
        <v>27</v>
      </c>
      <c r="E45" t="s">
        <v>27</v>
      </c>
      <c r="G45">
        <v>297.10353922256451</v>
      </c>
      <c r="H45">
        <v>218.26074834302449</v>
      </c>
      <c r="I45">
        <v>125.71991218282969</v>
      </c>
      <c r="J45">
        <v>133.97780521518968</v>
      </c>
      <c r="K45">
        <v>118.55355176446051</v>
      </c>
      <c r="N45">
        <v>165.30939013747266</v>
      </c>
    </row>
    <row r="46" spans="1:15" x14ac:dyDescent="0.3">
      <c r="A46" t="s">
        <v>27</v>
      </c>
      <c r="B46" t="s">
        <v>27</v>
      </c>
      <c r="C46">
        <v>167.26090500517094</v>
      </c>
      <c r="D46" t="s">
        <v>27</v>
      </c>
      <c r="E46" t="s">
        <v>27</v>
      </c>
      <c r="G46">
        <v>306.07644334326039</v>
      </c>
      <c r="H46">
        <v>254.10464079425873</v>
      </c>
      <c r="I46">
        <v>127.04984561956</v>
      </c>
      <c r="J46">
        <v>133.29490621825045</v>
      </c>
      <c r="K46">
        <v>118.11271608093514</v>
      </c>
      <c r="N46">
        <v>166.59892010440268</v>
      </c>
    </row>
    <row r="47" spans="1:15" x14ac:dyDescent="0.3">
      <c r="A47" t="s">
        <v>27</v>
      </c>
      <c r="B47" t="s">
        <v>27</v>
      </c>
      <c r="C47">
        <v>173.89361066790042</v>
      </c>
      <c r="D47" t="s">
        <v>27</v>
      </c>
      <c r="E47" t="s">
        <v>27</v>
      </c>
      <c r="G47">
        <v>316.00227291334045</v>
      </c>
      <c r="H47">
        <v>245.86931579821731</v>
      </c>
      <c r="I47">
        <v>127.57559427848233</v>
      </c>
      <c r="J47">
        <v>133.10101926083479</v>
      </c>
      <c r="K47">
        <v>119.60754668401425</v>
      </c>
      <c r="N47">
        <v>168.42381488730143</v>
      </c>
    </row>
    <row r="48" spans="1:15" x14ac:dyDescent="0.3">
      <c r="A48" t="s">
        <v>27</v>
      </c>
      <c r="B48" t="s">
        <v>27</v>
      </c>
      <c r="C48">
        <v>172.93991618646911</v>
      </c>
      <c r="D48" t="s">
        <v>27</v>
      </c>
      <c r="E48" t="s">
        <v>27</v>
      </c>
      <c r="G48">
        <v>343.00470819933275</v>
      </c>
      <c r="H48">
        <v>244.41874167144977</v>
      </c>
      <c r="I48">
        <v>128.70695732077391</v>
      </c>
      <c r="J48">
        <v>134.41299011899801</v>
      </c>
      <c r="K48">
        <v>119.13421628993176</v>
      </c>
      <c r="N48">
        <v>169.23908321748178</v>
      </c>
    </row>
    <row r="49" spans="1:14" x14ac:dyDescent="0.3">
      <c r="A49" t="s">
        <v>27</v>
      </c>
      <c r="B49" t="s">
        <v>27</v>
      </c>
      <c r="C49">
        <v>175.40926487630767</v>
      </c>
      <c r="D49" t="s">
        <v>27</v>
      </c>
      <c r="E49" t="s">
        <v>27</v>
      </c>
      <c r="G49">
        <v>351.27742013095821</v>
      </c>
      <c r="H49">
        <v>242.50196763283981</v>
      </c>
      <c r="I49">
        <v>131.19865701623536</v>
      </c>
      <c r="J49">
        <v>136.05829617694408</v>
      </c>
      <c r="K49">
        <v>119.93401808728052</v>
      </c>
      <c r="N49">
        <v>171.45043387179521</v>
      </c>
    </row>
    <row r="50" spans="1:14" x14ac:dyDescent="0.3">
      <c r="A50" t="s">
        <v>27</v>
      </c>
      <c r="B50" t="s">
        <v>27</v>
      </c>
      <c r="C50" t="s">
        <v>27</v>
      </c>
      <c r="D50">
        <v>102.06426390309362</v>
      </c>
      <c r="E50" t="s">
        <v>27</v>
      </c>
      <c r="H50" t="s">
        <v>27</v>
      </c>
      <c r="I50" t="s">
        <v>27</v>
      </c>
      <c r="J50" t="s">
        <v>27</v>
      </c>
      <c r="K50" t="s">
        <v>27</v>
      </c>
      <c r="M50" t="s">
        <v>27</v>
      </c>
      <c r="N50" t="s">
        <v>27</v>
      </c>
    </row>
    <row r="51" spans="1:14" x14ac:dyDescent="0.3">
      <c r="A51" t="s">
        <v>27</v>
      </c>
      <c r="B51" t="s">
        <v>27</v>
      </c>
      <c r="C51" t="s">
        <v>27</v>
      </c>
      <c r="D51">
        <v>102.65411794435823</v>
      </c>
      <c r="E51" t="s">
        <v>27</v>
      </c>
      <c r="H51" t="s">
        <v>27</v>
      </c>
      <c r="I51" t="s">
        <v>27</v>
      </c>
      <c r="J51" t="s">
        <v>27</v>
      </c>
      <c r="K51" t="s">
        <v>27</v>
      </c>
      <c r="M51" t="s">
        <v>27</v>
      </c>
      <c r="N51" t="s">
        <v>27</v>
      </c>
    </row>
    <row r="52" spans="1:14" x14ac:dyDescent="0.3">
      <c r="A52" t="s">
        <v>27</v>
      </c>
      <c r="B52" t="s">
        <v>27</v>
      </c>
      <c r="C52" t="s">
        <v>27</v>
      </c>
      <c r="D52">
        <v>102.34084759525571</v>
      </c>
      <c r="E52" t="s">
        <v>27</v>
      </c>
      <c r="H52" t="s">
        <v>27</v>
      </c>
      <c r="I52" t="s">
        <v>27</v>
      </c>
      <c r="J52" t="s">
        <v>27</v>
      </c>
      <c r="K52" t="s">
        <v>27</v>
      </c>
      <c r="M52" t="s">
        <v>27</v>
      </c>
      <c r="N52" t="s">
        <v>27</v>
      </c>
    </row>
    <row r="53" spans="1:14" x14ac:dyDescent="0.3">
      <c r="A53" t="s">
        <v>27</v>
      </c>
      <c r="B53" t="s">
        <v>27</v>
      </c>
      <c r="C53" t="s">
        <v>27</v>
      </c>
      <c r="D53">
        <v>102.61168826664712</v>
      </c>
      <c r="E53" t="s">
        <v>27</v>
      </c>
      <c r="H53" t="s">
        <v>27</v>
      </c>
      <c r="I53" t="s">
        <v>27</v>
      </c>
      <c r="J53" t="s">
        <v>27</v>
      </c>
      <c r="K53" t="s">
        <v>27</v>
      </c>
      <c r="M53" t="s">
        <v>27</v>
      </c>
      <c r="N53" t="s">
        <v>27</v>
      </c>
    </row>
    <row r="54" spans="1:14" x14ac:dyDescent="0.3">
      <c r="A54" t="s">
        <v>27</v>
      </c>
      <c r="B54" t="s">
        <v>27</v>
      </c>
      <c r="C54" t="s">
        <v>27</v>
      </c>
      <c r="D54">
        <v>103.95818167611287</v>
      </c>
      <c r="E54" t="s">
        <v>27</v>
      </c>
      <c r="H54" t="s">
        <v>27</v>
      </c>
      <c r="I54" t="s">
        <v>27</v>
      </c>
      <c r="J54" t="s">
        <v>27</v>
      </c>
      <c r="K54" t="s">
        <v>27</v>
      </c>
      <c r="M54" t="s">
        <v>27</v>
      </c>
      <c r="N54" t="s">
        <v>27</v>
      </c>
    </row>
    <row r="55" spans="1:14" x14ac:dyDescent="0.3">
      <c r="A55" t="s">
        <v>27</v>
      </c>
      <c r="B55" t="s">
        <v>27</v>
      </c>
      <c r="C55" t="s">
        <v>27</v>
      </c>
      <c r="D55">
        <v>105.7483212691121</v>
      </c>
      <c r="E55" t="s">
        <v>27</v>
      </c>
      <c r="H55" t="s">
        <v>27</v>
      </c>
      <c r="I55" t="s">
        <v>27</v>
      </c>
      <c r="J55" t="s">
        <v>27</v>
      </c>
      <c r="K55" t="s">
        <v>27</v>
      </c>
      <c r="M55" t="s">
        <v>27</v>
      </c>
      <c r="N55" t="s">
        <v>27</v>
      </c>
    </row>
    <row r="56" spans="1:14" x14ac:dyDescent="0.3">
      <c r="A56" t="s">
        <v>27</v>
      </c>
      <c r="B56" t="s">
        <v>27</v>
      </c>
      <c r="C56" t="s">
        <v>27</v>
      </c>
      <c r="D56">
        <v>107.81336492332471</v>
      </c>
      <c r="E56" t="s">
        <v>27</v>
      </c>
      <c r="H56" t="s">
        <v>27</v>
      </c>
      <c r="I56" t="s">
        <v>27</v>
      </c>
      <c r="J56" t="s">
        <v>27</v>
      </c>
      <c r="K56" t="s">
        <v>27</v>
      </c>
      <c r="M56" t="s">
        <v>27</v>
      </c>
      <c r="N56" t="s">
        <v>27</v>
      </c>
    </row>
    <row r="57" spans="1:14" x14ac:dyDescent="0.3">
      <c r="A57" t="s">
        <v>27</v>
      </c>
      <c r="B57" t="s">
        <v>27</v>
      </c>
      <c r="C57" t="s">
        <v>27</v>
      </c>
      <c r="D57">
        <v>105.06816517343125</v>
      </c>
      <c r="E57" t="s">
        <v>27</v>
      </c>
      <c r="H57" t="s">
        <v>27</v>
      </c>
      <c r="I57" t="s">
        <v>27</v>
      </c>
      <c r="J57" t="s">
        <v>27</v>
      </c>
      <c r="K57" t="s">
        <v>27</v>
      </c>
      <c r="M57" t="s">
        <v>27</v>
      </c>
      <c r="N57" t="s">
        <v>27</v>
      </c>
    </row>
    <row r="58" spans="1:14" x14ac:dyDescent="0.3">
      <c r="A58" t="s">
        <v>27</v>
      </c>
      <c r="B58" t="s">
        <v>27</v>
      </c>
      <c r="C58" t="s">
        <v>27</v>
      </c>
      <c r="D58">
        <v>106.53566293056127</v>
      </c>
      <c r="E58" t="s">
        <v>27</v>
      </c>
      <c r="H58" t="s">
        <v>27</v>
      </c>
      <c r="I58" t="s">
        <v>27</v>
      </c>
      <c r="J58" t="s">
        <v>27</v>
      </c>
      <c r="K58" t="s">
        <v>27</v>
      </c>
      <c r="M58" t="s">
        <v>27</v>
      </c>
      <c r="N58" t="s">
        <v>27</v>
      </c>
    </row>
    <row r="59" spans="1:14" x14ac:dyDescent="0.3">
      <c r="A59" t="s">
        <v>27</v>
      </c>
      <c r="B59" t="s">
        <v>27</v>
      </c>
      <c r="C59" t="s">
        <v>27</v>
      </c>
      <c r="D59">
        <v>108.67005124484554</v>
      </c>
      <c r="E59" t="s">
        <v>27</v>
      </c>
      <c r="H59" t="s">
        <v>27</v>
      </c>
      <c r="I59" t="s">
        <v>27</v>
      </c>
      <c r="J59" t="s">
        <v>27</v>
      </c>
      <c r="K59" t="s">
        <v>27</v>
      </c>
      <c r="M59" t="s">
        <v>27</v>
      </c>
      <c r="N59" t="s">
        <v>27</v>
      </c>
    </row>
    <row r="60" spans="1:14" x14ac:dyDescent="0.3">
      <c r="A60" t="s">
        <v>27</v>
      </c>
      <c r="B60" t="s">
        <v>27</v>
      </c>
      <c r="C60" t="s">
        <v>27</v>
      </c>
      <c r="D60">
        <v>107.98183784154617</v>
      </c>
      <c r="E60" t="s">
        <v>27</v>
      </c>
      <c r="H60" t="s">
        <v>27</v>
      </c>
      <c r="I60" t="s">
        <v>27</v>
      </c>
      <c r="J60" t="s">
        <v>27</v>
      </c>
      <c r="K60" t="s">
        <v>27</v>
      </c>
      <c r="M60" t="s">
        <v>27</v>
      </c>
      <c r="N60" t="s">
        <v>27</v>
      </c>
    </row>
    <row r="61" spans="1:14" x14ac:dyDescent="0.3">
      <c r="A61" t="s">
        <v>27</v>
      </c>
      <c r="B61" t="s">
        <v>27</v>
      </c>
      <c r="C61" t="s">
        <v>27</v>
      </c>
      <c r="D61">
        <v>111.37303045677118</v>
      </c>
      <c r="E61" t="s">
        <v>27</v>
      </c>
      <c r="H61" t="s">
        <v>27</v>
      </c>
      <c r="I61" t="s">
        <v>27</v>
      </c>
      <c r="J61" t="s">
        <v>27</v>
      </c>
      <c r="K61" t="s">
        <v>27</v>
      </c>
      <c r="M61" t="s">
        <v>27</v>
      </c>
      <c r="N61" t="s">
        <v>27</v>
      </c>
    </row>
    <row r="62" spans="1:14" x14ac:dyDescent="0.3">
      <c r="A62" t="s">
        <v>27</v>
      </c>
      <c r="B62" t="s">
        <v>27</v>
      </c>
      <c r="C62" t="s">
        <v>27</v>
      </c>
      <c r="D62">
        <v>107.83100683762129</v>
      </c>
      <c r="E62" t="s">
        <v>27</v>
      </c>
      <c r="H62" t="s">
        <v>27</v>
      </c>
      <c r="I62" t="s">
        <v>27</v>
      </c>
      <c r="J62" t="s">
        <v>27</v>
      </c>
      <c r="K62" t="s">
        <v>27</v>
      </c>
      <c r="M62" t="s">
        <v>27</v>
      </c>
      <c r="N62" t="s">
        <v>27</v>
      </c>
    </row>
    <row r="63" spans="1:14" x14ac:dyDescent="0.3">
      <c r="A63" t="s">
        <v>27</v>
      </c>
      <c r="B63" t="s">
        <v>27</v>
      </c>
      <c r="C63" t="s">
        <v>27</v>
      </c>
      <c r="D63">
        <v>106.62994189660114</v>
      </c>
      <c r="E63" t="s">
        <v>27</v>
      </c>
      <c r="H63" t="s">
        <v>27</v>
      </c>
      <c r="I63" t="s">
        <v>27</v>
      </c>
      <c r="J63" t="s">
        <v>27</v>
      </c>
      <c r="K63" t="s">
        <v>27</v>
      </c>
      <c r="M63" t="s">
        <v>27</v>
      </c>
      <c r="N63" t="s">
        <v>27</v>
      </c>
    </row>
    <row r="64" spans="1:14" x14ac:dyDescent="0.3">
      <c r="A64" t="s">
        <v>27</v>
      </c>
      <c r="B64" t="s">
        <v>27</v>
      </c>
      <c r="C64" t="s">
        <v>27</v>
      </c>
      <c r="D64">
        <v>100.70916681747585</v>
      </c>
      <c r="E64" t="s">
        <v>27</v>
      </c>
      <c r="H64" t="s">
        <v>27</v>
      </c>
      <c r="I64" t="s">
        <v>27</v>
      </c>
      <c r="J64" t="s">
        <v>27</v>
      </c>
      <c r="K64" t="s">
        <v>27</v>
      </c>
      <c r="M64" t="s">
        <v>27</v>
      </c>
      <c r="N64" t="s">
        <v>27</v>
      </c>
    </row>
    <row r="65" spans="1:14" x14ac:dyDescent="0.3">
      <c r="A65" t="s">
        <v>27</v>
      </c>
      <c r="B65" t="s">
        <v>27</v>
      </c>
      <c r="C65" t="s">
        <v>27</v>
      </c>
      <c r="D65">
        <v>101.86726258708723</v>
      </c>
      <c r="E65" t="s">
        <v>27</v>
      </c>
      <c r="H65" t="s">
        <v>27</v>
      </c>
      <c r="I65" t="s">
        <v>27</v>
      </c>
      <c r="J65" t="s">
        <v>27</v>
      </c>
      <c r="K65" t="s">
        <v>27</v>
      </c>
      <c r="M65" t="s">
        <v>27</v>
      </c>
      <c r="N65" t="s">
        <v>27</v>
      </c>
    </row>
    <row r="66" spans="1:14" x14ac:dyDescent="0.3">
      <c r="A66" t="s">
        <v>27</v>
      </c>
      <c r="B66" t="s">
        <v>27</v>
      </c>
      <c r="C66" t="s">
        <v>27</v>
      </c>
      <c r="D66">
        <v>106.60290642369647</v>
      </c>
      <c r="E66" t="s">
        <v>27</v>
      </c>
      <c r="H66" t="s">
        <v>27</v>
      </c>
      <c r="I66" t="s">
        <v>27</v>
      </c>
      <c r="J66" t="s">
        <v>27</v>
      </c>
      <c r="K66" t="s">
        <v>27</v>
      </c>
      <c r="M66" t="s">
        <v>27</v>
      </c>
      <c r="N66" t="s">
        <v>27</v>
      </c>
    </row>
    <row r="67" spans="1:14" x14ac:dyDescent="0.3">
      <c r="A67" t="s">
        <v>27</v>
      </c>
      <c r="B67" t="s">
        <v>27</v>
      </c>
      <c r="C67" t="s">
        <v>27</v>
      </c>
      <c r="D67">
        <v>113.59532982992906</v>
      </c>
      <c r="E67" t="s">
        <v>27</v>
      </c>
      <c r="H67" t="s">
        <v>27</v>
      </c>
      <c r="I67" t="s">
        <v>27</v>
      </c>
      <c r="J67" t="s">
        <v>27</v>
      </c>
      <c r="K67" t="s">
        <v>27</v>
      </c>
      <c r="M67" t="s">
        <v>27</v>
      </c>
      <c r="N67" t="s">
        <v>27</v>
      </c>
    </row>
    <row r="68" spans="1:14" x14ac:dyDescent="0.3">
      <c r="A68" t="s">
        <v>27</v>
      </c>
      <c r="B68" t="s">
        <v>27</v>
      </c>
      <c r="C68" t="s">
        <v>27</v>
      </c>
      <c r="D68">
        <v>119.48208568842446</v>
      </c>
      <c r="E68" t="s">
        <v>27</v>
      </c>
      <c r="H68" t="s">
        <v>27</v>
      </c>
      <c r="I68" t="s">
        <v>27</v>
      </c>
      <c r="J68" t="s">
        <v>27</v>
      </c>
      <c r="K68" t="s">
        <v>27</v>
      </c>
      <c r="M68" t="s">
        <v>27</v>
      </c>
      <c r="N68" t="s">
        <v>27</v>
      </c>
    </row>
    <row r="69" spans="1:14" x14ac:dyDescent="0.3">
      <c r="A69" t="s">
        <v>27</v>
      </c>
      <c r="B69" t="s">
        <v>27</v>
      </c>
      <c r="C69" t="s">
        <v>27</v>
      </c>
      <c r="D69">
        <v>120.87057710827652</v>
      </c>
      <c r="E69" t="s">
        <v>27</v>
      </c>
      <c r="H69" t="s">
        <v>27</v>
      </c>
      <c r="I69" t="s">
        <v>27</v>
      </c>
      <c r="J69" t="s">
        <v>27</v>
      </c>
      <c r="K69" t="s">
        <v>27</v>
      </c>
      <c r="M69" t="s">
        <v>27</v>
      </c>
      <c r="N69" t="s">
        <v>27</v>
      </c>
    </row>
    <row r="70" spans="1:14" x14ac:dyDescent="0.3">
      <c r="A70" t="s">
        <v>27</v>
      </c>
      <c r="B70" t="s">
        <v>27</v>
      </c>
      <c r="C70" t="s">
        <v>27</v>
      </c>
      <c r="D70">
        <v>123.14225299985725</v>
      </c>
      <c r="E70" t="s">
        <v>27</v>
      </c>
      <c r="H70" t="s">
        <v>27</v>
      </c>
      <c r="I70" t="s">
        <v>27</v>
      </c>
      <c r="J70" t="s">
        <v>27</v>
      </c>
      <c r="K70" t="s">
        <v>27</v>
      </c>
      <c r="M70" t="s">
        <v>27</v>
      </c>
      <c r="N70" t="s">
        <v>27</v>
      </c>
    </row>
    <row r="71" spans="1:14" x14ac:dyDescent="0.3">
      <c r="A71" t="s">
        <v>27</v>
      </c>
      <c r="B71" t="s">
        <v>27</v>
      </c>
      <c r="C71" t="s">
        <v>27</v>
      </c>
      <c r="D71">
        <v>123.15271650002398</v>
      </c>
      <c r="E71" t="s">
        <v>27</v>
      </c>
      <c r="H71" t="s">
        <v>27</v>
      </c>
      <c r="I71" t="s">
        <v>27</v>
      </c>
      <c r="J71" t="s">
        <v>27</v>
      </c>
      <c r="K71" t="s">
        <v>27</v>
      </c>
      <c r="M71" t="s">
        <v>27</v>
      </c>
      <c r="N71" t="s">
        <v>27</v>
      </c>
    </row>
    <row r="72" spans="1:14" x14ac:dyDescent="0.3">
      <c r="A72" t="s">
        <v>27</v>
      </c>
      <c r="B72" t="s">
        <v>27</v>
      </c>
      <c r="C72" t="s">
        <v>27</v>
      </c>
      <c r="D72">
        <v>128.61979366193324</v>
      </c>
      <c r="E72" t="s">
        <v>27</v>
      </c>
      <c r="H72" t="s">
        <v>27</v>
      </c>
      <c r="I72" t="s">
        <v>27</v>
      </c>
      <c r="J72" t="s">
        <v>27</v>
      </c>
      <c r="K72" t="s">
        <v>27</v>
      </c>
      <c r="M72" t="s">
        <v>27</v>
      </c>
      <c r="N72" t="s">
        <v>27</v>
      </c>
    </row>
    <row r="73" spans="1:14" x14ac:dyDescent="0.3">
      <c r="A73" t="s">
        <v>27</v>
      </c>
      <c r="B73" t="s">
        <v>27</v>
      </c>
      <c r="C73" t="s">
        <v>27</v>
      </c>
      <c r="D73">
        <v>132.1220260930053</v>
      </c>
      <c r="E73" t="s">
        <v>27</v>
      </c>
      <c r="H73" t="s">
        <v>27</v>
      </c>
      <c r="I73" t="s">
        <v>27</v>
      </c>
      <c r="J73" t="s">
        <v>27</v>
      </c>
      <c r="K73" t="s">
        <v>27</v>
      </c>
      <c r="M73" t="s">
        <v>27</v>
      </c>
      <c r="N73" t="s">
        <v>27</v>
      </c>
    </row>
    <row r="74" spans="1:14" x14ac:dyDescent="0.3">
      <c r="A74" t="s">
        <v>27</v>
      </c>
      <c r="B74" t="s">
        <v>27</v>
      </c>
      <c r="C74" t="s">
        <v>27</v>
      </c>
      <c r="D74">
        <v>129.73994504147672</v>
      </c>
      <c r="E74" t="s">
        <v>27</v>
      </c>
      <c r="H74" t="s">
        <v>27</v>
      </c>
      <c r="I74" t="s">
        <v>27</v>
      </c>
      <c r="J74" t="s">
        <v>27</v>
      </c>
      <c r="K74" t="s">
        <v>27</v>
      </c>
      <c r="M74" t="s">
        <v>27</v>
      </c>
      <c r="N74" t="s">
        <v>27</v>
      </c>
    </row>
    <row r="75" spans="1:14" x14ac:dyDescent="0.3">
      <c r="A75" t="s">
        <v>27</v>
      </c>
      <c r="B75" t="s">
        <v>27</v>
      </c>
      <c r="C75" t="s">
        <v>27</v>
      </c>
      <c r="D75">
        <v>131.29911620185871</v>
      </c>
      <c r="E75" t="s">
        <v>27</v>
      </c>
      <c r="H75" t="s">
        <v>27</v>
      </c>
      <c r="I75" t="s">
        <v>27</v>
      </c>
      <c r="J75" t="s">
        <v>27</v>
      </c>
      <c r="K75" t="s">
        <v>27</v>
      </c>
      <c r="M75" t="s">
        <v>27</v>
      </c>
      <c r="N75" t="s">
        <v>27</v>
      </c>
    </row>
    <row r="76" spans="1:14" x14ac:dyDescent="0.3">
      <c r="A76" t="s">
        <v>27</v>
      </c>
      <c r="B76" t="s">
        <v>27</v>
      </c>
      <c r="C76" t="s">
        <v>27</v>
      </c>
      <c r="D76">
        <v>131.16951324371092</v>
      </c>
      <c r="E76" t="s">
        <v>27</v>
      </c>
      <c r="H76" t="s">
        <v>27</v>
      </c>
      <c r="I76" t="s">
        <v>27</v>
      </c>
      <c r="J76" t="s">
        <v>27</v>
      </c>
      <c r="K76" t="s">
        <v>27</v>
      </c>
      <c r="M76" t="s">
        <v>27</v>
      </c>
      <c r="N76" t="s">
        <v>27</v>
      </c>
    </row>
    <row r="77" spans="1:14" x14ac:dyDescent="0.3">
      <c r="A77" t="s">
        <v>27</v>
      </c>
      <c r="B77" t="s">
        <v>27</v>
      </c>
      <c r="C77" t="s">
        <v>27</v>
      </c>
      <c r="D77">
        <v>133.02970596670804</v>
      </c>
      <c r="E77" t="s">
        <v>27</v>
      </c>
      <c r="H77" t="s">
        <v>27</v>
      </c>
      <c r="I77" t="s">
        <v>27</v>
      </c>
      <c r="J77" t="s">
        <v>27</v>
      </c>
      <c r="K77" t="s">
        <v>27</v>
      </c>
      <c r="M77" t="s">
        <v>27</v>
      </c>
      <c r="N77" t="s">
        <v>27</v>
      </c>
    </row>
    <row r="78" spans="1:14" x14ac:dyDescent="0.3">
      <c r="A78" t="s">
        <v>27</v>
      </c>
      <c r="B78" t="s">
        <v>27</v>
      </c>
      <c r="C78" t="s">
        <v>27</v>
      </c>
      <c r="D78">
        <v>136.10017084509843</v>
      </c>
      <c r="E78" t="s">
        <v>27</v>
      </c>
      <c r="H78" t="s">
        <v>27</v>
      </c>
      <c r="I78" t="s">
        <v>27</v>
      </c>
      <c r="J78" t="s">
        <v>27</v>
      </c>
      <c r="K78" t="s">
        <v>27</v>
      </c>
      <c r="M78" t="s">
        <v>27</v>
      </c>
      <c r="N78" t="s">
        <v>27</v>
      </c>
    </row>
    <row r="79" spans="1:14" x14ac:dyDescent="0.3">
      <c r="A79" t="s">
        <v>27</v>
      </c>
      <c r="B79" t="s">
        <v>27</v>
      </c>
      <c r="C79" t="s">
        <v>27</v>
      </c>
      <c r="D79">
        <v>142.02244572393985</v>
      </c>
      <c r="E79" t="s">
        <v>27</v>
      </c>
      <c r="H79" t="s">
        <v>27</v>
      </c>
      <c r="I79" t="s">
        <v>27</v>
      </c>
      <c r="J79" t="s">
        <v>27</v>
      </c>
      <c r="K79" t="s">
        <v>27</v>
      </c>
      <c r="M79" t="s">
        <v>27</v>
      </c>
      <c r="N79" t="s">
        <v>27</v>
      </c>
    </row>
    <row r="80" spans="1:14" x14ac:dyDescent="0.3">
      <c r="A80" t="s">
        <v>27</v>
      </c>
      <c r="B80" t="s">
        <v>27</v>
      </c>
      <c r="C80" t="s">
        <v>27</v>
      </c>
      <c r="D80">
        <v>142.62393162563257</v>
      </c>
      <c r="E80" t="s">
        <v>27</v>
      </c>
      <c r="H80" t="s">
        <v>27</v>
      </c>
      <c r="I80" t="s">
        <v>27</v>
      </c>
      <c r="J80" t="s">
        <v>27</v>
      </c>
      <c r="K80" t="s">
        <v>27</v>
      </c>
      <c r="M80" t="s">
        <v>27</v>
      </c>
      <c r="N80" t="s">
        <v>27</v>
      </c>
    </row>
    <row r="81" spans="1:14" x14ac:dyDescent="0.3">
      <c r="A81" t="s">
        <v>27</v>
      </c>
      <c r="B81" t="s">
        <v>27</v>
      </c>
      <c r="C81" t="s">
        <v>27</v>
      </c>
      <c r="D81">
        <v>144.57134141091569</v>
      </c>
      <c r="E81" t="s">
        <v>27</v>
      </c>
      <c r="H81" t="s">
        <v>27</v>
      </c>
      <c r="I81" t="s">
        <v>27</v>
      </c>
      <c r="J81" t="s">
        <v>27</v>
      </c>
      <c r="K81" t="s">
        <v>27</v>
      </c>
      <c r="M81" t="s">
        <v>27</v>
      </c>
      <c r="N81" t="s">
        <v>27</v>
      </c>
    </row>
    <row r="82" spans="1:14" x14ac:dyDescent="0.3">
      <c r="A82" t="s">
        <v>27</v>
      </c>
      <c r="B82" t="s">
        <v>27</v>
      </c>
      <c r="C82" t="s">
        <v>27</v>
      </c>
      <c r="D82">
        <v>143.62786860893323</v>
      </c>
      <c r="E82" t="s">
        <v>27</v>
      </c>
      <c r="H82" t="s">
        <v>27</v>
      </c>
      <c r="I82" t="s">
        <v>27</v>
      </c>
      <c r="J82" t="s">
        <v>27</v>
      </c>
      <c r="K82" t="s">
        <v>27</v>
      </c>
      <c r="M82" t="s">
        <v>27</v>
      </c>
      <c r="N82" t="s">
        <v>27</v>
      </c>
    </row>
    <row r="83" spans="1:14" x14ac:dyDescent="0.3">
      <c r="A83" t="s">
        <v>27</v>
      </c>
      <c r="B83" t="s">
        <v>27</v>
      </c>
      <c r="C83" t="s">
        <v>27</v>
      </c>
      <c r="D83">
        <v>142.51002934523683</v>
      </c>
      <c r="E83" t="s">
        <v>27</v>
      </c>
      <c r="H83" t="s">
        <v>27</v>
      </c>
      <c r="I83" t="s">
        <v>27</v>
      </c>
      <c r="J83" t="s">
        <v>27</v>
      </c>
      <c r="K83" t="s">
        <v>27</v>
      </c>
      <c r="M83" t="s">
        <v>27</v>
      </c>
      <c r="N83" t="s">
        <v>27</v>
      </c>
    </row>
    <row r="84" spans="1:14" x14ac:dyDescent="0.3">
      <c r="A84" t="s">
        <v>27</v>
      </c>
      <c r="B84" t="s">
        <v>27</v>
      </c>
      <c r="C84" t="s">
        <v>27</v>
      </c>
      <c r="D84">
        <v>144.24779860971643</v>
      </c>
      <c r="E84" t="s">
        <v>27</v>
      </c>
      <c r="H84" t="s">
        <v>27</v>
      </c>
      <c r="I84" t="s">
        <v>27</v>
      </c>
      <c r="J84" t="s">
        <v>27</v>
      </c>
      <c r="K84" t="s">
        <v>27</v>
      </c>
      <c r="M84" t="s">
        <v>27</v>
      </c>
      <c r="N84" t="s">
        <v>27</v>
      </c>
    </row>
    <row r="85" spans="1:14" x14ac:dyDescent="0.3">
      <c r="A85" t="s">
        <v>27</v>
      </c>
      <c r="B85" t="s">
        <v>27</v>
      </c>
      <c r="C85" t="s">
        <v>27</v>
      </c>
      <c r="D85">
        <v>145.80850539132769</v>
      </c>
      <c r="E85" t="s">
        <v>27</v>
      </c>
      <c r="H85" t="s">
        <v>27</v>
      </c>
      <c r="I85" t="s">
        <v>27</v>
      </c>
      <c r="J85" t="s">
        <v>27</v>
      </c>
      <c r="K85" t="s">
        <v>27</v>
      </c>
      <c r="M85" t="s">
        <v>27</v>
      </c>
      <c r="N85" t="s">
        <v>27</v>
      </c>
    </row>
    <row r="86" spans="1:14" x14ac:dyDescent="0.3">
      <c r="A86" t="s">
        <v>27</v>
      </c>
      <c r="B86" t="s">
        <v>27</v>
      </c>
      <c r="C86" t="s">
        <v>27</v>
      </c>
      <c r="D86">
        <v>146.78081161670684</v>
      </c>
      <c r="E86" t="s">
        <v>27</v>
      </c>
      <c r="H86" t="s">
        <v>27</v>
      </c>
      <c r="I86" t="s">
        <v>27</v>
      </c>
      <c r="J86" t="s">
        <v>27</v>
      </c>
      <c r="K86" t="s">
        <v>27</v>
      </c>
      <c r="M86" t="s">
        <v>27</v>
      </c>
      <c r="N86" t="s">
        <v>27</v>
      </c>
    </row>
    <row r="87" spans="1:14" x14ac:dyDescent="0.3">
      <c r="A87" t="s">
        <v>27</v>
      </c>
      <c r="B87" t="s">
        <v>27</v>
      </c>
      <c r="C87" t="s">
        <v>27</v>
      </c>
      <c r="D87">
        <v>150.81150254838406</v>
      </c>
      <c r="E87" t="s">
        <v>27</v>
      </c>
      <c r="H87" t="s">
        <v>27</v>
      </c>
      <c r="I87" t="s">
        <v>27</v>
      </c>
      <c r="J87" t="s">
        <v>27</v>
      </c>
      <c r="K87" t="s">
        <v>27</v>
      </c>
      <c r="M87" t="s">
        <v>27</v>
      </c>
      <c r="N87" t="s">
        <v>27</v>
      </c>
    </row>
    <row r="88" spans="1:14" x14ac:dyDescent="0.3">
      <c r="A88" t="s">
        <v>27</v>
      </c>
      <c r="B88" t="s">
        <v>27</v>
      </c>
      <c r="C88" t="s">
        <v>27</v>
      </c>
      <c r="D88">
        <v>157.09052568558985</v>
      </c>
      <c r="E88" t="s">
        <v>27</v>
      </c>
      <c r="H88" t="s">
        <v>27</v>
      </c>
      <c r="I88" t="s">
        <v>27</v>
      </c>
      <c r="J88" t="s">
        <v>27</v>
      </c>
      <c r="K88" t="s">
        <v>27</v>
      </c>
      <c r="M88" t="s">
        <v>27</v>
      </c>
      <c r="N88" t="s">
        <v>27</v>
      </c>
    </row>
    <row r="89" spans="1:14" x14ac:dyDescent="0.3">
      <c r="A89" t="s">
        <v>27</v>
      </c>
      <c r="B89" t="s">
        <v>27</v>
      </c>
      <c r="C89" t="s">
        <v>27</v>
      </c>
      <c r="D89">
        <v>158.03721265424986</v>
      </c>
      <c r="E89" t="s">
        <v>27</v>
      </c>
      <c r="H89" t="s">
        <v>27</v>
      </c>
      <c r="I89" t="s">
        <v>27</v>
      </c>
      <c r="J89" t="s">
        <v>27</v>
      </c>
      <c r="K89" t="s">
        <v>27</v>
      </c>
      <c r="M89" t="s">
        <v>27</v>
      </c>
      <c r="N89" t="s">
        <v>27</v>
      </c>
    </row>
    <row r="90" spans="1:14" x14ac:dyDescent="0.3">
      <c r="A90" t="s">
        <v>27</v>
      </c>
      <c r="B90" t="s">
        <v>27</v>
      </c>
      <c r="C90" t="s">
        <v>27</v>
      </c>
      <c r="D90">
        <v>162.35260356456257</v>
      </c>
      <c r="E90" t="s">
        <v>27</v>
      </c>
      <c r="H90" t="s">
        <v>27</v>
      </c>
      <c r="I90" t="s">
        <v>27</v>
      </c>
      <c r="J90" t="s">
        <v>27</v>
      </c>
      <c r="K90" t="s">
        <v>27</v>
      </c>
      <c r="M90" t="s">
        <v>27</v>
      </c>
      <c r="N90" t="s">
        <v>27</v>
      </c>
    </row>
    <row r="91" spans="1:14" x14ac:dyDescent="0.3">
      <c r="A91" t="s">
        <v>27</v>
      </c>
      <c r="B91" t="s">
        <v>27</v>
      </c>
      <c r="C91" t="s">
        <v>27</v>
      </c>
      <c r="D91">
        <v>160.59527322108329</v>
      </c>
      <c r="E91" t="s">
        <v>27</v>
      </c>
      <c r="H91" t="s">
        <v>27</v>
      </c>
      <c r="I91" t="s">
        <v>27</v>
      </c>
      <c r="J91" t="s">
        <v>27</v>
      </c>
      <c r="K91" t="s">
        <v>27</v>
      </c>
      <c r="M91" t="s">
        <v>27</v>
      </c>
      <c r="N91" t="s">
        <v>27</v>
      </c>
    </row>
    <row r="92" spans="1:14" x14ac:dyDescent="0.3">
      <c r="A92" t="s">
        <v>27</v>
      </c>
      <c r="B92" t="s">
        <v>27</v>
      </c>
      <c r="C92" t="s">
        <v>27</v>
      </c>
      <c r="D92">
        <v>161.06756648377853</v>
      </c>
      <c r="E92" t="s">
        <v>27</v>
      </c>
      <c r="H92" t="s">
        <v>27</v>
      </c>
      <c r="I92" t="s">
        <v>27</v>
      </c>
      <c r="J92" t="s">
        <v>27</v>
      </c>
      <c r="K92" t="s">
        <v>27</v>
      </c>
      <c r="M92" t="s">
        <v>27</v>
      </c>
      <c r="N92" t="s">
        <v>27</v>
      </c>
    </row>
    <row r="93" spans="1:14" x14ac:dyDescent="0.3">
      <c r="A93" t="s">
        <v>27</v>
      </c>
      <c r="B93" t="s">
        <v>27</v>
      </c>
      <c r="C93" t="s">
        <v>27</v>
      </c>
      <c r="D93">
        <v>165.30939013747266</v>
      </c>
      <c r="E93" t="s">
        <v>27</v>
      </c>
      <c r="H93" t="s">
        <v>27</v>
      </c>
      <c r="I93" t="s">
        <v>27</v>
      </c>
      <c r="J93" t="s">
        <v>27</v>
      </c>
      <c r="K93" t="s">
        <v>27</v>
      </c>
      <c r="M93" t="s">
        <v>27</v>
      </c>
    </row>
    <row r="94" spans="1:14" x14ac:dyDescent="0.3">
      <c r="A94" t="s">
        <v>27</v>
      </c>
      <c r="B94" t="s">
        <v>27</v>
      </c>
      <c r="C94" t="s">
        <v>27</v>
      </c>
      <c r="D94">
        <v>166.59892010440268</v>
      </c>
      <c r="E94" t="s">
        <v>27</v>
      </c>
      <c r="H94" t="s">
        <v>27</v>
      </c>
      <c r="I94" t="s">
        <v>27</v>
      </c>
      <c r="J94" t="s">
        <v>27</v>
      </c>
      <c r="K94" t="s">
        <v>27</v>
      </c>
      <c r="M94" t="s">
        <v>27</v>
      </c>
    </row>
    <row r="95" spans="1:14" x14ac:dyDescent="0.3">
      <c r="A95" t="s">
        <v>27</v>
      </c>
      <c r="B95" t="s">
        <v>27</v>
      </c>
      <c r="C95" t="s">
        <v>27</v>
      </c>
      <c r="D95">
        <v>168.42381488730143</v>
      </c>
      <c r="E95" t="s">
        <v>27</v>
      </c>
      <c r="H95" t="s">
        <v>27</v>
      </c>
      <c r="I95" t="s">
        <v>27</v>
      </c>
      <c r="J95" t="s">
        <v>27</v>
      </c>
      <c r="K95" t="s">
        <v>27</v>
      </c>
      <c r="M95" t="s">
        <v>27</v>
      </c>
    </row>
    <row r="96" spans="1:14" x14ac:dyDescent="0.3">
      <c r="A96" t="s">
        <v>27</v>
      </c>
      <c r="B96" t="s">
        <v>27</v>
      </c>
      <c r="C96" t="s">
        <v>27</v>
      </c>
      <c r="D96">
        <v>169.23908321748178</v>
      </c>
      <c r="E96" t="s">
        <v>27</v>
      </c>
      <c r="H96" t="s">
        <v>27</v>
      </c>
      <c r="I96" t="s">
        <v>27</v>
      </c>
      <c r="J96" t="s">
        <v>27</v>
      </c>
      <c r="K96" t="s">
        <v>27</v>
      </c>
      <c r="M96" t="s">
        <v>27</v>
      </c>
    </row>
    <row r="97" spans="1:13" x14ac:dyDescent="0.3">
      <c r="A97" t="s">
        <v>27</v>
      </c>
      <c r="B97" t="s">
        <v>27</v>
      </c>
      <c r="C97" t="s">
        <v>27</v>
      </c>
      <c r="D97">
        <v>171.45043387179521</v>
      </c>
      <c r="E97" t="s">
        <v>27</v>
      </c>
      <c r="H97" t="s">
        <v>27</v>
      </c>
      <c r="I97" t="s">
        <v>27</v>
      </c>
      <c r="J97" t="s">
        <v>27</v>
      </c>
      <c r="K97" t="s">
        <v>27</v>
      </c>
      <c r="M97" t="s">
        <v>27</v>
      </c>
    </row>
    <row r="98" spans="1:13" x14ac:dyDescent="0.3">
      <c r="A98" t="s">
        <v>27</v>
      </c>
      <c r="B98" t="s">
        <v>27</v>
      </c>
      <c r="C98" t="s">
        <v>27</v>
      </c>
      <c r="D98" t="s">
        <v>27</v>
      </c>
      <c r="E98">
        <v>99.428468972812396</v>
      </c>
      <c r="H98" t="s">
        <v>27</v>
      </c>
      <c r="I98" t="s">
        <v>27</v>
      </c>
      <c r="J98" t="s">
        <v>27</v>
      </c>
      <c r="K98" t="s">
        <v>27</v>
      </c>
      <c r="M98" t="s">
        <v>27</v>
      </c>
    </row>
    <row r="99" spans="1:13" x14ac:dyDescent="0.3">
      <c r="A99" t="s">
        <v>27</v>
      </c>
      <c r="B99" t="s">
        <v>27</v>
      </c>
      <c r="C99" t="s">
        <v>27</v>
      </c>
      <c r="D99" t="s">
        <v>27</v>
      </c>
      <c r="E99">
        <v>101.42995843978034</v>
      </c>
      <c r="H99" t="s">
        <v>27</v>
      </c>
      <c r="I99" t="s">
        <v>27</v>
      </c>
      <c r="J99" t="s">
        <v>27</v>
      </c>
      <c r="K99" t="s">
        <v>27</v>
      </c>
      <c r="M99" t="s">
        <v>27</v>
      </c>
    </row>
    <row r="100" spans="1:13" x14ac:dyDescent="0.3">
      <c r="A100" t="s">
        <v>27</v>
      </c>
      <c r="B100" t="s">
        <v>27</v>
      </c>
      <c r="C100" t="s">
        <v>27</v>
      </c>
      <c r="D100" t="s">
        <v>27</v>
      </c>
      <c r="E100">
        <v>102.94595008677301</v>
      </c>
      <c r="H100" t="s">
        <v>27</v>
      </c>
      <c r="I100" t="s">
        <v>27</v>
      </c>
      <c r="J100" t="s">
        <v>27</v>
      </c>
      <c r="K100" t="s">
        <v>27</v>
      </c>
      <c r="M100" t="s">
        <v>27</v>
      </c>
    </row>
    <row r="101" spans="1:13" x14ac:dyDescent="0.3">
      <c r="A101" t="s">
        <v>27</v>
      </c>
      <c r="B101" t="s">
        <v>27</v>
      </c>
      <c r="C101" t="s">
        <v>27</v>
      </c>
      <c r="D101" t="s">
        <v>27</v>
      </c>
      <c r="E101">
        <v>103.72840975826658</v>
      </c>
      <c r="H101" t="s">
        <v>27</v>
      </c>
      <c r="I101" t="s">
        <v>27</v>
      </c>
      <c r="J101" t="s">
        <v>27</v>
      </c>
      <c r="K101" t="s">
        <v>27</v>
      </c>
      <c r="M101" t="s">
        <v>27</v>
      </c>
    </row>
    <row r="102" spans="1:13" x14ac:dyDescent="0.3">
      <c r="A102" t="s">
        <v>27</v>
      </c>
      <c r="B102" t="s">
        <v>27</v>
      </c>
      <c r="C102" t="s">
        <v>27</v>
      </c>
      <c r="D102" t="s">
        <v>27</v>
      </c>
      <c r="E102">
        <v>105.65520681461136</v>
      </c>
      <c r="H102" t="s">
        <v>27</v>
      </c>
      <c r="I102" t="s">
        <v>27</v>
      </c>
      <c r="J102" t="s">
        <v>27</v>
      </c>
      <c r="K102" t="s">
        <v>27</v>
      </c>
      <c r="M102" t="s">
        <v>27</v>
      </c>
    </row>
    <row r="103" spans="1:13" x14ac:dyDescent="0.3">
      <c r="A103" t="s">
        <v>27</v>
      </c>
      <c r="B103" t="s">
        <v>27</v>
      </c>
      <c r="C103" t="s">
        <v>27</v>
      </c>
      <c r="D103" t="s">
        <v>27</v>
      </c>
      <c r="E103">
        <v>109.10143297993679</v>
      </c>
      <c r="H103" t="s">
        <v>27</v>
      </c>
      <c r="I103" t="s">
        <v>27</v>
      </c>
      <c r="J103" t="s">
        <v>27</v>
      </c>
      <c r="K103" t="s">
        <v>27</v>
      </c>
      <c r="M103" t="s">
        <v>27</v>
      </c>
    </row>
    <row r="104" spans="1:13" x14ac:dyDescent="0.3">
      <c r="A104" t="s">
        <v>27</v>
      </c>
      <c r="B104" t="s">
        <v>27</v>
      </c>
      <c r="C104" t="s">
        <v>27</v>
      </c>
      <c r="D104" t="s">
        <v>27</v>
      </c>
      <c r="E104">
        <v>110.93513787593974</v>
      </c>
      <c r="H104" t="s">
        <v>27</v>
      </c>
      <c r="I104" t="s">
        <v>27</v>
      </c>
      <c r="J104" t="s">
        <v>27</v>
      </c>
      <c r="K104" t="s">
        <v>27</v>
      </c>
      <c r="M104" t="s">
        <v>27</v>
      </c>
    </row>
    <row r="105" spans="1:13" x14ac:dyDescent="0.3">
      <c r="A105" t="s">
        <v>27</v>
      </c>
      <c r="B105" t="s">
        <v>27</v>
      </c>
      <c r="C105" t="s">
        <v>27</v>
      </c>
      <c r="D105" t="s">
        <v>27</v>
      </c>
      <c r="E105">
        <v>112.17790532179957</v>
      </c>
      <c r="H105" t="s">
        <v>27</v>
      </c>
      <c r="I105" t="s">
        <v>27</v>
      </c>
      <c r="J105" t="s">
        <v>27</v>
      </c>
      <c r="K105" t="s">
        <v>27</v>
      </c>
      <c r="M105" t="s">
        <v>27</v>
      </c>
    </row>
    <row r="106" spans="1:13" x14ac:dyDescent="0.3">
      <c r="A106" t="s">
        <v>27</v>
      </c>
      <c r="B106" t="s">
        <v>27</v>
      </c>
      <c r="C106" t="s">
        <v>27</v>
      </c>
      <c r="D106" t="s">
        <v>27</v>
      </c>
      <c r="E106">
        <v>113.44848543974946</v>
      </c>
      <c r="H106" t="s">
        <v>27</v>
      </c>
      <c r="I106" t="s">
        <v>27</v>
      </c>
      <c r="J106" t="s">
        <v>27</v>
      </c>
      <c r="K106" t="s">
        <v>27</v>
      </c>
      <c r="M106" t="s">
        <v>27</v>
      </c>
    </row>
    <row r="107" spans="1:13" x14ac:dyDescent="0.3">
      <c r="A107" t="s">
        <v>27</v>
      </c>
      <c r="B107" t="s">
        <v>27</v>
      </c>
      <c r="C107" t="s">
        <v>27</v>
      </c>
      <c r="D107" t="s">
        <v>27</v>
      </c>
      <c r="E107">
        <v>114.00713252680318</v>
      </c>
      <c r="H107" t="s">
        <v>27</v>
      </c>
      <c r="I107" t="s">
        <v>27</v>
      </c>
      <c r="J107" t="s">
        <v>27</v>
      </c>
      <c r="K107" t="s">
        <v>27</v>
      </c>
      <c r="M107" t="s">
        <v>27</v>
      </c>
    </row>
    <row r="108" spans="1:13" x14ac:dyDescent="0.3">
      <c r="A108" t="s">
        <v>27</v>
      </c>
      <c r="B108" t="s">
        <v>27</v>
      </c>
      <c r="C108" t="s">
        <v>27</v>
      </c>
      <c r="D108" t="s">
        <v>27</v>
      </c>
      <c r="E108">
        <v>115.52098947782289</v>
      </c>
      <c r="H108" t="s">
        <v>27</v>
      </c>
      <c r="I108" t="s">
        <v>27</v>
      </c>
      <c r="J108" t="s">
        <v>27</v>
      </c>
      <c r="K108" t="s">
        <v>27</v>
      </c>
      <c r="M108" t="s">
        <v>27</v>
      </c>
    </row>
    <row r="109" spans="1:13" x14ac:dyDescent="0.3">
      <c r="A109" t="s">
        <v>27</v>
      </c>
      <c r="B109" t="s">
        <v>27</v>
      </c>
      <c r="C109" t="s">
        <v>27</v>
      </c>
      <c r="D109" t="s">
        <v>27</v>
      </c>
      <c r="E109">
        <v>119.39314457678311</v>
      </c>
      <c r="H109" t="s">
        <v>27</v>
      </c>
      <c r="I109" t="s">
        <v>27</v>
      </c>
      <c r="J109" t="s">
        <v>27</v>
      </c>
      <c r="K109" t="s">
        <v>27</v>
      </c>
      <c r="M109" t="s">
        <v>27</v>
      </c>
    </row>
    <row r="110" spans="1:13" x14ac:dyDescent="0.3">
      <c r="A110" t="s">
        <v>27</v>
      </c>
      <c r="B110" t="s">
        <v>27</v>
      </c>
      <c r="C110" t="s">
        <v>27</v>
      </c>
      <c r="D110" t="s">
        <v>27</v>
      </c>
      <c r="E110">
        <v>118.59193672422622</v>
      </c>
      <c r="H110" t="s">
        <v>27</v>
      </c>
      <c r="I110" t="s">
        <v>27</v>
      </c>
      <c r="J110" t="s">
        <v>27</v>
      </c>
      <c r="K110" t="s">
        <v>27</v>
      </c>
      <c r="M110" t="s">
        <v>27</v>
      </c>
    </row>
    <row r="111" spans="1:13" x14ac:dyDescent="0.3">
      <c r="A111" t="s">
        <v>27</v>
      </c>
      <c r="B111" t="s">
        <v>27</v>
      </c>
      <c r="C111" t="s">
        <v>27</v>
      </c>
      <c r="D111" t="s">
        <v>27</v>
      </c>
      <c r="E111">
        <v>121.33857268554421</v>
      </c>
      <c r="H111" t="s">
        <v>27</v>
      </c>
      <c r="I111" t="s">
        <v>27</v>
      </c>
      <c r="J111" t="s">
        <v>27</v>
      </c>
      <c r="K111" t="s">
        <v>27</v>
      </c>
      <c r="M111" t="s">
        <v>27</v>
      </c>
    </row>
    <row r="112" spans="1:13" x14ac:dyDescent="0.3">
      <c r="A112" t="s">
        <v>27</v>
      </c>
      <c r="B112" t="s">
        <v>27</v>
      </c>
      <c r="C112" t="s">
        <v>27</v>
      </c>
      <c r="D112" t="s">
        <v>27</v>
      </c>
      <c r="E112">
        <v>122.24942983515712</v>
      </c>
      <c r="H112" t="s">
        <v>27</v>
      </c>
      <c r="I112" t="s">
        <v>27</v>
      </c>
      <c r="J112" t="s">
        <v>27</v>
      </c>
      <c r="K112" t="s">
        <v>27</v>
      </c>
      <c r="M112" t="s">
        <v>27</v>
      </c>
    </row>
    <row r="113" spans="1:13" x14ac:dyDescent="0.3">
      <c r="A113" t="s">
        <v>27</v>
      </c>
      <c r="B113" t="s">
        <v>27</v>
      </c>
      <c r="C113" t="s">
        <v>27</v>
      </c>
      <c r="D113" t="s">
        <v>27</v>
      </c>
      <c r="E113">
        <v>122.95384827193469</v>
      </c>
      <c r="H113" t="s">
        <v>27</v>
      </c>
      <c r="I113" t="s">
        <v>27</v>
      </c>
      <c r="J113" t="s">
        <v>27</v>
      </c>
      <c r="K113" t="s">
        <v>27</v>
      </c>
      <c r="M113" t="s">
        <v>27</v>
      </c>
    </row>
    <row r="114" spans="1:13" x14ac:dyDescent="0.3">
      <c r="A114" t="s">
        <v>27</v>
      </c>
      <c r="B114" t="s">
        <v>27</v>
      </c>
      <c r="C114" t="s">
        <v>27</v>
      </c>
      <c r="D114" t="s">
        <v>27</v>
      </c>
      <c r="E114">
        <v>125.01832002837374</v>
      </c>
      <c r="H114" t="s">
        <v>27</v>
      </c>
      <c r="I114" t="s">
        <v>27</v>
      </c>
      <c r="J114" t="s">
        <v>27</v>
      </c>
      <c r="K114" t="s">
        <v>27</v>
      </c>
      <c r="M114" t="s">
        <v>27</v>
      </c>
    </row>
    <row r="115" spans="1:13" x14ac:dyDescent="0.3">
      <c r="A115" t="s">
        <v>27</v>
      </c>
      <c r="B115" t="s">
        <v>27</v>
      </c>
      <c r="C115" t="s">
        <v>27</v>
      </c>
      <c r="D115" t="s">
        <v>27</v>
      </c>
      <c r="E115">
        <v>125.65724476865314</v>
      </c>
      <c r="H115" t="s">
        <v>27</v>
      </c>
      <c r="I115" t="s">
        <v>27</v>
      </c>
      <c r="J115" t="s">
        <v>27</v>
      </c>
      <c r="K115" t="s">
        <v>27</v>
      </c>
      <c r="M115" t="s">
        <v>27</v>
      </c>
    </row>
    <row r="116" spans="1:13" x14ac:dyDescent="0.3">
      <c r="A116" t="s">
        <v>27</v>
      </c>
      <c r="B116" t="s">
        <v>27</v>
      </c>
      <c r="C116" t="s">
        <v>27</v>
      </c>
      <c r="D116" t="s">
        <v>27</v>
      </c>
      <c r="E116">
        <v>126.21228344920699</v>
      </c>
      <c r="H116" t="s">
        <v>27</v>
      </c>
      <c r="I116" t="s">
        <v>27</v>
      </c>
      <c r="J116" t="s">
        <v>27</v>
      </c>
      <c r="K116" t="s">
        <v>27</v>
      </c>
      <c r="M116" t="s">
        <v>27</v>
      </c>
    </row>
    <row r="117" spans="1:13" x14ac:dyDescent="0.3">
      <c r="A117" t="s">
        <v>27</v>
      </c>
      <c r="B117" t="s">
        <v>27</v>
      </c>
      <c r="C117" t="s">
        <v>27</v>
      </c>
      <c r="D117" t="s">
        <v>27</v>
      </c>
      <c r="E117">
        <v>127.43870733347121</v>
      </c>
      <c r="H117" t="s">
        <v>27</v>
      </c>
      <c r="I117" t="s">
        <v>27</v>
      </c>
      <c r="J117" t="s">
        <v>27</v>
      </c>
      <c r="K117" t="s">
        <v>27</v>
      </c>
      <c r="M117" t="s">
        <v>27</v>
      </c>
    </row>
    <row r="118" spans="1:13" x14ac:dyDescent="0.3">
      <c r="A118" t="s">
        <v>27</v>
      </c>
      <c r="B118" t="s">
        <v>27</v>
      </c>
      <c r="C118" t="s">
        <v>27</v>
      </c>
      <c r="D118" t="s">
        <v>27</v>
      </c>
      <c r="E118">
        <v>129.29782365877824</v>
      </c>
      <c r="H118" t="s">
        <v>27</v>
      </c>
      <c r="I118" t="s">
        <v>27</v>
      </c>
      <c r="J118" t="s">
        <v>27</v>
      </c>
      <c r="K118" t="s">
        <v>27</v>
      </c>
      <c r="M118" t="s">
        <v>27</v>
      </c>
    </row>
    <row r="119" spans="1:13" x14ac:dyDescent="0.3">
      <c r="A119" t="s">
        <v>27</v>
      </c>
      <c r="B119" t="s">
        <v>27</v>
      </c>
      <c r="C119" t="s">
        <v>27</v>
      </c>
      <c r="D119" t="s">
        <v>27</v>
      </c>
      <c r="E119">
        <v>129.25185583535139</v>
      </c>
      <c r="H119" t="s">
        <v>27</v>
      </c>
      <c r="I119" t="s">
        <v>27</v>
      </c>
      <c r="J119" t="s">
        <v>27</v>
      </c>
      <c r="K119" t="s">
        <v>27</v>
      </c>
      <c r="M119" t="s">
        <v>27</v>
      </c>
    </row>
    <row r="120" spans="1:13" x14ac:dyDescent="0.3">
      <c r="A120" t="s">
        <v>27</v>
      </c>
      <c r="B120" t="s">
        <v>27</v>
      </c>
      <c r="C120" t="s">
        <v>27</v>
      </c>
      <c r="D120" t="s">
        <v>27</v>
      </c>
      <c r="E120">
        <v>129.33427092810396</v>
      </c>
      <c r="H120" t="s">
        <v>27</v>
      </c>
      <c r="I120" t="s">
        <v>27</v>
      </c>
      <c r="J120" t="s">
        <v>27</v>
      </c>
      <c r="K120" t="s">
        <v>27</v>
      </c>
      <c r="M120" t="s">
        <v>27</v>
      </c>
    </row>
    <row r="121" spans="1:13" x14ac:dyDescent="0.3">
      <c r="A121" t="s">
        <v>27</v>
      </c>
      <c r="B121" t="s">
        <v>27</v>
      </c>
      <c r="C121" t="s">
        <v>27</v>
      </c>
      <c r="D121" t="s">
        <v>27</v>
      </c>
      <c r="E121">
        <v>130.24915624796267</v>
      </c>
      <c r="H121" t="s">
        <v>27</v>
      </c>
      <c r="I121" t="s">
        <v>27</v>
      </c>
      <c r="J121" t="s">
        <v>27</v>
      </c>
      <c r="K121" t="s">
        <v>27</v>
      </c>
      <c r="M121" t="s">
        <v>27</v>
      </c>
    </row>
    <row r="122" spans="1:13" x14ac:dyDescent="0.3">
      <c r="A122" t="s">
        <v>27</v>
      </c>
      <c r="B122" t="s">
        <v>27</v>
      </c>
      <c r="C122" t="s">
        <v>27</v>
      </c>
      <c r="D122" t="s">
        <v>27</v>
      </c>
      <c r="E122">
        <v>130.96140732006808</v>
      </c>
      <c r="H122" t="s">
        <v>27</v>
      </c>
      <c r="I122" t="s">
        <v>27</v>
      </c>
      <c r="J122" t="s">
        <v>27</v>
      </c>
      <c r="K122" t="s">
        <v>27</v>
      </c>
      <c r="M122" t="s">
        <v>27</v>
      </c>
    </row>
    <row r="123" spans="1:13" x14ac:dyDescent="0.3">
      <c r="A123" t="s">
        <v>27</v>
      </c>
      <c r="B123" t="s">
        <v>27</v>
      </c>
      <c r="C123" t="s">
        <v>27</v>
      </c>
      <c r="D123" t="s">
        <v>27</v>
      </c>
      <c r="E123">
        <v>132.61448549140846</v>
      </c>
      <c r="H123" t="s">
        <v>27</v>
      </c>
      <c r="I123" t="s">
        <v>27</v>
      </c>
      <c r="J123" t="s">
        <v>27</v>
      </c>
      <c r="K123" t="s">
        <v>27</v>
      </c>
      <c r="M123" t="s">
        <v>27</v>
      </c>
    </row>
    <row r="124" spans="1:13" x14ac:dyDescent="0.3">
      <c r="A124" t="s">
        <v>27</v>
      </c>
      <c r="B124" t="s">
        <v>27</v>
      </c>
      <c r="C124" t="s">
        <v>27</v>
      </c>
      <c r="D124" t="s">
        <v>27</v>
      </c>
      <c r="E124">
        <v>134.41650761598842</v>
      </c>
      <c r="H124" t="s">
        <v>27</v>
      </c>
      <c r="I124" t="s">
        <v>27</v>
      </c>
      <c r="J124" t="s">
        <v>27</v>
      </c>
      <c r="K124" t="s">
        <v>27</v>
      </c>
      <c r="M124" t="s">
        <v>27</v>
      </c>
    </row>
    <row r="125" spans="1:13" x14ac:dyDescent="0.3">
      <c r="A125" t="s">
        <v>27</v>
      </c>
      <c r="B125" t="s">
        <v>27</v>
      </c>
      <c r="C125" t="s">
        <v>27</v>
      </c>
      <c r="D125" t="s">
        <v>27</v>
      </c>
      <c r="E125">
        <v>135.37337965152966</v>
      </c>
      <c r="H125" t="s">
        <v>27</v>
      </c>
      <c r="I125" t="s">
        <v>27</v>
      </c>
      <c r="J125" t="s">
        <v>27</v>
      </c>
      <c r="K125" t="s">
        <v>27</v>
      </c>
    </row>
    <row r="126" spans="1:13" x14ac:dyDescent="0.3">
      <c r="A126" t="s">
        <v>27</v>
      </c>
      <c r="B126" t="s">
        <v>27</v>
      </c>
      <c r="C126" t="s">
        <v>27</v>
      </c>
      <c r="D126" t="s">
        <v>27</v>
      </c>
      <c r="E126">
        <v>137.69639358595336</v>
      </c>
      <c r="H126" t="s">
        <v>27</v>
      </c>
      <c r="I126" t="s">
        <v>27</v>
      </c>
      <c r="J126" t="s">
        <v>27</v>
      </c>
      <c r="K126" t="s">
        <v>27</v>
      </c>
    </row>
    <row r="127" spans="1:13" x14ac:dyDescent="0.3">
      <c r="A127" t="s">
        <v>27</v>
      </c>
      <c r="B127" t="s">
        <v>27</v>
      </c>
      <c r="C127" t="s">
        <v>27</v>
      </c>
      <c r="D127" t="s">
        <v>27</v>
      </c>
      <c r="E127">
        <v>140.88938234027154</v>
      </c>
      <c r="H127" t="s">
        <v>27</v>
      </c>
      <c r="I127" t="s">
        <v>27</v>
      </c>
      <c r="J127" t="s">
        <v>27</v>
      </c>
      <c r="K127" t="s">
        <v>27</v>
      </c>
    </row>
    <row r="128" spans="1:13" x14ac:dyDescent="0.3">
      <c r="A128" t="s">
        <v>27</v>
      </c>
      <c r="B128" t="s">
        <v>27</v>
      </c>
      <c r="C128" t="s">
        <v>27</v>
      </c>
      <c r="D128" t="s">
        <v>27</v>
      </c>
      <c r="E128">
        <v>143.54641108782229</v>
      </c>
      <c r="H128" t="s">
        <v>27</v>
      </c>
      <c r="I128" t="s">
        <v>27</v>
      </c>
      <c r="J128" t="s">
        <v>27</v>
      </c>
      <c r="K128" t="s">
        <v>27</v>
      </c>
    </row>
    <row r="129" spans="1:11" x14ac:dyDescent="0.3">
      <c r="A129" t="s">
        <v>27</v>
      </c>
      <c r="B129" t="s">
        <v>27</v>
      </c>
      <c r="C129" t="s">
        <v>27</v>
      </c>
      <c r="D129" t="s">
        <v>27</v>
      </c>
      <c r="E129">
        <v>145.94772372894292</v>
      </c>
      <c r="H129" t="s">
        <v>27</v>
      </c>
      <c r="I129" t="s">
        <v>27</v>
      </c>
      <c r="J129" t="s">
        <v>27</v>
      </c>
      <c r="K129" t="s">
        <v>27</v>
      </c>
    </row>
    <row r="130" spans="1:11" x14ac:dyDescent="0.3">
      <c r="A130" t="s">
        <v>27</v>
      </c>
      <c r="B130" t="s">
        <v>27</v>
      </c>
      <c r="C130" t="s">
        <v>27</v>
      </c>
      <c r="D130" t="s">
        <v>27</v>
      </c>
      <c r="E130">
        <v>148.24805818061427</v>
      </c>
      <c r="H130" t="s">
        <v>27</v>
      </c>
      <c r="I130" t="s">
        <v>27</v>
      </c>
      <c r="J130" t="s">
        <v>27</v>
      </c>
      <c r="K130" t="s">
        <v>27</v>
      </c>
    </row>
    <row r="131" spans="1:11" x14ac:dyDescent="0.3">
      <c r="A131" t="s">
        <v>27</v>
      </c>
      <c r="B131" t="s">
        <v>27</v>
      </c>
      <c r="C131" t="s">
        <v>27</v>
      </c>
      <c r="D131" t="s">
        <v>27</v>
      </c>
      <c r="E131">
        <v>149.13282940875015</v>
      </c>
      <c r="H131" t="s">
        <v>27</v>
      </c>
      <c r="I131" t="s">
        <v>27</v>
      </c>
      <c r="J131" t="s">
        <v>27</v>
      </c>
      <c r="K131" t="s">
        <v>27</v>
      </c>
    </row>
    <row r="132" spans="1:11" x14ac:dyDescent="0.3">
      <c r="A132" t="s">
        <v>27</v>
      </c>
      <c r="B132" t="s">
        <v>27</v>
      </c>
      <c r="C132" t="s">
        <v>27</v>
      </c>
      <c r="D132" t="s">
        <v>27</v>
      </c>
      <c r="E132">
        <v>151.22093245010058</v>
      </c>
      <c r="H132" t="s">
        <v>27</v>
      </c>
      <c r="I132" t="s">
        <v>27</v>
      </c>
      <c r="J132" t="s">
        <v>27</v>
      </c>
      <c r="K132" t="s">
        <v>27</v>
      </c>
    </row>
    <row r="133" spans="1:11" x14ac:dyDescent="0.3">
      <c r="A133" t="s">
        <v>27</v>
      </c>
      <c r="B133" t="s">
        <v>27</v>
      </c>
      <c r="C133" t="s">
        <v>27</v>
      </c>
      <c r="D133" t="s">
        <v>27</v>
      </c>
      <c r="E133">
        <v>151.84170583781014</v>
      </c>
      <c r="H133" t="s">
        <v>27</v>
      </c>
      <c r="I133" t="s">
        <v>27</v>
      </c>
      <c r="J133" t="s">
        <v>27</v>
      </c>
      <c r="K133" t="s">
        <v>27</v>
      </c>
    </row>
    <row r="134" spans="1:11" x14ac:dyDescent="0.3">
      <c r="A134" t="s">
        <v>27</v>
      </c>
      <c r="B134" t="s">
        <v>27</v>
      </c>
      <c r="C134" t="s">
        <v>27</v>
      </c>
      <c r="D134" t="s">
        <v>27</v>
      </c>
      <c r="E134">
        <v>152.36028817420618</v>
      </c>
      <c r="H134" t="s">
        <v>27</v>
      </c>
      <c r="I134" t="s">
        <v>27</v>
      </c>
      <c r="J134" t="s">
        <v>27</v>
      </c>
      <c r="K134" t="s">
        <v>27</v>
      </c>
    </row>
    <row r="135" spans="1:11" x14ac:dyDescent="0.3">
      <c r="A135" t="s">
        <v>27</v>
      </c>
      <c r="B135" t="s">
        <v>27</v>
      </c>
      <c r="C135" t="s">
        <v>27</v>
      </c>
      <c r="D135" t="s">
        <v>27</v>
      </c>
      <c r="E135">
        <v>154.76062537639578</v>
      </c>
      <c r="H135" t="s">
        <v>27</v>
      </c>
      <c r="I135" t="s">
        <v>27</v>
      </c>
      <c r="J135" t="s">
        <v>27</v>
      </c>
      <c r="K135" t="s">
        <v>27</v>
      </c>
    </row>
    <row r="136" spans="1:11" x14ac:dyDescent="0.3">
      <c r="A136" t="s">
        <v>27</v>
      </c>
      <c r="B136" t="s">
        <v>27</v>
      </c>
      <c r="C136" t="s">
        <v>27</v>
      </c>
      <c r="D136" t="s">
        <v>27</v>
      </c>
      <c r="E136">
        <v>159.17006772908087</v>
      </c>
      <c r="H136" t="s">
        <v>27</v>
      </c>
      <c r="I136" t="s">
        <v>27</v>
      </c>
      <c r="J136" t="s">
        <v>27</v>
      </c>
      <c r="K136" t="s">
        <v>27</v>
      </c>
    </row>
    <row r="137" spans="1:11" x14ac:dyDescent="0.3">
      <c r="A137" t="s">
        <v>27</v>
      </c>
      <c r="B137" t="s">
        <v>27</v>
      </c>
      <c r="C137" t="s">
        <v>27</v>
      </c>
      <c r="D137" t="s">
        <v>27</v>
      </c>
      <c r="E137">
        <v>161.46126002604595</v>
      </c>
      <c r="H137" t="s">
        <v>27</v>
      </c>
      <c r="I137" t="s">
        <v>27</v>
      </c>
      <c r="J137" t="s">
        <v>27</v>
      </c>
      <c r="K137" t="s">
        <v>27</v>
      </c>
    </row>
    <row r="138" spans="1:11" x14ac:dyDescent="0.3">
      <c r="A138" t="s">
        <v>27</v>
      </c>
      <c r="B138" t="s">
        <v>27</v>
      </c>
      <c r="C138" t="s">
        <v>27</v>
      </c>
      <c r="D138" t="s">
        <v>27</v>
      </c>
      <c r="E138">
        <v>164.28116639289897</v>
      </c>
      <c r="H138" t="s">
        <v>27</v>
      </c>
      <c r="I138" t="s">
        <v>27</v>
      </c>
      <c r="J138" t="s">
        <v>27</v>
      </c>
      <c r="K138" t="s">
        <v>27</v>
      </c>
    </row>
    <row r="139" spans="1:11" x14ac:dyDescent="0.3">
      <c r="A139" t="s">
        <v>27</v>
      </c>
      <c r="B139" t="s">
        <v>27</v>
      </c>
      <c r="C139" t="s">
        <v>27</v>
      </c>
      <c r="D139" t="s">
        <v>27</v>
      </c>
      <c r="E139">
        <v>167.07317440436339</v>
      </c>
      <c r="H139" t="s">
        <v>27</v>
      </c>
      <c r="I139" t="s">
        <v>27</v>
      </c>
      <c r="J139" t="s">
        <v>27</v>
      </c>
      <c r="K139" t="s">
        <v>27</v>
      </c>
    </row>
    <row r="140" spans="1:11" x14ac:dyDescent="0.3">
      <c r="A140" t="s">
        <v>27</v>
      </c>
      <c r="B140" t="s">
        <v>27</v>
      </c>
      <c r="C140" t="s">
        <v>27</v>
      </c>
      <c r="D140" t="s">
        <v>27</v>
      </c>
      <c r="E140">
        <v>169.59019790830732</v>
      </c>
      <c r="H140" t="s">
        <v>27</v>
      </c>
      <c r="I140" t="s">
        <v>27</v>
      </c>
      <c r="J140" t="s">
        <v>27</v>
      </c>
      <c r="K140" t="s">
        <v>27</v>
      </c>
    </row>
    <row r="141" spans="1:11" x14ac:dyDescent="0.3">
      <c r="H141" t="s">
        <v>27</v>
      </c>
      <c r="I141" t="s">
        <v>27</v>
      </c>
      <c r="J141" t="s">
        <v>27</v>
      </c>
      <c r="K141" t="s">
        <v>27</v>
      </c>
    </row>
    <row r="142" spans="1:11" x14ac:dyDescent="0.3">
      <c r="H142" t="s">
        <v>27</v>
      </c>
      <c r="I142" t="s">
        <v>27</v>
      </c>
      <c r="J142" t="s">
        <v>27</v>
      </c>
      <c r="K142" t="s">
        <v>27</v>
      </c>
    </row>
    <row r="143" spans="1:11" x14ac:dyDescent="0.3">
      <c r="H143" t="s">
        <v>27</v>
      </c>
      <c r="I143" t="s">
        <v>27</v>
      </c>
      <c r="J143" t="s">
        <v>27</v>
      </c>
      <c r="K143" t="s">
        <v>27</v>
      </c>
    </row>
    <row r="144" spans="1:11" x14ac:dyDescent="0.3">
      <c r="H144" t="s">
        <v>27</v>
      </c>
      <c r="I144" t="s">
        <v>27</v>
      </c>
      <c r="J144" t="s">
        <v>27</v>
      </c>
      <c r="K144" t="s">
        <v>27</v>
      </c>
    </row>
    <row r="145" spans="8:11" x14ac:dyDescent="0.3">
      <c r="H145" t="s">
        <v>27</v>
      </c>
      <c r="I145" t="s">
        <v>27</v>
      </c>
      <c r="J145" t="s">
        <v>27</v>
      </c>
      <c r="K145" t="s">
        <v>27</v>
      </c>
    </row>
    <row r="146" spans="8:11" x14ac:dyDescent="0.3">
      <c r="H146" t="s">
        <v>27</v>
      </c>
      <c r="I146" t="s">
        <v>27</v>
      </c>
      <c r="J146" t="s">
        <v>27</v>
      </c>
      <c r="K146" t="s">
        <v>27</v>
      </c>
    </row>
    <row r="147" spans="8:11" x14ac:dyDescent="0.3">
      <c r="H147" t="s">
        <v>27</v>
      </c>
      <c r="I147" t="s">
        <v>27</v>
      </c>
      <c r="J147" t="s">
        <v>27</v>
      </c>
      <c r="K147" t="s">
        <v>27</v>
      </c>
    </row>
    <row r="148" spans="8:11" x14ac:dyDescent="0.3">
      <c r="H148" t="s">
        <v>27</v>
      </c>
      <c r="I148" t="s">
        <v>27</v>
      </c>
      <c r="J148" t="s">
        <v>27</v>
      </c>
      <c r="K148" t="s">
        <v>27</v>
      </c>
    </row>
    <row r="149" spans="8:11" x14ac:dyDescent="0.3">
      <c r="H149" t="s">
        <v>27</v>
      </c>
      <c r="I149" t="s">
        <v>27</v>
      </c>
      <c r="J149" t="s">
        <v>27</v>
      </c>
      <c r="K149" t="s">
        <v>27</v>
      </c>
    </row>
    <row r="150" spans="8:11" x14ac:dyDescent="0.3">
      <c r="H150" t="s">
        <v>27</v>
      </c>
      <c r="I150" t="s">
        <v>27</v>
      </c>
      <c r="J150" t="s">
        <v>27</v>
      </c>
      <c r="K150" t="s">
        <v>27</v>
      </c>
    </row>
    <row r="151" spans="8:11" x14ac:dyDescent="0.3">
      <c r="H151" t="s">
        <v>27</v>
      </c>
      <c r="I151" t="s">
        <v>27</v>
      </c>
      <c r="J151" t="s">
        <v>27</v>
      </c>
      <c r="K151" t="s">
        <v>27</v>
      </c>
    </row>
    <row r="152" spans="8:11" x14ac:dyDescent="0.3">
      <c r="H152" t="s">
        <v>27</v>
      </c>
      <c r="I152" t="s">
        <v>27</v>
      </c>
      <c r="J152" t="s">
        <v>27</v>
      </c>
      <c r="K152" t="s">
        <v>27</v>
      </c>
    </row>
    <row r="153" spans="8:11" x14ac:dyDescent="0.3">
      <c r="H153" t="s">
        <v>27</v>
      </c>
      <c r="I153" t="s">
        <v>27</v>
      </c>
      <c r="J153" t="s">
        <v>27</v>
      </c>
      <c r="K153" t="s">
        <v>27</v>
      </c>
    </row>
    <row r="154" spans="8:11" x14ac:dyDescent="0.3">
      <c r="H154" t="s">
        <v>27</v>
      </c>
      <c r="I154" t="s">
        <v>27</v>
      </c>
      <c r="J154" t="s">
        <v>27</v>
      </c>
      <c r="K154" t="s">
        <v>27</v>
      </c>
    </row>
    <row r="155" spans="8:11" x14ac:dyDescent="0.3">
      <c r="H155" t="s">
        <v>27</v>
      </c>
      <c r="I155" t="s">
        <v>27</v>
      </c>
      <c r="J155" t="s">
        <v>27</v>
      </c>
      <c r="K155" t="s">
        <v>27</v>
      </c>
    </row>
    <row r="156" spans="8:11" x14ac:dyDescent="0.3">
      <c r="H156" t="s">
        <v>27</v>
      </c>
      <c r="I156" t="s">
        <v>27</v>
      </c>
      <c r="J156" t="s">
        <v>27</v>
      </c>
      <c r="K156" t="s">
        <v>27</v>
      </c>
    </row>
    <row r="157" spans="8:11" x14ac:dyDescent="0.3">
      <c r="H157" t="s">
        <v>27</v>
      </c>
      <c r="I157" t="s">
        <v>27</v>
      </c>
      <c r="J157" t="s">
        <v>27</v>
      </c>
      <c r="K157" t="s">
        <v>27</v>
      </c>
    </row>
    <row r="158" spans="8:11" x14ac:dyDescent="0.3">
      <c r="H158" t="s">
        <v>27</v>
      </c>
      <c r="I158" t="s">
        <v>27</v>
      </c>
      <c r="J158" t="s">
        <v>27</v>
      </c>
      <c r="K158" t="s">
        <v>27</v>
      </c>
    </row>
    <row r="159" spans="8:11" x14ac:dyDescent="0.3">
      <c r="H159" t="s">
        <v>27</v>
      </c>
      <c r="I159" t="s">
        <v>27</v>
      </c>
      <c r="J159" t="s">
        <v>27</v>
      </c>
      <c r="K159" t="s">
        <v>27</v>
      </c>
    </row>
    <row r="160" spans="8:11" x14ac:dyDescent="0.3">
      <c r="H160" t="s">
        <v>27</v>
      </c>
      <c r="I160" t="s">
        <v>27</v>
      </c>
      <c r="J160" t="s">
        <v>27</v>
      </c>
      <c r="K160" t="s">
        <v>27</v>
      </c>
    </row>
    <row r="161" spans="8:11" x14ac:dyDescent="0.3">
      <c r="H161" t="s">
        <v>27</v>
      </c>
      <c r="I161" t="s">
        <v>27</v>
      </c>
      <c r="J161" t="s">
        <v>27</v>
      </c>
      <c r="K161" t="s">
        <v>27</v>
      </c>
    </row>
    <row r="162" spans="8:11" x14ac:dyDescent="0.3">
      <c r="H162" t="s">
        <v>27</v>
      </c>
      <c r="I162" t="s">
        <v>27</v>
      </c>
      <c r="J162" t="s">
        <v>27</v>
      </c>
      <c r="K162" t="s">
        <v>27</v>
      </c>
    </row>
    <row r="163" spans="8:11" x14ac:dyDescent="0.3">
      <c r="H163" t="s">
        <v>27</v>
      </c>
      <c r="I163" t="s">
        <v>27</v>
      </c>
      <c r="J163" t="s">
        <v>27</v>
      </c>
      <c r="K163" t="s">
        <v>27</v>
      </c>
    </row>
    <row r="164" spans="8:11" x14ac:dyDescent="0.3">
      <c r="H164" t="s">
        <v>27</v>
      </c>
      <c r="I164" t="s">
        <v>27</v>
      </c>
      <c r="J164" t="s">
        <v>27</v>
      </c>
      <c r="K164" t="s">
        <v>27</v>
      </c>
    </row>
    <row r="165" spans="8:11" x14ac:dyDescent="0.3">
      <c r="H165" t="s">
        <v>27</v>
      </c>
      <c r="I165" t="s">
        <v>27</v>
      </c>
      <c r="J165" t="s">
        <v>27</v>
      </c>
      <c r="K165" t="s">
        <v>27</v>
      </c>
    </row>
    <row r="166" spans="8:11" x14ac:dyDescent="0.3">
      <c r="H166" t="s">
        <v>27</v>
      </c>
      <c r="I166" t="s">
        <v>27</v>
      </c>
      <c r="J166" t="s">
        <v>27</v>
      </c>
      <c r="K166" t="s">
        <v>27</v>
      </c>
    </row>
    <row r="167" spans="8:11" x14ac:dyDescent="0.3">
      <c r="H167" t="s">
        <v>27</v>
      </c>
      <c r="I167" t="s">
        <v>27</v>
      </c>
      <c r="J167" t="s">
        <v>27</v>
      </c>
      <c r="K167" t="s">
        <v>27</v>
      </c>
    </row>
    <row r="168" spans="8:11" x14ac:dyDescent="0.3">
      <c r="H168" t="s">
        <v>27</v>
      </c>
      <c r="I168" t="s">
        <v>27</v>
      </c>
      <c r="J168" t="s">
        <v>27</v>
      </c>
      <c r="K168" t="s">
        <v>27</v>
      </c>
    </row>
    <row r="169" spans="8:11" x14ac:dyDescent="0.3">
      <c r="H169" t="s">
        <v>27</v>
      </c>
      <c r="I169" t="s">
        <v>27</v>
      </c>
      <c r="J169" t="s">
        <v>27</v>
      </c>
      <c r="K169" t="s">
        <v>27</v>
      </c>
    </row>
    <row r="170" spans="8:11" x14ac:dyDescent="0.3">
      <c r="H170" t="s">
        <v>27</v>
      </c>
      <c r="I170" t="s">
        <v>27</v>
      </c>
      <c r="J170" t="s">
        <v>27</v>
      </c>
      <c r="K170" t="s">
        <v>27</v>
      </c>
    </row>
    <row r="171" spans="8:11" x14ac:dyDescent="0.3">
      <c r="H171" t="s">
        <v>27</v>
      </c>
      <c r="I171" t="s">
        <v>27</v>
      </c>
      <c r="J171" t="s">
        <v>27</v>
      </c>
      <c r="K171" t="s">
        <v>27</v>
      </c>
    </row>
    <row r="172" spans="8:11" x14ac:dyDescent="0.3">
      <c r="H172" t="s">
        <v>27</v>
      </c>
      <c r="I172" t="s">
        <v>27</v>
      </c>
      <c r="J172" t="s">
        <v>27</v>
      </c>
      <c r="K172" t="s">
        <v>27</v>
      </c>
    </row>
    <row r="173" spans="8:11" x14ac:dyDescent="0.3">
      <c r="H173" t="s">
        <v>27</v>
      </c>
      <c r="I173" t="s">
        <v>27</v>
      </c>
      <c r="J173" t="s">
        <v>27</v>
      </c>
      <c r="K173" t="s">
        <v>27</v>
      </c>
    </row>
    <row r="174" spans="8:11" x14ac:dyDescent="0.3">
      <c r="H174" t="s">
        <v>27</v>
      </c>
      <c r="I174" t="s">
        <v>27</v>
      </c>
      <c r="J174" t="s">
        <v>27</v>
      </c>
      <c r="K174" t="s">
        <v>27</v>
      </c>
    </row>
    <row r="175" spans="8:11" x14ac:dyDescent="0.3">
      <c r="H175" t="s">
        <v>27</v>
      </c>
      <c r="I175" t="s">
        <v>27</v>
      </c>
      <c r="J175" t="s">
        <v>27</v>
      </c>
      <c r="K175" t="s">
        <v>27</v>
      </c>
    </row>
    <row r="176" spans="8:11" x14ac:dyDescent="0.3">
      <c r="H176" t="s">
        <v>27</v>
      </c>
      <c r="I176" t="s">
        <v>27</v>
      </c>
      <c r="J176" t="s">
        <v>27</v>
      </c>
      <c r="K176" t="s">
        <v>27</v>
      </c>
    </row>
    <row r="177" spans="8:11" x14ac:dyDescent="0.3">
      <c r="H177" t="s">
        <v>27</v>
      </c>
      <c r="I177" t="s">
        <v>27</v>
      </c>
      <c r="J177" t="s">
        <v>27</v>
      </c>
      <c r="K177" t="s">
        <v>27</v>
      </c>
    </row>
    <row r="178" spans="8:11" x14ac:dyDescent="0.3">
      <c r="H178" t="s">
        <v>27</v>
      </c>
      <c r="I178" t="s">
        <v>27</v>
      </c>
      <c r="J178" t="s">
        <v>27</v>
      </c>
      <c r="K178" t="s">
        <v>27</v>
      </c>
    </row>
    <row r="179" spans="8:11" x14ac:dyDescent="0.3">
      <c r="H179" t="s">
        <v>27</v>
      </c>
      <c r="I179" t="s">
        <v>27</v>
      </c>
      <c r="J179" t="s">
        <v>27</v>
      </c>
      <c r="K179" t="s">
        <v>27</v>
      </c>
    </row>
    <row r="180" spans="8:11" x14ac:dyDescent="0.3">
      <c r="H180" t="s">
        <v>27</v>
      </c>
      <c r="I180" t="s">
        <v>27</v>
      </c>
      <c r="J180" t="s">
        <v>27</v>
      </c>
      <c r="K180" t="s">
        <v>27</v>
      </c>
    </row>
    <row r="181" spans="8:11" x14ac:dyDescent="0.3">
      <c r="H181" t="s">
        <v>27</v>
      </c>
      <c r="I181" t="s">
        <v>27</v>
      </c>
      <c r="J181" t="s">
        <v>27</v>
      </c>
      <c r="K181" t="s">
        <v>27</v>
      </c>
    </row>
    <row r="182" spans="8:11" x14ac:dyDescent="0.3">
      <c r="H182" t="s">
        <v>27</v>
      </c>
      <c r="I182" t="s">
        <v>27</v>
      </c>
      <c r="J182" t="s">
        <v>27</v>
      </c>
      <c r="K182" t="s">
        <v>27</v>
      </c>
    </row>
    <row r="183" spans="8:11" x14ac:dyDescent="0.3">
      <c r="H183" t="s">
        <v>27</v>
      </c>
      <c r="I183" t="s">
        <v>27</v>
      </c>
      <c r="J183" t="s">
        <v>27</v>
      </c>
      <c r="K183" t="s">
        <v>27</v>
      </c>
    </row>
    <row r="184" spans="8:11" x14ac:dyDescent="0.3">
      <c r="H184" t="s">
        <v>27</v>
      </c>
      <c r="I184" t="s">
        <v>27</v>
      </c>
      <c r="J184" t="s">
        <v>27</v>
      </c>
      <c r="K184" t="s">
        <v>27</v>
      </c>
    </row>
    <row r="185" spans="8:11" x14ac:dyDescent="0.3">
      <c r="H185" t="s">
        <v>27</v>
      </c>
      <c r="I185" t="s">
        <v>27</v>
      </c>
      <c r="J185" t="s">
        <v>27</v>
      </c>
      <c r="K185" t="s">
        <v>27</v>
      </c>
    </row>
    <row r="186" spans="8:11" x14ac:dyDescent="0.3">
      <c r="H186" t="s">
        <v>27</v>
      </c>
      <c r="I186" t="s">
        <v>27</v>
      </c>
      <c r="J186" t="s">
        <v>27</v>
      </c>
      <c r="K186" t="s">
        <v>27</v>
      </c>
    </row>
    <row r="187" spans="8:11" x14ac:dyDescent="0.3">
      <c r="H187" t="s">
        <v>27</v>
      </c>
      <c r="I187" t="s">
        <v>27</v>
      </c>
      <c r="J187" t="s">
        <v>27</v>
      </c>
      <c r="K187" t="s">
        <v>27</v>
      </c>
    </row>
    <row r="188" spans="8:11" x14ac:dyDescent="0.3">
      <c r="H188" t="s">
        <v>27</v>
      </c>
      <c r="I188" t="s">
        <v>27</v>
      </c>
      <c r="J188" t="s">
        <v>27</v>
      </c>
      <c r="K188" t="s">
        <v>27</v>
      </c>
    </row>
    <row r="189" spans="8:11" x14ac:dyDescent="0.3">
      <c r="H189" t="s">
        <v>27</v>
      </c>
      <c r="I189" t="s">
        <v>27</v>
      </c>
      <c r="J189" t="s">
        <v>27</v>
      </c>
    </row>
    <row r="190" spans="8:11" x14ac:dyDescent="0.3">
      <c r="H190" t="s">
        <v>27</v>
      </c>
      <c r="I190" t="s">
        <v>27</v>
      </c>
      <c r="J190" t="s">
        <v>27</v>
      </c>
    </row>
    <row r="191" spans="8:11" x14ac:dyDescent="0.3">
      <c r="H191" t="s">
        <v>27</v>
      </c>
      <c r="I191" t="s">
        <v>27</v>
      </c>
      <c r="J191" t="s">
        <v>27</v>
      </c>
    </row>
    <row r="192" spans="8:11" x14ac:dyDescent="0.3">
      <c r="H192" t="s">
        <v>27</v>
      </c>
      <c r="I192" t="s">
        <v>27</v>
      </c>
      <c r="J192" t="s">
        <v>27</v>
      </c>
    </row>
    <row r="193" spans="8:10" x14ac:dyDescent="0.3">
      <c r="H193" t="s">
        <v>27</v>
      </c>
      <c r="I193" t="s">
        <v>27</v>
      </c>
      <c r="J193" t="s">
        <v>27</v>
      </c>
    </row>
    <row r="194" spans="8:10" x14ac:dyDescent="0.3">
      <c r="H194" t="s">
        <v>27</v>
      </c>
      <c r="I194" t="s">
        <v>27</v>
      </c>
      <c r="J194" t="s">
        <v>27</v>
      </c>
    </row>
    <row r="195" spans="8:10" x14ac:dyDescent="0.3">
      <c r="H195" t="s">
        <v>27</v>
      </c>
      <c r="I195" t="s">
        <v>27</v>
      </c>
      <c r="J195" t="s">
        <v>27</v>
      </c>
    </row>
    <row r="196" spans="8:10" x14ac:dyDescent="0.3">
      <c r="H196" t="s">
        <v>27</v>
      </c>
      <c r="I196" t="s">
        <v>27</v>
      </c>
      <c r="J196" t="s">
        <v>27</v>
      </c>
    </row>
    <row r="197" spans="8:10" x14ac:dyDescent="0.3">
      <c r="H197" t="s">
        <v>27</v>
      </c>
      <c r="I197" t="s">
        <v>27</v>
      </c>
      <c r="J197" t="s">
        <v>27</v>
      </c>
    </row>
    <row r="198" spans="8:10" x14ac:dyDescent="0.3">
      <c r="H198" t="s">
        <v>27</v>
      </c>
      <c r="I198" t="s">
        <v>27</v>
      </c>
      <c r="J198" t="s">
        <v>27</v>
      </c>
    </row>
    <row r="199" spans="8:10" x14ac:dyDescent="0.3">
      <c r="H199" t="s">
        <v>27</v>
      </c>
      <c r="I199" t="s">
        <v>27</v>
      </c>
      <c r="J199" t="s">
        <v>27</v>
      </c>
    </row>
    <row r="200" spans="8:10" x14ac:dyDescent="0.3">
      <c r="H200" t="s">
        <v>27</v>
      </c>
      <c r="I200" t="s">
        <v>27</v>
      </c>
      <c r="J200" t="s">
        <v>27</v>
      </c>
    </row>
    <row r="201" spans="8:10" x14ac:dyDescent="0.3">
      <c r="H201" t="s">
        <v>27</v>
      </c>
      <c r="I201" t="s">
        <v>27</v>
      </c>
      <c r="J201" t="s">
        <v>27</v>
      </c>
    </row>
    <row r="202" spans="8:10" x14ac:dyDescent="0.3">
      <c r="H202" t="s">
        <v>27</v>
      </c>
      <c r="I202" t="s">
        <v>27</v>
      </c>
      <c r="J202" t="s">
        <v>27</v>
      </c>
    </row>
    <row r="203" spans="8:10" x14ac:dyDescent="0.3">
      <c r="H203" t="s">
        <v>27</v>
      </c>
      <c r="I203" t="s">
        <v>27</v>
      </c>
      <c r="J203" t="s">
        <v>27</v>
      </c>
    </row>
    <row r="204" spans="8:10" x14ac:dyDescent="0.3">
      <c r="H204" t="s">
        <v>27</v>
      </c>
      <c r="I204" t="s">
        <v>27</v>
      </c>
      <c r="J204" t="s">
        <v>27</v>
      </c>
    </row>
    <row r="205" spans="8:10" x14ac:dyDescent="0.3">
      <c r="H205" t="s">
        <v>27</v>
      </c>
      <c r="I205" t="s">
        <v>27</v>
      </c>
      <c r="J205" t="s">
        <v>27</v>
      </c>
    </row>
    <row r="206" spans="8:10" x14ac:dyDescent="0.3">
      <c r="H206" t="s">
        <v>27</v>
      </c>
      <c r="I206" t="s">
        <v>27</v>
      </c>
      <c r="J206" t="s">
        <v>27</v>
      </c>
    </row>
    <row r="207" spans="8:10" x14ac:dyDescent="0.3">
      <c r="H207" t="s">
        <v>27</v>
      </c>
      <c r="I207" t="s">
        <v>27</v>
      </c>
      <c r="J207" t="s">
        <v>27</v>
      </c>
    </row>
    <row r="208" spans="8:10" x14ac:dyDescent="0.3">
      <c r="H208" t="s">
        <v>27</v>
      </c>
      <c r="I208" t="s">
        <v>27</v>
      </c>
      <c r="J208" t="s">
        <v>27</v>
      </c>
    </row>
    <row r="209" spans="8:10" x14ac:dyDescent="0.3">
      <c r="H209" t="s">
        <v>27</v>
      </c>
      <c r="I209" t="s">
        <v>27</v>
      </c>
      <c r="J209" t="s">
        <v>27</v>
      </c>
    </row>
    <row r="210" spans="8:10" x14ac:dyDescent="0.3">
      <c r="H210" t="s">
        <v>27</v>
      </c>
      <c r="I210" t="s">
        <v>27</v>
      </c>
      <c r="J210" t="s">
        <v>27</v>
      </c>
    </row>
    <row r="211" spans="8:10" x14ac:dyDescent="0.3">
      <c r="H211" t="s">
        <v>27</v>
      </c>
      <c r="I211" t="s">
        <v>27</v>
      </c>
      <c r="J211" t="s">
        <v>27</v>
      </c>
    </row>
    <row r="212" spans="8:10" x14ac:dyDescent="0.3">
      <c r="H212" t="s">
        <v>27</v>
      </c>
      <c r="I212" t="s">
        <v>27</v>
      </c>
      <c r="J212" t="s">
        <v>27</v>
      </c>
    </row>
    <row r="213" spans="8:10" x14ac:dyDescent="0.3">
      <c r="H213" t="s">
        <v>27</v>
      </c>
      <c r="I213" t="s">
        <v>27</v>
      </c>
      <c r="J213" t="s">
        <v>27</v>
      </c>
    </row>
    <row r="214" spans="8:10" x14ac:dyDescent="0.3">
      <c r="H214" t="s">
        <v>27</v>
      </c>
      <c r="I214" t="s">
        <v>27</v>
      </c>
      <c r="J214" t="s">
        <v>27</v>
      </c>
    </row>
    <row r="215" spans="8:10" x14ac:dyDescent="0.3">
      <c r="H215" t="s">
        <v>27</v>
      </c>
      <c r="I215" t="s">
        <v>27</v>
      </c>
      <c r="J215" t="s">
        <v>27</v>
      </c>
    </row>
    <row r="216" spans="8:10" x14ac:dyDescent="0.3">
      <c r="H216" t="s">
        <v>27</v>
      </c>
      <c r="I216" t="s">
        <v>27</v>
      </c>
      <c r="J216" t="s">
        <v>27</v>
      </c>
    </row>
    <row r="217" spans="8:10" x14ac:dyDescent="0.3">
      <c r="H217" t="s">
        <v>27</v>
      </c>
      <c r="I217" t="s">
        <v>27</v>
      </c>
      <c r="J217" t="s">
        <v>27</v>
      </c>
    </row>
    <row r="218" spans="8:10" x14ac:dyDescent="0.3">
      <c r="H218" t="s">
        <v>27</v>
      </c>
      <c r="I218" t="s">
        <v>27</v>
      </c>
      <c r="J218" t="s">
        <v>27</v>
      </c>
    </row>
    <row r="219" spans="8:10" x14ac:dyDescent="0.3">
      <c r="H219" t="s">
        <v>27</v>
      </c>
      <c r="I219" t="s">
        <v>27</v>
      </c>
      <c r="J219" t="s">
        <v>27</v>
      </c>
    </row>
    <row r="220" spans="8:10" x14ac:dyDescent="0.3">
      <c r="H220" t="s">
        <v>27</v>
      </c>
      <c r="I220" t="s">
        <v>27</v>
      </c>
      <c r="J220" t="s">
        <v>27</v>
      </c>
    </row>
    <row r="221" spans="8:10" x14ac:dyDescent="0.3">
      <c r="H221" t="s">
        <v>27</v>
      </c>
      <c r="I221" t="s">
        <v>27</v>
      </c>
      <c r="J221" t="s">
        <v>27</v>
      </c>
    </row>
    <row r="222" spans="8:10" x14ac:dyDescent="0.3">
      <c r="H222" t="s">
        <v>27</v>
      </c>
      <c r="I222" t="s">
        <v>27</v>
      </c>
      <c r="J222" t="s">
        <v>27</v>
      </c>
    </row>
    <row r="223" spans="8:10" x14ac:dyDescent="0.3">
      <c r="H223" t="s">
        <v>27</v>
      </c>
      <c r="I223" t="s">
        <v>27</v>
      </c>
      <c r="J223" t="s">
        <v>27</v>
      </c>
    </row>
    <row r="224" spans="8:10" x14ac:dyDescent="0.3">
      <c r="H224" t="s">
        <v>27</v>
      </c>
      <c r="I224" t="s">
        <v>27</v>
      </c>
      <c r="J224" t="s">
        <v>27</v>
      </c>
    </row>
    <row r="225" spans="8:10" x14ac:dyDescent="0.3">
      <c r="H225" t="s">
        <v>27</v>
      </c>
      <c r="I225" t="s">
        <v>27</v>
      </c>
      <c r="J225" t="s">
        <v>27</v>
      </c>
    </row>
    <row r="226" spans="8:10" x14ac:dyDescent="0.3">
      <c r="H226" t="s">
        <v>27</v>
      </c>
      <c r="I226" t="s">
        <v>27</v>
      </c>
      <c r="J226" t="s">
        <v>27</v>
      </c>
    </row>
    <row r="227" spans="8:10" x14ac:dyDescent="0.3">
      <c r="H227" t="s">
        <v>27</v>
      </c>
      <c r="I227" t="s">
        <v>27</v>
      </c>
      <c r="J227" t="s">
        <v>27</v>
      </c>
    </row>
    <row r="228" spans="8:10" x14ac:dyDescent="0.3">
      <c r="H228" t="s">
        <v>27</v>
      </c>
      <c r="I228" t="s">
        <v>27</v>
      </c>
      <c r="J228" t="s">
        <v>27</v>
      </c>
    </row>
    <row r="229" spans="8:10" x14ac:dyDescent="0.3">
      <c r="H229" t="s">
        <v>27</v>
      </c>
      <c r="I229" t="s">
        <v>27</v>
      </c>
      <c r="J229" t="s">
        <v>27</v>
      </c>
    </row>
    <row r="230" spans="8:10" x14ac:dyDescent="0.3">
      <c r="H230" t="s">
        <v>27</v>
      </c>
      <c r="I230" t="s">
        <v>27</v>
      </c>
      <c r="J230" t="s">
        <v>27</v>
      </c>
    </row>
    <row r="231" spans="8:10" x14ac:dyDescent="0.3">
      <c r="H231" t="s">
        <v>27</v>
      </c>
      <c r="I231" t="s">
        <v>27</v>
      </c>
      <c r="J231" t="s">
        <v>27</v>
      </c>
    </row>
    <row r="232" spans="8:10" x14ac:dyDescent="0.3">
      <c r="H232" t="s">
        <v>27</v>
      </c>
      <c r="I232" t="s">
        <v>27</v>
      </c>
      <c r="J232" t="s">
        <v>27</v>
      </c>
    </row>
    <row r="233" spans="8:10" x14ac:dyDescent="0.3">
      <c r="H233" t="s">
        <v>27</v>
      </c>
      <c r="I233" t="s">
        <v>27</v>
      </c>
      <c r="J233" t="s">
        <v>27</v>
      </c>
    </row>
    <row r="234" spans="8:10" x14ac:dyDescent="0.3">
      <c r="H234" t="s">
        <v>27</v>
      </c>
      <c r="I234" t="s">
        <v>27</v>
      </c>
      <c r="J234" t="s">
        <v>27</v>
      </c>
    </row>
    <row r="235" spans="8:10" x14ac:dyDescent="0.3">
      <c r="H235" t="s">
        <v>27</v>
      </c>
      <c r="I235" t="s">
        <v>27</v>
      </c>
      <c r="J235" t="s">
        <v>27</v>
      </c>
    </row>
    <row r="236" spans="8:10" x14ac:dyDescent="0.3">
      <c r="H236" t="s">
        <v>27</v>
      </c>
      <c r="I236" t="s">
        <v>27</v>
      </c>
      <c r="J236" t="s">
        <v>27</v>
      </c>
    </row>
    <row r="237" spans="8:10" x14ac:dyDescent="0.3">
      <c r="H237" t="s">
        <v>27</v>
      </c>
      <c r="I237" t="s">
        <v>27</v>
      </c>
    </row>
    <row r="238" spans="8:10" x14ac:dyDescent="0.3">
      <c r="H238" t="s">
        <v>27</v>
      </c>
      <c r="I238" t="s">
        <v>27</v>
      </c>
    </row>
    <row r="239" spans="8:10" x14ac:dyDescent="0.3">
      <c r="H239" t="s">
        <v>27</v>
      </c>
      <c r="I239" t="s">
        <v>27</v>
      </c>
    </row>
    <row r="240" spans="8:10" x14ac:dyDescent="0.3">
      <c r="H240" t="s">
        <v>27</v>
      </c>
      <c r="I240" t="s">
        <v>27</v>
      </c>
    </row>
    <row r="241" spans="8:9" x14ac:dyDescent="0.3">
      <c r="H241" t="s">
        <v>27</v>
      </c>
      <c r="I241" t="s">
        <v>27</v>
      </c>
    </row>
    <row r="242" spans="8:9" x14ac:dyDescent="0.3">
      <c r="H242" t="s">
        <v>27</v>
      </c>
      <c r="I242" t="s">
        <v>27</v>
      </c>
    </row>
    <row r="243" spans="8:9" x14ac:dyDescent="0.3">
      <c r="H243" t="s">
        <v>27</v>
      </c>
      <c r="I243" t="s">
        <v>27</v>
      </c>
    </row>
    <row r="244" spans="8:9" x14ac:dyDescent="0.3">
      <c r="H244" t="s">
        <v>27</v>
      </c>
      <c r="I244" t="s">
        <v>27</v>
      </c>
    </row>
    <row r="245" spans="8:9" x14ac:dyDescent="0.3">
      <c r="H245" t="s">
        <v>27</v>
      </c>
      <c r="I245" t="s">
        <v>27</v>
      </c>
    </row>
    <row r="246" spans="8:9" x14ac:dyDescent="0.3">
      <c r="H246" t="s">
        <v>27</v>
      </c>
      <c r="I246" t="s">
        <v>27</v>
      </c>
    </row>
    <row r="247" spans="8:9" x14ac:dyDescent="0.3">
      <c r="H247" t="s">
        <v>27</v>
      </c>
      <c r="I247" t="s">
        <v>27</v>
      </c>
    </row>
    <row r="248" spans="8:9" x14ac:dyDescent="0.3">
      <c r="H248" t="s">
        <v>27</v>
      </c>
      <c r="I248" t="s">
        <v>27</v>
      </c>
    </row>
    <row r="249" spans="8:9" x14ac:dyDescent="0.3">
      <c r="H249" t="s">
        <v>27</v>
      </c>
      <c r="I249" t="s">
        <v>27</v>
      </c>
    </row>
    <row r="250" spans="8:9" x14ac:dyDescent="0.3">
      <c r="H250" t="s">
        <v>27</v>
      </c>
      <c r="I250" t="s">
        <v>27</v>
      </c>
    </row>
    <row r="251" spans="8:9" x14ac:dyDescent="0.3">
      <c r="H251" t="s">
        <v>27</v>
      </c>
      <c r="I251" t="s">
        <v>27</v>
      </c>
    </row>
    <row r="252" spans="8:9" x14ac:dyDescent="0.3">
      <c r="H252" t="s">
        <v>27</v>
      </c>
      <c r="I252" t="s">
        <v>27</v>
      </c>
    </row>
    <row r="253" spans="8:9" x14ac:dyDescent="0.3">
      <c r="H253" t="s">
        <v>27</v>
      </c>
      <c r="I253" t="s">
        <v>27</v>
      </c>
    </row>
    <row r="254" spans="8:9" x14ac:dyDescent="0.3">
      <c r="H254" t="s">
        <v>27</v>
      </c>
      <c r="I254" t="s">
        <v>27</v>
      </c>
    </row>
    <row r="255" spans="8:9" x14ac:dyDescent="0.3">
      <c r="H255" t="s">
        <v>27</v>
      </c>
      <c r="I255" t="s">
        <v>27</v>
      </c>
    </row>
    <row r="256" spans="8:9" x14ac:dyDescent="0.3">
      <c r="H256" t="s">
        <v>27</v>
      </c>
      <c r="I256" t="s">
        <v>27</v>
      </c>
    </row>
    <row r="257" spans="8:9" x14ac:dyDescent="0.3">
      <c r="H257" t="s">
        <v>27</v>
      </c>
      <c r="I257" t="s">
        <v>27</v>
      </c>
    </row>
    <row r="258" spans="8:9" x14ac:dyDescent="0.3">
      <c r="H258" t="s">
        <v>27</v>
      </c>
      <c r="I258" t="s">
        <v>27</v>
      </c>
    </row>
    <row r="259" spans="8:9" x14ac:dyDescent="0.3">
      <c r="H259" t="s">
        <v>27</v>
      </c>
      <c r="I259" t="s">
        <v>27</v>
      </c>
    </row>
    <row r="260" spans="8:9" x14ac:dyDescent="0.3">
      <c r="H260" t="s">
        <v>27</v>
      </c>
      <c r="I260" t="s">
        <v>27</v>
      </c>
    </row>
    <row r="261" spans="8:9" x14ac:dyDescent="0.3">
      <c r="H261" t="s">
        <v>27</v>
      </c>
      <c r="I261" t="s">
        <v>27</v>
      </c>
    </row>
    <row r="262" spans="8:9" x14ac:dyDescent="0.3">
      <c r="H262" t="s">
        <v>27</v>
      </c>
      <c r="I262" t="s">
        <v>27</v>
      </c>
    </row>
    <row r="263" spans="8:9" x14ac:dyDescent="0.3">
      <c r="H263" t="s">
        <v>27</v>
      </c>
      <c r="I263" t="s">
        <v>27</v>
      </c>
    </row>
    <row r="264" spans="8:9" x14ac:dyDescent="0.3">
      <c r="H264" t="s">
        <v>27</v>
      </c>
      <c r="I264" t="s">
        <v>27</v>
      </c>
    </row>
    <row r="265" spans="8:9" x14ac:dyDescent="0.3">
      <c r="H265" t="s">
        <v>27</v>
      </c>
      <c r="I265" t="s">
        <v>27</v>
      </c>
    </row>
    <row r="266" spans="8:9" x14ac:dyDescent="0.3">
      <c r="H266" t="s">
        <v>27</v>
      </c>
      <c r="I266" t="s">
        <v>27</v>
      </c>
    </row>
    <row r="267" spans="8:9" x14ac:dyDescent="0.3">
      <c r="H267" t="s">
        <v>27</v>
      </c>
      <c r="I267" t="s">
        <v>27</v>
      </c>
    </row>
    <row r="268" spans="8:9" x14ac:dyDescent="0.3">
      <c r="H268" t="s">
        <v>27</v>
      </c>
      <c r="I268" t="s">
        <v>27</v>
      </c>
    </row>
    <row r="269" spans="8:9" x14ac:dyDescent="0.3">
      <c r="H269" t="s">
        <v>27</v>
      </c>
      <c r="I269" t="s">
        <v>27</v>
      </c>
    </row>
    <row r="270" spans="8:9" x14ac:dyDescent="0.3">
      <c r="H270" t="s">
        <v>27</v>
      </c>
      <c r="I270" t="s">
        <v>27</v>
      </c>
    </row>
    <row r="271" spans="8:9" x14ac:dyDescent="0.3">
      <c r="H271" t="s">
        <v>27</v>
      </c>
      <c r="I271" t="s">
        <v>27</v>
      </c>
    </row>
    <row r="272" spans="8:9" x14ac:dyDescent="0.3">
      <c r="H272" t="s">
        <v>27</v>
      </c>
      <c r="I272" t="s">
        <v>27</v>
      </c>
    </row>
    <row r="273" spans="8:9" x14ac:dyDescent="0.3">
      <c r="H273" t="s">
        <v>27</v>
      </c>
      <c r="I273" t="s">
        <v>27</v>
      </c>
    </row>
    <row r="274" spans="8:9" x14ac:dyDescent="0.3">
      <c r="H274" t="s">
        <v>27</v>
      </c>
      <c r="I274" t="s">
        <v>27</v>
      </c>
    </row>
    <row r="275" spans="8:9" x14ac:dyDescent="0.3">
      <c r="H275" t="s">
        <v>27</v>
      </c>
      <c r="I275" t="s">
        <v>27</v>
      </c>
    </row>
    <row r="276" spans="8:9" x14ac:dyDescent="0.3">
      <c r="H276" t="s">
        <v>27</v>
      </c>
      <c r="I276" t="s">
        <v>27</v>
      </c>
    </row>
    <row r="277" spans="8:9" x14ac:dyDescent="0.3">
      <c r="H277" t="s">
        <v>27</v>
      </c>
      <c r="I277" t="s">
        <v>27</v>
      </c>
    </row>
    <row r="278" spans="8:9" x14ac:dyDescent="0.3">
      <c r="H278" t="s">
        <v>27</v>
      </c>
      <c r="I278" t="s">
        <v>27</v>
      </c>
    </row>
    <row r="279" spans="8:9" x14ac:dyDescent="0.3">
      <c r="H279" t="s">
        <v>27</v>
      </c>
      <c r="I279" t="s">
        <v>27</v>
      </c>
    </row>
    <row r="280" spans="8:9" x14ac:dyDescent="0.3">
      <c r="H280" t="s">
        <v>27</v>
      </c>
      <c r="I280" t="s">
        <v>27</v>
      </c>
    </row>
    <row r="281" spans="8:9" x14ac:dyDescent="0.3">
      <c r="H281" t="s">
        <v>27</v>
      </c>
      <c r="I281" t="s">
        <v>27</v>
      </c>
    </row>
    <row r="282" spans="8:9" x14ac:dyDescent="0.3">
      <c r="H282" t="s">
        <v>27</v>
      </c>
      <c r="I282" t="s">
        <v>27</v>
      </c>
    </row>
    <row r="283" spans="8:9" x14ac:dyDescent="0.3">
      <c r="H283" t="s">
        <v>27</v>
      </c>
      <c r="I283" t="s">
        <v>27</v>
      </c>
    </row>
    <row r="284" spans="8:9" x14ac:dyDescent="0.3">
      <c r="H284" t="s">
        <v>27</v>
      </c>
      <c r="I284" t="s">
        <v>27</v>
      </c>
    </row>
    <row r="285" spans="8:9" x14ac:dyDescent="0.3">
      <c r="H285" t="s">
        <v>27</v>
      </c>
    </row>
    <row r="286" spans="8:9" x14ac:dyDescent="0.3">
      <c r="H286" t="s">
        <v>27</v>
      </c>
    </row>
    <row r="287" spans="8:9" x14ac:dyDescent="0.3">
      <c r="H287" t="s">
        <v>27</v>
      </c>
    </row>
    <row r="288" spans="8:9" x14ac:dyDescent="0.3">
      <c r="H288" t="s">
        <v>27</v>
      </c>
    </row>
    <row r="289" spans="8:8" x14ac:dyDescent="0.3">
      <c r="H289" t="s">
        <v>27</v>
      </c>
    </row>
    <row r="290" spans="8:8" x14ac:dyDescent="0.3">
      <c r="H290" t="s">
        <v>27</v>
      </c>
    </row>
    <row r="291" spans="8:8" x14ac:dyDescent="0.3">
      <c r="H291" t="s">
        <v>27</v>
      </c>
    </row>
    <row r="292" spans="8:8" x14ac:dyDescent="0.3">
      <c r="H292" t="s">
        <v>27</v>
      </c>
    </row>
    <row r="293" spans="8:8" x14ac:dyDescent="0.3">
      <c r="H293" t="s">
        <v>27</v>
      </c>
    </row>
    <row r="294" spans="8:8" x14ac:dyDescent="0.3">
      <c r="H294" t="s">
        <v>27</v>
      </c>
    </row>
    <row r="295" spans="8:8" x14ac:dyDescent="0.3">
      <c r="H295" t="s">
        <v>27</v>
      </c>
    </row>
    <row r="296" spans="8:8" x14ac:dyDescent="0.3">
      <c r="H296" t="s">
        <v>27</v>
      </c>
    </row>
    <row r="297" spans="8:8" x14ac:dyDescent="0.3">
      <c r="H297" t="s">
        <v>27</v>
      </c>
    </row>
    <row r="298" spans="8:8" x14ac:dyDescent="0.3">
      <c r="H298" t="s">
        <v>27</v>
      </c>
    </row>
    <row r="299" spans="8:8" x14ac:dyDescent="0.3">
      <c r="H299" t="s">
        <v>27</v>
      </c>
    </row>
    <row r="300" spans="8:8" x14ac:dyDescent="0.3">
      <c r="H300" t="s">
        <v>27</v>
      </c>
    </row>
    <row r="301" spans="8:8" x14ac:dyDescent="0.3">
      <c r="H301" t="s">
        <v>27</v>
      </c>
    </row>
    <row r="302" spans="8:8" x14ac:dyDescent="0.3">
      <c r="H302" t="s">
        <v>27</v>
      </c>
    </row>
    <row r="303" spans="8:8" x14ac:dyDescent="0.3">
      <c r="H303" t="s">
        <v>27</v>
      </c>
    </row>
    <row r="304" spans="8:8" x14ac:dyDescent="0.3">
      <c r="H304" t="s">
        <v>27</v>
      </c>
    </row>
    <row r="305" spans="8:8" x14ac:dyDescent="0.3">
      <c r="H305" t="s">
        <v>27</v>
      </c>
    </row>
    <row r="306" spans="8:8" x14ac:dyDescent="0.3">
      <c r="H306" t="s">
        <v>27</v>
      </c>
    </row>
    <row r="307" spans="8:8" x14ac:dyDescent="0.3">
      <c r="H307" t="s">
        <v>27</v>
      </c>
    </row>
    <row r="308" spans="8:8" x14ac:dyDescent="0.3">
      <c r="H308" t="s">
        <v>27</v>
      </c>
    </row>
    <row r="309" spans="8:8" x14ac:dyDescent="0.3">
      <c r="H309" t="s">
        <v>27</v>
      </c>
    </row>
    <row r="310" spans="8:8" x14ac:dyDescent="0.3">
      <c r="H310" t="s">
        <v>27</v>
      </c>
    </row>
    <row r="311" spans="8:8" x14ac:dyDescent="0.3">
      <c r="H311" t="s">
        <v>27</v>
      </c>
    </row>
    <row r="312" spans="8:8" x14ac:dyDescent="0.3">
      <c r="H312" t="s">
        <v>27</v>
      </c>
    </row>
    <row r="313" spans="8:8" x14ac:dyDescent="0.3">
      <c r="H313" t="s">
        <v>27</v>
      </c>
    </row>
    <row r="314" spans="8:8" x14ac:dyDescent="0.3">
      <c r="H314" t="s">
        <v>27</v>
      </c>
    </row>
    <row r="315" spans="8:8" x14ac:dyDescent="0.3">
      <c r="H315" t="s">
        <v>27</v>
      </c>
    </row>
    <row r="316" spans="8:8" x14ac:dyDescent="0.3">
      <c r="H316" t="s">
        <v>27</v>
      </c>
    </row>
    <row r="317" spans="8:8" x14ac:dyDescent="0.3">
      <c r="H317" t="s">
        <v>27</v>
      </c>
    </row>
    <row r="318" spans="8:8" x14ac:dyDescent="0.3">
      <c r="H318" t="s">
        <v>27</v>
      </c>
    </row>
    <row r="319" spans="8:8" x14ac:dyDescent="0.3">
      <c r="H319" t="s">
        <v>27</v>
      </c>
    </row>
    <row r="320" spans="8:8" x14ac:dyDescent="0.3">
      <c r="H320" t="s">
        <v>27</v>
      </c>
    </row>
    <row r="321" spans="8:8" x14ac:dyDescent="0.3">
      <c r="H321" t="s">
        <v>27</v>
      </c>
    </row>
    <row r="322" spans="8:8" x14ac:dyDescent="0.3">
      <c r="H322" t="s">
        <v>27</v>
      </c>
    </row>
    <row r="323" spans="8:8" x14ac:dyDescent="0.3">
      <c r="H323" t="s">
        <v>27</v>
      </c>
    </row>
    <row r="324" spans="8:8" x14ac:dyDescent="0.3">
      <c r="H324" t="s">
        <v>27</v>
      </c>
    </row>
    <row r="325" spans="8:8" x14ac:dyDescent="0.3">
      <c r="H325" t="s">
        <v>27</v>
      </c>
    </row>
    <row r="326" spans="8:8" x14ac:dyDescent="0.3">
      <c r="H326" t="s">
        <v>27</v>
      </c>
    </row>
    <row r="327" spans="8:8" x14ac:dyDescent="0.3">
      <c r="H327" t="s">
        <v>27</v>
      </c>
    </row>
    <row r="328" spans="8:8" x14ac:dyDescent="0.3">
      <c r="H328" t="s">
        <v>27</v>
      </c>
    </row>
    <row r="329" spans="8:8" x14ac:dyDescent="0.3">
      <c r="H329" t="s">
        <v>27</v>
      </c>
    </row>
    <row r="330" spans="8:8" x14ac:dyDescent="0.3">
      <c r="H330" t="s">
        <v>27</v>
      </c>
    </row>
    <row r="331" spans="8:8" x14ac:dyDescent="0.3">
      <c r="H331" t="s">
        <v>27</v>
      </c>
    </row>
    <row r="332" spans="8:8" x14ac:dyDescent="0.3">
      <c r="H332" t="s">
        <v>27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11A4C-199E-4BED-902E-DD0AD00B6B36}">
  <dimension ref="A1:K388"/>
  <sheetViews>
    <sheetView workbookViewId="0">
      <selection activeCell="M5" sqref="M5"/>
    </sheetView>
  </sheetViews>
  <sheetFormatPr defaultRowHeight="14.4" x14ac:dyDescent="0.3"/>
  <cols>
    <col min="2" max="2" width="20.21875" customWidth="1"/>
    <col min="3" max="3" width="15.88671875" customWidth="1"/>
    <col min="4" max="4" width="8.88671875" style="29"/>
    <col min="6" max="7" width="13.33203125" bestFit="1" customWidth="1"/>
    <col min="8" max="8" width="8.88671875" style="29"/>
    <col min="9" max="9" width="22.44140625" customWidth="1"/>
    <col min="10" max="10" width="17.21875" customWidth="1"/>
    <col min="11" max="11" width="8.88671875" style="29"/>
  </cols>
  <sheetData>
    <row r="1" spans="1:10" x14ac:dyDescent="0.3">
      <c r="A1" t="s">
        <v>24</v>
      </c>
      <c r="B1" t="s">
        <v>32</v>
      </c>
      <c r="C1" t="s">
        <v>31</v>
      </c>
      <c r="E1" t="s">
        <v>10</v>
      </c>
      <c r="F1" t="s">
        <v>33</v>
      </c>
      <c r="G1" t="s">
        <v>34</v>
      </c>
      <c r="I1" s="15" t="s">
        <v>33</v>
      </c>
      <c r="J1" s="15" t="s">
        <v>34</v>
      </c>
    </row>
    <row r="2" spans="1:10" x14ac:dyDescent="0.3">
      <c r="A2" s="11">
        <v>34486</v>
      </c>
      <c r="B2" s="18">
        <v>1042.07</v>
      </c>
      <c r="C2" t="s">
        <v>20</v>
      </c>
      <c r="D2" s="30">
        <f t="shared" ref="D2:D25" si="0">A2</f>
        <v>34486</v>
      </c>
      <c r="E2">
        <v>100</v>
      </c>
      <c r="F2" s="31"/>
      <c r="G2" s="32"/>
      <c r="H2" s="30">
        <f>D2</f>
        <v>34486</v>
      </c>
      <c r="I2" s="15"/>
      <c r="J2" s="15"/>
    </row>
    <row r="3" spans="1:10" x14ac:dyDescent="0.3">
      <c r="A3" s="11">
        <v>34516</v>
      </c>
      <c r="B3">
        <v>784.82</v>
      </c>
      <c r="C3" t="s">
        <v>20</v>
      </c>
      <c r="D3" s="30">
        <f t="shared" si="0"/>
        <v>34516</v>
      </c>
      <c r="E3">
        <v>106.84</v>
      </c>
      <c r="F3" s="31">
        <f>B3*($E$387/E3)</f>
        <v>6561.6972242158517</v>
      </c>
      <c r="G3" s="32"/>
      <c r="H3" s="30">
        <f t="shared" ref="H3:H66" si="1">D3</f>
        <v>34516</v>
      </c>
      <c r="I3" s="15"/>
      <c r="J3" s="15"/>
    </row>
    <row r="4" spans="1:10" x14ac:dyDescent="0.3">
      <c r="A4" s="11">
        <v>34547</v>
      </c>
      <c r="B4" s="18">
        <v>2195.08</v>
      </c>
      <c r="C4" t="s">
        <v>20</v>
      </c>
      <c r="D4" s="30">
        <f t="shared" si="0"/>
        <v>34547</v>
      </c>
      <c r="E4">
        <v>108.827224</v>
      </c>
      <c r="F4" s="31">
        <f t="shared" ref="F4:F67" si="2">B4*($E$387/E4)</f>
        <v>18017.428445440099</v>
      </c>
      <c r="G4" s="32"/>
      <c r="H4" s="30">
        <f t="shared" si="1"/>
        <v>34547</v>
      </c>
      <c r="I4" s="15"/>
      <c r="J4" s="15"/>
    </row>
    <row r="5" spans="1:10" x14ac:dyDescent="0.3">
      <c r="A5" s="11">
        <v>34578</v>
      </c>
      <c r="B5" s="18">
        <v>1420.11</v>
      </c>
      <c r="C5" t="s">
        <v>20</v>
      </c>
      <c r="D5" s="30">
        <f t="shared" si="0"/>
        <v>34578</v>
      </c>
      <c r="E5">
        <v>110.49228052720001</v>
      </c>
      <c r="F5" s="31">
        <f t="shared" si="2"/>
        <v>11480.744516712659</v>
      </c>
      <c r="G5" s="32"/>
      <c r="H5" s="30">
        <f t="shared" si="1"/>
        <v>34578</v>
      </c>
      <c r="I5" s="15"/>
      <c r="J5" s="15"/>
    </row>
    <row r="6" spans="1:10" x14ac:dyDescent="0.3">
      <c r="A6" s="11">
        <v>34608</v>
      </c>
      <c r="B6" s="18">
        <v>3084.4</v>
      </c>
      <c r="C6" t="s">
        <v>20</v>
      </c>
      <c r="D6" s="30">
        <f t="shared" si="0"/>
        <v>34608</v>
      </c>
      <c r="E6">
        <v>113.38717827701265</v>
      </c>
      <c r="F6" s="31">
        <f t="shared" si="2"/>
        <v>24298.907687633946</v>
      </c>
      <c r="G6" s="32"/>
      <c r="H6" s="30">
        <f t="shared" si="1"/>
        <v>34608</v>
      </c>
      <c r="I6" s="15"/>
      <c r="J6" s="15"/>
    </row>
    <row r="7" spans="1:10" x14ac:dyDescent="0.3">
      <c r="A7" s="11">
        <v>34639</v>
      </c>
      <c r="B7">
        <v>200.96</v>
      </c>
      <c r="C7" t="s">
        <v>20</v>
      </c>
      <c r="D7" s="30">
        <f t="shared" si="0"/>
        <v>34639</v>
      </c>
      <c r="E7">
        <v>116.5733579865967</v>
      </c>
      <c r="F7" s="31">
        <f t="shared" si="2"/>
        <v>1539.8922015230528</v>
      </c>
      <c r="G7" s="32"/>
      <c r="H7" s="30">
        <f t="shared" si="1"/>
        <v>34639</v>
      </c>
      <c r="I7" s="15"/>
      <c r="J7" s="15"/>
    </row>
    <row r="8" spans="1:10" x14ac:dyDescent="0.3">
      <c r="A8" s="11">
        <v>34669</v>
      </c>
      <c r="B8" s="18">
        <v>1101.9100000000001</v>
      </c>
      <c r="C8" t="s">
        <v>20</v>
      </c>
      <c r="D8" s="30">
        <f t="shared" si="0"/>
        <v>34669</v>
      </c>
      <c r="E8">
        <v>118.56676240816749</v>
      </c>
      <c r="F8" s="31">
        <f t="shared" si="2"/>
        <v>8301.626070489745</v>
      </c>
      <c r="G8" s="32"/>
      <c r="H8" s="30">
        <f t="shared" si="1"/>
        <v>34669</v>
      </c>
      <c r="I8" s="15"/>
      <c r="J8" s="15"/>
    </row>
    <row r="9" spans="1:10" x14ac:dyDescent="0.3">
      <c r="A9" s="11">
        <v>34700</v>
      </c>
      <c r="B9" s="18">
        <v>1835.12</v>
      </c>
      <c r="C9" t="s">
        <v>20</v>
      </c>
      <c r="D9" s="30">
        <f t="shared" si="0"/>
        <v>34700</v>
      </c>
      <c r="E9">
        <v>120.58239736910633</v>
      </c>
      <c r="F9" s="31">
        <f t="shared" si="2"/>
        <v>13594.416098184412</v>
      </c>
      <c r="G9" s="32"/>
      <c r="H9" s="30">
        <f t="shared" si="1"/>
        <v>34700</v>
      </c>
      <c r="I9" s="15"/>
      <c r="J9" s="15"/>
    </row>
    <row r="10" spans="1:10" x14ac:dyDescent="0.3">
      <c r="A10" s="11">
        <v>34731</v>
      </c>
      <c r="B10" s="18">
        <v>-1632.38</v>
      </c>
      <c r="C10" t="s">
        <v>20</v>
      </c>
      <c r="D10" s="30">
        <f t="shared" si="0"/>
        <v>34731</v>
      </c>
      <c r="E10">
        <v>121.81233782227122</v>
      </c>
      <c r="F10" s="31">
        <f t="shared" si="2"/>
        <v>-11970.436612571579</v>
      </c>
      <c r="G10" s="32"/>
      <c r="H10" s="30">
        <f t="shared" si="1"/>
        <v>34731</v>
      </c>
      <c r="I10" s="15"/>
      <c r="J10" s="15"/>
    </row>
    <row r="11" spans="1:10" x14ac:dyDescent="0.3">
      <c r="A11" s="11">
        <v>34759</v>
      </c>
      <c r="B11" s="18">
        <v>2126.17</v>
      </c>
      <c r="C11" t="s">
        <v>20</v>
      </c>
      <c r="D11" s="30">
        <f t="shared" si="0"/>
        <v>34759</v>
      </c>
      <c r="E11">
        <v>123.70042905851643</v>
      </c>
      <c r="F11" s="31">
        <f t="shared" si="2"/>
        <v>15353.478472610514</v>
      </c>
      <c r="G11" s="32"/>
      <c r="H11" s="30">
        <f t="shared" si="1"/>
        <v>34759</v>
      </c>
      <c r="I11" s="15"/>
      <c r="J11" s="15"/>
    </row>
    <row r="12" spans="1:10" x14ac:dyDescent="0.3">
      <c r="A12" s="11">
        <v>34790</v>
      </c>
      <c r="B12" s="18">
        <v>2624.58</v>
      </c>
      <c r="C12" t="s">
        <v>20</v>
      </c>
      <c r="D12" s="30">
        <f t="shared" si="0"/>
        <v>34790</v>
      </c>
      <c r="E12">
        <v>126.70634948463838</v>
      </c>
      <c r="F12" s="31">
        <f t="shared" si="2"/>
        <v>18502.96983168109</v>
      </c>
      <c r="G12" s="32"/>
      <c r="H12" s="30">
        <f t="shared" si="1"/>
        <v>34790</v>
      </c>
      <c r="I12" s="15"/>
      <c r="J12" s="15"/>
    </row>
    <row r="13" spans="1:10" x14ac:dyDescent="0.3">
      <c r="A13" s="11">
        <v>34820</v>
      </c>
      <c r="B13" s="18">
        <v>2513.08</v>
      </c>
      <c r="C13" t="s">
        <v>20</v>
      </c>
      <c r="D13" s="30">
        <f t="shared" si="0"/>
        <v>34820</v>
      </c>
      <c r="E13">
        <v>130.08940901587823</v>
      </c>
      <c r="F13" s="31">
        <f t="shared" si="2"/>
        <v>17256.168686962963</v>
      </c>
      <c r="G13" s="32"/>
      <c r="H13" s="30">
        <f t="shared" si="1"/>
        <v>34820</v>
      </c>
      <c r="I13" s="15"/>
      <c r="J13" s="15"/>
    </row>
    <row r="14" spans="1:10" x14ac:dyDescent="0.3">
      <c r="A14" s="11">
        <v>34851</v>
      </c>
      <c r="B14" s="18">
        <v>-1119.26</v>
      </c>
      <c r="C14" t="s">
        <v>20</v>
      </c>
      <c r="D14" s="30">
        <f t="shared" si="0"/>
        <v>34851</v>
      </c>
      <c r="E14">
        <v>133.02942965963706</v>
      </c>
      <c r="F14" s="31">
        <f t="shared" si="2"/>
        <v>-7515.5930911385067</v>
      </c>
      <c r="G14" s="32"/>
      <c r="H14" s="30">
        <f t="shared" si="1"/>
        <v>34851</v>
      </c>
      <c r="I14" s="31">
        <f>SUM(F3:F14)</f>
        <v>115421.29953174424</v>
      </c>
      <c r="J14" s="31">
        <f>SUM(G3:G14)</f>
        <v>0</v>
      </c>
    </row>
    <row r="15" spans="1:10" x14ac:dyDescent="0.3">
      <c r="A15" s="11">
        <v>34881</v>
      </c>
      <c r="B15">
        <v>-285.20999999999998</v>
      </c>
      <c r="C15" t="s">
        <v>20</v>
      </c>
      <c r="D15" s="30">
        <f t="shared" si="0"/>
        <v>34881</v>
      </c>
      <c r="E15">
        <v>136.1689241996045</v>
      </c>
      <c r="F15" s="31">
        <f t="shared" si="2"/>
        <v>-1870.9696673607602</v>
      </c>
      <c r="G15" s="32"/>
      <c r="H15" s="30">
        <f t="shared" si="1"/>
        <v>34881</v>
      </c>
      <c r="I15" s="31">
        <f t="shared" ref="I15:J15" si="3">SUM(F4:F15)</f>
        <v>106988.63264016765</v>
      </c>
      <c r="J15" s="31">
        <f t="shared" si="3"/>
        <v>0</v>
      </c>
    </row>
    <row r="16" spans="1:10" x14ac:dyDescent="0.3">
      <c r="A16" s="11">
        <v>34912</v>
      </c>
      <c r="B16">
        <v>538.44000000000005</v>
      </c>
      <c r="C16" t="s">
        <v>20</v>
      </c>
      <c r="D16" s="30">
        <f t="shared" si="0"/>
        <v>34912</v>
      </c>
      <c r="E16">
        <v>137.51699654918059</v>
      </c>
      <c r="F16" s="31">
        <f t="shared" si="2"/>
        <v>3497.5259176074328</v>
      </c>
      <c r="G16" s="32"/>
      <c r="H16" s="30">
        <f t="shared" si="1"/>
        <v>34912</v>
      </c>
      <c r="I16" s="31">
        <f t="shared" ref="I16:J16" si="4">SUM(F5:F16)</f>
        <v>92468.730112334975</v>
      </c>
      <c r="J16" s="31">
        <f t="shared" si="4"/>
        <v>0</v>
      </c>
    </row>
    <row r="17" spans="1:10" x14ac:dyDescent="0.3">
      <c r="A17" s="11">
        <v>34943</v>
      </c>
      <c r="B17">
        <v>-228.7</v>
      </c>
      <c r="C17" t="s">
        <v>20</v>
      </c>
      <c r="D17" s="30">
        <f t="shared" si="0"/>
        <v>34943</v>
      </c>
      <c r="E17">
        <v>138.87841481501749</v>
      </c>
      <c r="F17" s="31">
        <f t="shared" si="2"/>
        <v>-1470.9957509299559</v>
      </c>
      <c r="G17" s="32"/>
      <c r="H17" s="30">
        <f t="shared" si="1"/>
        <v>34943</v>
      </c>
      <c r="I17" s="31">
        <f t="shared" ref="I17:J17" si="5">SUM(F6:F17)</f>
        <v>79516.989844692347</v>
      </c>
      <c r="J17" s="31">
        <f t="shared" si="5"/>
        <v>0</v>
      </c>
    </row>
    <row r="18" spans="1:10" x14ac:dyDescent="0.3">
      <c r="A18" s="11">
        <v>34973</v>
      </c>
      <c r="B18">
        <v>628.21</v>
      </c>
      <c r="C18" t="s">
        <v>20</v>
      </c>
      <c r="D18" s="30">
        <f t="shared" si="0"/>
        <v>34973</v>
      </c>
      <c r="E18">
        <v>140.83660046390924</v>
      </c>
      <c r="F18" s="31">
        <f t="shared" si="2"/>
        <v>3984.4585773980302</v>
      </c>
      <c r="G18" s="32"/>
      <c r="H18" s="30">
        <f t="shared" si="1"/>
        <v>34973</v>
      </c>
      <c r="I18" s="31">
        <f t="shared" ref="I18:J18" si="6">SUM(F7:F18)</f>
        <v>59202.54073445643</v>
      </c>
      <c r="J18" s="31">
        <f t="shared" si="6"/>
        <v>0</v>
      </c>
    </row>
    <row r="19" spans="1:10" x14ac:dyDescent="0.3">
      <c r="A19" s="11">
        <v>35004</v>
      </c>
      <c r="B19">
        <v>-896.84</v>
      </c>
      <c r="C19" t="s">
        <v>20</v>
      </c>
      <c r="D19" s="30">
        <f t="shared" si="0"/>
        <v>35004</v>
      </c>
      <c r="E19">
        <v>142.90689849072868</v>
      </c>
      <c r="F19" s="31">
        <f t="shared" si="2"/>
        <v>-5605.8539720069084</v>
      </c>
      <c r="G19" s="32"/>
      <c r="H19" s="30">
        <f t="shared" si="1"/>
        <v>35004</v>
      </c>
      <c r="I19" s="31">
        <f t="shared" ref="I19:J19" si="7">SUM(F8:F19)</f>
        <v>52056.794560926472</v>
      </c>
      <c r="J19" s="31">
        <f t="shared" si="7"/>
        <v>0</v>
      </c>
    </row>
    <row r="20" spans="1:10" x14ac:dyDescent="0.3">
      <c r="A20" s="11">
        <v>35034</v>
      </c>
      <c r="B20" s="18">
        <v>-2767.46</v>
      </c>
      <c r="C20" t="s">
        <v>20</v>
      </c>
      <c r="D20" s="30">
        <f t="shared" si="0"/>
        <v>35034</v>
      </c>
      <c r="E20">
        <v>145.13624610718406</v>
      </c>
      <c r="F20" s="31">
        <f t="shared" si="2"/>
        <v>-17032.777403351825</v>
      </c>
      <c r="G20" s="32"/>
      <c r="H20" s="30">
        <f t="shared" si="1"/>
        <v>35034</v>
      </c>
      <c r="I20" s="31">
        <f t="shared" ref="I20:J20" si="8">SUM(F9:F20)</f>
        <v>26722.391087084903</v>
      </c>
      <c r="J20" s="31">
        <f t="shared" si="8"/>
        <v>0</v>
      </c>
    </row>
    <row r="21" spans="1:10" x14ac:dyDescent="0.3">
      <c r="A21" s="11">
        <v>35065</v>
      </c>
      <c r="B21">
        <v>-414.87</v>
      </c>
      <c r="C21" t="s">
        <v>20</v>
      </c>
      <c r="D21" s="30">
        <f t="shared" si="0"/>
        <v>35065</v>
      </c>
      <c r="E21">
        <v>147.08107180502034</v>
      </c>
      <c r="F21" s="31">
        <f t="shared" si="2"/>
        <v>-2519.6211762179282</v>
      </c>
      <c r="G21" s="32"/>
      <c r="H21" s="30">
        <f t="shared" si="1"/>
        <v>35065</v>
      </c>
      <c r="I21" s="31">
        <f t="shared" ref="I21:J21" si="9">SUM(F10:F21)</f>
        <v>10608.353812682557</v>
      </c>
      <c r="J21" s="31">
        <f t="shared" si="9"/>
        <v>0</v>
      </c>
    </row>
    <row r="22" spans="1:10" x14ac:dyDescent="0.3">
      <c r="A22" s="11">
        <v>35096</v>
      </c>
      <c r="B22">
        <v>94.67</v>
      </c>
      <c r="C22" t="s">
        <v>20</v>
      </c>
      <c r="D22" s="30">
        <f t="shared" si="0"/>
        <v>35096</v>
      </c>
      <c r="E22">
        <v>148.59600684461205</v>
      </c>
      <c r="F22" s="31">
        <f t="shared" si="2"/>
        <v>569.0956192234072</v>
      </c>
      <c r="G22" s="32"/>
      <c r="H22" s="30">
        <f t="shared" si="1"/>
        <v>35096</v>
      </c>
      <c r="I22" s="31">
        <f t="shared" ref="I22:J22" si="10">SUM(F11:F22)</f>
        <v>23147.886044477549</v>
      </c>
      <c r="J22" s="31">
        <f t="shared" si="10"/>
        <v>0</v>
      </c>
    </row>
    <row r="23" spans="1:10" x14ac:dyDescent="0.3">
      <c r="A23" s="11">
        <v>35125</v>
      </c>
      <c r="B23" s="18">
        <v>3778.29</v>
      </c>
      <c r="C23" t="s">
        <v>20</v>
      </c>
      <c r="D23" s="30">
        <f t="shared" si="0"/>
        <v>35125</v>
      </c>
      <c r="E23">
        <v>149.11609286856819</v>
      </c>
      <c r="F23" s="31">
        <f t="shared" si="2"/>
        <v>22633.451001726418</v>
      </c>
      <c r="G23" s="32"/>
      <c r="H23" s="30">
        <f t="shared" si="1"/>
        <v>35125</v>
      </c>
      <c r="I23" s="31">
        <f t="shared" ref="I23:J23" si="11">SUM(F12:F23)</f>
        <v>30427.85857359345</v>
      </c>
      <c r="J23" s="31">
        <f t="shared" si="11"/>
        <v>0</v>
      </c>
    </row>
    <row r="24" spans="1:10" x14ac:dyDescent="0.3">
      <c r="A24" s="11">
        <v>35156</v>
      </c>
      <c r="B24" s="18">
        <v>-1482</v>
      </c>
      <c r="C24" t="s">
        <v>20</v>
      </c>
      <c r="D24" s="30">
        <f t="shared" si="0"/>
        <v>35156</v>
      </c>
      <c r="E24">
        <v>150.99495563871213</v>
      </c>
      <c r="F24" s="31">
        <f t="shared" si="2"/>
        <v>-8767.2980144272769</v>
      </c>
      <c r="G24" s="32"/>
      <c r="H24" s="30">
        <f t="shared" si="1"/>
        <v>35156</v>
      </c>
      <c r="I24" s="31">
        <f t="shared" ref="I24:J24" si="12">SUM(F13:F24)</f>
        <v>3157.5907274850888</v>
      </c>
      <c r="J24" s="31">
        <f t="shared" si="12"/>
        <v>0</v>
      </c>
    </row>
    <row r="25" spans="1:10" x14ac:dyDescent="0.3">
      <c r="A25" s="11">
        <v>35186</v>
      </c>
      <c r="B25" s="18">
        <v>1077.3699999999999</v>
      </c>
      <c r="C25" t="s">
        <v>20</v>
      </c>
      <c r="D25" s="30">
        <f t="shared" si="0"/>
        <v>35186</v>
      </c>
      <c r="E25">
        <v>152.8370940975044</v>
      </c>
      <c r="F25" s="31">
        <f t="shared" si="2"/>
        <v>6296.7450689999778</v>
      </c>
      <c r="G25" s="32"/>
      <c r="H25" s="30">
        <f t="shared" si="1"/>
        <v>35186</v>
      </c>
      <c r="I25" s="31">
        <f t="shared" ref="I25:J25" si="13">SUM(F14:F25)</f>
        <v>-7801.8328904778982</v>
      </c>
      <c r="J25" s="31">
        <f t="shared" si="13"/>
        <v>0</v>
      </c>
    </row>
    <row r="26" spans="1:10" x14ac:dyDescent="0.3">
      <c r="A26" s="11">
        <v>35217</v>
      </c>
      <c r="B26">
        <v>-815.36</v>
      </c>
      <c r="C26" t="s">
        <v>20</v>
      </c>
      <c r="D26" s="30">
        <f t="shared" ref="D26:D89" si="14">A26</f>
        <v>35217</v>
      </c>
      <c r="E26">
        <v>154.65585551726471</v>
      </c>
      <c r="F26" s="31">
        <f t="shared" si="2"/>
        <v>-4709.3724477118594</v>
      </c>
      <c r="G26" s="32"/>
      <c r="H26" s="30">
        <f t="shared" si="1"/>
        <v>35217</v>
      </c>
      <c r="I26" s="31">
        <f t="shared" ref="I26:J26" si="15">SUM(F15:F26)</f>
        <v>-4995.6122470512501</v>
      </c>
      <c r="J26" s="31">
        <f t="shared" si="15"/>
        <v>0</v>
      </c>
    </row>
    <row r="27" spans="1:10" x14ac:dyDescent="0.3">
      <c r="A27" s="11">
        <v>35247</v>
      </c>
      <c r="B27">
        <v>783.77</v>
      </c>
      <c r="C27" t="s">
        <v>20</v>
      </c>
      <c r="D27" s="30">
        <f t="shared" si="14"/>
        <v>35247</v>
      </c>
      <c r="E27">
        <v>156.37253551350636</v>
      </c>
      <c r="F27" s="31">
        <f t="shared" si="2"/>
        <v>4477.21718883007</v>
      </c>
      <c r="G27" s="32"/>
      <c r="H27" s="30">
        <f t="shared" si="1"/>
        <v>35247</v>
      </c>
      <c r="I27" s="31">
        <f t="shared" ref="I27:J27" si="16">SUM(F16:F27)</f>
        <v>1352.5746091395813</v>
      </c>
      <c r="J27" s="31">
        <f t="shared" si="16"/>
        <v>0</v>
      </c>
    </row>
    <row r="28" spans="1:10" x14ac:dyDescent="0.3">
      <c r="A28" s="11">
        <v>35278</v>
      </c>
      <c r="B28">
        <v>-281.87</v>
      </c>
      <c r="C28" t="s">
        <v>20</v>
      </c>
      <c r="D28" s="30">
        <f t="shared" si="14"/>
        <v>35278</v>
      </c>
      <c r="E28">
        <v>157.0605746697658</v>
      </c>
      <c r="F28" s="31">
        <f t="shared" si="2"/>
        <v>-1603.1039259651373</v>
      </c>
      <c r="G28" s="32"/>
      <c r="H28" s="30">
        <f t="shared" si="1"/>
        <v>35278</v>
      </c>
      <c r="I28" s="31">
        <f t="shared" ref="I28:J28" si="17">SUM(F17:F28)</f>
        <v>-3748.0552344329881</v>
      </c>
      <c r="J28" s="31">
        <f t="shared" si="17"/>
        <v>0</v>
      </c>
    </row>
    <row r="29" spans="1:10" x14ac:dyDescent="0.3">
      <c r="A29" s="11">
        <v>35309</v>
      </c>
      <c r="B29">
        <v>700.92</v>
      </c>
      <c r="C29" t="s">
        <v>20</v>
      </c>
      <c r="D29" s="30">
        <f t="shared" si="14"/>
        <v>35309</v>
      </c>
      <c r="E29">
        <v>157.29616553177047</v>
      </c>
      <c r="F29" s="31">
        <f t="shared" si="2"/>
        <v>3980.4330251615293</v>
      </c>
      <c r="G29" s="32"/>
      <c r="H29" s="30">
        <f t="shared" si="1"/>
        <v>35309</v>
      </c>
      <c r="I29" s="31">
        <f t="shared" ref="I29:J29" si="18">SUM(F18:F29)</f>
        <v>1703.3735416584977</v>
      </c>
      <c r="J29" s="31">
        <f t="shared" si="18"/>
        <v>0</v>
      </c>
    </row>
    <row r="30" spans="1:10" x14ac:dyDescent="0.3">
      <c r="A30" s="11">
        <v>35339</v>
      </c>
      <c r="B30">
        <v>-375.06</v>
      </c>
      <c r="C30" t="s">
        <v>20</v>
      </c>
      <c r="D30" s="30">
        <f t="shared" si="14"/>
        <v>35339</v>
      </c>
      <c r="E30">
        <v>157.76805402836575</v>
      </c>
      <c r="F30" s="31">
        <f t="shared" si="2"/>
        <v>-2123.546057622777</v>
      </c>
      <c r="G30" s="32"/>
      <c r="H30" s="30">
        <f t="shared" si="1"/>
        <v>35339</v>
      </c>
      <c r="I30" s="31">
        <f t="shared" ref="I30:J30" si="19">SUM(F19:F30)</f>
        <v>-4404.6310933623072</v>
      </c>
      <c r="J30" s="31">
        <f t="shared" si="19"/>
        <v>0</v>
      </c>
    </row>
    <row r="31" spans="1:10" x14ac:dyDescent="0.3">
      <c r="A31" s="11">
        <v>35370</v>
      </c>
      <c r="B31">
        <v>-119.46</v>
      </c>
      <c r="C31" t="s">
        <v>20</v>
      </c>
      <c r="D31" s="30">
        <f t="shared" si="14"/>
        <v>35370</v>
      </c>
      <c r="E31">
        <v>158.27291180125653</v>
      </c>
      <c r="F31" s="31">
        <f t="shared" si="2"/>
        <v>-674.21113749821529</v>
      </c>
      <c r="G31" s="32"/>
      <c r="H31" s="30">
        <f t="shared" si="1"/>
        <v>35370</v>
      </c>
      <c r="I31" s="31">
        <f t="shared" ref="I31:J31" si="20">SUM(F20:F31)</f>
        <v>527.01174114638593</v>
      </c>
      <c r="J31" s="31">
        <f t="shared" si="20"/>
        <v>0</v>
      </c>
    </row>
    <row r="32" spans="1:10" x14ac:dyDescent="0.3">
      <c r="A32" s="11">
        <v>35400</v>
      </c>
      <c r="B32">
        <v>-38.83</v>
      </c>
      <c r="C32" t="s">
        <v>20</v>
      </c>
      <c r="D32" s="30">
        <f t="shared" si="14"/>
        <v>35400</v>
      </c>
      <c r="E32">
        <v>159.01679448672243</v>
      </c>
      <c r="F32" s="31">
        <f t="shared" si="2"/>
        <v>-218.12447567965555</v>
      </c>
      <c r="G32" s="32"/>
      <c r="H32" s="30">
        <f t="shared" si="1"/>
        <v>35400</v>
      </c>
      <c r="I32" s="31">
        <f t="shared" ref="I32:J32" si="21">SUM(F21:F32)</f>
        <v>17341.66466881855</v>
      </c>
      <c r="J32" s="31">
        <f t="shared" si="21"/>
        <v>0</v>
      </c>
    </row>
    <row r="33" spans="1:10" x14ac:dyDescent="0.3">
      <c r="A33" s="11">
        <v>35431</v>
      </c>
      <c r="B33" s="18">
        <v>-1112.58</v>
      </c>
      <c r="C33" t="s">
        <v>20</v>
      </c>
      <c r="D33" s="30">
        <f t="shared" si="14"/>
        <v>35431</v>
      </c>
      <c r="E33">
        <v>160.89319266166575</v>
      </c>
      <c r="F33" s="31">
        <f t="shared" si="2"/>
        <v>-6176.9428534096314</v>
      </c>
      <c r="G33" s="32"/>
      <c r="H33" s="30">
        <f t="shared" si="1"/>
        <v>35431</v>
      </c>
      <c r="I33" s="31">
        <f t="shared" ref="I33:J33" si="22">SUM(F22:F33)</f>
        <v>13684.342991626849</v>
      </c>
      <c r="J33" s="31">
        <f t="shared" si="22"/>
        <v>0</v>
      </c>
    </row>
    <row r="34" spans="1:10" x14ac:dyDescent="0.3">
      <c r="A34" s="11">
        <v>35462</v>
      </c>
      <c r="B34">
        <v>627.01</v>
      </c>
      <c r="C34" t="s">
        <v>20</v>
      </c>
      <c r="D34" s="30">
        <f t="shared" si="14"/>
        <v>35462</v>
      </c>
      <c r="E34">
        <v>161.69765862497405</v>
      </c>
      <c r="F34" s="31">
        <f t="shared" si="2"/>
        <v>3463.7835097073676</v>
      </c>
      <c r="G34" s="32"/>
      <c r="H34" s="30">
        <f t="shared" si="1"/>
        <v>35462</v>
      </c>
      <c r="I34" s="31">
        <f t="shared" ref="I34:J34" si="23">SUM(F23:F34)</f>
        <v>16579.030882110808</v>
      </c>
      <c r="J34" s="31">
        <f t="shared" si="23"/>
        <v>0</v>
      </c>
    </row>
    <row r="35" spans="1:10" x14ac:dyDescent="0.3">
      <c r="A35" s="11">
        <v>35490</v>
      </c>
      <c r="B35" s="18">
        <v>1038.1099999999999</v>
      </c>
      <c r="C35" t="s">
        <v>20</v>
      </c>
      <c r="D35" s="30">
        <f t="shared" si="14"/>
        <v>35490</v>
      </c>
      <c r="E35">
        <v>162.52231668396144</v>
      </c>
      <c r="F35" s="31">
        <f t="shared" si="2"/>
        <v>5705.7189372180765</v>
      </c>
      <c r="G35" s="32"/>
      <c r="H35" s="30">
        <f t="shared" si="1"/>
        <v>35490</v>
      </c>
      <c r="I35" s="31">
        <f t="shared" ref="I35:J35" si="24">SUM(F24:F35)</f>
        <v>-348.70118239753174</v>
      </c>
      <c r="J35" s="31">
        <f t="shared" si="24"/>
        <v>0</v>
      </c>
    </row>
    <row r="36" spans="1:10" x14ac:dyDescent="0.3">
      <c r="A36" s="11">
        <v>35521</v>
      </c>
      <c r="B36">
        <v>126.28</v>
      </c>
      <c r="C36" t="s">
        <v>20</v>
      </c>
      <c r="D36" s="30">
        <f t="shared" si="14"/>
        <v>35521</v>
      </c>
      <c r="E36">
        <v>163.95251307078027</v>
      </c>
      <c r="F36" s="31">
        <f t="shared" si="2"/>
        <v>688.01277084464414</v>
      </c>
      <c r="G36" s="32"/>
      <c r="H36" s="30">
        <f t="shared" si="1"/>
        <v>35521</v>
      </c>
      <c r="I36" s="31">
        <f t="shared" ref="I36:J36" si="25">SUM(F25:F36)</f>
        <v>9106.6096028743868</v>
      </c>
      <c r="J36" s="31">
        <f t="shared" si="25"/>
        <v>0</v>
      </c>
    </row>
    <row r="37" spans="1:10" x14ac:dyDescent="0.3">
      <c r="A37" s="11">
        <v>35551</v>
      </c>
      <c r="B37">
        <v>713.05</v>
      </c>
      <c r="C37" t="s">
        <v>20</v>
      </c>
      <c r="D37" s="30">
        <f t="shared" si="14"/>
        <v>35551</v>
      </c>
      <c r="E37">
        <v>164.62471837437047</v>
      </c>
      <c r="F37" s="31">
        <f t="shared" si="2"/>
        <v>3869.0553577558285</v>
      </c>
      <c r="G37" s="32"/>
      <c r="H37" s="30">
        <f t="shared" si="1"/>
        <v>35551</v>
      </c>
      <c r="I37" s="31">
        <f t="shared" ref="I37:J37" si="26">SUM(F26:F37)</f>
        <v>6678.9198916302403</v>
      </c>
      <c r="J37" s="31">
        <f t="shared" si="26"/>
        <v>0</v>
      </c>
    </row>
    <row r="38" spans="1:10" x14ac:dyDescent="0.3">
      <c r="A38" s="11">
        <v>35582</v>
      </c>
      <c r="B38">
        <v>-321.31</v>
      </c>
      <c r="C38" t="s">
        <v>20</v>
      </c>
      <c r="D38" s="30">
        <f t="shared" si="14"/>
        <v>35582</v>
      </c>
      <c r="E38">
        <v>165.51369185359209</v>
      </c>
      <c r="F38" s="31">
        <f t="shared" si="2"/>
        <v>-1734.0847565639415</v>
      </c>
      <c r="G38" s="32"/>
      <c r="H38" s="30">
        <f t="shared" si="1"/>
        <v>35582</v>
      </c>
      <c r="I38" s="31">
        <f t="shared" ref="I38:J38" si="27">SUM(F27:F38)</f>
        <v>9654.2075827781591</v>
      </c>
      <c r="J38" s="31">
        <f t="shared" si="27"/>
        <v>0</v>
      </c>
    </row>
    <row r="39" spans="1:10" x14ac:dyDescent="0.3">
      <c r="A39" s="11">
        <v>35612</v>
      </c>
      <c r="B39">
        <v>-606.6</v>
      </c>
      <c r="C39" t="s">
        <v>20</v>
      </c>
      <c r="D39" s="30">
        <f t="shared" si="14"/>
        <v>35612</v>
      </c>
      <c r="E39">
        <v>165.87782197567</v>
      </c>
      <c r="F39" s="31">
        <f t="shared" si="2"/>
        <v>-3266.5859218265668</v>
      </c>
      <c r="G39" s="32"/>
      <c r="H39" s="30">
        <f t="shared" si="1"/>
        <v>35612</v>
      </c>
      <c r="I39" s="31">
        <f t="shared" ref="I39:J39" si="28">SUM(F28:F39)</f>
        <v>1910.4044721215214</v>
      </c>
      <c r="J39" s="31">
        <f t="shared" si="28"/>
        <v>0</v>
      </c>
    </row>
    <row r="40" spans="1:10" x14ac:dyDescent="0.3">
      <c r="A40" s="11">
        <v>35643</v>
      </c>
      <c r="B40" s="18">
        <v>2065.5300000000002</v>
      </c>
      <c r="C40" t="s">
        <v>20</v>
      </c>
      <c r="D40" s="30">
        <f t="shared" si="14"/>
        <v>35643</v>
      </c>
      <c r="E40">
        <v>165.84464641127488</v>
      </c>
      <c r="F40" s="31">
        <f t="shared" si="2"/>
        <v>11125.257064453492</v>
      </c>
      <c r="G40" s="32"/>
      <c r="H40" s="30">
        <f t="shared" si="1"/>
        <v>35643</v>
      </c>
      <c r="I40" s="31">
        <f t="shared" ref="I40:J40" si="29">SUM(F29:F40)</f>
        <v>14638.76546254015</v>
      </c>
      <c r="J40" s="31">
        <f t="shared" si="29"/>
        <v>0</v>
      </c>
    </row>
    <row r="41" spans="1:10" x14ac:dyDescent="0.3">
      <c r="A41" s="11">
        <v>35674</v>
      </c>
      <c r="B41" s="18">
        <v>-1020.54</v>
      </c>
      <c r="C41" t="s">
        <v>20</v>
      </c>
      <c r="D41" s="30">
        <f t="shared" si="14"/>
        <v>35674</v>
      </c>
      <c r="E41">
        <v>165.94415319912164</v>
      </c>
      <c r="F41" s="31">
        <f t="shared" si="2"/>
        <v>-5493.4867407187658</v>
      </c>
      <c r="G41" s="32"/>
      <c r="H41" s="30">
        <f t="shared" si="1"/>
        <v>35674</v>
      </c>
      <c r="I41" s="31">
        <f t="shared" ref="I41:J41" si="30">SUM(F30:F41)</f>
        <v>5164.845696659856</v>
      </c>
      <c r="J41" s="31">
        <f t="shared" si="30"/>
        <v>0</v>
      </c>
    </row>
    <row r="42" spans="1:10" x14ac:dyDescent="0.3">
      <c r="A42" s="11">
        <v>35704</v>
      </c>
      <c r="B42" s="18">
        <v>-1549</v>
      </c>
      <c r="C42" t="s">
        <v>20</v>
      </c>
      <c r="D42" s="30">
        <f t="shared" si="14"/>
        <v>35704</v>
      </c>
      <c r="E42">
        <v>166.32582475147962</v>
      </c>
      <c r="F42" s="31">
        <f t="shared" si="2"/>
        <v>-8319.0117267816786</v>
      </c>
      <c r="G42" s="32"/>
      <c r="H42" s="30">
        <f t="shared" si="1"/>
        <v>35704</v>
      </c>
      <c r="I42" s="31">
        <f t="shared" ref="I42:J42" si="31">SUM(F31:F42)</f>
        <v>-1030.6199724990465</v>
      </c>
      <c r="J42" s="31">
        <f t="shared" si="31"/>
        <v>0</v>
      </c>
    </row>
    <row r="43" spans="1:10" x14ac:dyDescent="0.3">
      <c r="A43" s="11">
        <v>35735</v>
      </c>
      <c r="B43">
        <v>-56.11</v>
      </c>
      <c r="C43" t="s">
        <v>20</v>
      </c>
      <c r="D43" s="30">
        <f t="shared" si="14"/>
        <v>35735</v>
      </c>
      <c r="E43">
        <v>166.60857865355715</v>
      </c>
      <c r="F43" s="31">
        <f t="shared" si="2"/>
        <v>-300.83122603112469</v>
      </c>
      <c r="G43" s="32"/>
      <c r="H43" s="30">
        <f t="shared" si="1"/>
        <v>35735</v>
      </c>
      <c r="I43" s="31">
        <f t="shared" ref="I43:J43" si="32">SUM(F32:F43)</f>
        <v>-657.24006103195529</v>
      </c>
      <c r="J43" s="31">
        <f t="shared" si="32"/>
        <v>0</v>
      </c>
    </row>
    <row r="44" spans="1:10" x14ac:dyDescent="0.3">
      <c r="A44" s="11">
        <v>35765</v>
      </c>
      <c r="B44" s="18">
        <v>-2278.4</v>
      </c>
      <c r="C44" t="s">
        <v>20</v>
      </c>
      <c r="D44" s="30">
        <f t="shared" si="14"/>
        <v>35765</v>
      </c>
      <c r="E44">
        <v>167.32499554176744</v>
      </c>
      <c r="F44" s="31">
        <f t="shared" si="2"/>
        <v>-12163.236585432853</v>
      </c>
      <c r="G44" s="32"/>
      <c r="H44" s="30">
        <f t="shared" si="1"/>
        <v>35765</v>
      </c>
      <c r="I44" s="31">
        <f t="shared" ref="I44:J44" si="33">SUM(F33:F44)</f>
        <v>-12602.352170785152</v>
      </c>
      <c r="J44" s="31">
        <f t="shared" si="33"/>
        <v>0</v>
      </c>
    </row>
    <row r="45" spans="1:10" x14ac:dyDescent="0.3">
      <c r="A45" s="11">
        <v>35796</v>
      </c>
      <c r="B45">
        <v>243.4</v>
      </c>
      <c r="C45" t="s">
        <v>20</v>
      </c>
      <c r="D45" s="30">
        <f t="shared" si="14"/>
        <v>35796</v>
      </c>
      <c r="E45">
        <v>168.51300301011401</v>
      </c>
      <c r="F45" s="31">
        <f t="shared" si="2"/>
        <v>1290.2300726352537</v>
      </c>
      <c r="G45" s="32"/>
      <c r="H45" s="30">
        <f t="shared" si="1"/>
        <v>35796</v>
      </c>
      <c r="I45" s="31">
        <f t="shared" ref="I45:J45" si="34">SUM(F34:F45)</f>
        <v>-5135.1792447402713</v>
      </c>
      <c r="J45" s="31">
        <f t="shared" si="34"/>
        <v>0</v>
      </c>
    </row>
    <row r="46" spans="1:10" x14ac:dyDescent="0.3">
      <c r="A46" s="11">
        <v>35827</v>
      </c>
      <c r="B46">
        <v>68.13</v>
      </c>
      <c r="C46" t="s">
        <v>20</v>
      </c>
      <c r="D46" s="30">
        <f t="shared" si="14"/>
        <v>35827</v>
      </c>
      <c r="E46">
        <v>169.2881628239605</v>
      </c>
      <c r="F46" s="31">
        <f t="shared" si="2"/>
        <v>359.49412835974994</v>
      </c>
      <c r="G46" s="32"/>
      <c r="H46" s="30">
        <f t="shared" si="1"/>
        <v>35827</v>
      </c>
      <c r="I46" s="31">
        <f t="shared" ref="I46:J46" si="35">SUM(F35:F46)</f>
        <v>-8239.468626087888</v>
      </c>
      <c r="J46" s="31">
        <f t="shared" si="35"/>
        <v>0</v>
      </c>
    </row>
    <row r="47" spans="1:10" x14ac:dyDescent="0.3">
      <c r="A47" s="11">
        <v>35855</v>
      </c>
      <c r="B47" s="18">
        <v>3372.41</v>
      </c>
      <c r="C47" t="s">
        <v>20</v>
      </c>
      <c r="D47" s="30">
        <f t="shared" si="14"/>
        <v>35855</v>
      </c>
      <c r="E47">
        <v>169.86374257756199</v>
      </c>
      <c r="F47" s="31">
        <f t="shared" si="2"/>
        <v>17734.530036913158</v>
      </c>
      <c r="G47" s="32"/>
      <c r="H47" s="30">
        <f t="shared" si="1"/>
        <v>35855</v>
      </c>
      <c r="I47" s="31">
        <f t="shared" ref="I47:J47" si="36">SUM(F36:F47)</f>
        <v>3789.3424736071956</v>
      </c>
      <c r="J47" s="31">
        <f t="shared" si="36"/>
        <v>0</v>
      </c>
    </row>
    <row r="48" spans="1:10" x14ac:dyDescent="0.3">
      <c r="A48" s="11">
        <v>35886</v>
      </c>
      <c r="B48" s="18">
        <v>1098.98</v>
      </c>
      <c r="C48" t="s">
        <v>20</v>
      </c>
      <c r="D48" s="30">
        <f t="shared" si="14"/>
        <v>35886</v>
      </c>
      <c r="E48">
        <v>170.27141555974814</v>
      </c>
      <c r="F48" s="31">
        <f t="shared" si="2"/>
        <v>5765.3814535611309</v>
      </c>
      <c r="G48" s="32"/>
      <c r="H48" s="30">
        <f t="shared" si="1"/>
        <v>35886</v>
      </c>
      <c r="I48" s="31">
        <f t="shared" ref="I48:J48" si="37">SUM(F37:F48)</f>
        <v>8866.7111563236795</v>
      </c>
      <c r="J48" s="31">
        <f t="shared" si="37"/>
        <v>0</v>
      </c>
    </row>
    <row r="49" spans="1:10" x14ac:dyDescent="0.3">
      <c r="A49" s="11">
        <v>35916</v>
      </c>
      <c r="B49">
        <v>-214.11</v>
      </c>
      <c r="C49" t="s">
        <v>20</v>
      </c>
      <c r="D49" s="30">
        <f t="shared" si="14"/>
        <v>35916</v>
      </c>
      <c r="E49">
        <v>171.12277263754686</v>
      </c>
      <c r="F49" s="31">
        <f t="shared" si="2"/>
        <v>-1117.6585570409738</v>
      </c>
      <c r="G49" s="32"/>
      <c r="H49" s="30">
        <f t="shared" si="1"/>
        <v>35916</v>
      </c>
      <c r="I49" s="31">
        <f t="shared" ref="I49:J49" si="38">SUM(F38:F49)</f>
        <v>3879.9972415268817</v>
      </c>
      <c r="J49" s="31">
        <f t="shared" si="38"/>
        <v>0</v>
      </c>
    </row>
    <row r="50" spans="1:10" x14ac:dyDescent="0.3">
      <c r="A50" s="11">
        <v>35947</v>
      </c>
      <c r="B50" s="18">
        <v>-2407.16</v>
      </c>
      <c r="C50" t="s">
        <v>20</v>
      </c>
      <c r="D50" s="30">
        <f t="shared" si="14"/>
        <v>35947</v>
      </c>
      <c r="E50">
        <v>171.15699719207436</v>
      </c>
      <c r="F50" s="31">
        <f t="shared" si="2"/>
        <v>-12562.91160228909</v>
      </c>
      <c r="G50" s="32"/>
      <c r="H50" s="30">
        <f t="shared" si="1"/>
        <v>35947</v>
      </c>
      <c r="I50" s="31">
        <f t="shared" ref="I50:J50" si="39">SUM(F39:F50)</f>
        <v>-6948.8296041982667</v>
      </c>
      <c r="J50" s="31">
        <f t="shared" si="39"/>
        <v>0</v>
      </c>
    </row>
    <row r="51" spans="1:10" x14ac:dyDescent="0.3">
      <c r="A51" s="11">
        <v>35977</v>
      </c>
      <c r="B51">
        <v>430.58</v>
      </c>
      <c r="C51" t="s">
        <v>20</v>
      </c>
      <c r="D51" s="30">
        <f t="shared" si="14"/>
        <v>35977</v>
      </c>
      <c r="E51">
        <v>170.95160879544386</v>
      </c>
      <c r="F51" s="31">
        <f t="shared" si="2"/>
        <v>2249.8867888685709</v>
      </c>
      <c r="G51" s="32"/>
      <c r="H51" s="30">
        <f t="shared" si="1"/>
        <v>35977</v>
      </c>
      <c r="I51" s="31">
        <f t="shared" ref="I51:J51" si="40">SUM(F40:F51)</f>
        <v>-1432.3568935031308</v>
      </c>
      <c r="J51" s="31">
        <f t="shared" si="40"/>
        <v>0</v>
      </c>
    </row>
    <row r="52" spans="1:10" x14ac:dyDescent="0.3">
      <c r="A52" s="11">
        <v>36008</v>
      </c>
      <c r="B52" s="18">
        <v>4488.7</v>
      </c>
      <c r="C52" t="s">
        <v>20</v>
      </c>
      <c r="D52" s="30">
        <f t="shared" si="14"/>
        <v>36008</v>
      </c>
      <c r="E52">
        <v>170.0797555905871</v>
      </c>
      <c r="F52" s="31">
        <f t="shared" si="2"/>
        <v>23574.797002345746</v>
      </c>
      <c r="G52" s="32"/>
      <c r="H52" s="30">
        <f t="shared" si="1"/>
        <v>36008</v>
      </c>
      <c r="I52" s="31">
        <f t="shared" ref="I52:J52" si="41">SUM(F41:F52)</f>
        <v>11017.183044389125</v>
      </c>
      <c r="J52" s="31">
        <f t="shared" si="41"/>
        <v>0</v>
      </c>
    </row>
    <row r="53" spans="1:10" x14ac:dyDescent="0.3">
      <c r="A53" s="11">
        <v>36039</v>
      </c>
      <c r="B53" s="18">
        <v>-1222.22</v>
      </c>
      <c r="C53" t="s">
        <v>20</v>
      </c>
      <c r="D53" s="30">
        <f t="shared" si="14"/>
        <v>36039</v>
      </c>
      <c r="E53">
        <v>169.70558012828781</v>
      </c>
      <c r="F53" s="31">
        <f t="shared" si="2"/>
        <v>-6433.2920560343182</v>
      </c>
      <c r="G53" s="32"/>
      <c r="H53" s="30">
        <f t="shared" si="1"/>
        <v>36039</v>
      </c>
      <c r="I53" s="31">
        <f t="shared" ref="I53:J53" si="42">SUM(F42:F53)</f>
        <v>10077.377729073574</v>
      </c>
      <c r="J53" s="31">
        <f t="shared" si="42"/>
        <v>0</v>
      </c>
    </row>
    <row r="54" spans="1:10" x14ac:dyDescent="0.3">
      <c r="A54" s="11">
        <v>36069</v>
      </c>
      <c r="B54">
        <v>-35.19</v>
      </c>
      <c r="C54" t="s">
        <v>20</v>
      </c>
      <c r="D54" s="30">
        <f t="shared" si="14"/>
        <v>36069</v>
      </c>
      <c r="E54">
        <v>169.73952124431347</v>
      </c>
      <c r="F54" s="31">
        <f t="shared" si="2"/>
        <v>-185.18947406853792</v>
      </c>
      <c r="G54" s="32"/>
      <c r="H54" s="30">
        <f t="shared" si="1"/>
        <v>36069</v>
      </c>
      <c r="I54" s="31">
        <f t="shared" ref="I54:J54" si="43">SUM(F43:F54)</f>
        <v>18211.199981786711</v>
      </c>
      <c r="J54" s="31">
        <f t="shared" si="43"/>
        <v>0</v>
      </c>
    </row>
    <row r="55" spans="1:10" x14ac:dyDescent="0.3">
      <c r="A55" s="11">
        <v>36100</v>
      </c>
      <c r="B55" s="18">
        <v>-1567.49</v>
      </c>
      <c r="C55" t="s">
        <v>20</v>
      </c>
      <c r="D55" s="30">
        <f t="shared" si="14"/>
        <v>36100</v>
      </c>
      <c r="E55">
        <v>169.53583381882029</v>
      </c>
      <c r="F55" s="31">
        <f t="shared" si="2"/>
        <v>-8258.920329507444</v>
      </c>
      <c r="G55" s="32"/>
      <c r="H55" s="30">
        <f t="shared" si="1"/>
        <v>36100</v>
      </c>
      <c r="I55" s="31">
        <f t="shared" ref="I55:J55" si="44">SUM(F44:F55)</f>
        <v>10253.110878310388</v>
      </c>
      <c r="J55" s="31">
        <f t="shared" si="44"/>
        <v>0</v>
      </c>
    </row>
    <row r="56" spans="1:10" x14ac:dyDescent="0.3">
      <c r="A56" s="11">
        <v>36130</v>
      </c>
      <c r="B56">
        <v>785.48</v>
      </c>
      <c r="C56" t="s">
        <v>20</v>
      </c>
      <c r="D56" s="30">
        <f t="shared" si="14"/>
        <v>36130</v>
      </c>
      <c r="E56">
        <v>170.09530207042241</v>
      </c>
      <c r="F56" s="31">
        <f t="shared" si="2"/>
        <v>4124.9892111618656</v>
      </c>
      <c r="G56" s="32"/>
      <c r="H56" s="30">
        <f t="shared" si="1"/>
        <v>36130</v>
      </c>
      <c r="I56" s="31">
        <f t="shared" ref="I56:J56" si="45">SUM(F45:F56)</f>
        <v>26541.336674905106</v>
      </c>
      <c r="J56" s="31">
        <f t="shared" si="45"/>
        <v>0</v>
      </c>
    </row>
    <row r="57" spans="1:10" x14ac:dyDescent="0.3">
      <c r="A57" s="11">
        <v>36161</v>
      </c>
      <c r="B57" s="18">
        <v>2154.8200000000002</v>
      </c>
      <c r="C57" t="s">
        <v>20</v>
      </c>
      <c r="D57" s="30">
        <f t="shared" si="14"/>
        <v>36161</v>
      </c>
      <c r="E57">
        <v>171.28596918491533</v>
      </c>
      <c r="F57" s="31">
        <f t="shared" si="2"/>
        <v>11237.487270822192</v>
      </c>
      <c r="G57" s="32"/>
      <c r="H57" s="30">
        <f t="shared" si="1"/>
        <v>36161</v>
      </c>
      <c r="I57" s="31">
        <f t="shared" ref="I57:J57" si="46">SUM(F46:F57)</f>
        <v>36488.593873092046</v>
      </c>
      <c r="J57" s="31">
        <f t="shared" si="46"/>
        <v>0</v>
      </c>
    </row>
    <row r="58" spans="1:10" x14ac:dyDescent="0.3">
      <c r="A58" s="11">
        <v>36192</v>
      </c>
      <c r="B58" s="18">
        <v>1776.31</v>
      </c>
      <c r="C58" t="s">
        <v>20</v>
      </c>
      <c r="D58" s="30">
        <f t="shared" si="14"/>
        <v>36192</v>
      </c>
      <c r="E58">
        <v>173.08447186135695</v>
      </c>
      <c r="F58" s="31">
        <f t="shared" si="2"/>
        <v>9167.2834087617775</v>
      </c>
      <c r="G58" s="32"/>
      <c r="H58" s="30">
        <f t="shared" si="1"/>
        <v>36192</v>
      </c>
      <c r="I58" s="31">
        <f t="shared" ref="I58:J58" si="47">SUM(F47:F58)</f>
        <v>45296.383153494084</v>
      </c>
      <c r="J58" s="31">
        <f t="shared" si="47"/>
        <v>0</v>
      </c>
    </row>
    <row r="59" spans="1:10" x14ac:dyDescent="0.3">
      <c r="A59" s="11">
        <v>36220</v>
      </c>
      <c r="B59" s="18">
        <v>3383.38</v>
      </c>
      <c r="C59" t="s">
        <v>20</v>
      </c>
      <c r="D59" s="30">
        <f t="shared" si="14"/>
        <v>36220</v>
      </c>
      <c r="E59">
        <v>174.98840105183186</v>
      </c>
      <c r="F59" s="31">
        <f t="shared" si="2"/>
        <v>17271.16046970577</v>
      </c>
      <c r="G59" s="32"/>
      <c r="H59" s="30">
        <f t="shared" si="1"/>
        <v>36220</v>
      </c>
      <c r="I59" s="31">
        <f t="shared" ref="I59:J59" si="48">SUM(F48:F59)</f>
        <v>44833.013586286688</v>
      </c>
      <c r="J59" s="31">
        <f t="shared" si="48"/>
        <v>0</v>
      </c>
    </row>
    <row r="60" spans="1:10" x14ac:dyDescent="0.3">
      <c r="A60" s="11">
        <v>36251</v>
      </c>
      <c r="B60" s="18">
        <v>1249.45</v>
      </c>
      <c r="C60" t="s">
        <v>20</v>
      </c>
      <c r="D60" s="30">
        <f t="shared" si="14"/>
        <v>36251</v>
      </c>
      <c r="E60">
        <v>175.96833609772213</v>
      </c>
      <c r="F60" s="31">
        <f t="shared" si="2"/>
        <v>6342.556698852859</v>
      </c>
      <c r="G60" s="32"/>
      <c r="H60" s="30">
        <f t="shared" si="1"/>
        <v>36251</v>
      </c>
      <c r="I60" s="31">
        <f t="shared" ref="I60:J60" si="49">SUM(F49:F60)</f>
        <v>45410.188831578416</v>
      </c>
      <c r="J60" s="31">
        <f t="shared" si="49"/>
        <v>0</v>
      </c>
    </row>
    <row r="61" spans="1:10" x14ac:dyDescent="0.3">
      <c r="A61" s="11">
        <v>36281</v>
      </c>
      <c r="B61">
        <v>57.62</v>
      </c>
      <c r="C61" t="s">
        <v>20</v>
      </c>
      <c r="D61" s="30">
        <f t="shared" si="14"/>
        <v>36281</v>
      </c>
      <c r="E61">
        <v>176.49624110601528</v>
      </c>
      <c r="F61" s="31">
        <f t="shared" si="2"/>
        <v>291.62033048312088</v>
      </c>
      <c r="G61" s="32"/>
      <c r="H61" s="30">
        <f t="shared" si="1"/>
        <v>36281</v>
      </c>
      <c r="I61" s="31">
        <f t="shared" ref="I61:J61" si="50">SUM(F50:F61)</f>
        <v>46819.467719102511</v>
      </c>
      <c r="J61" s="31">
        <f t="shared" si="50"/>
        <v>0</v>
      </c>
    </row>
    <row r="62" spans="1:10" x14ac:dyDescent="0.3">
      <c r="A62" s="11">
        <v>36312</v>
      </c>
      <c r="B62" s="18">
        <v>3914.65</v>
      </c>
      <c r="C62" t="s">
        <v>20</v>
      </c>
      <c r="D62" s="30">
        <f t="shared" si="14"/>
        <v>36312</v>
      </c>
      <c r="E62">
        <v>176.8315839641167</v>
      </c>
      <c r="F62" s="31">
        <f t="shared" si="2"/>
        <v>19774.845820115494</v>
      </c>
      <c r="G62" s="32"/>
      <c r="H62" s="30">
        <f t="shared" si="1"/>
        <v>36312</v>
      </c>
      <c r="I62" s="31">
        <f t="shared" ref="I62:J62" si="51">SUM(F51:F62)</f>
        <v>79157.225141507093</v>
      </c>
      <c r="J62" s="31">
        <f t="shared" si="51"/>
        <v>0</v>
      </c>
    </row>
    <row r="63" spans="1:10" x14ac:dyDescent="0.3">
      <c r="A63" s="11">
        <v>36342</v>
      </c>
      <c r="B63" s="18">
        <v>3730.28</v>
      </c>
      <c r="C63" t="s">
        <v>20</v>
      </c>
      <c r="D63" s="30">
        <f t="shared" si="14"/>
        <v>36342</v>
      </c>
      <c r="E63">
        <v>178.75904822932557</v>
      </c>
      <c r="F63" s="31">
        <f t="shared" si="2"/>
        <v>18640.321666572767</v>
      </c>
      <c r="G63" s="32"/>
      <c r="H63" s="30">
        <f t="shared" si="1"/>
        <v>36342</v>
      </c>
      <c r="I63" s="31">
        <f t="shared" ref="I63:J63" si="52">SUM(F52:F63)</f>
        <v>95547.660019211296</v>
      </c>
      <c r="J63" s="31">
        <f t="shared" si="52"/>
        <v>0</v>
      </c>
    </row>
    <row r="64" spans="1:10" x14ac:dyDescent="0.3">
      <c r="A64" s="11">
        <v>36373</v>
      </c>
      <c r="B64" s="18">
        <v>2997.58</v>
      </c>
      <c r="C64" t="s">
        <v>20</v>
      </c>
      <c r="D64" s="30">
        <f t="shared" si="14"/>
        <v>36373</v>
      </c>
      <c r="E64">
        <v>179.7600988994098</v>
      </c>
      <c r="F64" s="31">
        <f t="shared" si="2"/>
        <v>14895.582406602951</v>
      </c>
      <c r="G64" s="32"/>
      <c r="H64" s="30">
        <f t="shared" si="1"/>
        <v>36373</v>
      </c>
      <c r="I64" s="31">
        <f t="shared" ref="I64:J64" si="53">SUM(F53:F64)</f>
        <v>86868.445423468496</v>
      </c>
      <c r="J64" s="31">
        <f t="shared" si="53"/>
        <v>0</v>
      </c>
    </row>
    <row r="65" spans="1:10" x14ac:dyDescent="0.3">
      <c r="A65" s="11">
        <v>36404</v>
      </c>
      <c r="B65" s="18">
        <v>3603.81</v>
      </c>
      <c r="C65" t="s">
        <v>20</v>
      </c>
      <c r="D65" s="30">
        <f t="shared" si="14"/>
        <v>36404</v>
      </c>
      <c r="E65">
        <v>180.31735520599798</v>
      </c>
      <c r="F65" s="31">
        <f t="shared" si="2"/>
        <v>17852.718686424254</v>
      </c>
      <c r="G65" s="32"/>
      <c r="H65" s="30">
        <f t="shared" si="1"/>
        <v>36404</v>
      </c>
      <c r="I65" s="31">
        <f t="shared" ref="I65:J65" si="54">SUM(F54:F65)</f>
        <v>111154.45616592705</v>
      </c>
      <c r="J65" s="31">
        <f t="shared" si="54"/>
        <v>0</v>
      </c>
    </row>
    <row r="66" spans="1:10" x14ac:dyDescent="0.3">
      <c r="A66" s="11">
        <v>36434</v>
      </c>
      <c r="B66">
        <v>774.76</v>
      </c>
      <c r="C66" t="s">
        <v>20</v>
      </c>
      <c r="D66" s="30">
        <f t="shared" si="14"/>
        <v>36434</v>
      </c>
      <c r="E66">
        <v>182.46313173294936</v>
      </c>
      <c r="F66" s="31">
        <f t="shared" si="2"/>
        <v>3792.9059171932254</v>
      </c>
      <c r="G66" s="32"/>
      <c r="H66" s="30">
        <f t="shared" si="1"/>
        <v>36434</v>
      </c>
      <c r="I66" s="31">
        <f t="shared" ref="I66:J66" si="55">SUM(F55:F66)</f>
        <v>115132.55155718884</v>
      </c>
      <c r="J66" s="31">
        <f t="shared" si="55"/>
        <v>0</v>
      </c>
    </row>
    <row r="67" spans="1:10" x14ac:dyDescent="0.3">
      <c r="A67" s="11">
        <v>36465</v>
      </c>
      <c r="B67">
        <v>375.24</v>
      </c>
      <c r="C67" t="s">
        <v>20</v>
      </c>
      <c r="D67" s="30">
        <f t="shared" si="14"/>
        <v>36465</v>
      </c>
      <c r="E67">
        <v>184.19653148441239</v>
      </c>
      <c r="F67" s="31">
        <f t="shared" si="2"/>
        <v>1819.7330537849871</v>
      </c>
      <c r="G67" s="32"/>
      <c r="H67" s="30">
        <f t="shared" ref="H67:H130" si="56">D67</f>
        <v>36465</v>
      </c>
      <c r="I67" s="31">
        <f t="shared" ref="I67:J67" si="57">SUM(F56:F67)</f>
        <v>125211.20494048127</v>
      </c>
      <c r="J67" s="31">
        <f t="shared" si="57"/>
        <v>0</v>
      </c>
    </row>
    <row r="68" spans="1:10" x14ac:dyDescent="0.3">
      <c r="A68" s="11">
        <v>36495</v>
      </c>
      <c r="B68" s="18">
        <v>-1345.79</v>
      </c>
      <c r="C68" t="s">
        <v>20</v>
      </c>
      <c r="D68" s="30">
        <f t="shared" si="14"/>
        <v>36495</v>
      </c>
      <c r="E68">
        <v>185.30171067331887</v>
      </c>
      <c r="F68" s="31">
        <f t="shared" ref="F68:F131" si="58">B68*($E$387/E68)</f>
        <v>-6487.5074954104857</v>
      </c>
      <c r="G68" s="32"/>
      <c r="H68" s="30">
        <f t="shared" si="56"/>
        <v>36495</v>
      </c>
      <c r="I68" s="31">
        <f t="shared" ref="I68:J68" si="59">SUM(F57:F68)</f>
        <v>114598.70823390892</v>
      </c>
      <c r="J68" s="31">
        <f t="shared" si="59"/>
        <v>0</v>
      </c>
    </row>
    <row r="69" spans="1:10" x14ac:dyDescent="0.3">
      <c r="A69" s="11">
        <v>36526</v>
      </c>
      <c r="B69" s="18">
        <v>1145.05</v>
      </c>
      <c r="C69" t="s">
        <v>20</v>
      </c>
      <c r="D69" s="30">
        <f t="shared" si="14"/>
        <v>36526</v>
      </c>
      <c r="E69">
        <v>186.45058127949343</v>
      </c>
      <c r="F69" s="31">
        <f t="shared" si="58"/>
        <v>5485.8093934369381</v>
      </c>
      <c r="G69" s="32"/>
      <c r="H69" s="30">
        <f t="shared" si="56"/>
        <v>36526</v>
      </c>
      <c r="I69" s="31">
        <f t="shared" ref="I69:J69" si="60">SUM(F58:F69)</f>
        <v>108847.03035652367</v>
      </c>
      <c r="J69" s="31">
        <f t="shared" si="60"/>
        <v>0</v>
      </c>
    </row>
    <row r="70" spans="1:10" x14ac:dyDescent="0.3">
      <c r="A70" s="11">
        <v>36557</v>
      </c>
      <c r="B70" s="18">
        <v>2381.7399999999998</v>
      </c>
      <c r="C70" t="s">
        <v>20</v>
      </c>
      <c r="D70" s="30">
        <f t="shared" si="14"/>
        <v>36557</v>
      </c>
      <c r="E70">
        <v>186.69296703515678</v>
      </c>
      <c r="F70" s="31">
        <f t="shared" si="58"/>
        <v>11395.841416572406</v>
      </c>
      <c r="G70" s="32"/>
      <c r="H70" s="30">
        <f t="shared" si="56"/>
        <v>36557</v>
      </c>
      <c r="I70" s="31">
        <f t="shared" ref="I70:J70" si="61">SUM(F59:F70)</f>
        <v>111075.5883643343</v>
      </c>
      <c r="J70" s="31">
        <f t="shared" si="61"/>
        <v>0</v>
      </c>
    </row>
    <row r="71" spans="1:10" x14ac:dyDescent="0.3">
      <c r="A71" s="11">
        <v>36586</v>
      </c>
      <c r="B71" s="18">
        <v>4952.01</v>
      </c>
      <c r="C71" t="s">
        <v>20</v>
      </c>
      <c r="D71" s="30">
        <f t="shared" si="14"/>
        <v>36586</v>
      </c>
      <c r="E71">
        <v>187.10369156263411</v>
      </c>
      <c r="F71" s="31">
        <f t="shared" si="58"/>
        <v>23641.72499126822</v>
      </c>
      <c r="G71" s="32"/>
      <c r="H71" s="30">
        <f t="shared" si="56"/>
        <v>36586</v>
      </c>
      <c r="I71" s="31">
        <f t="shared" ref="I71:J71" si="62">SUM(F60:F71)</f>
        <v>117446.15288589675</v>
      </c>
      <c r="J71" s="31">
        <f t="shared" si="62"/>
        <v>0</v>
      </c>
    </row>
    <row r="72" spans="1:10" x14ac:dyDescent="0.3">
      <c r="A72" s="11">
        <v>36617</v>
      </c>
      <c r="B72" s="18">
        <v>2169.08</v>
      </c>
      <c r="C72" t="s">
        <v>20</v>
      </c>
      <c r="D72" s="30">
        <f t="shared" si="14"/>
        <v>36617</v>
      </c>
      <c r="E72">
        <v>187.88952706719718</v>
      </c>
      <c r="F72" s="31">
        <f t="shared" si="58"/>
        <v>10312.239741821946</v>
      </c>
      <c r="G72" s="32"/>
      <c r="H72" s="30">
        <f t="shared" si="56"/>
        <v>36617</v>
      </c>
      <c r="I72" s="31">
        <f t="shared" ref="I72:J72" si="63">SUM(F61:F72)</f>
        <v>121415.83592886584</v>
      </c>
      <c r="J72" s="31">
        <f t="shared" si="63"/>
        <v>0</v>
      </c>
    </row>
    <row r="73" spans="1:10" x14ac:dyDescent="0.3">
      <c r="A73" s="11">
        <v>36647</v>
      </c>
      <c r="B73" s="18">
        <v>3189.73</v>
      </c>
      <c r="C73" t="s">
        <v>20</v>
      </c>
      <c r="D73" s="30">
        <f t="shared" si="14"/>
        <v>36647</v>
      </c>
      <c r="E73">
        <v>187.90831601990391</v>
      </c>
      <c r="F73" s="31">
        <f t="shared" si="58"/>
        <v>15163.097476595727</v>
      </c>
      <c r="G73" s="32"/>
      <c r="H73" s="30">
        <f t="shared" si="56"/>
        <v>36647</v>
      </c>
      <c r="I73" s="31">
        <f t="shared" ref="I73:J73" si="64">SUM(F62:F73)</f>
        <v>136287.31307497845</v>
      </c>
      <c r="J73" s="31">
        <f t="shared" si="64"/>
        <v>0</v>
      </c>
    </row>
    <row r="74" spans="1:10" x14ac:dyDescent="0.3">
      <c r="A74" s="11">
        <v>36678</v>
      </c>
      <c r="B74" s="18">
        <v>1795.63</v>
      </c>
      <c r="C74" t="s">
        <v>20</v>
      </c>
      <c r="D74" s="30">
        <f t="shared" si="14"/>
        <v>36678</v>
      </c>
      <c r="E74">
        <v>188.34050514674968</v>
      </c>
      <c r="F74" s="31">
        <f t="shared" si="58"/>
        <v>8516.3426385960538</v>
      </c>
      <c r="G74" s="32"/>
      <c r="H74" s="30">
        <f t="shared" si="56"/>
        <v>36678</v>
      </c>
      <c r="I74" s="31">
        <f t="shared" ref="I74:J74" si="65">SUM(F63:F74)</f>
        <v>125028.80989345898</v>
      </c>
      <c r="J74" s="31">
        <f t="shared" si="65"/>
        <v>0</v>
      </c>
    </row>
    <row r="75" spans="1:10" x14ac:dyDescent="0.3">
      <c r="A75" s="11">
        <v>36708</v>
      </c>
      <c r="B75">
        <v>396.98</v>
      </c>
      <c r="C75" t="s">
        <v>20</v>
      </c>
      <c r="D75" s="30">
        <f t="shared" si="14"/>
        <v>36708</v>
      </c>
      <c r="E75">
        <v>191.37278727961234</v>
      </c>
      <c r="F75" s="31">
        <f t="shared" si="58"/>
        <v>1852.9702621922486</v>
      </c>
      <c r="G75" s="32"/>
      <c r="H75" s="30">
        <f t="shared" si="56"/>
        <v>36708</v>
      </c>
      <c r="I75" s="31">
        <f t="shared" ref="I75:J75" si="66">SUM(F64:F75)</f>
        <v>108241.45848907846</v>
      </c>
      <c r="J75" s="31">
        <f t="shared" si="66"/>
        <v>0</v>
      </c>
    </row>
    <row r="76" spans="1:10" x14ac:dyDescent="0.3">
      <c r="A76" s="11">
        <v>36739</v>
      </c>
      <c r="B76" s="18">
        <v>4653.84</v>
      </c>
      <c r="C76" t="s">
        <v>20</v>
      </c>
      <c r="D76" s="30">
        <f t="shared" si="14"/>
        <v>36739</v>
      </c>
      <c r="E76">
        <v>193.87977079297528</v>
      </c>
      <c r="F76" s="31">
        <f t="shared" si="58"/>
        <v>21441.687138947254</v>
      </c>
      <c r="G76" s="32"/>
      <c r="H76" s="30">
        <f t="shared" si="56"/>
        <v>36739</v>
      </c>
      <c r="I76" s="31">
        <f t="shared" ref="I76:J76" si="67">SUM(F65:F76)</f>
        <v>114787.56322142277</v>
      </c>
      <c r="J76" s="31">
        <f t="shared" si="67"/>
        <v>0</v>
      </c>
    </row>
    <row r="77" spans="1:10" x14ac:dyDescent="0.3">
      <c r="A77" s="11">
        <v>36770</v>
      </c>
      <c r="B77" s="18">
        <v>1769.48</v>
      </c>
      <c r="C77" t="s">
        <v>20</v>
      </c>
      <c r="D77" s="30">
        <f t="shared" si="14"/>
        <v>36770</v>
      </c>
      <c r="E77">
        <v>194.32569426579911</v>
      </c>
      <c r="F77" s="31">
        <f t="shared" si="58"/>
        <v>8133.8364318374752</v>
      </c>
      <c r="G77" s="32"/>
      <c r="H77" s="30">
        <f t="shared" si="56"/>
        <v>36770</v>
      </c>
      <c r="I77" s="31">
        <f t="shared" ref="I77:J77" si="68">SUM(F66:F77)</f>
        <v>105068.68096683601</v>
      </c>
      <c r="J77" s="31">
        <f t="shared" si="68"/>
        <v>0</v>
      </c>
    </row>
    <row r="78" spans="1:10" x14ac:dyDescent="0.3">
      <c r="A78" s="11">
        <v>36800</v>
      </c>
      <c r="B78" s="18">
        <v>-1481.3</v>
      </c>
      <c r="C78" t="s">
        <v>20</v>
      </c>
      <c r="D78" s="30">
        <f t="shared" si="14"/>
        <v>36800</v>
      </c>
      <c r="E78">
        <v>194.59775023777124</v>
      </c>
      <c r="F78" s="31">
        <f t="shared" si="58"/>
        <v>-6799.6289170571217</v>
      </c>
      <c r="G78" s="32"/>
      <c r="H78" s="30">
        <f t="shared" si="56"/>
        <v>36800</v>
      </c>
      <c r="I78" s="31">
        <f t="shared" ref="I78:J78" si="69">SUM(F67:F78)</f>
        <v>94476.146132585651</v>
      </c>
      <c r="J78" s="31">
        <f t="shared" si="69"/>
        <v>0</v>
      </c>
    </row>
    <row r="79" spans="1:10" x14ac:dyDescent="0.3">
      <c r="A79" s="11">
        <v>36831</v>
      </c>
      <c r="B79" s="18">
        <v>2034.67</v>
      </c>
      <c r="C79" t="s">
        <v>20</v>
      </c>
      <c r="D79" s="30">
        <f t="shared" si="14"/>
        <v>36831</v>
      </c>
      <c r="E79">
        <v>195.22046303853213</v>
      </c>
      <c r="F79" s="31">
        <f t="shared" si="58"/>
        <v>9309.9778465399031</v>
      </c>
      <c r="G79" s="32"/>
      <c r="H79" s="30">
        <f t="shared" si="56"/>
        <v>36831</v>
      </c>
      <c r="I79" s="31">
        <f t="shared" ref="I79:J79" si="70">SUM(F68:F79)</f>
        <v>101966.39092534056</v>
      </c>
      <c r="J79" s="31">
        <f t="shared" si="70"/>
        <v>0</v>
      </c>
    </row>
    <row r="80" spans="1:10" x14ac:dyDescent="0.3">
      <c r="A80" s="11">
        <v>36861</v>
      </c>
      <c r="B80" s="18">
        <v>-2576.3200000000002</v>
      </c>
      <c r="C80" t="s">
        <v>20</v>
      </c>
      <c r="D80" s="30">
        <f t="shared" si="14"/>
        <v>36861</v>
      </c>
      <c r="E80">
        <v>196.37226377045948</v>
      </c>
      <c r="F80" s="31">
        <f t="shared" si="58"/>
        <v>-11719.245783576067</v>
      </c>
      <c r="G80" s="32"/>
      <c r="H80" s="30">
        <f t="shared" si="56"/>
        <v>36861</v>
      </c>
      <c r="I80" s="31">
        <f t="shared" ref="I80:J80" si="71">SUM(F69:F80)</f>
        <v>96734.652637174964</v>
      </c>
      <c r="J80" s="31">
        <f t="shared" si="71"/>
        <v>0</v>
      </c>
    </row>
    <row r="81" spans="1:10" x14ac:dyDescent="0.3">
      <c r="A81" s="11">
        <v>36892</v>
      </c>
      <c r="B81" s="18">
        <v>2629.62</v>
      </c>
      <c r="C81" t="s">
        <v>20</v>
      </c>
      <c r="D81" s="30">
        <f t="shared" si="14"/>
        <v>36892</v>
      </c>
      <c r="E81">
        <v>197.49158567395111</v>
      </c>
      <c r="F81" s="31">
        <f t="shared" si="58"/>
        <v>11893.90325837025</v>
      </c>
      <c r="G81" s="32"/>
      <c r="H81" s="30">
        <f t="shared" si="56"/>
        <v>36892</v>
      </c>
      <c r="I81" s="31">
        <f t="shared" ref="I81:J81" si="72">SUM(F70:F81)</f>
        <v>103142.74650210829</v>
      </c>
      <c r="J81" s="31">
        <f t="shared" si="72"/>
        <v>0</v>
      </c>
    </row>
    <row r="82" spans="1:10" x14ac:dyDescent="0.3">
      <c r="A82" s="11">
        <v>36923</v>
      </c>
      <c r="B82" s="18">
        <v>1053.24</v>
      </c>
      <c r="C82" t="s">
        <v>20</v>
      </c>
      <c r="D82" s="30">
        <f t="shared" si="14"/>
        <v>36923</v>
      </c>
      <c r="E82">
        <v>198.40004696805127</v>
      </c>
      <c r="F82" s="31">
        <f t="shared" si="58"/>
        <v>4742.0439868823141</v>
      </c>
      <c r="G82" s="32"/>
      <c r="H82" s="30">
        <f t="shared" si="56"/>
        <v>36923</v>
      </c>
      <c r="I82" s="31">
        <f t="shared" ref="I82:J82" si="73">SUM(F71:F82)</f>
        <v>96488.949072418196</v>
      </c>
      <c r="J82" s="31">
        <f t="shared" si="73"/>
        <v>0</v>
      </c>
    </row>
    <row r="83" spans="1:10" x14ac:dyDescent="0.3">
      <c r="A83" s="11">
        <v>36951</v>
      </c>
      <c r="B83" s="18">
        <v>3884.62</v>
      </c>
      <c r="C83" t="s">
        <v>20</v>
      </c>
      <c r="D83" s="30">
        <f t="shared" si="14"/>
        <v>36951</v>
      </c>
      <c r="E83">
        <v>199.15396714652988</v>
      </c>
      <c r="F83" s="31">
        <f t="shared" si="58"/>
        <v>17423.66787938655</v>
      </c>
      <c r="G83" s="32"/>
      <c r="H83" s="30">
        <f t="shared" si="56"/>
        <v>36951</v>
      </c>
      <c r="I83" s="31">
        <f t="shared" ref="I83:J83" si="74">SUM(F72:F83)</f>
        <v>90270.891960536537</v>
      </c>
      <c r="J83" s="31">
        <f t="shared" si="74"/>
        <v>0</v>
      </c>
    </row>
    <row r="84" spans="1:10" x14ac:dyDescent="0.3">
      <c r="A84" s="11">
        <v>36982</v>
      </c>
      <c r="B84" s="18">
        <v>6500.83</v>
      </c>
      <c r="C84" t="s">
        <v>20</v>
      </c>
      <c r="D84" s="30">
        <f t="shared" si="14"/>
        <v>36982</v>
      </c>
      <c r="E84">
        <v>200.30906015597975</v>
      </c>
      <c r="F84" s="31">
        <f t="shared" si="58"/>
        <v>28990.000328708193</v>
      </c>
      <c r="G84" s="32"/>
      <c r="H84" s="30">
        <f t="shared" si="56"/>
        <v>36982</v>
      </c>
      <c r="I84" s="31">
        <f t="shared" ref="I84:J84" si="75">SUM(F73:F84)</f>
        <v>108948.65254742278</v>
      </c>
      <c r="J84" s="31">
        <f t="shared" si="75"/>
        <v>0</v>
      </c>
    </row>
    <row r="85" spans="1:10" x14ac:dyDescent="0.3">
      <c r="A85" s="11">
        <v>37012</v>
      </c>
      <c r="B85" s="18">
        <v>4011.68</v>
      </c>
      <c r="C85" t="s">
        <v>20</v>
      </c>
      <c r="D85" s="30">
        <f t="shared" si="14"/>
        <v>37012</v>
      </c>
      <c r="E85">
        <v>201.13032730261926</v>
      </c>
      <c r="F85" s="31">
        <f t="shared" si="58"/>
        <v>17816.759896351756</v>
      </c>
      <c r="G85" s="32"/>
      <c r="H85" s="30">
        <f t="shared" si="56"/>
        <v>37012</v>
      </c>
      <c r="I85" s="31">
        <f t="shared" ref="I85:J85" si="76">SUM(F74:F85)</f>
        <v>111602.3149671788</v>
      </c>
      <c r="J85" s="31">
        <f t="shared" si="76"/>
        <v>0</v>
      </c>
    </row>
    <row r="86" spans="1:10" x14ac:dyDescent="0.3">
      <c r="A86" s="11">
        <v>37043</v>
      </c>
      <c r="B86" s="18">
        <v>1407.57</v>
      </c>
      <c r="C86" t="s">
        <v>20</v>
      </c>
      <c r="D86" s="30">
        <f t="shared" si="14"/>
        <v>37043</v>
      </c>
      <c r="E86">
        <v>202.1762050045929</v>
      </c>
      <c r="F86" s="31">
        <f t="shared" si="58"/>
        <v>6218.9915413436847</v>
      </c>
      <c r="G86" s="32"/>
      <c r="H86" s="30">
        <f t="shared" si="56"/>
        <v>37043</v>
      </c>
      <c r="I86" s="31">
        <f t="shared" ref="I86:J86" si="77">SUM(F75:F86)</f>
        <v>109304.96386992643</v>
      </c>
      <c r="J86" s="31">
        <f t="shared" si="77"/>
        <v>0</v>
      </c>
    </row>
    <row r="87" spans="1:10" x14ac:dyDescent="0.3">
      <c r="A87" s="11">
        <v>37073</v>
      </c>
      <c r="B87" s="18">
        <v>1261.3800000000001</v>
      </c>
      <c r="C87" t="s">
        <v>20</v>
      </c>
      <c r="D87" s="30">
        <f t="shared" si="14"/>
        <v>37073</v>
      </c>
      <c r="E87">
        <v>204.86514853115401</v>
      </c>
      <c r="F87" s="31">
        <f t="shared" si="58"/>
        <v>5499.9388658419612</v>
      </c>
      <c r="G87" s="32"/>
      <c r="H87" s="30">
        <f t="shared" si="56"/>
        <v>37073</v>
      </c>
      <c r="I87" s="31">
        <f t="shared" ref="I87:J87" si="78">SUM(F76:F87)</f>
        <v>112951.93247357615</v>
      </c>
      <c r="J87" s="31">
        <f t="shared" si="78"/>
        <v>0</v>
      </c>
    </row>
    <row r="88" spans="1:10" x14ac:dyDescent="0.3">
      <c r="A88" s="11">
        <v>37104</v>
      </c>
      <c r="B88" s="18">
        <v>2471.0100000000002</v>
      </c>
      <c r="C88" t="s">
        <v>20</v>
      </c>
      <c r="D88" s="30">
        <f t="shared" si="14"/>
        <v>37104</v>
      </c>
      <c r="E88">
        <v>206.29920457087206</v>
      </c>
      <c r="F88" s="31">
        <f t="shared" si="58"/>
        <v>10699.339144440255</v>
      </c>
      <c r="G88" s="32"/>
      <c r="H88" s="30">
        <f t="shared" si="56"/>
        <v>37104</v>
      </c>
      <c r="I88" s="31">
        <f t="shared" ref="I88:J88" si="79">SUM(F77:F88)</f>
        <v>102209.58447906915</v>
      </c>
      <c r="J88" s="31">
        <f t="shared" si="79"/>
        <v>0</v>
      </c>
    </row>
    <row r="89" spans="1:10" x14ac:dyDescent="0.3">
      <c r="A89" s="11">
        <v>37135</v>
      </c>
      <c r="B89" s="18">
        <v>1952.36</v>
      </c>
      <c r="C89" t="s">
        <v>20</v>
      </c>
      <c r="D89" s="30">
        <f t="shared" si="14"/>
        <v>37135</v>
      </c>
      <c r="E89">
        <v>206.87684234367049</v>
      </c>
      <c r="F89" s="31">
        <f t="shared" si="58"/>
        <v>8430.008778298683</v>
      </c>
      <c r="G89" s="32"/>
      <c r="H89" s="30">
        <f t="shared" si="56"/>
        <v>37135</v>
      </c>
      <c r="I89" s="31">
        <f t="shared" ref="I89:J89" si="80">SUM(F78:F89)</f>
        <v>102505.75682553035</v>
      </c>
      <c r="J89" s="31">
        <f t="shared" si="80"/>
        <v>0</v>
      </c>
    </row>
    <row r="90" spans="1:10" x14ac:dyDescent="0.3">
      <c r="A90" s="11">
        <v>37165</v>
      </c>
      <c r="B90" s="18">
        <v>1890.87</v>
      </c>
      <c r="C90" t="s">
        <v>20</v>
      </c>
      <c r="D90" s="30">
        <f t="shared" ref="D90:D153" si="81">A90</f>
        <v>37165</v>
      </c>
      <c r="E90">
        <v>208.59392013512294</v>
      </c>
      <c r="F90" s="31">
        <f t="shared" si="58"/>
        <v>8097.2962715011699</v>
      </c>
      <c r="G90" s="32"/>
      <c r="H90" s="30">
        <f t="shared" si="56"/>
        <v>37165</v>
      </c>
      <c r="I90" s="31">
        <f t="shared" ref="I90:J90" si="82">SUM(F79:F90)</f>
        <v>117402.68201408864</v>
      </c>
      <c r="J90" s="31">
        <f t="shared" si="82"/>
        <v>0</v>
      </c>
    </row>
    <row r="91" spans="1:10" x14ac:dyDescent="0.3">
      <c r="A91" s="11">
        <v>37196</v>
      </c>
      <c r="B91">
        <v>845.77</v>
      </c>
      <c r="C91" t="s">
        <v>20</v>
      </c>
      <c r="D91" s="30">
        <f t="shared" si="81"/>
        <v>37196</v>
      </c>
      <c r="E91">
        <v>210.07493696808234</v>
      </c>
      <c r="F91" s="31">
        <f t="shared" si="58"/>
        <v>3596.3176036272357</v>
      </c>
      <c r="G91" s="32"/>
      <c r="H91" s="30">
        <f t="shared" si="56"/>
        <v>37196</v>
      </c>
      <c r="I91" s="31">
        <f t="shared" ref="I91:J91" si="83">SUM(F80:F91)</f>
        <v>111689.02177117598</v>
      </c>
      <c r="J91" s="31">
        <f t="shared" si="83"/>
        <v>0</v>
      </c>
    </row>
    <row r="92" spans="1:10" x14ac:dyDescent="0.3">
      <c r="A92" s="11">
        <v>37226</v>
      </c>
      <c r="B92" s="18">
        <v>-5929.15</v>
      </c>
      <c r="C92" s="18">
        <v>-5055.2</v>
      </c>
      <c r="D92" s="30">
        <f t="shared" si="81"/>
        <v>37226</v>
      </c>
      <c r="E92">
        <v>211.44042405837487</v>
      </c>
      <c r="F92" s="31">
        <f t="shared" si="58"/>
        <v>-25048.655556923233</v>
      </c>
      <c r="G92" s="32">
        <f>C92*($E$387/E92)</f>
        <v>-21356.512075315739</v>
      </c>
      <c r="H92" s="30">
        <f t="shared" si="56"/>
        <v>37226</v>
      </c>
      <c r="I92" s="31">
        <f t="shared" ref="I92:J92" si="84">SUM(F81:F92)</f>
        <v>98359.611997828819</v>
      </c>
      <c r="J92" s="31">
        <f t="shared" si="84"/>
        <v>-21356.512075315739</v>
      </c>
    </row>
    <row r="93" spans="1:10" x14ac:dyDescent="0.3">
      <c r="A93" s="11">
        <v>37257</v>
      </c>
      <c r="B93" s="18">
        <v>7039.63</v>
      </c>
      <c r="C93" s="18">
        <v>6509.82</v>
      </c>
      <c r="D93" s="30">
        <f t="shared" si="81"/>
        <v>37257</v>
      </c>
      <c r="E93">
        <v>212.53991426347844</v>
      </c>
      <c r="F93" s="31">
        <f t="shared" si="58"/>
        <v>29586.210083250546</v>
      </c>
      <c r="G93" s="32">
        <f t="shared" ref="G93:G156" si="85">C93*($E$387/E93)</f>
        <v>27359.520617439561</v>
      </c>
      <c r="H93" s="30">
        <f t="shared" si="56"/>
        <v>37257</v>
      </c>
      <c r="I93" s="31">
        <f t="shared" ref="I93:J93" si="86">SUM(F82:F93)</f>
        <v>116051.91882270912</v>
      </c>
      <c r="J93" s="31">
        <f t="shared" si="86"/>
        <v>6003.0085421238218</v>
      </c>
    </row>
    <row r="94" spans="1:10" x14ac:dyDescent="0.3">
      <c r="A94" s="11">
        <v>37288</v>
      </c>
      <c r="B94" s="18">
        <v>2144.5300000000002</v>
      </c>
      <c r="C94" s="18">
        <v>4655.74</v>
      </c>
      <c r="D94" s="30">
        <f t="shared" si="81"/>
        <v>37288</v>
      </c>
      <c r="E94">
        <v>213.30505795482696</v>
      </c>
      <c r="F94" s="31">
        <f t="shared" si="58"/>
        <v>8980.7162874410278</v>
      </c>
      <c r="G94" s="32">
        <f t="shared" si="85"/>
        <v>19496.990038885295</v>
      </c>
      <c r="H94" s="30">
        <f t="shared" si="56"/>
        <v>37288</v>
      </c>
      <c r="I94" s="31">
        <f t="shared" ref="I94:J94" si="87">SUM(F83:F94)</f>
        <v>120290.59112326783</v>
      </c>
      <c r="J94" s="31">
        <f t="shared" si="87"/>
        <v>25499.998581009117</v>
      </c>
    </row>
    <row r="95" spans="1:10" x14ac:dyDescent="0.3">
      <c r="A95" s="11">
        <v>37316</v>
      </c>
      <c r="B95" s="18">
        <v>2314.2399999999998</v>
      </c>
      <c r="C95" s="18">
        <v>4225.3599999999997</v>
      </c>
      <c r="D95" s="30">
        <f t="shared" si="81"/>
        <v>37316</v>
      </c>
      <c r="E95">
        <v>214.58488830255592</v>
      </c>
      <c r="F95" s="31">
        <f t="shared" si="58"/>
        <v>9633.6145489202499</v>
      </c>
      <c r="G95" s="32">
        <f t="shared" si="85"/>
        <v>17589.139229477354</v>
      </c>
      <c r="H95" s="30">
        <f t="shared" si="56"/>
        <v>37316</v>
      </c>
      <c r="I95" s="31">
        <f t="shared" ref="I95:J95" si="88">SUM(F84:F95)</f>
        <v>112500.53779280151</v>
      </c>
      <c r="J95" s="31">
        <f t="shared" si="88"/>
        <v>43089.137810486471</v>
      </c>
    </row>
    <row r="96" spans="1:10" x14ac:dyDescent="0.3">
      <c r="A96" s="11">
        <v>37347</v>
      </c>
      <c r="B96" s="18">
        <v>5732.5</v>
      </c>
      <c r="C96" s="18">
        <v>7100.23</v>
      </c>
      <c r="D96" s="30">
        <f t="shared" si="81"/>
        <v>37347</v>
      </c>
      <c r="E96">
        <v>216.30156740897638</v>
      </c>
      <c r="F96" s="31">
        <f t="shared" si="58"/>
        <v>23673.605230373094</v>
      </c>
      <c r="G96" s="32">
        <f t="shared" si="85"/>
        <v>29321.943665913986</v>
      </c>
      <c r="H96" s="30">
        <f t="shared" si="56"/>
        <v>37347</v>
      </c>
      <c r="I96" s="31">
        <f t="shared" ref="I96:J96" si="89">SUM(F85:F96)</f>
        <v>107184.14269446643</v>
      </c>
      <c r="J96" s="31">
        <f t="shared" si="89"/>
        <v>72411.081476400461</v>
      </c>
    </row>
    <row r="97" spans="1:10" x14ac:dyDescent="0.3">
      <c r="A97" s="11">
        <v>37377</v>
      </c>
      <c r="B97" s="18">
        <v>1848.04</v>
      </c>
      <c r="C97" s="18">
        <v>3551.27</v>
      </c>
      <c r="D97" s="30">
        <f t="shared" si="81"/>
        <v>37377</v>
      </c>
      <c r="E97">
        <v>216.75580070053522</v>
      </c>
      <c r="F97" s="31">
        <f t="shared" si="58"/>
        <v>7615.8896513464224</v>
      </c>
      <c r="G97" s="32">
        <f t="shared" si="85"/>
        <v>14635.008139508349</v>
      </c>
      <c r="H97" s="30">
        <f t="shared" si="56"/>
        <v>37377</v>
      </c>
      <c r="I97" s="31">
        <f t="shared" ref="I97:J97" si="90">SUM(F86:F97)</f>
        <v>96983.272449461103</v>
      </c>
      <c r="J97" s="31">
        <f t="shared" si="90"/>
        <v>87046.089615908815</v>
      </c>
    </row>
    <row r="98" spans="1:10" x14ac:dyDescent="0.3">
      <c r="A98" s="11">
        <v>37408</v>
      </c>
      <c r="B98" s="18">
        <v>1781.49</v>
      </c>
      <c r="C98" s="18">
        <v>4102.47</v>
      </c>
      <c r="D98" s="30">
        <f t="shared" si="81"/>
        <v>37408</v>
      </c>
      <c r="E98">
        <v>217.66617506347745</v>
      </c>
      <c r="F98" s="31">
        <f t="shared" si="58"/>
        <v>7310.9270014323747</v>
      </c>
      <c r="G98" s="32">
        <f t="shared" si="85"/>
        <v>16835.827703532592</v>
      </c>
      <c r="H98" s="30">
        <f t="shared" si="56"/>
        <v>37408</v>
      </c>
      <c r="I98" s="31">
        <f t="shared" ref="I98:J98" si="91">SUM(F87:F98)</f>
        <v>98075.20790954979</v>
      </c>
      <c r="J98" s="31">
        <f t="shared" si="91"/>
        <v>103881.9173194414</v>
      </c>
    </row>
    <row r="99" spans="1:10" x14ac:dyDescent="0.3">
      <c r="A99" s="11">
        <v>37438</v>
      </c>
      <c r="B99" s="18">
        <v>2089.59</v>
      </c>
      <c r="C99" s="18">
        <v>3810.06</v>
      </c>
      <c r="D99" s="30">
        <f t="shared" si="81"/>
        <v>37438</v>
      </c>
      <c r="E99">
        <v>220.25640254673283</v>
      </c>
      <c r="F99" s="31">
        <f t="shared" si="58"/>
        <v>8474.4699491068877</v>
      </c>
      <c r="G99" s="32">
        <f t="shared" si="85"/>
        <v>15451.949413183536</v>
      </c>
      <c r="H99" s="30">
        <f t="shared" si="56"/>
        <v>37438</v>
      </c>
      <c r="I99" s="31">
        <f t="shared" ref="I99:J99" si="92">SUM(F88:F99)</f>
        <v>101049.73899281472</v>
      </c>
      <c r="J99" s="31">
        <f t="shared" si="92"/>
        <v>119333.86673262494</v>
      </c>
    </row>
    <row r="100" spans="1:10" x14ac:dyDescent="0.3">
      <c r="A100" s="11">
        <v>37469</v>
      </c>
      <c r="B100" s="18">
        <v>1417.87</v>
      </c>
      <c r="C100" s="18">
        <v>1225.7</v>
      </c>
      <c r="D100" s="30">
        <f t="shared" si="81"/>
        <v>37469</v>
      </c>
      <c r="E100">
        <v>221.68806916328657</v>
      </c>
      <c r="F100" s="31">
        <f t="shared" si="58"/>
        <v>5713.1298785081162</v>
      </c>
      <c r="G100" s="32">
        <f t="shared" si="85"/>
        <v>4938.8048919064504</v>
      </c>
      <c r="H100" s="30">
        <f t="shared" si="56"/>
        <v>37469</v>
      </c>
      <c r="I100" s="31">
        <f t="shared" ref="I100:J100" si="93">SUM(F89:F100)</f>
        <v>96063.529726882582</v>
      </c>
      <c r="J100" s="31">
        <f t="shared" si="93"/>
        <v>124272.67162453139</v>
      </c>
    </row>
    <row r="101" spans="1:10" x14ac:dyDescent="0.3">
      <c r="A101" s="11">
        <v>37500</v>
      </c>
      <c r="B101" s="18">
        <v>6043.9</v>
      </c>
      <c r="C101" s="18">
        <v>8520.2800000000007</v>
      </c>
      <c r="D101" s="30">
        <f t="shared" si="81"/>
        <v>37500</v>
      </c>
      <c r="E101">
        <v>223.28422326126224</v>
      </c>
      <c r="F101" s="31">
        <f t="shared" si="58"/>
        <v>24179.050176409051</v>
      </c>
      <c r="G101" s="32">
        <f t="shared" si="85"/>
        <v>34085.983824526309</v>
      </c>
      <c r="H101" s="30">
        <f t="shared" si="56"/>
        <v>37500</v>
      </c>
      <c r="I101" s="31">
        <f t="shared" ref="I101:J101" si="94">SUM(F90:F101)</f>
        <v>111812.57112499294</v>
      </c>
      <c r="J101" s="31">
        <f t="shared" si="94"/>
        <v>158358.6554490577</v>
      </c>
    </row>
    <row r="102" spans="1:10" x14ac:dyDescent="0.3">
      <c r="A102" s="11">
        <v>37530</v>
      </c>
      <c r="B102" s="18">
        <v>4312.8999999999996</v>
      </c>
      <c r="C102" s="18">
        <v>6265.13</v>
      </c>
      <c r="D102" s="30">
        <f t="shared" si="81"/>
        <v>37530</v>
      </c>
      <c r="E102">
        <v>226.2092465859848</v>
      </c>
      <c r="F102" s="31">
        <f t="shared" si="58"/>
        <v>17030.956500295768</v>
      </c>
      <c r="G102" s="32">
        <f t="shared" si="85"/>
        <v>24740.002434254915</v>
      </c>
      <c r="H102" s="30">
        <f t="shared" si="56"/>
        <v>37530</v>
      </c>
      <c r="I102" s="31">
        <f t="shared" ref="I102:J102" si="95">SUM(F91:F102)</f>
        <v>120746.23135378755</v>
      </c>
      <c r="J102" s="31">
        <f t="shared" si="95"/>
        <v>183098.65788331261</v>
      </c>
    </row>
    <row r="103" spans="1:10" x14ac:dyDescent="0.3">
      <c r="A103" s="11">
        <v>37561</v>
      </c>
      <c r="B103" s="18">
        <v>1560.54</v>
      </c>
      <c r="C103" s="18">
        <v>3768.99</v>
      </c>
      <c r="D103" s="30">
        <f t="shared" si="81"/>
        <v>37561</v>
      </c>
      <c r="E103">
        <v>233.04076583288153</v>
      </c>
      <c r="F103" s="31">
        <f t="shared" si="58"/>
        <v>5981.6777217235976</v>
      </c>
      <c r="G103" s="32">
        <f t="shared" si="85"/>
        <v>14446.847576094828</v>
      </c>
      <c r="H103" s="30">
        <f t="shared" si="56"/>
        <v>37561</v>
      </c>
      <c r="I103" s="31">
        <f t="shared" ref="I103:J103" si="96">SUM(F92:F103)</f>
        <v>123131.59147188389</v>
      </c>
      <c r="J103" s="31">
        <f t="shared" si="96"/>
        <v>197545.50545940743</v>
      </c>
    </row>
    <row r="104" spans="1:10" x14ac:dyDescent="0.3">
      <c r="A104" s="11">
        <v>37591</v>
      </c>
      <c r="B104" s="18">
        <v>-4366.13</v>
      </c>
      <c r="C104" s="18">
        <v>-6210.51</v>
      </c>
      <c r="D104" s="30">
        <f t="shared" si="81"/>
        <v>37591</v>
      </c>
      <c r="E104">
        <v>237.93462191537202</v>
      </c>
      <c r="F104" s="31">
        <f t="shared" si="58"/>
        <v>-16391.512377705825</v>
      </c>
      <c r="G104" s="32">
        <f t="shared" si="85"/>
        <v>-23315.762823568199</v>
      </c>
      <c r="H104" s="30">
        <f t="shared" si="56"/>
        <v>37591</v>
      </c>
      <c r="I104" s="31">
        <f t="shared" ref="I104:J104" si="97">SUM(F93:F104)</f>
        <v>131788.73465110132</v>
      </c>
      <c r="J104" s="31">
        <f t="shared" si="97"/>
        <v>195586.25471115496</v>
      </c>
    </row>
    <row r="105" spans="1:10" x14ac:dyDescent="0.3">
      <c r="A105" s="11">
        <v>37622</v>
      </c>
      <c r="B105" s="18">
        <v>6718.25</v>
      </c>
      <c r="C105" s="18">
        <v>7748.8</v>
      </c>
      <c r="D105" s="30">
        <f t="shared" si="81"/>
        <v>37622</v>
      </c>
      <c r="E105">
        <v>243.28815090846788</v>
      </c>
      <c r="F105" s="31">
        <f t="shared" si="58"/>
        <v>24666.936032500536</v>
      </c>
      <c r="G105" s="32">
        <f t="shared" si="85"/>
        <v>28450.73552318538</v>
      </c>
      <c r="H105" s="30">
        <f t="shared" si="56"/>
        <v>37622</v>
      </c>
      <c r="I105" s="31">
        <f t="shared" ref="I105:J105" si="98">SUM(F94:F105)</f>
        <v>126869.46060035132</v>
      </c>
      <c r="J105" s="31">
        <f t="shared" si="98"/>
        <v>196677.46961690078</v>
      </c>
    </row>
    <row r="106" spans="1:10" x14ac:dyDescent="0.3">
      <c r="A106" s="11">
        <v>37653</v>
      </c>
      <c r="B106" s="18">
        <v>4607.22</v>
      </c>
      <c r="C106" s="18">
        <v>6958.5</v>
      </c>
      <c r="D106" s="30">
        <f t="shared" si="81"/>
        <v>37653</v>
      </c>
      <c r="E106">
        <v>247.10777487773083</v>
      </c>
      <c r="F106" s="31">
        <f t="shared" si="58"/>
        <v>16654.536287656567</v>
      </c>
      <c r="G106" s="32">
        <f t="shared" si="85"/>
        <v>25154.125645759963</v>
      </c>
      <c r="H106" s="30">
        <f t="shared" si="56"/>
        <v>37653</v>
      </c>
      <c r="I106" s="31">
        <f t="shared" ref="I106:J106" si="99">SUM(F95:F106)</f>
        <v>134543.28060056685</v>
      </c>
      <c r="J106" s="31">
        <f t="shared" si="99"/>
        <v>202334.60522377546</v>
      </c>
    </row>
    <row r="107" spans="1:10" x14ac:dyDescent="0.3">
      <c r="A107" s="11">
        <v>37681</v>
      </c>
      <c r="B107" s="18">
        <v>3452.79</v>
      </c>
      <c r="C107" s="18">
        <v>4621.34</v>
      </c>
      <c r="D107" s="30">
        <f t="shared" si="81"/>
        <v>37681</v>
      </c>
      <c r="E107">
        <v>250.14720050872691</v>
      </c>
      <c r="F107" s="31">
        <f t="shared" si="58"/>
        <v>12329.757149158268</v>
      </c>
      <c r="G107" s="32">
        <f t="shared" si="85"/>
        <v>16502.596423092938</v>
      </c>
      <c r="H107" s="30">
        <f t="shared" si="56"/>
        <v>37681</v>
      </c>
      <c r="I107" s="31">
        <f t="shared" ref="I107:J107" si="100">SUM(F96:F107)</f>
        <v>137239.42320080489</v>
      </c>
      <c r="J107" s="31">
        <f t="shared" si="100"/>
        <v>201248.06241739102</v>
      </c>
    </row>
    <row r="108" spans="1:10" x14ac:dyDescent="0.3">
      <c r="A108" s="11">
        <v>37712</v>
      </c>
      <c r="B108" s="18">
        <v>10309.92</v>
      </c>
      <c r="C108" s="18">
        <v>11478.36</v>
      </c>
      <c r="D108" s="30">
        <f t="shared" si="81"/>
        <v>37712</v>
      </c>
      <c r="E108">
        <v>252.57362835366158</v>
      </c>
      <c r="F108" s="31">
        <f t="shared" si="58"/>
        <v>36462.571739781168</v>
      </c>
      <c r="G108" s="32">
        <f t="shared" si="85"/>
        <v>40594.934291928024</v>
      </c>
      <c r="H108" s="30">
        <f t="shared" si="56"/>
        <v>37712</v>
      </c>
      <c r="I108" s="31">
        <f t="shared" ref="I108:J108" si="101">SUM(F97:F108)</f>
        <v>150028.38971021291</v>
      </c>
      <c r="J108" s="31">
        <f t="shared" si="101"/>
        <v>212521.05304340506</v>
      </c>
    </row>
    <row r="109" spans="1:10" x14ac:dyDescent="0.3">
      <c r="A109" s="11">
        <v>37742</v>
      </c>
      <c r="B109" s="18">
        <v>3361.47</v>
      </c>
      <c r="C109" s="18">
        <v>4788.3100000000004</v>
      </c>
      <c r="D109" s="30">
        <f t="shared" si="81"/>
        <v>37742</v>
      </c>
      <c r="E109">
        <v>254.11432748661892</v>
      </c>
      <c r="F109" s="31">
        <f t="shared" si="58"/>
        <v>11816.261454340369</v>
      </c>
      <c r="G109" s="32">
        <f t="shared" si="85"/>
        <v>16831.898807495691</v>
      </c>
      <c r="H109" s="30">
        <f t="shared" si="56"/>
        <v>37742</v>
      </c>
      <c r="I109" s="31">
        <f t="shared" ref="I109:J109" si="102">SUM(F98:F109)</f>
        <v>154228.76151320687</v>
      </c>
      <c r="J109" s="31">
        <f t="shared" si="102"/>
        <v>214717.94371139241</v>
      </c>
    </row>
    <row r="110" spans="1:10" x14ac:dyDescent="0.3">
      <c r="A110" s="11">
        <v>37773</v>
      </c>
      <c r="B110">
        <v>903.45</v>
      </c>
      <c r="C110" s="18">
        <v>1603.64</v>
      </c>
      <c r="D110" s="30">
        <f t="shared" si="81"/>
        <v>37773</v>
      </c>
      <c r="E110">
        <v>253.73315599538901</v>
      </c>
      <c r="F110" s="31">
        <f t="shared" si="58"/>
        <v>3180.5842589036856</v>
      </c>
      <c r="G110" s="32">
        <f t="shared" si="85"/>
        <v>5645.5942674728058</v>
      </c>
      <c r="H110" s="30">
        <f t="shared" si="56"/>
        <v>37773</v>
      </c>
      <c r="I110" s="31">
        <f t="shared" ref="I110:J110" si="103">SUM(F99:F110)</f>
        <v>150098.41877067817</v>
      </c>
      <c r="J110" s="31">
        <f t="shared" si="103"/>
        <v>203527.71027533265</v>
      </c>
    </row>
    <row r="111" spans="1:10" x14ac:dyDescent="0.3">
      <c r="A111" s="11">
        <v>37803</v>
      </c>
      <c r="B111" s="18">
        <v>3326.17</v>
      </c>
      <c r="C111" s="18">
        <v>4439.92</v>
      </c>
      <c r="D111" s="30">
        <f t="shared" si="81"/>
        <v>37803</v>
      </c>
      <c r="E111">
        <v>254.24062230737979</v>
      </c>
      <c r="F111" s="31">
        <f t="shared" si="58"/>
        <v>11686.366537982391</v>
      </c>
      <c r="G111" s="32">
        <f t="shared" si="85"/>
        <v>15599.483044859036</v>
      </c>
      <c r="H111" s="30">
        <f t="shared" si="56"/>
        <v>37803</v>
      </c>
      <c r="I111" s="31">
        <f t="shared" ref="I111:J111" si="104">SUM(F100:F111)</f>
        <v>153310.3153595537</v>
      </c>
      <c r="J111" s="31">
        <f t="shared" si="104"/>
        <v>203675.24390700815</v>
      </c>
    </row>
    <row r="112" spans="1:10" x14ac:dyDescent="0.3">
      <c r="A112" s="11">
        <v>37834</v>
      </c>
      <c r="B112" s="18">
        <v>2600.7199999999998</v>
      </c>
      <c r="C112" s="18">
        <v>3954.72</v>
      </c>
      <c r="D112" s="30">
        <f t="shared" si="81"/>
        <v>37834</v>
      </c>
      <c r="E112">
        <v>255.10504042322489</v>
      </c>
      <c r="F112" s="31">
        <f t="shared" si="58"/>
        <v>9106.5643807814158</v>
      </c>
      <c r="G112" s="32">
        <f t="shared" si="85"/>
        <v>13847.669986759007</v>
      </c>
      <c r="H112" s="30">
        <f t="shared" si="56"/>
        <v>37834</v>
      </c>
      <c r="I112" s="31">
        <f t="shared" ref="I112:J112" si="105">SUM(F101:F112)</f>
        <v>156703.74986182697</v>
      </c>
      <c r="J112" s="31">
        <f t="shared" si="105"/>
        <v>212584.10900186072</v>
      </c>
    </row>
    <row r="113" spans="1:10" x14ac:dyDescent="0.3">
      <c r="A113" s="11">
        <v>37865</v>
      </c>
      <c r="B113" s="18">
        <v>4081.48</v>
      </c>
      <c r="C113" s="18">
        <v>6070.8</v>
      </c>
      <c r="D113" s="30">
        <f t="shared" si="81"/>
        <v>37865</v>
      </c>
      <c r="E113">
        <v>257.09485973852605</v>
      </c>
      <c r="F113" s="31">
        <f t="shared" si="58"/>
        <v>14180.915966748442</v>
      </c>
      <c r="G113" s="32">
        <f t="shared" si="85"/>
        <v>21092.717507114194</v>
      </c>
      <c r="H113" s="30">
        <f t="shared" si="56"/>
        <v>37865</v>
      </c>
      <c r="I113" s="31">
        <f t="shared" ref="I113:J113" si="106">SUM(F102:F113)</f>
        <v>146705.61565216637</v>
      </c>
      <c r="J113" s="31">
        <f t="shared" si="106"/>
        <v>199590.84268444861</v>
      </c>
    </row>
    <row r="114" spans="1:10" x14ac:dyDescent="0.3">
      <c r="A114" s="11">
        <v>37895</v>
      </c>
      <c r="B114" s="18">
        <v>4710.33</v>
      </c>
      <c r="C114" s="18">
        <v>6850.88</v>
      </c>
      <c r="D114" s="30">
        <f t="shared" si="81"/>
        <v>37895</v>
      </c>
      <c r="E114">
        <v>257.84043483176777</v>
      </c>
      <c r="F114" s="31">
        <f t="shared" si="58"/>
        <v>16318.502930301822</v>
      </c>
      <c r="G114" s="32">
        <f t="shared" si="85"/>
        <v>23734.240563855641</v>
      </c>
      <c r="H114" s="30">
        <f t="shared" si="56"/>
        <v>37895</v>
      </c>
      <c r="I114" s="31">
        <f t="shared" ref="I114:J114" si="107">SUM(F103:F114)</f>
        <v>145993.16208217246</v>
      </c>
      <c r="J114" s="31">
        <f t="shared" si="107"/>
        <v>198585.08081404935</v>
      </c>
    </row>
    <row r="115" spans="1:10" x14ac:dyDescent="0.3">
      <c r="A115" s="11">
        <v>37926</v>
      </c>
      <c r="B115" s="18">
        <v>2182.7800000000002</v>
      </c>
      <c r="C115" s="18">
        <v>4643.16</v>
      </c>
      <c r="D115" s="30">
        <f t="shared" si="81"/>
        <v>37926</v>
      </c>
      <c r="E115">
        <v>258.71709231019577</v>
      </c>
      <c r="F115" s="31">
        <f t="shared" si="58"/>
        <v>7536.4157518677739</v>
      </c>
      <c r="G115" s="32">
        <f t="shared" si="85"/>
        <v>16031.292279772753</v>
      </c>
      <c r="H115" s="30">
        <f t="shared" si="56"/>
        <v>37926</v>
      </c>
      <c r="I115" s="31">
        <f t="shared" ref="I115:J115" si="108">SUM(F104:F115)</f>
        <v>147547.90011231665</v>
      </c>
      <c r="J115" s="31">
        <f t="shared" si="108"/>
        <v>200169.52551772725</v>
      </c>
    </row>
    <row r="116" spans="1:10" x14ac:dyDescent="0.3">
      <c r="A116" s="11">
        <v>37956</v>
      </c>
      <c r="B116" s="18">
        <v>-7510.7</v>
      </c>
      <c r="C116" s="18">
        <v>-7567.28</v>
      </c>
      <c r="D116" s="30">
        <f t="shared" si="81"/>
        <v>37956</v>
      </c>
      <c r="E116">
        <v>260.06242119020879</v>
      </c>
      <c r="F116" s="31">
        <f t="shared" si="58"/>
        <v>-25797.808709489644</v>
      </c>
      <c r="G116" s="32">
        <f t="shared" si="85"/>
        <v>-25992.15011798458</v>
      </c>
      <c r="H116" s="30">
        <f t="shared" si="56"/>
        <v>37956</v>
      </c>
      <c r="I116" s="31">
        <f t="shared" ref="I116:J116" si="109">SUM(F105:F116)</f>
        <v>138141.60378053281</v>
      </c>
      <c r="J116" s="31">
        <f t="shared" si="109"/>
        <v>197493.13822331087</v>
      </c>
    </row>
    <row r="117" spans="1:10" x14ac:dyDescent="0.3">
      <c r="A117" s="11">
        <v>37987</v>
      </c>
      <c r="B117" s="18">
        <v>7178.5</v>
      </c>
      <c r="C117" s="18">
        <v>10230.290000000001</v>
      </c>
      <c r="D117" s="30">
        <f t="shared" si="81"/>
        <v>37987</v>
      </c>
      <c r="E117">
        <v>262.0388955912544</v>
      </c>
      <c r="F117" s="31">
        <f t="shared" si="58"/>
        <v>24470.78767084028</v>
      </c>
      <c r="G117" s="32">
        <f t="shared" si="85"/>
        <v>34874.03418557089</v>
      </c>
      <c r="H117" s="30">
        <f t="shared" si="56"/>
        <v>37987</v>
      </c>
      <c r="I117" s="31">
        <f t="shared" ref="I117:J117" si="110">SUM(F106:F117)</f>
        <v>137945.45541887256</v>
      </c>
      <c r="J117" s="31">
        <f t="shared" si="110"/>
        <v>203916.43688569637</v>
      </c>
    </row>
    <row r="118" spans="1:10" x14ac:dyDescent="0.3">
      <c r="A118" s="11">
        <v>38018</v>
      </c>
      <c r="B118" s="18">
        <v>4838.3500000000004</v>
      </c>
      <c r="C118" s="18">
        <v>6987.5</v>
      </c>
      <c r="D118" s="30">
        <f t="shared" si="81"/>
        <v>38018</v>
      </c>
      <c r="E118">
        <v>263.63733285436103</v>
      </c>
      <c r="F118" s="31">
        <f t="shared" si="58"/>
        <v>16393.450606342074</v>
      </c>
      <c r="G118" s="32">
        <f t="shared" si="85"/>
        <v>23675.26865807873</v>
      </c>
      <c r="H118" s="30">
        <f t="shared" si="56"/>
        <v>38018</v>
      </c>
      <c r="I118" s="31">
        <f t="shared" ref="I118:J118" si="111">SUM(F107:F118)</f>
        <v>137684.36973755804</v>
      </c>
      <c r="J118" s="31">
        <f t="shared" si="111"/>
        <v>202437.57989801513</v>
      </c>
    </row>
    <row r="119" spans="1:10" x14ac:dyDescent="0.3">
      <c r="A119" s="11">
        <v>38047</v>
      </c>
      <c r="B119" s="18">
        <v>5962.18</v>
      </c>
      <c r="C119" s="18">
        <v>6997.07</v>
      </c>
      <c r="D119" s="30">
        <f t="shared" si="81"/>
        <v>38047</v>
      </c>
      <c r="E119">
        <v>264.8764283187765</v>
      </c>
      <c r="F119" s="31">
        <f t="shared" si="58"/>
        <v>20106.745279344341</v>
      </c>
      <c r="G119" s="32">
        <f t="shared" si="85"/>
        <v>23596.78912608172</v>
      </c>
      <c r="H119" s="30">
        <f t="shared" si="56"/>
        <v>38047</v>
      </c>
      <c r="I119" s="31">
        <f t="shared" ref="I119:J119" si="112">SUM(F108:F119)</f>
        <v>145461.35786774411</v>
      </c>
      <c r="J119" s="31">
        <f t="shared" si="112"/>
        <v>209531.7726010039</v>
      </c>
    </row>
    <row r="120" spans="1:10" x14ac:dyDescent="0.3">
      <c r="A120" s="11">
        <v>38078</v>
      </c>
      <c r="B120" s="18">
        <v>7561.17</v>
      </c>
      <c r="C120" s="18">
        <v>9566.68</v>
      </c>
      <c r="D120" s="30">
        <f t="shared" si="81"/>
        <v>38078</v>
      </c>
      <c r="E120">
        <v>265.85647110355598</v>
      </c>
      <c r="F120" s="31">
        <f t="shared" si="58"/>
        <v>25405.150449694553</v>
      </c>
      <c r="G120" s="32">
        <f t="shared" si="85"/>
        <v>32143.563060225319</v>
      </c>
      <c r="H120" s="30">
        <f t="shared" si="56"/>
        <v>38078</v>
      </c>
      <c r="I120" s="31">
        <f t="shared" ref="I120:J120" si="113">SUM(F109:F120)</f>
        <v>134403.93657765747</v>
      </c>
      <c r="J120" s="31">
        <f t="shared" si="113"/>
        <v>201080.40136930119</v>
      </c>
    </row>
    <row r="121" spans="1:10" x14ac:dyDescent="0.3">
      <c r="A121" s="11">
        <v>38108</v>
      </c>
      <c r="B121" s="18">
        <v>4691.97</v>
      </c>
      <c r="C121" s="18">
        <v>6277.21</v>
      </c>
      <c r="D121" s="30">
        <f t="shared" si="81"/>
        <v>38108</v>
      </c>
      <c r="E121">
        <v>267.21233910618412</v>
      </c>
      <c r="F121" s="31">
        <f t="shared" si="58"/>
        <v>15684.790499592807</v>
      </c>
      <c r="G121" s="32">
        <f t="shared" si="85"/>
        <v>20984.090642512412</v>
      </c>
      <c r="H121" s="30">
        <f t="shared" si="56"/>
        <v>38108</v>
      </c>
      <c r="I121" s="31">
        <f t="shared" ref="I121:J121" si="114">SUM(F110:F121)</f>
        <v>138272.46562290992</v>
      </c>
      <c r="J121" s="31">
        <f t="shared" si="114"/>
        <v>205232.59320431791</v>
      </c>
    </row>
    <row r="122" spans="1:10" x14ac:dyDescent="0.3">
      <c r="A122" s="11">
        <v>38139</v>
      </c>
      <c r="B122" s="18">
        <v>5354.14</v>
      </c>
      <c r="C122" s="18">
        <v>7260.03</v>
      </c>
      <c r="D122" s="30">
        <f t="shared" si="81"/>
        <v>38139</v>
      </c>
      <c r="E122">
        <v>269.10954671383803</v>
      </c>
      <c r="F122" s="31">
        <f t="shared" si="58"/>
        <v>17772.176700639546</v>
      </c>
      <c r="G122" s="32">
        <f t="shared" si="85"/>
        <v>24098.461379781646</v>
      </c>
      <c r="H122" s="30">
        <f t="shared" si="56"/>
        <v>38139</v>
      </c>
      <c r="I122" s="31">
        <f t="shared" ref="I122:J122" si="115">SUM(F111:F122)</f>
        <v>152864.0580646458</v>
      </c>
      <c r="J122" s="31">
        <f t="shared" si="115"/>
        <v>223685.46031662676</v>
      </c>
    </row>
    <row r="123" spans="1:10" x14ac:dyDescent="0.3">
      <c r="A123" s="11">
        <v>38169</v>
      </c>
      <c r="B123" s="18">
        <v>4047.11</v>
      </c>
      <c r="C123" s="18">
        <v>5499.31</v>
      </c>
      <c r="D123" s="30">
        <f t="shared" si="81"/>
        <v>38169</v>
      </c>
      <c r="E123">
        <v>271.55844358893398</v>
      </c>
      <c r="F123" s="31">
        <f t="shared" si="58"/>
        <v>13312.563799382124</v>
      </c>
      <c r="G123" s="32">
        <f t="shared" si="85"/>
        <v>18089.430538725192</v>
      </c>
      <c r="H123" s="30">
        <f t="shared" si="56"/>
        <v>38169</v>
      </c>
      <c r="I123" s="31">
        <f t="shared" ref="I123:J123" si="116">SUM(F112:F123)</f>
        <v>154490.25532604553</v>
      </c>
      <c r="J123" s="31">
        <f t="shared" si="116"/>
        <v>226175.40781049294</v>
      </c>
    </row>
    <row r="124" spans="1:10" x14ac:dyDescent="0.3">
      <c r="A124" s="11">
        <v>38200</v>
      </c>
      <c r="B124" s="18">
        <v>3766.21</v>
      </c>
      <c r="C124" s="18">
        <v>6265.72</v>
      </c>
      <c r="D124" s="30">
        <f t="shared" si="81"/>
        <v>38200</v>
      </c>
      <c r="E124">
        <v>273.43219684969762</v>
      </c>
      <c r="F124" s="31">
        <f t="shared" si="58"/>
        <v>12303.675963753456</v>
      </c>
      <c r="G124" s="32">
        <f t="shared" si="85"/>
        <v>20469.221992297113</v>
      </c>
      <c r="H124" s="30">
        <f t="shared" si="56"/>
        <v>38200</v>
      </c>
      <c r="I124" s="31">
        <f t="shared" ref="I124:J124" si="117">SUM(F113:F124)</f>
        <v>157687.36690901758</v>
      </c>
      <c r="J124" s="31">
        <f t="shared" si="117"/>
        <v>232796.95981603104</v>
      </c>
    </row>
    <row r="125" spans="1:10" x14ac:dyDescent="0.3">
      <c r="A125" s="11">
        <v>38231</v>
      </c>
      <c r="B125" s="18">
        <v>4103.04</v>
      </c>
      <c r="C125" s="18">
        <v>6104.66</v>
      </c>
      <c r="D125" s="30">
        <f t="shared" si="81"/>
        <v>38231</v>
      </c>
      <c r="E125">
        <v>274.33452309930163</v>
      </c>
      <c r="F125" s="31">
        <f t="shared" si="58"/>
        <v>13359.964103430038</v>
      </c>
      <c r="G125" s="32">
        <f t="shared" si="85"/>
        <v>19877.466089447145</v>
      </c>
      <c r="H125" s="30">
        <f t="shared" si="56"/>
        <v>38231</v>
      </c>
      <c r="I125" s="31">
        <f t="shared" ref="I125:J125" si="118">SUM(F114:F125)</f>
        <v>156866.41504569919</v>
      </c>
      <c r="J125" s="31">
        <f t="shared" si="118"/>
        <v>231581.70839836402</v>
      </c>
    </row>
    <row r="126" spans="1:10" x14ac:dyDescent="0.3">
      <c r="A126" s="11">
        <v>38261</v>
      </c>
      <c r="B126" s="18">
        <v>5515.12</v>
      </c>
      <c r="C126" s="18">
        <v>7018.61</v>
      </c>
      <c r="D126" s="30">
        <f t="shared" si="81"/>
        <v>38261</v>
      </c>
      <c r="E126">
        <v>275.54159500093857</v>
      </c>
      <c r="F126" s="31">
        <f t="shared" si="58"/>
        <v>17879.18848313644</v>
      </c>
      <c r="G126" s="32">
        <f t="shared" si="85"/>
        <v>22753.276643051508</v>
      </c>
      <c r="H126" s="30">
        <f t="shared" si="56"/>
        <v>38261</v>
      </c>
      <c r="I126" s="31">
        <f t="shared" ref="I126:J126" si="119">SUM(F115:F126)</f>
        <v>158427.10059853381</v>
      </c>
      <c r="J126" s="31">
        <f t="shared" si="119"/>
        <v>230600.74447755984</v>
      </c>
    </row>
    <row r="127" spans="1:10" x14ac:dyDescent="0.3">
      <c r="A127" s="11">
        <v>38292</v>
      </c>
      <c r="B127" s="18">
        <v>2476.9</v>
      </c>
      <c r="C127" s="18">
        <v>3222.3</v>
      </c>
      <c r="D127" s="30">
        <f t="shared" si="81"/>
        <v>38292</v>
      </c>
      <c r="E127">
        <v>277.44283200644503</v>
      </c>
      <c r="F127" s="31">
        <f t="shared" si="58"/>
        <v>7974.711280103118</v>
      </c>
      <c r="G127" s="32">
        <f t="shared" si="85"/>
        <v>10374.626411189905</v>
      </c>
      <c r="H127" s="30">
        <f t="shared" si="56"/>
        <v>38292</v>
      </c>
      <c r="I127" s="31">
        <f t="shared" ref="I127:J127" si="120">SUM(F116:F127)</f>
        <v>158865.39612676913</v>
      </c>
      <c r="J127" s="31">
        <f t="shared" si="120"/>
        <v>224944.078608977</v>
      </c>
    </row>
    <row r="128" spans="1:10" x14ac:dyDescent="0.3">
      <c r="A128" s="11">
        <v>38322</v>
      </c>
      <c r="B128" s="18">
        <v>-3109.51</v>
      </c>
      <c r="C128" s="18">
        <v>-3210.92</v>
      </c>
      <c r="D128" s="30">
        <f t="shared" si="81"/>
        <v>38322</v>
      </c>
      <c r="E128">
        <v>279.82884036170043</v>
      </c>
      <c r="F128" s="31">
        <f t="shared" si="58"/>
        <v>-9926.1192745151002</v>
      </c>
      <c r="G128" s="32">
        <f t="shared" si="85"/>
        <v>-10249.83836711444</v>
      </c>
      <c r="H128" s="30">
        <f t="shared" si="56"/>
        <v>38322</v>
      </c>
      <c r="I128" s="31">
        <f t="shared" ref="I128:J128" si="121">SUM(F117:F128)</f>
        <v>174737.08556174368</v>
      </c>
      <c r="J128" s="31">
        <f t="shared" si="121"/>
        <v>240686.39035984717</v>
      </c>
    </row>
    <row r="129" spans="1:10" x14ac:dyDescent="0.3">
      <c r="A129" s="11">
        <v>38353</v>
      </c>
      <c r="B129" s="18">
        <v>8506.9699999999993</v>
      </c>
      <c r="C129" s="18">
        <v>12786.93</v>
      </c>
      <c r="D129" s="30">
        <f t="shared" si="81"/>
        <v>38353</v>
      </c>
      <c r="E129">
        <v>281.45184763579829</v>
      </c>
      <c r="F129" s="31">
        <f t="shared" si="58"/>
        <v>26999.194134328693</v>
      </c>
      <c r="G129" s="32">
        <f t="shared" si="85"/>
        <v>40582.81684925087</v>
      </c>
      <c r="H129" s="30">
        <f t="shared" si="56"/>
        <v>38353</v>
      </c>
      <c r="I129" s="31">
        <f t="shared" ref="I129:J129" si="122">SUM(F118:F129)</f>
        <v>177265.49202523209</v>
      </c>
      <c r="J129" s="31">
        <f t="shared" si="122"/>
        <v>246395.17302352708</v>
      </c>
    </row>
    <row r="130" spans="1:10" x14ac:dyDescent="0.3">
      <c r="A130" s="11">
        <v>38384</v>
      </c>
      <c r="B130" s="18">
        <v>2127.2800000000002</v>
      </c>
      <c r="C130" s="18">
        <v>4885.8</v>
      </c>
      <c r="D130" s="30">
        <f t="shared" si="81"/>
        <v>38384</v>
      </c>
      <c r="E130">
        <v>283.11241353684949</v>
      </c>
      <c r="F130" s="31">
        <f t="shared" si="58"/>
        <v>6711.9042019322223</v>
      </c>
      <c r="G130" s="32">
        <f t="shared" si="85"/>
        <v>15415.470248298509</v>
      </c>
      <c r="H130" s="30">
        <f t="shared" si="56"/>
        <v>38384</v>
      </c>
      <c r="I130" s="31">
        <f t="shared" ref="I130:J130" si="123">SUM(F119:F130)</f>
        <v>167583.94562082225</v>
      </c>
      <c r="J130" s="31">
        <f t="shared" si="123"/>
        <v>238135.37461374691</v>
      </c>
    </row>
    <row r="131" spans="1:10" x14ac:dyDescent="0.3">
      <c r="A131" s="11">
        <v>38412</v>
      </c>
      <c r="B131" s="18">
        <v>7204.99</v>
      </c>
      <c r="C131" s="18">
        <v>9320.4599999999991</v>
      </c>
      <c r="D131" s="30">
        <f t="shared" si="81"/>
        <v>38412</v>
      </c>
      <c r="E131">
        <v>284.83939925942428</v>
      </c>
      <c r="F131" s="31">
        <f t="shared" si="58"/>
        <v>22595.050983199595</v>
      </c>
      <c r="G131" s="32">
        <f t="shared" si="85"/>
        <v>29229.224313548315</v>
      </c>
      <c r="H131" s="30">
        <f t="shared" ref="H131:H194" si="124">D131</f>
        <v>38412</v>
      </c>
      <c r="I131" s="31">
        <f t="shared" ref="I131:J131" si="125">SUM(F120:F131)</f>
        <v>170072.25132467749</v>
      </c>
      <c r="J131" s="31">
        <f t="shared" si="125"/>
        <v>243767.8098012135</v>
      </c>
    </row>
    <row r="132" spans="1:10" x14ac:dyDescent="0.3">
      <c r="A132" s="11">
        <v>38443</v>
      </c>
      <c r="B132" s="18">
        <v>14307.88</v>
      </c>
      <c r="C132" s="18">
        <v>17417.349999999999</v>
      </c>
      <c r="D132" s="30">
        <f t="shared" si="81"/>
        <v>38443</v>
      </c>
      <c r="E132">
        <v>287.31750203298128</v>
      </c>
      <c r="F132" s="31">
        <f t="shared" ref="F132:F195" si="126">B132*($E$387/E132)</f>
        <v>44482.91216322736</v>
      </c>
      <c r="G132" s="32">
        <f t="shared" si="85"/>
        <v>54150.192073611746</v>
      </c>
      <c r="H132" s="30">
        <f t="shared" si="124"/>
        <v>38443</v>
      </c>
      <c r="I132" s="31">
        <f t="shared" ref="I132:J132" si="127">SUM(F121:F132)</f>
        <v>189150.01303821028</v>
      </c>
      <c r="J132" s="31">
        <f t="shared" si="127"/>
        <v>265774.43881459988</v>
      </c>
    </row>
    <row r="133" spans="1:10" x14ac:dyDescent="0.3">
      <c r="A133" s="11">
        <v>38473</v>
      </c>
      <c r="B133" s="18">
        <v>2203.75</v>
      </c>
      <c r="C133" s="18">
        <v>5607.7</v>
      </c>
      <c r="D133" s="30">
        <f t="shared" si="81"/>
        <v>38473</v>
      </c>
      <c r="E133">
        <v>288.72535779294287</v>
      </c>
      <c r="F133" s="31">
        <f t="shared" si="126"/>
        <v>6818.0063515905294</v>
      </c>
      <c r="G133" s="32">
        <f t="shared" si="85"/>
        <v>17349.215753971283</v>
      </c>
      <c r="H133" s="30">
        <f t="shared" si="124"/>
        <v>38473</v>
      </c>
      <c r="I133" s="31">
        <f t="shared" ref="I133:J133" si="128">SUM(F122:F133)</f>
        <v>180283.228890208</v>
      </c>
      <c r="J133" s="31">
        <f t="shared" si="128"/>
        <v>262139.56392605882</v>
      </c>
    </row>
    <row r="134" spans="1:10" x14ac:dyDescent="0.3">
      <c r="A134" s="11">
        <v>38504</v>
      </c>
      <c r="B134" s="18">
        <v>6060.05</v>
      </c>
      <c r="C134" s="18">
        <v>7623.65</v>
      </c>
      <c r="D134" s="30">
        <f t="shared" si="81"/>
        <v>38504</v>
      </c>
      <c r="E134">
        <v>288.66761272138427</v>
      </c>
      <c r="F134" s="31">
        <f t="shared" si="126"/>
        <v>18752.455830227278</v>
      </c>
      <c r="G134" s="32">
        <f t="shared" si="85"/>
        <v>23590.920848856393</v>
      </c>
      <c r="H134" s="30">
        <f t="shared" si="124"/>
        <v>38504</v>
      </c>
      <c r="I134" s="31">
        <f t="shared" ref="I134:J134" si="129">SUM(F123:F134)</f>
        <v>181263.50801979576</v>
      </c>
      <c r="J134" s="31">
        <f t="shared" si="129"/>
        <v>261632.02339513355</v>
      </c>
    </row>
    <row r="135" spans="1:10" x14ac:dyDescent="0.3">
      <c r="A135" s="11">
        <v>38534</v>
      </c>
      <c r="B135" s="18">
        <v>5614.79</v>
      </c>
      <c r="C135" s="18">
        <v>6509.65</v>
      </c>
      <c r="D135" s="30">
        <f t="shared" si="81"/>
        <v>38534</v>
      </c>
      <c r="E135">
        <v>289.38928175318773</v>
      </c>
      <c r="F135" s="31">
        <f t="shared" si="126"/>
        <v>17331.297620586916</v>
      </c>
      <c r="G135" s="32">
        <f t="shared" si="85"/>
        <v>20093.481956734555</v>
      </c>
      <c r="H135" s="30">
        <f t="shared" si="124"/>
        <v>38534</v>
      </c>
      <c r="I135" s="31">
        <f t="shared" ref="I135:J135" si="130">SUM(F124:F135)</f>
        <v>185282.24184100053</v>
      </c>
      <c r="J135" s="31">
        <f t="shared" si="130"/>
        <v>263636.07481314288</v>
      </c>
    </row>
    <row r="136" spans="1:10" x14ac:dyDescent="0.3">
      <c r="A136" s="11">
        <v>38565</v>
      </c>
      <c r="B136" s="18">
        <v>4508.49</v>
      </c>
      <c r="C136" s="18">
        <v>7083.16</v>
      </c>
      <c r="D136" s="30">
        <f t="shared" si="81"/>
        <v>38565</v>
      </c>
      <c r="E136">
        <v>289.88124353216818</v>
      </c>
      <c r="F136" s="31">
        <f t="shared" si="126"/>
        <v>13892.838890778006</v>
      </c>
      <c r="G136" s="32">
        <f t="shared" si="85"/>
        <v>21826.642782306972</v>
      </c>
      <c r="H136" s="30">
        <f t="shared" si="124"/>
        <v>38565</v>
      </c>
      <c r="I136" s="31">
        <f t="shared" ref="I136:J136" si="131">SUM(F125:F136)</f>
        <v>186871.40476802512</v>
      </c>
      <c r="J136" s="31">
        <f t="shared" si="131"/>
        <v>264993.49560315273</v>
      </c>
    </row>
    <row r="137" spans="1:10" x14ac:dyDescent="0.3">
      <c r="A137" s="11">
        <v>38596</v>
      </c>
      <c r="B137" s="18">
        <v>2929.8</v>
      </c>
      <c r="C137" s="18">
        <v>4964.75</v>
      </c>
      <c r="D137" s="30">
        <f t="shared" si="81"/>
        <v>38596</v>
      </c>
      <c r="E137">
        <v>290.89582788453077</v>
      </c>
      <c r="F137" s="31">
        <f t="shared" si="126"/>
        <v>8996.6429824578681</v>
      </c>
      <c r="G137" s="32">
        <f t="shared" si="85"/>
        <v>15245.43765689047</v>
      </c>
      <c r="H137" s="30">
        <f t="shared" si="124"/>
        <v>38596</v>
      </c>
      <c r="I137" s="31">
        <f t="shared" ref="I137:J137" si="132">SUM(F126:F137)</f>
        <v>182508.08364705296</v>
      </c>
      <c r="J137" s="31">
        <f t="shared" si="132"/>
        <v>260361.46717059606</v>
      </c>
    </row>
    <row r="138" spans="1:10" x14ac:dyDescent="0.3">
      <c r="A138" s="11">
        <v>38626</v>
      </c>
      <c r="B138" s="18">
        <v>6321.85</v>
      </c>
      <c r="C138" s="18">
        <v>8457.84</v>
      </c>
      <c r="D138" s="30">
        <f t="shared" si="81"/>
        <v>38626</v>
      </c>
      <c r="E138">
        <v>293.07754659366475</v>
      </c>
      <c r="F138" s="31">
        <f t="shared" si="126"/>
        <v>19268.22211753418</v>
      </c>
      <c r="G138" s="32">
        <f t="shared" si="85"/>
        <v>25778.457216568768</v>
      </c>
      <c r="H138" s="30">
        <f t="shared" si="124"/>
        <v>38626</v>
      </c>
      <c r="I138" s="31">
        <f t="shared" ref="I138:J138" si="133">SUM(F127:F138)</f>
        <v>183897.11728145069</v>
      </c>
      <c r="J138" s="31">
        <f t="shared" si="133"/>
        <v>263386.64774411335</v>
      </c>
    </row>
    <row r="139" spans="1:10" x14ac:dyDescent="0.3">
      <c r="A139" s="11">
        <v>38657</v>
      </c>
      <c r="B139">
        <v>346.07</v>
      </c>
      <c r="C139" s="18">
        <v>2655.09</v>
      </c>
      <c r="D139" s="30">
        <f t="shared" si="81"/>
        <v>38657</v>
      </c>
      <c r="E139">
        <v>294.6894730999299</v>
      </c>
      <c r="F139" s="31">
        <f t="shared" si="126"/>
        <v>1049.0092918309458</v>
      </c>
      <c r="G139" s="32">
        <f t="shared" si="85"/>
        <v>8048.1234451048231</v>
      </c>
      <c r="H139" s="30">
        <f t="shared" si="124"/>
        <v>38657</v>
      </c>
      <c r="I139" s="31">
        <f t="shared" ref="I139:J139" si="134">SUM(F128:F139)</f>
        <v>176971.41529317849</v>
      </c>
      <c r="J139" s="31">
        <f t="shared" si="134"/>
        <v>261060.14477802828</v>
      </c>
    </row>
    <row r="140" spans="1:10" x14ac:dyDescent="0.3">
      <c r="A140" s="11">
        <v>38687</v>
      </c>
      <c r="B140" s="18">
        <v>-4390.55</v>
      </c>
      <c r="C140" s="18">
        <v>-6026.48</v>
      </c>
      <c r="D140" s="30">
        <f t="shared" si="81"/>
        <v>38687</v>
      </c>
      <c r="E140">
        <v>295.75035520308967</v>
      </c>
      <c r="F140" s="31">
        <f t="shared" si="126"/>
        <v>-13260.920052242127</v>
      </c>
      <c r="G140" s="32">
        <f t="shared" si="85"/>
        <v>-18201.972298786284</v>
      </c>
      <c r="H140" s="30">
        <f t="shared" si="124"/>
        <v>38687</v>
      </c>
      <c r="I140" s="31">
        <f t="shared" ref="I140:J140" si="135">SUM(F129:F140)</f>
        <v>173636.61451545148</v>
      </c>
      <c r="J140" s="31">
        <f t="shared" si="135"/>
        <v>253108.0108463564</v>
      </c>
    </row>
    <row r="141" spans="1:10" x14ac:dyDescent="0.3">
      <c r="A141" s="11">
        <v>38718</v>
      </c>
      <c r="B141" s="18">
        <v>3310.52</v>
      </c>
      <c r="C141" s="18">
        <v>6424.47</v>
      </c>
      <c r="D141" s="30">
        <f t="shared" si="81"/>
        <v>38718</v>
      </c>
      <c r="E141">
        <v>297.49528229878791</v>
      </c>
      <c r="F141" s="31">
        <f t="shared" si="126"/>
        <v>9940.2232234262865</v>
      </c>
      <c r="G141" s="32">
        <f t="shared" si="85"/>
        <v>19290.222047353731</v>
      </c>
      <c r="H141" s="30">
        <f t="shared" si="124"/>
        <v>38718</v>
      </c>
      <c r="I141" s="31">
        <f t="shared" ref="I141:J141" si="136">SUM(F130:F141)</f>
        <v>156577.64360454906</v>
      </c>
      <c r="J141" s="31">
        <f t="shared" si="136"/>
        <v>231815.41604445927</v>
      </c>
    </row>
    <row r="142" spans="1:10" x14ac:dyDescent="0.3">
      <c r="A142" s="11">
        <v>38749</v>
      </c>
      <c r="B142" s="18">
        <v>3271.33</v>
      </c>
      <c r="C142" s="18">
        <v>4531.8599999999997</v>
      </c>
      <c r="D142" s="30">
        <f t="shared" si="81"/>
        <v>38749</v>
      </c>
      <c r="E142">
        <v>298.71501295621295</v>
      </c>
      <c r="F142" s="31">
        <f t="shared" si="126"/>
        <v>9782.4426531413774</v>
      </c>
      <c r="G142" s="32">
        <f t="shared" si="85"/>
        <v>13551.87662573488</v>
      </c>
      <c r="H142" s="30">
        <f t="shared" si="124"/>
        <v>38749</v>
      </c>
      <c r="I142" s="31">
        <f t="shared" ref="I142:J142" si="137">SUM(F131:F142)</f>
        <v>159648.1820557582</v>
      </c>
      <c r="J142" s="31">
        <f t="shared" si="137"/>
        <v>229951.8224218956</v>
      </c>
    </row>
    <row r="143" spans="1:10" x14ac:dyDescent="0.3">
      <c r="A143" s="11">
        <v>38777</v>
      </c>
      <c r="B143" s="18">
        <v>5614.45</v>
      </c>
      <c r="C143" s="18">
        <v>7974.31</v>
      </c>
      <c r="D143" s="30">
        <f t="shared" si="81"/>
        <v>38777</v>
      </c>
      <c r="E143">
        <v>299.99948751192466</v>
      </c>
      <c r="F143" s="31">
        <f t="shared" si="126"/>
        <v>16717.322092732513</v>
      </c>
      <c r="G143" s="32">
        <f t="shared" si="85"/>
        <v>23743.930168992123</v>
      </c>
      <c r="H143" s="30">
        <f t="shared" si="124"/>
        <v>38777</v>
      </c>
      <c r="I143" s="31">
        <f t="shared" ref="I143:J143" si="138">SUM(F132:F143)</f>
        <v>153770.45316529114</v>
      </c>
      <c r="J143" s="31">
        <f t="shared" si="138"/>
        <v>224466.52827733941</v>
      </c>
    </row>
    <row r="144" spans="1:10" x14ac:dyDescent="0.3">
      <c r="A144" s="11">
        <v>38808</v>
      </c>
      <c r="B144" s="18">
        <v>16311.85</v>
      </c>
      <c r="C144" s="18">
        <v>18196.580000000002</v>
      </c>
      <c r="D144" s="30">
        <f t="shared" si="81"/>
        <v>38808</v>
      </c>
      <c r="E144">
        <v>300.62948643569968</v>
      </c>
      <c r="F144" s="31">
        <f t="shared" si="126"/>
        <v>48467.614900361827</v>
      </c>
      <c r="G144" s="32">
        <f t="shared" si="85"/>
        <v>54067.737990701607</v>
      </c>
      <c r="H144" s="30">
        <f t="shared" si="124"/>
        <v>38808</v>
      </c>
      <c r="I144" s="31">
        <f t="shared" ref="I144:J144" si="139">SUM(F133:F144)</f>
        <v>157755.15590242561</v>
      </c>
      <c r="J144" s="31">
        <f t="shared" si="139"/>
        <v>224384.0741944293</v>
      </c>
    </row>
    <row r="145" spans="1:10" x14ac:dyDescent="0.3">
      <c r="A145" s="11">
        <v>38838</v>
      </c>
      <c r="B145" s="18">
        <v>3145.73</v>
      </c>
      <c r="C145" s="18">
        <v>5914.09</v>
      </c>
      <c r="D145" s="30">
        <f t="shared" si="81"/>
        <v>38838</v>
      </c>
      <c r="E145">
        <v>300.93011592213531</v>
      </c>
      <c r="F145" s="31">
        <f t="shared" si="126"/>
        <v>9337.6113993208146</v>
      </c>
      <c r="G145" s="32">
        <f t="shared" si="85"/>
        <v>17555.058508075785</v>
      </c>
      <c r="H145" s="30">
        <f t="shared" si="124"/>
        <v>38838</v>
      </c>
      <c r="I145" s="31">
        <f t="shared" ref="I145:J145" si="140">SUM(F134:F145)</f>
        <v>160274.76095015591</v>
      </c>
      <c r="J145" s="31">
        <f t="shared" si="140"/>
        <v>224589.91694853379</v>
      </c>
    </row>
    <row r="146" spans="1:10" x14ac:dyDescent="0.3">
      <c r="A146" s="11">
        <v>38869</v>
      </c>
      <c r="B146" s="18">
        <v>6877.15</v>
      </c>
      <c r="C146" s="18">
        <v>8773.48</v>
      </c>
      <c r="D146" s="30">
        <f t="shared" si="81"/>
        <v>38869</v>
      </c>
      <c r="E146">
        <v>300.29816267869882</v>
      </c>
      <c r="F146" s="31">
        <f t="shared" si="126"/>
        <v>20456.711780073241</v>
      </c>
      <c r="G146" s="32">
        <f t="shared" si="85"/>
        <v>26097.518836761883</v>
      </c>
      <c r="H146" s="30">
        <f t="shared" si="124"/>
        <v>38869</v>
      </c>
      <c r="I146" s="31">
        <f t="shared" ref="I146:J146" si="141">SUM(F135:F146)</f>
        <v>161979.01690000185</v>
      </c>
      <c r="J146" s="31">
        <f t="shared" si="141"/>
        <v>227096.51493643929</v>
      </c>
    </row>
    <row r="147" spans="1:10" x14ac:dyDescent="0.3">
      <c r="A147" s="11">
        <v>38899</v>
      </c>
      <c r="B147" s="18">
        <v>3600.96</v>
      </c>
      <c r="C147" s="18">
        <v>5313.82</v>
      </c>
      <c r="D147" s="30">
        <f t="shared" si="81"/>
        <v>38899</v>
      </c>
      <c r="E147">
        <v>300.86872918778835</v>
      </c>
      <c r="F147" s="31">
        <f t="shared" si="126"/>
        <v>10691.071890532239</v>
      </c>
      <c r="G147" s="32">
        <f t="shared" si="85"/>
        <v>15776.468395468992</v>
      </c>
      <c r="H147" s="30">
        <f t="shared" si="124"/>
        <v>38899</v>
      </c>
      <c r="I147" s="31">
        <f t="shared" ref="I147:J147" si="142">SUM(F136:F147)</f>
        <v>155338.79116994719</v>
      </c>
      <c r="J147" s="31">
        <f t="shared" si="142"/>
        <v>222779.50137517374</v>
      </c>
    </row>
    <row r="148" spans="1:10" x14ac:dyDescent="0.3">
      <c r="A148" s="11">
        <v>38930</v>
      </c>
      <c r="B148" s="18">
        <v>7227.57</v>
      </c>
      <c r="C148" s="18">
        <v>10495.8</v>
      </c>
      <c r="D148" s="30">
        <f t="shared" si="81"/>
        <v>38930</v>
      </c>
      <c r="E148">
        <v>301.01916355238222</v>
      </c>
      <c r="F148" s="31">
        <f t="shared" si="126"/>
        <v>21447.573573876354</v>
      </c>
      <c r="G148" s="32">
        <f t="shared" si="85"/>
        <v>31145.937392054511</v>
      </c>
      <c r="H148" s="30">
        <f t="shared" si="124"/>
        <v>38930</v>
      </c>
      <c r="I148" s="31">
        <f t="shared" ref="I148:J148" si="143">SUM(F137:F148)</f>
        <v>162893.52585304549</v>
      </c>
      <c r="J148" s="31">
        <f t="shared" si="143"/>
        <v>232098.79598492128</v>
      </c>
    </row>
    <row r="149" spans="1:10" x14ac:dyDescent="0.3">
      <c r="A149" s="11">
        <v>38961</v>
      </c>
      <c r="B149">
        <v>64.63</v>
      </c>
      <c r="C149" s="18">
        <v>2588.92</v>
      </c>
      <c r="D149" s="30">
        <f t="shared" si="81"/>
        <v>38961</v>
      </c>
      <c r="E149">
        <v>301.65130379584224</v>
      </c>
      <c r="F149" s="31">
        <f t="shared" si="126"/>
        <v>191.38546581937291</v>
      </c>
      <c r="G149" s="32">
        <f t="shared" si="85"/>
        <v>7666.4344757711742</v>
      </c>
      <c r="H149" s="30">
        <f t="shared" si="124"/>
        <v>38961</v>
      </c>
      <c r="I149" s="31">
        <f t="shared" ref="I149:J149" si="144">SUM(F138:F149)</f>
        <v>154088.268336407</v>
      </c>
      <c r="J149" s="31">
        <f t="shared" si="144"/>
        <v>224519.79280380197</v>
      </c>
    </row>
    <row r="150" spans="1:10" x14ac:dyDescent="0.3">
      <c r="A150" s="11">
        <v>38991</v>
      </c>
      <c r="B150" s="18">
        <v>7766.57</v>
      </c>
      <c r="C150" s="18">
        <v>10755.3</v>
      </c>
      <c r="D150" s="30">
        <f t="shared" si="81"/>
        <v>38991</v>
      </c>
      <c r="E150">
        <v>302.64675309836855</v>
      </c>
      <c r="F150" s="31">
        <f t="shared" si="126"/>
        <v>22923.094578063628</v>
      </c>
      <c r="G150" s="32">
        <f t="shared" si="85"/>
        <v>31744.355502551029</v>
      </c>
      <c r="H150" s="30">
        <f t="shared" si="124"/>
        <v>38991</v>
      </c>
      <c r="I150" s="31">
        <f t="shared" ref="I150:J150" si="145">SUM(F139:F150)</f>
        <v>157743.14079693647</v>
      </c>
      <c r="J150" s="31">
        <f t="shared" si="145"/>
        <v>230485.69108978426</v>
      </c>
    </row>
    <row r="151" spans="1:10" x14ac:dyDescent="0.3">
      <c r="A151" s="11">
        <v>39022</v>
      </c>
      <c r="B151">
        <v>-75.98</v>
      </c>
      <c r="C151" s="18">
        <v>3439.86</v>
      </c>
      <c r="D151" s="30">
        <f t="shared" si="81"/>
        <v>39022</v>
      </c>
      <c r="E151">
        <v>303.58495803297353</v>
      </c>
      <c r="F151" s="31">
        <f t="shared" si="126"/>
        <v>-223.56254462002516</v>
      </c>
      <c r="G151" s="32">
        <f t="shared" si="85"/>
        <v>10121.398456654906</v>
      </c>
      <c r="H151" s="30">
        <f t="shared" si="124"/>
        <v>39022</v>
      </c>
      <c r="I151" s="31">
        <f t="shared" ref="I151:J151" si="146">SUM(F140:F151)</f>
        <v>156470.56896048551</v>
      </c>
      <c r="J151" s="31">
        <f t="shared" si="146"/>
        <v>232558.96610133437</v>
      </c>
    </row>
    <row r="152" spans="1:10" x14ac:dyDescent="0.3">
      <c r="A152" s="11">
        <v>39052</v>
      </c>
      <c r="B152" s="18">
        <v>-5763.22</v>
      </c>
      <c r="C152" s="18">
        <v>-8493.1</v>
      </c>
      <c r="D152" s="30">
        <f t="shared" si="81"/>
        <v>39052</v>
      </c>
      <c r="E152">
        <v>305.0421658315318</v>
      </c>
      <c r="F152" s="31">
        <f t="shared" si="126"/>
        <v>-16876.614367448739</v>
      </c>
      <c r="G152" s="32">
        <f t="shared" si="85"/>
        <v>-24870.605925884993</v>
      </c>
      <c r="H152" s="30">
        <f t="shared" si="124"/>
        <v>39052</v>
      </c>
      <c r="I152" s="31">
        <f t="shared" ref="I152:J152" si="147">SUM(F141:F152)</f>
        <v>152854.87464527891</v>
      </c>
      <c r="J152" s="31">
        <f t="shared" si="147"/>
        <v>225890.33247423565</v>
      </c>
    </row>
    <row r="153" spans="1:10" x14ac:dyDescent="0.3">
      <c r="A153" s="11">
        <v>39083</v>
      </c>
      <c r="B153" s="18">
        <v>11805.29</v>
      </c>
      <c r="C153" s="18">
        <v>15485.85</v>
      </c>
      <c r="D153" s="30">
        <f t="shared" si="81"/>
        <v>39083</v>
      </c>
      <c r="E153">
        <v>306.38435136119051</v>
      </c>
      <c r="F153" s="31">
        <f t="shared" si="126"/>
        <v>34418.353012366024</v>
      </c>
      <c r="G153" s="32">
        <f t="shared" si="85"/>
        <v>45149.035050943123</v>
      </c>
      <c r="H153" s="30">
        <f t="shared" si="124"/>
        <v>39083</v>
      </c>
      <c r="I153" s="31">
        <f t="shared" ref="I153:J153" si="148">SUM(F142:F153)</f>
        <v>177333.0044342186</v>
      </c>
      <c r="J153" s="31">
        <f t="shared" si="148"/>
        <v>251749.14547782502</v>
      </c>
    </row>
    <row r="154" spans="1:10" x14ac:dyDescent="0.3">
      <c r="A154" s="11">
        <v>39114</v>
      </c>
      <c r="B154" s="18">
        <v>2659.94</v>
      </c>
      <c r="C154" s="18">
        <v>5586.71</v>
      </c>
      <c r="D154" s="30">
        <f t="shared" ref="D154:D217" si="149">A154</f>
        <v>39114</v>
      </c>
      <c r="E154">
        <v>307.73244250717971</v>
      </c>
      <c r="F154" s="31">
        <f t="shared" si="126"/>
        <v>7721.0890416585644</v>
      </c>
      <c r="G154" s="32">
        <f t="shared" si="85"/>
        <v>16216.71367020471</v>
      </c>
      <c r="H154" s="30">
        <f t="shared" si="124"/>
        <v>39114</v>
      </c>
      <c r="I154" s="31">
        <f t="shared" ref="I154:J154" si="150">SUM(F143:F154)</f>
        <v>175271.65082273583</v>
      </c>
      <c r="J154" s="31">
        <f t="shared" si="150"/>
        <v>254413.98252229483</v>
      </c>
    </row>
    <row r="155" spans="1:10" x14ac:dyDescent="0.3">
      <c r="A155" s="11">
        <v>39142</v>
      </c>
      <c r="B155" s="18">
        <v>3913.18</v>
      </c>
      <c r="C155" s="18">
        <v>6801.05</v>
      </c>
      <c r="D155" s="30">
        <f t="shared" si="149"/>
        <v>39142</v>
      </c>
      <c r="E155">
        <v>308.87105254445629</v>
      </c>
      <c r="F155" s="31">
        <f t="shared" si="126"/>
        <v>11317.034023159573</v>
      </c>
      <c r="G155" s="32">
        <f t="shared" si="85"/>
        <v>19668.840749265153</v>
      </c>
      <c r="H155" s="30">
        <f t="shared" si="124"/>
        <v>39142</v>
      </c>
      <c r="I155" s="31">
        <f t="shared" ref="I155:J155" si="151">SUM(F144:F155)</f>
        <v>169871.36275316289</v>
      </c>
      <c r="J155" s="31">
        <f t="shared" si="151"/>
        <v>250338.8931025679</v>
      </c>
    </row>
    <row r="156" spans="1:10" x14ac:dyDescent="0.3">
      <c r="A156" s="11">
        <v>39173</v>
      </c>
      <c r="B156" s="18">
        <v>14919.06</v>
      </c>
      <c r="C156" s="18">
        <v>19170.64</v>
      </c>
      <c r="D156" s="30">
        <f t="shared" si="149"/>
        <v>39173</v>
      </c>
      <c r="E156">
        <v>309.64323017581739</v>
      </c>
      <c r="F156" s="31">
        <f t="shared" si="126"/>
        <v>43038.772419086716</v>
      </c>
      <c r="G156" s="32">
        <f t="shared" si="85"/>
        <v>55303.806814118354</v>
      </c>
      <c r="H156" s="30">
        <f t="shared" si="124"/>
        <v>39173</v>
      </c>
      <c r="I156" s="31">
        <f t="shared" ref="I156:J156" si="152">SUM(F145:F156)</f>
        <v>164442.52027188777</v>
      </c>
      <c r="J156" s="31">
        <f t="shared" si="152"/>
        <v>251574.96192598462</v>
      </c>
    </row>
    <row r="157" spans="1:10" x14ac:dyDescent="0.3">
      <c r="A157" s="11">
        <v>39203</v>
      </c>
      <c r="B157" s="18">
        <v>5344.96</v>
      </c>
      <c r="C157" s="18">
        <v>7906.01</v>
      </c>
      <c r="D157" s="30">
        <f t="shared" si="149"/>
        <v>39203</v>
      </c>
      <c r="E157">
        <v>310.51023122030966</v>
      </c>
      <c r="F157" s="31">
        <f t="shared" si="126"/>
        <v>15376.183356280115</v>
      </c>
      <c r="G157" s="32">
        <f t="shared" ref="G157:G220" si="153">C157*($E$387/E157)</f>
        <v>22743.717329331586</v>
      </c>
      <c r="H157" s="30">
        <f t="shared" si="124"/>
        <v>39203</v>
      </c>
      <c r="I157" s="31">
        <f t="shared" ref="I157:J157" si="154">SUM(F146:F157)</f>
        <v>170481.09222884706</v>
      </c>
      <c r="J157" s="31">
        <f t="shared" si="154"/>
        <v>256763.62074724043</v>
      </c>
    </row>
    <row r="158" spans="1:10" x14ac:dyDescent="0.3">
      <c r="A158" s="11">
        <v>39234</v>
      </c>
      <c r="B158" s="18">
        <v>5473.79</v>
      </c>
      <c r="C158" s="18">
        <v>8365.57</v>
      </c>
      <c r="D158" s="30">
        <f t="shared" si="149"/>
        <v>39234</v>
      </c>
      <c r="E158">
        <v>311.3796598677265</v>
      </c>
      <c r="F158" s="31">
        <f t="shared" si="126"/>
        <v>15702.82881750408</v>
      </c>
      <c r="G158" s="32">
        <f t="shared" si="153"/>
        <v>23998.566563724147</v>
      </c>
      <c r="H158" s="30">
        <f t="shared" si="124"/>
        <v>39234</v>
      </c>
      <c r="I158" s="31">
        <f t="shared" ref="I158:J158" si="155">SUM(F147:F158)</f>
        <v>165727.2092662779</v>
      </c>
      <c r="J158" s="31">
        <f t="shared" si="155"/>
        <v>254664.66847420268</v>
      </c>
    </row>
    <row r="159" spans="1:10" x14ac:dyDescent="0.3">
      <c r="A159" s="11">
        <v>39264</v>
      </c>
      <c r="B159" s="18">
        <v>4951.8900000000003</v>
      </c>
      <c r="C159" s="18">
        <v>6279.06</v>
      </c>
      <c r="D159" s="30">
        <f t="shared" si="149"/>
        <v>39264</v>
      </c>
      <c r="E159">
        <v>312.12697105140904</v>
      </c>
      <c r="F159" s="31">
        <f t="shared" si="126"/>
        <v>14171.626419056449</v>
      </c>
      <c r="G159" s="32">
        <f t="shared" si="153"/>
        <v>17969.803970371027</v>
      </c>
      <c r="H159" s="30">
        <f t="shared" si="124"/>
        <v>39264</v>
      </c>
      <c r="I159" s="31">
        <f t="shared" ref="I159:J159" si="156">SUM(F148:F159)</f>
        <v>169207.7637948021</v>
      </c>
      <c r="J159" s="31">
        <f t="shared" si="156"/>
        <v>256858.0040491047</v>
      </c>
    </row>
    <row r="160" spans="1:10" x14ac:dyDescent="0.3">
      <c r="A160" s="11">
        <v>39295</v>
      </c>
      <c r="B160" s="18">
        <v>3445.68</v>
      </c>
      <c r="C160" s="18">
        <v>7140.3</v>
      </c>
      <c r="D160" s="30">
        <f t="shared" si="149"/>
        <v>39295</v>
      </c>
      <c r="E160">
        <v>313.59396781535065</v>
      </c>
      <c r="F160" s="31">
        <f t="shared" si="126"/>
        <v>9814.9308983505543</v>
      </c>
      <c r="G160" s="32">
        <f t="shared" si="153"/>
        <v>20338.960986943788</v>
      </c>
      <c r="H160" s="30">
        <f t="shared" si="124"/>
        <v>39295</v>
      </c>
      <c r="I160" s="31">
        <f t="shared" ref="I160:J160" si="157">SUM(F149:F160)</f>
        <v>157575.1211192763</v>
      </c>
      <c r="J160" s="31">
        <f t="shared" si="157"/>
        <v>246051.02764399402</v>
      </c>
    </row>
    <row r="161" spans="1:10" x14ac:dyDescent="0.3">
      <c r="A161" s="11">
        <v>39326</v>
      </c>
      <c r="B161">
        <v>811.79</v>
      </c>
      <c r="C161" s="18">
        <v>2676.98</v>
      </c>
      <c r="D161" s="30">
        <f t="shared" si="149"/>
        <v>39326</v>
      </c>
      <c r="E161">
        <v>314.1584369574183</v>
      </c>
      <c r="F161" s="31">
        <f t="shared" si="126"/>
        <v>2308.208170769848</v>
      </c>
      <c r="G161" s="32">
        <f t="shared" si="153"/>
        <v>7611.6078160453671</v>
      </c>
      <c r="H161" s="30">
        <f t="shared" si="124"/>
        <v>39326</v>
      </c>
      <c r="I161" s="31">
        <f t="shared" ref="I161:J161" si="158">SUM(F150:F161)</f>
        <v>159691.94382422679</v>
      </c>
      <c r="J161" s="31">
        <f t="shared" si="158"/>
        <v>245996.20098426819</v>
      </c>
    </row>
    <row r="162" spans="1:10" x14ac:dyDescent="0.3">
      <c r="A162" s="11">
        <v>39356</v>
      </c>
      <c r="B162" s="18">
        <v>10017.66</v>
      </c>
      <c r="C162" s="18">
        <v>12370.27</v>
      </c>
      <c r="D162" s="30">
        <f t="shared" si="149"/>
        <v>39356</v>
      </c>
      <c r="E162">
        <v>315.10091226829053</v>
      </c>
      <c r="F162" s="31">
        <f t="shared" si="126"/>
        <v>28398.580437249559</v>
      </c>
      <c r="G162" s="32">
        <f t="shared" si="153"/>
        <v>35067.880884906765</v>
      </c>
      <c r="H162" s="30">
        <f t="shared" si="124"/>
        <v>39356</v>
      </c>
      <c r="I162" s="31">
        <f t="shared" ref="I162:J162" si="159">SUM(F151:F162)</f>
        <v>165167.42968341275</v>
      </c>
      <c r="J162" s="31">
        <f t="shared" si="159"/>
        <v>249319.72636662395</v>
      </c>
    </row>
    <row r="163" spans="1:10" x14ac:dyDescent="0.3">
      <c r="A163" s="11">
        <v>39387</v>
      </c>
      <c r="B163" s="18">
        <v>4783.62</v>
      </c>
      <c r="C163" s="18">
        <v>6951.66</v>
      </c>
      <c r="D163" s="30">
        <f t="shared" si="149"/>
        <v>39387</v>
      </c>
      <c r="E163">
        <v>316.29829573491003</v>
      </c>
      <c r="F163" s="31">
        <f t="shared" si="126"/>
        <v>13509.517103259454</v>
      </c>
      <c r="G163" s="32">
        <f t="shared" si="153"/>
        <v>19632.32231365464</v>
      </c>
      <c r="H163" s="30">
        <f t="shared" si="124"/>
        <v>39387</v>
      </c>
      <c r="I163" s="31">
        <f t="shared" ref="I163:J163" si="160">SUM(F152:F163)</f>
        <v>178900.50933129221</v>
      </c>
      <c r="J163" s="31">
        <f t="shared" si="160"/>
        <v>258830.65022362367</v>
      </c>
    </row>
    <row r="164" spans="1:10" x14ac:dyDescent="0.3">
      <c r="A164" s="11">
        <v>39417</v>
      </c>
      <c r="B164" s="18">
        <v>-8688.15</v>
      </c>
      <c r="C164" s="18">
        <v>-10656.14</v>
      </c>
      <c r="D164" s="30">
        <f t="shared" si="149"/>
        <v>39417</v>
      </c>
      <c r="E164">
        <v>318.63890312334837</v>
      </c>
      <c r="F164" s="31">
        <f t="shared" si="126"/>
        <v>-24356.143062350646</v>
      </c>
      <c r="G164" s="32">
        <f t="shared" si="153"/>
        <v>-29873.157154565379</v>
      </c>
      <c r="H164" s="30">
        <f t="shared" si="124"/>
        <v>39417</v>
      </c>
      <c r="I164" s="31">
        <f t="shared" ref="I164:J164" si="161">SUM(F153:F164)</f>
        <v>171420.98063639028</v>
      </c>
      <c r="J164" s="31">
        <f t="shared" si="161"/>
        <v>253828.09899494331</v>
      </c>
    </row>
    <row r="165" spans="1:10" x14ac:dyDescent="0.3">
      <c r="A165" s="11">
        <v>39448</v>
      </c>
      <c r="B165" s="18">
        <v>16705.32</v>
      </c>
      <c r="C165" s="18">
        <v>20522.830000000002</v>
      </c>
      <c r="D165" s="30">
        <f t="shared" si="149"/>
        <v>39448</v>
      </c>
      <c r="E165">
        <v>320.35955320021446</v>
      </c>
      <c r="F165" s="31">
        <f t="shared" si="126"/>
        <v>46579.746891042385</v>
      </c>
      <c r="G165" s="32">
        <f t="shared" si="153"/>
        <v>57224.179296648697</v>
      </c>
      <c r="H165" s="30">
        <f t="shared" si="124"/>
        <v>39448</v>
      </c>
      <c r="I165" s="31">
        <f t="shared" ref="I165:J165" si="162">SUM(F154:F165)</f>
        <v>183582.37451506668</v>
      </c>
      <c r="J165" s="31">
        <f t="shared" si="162"/>
        <v>265903.24324064888</v>
      </c>
    </row>
    <row r="166" spans="1:10" x14ac:dyDescent="0.3">
      <c r="A166" s="11">
        <v>39479</v>
      </c>
      <c r="B166" s="18">
        <v>4088.21</v>
      </c>
      <c r="C166" s="18">
        <v>7804.02</v>
      </c>
      <c r="D166" s="30">
        <f t="shared" si="149"/>
        <v>39479</v>
      </c>
      <c r="E166">
        <v>321.92931501089549</v>
      </c>
      <c r="F166" s="31">
        <f t="shared" si="126"/>
        <v>11343.646261054297</v>
      </c>
      <c r="G166" s="32">
        <f t="shared" si="153"/>
        <v>21653.986046263024</v>
      </c>
      <c r="H166" s="30">
        <f t="shared" si="124"/>
        <v>39479</v>
      </c>
      <c r="I166" s="31">
        <f t="shared" ref="I166:J166" si="163">SUM(F155:F166)</f>
        <v>187204.93173446239</v>
      </c>
      <c r="J166" s="31">
        <f t="shared" si="163"/>
        <v>271340.51561670721</v>
      </c>
    </row>
    <row r="167" spans="1:10" x14ac:dyDescent="0.3">
      <c r="A167" s="11">
        <v>39508</v>
      </c>
      <c r="B167" s="18">
        <v>11039.3</v>
      </c>
      <c r="C167" s="18">
        <v>13192.51</v>
      </c>
      <c r="D167" s="30">
        <f t="shared" si="149"/>
        <v>39508</v>
      </c>
      <c r="E167">
        <v>323.47457572294775</v>
      </c>
      <c r="F167" s="31">
        <f t="shared" si="126"/>
        <v>30484.662285909504</v>
      </c>
      <c r="G167" s="32">
        <f t="shared" si="153"/>
        <v>36430.680573359183</v>
      </c>
      <c r="H167" s="30">
        <f t="shared" si="124"/>
        <v>39508</v>
      </c>
      <c r="I167" s="31">
        <f t="shared" ref="I167:J167" si="164">SUM(F156:F167)</f>
        <v>206372.55999721232</v>
      </c>
      <c r="J167" s="31">
        <f t="shared" si="164"/>
        <v>288102.35544080118</v>
      </c>
    </row>
    <row r="168" spans="1:10" x14ac:dyDescent="0.3">
      <c r="A168" s="11">
        <v>39539</v>
      </c>
      <c r="B168" s="18">
        <v>16860.580000000002</v>
      </c>
      <c r="C168" s="18">
        <v>19794.25</v>
      </c>
      <c r="D168" s="30">
        <f t="shared" si="149"/>
        <v>39539</v>
      </c>
      <c r="E168">
        <v>325.25368588942399</v>
      </c>
      <c r="F168" s="31">
        <f t="shared" si="126"/>
        <v>46305.25580312423</v>
      </c>
      <c r="G168" s="32">
        <f t="shared" si="153"/>
        <v>54362.175540876509</v>
      </c>
      <c r="H168" s="30">
        <f t="shared" si="124"/>
        <v>39539</v>
      </c>
      <c r="I168" s="31">
        <f t="shared" ref="I168:J168" si="165">SUM(F157:F168)</f>
        <v>209639.04338124979</v>
      </c>
      <c r="J168" s="31">
        <f t="shared" si="165"/>
        <v>287160.72416755935</v>
      </c>
    </row>
    <row r="169" spans="1:10" x14ac:dyDescent="0.3">
      <c r="A169" s="11">
        <v>39569</v>
      </c>
      <c r="B169" s="18">
        <v>4916.41</v>
      </c>
      <c r="C169" s="18">
        <v>8523.91</v>
      </c>
      <c r="D169" s="30">
        <f t="shared" si="149"/>
        <v>39569</v>
      </c>
      <c r="E169">
        <v>327.82319000795047</v>
      </c>
      <c r="F169" s="31">
        <f t="shared" si="126"/>
        <v>13396.40984402217</v>
      </c>
      <c r="G169" s="32">
        <f t="shared" si="153"/>
        <v>23226.254896064205</v>
      </c>
      <c r="H169" s="30">
        <f t="shared" si="124"/>
        <v>39569</v>
      </c>
      <c r="I169" s="31">
        <f t="shared" ref="I169:J169" si="166">SUM(F158:F169)</f>
        <v>207659.26986899183</v>
      </c>
      <c r="J169" s="31">
        <f t="shared" si="166"/>
        <v>287643.26173429197</v>
      </c>
    </row>
    <row r="170" spans="1:10" x14ac:dyDescent="0.3">
      <c r="A170" s="11">
        <v>39600</v>
      </c>
      <c r="B170" s="18">
        <v>7067.13</v>
      </c>
      <c r="C170" s="18">
        <v>10376.93</v>
      </c>
      <c r="D170" s="30">
        <f t="shared" si="149"/>
        <v>39600</v>
      </c>
      <c r="E170">
        <v>330.24908161400936</v>
      </c>
      <c r="F170" s="31">
        <f t="shared" si="126"/>
        <v>19115.315305034586</v>
      </c>
      <c r="G170" s="32">
        <f t="shared" si="153"/>
        <v>28067.728886870987</v>
      </c>
      <c r="H170" s="30">
        <f t="shared" si="124"/>
        <v>39600</v>
      </c>
      <c r="I170" s="31">
        <f t="shared" ref="I170:J170" si="167">SUM(F159:F170)</f>
        <v>211071.75635652238</v>
      </c>
      <c r="J170" s="31">
        <f t="shared" si="167"/>
        <v>291712.42405743885</v>
      </c>
    </row>
    <row r="171" spans="1:10" x14ac:dyDescent="0.3">
      <c r="A171" s="11">
        <v>39630</v>
      </c>
      <c r="B171" s="18">
        <v>7774.08</v>
      </c>
      <c r="C171" s="18">
        <v>10775.71</v>
      </c>
      <c r="D171" s="30">
        <f t="shared" si="149"/>
        <v>39630</v>
      </c>
      <c r="E171">
        <v>331.99940174656365</v>
      </c>
      <c r="F171" s="31">
        <f t="shared" si="126"/>
        <v>20916.629740279324</v>
      </c>
      <c r="G171" s="32">
        <f t="shared" si="153"/>
        <v>28992.695760607723</v>
      </c>
      <c r="H171" s="30">
        <f t="shared" si="124"/>
        <v>39630</v>
      </c>
      <c r="I171" s="31">
        <f t="shared" ref="I171:J171" si="168">SUM(F160:F171)</f>
        <v>217816.75967774526</v>
      </c>
      <c r="J171" s="31">
        <f t="shared" si="168"/>
        <v>302735.31584767555</v>
      </c>
    </row>
    <row r="172" spans="1:10" x14ac:dyDescent="0.3">
      <c r="A172" s="11">
        <v>39661</v>
      </c>
      <c r="B172" s="18">
        <v>7253</v>
      </c>
      <c r="C172" s="18">
        <v>9786.4599999999991</v>
      </c>
      <c r="D172" s="30">
        <f t="shared" si="149"/>
        <v>39661</v>
      </c>
      <c r="E172">
        <v>332.92900007145397</v>
      </c>
      <c r="F172" s="31">
        <f t="shared" si="126"/>
        <v>19460.144260802554</v>
      </c>
      <c r="G172" s="32">
        <f t="shared" si="153"/>
        <v>26257.538039786814</v>
      </c>
      <c r="H172" s="30">
        <f t="shared" si="124"/>
        <v>39661</v>
      </c>
      <c r="I172" s="31">
        <f t="shared" ref="I172:J172" si="169">SUM(F161:F172)</f>
        <v>227461.97304019728</v>
      </c>
      <c r="J172" s="31">
        <f t="shared" si="169"/>
        <v>308653.89290051855</v>
      </c>
    </row>
    <row r="173" spans="1:10" x14ac:dyDescent="0.3">
      <c r="A173" s="11">
        <v>39692</v>
      </c>
      <c r="B173" s="18">
        <v>5173.45</v>
      </c>
      <c r="C173" s="18">
        <v>6860.18</v>
      </c>
      <c r="D173" s="30">
        <f t="shared" si="149"/>
        <v>39692</v>
      </c>
      <c r="E173">
        <v>333.7946154716397</v>
      </c>
      <c r="F173" s="31">
        <f t="shared" si="126"/>
        <v>13844.616615859703</v>
      </c>
      <c r="G173" s="32">
        <f t="shared" si="153"/>
        <v>18358.457512064178</v>
      </c>
      <c r="H173" s="30">
        <f t="shared" si="124"/>
        <v>39692</v>
      </c>
      <c r="I173" s="31">
        <f t="shared" ref="I173:J173" si="170">SUM(F162:F173)</f>
        <v>238998.38148528713</v>
      </c>
      <c r="J173" s="31">
        <f t="shared" si="170"/>
        <v>319400.74259653734</v>
      </c>
    </row>
    <row r="174" spans="1:10" x14ac:dyDescent="0.3">
      <c r="A174" s="11">
        <v>39722</v>
      </c>
      <c r="B174" s="18">
        <v>14465.58</v>
      </c>
      <c r="C174" s="18">
        <v>17865.810000000001</v>
      </c>
      <c r="D174" s="30">
        <f t="shared" si="149"/>
        <v>39722</v>
      </c>
      <c r="E174">
        <v>335.29669124126207</v>
      </c>
      <c r="F174" s="31">
        <f t="shared" si="126"/>
        <v>38537.770673811843</v>
      </c>
      <c r="G174" s="32">
        <f t="shared" si="153"/>
        <v>47596.327881902725</v>
      </c>
      <c r="H174" s="30">
        <f t="shared" si="124"/>
        <v>39722</v>
      </c>
      <c r="I174" s="31">
        <f t="shared" ref="I174:J174" si="171">SUM(F163:F174)</f>
        <v>249137.57172184941</v>
      </c>
      <c r="J174" s="31">
        <f t="shared" si="171"/>
        <v>331929.18959353335</v>
      </c>
    </row>
    <row r="175" spans="1:10" x14ac:dyDescent="0.3">
      <c r="A175" s="11">
        <v>39753</v>
      </c>
      <c r="B175" s="18">
        <v>-3282.72</v>
      </c>
      <c r="C175">
        <v>-967.15</v>
      </c>
      <c r="D175" s="30">
        <f t="shared" si="149"/>
        <v>39753</v>
      </c>
      <c r="E175">
        <v>336.5037593297306</v>
      </c>
      <c r="F175" s="31">
        <f t="shared" si="126"/>
        <v>-8714.127802690211</v>
      </c>
      <c r="G175" s="32">
        <f t="shared" si="153"/>
        <v>-2567.3431496965436</v>
      </c>
      <c r="H175" s="30">
        <f t="shared" si="124"/>
        <v>39753</v>
      </c>
      <c r="I175" s="31">
        <f t="shared" ref="I175:J175" si="172">SUM(F164:F175)</f>
        <v>226913.92681589976</v>
      </c>
      <c r="J175" s="31">
        <f t="shared" si="172"/>
        <v>309729.52413018217</v>
      </c>
    </row>
    <row r="176" spans="1:10" x14ac:dyDescent="0.3">
      <c r="A176" s="11">
        <v>39783</v>
      </c>
      <c r="B176" s="18">
        <v>-20752.400000000001</v>
      </c>
      <c r="C176" s="18">
        <v>-20951.78</v>
      </c>
      <c r="D176" s="30">
        <f t="shared" si="149"/>
        <v>39783</v>
      </c>
      <c r="E176">
        <v>337.44596985585383</v>
      </c>
      <c r="F176" s="31">
        <f t="shared" si="126"/>
        <v>-54934.362433547292</v>
      </c>
      <c r="G176" s="32">
        <f t="shared" si="153"/>
        <v>-55462.147806901725</v>
      </c>
      <c r="H176" s="30">
        <f t="shared" si="124"/>
        <v>39783</v>
      </c>
      <c r="I176" s="31">
        <f t="shared" ref="I176:J176" si="173">SUM(F165:F176)</f>
        <v>196335.70744470309</v>
      </c>
      <c r="J176" s="31">
        <f t="shared" si="173"/>
        <v>284140.53347784583</v>
      </c>
    </row>
    <row r="177" spans="1:10" x14ac:dyDescent="0.3">
      <c r="A177" s="11">
        <v>39814</v>
      </c>
      <c r="B177" s="18">
        <v>4795.83</v>
      </c>
      <c r="C177" s="18">
        <v>7212.33</v>
      </c>
      <c r="D177" s="30">
        <f t="shared" si="149"/>
        <v>39814</v>
      </c>
      <c r="E177">
        <v>339.06571051116191</v>
      </c>
      <c r="F177" s="31">
        <f t="shared" si="126"/>
        <v>12634.55389601085</v>
      </c>
      <c r="G177" s="32">
        <f t="shared" si="153"/>
        <v>19000.792793075638</v>
      </c>
      <c r="H177" s="30">
        <f t="shared" si="124"/>
        <v>39814</v>
      </c>
      <c r="I177" s="31">
        <f t="shared" ref="I177:J177" si="174">SUM(F166:F177)</f>
        <v>162390.51444967155</v>
      </c>
      <c r="J177" s="31">
        <f t="shared" si="174"/>
        <v>245917.14697427271</v>
      </c>
    </row>
    <row r="178" spans="1:10" x14ac:dyDescent="0.3">
      <c r="A178" s="11">
        <v>39845</v>
      </c>
      <c r="B178">
        <v>903.39</v>
      </c>
      <c r="C178" s="18">
        <v>3383.89</v>
      </c>
      <c r="D178" s="30">
        <f t="shared" si="149"/>
        <v>39845</v>
      </c>
      <c r="E178">
        <v>340.93057191897333</v>
      </c>
      <c r="F178" s="31">
        <f t="shared" si="126"/>
        <v>2366.9513752241246</v>
      </c>
      <c r="G178" s="32">
        <f t="shared" si="153"/>
        <v>8866.0524126979071</v>
      </c>
      <c r="H178" s="30">
        <f t="shared" si="124"/>
        <v>39845</v>
      </c>
      <c r="I178" s="31">
        <f t="shared" ref="I178:J178" si="175">SUM(F167:F178)</f>
        <v>153413.81956384142</v>
      </c>
      <c r="J178" s="31">
        <f t="shared" si="175"/>
        <v>233129.21334070759</v>
      </c>
    </row>
    <row r="179" spans="1:10" x14ac:dyDescent="0.3">
      <c r="A179" s="11">
        <v>39873</v>
      </c>
      <c r="B179" s="18">
        <v>5815.7</v>
      </c>
      <c r="C179" s="18">
        <v>8148.27</v>
      </c>
      <c r="D179" s="30">
        <f t="shared" si="149"/>
        <v>39873</v>
      </c>
      <c r="E179">
        <v>341.61243306281125</v>
      </c>
      <c r="F179" s="31">
        <f t="shared" si="126"/>
        <v>15207.167565146381</v>
      </c>
      <c r="G179" s="32">
        <f t="shared" si="153"/>
        <v>21306.481980854463</v>
      </c>
      <c r="H179" s="30">
        <f t="shared" si="124"/>
        <v>39873</v>
      </c>
      <c r="I179" s="31">
        <f t="shared" ref="I179:J179" si="176">SUM(F168:F179)</f>
        <v>138136.32484307827</v>
      </c>
      <c r="J179" s="31">
        <f t="shared" si="176"/>
        <v>218005.01474820287</v>
      </c>
    </row>
    <row r="180" spans="1:10" x14ac:dyDescent="0.3">
      <c r="A180" s="11">
        <v>39904</v>
      </c>
      <c r="B180" s="18">
        <v>10861.57</v>
      </c>
      <c r="C180" s="18">
        <v>11875.49</v>
      </c>
      <c r="D180" s="30">
        <f t="shared" si="149"/>
        <v>39904</v>
      </c>
      <c r="E180">
        <v>343.25217274151271</v>
      </c>
      <c r="F180" s="31">
        <f t="shared" si="126"/>
        <v>28265.671991554042</v>
      </c>
      <c r="G180" s="32">
        <f t="shared" si="153"/>
        <v>30904.252799455338</v>
      </c>
      <c r="H180" s="30">
        <f t="shared" si="124"/>
        <v>39904</v>
      </c>
      <c r="I180" s="31">
        <f t="shared" ref="I180:J180" si="177">SUM(F169:F180)</f>
        <v>120096.74103150806</v>
      </c>
      <c r="J180" s="31">
        <f t="shared" si="177"/>
        <v>194547.09200678172</v>
      </c>
    </row>
    <row r="181" spans="1:10" x14ac:dyDescent="0.3">
      <c r="A181" s="11">
        <v>39934</v>
      </c>
      <c r="B181">
        <v>-290.76</v>
      </c>
      <c r="C181" s="18">
        <v>2112.56</v>
      </c>
      <c r="D181" s="30">
        <f t="shared" si="149"/>
        <v>39934</v>
      </c>
      <c r="E181">
        <v>344.86545795339777</v>
      </c>
      <c r="F181" s="31">
        <f t="shared" si="126"/>
        <v>-753.12136370116627</v>
      </c>
      <c r="G181" s="32">
        <f t="shared" si="153"/>
        <v>5471.9152156436094</v>
      </c>
      <c r="H181" s="30">
        <f t="shared" si="124"/>
        <v>39934</v>
      </c>
      <c r="I181" s="31">
        <f t="shared" ref="I181:J181" si="178">SUM(F170:F181)</f>
        <v>105947.20982378474</v>
      </c>
      <c r="J181" s="31">
        <f t="shared" si="178"/>
        <v>176792.75232636114</v>
      </c>
    </row>
    <row r="182" spans="1:10" x14ac:dyDescent="0.3">
      <c r="A182" s="11">
        <v>39965</v>
      </c>
      <c r="B182" s="18">
        <v>-1136.67</v>
      </c>
      <c r="C182" s="18">
        <v>3361.68</v>
      </c>
      <c r="D182" s="30">
        <f t="shared" si="149"/>
        <v>39965</v>
      </c>
      <c r="E182">
        <v>346.10697360203</v>
      </c>
      <c r="F182" s="31">
        <f t="shared" si="126"/>
        <v>-2933.6213146162763</v>
      </c>
      <c r="G182" s="32">
        <f t="shared" si="153"/>
        <v>8676.1294842999669</v>
      </c>
      <c r="H182" s="30">
        <f t="shared" si="124"/>
        <v>39965</v>
      </c>
      <c r="I182" s="31">
        <f t="shared" ref="I182:J182" si="179">SUM(F171:F182)</f>
        <v>83898.273204133875</v>
      </c>
      <c r="J182" s="31">
        <f t="shared" si="179"/>
        <v>157401.1529237901</v>
      </c>
    </row>
    <row r="183" spans="1:10" x14ac:dyDescent="0.3">
      <c r="A183" s="11">
        <v>39995</v>
      </c>
      <c r="B183" s="18">
        <v>1690.76</v>
      </c>
      <c r="C183" s="18">
        <v>2415.66</v>
      </c>
      <c r="D183" s="30">
        <f t="shared" si="149"/>
        <v>39995</v>
      </c>
      <c r="E183">
        <v>346.93763033867486</v>
      </c>
      <c r="F183" s="31">
        <f t="shared" si="126"/>
        <v>4353.2194536719035</v>
      </c>
      <c r="G183" s="32">
        <f t="shared" si="153"/>
        <v>6219.6279220333281</v>
      </c>
      <c r="H183" s="30">
        <f t="shared" si="124"/>
        <v>39995</v>
      </c>
      <c r="I183" s="31">
        <f t="shared" ref="I183:J183" si="180">SUM(F172:F183)</f>
        <v>67334.86291752645</v>
      </c>
      <c r="J183" s="31">
        <f t="shared" si="180"/>
        <v>134628.08508521569</v>
      </c>
    </row>
    <row r="184" spans="1:10" x14ac:dyDescent="0.3">
      <c r="A184" s="11">
        <v>40026</v>
      </c>
      <c r="B184" s="18">
        <v>3898.51</v>
      </c>
      <c r="C184" s="18">
        <v>5485.33</v>
      </c>
      <c r="D184" s="30">
        <f t="shared" si="149"/>
        <v>40026</v>
      </c>
      <c r="E184">
        <v>347.45803678418292</v>
      </c>
      <c r="F184" s="31">
        <f t="shared" si="126"/>
        <v>10022.505320501381</v>
      </c>
      <c r="G184" s="32">
        <f t="shared" si="153"/>
        <v>14101.990019188315</v>
      </c>
      <c r="H184" s="30">
        <f t="shared" si="124"/>
        <v>40026</v>
      </c>
      <c r="I184" s="31">
        <f t="shared" ref="I184:J184" si="181">SUM(F173:F184)</f>
        <v>57897.22397722528</v>
      </c>
      <c r="J184" s="31">
        <f t="shared" si="181"/>
        <v>122472.53706461719</v>
      </c>
    </row>
    <row r="185" spans="1:10" x14ac:dyDescent="0.3">
      <c r="A185" s="11">
        <v>40057</v>
      </c>
      <c r="B185" s="18">
        <v>-8019.91</v>
      </c>
      <c r="C185" s="18">
        <v>-5418.7</v>
      </c>
      <c r="D185" s="30">
        <f t="shared" si="149"/>
        <v>40057</v>
      </c>
      <c r="E185">
        <v>348.29193607246492</v>
      </c>
      <c r="F185" s="31">
        <f t="shared" si="126"/>
        <v>-20568.66379856136</v>
      </c>
      <c r="G185" s="32">
        <f t="shared" si="153"/>
        <v>-13897.340309961637</v>
      </c>
      <c r="H185" s="30">
        <f t="shared" si="124"/>
        <v>40057</v>
      </c>
      <c r="I185" s="31">
        <f t="shared" ref="I185:J185" si="182">SUM(F174:F185)</f>
        <v>23483.943562804216</v>
      </c>
      <c r="J185" s="31">
        <f t="shared" si="182"/>
        <v>90216.739242591371</v>
      </c>
    </row>
    <row r="186" spans="1:10" x14ac:dyDescent="0.3">
      <c r="A186" s="11">
        <v>40087</v>
      </c>
      <c r="B186" s="18">
        <v>11377.06</v>
      </c>
      <c r="C186" s="18">
        <v>13762.97</v>
      </c>
      <c r="D186" s="30">
        <f t="shared" si="149"/>
        <v>40087</v>
      </c>
      <c r="E186">
        <v>349.26715349346779</v>
      </c>
      <c r="F186" s="31">
        <f t="shared" si="126"/>
        <v>29097.274295720144</v>
      </c>
      <c r="G186" s="32">
        <f t="shared" si="153"/>
        <v>35199.332095793419</v>
      </c>
      <c r="H186" s="30">
        <f t="shared" si="124"/>
        <v>40087</v>
      </c>
      <c r="I186" s="31">
        <f t="shared" ref="I186:J186" si="183">SUM(F175:F186)</f>
        <v>14043.44718471253</v>
      </c>
      <c r="J186" s="31">
        <f t="shared" si="183"/>
        <v>77819.743456482087</v>
      </c>
    </row>
    <row r="187" spans="1:10" x14ac:dyDescent="0.3">
      <c r="A187" s="11">
        <v>40118</v>
      </c>
      <c r="B187" s="18">
        <v>10712.45</v>
      </c>
      <c r="C187" s="18">
        <v>12273.81</v>
      </c>
      <c r="D187" s="30">
        <f t="shared" si="149"/>
        <v>40118</v>
      </c>
      <c r="E187">
        <v>350.69914882279102</v>
      </c>
      <c r="F187" s="31">
        <f t="shared" si="126"/>
        <v>27285.637209379485</v>
      </c>
      <c r="G187" s="32">
        <f t="shared" si="153"/>
        <v>31262.570825241099</v>
      </c>
      <c r="H187" s="30">
        <f t="shared" si="124"/>
        <v>40118</v>
      </c>
      <c r="I187" s="31">
        <f t="shared" ref="I187:J187" si="184">SUM(F176:F187)</f>
        <v>50043.212196782217</v>
      </c>
      <c r="J187" s="31">
        <f t="shared" si="184"/>
        <v>111649.65743141972</v>
      </c>
    </row>
    <row r="188" spans="1:10" x14ac:dyDescent="0.3">
      <c r="A188" s="11">
        <v>40148</v>
      </c>
      <c r="B188" s="18">
        <v>1835.29</v>
      </c>
      <c r="C188">
        <v>155.54</v>
      </c>
      <c r="D188" s="30">
        <f t="shared" si="149"/>
        <v>40148</v>
      </c>
      <c r="E188">
        <v>351.99673567343535</v>
      </c>
      <c r="F188" s="31">
        <f t="shared" si="126"/>
        <v>4657.4271086809858</v>
      </c>
      <c r="G188" s="32">
        <f t="shared" si="153"/>
        <v>394.71484750869922</v>
      </c>
      <c r="H188" s="30">
        <f t="shared" si="124"/>
        <v>40148</v>
      </c>
      <c r="I188" s="31">
        <f t="shared" ref="I188:J188" si="185">SUM(F177:F188)</f>
        <v>109635.00173901049</v>
      </c>
      <c r="J188" s="31">
        <f t="shared" si="185"/>
        <v>167506.52008583013</v>
      </c>
    </row>
    <row r="189" spans="1:10" x14ac:dyDescent="0.3">
      <c r="A189" s="11">
        <v>40179</v>
      </c>
      <c r="B189" s="18">
        <v>13537.87</v>
      </c>
      <c r="C189" s="18">
        <v>16083.96</v>
      </c>
      <c r="D189" s="30">
        <f t="shared" si="149"/>
        <v>40179</v>
      </c>
      <c r="E189">
        <v>354.63671119098615</v>
      </c>
      <c r="F189" s="31">
        <f t="shared" si="126"/>
        <v>34099.393373426923</v>
      </c>
      <c r="G189" s="32">
        <f t="shared" si="153"/>
        <v>40512.523686699875</v>
      </c>
      <c r="H189" s="30">
        <f t="shared" si="124"/>
        <v>40179</v>
      </c>
      <c r="I189" s="31">
        <f t="shared" ref="I189:J189" si="186">SUM(F178:F189)</f>
        <v>131099.84121642658</v>
      </c>
      <c r="J189" s="31">
        <f t="shared" si="186"/>
        <v>189018.25097945437</v>
      </c>
    </row>
    <row r="190" spans="1:10" x14ac:dyDescent="0.3">
      <c r="A190" s="11">
        <v>40210</v>
      </c>
      <c r="B190">
        <v>-700.99</v>
      </c>
      <c r="C190" s="18">
        <v>3174.74</v>
      </c>
      <c r="D190" s="30">
        <f t="shared" si="149"/>
        <v>40210</v>
      </c>
      <c r="E190">
        <v>357.40287753827585</v>
      </c>
      <c r="F190" s="31">
        <f t="shared" si="126"/>
        <v>-1751.998710339861</v>
      </c>
      <c r="G190" s="32">
        <f t="shared" si="153"/>
        <v>7934.6929138281139</v>
      </c>
      <c r="H190" s="30">
        <f t="shared" si="124"/>
        <v>40210</v>
      </c>
      <c r="I190" s="31">
        <f t="shared" ref="I190:J190" si="187">SUM(F179:F190)</f>
        <v>126980.89113086257</v>
      </c>
      <c r="J190" s="31">
        <f t="shared" si="187"/>
        <v>188086.89148058457</v>
      </c>
    </row>
    <row r="191" spans="1:10" x14ac:dyDescent="0.3">
      <c r="A191" s="11">
        <v>40238</v>
      </c>
      <c r="B191" s="18">
        <v>-3912.28</v>
      </c>
      <c r="C191">
        <v>-158.6</v>
      </c>
      <c r="D191" s="30">
        <f t="shared" si="149"/>
        <v>40238</v>
      </c>
      <c r="E191">
        <v>359.26137250147491</v>
      </c>
      <c r="F191" s="31">
        <f t="shared" si="126"/>
        <v>-9727.4590033485401</v>
      </c>
      <c r="G191" s="32">
        <f t="shared" si="153"/>
        <v>-394.34166213335408</v>
      </c>
      <c r="H191" s="30">
        <f t="shared" si="124"/>
        <v>40238</v>
      </c>
      <c r="I191" s="31">
        <f t="shared" ref="I191:J191" si="188">SUM(F180:F191)</f>
        <v>102046.26456236765</v>
      </c>
      <c r="J191" s="31">
        <f t="shared" si="188"/>
        <v>166386.06783759681</v>
      </c>
    </row>
    <row r="192" spans="1:10" x14ac:dyDescent="0.3">
      <c r="A192" s="11">
        <v>40269</v>
      </c>
      <c r="B192" s="18">
        <v>16528.16</v>
      </c>
      <c r="C192" s="18">
        <v>20289.650000000001</v>
      </c>
      <c r="D192" s="30">
        <f t="shared" si="149"/>
        <v>40269</v>
      </c>
      <c r="E192">
        <v>361.30916232473334</v>
      </c>
      <c r="F192" s="31">
        <f t="shared" si="126"/>
        <v>40862.556858479278</v>
      </c>
      <c r="G192" s="32">
        <f t="shared" si="153"/>
        <v>50162.085602005558</v>
      </c>
      <c r="H192" s="30">
        <f t="shared" si="124"/>
        <v>40269</v>
      </c>
      <c r="I192" s="31">
        <f t="shared" ref="I192:J192" si="189">SUM(F181:F192)</f>
        <v>114643.1494292929</v>
      </c>
      <c r="J192" s="31">
        <f t="shared" si="189"/>
        <v>185643.90064014701</v>
      </c>
    </row>
    <row r="193" spans="1:10" x14ac:dyDescent="0.3">
      <c r="A193" s="11">
        <v>40299</v>
      </c>
      <c r="B193" s="18">
        <v>-1431.4</v>
      </c>
      <c r="C193">
        <v>487.19</v>
      </c>
      <c r="D193" s="30">
        <f t="shared" si="149"/>
        <v>40299</v>
      </c>
      <c r="E193">
        <v>362.8627917227297</v>
      </c>
      <c r="F193" s="31">
        <f t="shared" si="126"/>
        <v>-3523.6971867637658</v>
      </c>
      <c r="G193" s="32">
        <f t="shared" si="153"/>
        <v>1199.3223644120715</v>
      </c>
      <c r="H193" s="30">
        <f t="shared" si="124"/>
        <v>40299</v>
      </c>
      <c r="I193" s="31">
        <f t="shared" ref="I193:J193" si="190">SUM(F182:F193)</f>
        <v>111872.5736062303</v>
      </c>
      <c r="J193" s="31">
        <f t="shared" si="190"/>
        <v>181371.30778891544</v>
      </c>
    </row>
    <row r="194" spans="1:10" x14ac:dyDescent="0.3">
      <c r="A194" s="11">
        <v>40330</v>
      </c>
      <c r="B194">
        <v>745.68</v>
      </c>
      <c r="C194" s="18">
        <v>2179.33</v>
      </c>
      <c r="D194" s="30">
        <f t="shared" si="149"/>
        <v>40330</v>
      </c>
      <c r="E194">
        <v>362.8627917227297</v>
      </c>
      <c r="F194" s="31">
        <f t="shared" si="126"/>
        <v>1835.6507742252372</v>
      </c>
      <c r="G194" s="32">
        <f t="shared" si="153"/>
        <v>5364.8868171230106</v>
      </c>
      <c r="H194" s="30">
        <f t="shared" si="124"/>
        <v>40330</v>
      </c>
      <c r="I194" s="31">
        <f t="shared" ref="I194:J194" si="191">SUM(F183:F194)</f>
        <v>116641.84569507182</v>
      </c>
      <c r="J194" s="31">
        <f t="shared" si="191"/>
        <v>178060.0651217385</v>
      </c>
    </row>
    <row r="195" spans="1:10" x14ac:dyDescent="0.3">
      <c r="A195" s="11">
        <v>40360</v>
      </c>
      <c r="B195">
        <v>612.79</v>
      </c>
      <c r="C195" s="18">
        <v>1531.77</v>
      </c>
      <c r="D195" s="30">
        <f t="shared" si="149"/>
        <v>40360</v>
      </c>
      <c r="E195">
        <v>362.89907800190196</v>
      </c>
      <c r="F195" s="31">
        <f t="shared" si="126"/>
        <v>1508.3627861029518</v>
      </c>
      <c r="G195" s="32">
        <f t="shared" si="153"/>
        <v>3770.4023643808132</v>
      </c>
      <c r="H195" s="30">
        <f t="shared" ref="H195:H258" si="192">D195</f>
        <v>40360</v>
      </c>
      <c r="I195" s="31">
        <f t="shared" ref="I195:J195" si="193">SUM(F184:F195)</f>
        <v>113796.98902750287</v>
      </c>
      <c r="J195" s="31">
        <f t="shared" si="193"/>
        <v>175610.83956408597</v>
      </c>
    </row>
    <row r="196" spans="1:10" x14ac:dyDescent="0.3">
      <c r="A196" s="11">
        <v>40391</v>
      </c>
      <c r="B196" s="18">
        <v>3457.86</v>
      </c>
      <c r="C196" s="18">
        <v>5193.42</v>
      </c>
      <c r="D196" s="30">
        <f t="shared" si="149"/>
        <v>40391</v>
      </c>
      <c r="E196">
        <v>363.04423763310268</v>
      </c>
      <c r="F196" s="31">
        <f t="shared" ref="F196:F259" si="194">B196*($E$387/E196)</f>
        <v>8508.0074655200569</v>
      </c>
      <c r="G196" s="32">
        <f t="shared" si="153"/>
        <v>12778.324203866316</v>
      </c>
      <c r="H196" s="30">
        <f t="shared" si="192"/>
        <v>40391</v>
      </c>
      <c r="I196" s="31">
        <f t="shared" ref="I196:J196" si="195">SUM(F185:F196)</f>
        <v>112282.49117252155</v>
      </c>
      <c r="J196" s="31">
        <f t="shared" si="195"/>
        <v>174287.17374876398</v>
      </c>
    </row>
    <row r="197" spans="1:10" x14ac:dyDescent="0.3">
      <c r="A197" s="11">
        <v>40422</v>
      </c>
      <c r="B197" s="18">
        <v>25593.51</v>
      </c>
      <c r="C197" s="18">
        <v>28157.02</v>
      </c>
      <c r="D197" s="30">
        <f t="shared" si="149"/>
        <v>40422</v>
      </c>
      <c r="E197">
        <v>364.67793670245163</v>
      </c>
      <c r="F197" s="31">
        <f t="shared" si="194"/>
        <v>62690.302627799181</v>
      </c>
      <c r="G197" s="32">
        <f t="shared" si="153"/>
        <v>68969.520198557919</v>
      </c>
      <c r="H197" s="30">
        <f t="shared" si="192"/>
        <v>40422</v>
      </c>
      <c r="I197" s="31">
        <f t="shared" ref="I197:J197" si="196">SUM(F186:F197)</f>
        <v>195541.45759888209</v>
      </c>
      <c r="J197" s="31">
        <f t="shared" si="196"/>
        <v>257154.03425728355</v>
      </c>
    </row>
    <row r="198" spans="1:10" x14ac:dyDescent="0.3">
      <c r="A198" s="11">
        <v>40452</v>
      </c>
      <c r="B198" s="18">
        <v>7232.97</v>
      </c>
      <c r="C198" s="18">
        <v>9738.0300000000007</v>
      </c>
      <c r="D198" s="30">
        <f t="shared" si="149"/>
        <v>40452</v>
      </c>
      <c r="E198">
        <v>367.41302122772004</v>
      </c>
      <c r="F198" s="31">
        <f t="shared" si="194"/>
        <v>17584.989947733375</v>
      </c>
      <c r="G198" s="32">
        <f t="shared" si="153"/>
        <v>23675.358761439082</v>
      </c>
      <c r="H198" s="30">
        <f t="shared" si="192"/>
        <v>40452</v>
      </c>
      <c r="I198" s="31">
        <f t="shared" ref="I198:J198" si="197">SUM(F187:F198)</f>
        <v>184029.17325089531</v>
      </c>
      <c r="J198" s="31">
        <f t="shared" si="197"/>
        <v>245630.06092292917</v>
      </c>
    </row>
    <row r="199" spans="1:10" x14ac:dyDescent="0.3">
      <c r="A199" s="11">
        <v>40483</v>
      </c>
      <c r="B199" s="18">
        <v>1654.91</v>
      </c>
      <c r="C199" s="18">
        <v>4166.38</v>
      </c>
      <c r="D199" s="30">
        <f t="shared" si="149"/>
        <v>40483</v>
      </c>
      <c r="E199">
        <v>370.46254930391012</v>
      </c>
      <c r="F199" s="31">
        <f t="shared" si="194"/>
        <v>3990.3415803738276</v>
      </c>
      <c r="G199" s="32">
        <f t="shared" si="153"/>
        <v>10046.032324197635</v>
      </c>
      <c r="H199" s="30">
        <f t="shared" si="192"/>
        <v>40483</v>
      </c>
      <c r="I199" s="31">
        <f t="shared" ref="I199:J199" si="198">SUM(F188:F199)</f>
        <v>160733.87762188967</v>
      </c>
      <c r="J199" s="31">
        <f t="shared" si="198"/>
        <v>224413.52242188575</v>
      </c>
    </row>
    <row r="200" spans="1:10" x14ac:dyDescent="0.3">
      <c r="A200" s="11">
        <v>40513</v>
      </c>
      <c r="B200" s="18">
        <v>15404.18</v>
      </c>
      <c r="C200" s="18">
        <v>10853.16</v>
      </c>
      <c r="D200" s="30">
        <f t="shared" si="149"/>
        <v>40513</v>
      </c>
      <c r="E200">
        <v>372.79646336452475</v>
      </c>
      <c r="F200" s="31">
        <f t="shared" si="194"/>
        <v>36910.23459442937</v>
      </c>
      <c r="G200" s="32">
        <f t="shared" si="153"/>
        <v>26005.453175104227</v>
      </c>
      <c r="H200" s="30">
        <f t="shared" si="192"/>
        <v>40513</v>
      </c>
      <c r="I200" s="31">
        <f t="shared" ref="I200:J200" si="199">SUM(F189:F200)</f>
        <v>192986.68510763804</v>
      </c>
      <c r="J200" s="31">
        <f t="shared" si="199"/>
        <v>250024.26074948127</v>
      </c>
    </row>
    <row r="201" spans="1:10" x14ac:dyDescent="0.3">
      <c r="A201" s="11">
        <v>40544</v>
      </c>
      <c r="B201" s="18">
        <v>13806.98</v>
      </c>
      <c r="C201" s="18">
        <v>17748.189999999999</v>
      </c>
      <c r="D201" s="30">
        <f t="shared" si="149"/>
        <v>40544</v>
      </c>
      <c r="E201">
        <v>375.89067401045031</v>
      </c>
      <c r="F201" s="31">
        <f t="shared" si="194"/>
        <v>32810.824909981653</v>
      </c>
      <c r="G201" s="32">
        <f t="shared" si="153"/>
        <v>42176.692843698424</v>
      </c>
      <c r="H201" s="30">
        <f t="shared" si="192"/>
        <v>40544</v>
      </c>
      <c r="I201" s="31">
        <f t="shared" ref="I201:J201" si="200">SUM(F190:F201)</f>
        <v>191698.11664419278</v>
      </c>
      <c r="J201" s="31">
        <f t="shared" si="200"/>
        <v>251688.42990647981</v>
      </c>
    </row>
    <row r="202" spans="1:10" x14ac:dyDescent="0.3">
      <c r="A202" s="11">
        <v>40575</v>
      </c>
      <c r="B202" s="18">
        <v>2530.3000000000002</v>
      </c>
      <c r="C202" s="18">
        <v>7913.11</v>
      </c>
      <c r="D202" s="30">
        <f t="shared" si="149"/>
        <v>40575</v>
      </c>
      <c r="E202">
        <v>378.89779940253391</v>
      </c>
      <c r="F202" s="31">
        <f t="shared" si="194"/>
        <v>5965.2676846632812</v>
      </c>
      <c r="G202" s="32">
        <f t="shared" si="153"/>
        <v>18655.424008293819</v>
      </c>
      <c r="H202" s="30">
        <f t="shared" si="192"/>
        <v>40575</v>
      </c>
      <c r="I202" s="31">
        <f t="shared" ref="I202:J202" si="201">SUM(F191:F202)</f>
        <v>199415.38303919591</v>
      </c>
      <c r="J202" s="31">
        <f t="shared" si="201"/>
        <v>262409.16100094549</v>
      </c>
    </row>
    <row r="203" spans="1:10" x14ac:dyDescent="0.3">
      <c r="A203" s="11">
        <v>40603</v>
      </c>
      <c r="B203" s="18">
        <v>9675.69</v>
      </c>
      <c r="C203" s="18">
        <v>13600.38</v>
      </c>
      <c r="D203" s="30">
        <f t="shared" si="149"/>
        <v>40603</v>
      </c>
      <c r="E203">
        <v>381.89109201781395</v>
      </c>
      <c r="F203" s="31">
        <f t="shared" si="194"/>
        <v>22631.9732822396</v>
      </c>
      <c r="G203" s="32">
        <f t="shared" si="153"/>
        <v>31812.039946330009</v>
      </c>
      <c r="H203" s="30">
        <f t="shared" si="192"/>
        <v>40603</v>
      </c>
      <c r="I203" s="31">
        <f t="shared" ref="I203:J203" si="202">SUM(F192:F203)</f>
        <v>231774.81532478405</v>
      </c>
      <c r="J203" s="31">
        <f t="shared" si="202"/>
        <v>294615.54260940891</v>
      </c>
    </row>
    <row r="204" spans="1:10" x14ac:dyDescent="0.3">
      <c r="A204" s="11">
        <v>40634</v>
      </c>
      <c r="B204" s="18">
        <v>15220.07</v>
      </c>
      <c r="C204" s="18">
        <v>18052.36</v>
      </c>
      <c r="D204" s="30">
        <f t="shared" si="149"/>
        <v>40634</v>
      </c>
      <c r="E204">
        <v>384.83165342635112</v>
      </c>
      <c r="F204" s="31">
        <f t="shared" si="194"/>
        <v>35328.554439922998</v>
      </c>
      <c r="G204" s="32">
        <f t="shared" si="153"/>
        <v>41902.81536346997</v>
      </c>
      <c r="H204" s="30">
        <f t="shared" si="192"/>
        <v>40634</v>
      </c>
      <c r="I204" s="31">
        <f t="shared" ref="I204:J204" si="203">SUM(F193:F204)</f>
        <v>226240.81290622777</v>
      </c>
      <c r="J204" s="31">
        <f t="shared" si="203"/>
        <v>286356.27237087325</v>
      </c>
    </row>
    <row r="205" spans="1:10" x14ac:dyDescent="0.3">
      <c r="A205" s="11">
        <v>40664</v>
      </c>
      <c r="B205" s="18">
        <v>4452.1000000000004</v>
      </c>
      <c r="C205" s="18">
        <v>7505.75</v>
      </c>
      <c r="D205" s="30">
        <f t="shared" si="149"/>
        <v>40664</v>
      </c>
      <c r="E205">
        <v>386.64036219745492</v>
      </c>
      <c r="F205" s="31">
        <f t="shared" si="194"/>
        <v>10285.791721911955</v>
      </c>
      <c r="G205" s="32">
        <f t="shared" si="153"/>
        <v>17340.711398382933</v>
      </c>
      <c r="H205" s="30">
        <f t="shared" si="192"/>
        <v>40664</v>
      </c>
      <c r="I205" s="31">
        <f t="shared" ref="I205:J205" si="204">SUM(F194:F205)</f>
        <v>240050.30181490348</v>
      </c>
      <c r="J205" s="31">
        <f t="shared" si="204"/>
        <v>302497.66140484414</v>
      </c>
    </row>
    <row r="206" spans="1:10" x14ac:dyDescent="0.3">
      <c r="A206" s="11">
        <v>40695</v>
      </c>
      <c r="B206" s="18">
        <v>9703.98</v>
      </c>
      <c r="C206" s="18">
        <v>13369.93</v>
      </c>
      <c r="D206" s="30">
        <f t="shared" si="149"/>
        <v>40695</v>
      </c>
      <c r="E206">
        <v>387.2203227407511</v>
      </c>
      <c r="F206" s="31">
        <f t="shared" si="194"/>
        <v>22385.755423511968</v>
      </c>
      <c r="G206" s="32">
        <f t="shared" si="153"/>
        <v>30842.600975009776</v>
      </c>
      <c r="H206" s="30">
        <f t="shared" si="192"/>
        <v>40695</v>
      </c>
      <c r="I206" s="31">
        <f t="shared" ref="I206:J206" si="205">SUM(F195:F206)</f>
        <v>260600.40646419019</v>
      </c>
      <c r="J206" s="31">
        <f t="shared" si="205"/>
        <v>327975.37556273089</v>
      </c>
    </row>
    <row r="207" spans="1:10" x14ac:dyDescent="0.3">
      <c r="A207" s="11">
        <v>40725</v>
      </c>
      <c r="B207" s="18">
        <v>10918.21</v>
      </c>
      <c r="C207" s="18">
        <v>13789.25</v>
      </c>
      <c r="D207" s="30">
        <f t="shared" si="149"/>
        <v>40725</v>
      </c>
      <c r="E207">
        <v>387.83987525713633</v>
      </c>
      <c r="F207" s="31">
        <f t="shared" si="194"/>
        <v>25146.583526837665</v>
      </c>
      <c r="G207" s="32">
        <f t="shared" si="153"/>
        <v>31759.100337642005</v>
      </c>
      <c r="H207" s="30">
        <f t="shared" si="192"/>
        <v>40725</v>
      </c>
      <c r="I207" s="31">
        <f t="shared" ref="I207:J207" si="206">SUM(F196:F207)</f>
        <v>284238.62720492488</v>
      </c>
      <c r="J207" s="31">
        <f t="shared" si="206"/>
        <v>355964.07353599212</v>
      </c>
    </row>
    <row r="208" spans="1:10" x14ac:dyDescent="0.3">
      <c r="A208" s="11">
        <v>40756</v>
      </c>
      <c r="B208" s="18">
        <v>2031</v>
      </c>
      <c r="C208" s="18">
        <v>4561.38</v>
      </c>
      <c r="D208" s="30">
        <f t="shared" si="149"/>
        <v>40756</v>
      </c>
      <c r="E208">
        <v>389.27488279558776</v>
      </c>
      <c r="F208" s="31">
        <f t="shared" si="194"/>
        <v>4660.5110837531292</v>
      </c>
      <c r="G208" s="32">
        <f t="shared" si="153"/>
        <v>10466.943400891112</v>
      </c>
      <c r="H208" s="30">
        <f t="shared" si="192"/>
        <v>40756</v>
      </c>
      <c r="I208" s="31">
        <f t="shared" ref="I208:J208" si="207">SUM(F197:F208)</f>
        <v>280391.13082315802</v>
      </c>
      <c r="J208" s="31">
        <f t="shared" si="207"/>
        <v>353652.69273301691</v>
      </c>
    </row>
    <row r="209" spans="1:10" x14ac:dyDescent="0.3">
      <c r="A209" s="11">
        <v>40787</v>
      </c>
      <c r="B209" s="18">
        <v>5982.2</v>
      </c>
      <c r="C209" s="18">
        <v>8096.48</v>
      </c>
      <c r="D209" s="30">
        <f t="shared" si="149"/>
        <v>40787</v>
      </c>
      <c r="E209">
        <v>391.3380396744044</v>
      </c>
      <c r="F209" s="31">
        <f t="shared" si="194"/>
        <v>13654.910806907517</v>
      </c>
      <c r="G209" s="32">
        <f t="shared" si="153"/>
        <v>18480.945513341343</v>
      </c>
      <c r="H209" s="30">
        <f t="shared" si="192"/>
        <v>40787</v>
      </c>
      <c r="I209" s="31">
        <f t="shared" ref="I209:J209" si="208">SUM(F198:F209)</f>
        <v>231355.73900226637</v>
      </c>
      <c r="J209" s="31">
        <f t="shared" si="208"/>
        <v>303164.11804780032</v>
      </c>
    </row>
    <row r="210" spans="1:10" x14ac:dyDescent="0.3">
      <c r="A210" s="11">
        <v>40817</v>
      </c>
      <c r="B210" s="18">
        <v>11403.92</v>
      </c>
      <c r="C210" s="18">
        <v>13935.61</v>
      </c>
      <c r="D210" s="30">
        <f t="shared" si="149"/>
        <v>40817</v>
      </c>
      <c r="E210">
        <v>393.02079324500431</v>
      </c>
      <c r="F210" s="31">
        <f t="shared" si="194"/>
        <v>25919.023683618765</v>
      </c>
      <c r="G210" s="32">
        <f t="shared" si="153"/>
        <v>31673.091852246813</v>
      </c>
      <c r="H210" s="30">
        <f t="shared" si="192"/>
        <v>40817</v>
      </c>
      <c r="I210" s="31">
        <f t="shared" ref="I210:J210" si="209">SUM(F199:F210)</f>
        <v>239689.77273815172</v>
      </c>
      <c r="J210" s="31">
        <f t="shared" si="209"/>
        <v>311161.85113860806</v>
      </c>
    </row>
    <row r="211" spans="1:10" x14ac:dyDescent="0.3">
      <c r="A211" s="11">
        <v>40848</v>
      </c>
      <c r="B211" s="18">
        <v>4808.12</v>
      </c>
      <c r="C211" s="18">
        <v>8204.35</v>
      </c>
      <c r="D211" s="30">
        <f t="shared" si="149"/>
        <v>40848</v>
      </c>
      <c r="E211">
        <v>395.06450136987837</v>
      </c>
      <c r="F211" s="31">
        <f t="shared" si="194"/>
        <v>10871.445543141102</v>
      </c>
      <c r="G211" s="32">
        <f t="shared" si="153"/>
        <v>18550.523747716303</v>
      </c>
      <c r="H211" s="30">
        <f t="shared" si="192"/>
        <v>40848</v>
      </c>
      <c r="I211" s="31">
        <f t="shared" ref="I211:J211" si="210">SUM(F200:F211)</f>
        <v>246570.87670091901</v>
      </c>
      <c r="J211" s="31">
        <f t="shared" si="210"/>
        <v>319666.34256212681</v>
      </c>
    </row>
    <row r="212" spans="1:10" x14ac:dyDescent="0.3">
      <c r="A212" s="11">
        <v>40878</v>
      </c>
      <c r="B212" s="18">
        <v>2502.92</v>
      </c>
      <c r="C212" s="18">
        <v>1933.69</v>
      </c>
      <c r="D212" s="30">
        <f t="shared" si="149"/>
        <v>40878</v>
      </c>
      <c r="E212">
        <v>397.03982387672772</v>
      </c>
      <c r="F212" s="31">
        <f t="shared" si="194"/>
        <v>5631.0956384269866</v>
      </c>
      <c r="G212" s="32">
        <f t="shared" si="153"/>
        <v>4350.4360207557093</v>
      </c>
      <c r="H212" s="30">
        <f t="shared" si="192"/>
        <v>40878</v>
      </c>
      <c r="I212" s="31">
        <f t="shared" ref="I212:J212" si="211">SUM(F201:F212)</f>
        <v>215291.73774491661</v>
      </c>
      <c r="J212" s="31">
        <f t="shared" si="211"/>
        <v>298011.32540777832</v>
      </c>
    </row>
    <row r="213" spans="1:10" x14ac:dyDescent="0.3">
      <c r="A213" s="11">
        <v>40909</v>
      </c>
      <c r="B213" s="18">
        <v>20233.16</v>
      </c>
      <c r="C213" s="18">
        <v>26016.01</v>
      </c>
      <c r="D213" s="30">
        <f t="shared" si="149"/>
        <v>40909</v>
      </c>
      <c r="E213">
        <v>399.26324689043742</v>
      </c>
      <c r="F213" s="31">
        <f t="shared" si="194"/>
        <v>45267.278585356682</v>
      </c>
      <c r="G213" s="32">
        <f t="shared" si="153"/>
        <v>58205.143059681497</v>
      </c>
      <c r="H213" s="30">
        <f t="shared" si="192"/>
        <v>40909</v>
      </c>
      <c r="I213" s="31">
        <f t="shared" ref="I213:J213" si="212">SUM(F202:F213)</f>
        <v>227748.19142029167</v>
      </c>
      <c r="J213" s="31">
        <f t="shared" si="212"/>
        <v>314039.77562376129</v>
      </c>
    </row>
    <row r="214" spans="1:10" x14ac:dyDescent="0.3">
      <c r="A214" s="11">
        <v>40940</v>
      </c>
      <c r="B214" s="18">
        <v>5316.54</v>
      </c>
      <c r="C214" s="18">
        <v>9514.27</v>
      </c>
      <c r="D214" s="30">
        <f t="shared" si="149"/>
        <v>40940</v>
      </c>
      <c r="E214">
        <v>401.05993150144434</v>
      </c>
      <c r="F214" s="31">
        <f t="shared" si="194"/>
        <v>11841.311742321861</v>
      </c>
      <c r="G214" s="32">
        <f t="shared" si="153"/>
        <v>21190.743805298298</v>
      </c>
      <c r="H214" s="30">
        <f t="shared" si="192"/>
        <v>40940</v>
      </c>
      <c r="I214" s="31">
        <f t="shared" ref="I214:J214" si="213">SUM(F203:F214)</f>
        <v>233624.23547795022</v>
      </c>
      <c r="J214" s="31">
        <f t="shared" si="213"/>
        <v>316575.09542076575</v>
      </c>
    </row>
    <row r="215" spans="1:10" x14ac:dyDescent="0.3">
      <c r="A215" s="11">
        <v>40969</v>
      </c>
      <c r="B215" s="18">
        <v>7456.06</v>
      </c>
      <c r="C215" s="18">
        <v>10441.92</v>
      </c>
      <c r="D215" s="30">
        <f t="shared" si="149"/>
        <v>40969</v>
      </c>
      <c r="E215">
        <v>401.90215735759739</v>
      </c>
      <c r="F215" s="31">
        <f t="shared" si="194"/>
        <v>16571.776259674443</v>
      </c>
      <c r="G215" s="32">
        <f t="shared" si="153"/>
        <v>23208.12358825167</v>
      </c>
      <c r="H215" s="30">
        <f t="shared" si="192"/>
        <v>40969</v>
      </c>
      <c r="I215" s="31">
        <f t="shared" ref="I215:J215" si="214">SUM(F204:F215)</f>
        <v>227564.03845538507</v>
      </c>
      <c r="J215" s="31">
        <f t="shared" si="214"/>
        <v>307971.17906268738</v>
      </c>
    </row>
    <row r="216" spans="1:10" x14ac:dyDescent="0.3">
      <c r="A216" s="11">
        <v>41000</v>
      </c>
      <c r="B216" s="18">
        <v>11479.07</v>
      </c>
      <c r="C216" s="18">
        <v>14239.7</v>
      </c>
      <c r="D216" s="30">
        <f t="shared" si="149"/>
        <v>41000</v>
      </c>
      <c r="E216">
        <v>404.47433116468602</v>
      </c>
      <c r="F216" s="31">
        <f t="shared" si="194"/>
        <v>25351.037815074946</v>
      </c>
      <c r="G216" s="32">
        <f t="shared" si="153"/>
        <v>31447.771742425368</v>
      </c>
      <c r="H216" s="30">
        <f t="shared" si="192"/>
        <v>41000</v>
      </c>
      <c r="I216" s="31">
        <f t="shared" ref="I216:J216" si="215">SUM(F205:F216)</f>
        <v>217586.52183053701</v>
      </c>
      <c r="J216" s="31">
        <f t="shared" si="215"/>
        <v>297516.13544164284</v>
      </c>
    </row>
    <row r="217" spans="1:10" x14ac:dyDescent="0.3">
      <c r="A217" s="11">
        <v>41030</v>
      </c>
      <c r="B217" s="18">
        <v>1557.95</v>
      </c>
      <c r="C217" s="18">
        <v>2652.98</v>
      </c>
      <c r="D217" s="30">
        <f t="shared" si="149"/>
        <v>41030</v>
      </c>
      <c r="E217">
        <v>405.93043875687891</v>
      </c>
      <c r="F217" s="31">
        <f t="shared" si="194"/>
        <v>3428.3243375815573</v>
      </c>
      <c r="G217" s="32">
        <f t="shared" si="153"/>
        <v>5837.9767650547956</v>
      </c>
      <c r="H217" s="30">
        <f t="shared" si="192"/>
        <v>41030</v>
      </c>
      <c r="I217" s="31">
        <f t="shared" ref="I217:J217" si="216">SUM(F206:F217)</f>
        <v>210729.05444620663</v>
      </c>
      <c r="J217" s="31">
        <f t="shared" si="216"/>
        <v>286013.40080831468</v>
      </c>
    </row>
    <row r="218" spans="1:10" x14ac:dyDescent="0.3">
      <c r="A218" s="11">
        <v>41061</v>
      </c>
      <c r="B218" s="18">
        <v>2018.97</v>
      </c>
      <c r="C218" s="18">
        <v>2794.22</v>
      </c>
      <c r="D218" s="30">
        <f t="shared" ref="D218:D281" si="217">A218</f>
        <v>41061</v>
      </c>
      <c r="E218">
        <v>406.25518310788436</v>
      </c>
      <c r="F218" s="31">
        <f t="shared" si="194"/>
        <v>4439.2638191170718</v>
      </c>
      <c r="G218" s="32">
        <f t="shared" si="153"/>
        <v>6143.8653118438133</v>
      </c>
      <c r="H218" s="30">
        <f t="shared" si="192"/>
        <v>41061</v>
      </c>
      <c r="I218" s="31">
        <f t="shared" ref="I218:J218" si="218">SUM(F207:F218)</f>
        <v>192782.56284181174</v>
      </c>
      <c r="J218" s="31">
        <f t="shared" si="218"/>
        <v>261314.66514514873</v>
      </c>
    </row>
    <row r="219" spans="1:10" x14ac:dyDescent="0.3">
      <c r="A219" s="11">
        <v>41091</v>
      </c>
      <c r="B219" s="18">
        <v>3834.69</v>
      </c>
      <c r="C219" s="18">
        <v>5569.53</v>
      </c>
      <c r="D219" s="30">
        <f t="shared" si="217"/>
        <v>41091</v>
      </c>
      <c r="E219">
        <v>408.00208039524824</v>
      </c>
      <c r="F219" s="31">
        <f t="shared" si="194"/>
        <v>8395.5255518257109</v>
      </c>
      <c r="G219" s="32">
        <f t="shared" si="153"/>
        <v>12193.718769094725</v>
      </c>
      <c r="H219" s="30">
        <f t="shared" si="192"/>
        <v>41091</v>
      </c>
      <c r="I219" s="31">
        <f t="shared" ref="I219:J219" si="219">SUM(F208:F219)</f>
        <v>176031.50486679975</v>
      </c>
      <c r="J219" s="31">
        <f t="shared" si="219"/>
        <v>241749.28357660145</v>
      </c>
    </row>
    <row r="220" spans="1:10" x14ac:dyDescent="0.3">
      <c r="A220" s="11">
        <v>41122</v>
      </c>
      <c r="B220" s="18">
        <v>1172.5899999999999</v>
      </c>
      <c r="C220" s="18">
        <v>2996.61</v>
      </c>
      <c r="D220" s="30">
        <f t="shared" si="217"/>
        <v>41122</v>
      </c>
      <c r="E220">
        <v>409.67488892486875</v>
      </c>
      <c r="F220" s="31">
        <f t="shared" si="194"/>
        <v>2556.7416477305474</v>
      </c>
      <c r="G220" s="32">
        <f t="shared" si="153"/>
        <v>6533.8759404445163</v>
      </c>
      <c r="H220" s="30">
        <f t="shared" si="192"/>
        <v>41122</v>
      </c>
      <c r="I220" s="31">
        <f t="shared" ref="I220:J220" si="220">SUM(F209:F220)</f>
        <v>173927.73543077719</v>
      </c>
      <c r="J220" s="31">
        <f t="shared" si="220"/>
        <v>237816.21611615486</v>
      </c>
    </row>
    <row r="221" spans="1:10" x14ac:dyDescent="0.3">
      <c r="A221" s="11">
        <v>41153</v>
      </c>
      <c r="B221">
        <v>930.56</v>
      </c>
      <c r="C221" s="18">
        <v>1590.59</v>
      </c>
      <c r="D221" s="30">
        <f t="shared" si="217"/>
        <v>41153</v>
      </c>
      <c r="E221">
        <v>412.01003579174051</v>
      </c>
      <c r="F221" s="31">
        <f t="shared" si="194"/>
        <v>2017.5141535071516</v>
      </c>
      <c r="G221" s="32">
        <f t="shared" ref="G221:G284" si="221">C221*($E$387/E221)</f>
        <v>3448.5018025994459</v>
      </c>
      <c r="H221" s="30">
        <f t="shared" si="192"/>
        <v>41153</v>
      </c>
      <c r="I221" s="31">
        <f t="shared" ref="I221:J221" si="222">SUM(F210:F221)</f>
        <v>162290.3387773768</v>
      </c>
      <c r="J221" s="31">
        <f t="shared" si="222"/>
        <v>222783.77240541298</v>
      </c>
    </row>
    <row r="222" spans="1:10" x14ac:dyDescent="0.3">
      <c r="A222" s="11">
        <v>41183</v>
      </c>
      <c r="B222" s="18">
        <v>10060.73</v>
      </c>
      <c r="C222" s="18">
        <v>12398.41</v>
      </c>
      <c r="D222" s="30">
        <f t="shared" si="217"/>
        <v>41183</v>
      </c>
      <c r="E222">
        <v>414.44089500291176</v>
      </c>
      <c r="F222" s="31">
        <f t="shared" si="194"/>
        <v>21684.374315009041</v>
      </c>
      <c r="G222" s="32">
        <f t="shared" si="221"/>
        <v>26722.888234844911</v>
      </c>
      <c r="H222" s="30">
        <f t="shared" si="192"/>
        <v>41183</v>
      </c>
      <c r="I222" s="31">
        <f t="shared" ref="I222:J222" si="223">SUM(F211:F222)</f>
        <v>158055.68940876712</v>
      </c>
      <c r="J222" s="31">
        <f t="shared" si="223"/>
        <v>217833.56878801109</v>
      </c>
    </row>
    <row r="223" spans="1:10" x14ac:dyDescent="0.3">
      <c r="A223" s="11">
        <v>41214</v>
      </c>
      <c r="B223" s="18">
        <v>-5875.28</v>
      </c>
      <c r="C223" s="18">
        <v>-5515.36</v>
      </c>
      <c r="D223" s="30">
        <f t="shared" si="217"/>
        <v>41214</v>
      </c>
      <c r="E223">
        <v>416.92754037292923</v>
      </c>
      <c r="F223" s="31">
        <f t="shared" si="194"/>
        <v>-12587.746536307501</v>
      </c>
      <c r="G223" s="32">
        <f t="shared" si="221"/>
        <v>-11816.620439619717</v>
      </c>
      <c r="H223" s="30">
        <f t="shared" si="192"/>
        <v>41214</v>
      </c>
      <c r="I223" s="31">
        <f t="shared" ref="I223:J223" si="224">SUM(F212:F223)</f>
        <v>134596.49732931849</v>
      </c>
      <c r="J223" s="31">
        <f t="shared" si="224"/>
        <v>187466.42460067503</v>
      </c>
    </row>
    <row r="224" spans="1:10" x14ac:dyDescent="0.3">
      <c r="A224" s="11">
        <v>41244</v>
      </c>
      <c r="B224" s="18">
        <v>27900.93</v>
      </c>
      <c r="C224" s="18">
        <v>22252.31</v>
      </c>
      <c r="D224" s="30">
        <f t="shared" si="217"/>
        <v>41244</v>
      </c>
      <c r="E224">
        <v>420.2212679418754</v>
      </c>
      <c r="F224" s="31">
        <f t="shared" si="194"/>
        <v>59309.007310956091</v>
      </c>
      <c r="G224" s="32">
        <f t="shared" si="221"/>
        <v>47301.735693959359</v>
      </c>
      <c r="H224" s="30">
        <f t="shared" si="192"/>
        <v>41244</v>
      </c>
      <c r="I224" s="31">
        <f t="shared" ref="I224:J224" si="225">SUM(F213:F224)</f>
        <v>188274.40900184755</v>
      </c>
      <c r="J224" s="31">
        <f t="shared" si="225"/>
        <v>230417.72427387867</v>
      </c>
    </row>
    <row r="225" spans="1:10" x14ac:dyDescent="0.3">
      <c r="A225" s="11">
        <v>41275</v>
      </c>
      <c r="B225" s="18">
        <v>26088.37</v>
      </c>
      <c r="C225" s="18">
        <v>30251.41</v>
      </c>
      <c r="D225" s="30">
        <f t="shared" si="217"/>
        <v>41275</v>
      </c>
      <c r="E225">
        <v>423.83517084617552</v>
      </c>
      <c r="F225" s="31">
        <f t="shared" si="194"/>
        <v>54983.19303224633</v>
      </c>
      <c r="G225" s="32">
        <f t="shared" si="221"/>
        <v>63757.111522399719</v>
      </c>
      <c r="H225" s="30">
        <f t="shared" si="192"/>
        <v>41275</v>
      </c>
      <c r="I225" s="31">
        <f t="shared" ref="I225:J225" si="226">SUM(F214:F225)</f>
        <v>197990.32344873727</v>
      </c>
      <c r="J225" s="31">
        <f t="shared" si="226"/>
        <v>235969.69273659692</v>
      </c>
    </row>
    <row r="226" spans="1:10" x14ac:dyDescent="0.3">
      <c r="A226" s="11">
        <v>41306</v>
      </c>
      <c r="B226" s="18">
        <v>-7143.8</v>
      </c>
      <c r="C226" s="18">
        <v>-3031.33</v>
      </c>
      <c r="D226" s="30">
        <f t="shared" si="217"/>
        <v>41306</v>
      </c>
      <c r="E226">
        <v>426.37818187125259</v>
      </c>
      <c r="F226" s="31">
        <f t="shared" si="194"/>
        <v>-14966.295588521059</v>
      </c>
      <c r="G226" s="32">
        <f t="shared" si="221"/>
        <v>-6350.6510269536575</v>
      </c>
      <c r="H226" s="30">
        <f t="shared" si="192"/>
        <v>41306</v>
      </c>
      <c r="I226" s="31">
        <f t="shared" ref="I226:J226" si="227">SUM(F215:F226)</f>
        <v>171182.71611789434</v>
      </c>
      <c r="J226" s="31">
        <f t="shared" si="227"/>
        <v>208428.29790434497</v>
      </c>
    </row>
    <row r="227" spans="1:10" x14ac:dyDescent="0.3">
      <c r="A227" s="11">
        <v>41334</v>
      </c>
      <c r="B227" s="18">
        <v>1059.3800000000001</v>
      </c>
      <c r="C227" s="18">
        <v>3500.02</v>
      </c>
      <c r="D227" s="30">
        <f t="shared" si="217"/>
        <v>41334</v>
      </c>
      <c r="E227">
        <v>428.38215932604743</v>
      </c>
      <c r="F227" s="31">
        <f t="shared" si="194"/>
        <v>2209.0238173157959</v>
      </c>
      <c r="G227" s="32">
        <f t="shared" si="221"/>
        <v>7298.2570381559308</v>
      </c>
      <c r="H227" s="30">
        <f t="shared" si="192"/>
        <v>41334</v>
      </c>
      <c r="I227" s="31">
        <f t="shared" ref="I227:J227" si="228">SUM(F216:F227)</f>
        <v>156819.96367553566</v>
      </c>
      <c r="J227" s="31">
        <f t="shared" si="228"/>
        <v>192518.43135424922</v>
      </c>
    </row>
    <row r="228" spans="1:10" x14ac:dyDescent="0.3">
      <c r="A228" s="11">
        <v>41365</v>
      </c>
      <c r="B228" s="18">
        <v>7064.55</v>
      </c>
      <c r="C228" s="18">
        <v>10328.34</v>
      </c>
      <c r="D228" s="30">
        <f t="shared" si="217"/>
        <v>41365</v>
      </c>
      <c r="E228">
        <v>430.73826120234071</v>
      </c>
      <c r="F228" s="31">
        <f t="shared" si="194"/>
        <v>14650.453118787316</v>
      </c>
      <c r="G228" s="32">
        <f t="shared" si="221"/>
        <v>21418.895890735545</v>
      </c>
      <c r="H228" s="30">
        <f t="shared" si="192"/>
        <v>41365</v>
      </c>
      <c r="I228" s="31">
        <f t="shared" ref="I228:J228" si="229">SUM(F217:F228)</f>
        <v>146119.37897924805</v>
      </c>
      <c r="J228" s="31">
        <f t="shared" si="229"/>
        <v>182489.55550255941</v>
      </c>
    </row>
    <row r="229" spans="1:10" x14ac:dyDescent="0.3">
      <c r="A229" s="11">
        <v>41395</v>
      </c>
      <c r="B229" s="18">
        <v>5235.57</v>
      </c>
      <c r="C229" s="18">
        <v>5680.96</v>
      </c>
      <c r="D229" s="30">
        <f t="shared" si="217"/>
        <v>41395</v>
      </c>
      <c r="E229">
        <v>432.33199276878941</v>
      </c>
      <c r="F229" s="31">
        <f t="shared" si="194"/>
        <v>10817.492435504582</v>
      </c>
      <c r="G229" s="32">
        <f t="shared" si="221"/>
        <v>11737.736641168796</v>
      </c>
      <c r="H229" s="30">
        <f t="shared" si="192"/>
        <v>41395</v>
      </c>
      <c r="I229" s="31">
        <f t="shared" ref="I229:J229" si="230">SUM(F218:F229)</f>
        <v>153508.5470771711</v>
      </c>
      <c r="J229" s="31">
        <f t="shared" si="230"/>
        <v>188389.3153786734</v>
      </c>
    </row>
    <row r="230" spans="1:10" x14ac:dyDescent="0.3">
      <c r="A230" s="11">
        <v>41426</v>
      </c>
      <c r="B230" s="18">
        <v>1424.33</v>
      </c>
      <c r="C230" s="18">
        <v>5428.56</v>
      </c>
      <c r="D230" s="30">
        <f t="shared" si="217"/>
        <v>41426</v>
      </c>
      <c r="E230">
        <v>433.45605594998824</v>
      </c>
      <c r="F230" s="31">
        <f t="shared" si="194"/>
        <v>2935.2530710252113</v>
      </c>
      <c r="G230" s="32">
        <f t="shared" si="221"/>
        <v>11187.152844667053</v>
      </c>
      <c r="H230" s="30">
        <f t="shared" si="192"/>
        <v>41426</v>
      </c>
      <c r="I230" s="31">
        <f t="shared" ref="I230:J230" si="231">SUM(F219:F230)</f>
        <v>152004.53632907922</v>
      </c>
      <c r="J230" s="31">
        <f t="shared" si="231"/>
        <v>193432.60291149665</v>
      </c>
    </row>
    <row r="231" spans="1:10" x14ac:dyDescent="0.3">
      <c r="A231" s="11">
        <v>41456</v>
      </c>
      <c r="B231" s="18">
        <v>3767.59</v>
      </c>
      <c r="C231" s="18">
        <v>2286.79</v>
      </c>
      <c r="D231" s="30">
        <f t="shared" si="217"/>
        <v>41456</v>
      </c>
      <c r="E231">
        <v>433.58609276677322</v>
      </c>
      <c r="F231" s="31">
        <f t="shared" si="194"/>
        <v>7761.9045191948017</v>
      </c>
      <c r="G231" s="32">
        <f t="shared" si="221"/>
        <v>4711.1935309971304</v>
      </c>
      <c r="H231" s="30">
        <f t="shared" si="192"/>
        <v>41456</v>
      </c>
      <c r="I231" s="31">
        <f t="shared" ref="I231:J231" si="232">SUM(F220:F231)</f>
        <v>151370.91529644834</v>
      </c>
      <c r="J231" s="31">
        <f t="shared" si="232"/>
        <v>185950.07767339906</v>
      </c>
    </row>
    <row r="232" spans="1:10" x14ac:dyDescent="0.3">
      <c r="A232" s="11">
        <v>41487</v>
      </c>
      <c r="B232">
        <v>-54.57</v>
      </c>
      <c r="C232">
        <v>-431.87</v>
      </c>
      <c r="D232" s="30">
        <f t="shared" si="217"/>
        <v>41487</v>
      </c>
      <c r="E232">
        <v>434.62669938941343</v>
      </c>
      <c r="F232" s="31">
        <f t="shared" si="194"/>
        <v>-112.15472023407119</v>
      </c>
      <c r="G232" s="32">
        <f t="shared" si="221"/>
        <v>-887.59866277237177</v>
      </c>
      <c r="H232" s="30">
        <f t="shared" si="192"/>
        <v>41487</v>
      </c>
      <c r="I232" s="31">
        <f t="shared" ref="I232:J232" si="233">SUM(F221:F232)</f>
        <v>148702.01892848371</v>
      </c>
      <c r="J232" s="31">
        <f t="shared" si="233"/>
        <v>178528.60307018217</v>
      </c>
    </row>
    <row r="233" spans="1:10" x14ac:dyDescent="0.3">
      <c r="A233" s="11">
        <v>41518</v>
      </c>
      <c r="B233" s="18">
        <v>-10760.03</v>
      </c>
      <c r="C233" s="18">
        <v>-9047.8700000000008</v>
      </c>
      <c r="D233" s="30">
        <f t="shared" si="217"/>
        <v>41518</v>
      </c>
      <c r="E233">
        <v>436.1478928372764</v>
      </c>
      <c r="F233" s="31">
        <f t="shared" si="194"/>
        <v>-22037.367187360509</v>
      </c>
      <c r="G233" s="32">
        <f t="shared" si="221"/>
        <v>-18530.73211259667</v>
      </c>
      <c r="H233" s="30">
        <f t="shared" si="192"/>
        <v>41518</v>
      </c>
      <c r="I233" s="31">
        <f t="shared" ref="I233:J233" si="234">SUM(F222:F233)</f>
        <v>124647.13758761605</v>
      </c>
      <c r="J233" s="31">
        <f t="shared" si="234"/>
        <v>156549.36915498605</v>
      </c>
    </row>
    <row r="234" spans="1:10" x14ac:dyDescent="0.3">
      <c r="A234" s="11">
        <v>41548</v>
      </c>
      <c r="B234" s="18">
        <v>5256.93</v>
      </c>
      <c r="C234" s="18">
        <v>6188.41</v>
      </c>
      <c r="D234" s="30">
        <f t="shared" si="217"/>
        <v>41548</v>
      </c>
      <c r="E234">
        <v>438.63393582644892</v>
      </c>
      <c r="F234" s="31">
        <f t="shared" si="194"/>
        <v>10705.574294400083</v>
      </c>
      <c r="G234" s="32">
        <f t="shared" si="221"/>
        <v>12602.504317007915</v>
      </c>
      <c r="H234" s="30">
        <f t="shared" si="192"/>
        <v>41548</v>
      </c>
      <c r="I234" s="31">
        <f t="shared" ref="I234:J234" si="235">SUM(F223:F234)</f>
        <v>113668.33756700708</v>
      </c>
      <c r="J234" s="31">
        <f t="shared" si="235"/>
        <v>142428.98523714906</v>
      </c>
    </row>
    <row r="235" spans="1:10" x14ac:dyDescent="0.3">
      <c r="A235" s="11">
        <v>41579</v>
      </c>
      <c r="B235" s="18">
        <v>28608</v>
      </c>
      <c r="C235" s="18">
        <v>29745.360000000001</v>
      </c>
      <c r="D235" s="30">
        <f t="shared" si="217"/>
        <v>41579</v>
      </c>
      <c r="E235">
        <v>441.00255907991175</v>
      </c>
      <c r="F235" s="31">
        <f t="shared" si="194"/>
        <v>57946.39090915845</v>
      </c>
      <c r="G235" s="32">
        <f t="shared" si="221"/>
        <v>60250.148849749916</v>
      </c>
      <c r="H235" s="30">
        <f t="shared" si="192"/>
        <v>41579</v>
      </c>
      <c r="I235" s="31">
        <f t="shared" ref="I235:J235" si="236">SUM(F224:F235)</f>
        <v>184202.47501247303</v>
      </c>
      <c r="J235" s="31">
        <f t="shared" si="236"/>
        <v>214495.75452651866</v>
      </c>
    </row>
    <row r="236" spans="1:10" x14ac:dyDescent="0.3">
      <c r="A236" s="11">
        <v>41609</v>
      </c>
      <c r="B236" s="18">
        <v>14744.37</v>
      </c>
      <c r="C236" s="18">
        <v>10407.34</v>
      </c>
      <c r="D236" s="30">
        <f t="shared" si="217"/>
        <v>41609</v>
      </c>
      <c r="E236">
        <v>445.05978262344701</v>
      </c>
      <c r="F236" s="31">
        <f t="shared" si="194"/>
        <v>29592.9236444616</v>
      </c>
      <c r="G236" s="32">
        <f t="shared" si="221"/>
        <v>20888.21821223633</v>
      </c>
      <c r="H236" s="30">
        <f t="shared" si="192"/>
        <v>41609</v>
      </c>
      <c r="I236" s="31">
        <f t="shared" ref="I236:J236" si="237">SUM(F225:F236)</f>
        <v>154486.39134597854</v>
      </c>
      <c r="J236" s="31">
        <f t="shared" si="237"/>
        <v>188082.23704479562</v>
      </c>
    </row>
    <row r="237" spans="1:10" x14ac:dyDescent="0.3">
      <c r="A237" s="11">
        <v>41640</v>
      </c>
      <c r="B237" s="18">
        <v>12549.08</v>
      </c>
      <c r="C237" s="18">
        <v>19921.3</v>
      </c>
      <c r="D237" s="30">
        <f t="shared" si="217"/>
        <v>41640</v>
      </c>
      <c r="E237">
        <v>447.50761142787599</v>
      </c>
      <c r="F237" s="31">
        <f t="shared" si="194"/>
        <v>25049.061895905787</v>
      </c>
      <c r="G237" s="32">
        <f t="shared" si="221"/>
        <v>39764.658185851709</v>
      </c>
      <c r="H237" s="30">
        <f t="shared" si="192"/>
        <v>41640</v>
      </c>
      <c r="I237" s="31">
        <f t="shared" ref="I237:J237" si="238">SUM(F226:F237)</f>
        <v>124552.26020963799</v>
      </c>
      <c r="J237" s="31">
        <f t="shared" si="238"/>
        <v>164089.78370824762</v>
      </c>
    </row>
    <row r="238" spans="1:10" x14ac:dyDescent="0.3">
      <c r="A238" s="11">
        <v>41671</v>
      </c>
      <c r="B238" s="18">
        <v>-3389.48</v>
      </c>
      <c r="C238" s="18">
        <v>2130.2199999999998</v>
      </c>
      <c r="D238" s="30">
        <f t="shared" si="217"/>
        <v>41671</v>
      </c>
      <c r="E238">
        <v>450.59541394672829</v>
      </c>
      <c r="F238" s="31">
        <f t="shared" si="194"/>
        <v>-6719.3352922796121</v>
      </c>
      <c r="G238" s="32">
        <f t="shared" si="221"/>
        <v>4222.967070559459</v>
      </c>
      <c r="H238" s="30">
        <f t="shared" si="192"/>
        <v>41671</v>
      </c>
      <c r="I238" s="31">
        <f t="shared" ref="I238:J238" si="239">SUM(F227:F238)</f>
        <v>132799.22050587944</v>
      </c>
      <c r="J238" s="31">
        <f t="shared" si="239"/>
        <v>174663.40180576075</v>
      </c>
    </row>
    <row r="239" spans="1:10" x14ac:dyDescent="0.3">
      <c r="A239" s="11">
        <v>41699</v>
      </c>
      <c r="B239" s="18">
        <v>3161.53</v>
      </c>
      <c r="C239" s="18">
        <v>3579.57</v>
      </c>
      <c r="D239" s="30">
        <f t="shared" si="217"/>
        <v>41699</v>
      </c>
      <c r="E239">
        <v>454.74089175503821</v>
      </c>
      <c r="F239" s="31">
        <f t="shared" si="194"/>
        <v>6210.3103302411646</v>
      </c>
      <c r="G239" s="32">
        <f t="shared" si="221"/>
        <v>7031.4817663667163</v>
      </c>
      <c r="H239" s="30">
        <f t="shared" si="192"/>
        <v>41699</v>
      </c>
      <c r="I239" s="31">
        <f t="shared" ref="I239:J239" si="240">SUM(F228:F239)</f>
        <v>136800.50701880478</v>
      </c>
      <c r="J239" s="31">
        <f t="shared" si="240"/>
        <v>174396.62653397152</v>
      </c>
    </row>
    <row r="240" spans="1:10" x14ac:dyDescent="0.3">
      <c r="A240" s="11">
        <v>41730</v>
      </c>
      <c r="B240" s="18">
        <v>16854.34</v>
      </c>
      <c r="C240" s="18">
        <v>16895.8</v>
      </c>
      <c r="D240" s="30">
        <f t="shared" si="217"/>
        <v>41730</v>
      </c>
      <c r="E240">
        <v>457.78765572979694</v>
      </c>
      <c r="F240" s="31">
        <f t="shared" si="194"/>
        <v>32887.258902688925</v>
      </c>
      <c r="G240" s="32">
        <f t="shared" si="221"/>
        <v>32968.158288491366</v>
      </c>
      <c r="H240" s="30">
        <f t="shared" si="192"/>
        <v>41730</v>
      </c>
      <c r="I240" s="31">
        <f t="shared" ref="I240:J240" si="241">SUM(F229:F240)</f>
        <v>155037.31280270641</v>
      </c>
      <c r="J240" s="31">
        <f t="shared" si="241"/>
        <v>185945.88893172733</v>
      </c>
    </row>
    <row r="241" spans="1:10" x14ac:dyDescent="0.3">
      <c r="A241" s="11">
        <v>41760</v>
      </c>
      <c r="B241" s="18">
        <v>-11073.37</v>
      </c>
      <c r="C241" s="18">
        <v>-11046.36</v>
      </c>
      <c r="D241" s="30">
        <f t="shared" si="217"/>
        <v>41760</v>
      </c>
      <c r="E241">
        <v>459.89347894615395</v>
      </c>
      <c r="F241" s="31">
        <f t="shared" si="194"/>
        <v>-21508.12561693192</v>
      </c>
      <c r="G241" s="32">
        <f t="shared" si="221"/>
        <v>-21455.663315671027</v>
      </c>
      <c r="H241" s="30">
        <f t="shared" si="192"/>
        <v>41760</v>
      </c>
      <c r="I241" s="31">
        <f t="shared" ref="I241:J241" si="242">SUM(F230:F241)</f>
        <v>122711.69475026989</v>
      </c>
      <c r="J241" s="31">
        <f t="shared" si="242"/>
        <v>152752.4889748875</v>
      </c>
    </row>
    <row r="242" spans="1:10" x14ac:dyDescent="0.3">
      <c r="A242" s="11">
        <v>41791</v>
      </c>
      <c r="B242" s="18">
        <v>-2732.22</v>
      </c>
      <c r="C242" s="18">
        <v>-2100.48</v>
      </c>
      <c r="D242" s="30">
        <f t="shared" si="217"/>
        <v>41791</v>
      </c>
      <c r="E242">
        <v>461.73305286193857</v>
      </c>
      <c r="F242" s="31">
        <f t="shared" si="194"/>
        <v>-5285.7267247572527</v>
      </c>
      <c r="G242" s="32">
        <f t="shared" si="221"/>
        <v>-4063.5685526122033</v>
      </c>
      <c r="H242" s="30">
        <f t="shared" si="192"/>
        <v>41791</v>
      </c>
      <c r="I242" s="31">
        <f t="shared" ref="I242:J242" si="243">SUM(F231:F242)</f>
        <v>114490.71495448746</v>
      </c>
      <c r="J242" s="31">
        <f t="shared" si="243"/>
        <v>137501.76757760829</v>
      </c>
    </row>
    <row r="243" spans="1:10" x14ac:dyDescent="0.3">
      <c r="A243" s="11">
        <v>41821</v>
      </c>
      <c r="B243" s="18">
        <v>-1894.96</v>
      </c>
      <c r="C243" s="18">
        <v>-4715.1400000000003</v>
      </c>
      <c r="D243" s="30">
        <f t="shared" si="217"/>
        <v>41821</v>
      </c>
      <c r="E243">
        <v>461.77922616722475</v>
      </c>
      <c r="F243" s="31">
        <f t="shared" si="194"/>
        <v>-3665.604962421387</v>
      </c>
      <c r="G243" s="32">
        <f t="shared" si="221"/>
        <v>-9120.9527285597469</v>
      </c>
      <c r="H243" s="30">
        <f t="shared" si="192"/>
        <v>41821</v>
      </c>
      <c r="I243" s="31">
        <f t="shared" ref="I243:J243" si="244">SUM(F232:F243)</f>
        <v>103063.20547287124</v>
      </c>
      <c r="J243" s="31">
        <f t="shared" si="244"/>
        <v>123669.6213180514</v>
      </c>
    </row>
    <row r="244" spans="1:10" x14ac:dyDescent="0.3">
      <c r="A244" s="11">
        <v>41852</v>
      </c>
      <c r="B244" s="18">
        <v>-11950.77</v>
      </c>
      <c r="C244" s="18">
        <v>-14460.02</v>
      </c>
      <c r="D244" s="30">
        <f t="shared" si="217"/>
        <v>41852</v>
      </c>
      <c r="E244">
        <v>462.93367423264277</v>
      </c>
      <c r="F244" s="31">
        <f t="shared" si="194"/>
        <v>-23059.884072461562</v>
      </c>
      <c r="G244" s="32">
        <f t="shared" si="221"/>
        <v>-27901.665322441622</v>
      </c>
      <c r="H244" s="30">
        <f t="shared" si="192"/>
        <v>41852</v>
      </c>
      <c r="I244" s="31">
        <f t="shared" ref="I244:J244" si="245">SUM(F233:F244)</f>
        <v>80115.476120643754</v>
      </c>
      <c r="J244" s="31">
        <f t="shared" si="245"/>
        <v>96655.554658382112</v>
      </c>
    </row>
    <row r="245" spans="1:10" x14ac:dyDescent="0.3">
      <c r="A245" s="11">
        <v>41883</v>
      </c>
      <c r="B245" s="18">
        <v>-20994.74</v>
      </c>
      <c r="C245" s="18">
        <v>-25490.99</v>
      </c>
      <c r="D245" s="30">
        <f t="shared" si="217"/>
        <v>41883</v>
      </c>
      <c r="E245">
        <v>465.57239617576886</v>
      </c>
      <c r="F245" s="31">
        <f t="shared" si="194"/>
        <v>-40281.281810827364</v>
      </c>
      <c r="G245" s="32">
        <f t="shared" si="221"/>
        <v>-48907.952745639253</v>
      </c>
      <c r="H245" s="30">
        <f t="shared" si="192"/>
        <v>41883</v>
      </c>
      <c r="I245" s="31">
        <f t="shared" ref="I245:J245" si="246">SUM(F234:F245)</f>
        <v>61871.561497176896</v>
      </c>
      <c r="J245" s="31">
        <f t="shared" si="246"/>
        <v>66278.334025339529</v>
      </c>
    </row>
    <row r="246" spans="1:10" x14ac:dyDescent="0.3">
      <c r="A246" s="11">
        <v>41913</v>
      </c>
      <c r="B246" s="18">
        <v>4903.1099999999997</v>
      </c>
      <c r="C246" s="18">
        <v>3728.64</v>
      </c>
      <c r="D246" s="30">
        <f t="shared" si="217"/>
        <v>41913</v>
      </c>
      <c r="E246">
        <v>467.52780023970706</v>
      </c>
      <c r="F246" s="31">
        <f t="shared" si="194"/>
        <v>9367.942166323297</v>
      </c>
      <c r="G246" s="32">
        <f t="shared" si="221"/>
        <v>7123.9853641953159</v>
      </c>
      <c r="H246" s="30">
        <f t="shared" si="192"/>
        <v>41913</v>
      </c>
      <c r="I246" s="31">
        <f t="shared" ref="I246:J246" si="247">SUM(F235:F246)</f>
        <v>60533.929369100108</v>
      </c>
      <c r="J246" s="31">
        <f t="shared" si="247"/>
        <v>60799.81507252693</v>
      </c>
    </row>
    <row r="247" spans="1:10" x14ac:dyDescent="0.3">
      <c r="A247" s="11">
        <v>41944</v>
      </c>
      <c r="B247" s="18">
        <v>-6658.88</v>
      </c>
      <c r="C247" s="18">
        <v>-8084.22</v>
      </c>
      <c r="D247" s="30">
        <f t="shared" si="217"/>
        <v>41944</v>
      </c>
      <c r="E247">
        <v>469.91219202092964</v>
      </c>
      <c r="F247" s="31">
        <f t="shared" si="194"/>
        <v>-12657.982176545031</v>
      </c>
      <c r="G247" s="32">
        <f t="shared" si="221"/>
        <v>-15367.436066015436</v>
      </c>
      <c r="H247" s="30">
        <f t="shared" si="192"/>
        <v>41944</v>
      </c>
      <c r="I247" s="31">
        <f t="shared" ref="I247:J247" si="248">SUM(F236:F247)</f>
        <v>-10070.443716603355</v>
      </c>
      <c r="J247" s="31">
        <f t="shared" si="248"/>
        <v>-14817.769843238386</v>
      </c>
    </row>
    <row r="248" spans="1:10" x14ac:dyDescent="0.3">
      <c r="A248" s="11">
        <v>41974</v>
      </c>
      <c r="B248">
        <v>754.65</v>
      </c>
      <c r="C248" s="18">
        <v>-12894.24</v>
      </c>
      <c r="D248" s="30">
        <f t="shared" si="217"/>
        <v>41974</v>
      </c>
      <c r="E248">
        <v>473.57750711869289</v>
      </c>
      <c r="F248" s="31">
        <f t="shared" si="194"/>
        <v>1423.4247524401376</v>
      </c>
      <c r="G248" s="32">
        <f t="shared" si="221"/>
        <v>-24321.182508320042</v>
      </c>
      <c r="H248" s="30">
        <f t="shared" si="192"/>
        <v>41974</v>
      </c>
      <c r="I248" s="31">
        <f t="shared" ref="I248:J248" si="249">SUM(F237:F248)</f>
        <v>-38239.94260862482</v>
      </c>
      <c r="J248" s="31">
        <f t="shared" si="249"/>
        <v>-60027.170563794774</v>
      </c>
    </row>
    <row r="249" spans="1:10" x14ac:dyDescent="0.3">
      <c r="A249" s="11">
        <v>42005</v>
      </c>
      <c r="B249" s="18">
        <v>10075.09</v>
      </c>
      <c r="C249" s="18">
        <v>21062.81</v>
      </c>
      <c r="D249" s="30">
        <f t="shared" si="217"/>
        <v>42005</v>
      </c>
      <c r="E249">
        <v>479.44986820696465</v>
      </c>
      <c r="F249" s="31">
        <f t="shared" si="194"/>
        <v>18770.927622717954</v>
      </c>
      <c r="G249" s="32">
        <f t="shared" si="221"/>
        <v>39242.178684365099</v>
      </c>
      <c r="H249" s="30">
        <f t="shared" si="192"/>
        <v>42005</v>
      </c>
      <c r="I249" s="31">
        <f t="shared" ref="I249:J249" si="250">SUM(F238:F249)</f>
        <v>-44518.076881812653</v>
      </c>
      <c r="J249" s="31">
        <f t="shared" si="250"/>
        <v>-60549.650065281377</v>
      </c>
    </row>
    <row r="250" spans="1:10" x14ac:dyDescent="0.3">
      <c r="A250" s="11">
        <v>42036</v>
      </c>
      <c r="B250" s="18">
        <v>-6671.41</v>
      </c>
      <c r="C250" s="18">
        <v>-2299.65</v>
      </c>
      <c r="D250" s="30">
        <f t="shared" si="217"/>
        <v>42036</v>
      </c>
      <c r="E250">
        <v>485.2991565990896</v>
      </c>
      <c r="F250" s="31">
        <f t="shared" si="194"/>
        <v>-12279.709685213485</v>
      </c>
      <c r="G250" s="32">
        <f t="shared" si="221"/>
        <v>-4232.8434884981125</v>
      </c>
      <c r="H250" s="30">
        <f t="shared" si="192"/>
        <v>42036</v>
      </c>
      <c r="I250" s="31">
        <f t="shared" ref="I250:J250" si="251">SUM(F239:F250)</f>
        <v>-50078.45127474652</v>
      </c>
      <c r="J250" s="31">
        <f t="shared" si="251"/>
        <v>-69005.460624338957</v>
      </c>
    </row>
    <row r="251" spans="1:10" x14ac:dyDescent="0.3">
      <c r="A251" s="11">
        <v>42064</v>
      </c>
      <c r="B251" s="18">
        <v>1482.66</v>
      </c>
      <c r="C251">
        <v>239.36</v>
      </c>
      <c r="D251" s="30">
        <f t="shared" si="217"/>
        <v>42064</v>
      </c>
      <c r="E251">
        <v>491.70510546619761</v>
      </c>
      <c r="F251" s="31">
        <f t="shared" si="194"/>
        <v>2693.4992427599509</v>
      </c>
      <c r="G251" s="32">
        <f t="shared" si="221"/>
        <v>434.83737252439659</v>
      </c>
      <c r="H251" s="30">
        <f t="shared" si="192"/>
        <v>42064</v>
      </c>
      <c r="I251" s="31">
        <f t="shared" ref="I251:J251" si="252">SUM(F240:F251)</f>
        <v>-53595.262362227746</v>
      </c>
      <c r="J251" s="31">
        <f t="shared" si="252"/>
        <v>-75602.105018181275</v>
      </c>
    </row>
    <row r="252" spans="1:10" x14ac:dyDescent="0.3">
      <c r="A252" s="11">
        <v>42095</v>
      </c>
      <c r="B252" s="18">
        <v>10637.65</v>
      </c>
      <c r="C252" s="18">
        <v>13445.01</v>
      </c>
      <c r="D252" s="30">
        <f t="shared" si="217"/>
        <v>42095</v>
      </c>
      <c r="E252">
        <v>495.19621171500768</v>
      </c>
      <c r="F252" s="31">
        <f t="shared" si="194"/>
        <v>19188.82524912919</v>
      </c>
      <c r="G252" s="32">
        <f t="shared" si="221"/>
        <v>24252.908054203177</v>
      </c>
      <c r="H252" s="30">
        <f t="shared" si="192"/>
        <v>42095</v>
      </c>
      <c r="I252" s="31">
        <f t="shared" ref="I252:J252" si="253">SUM(F241:F252)</f>
        <v>-67293.696015787471</v>
      </c>
      <c r="J252" s="31">
        <f t="shared" si="253"/>
        <v>-84317.355252469468</v>
      </c>
    </row>
    <row r="253" spans="1:10" x14ac:dyDescent="0.3">
      <c r="A253" s="11">
        <v>42125</v>
      </c>
      <c r="B253" s="18">
        <v>-8868.7000000000007</v>
      </c>
      <c r="C253" s="18">
        <v>-6900.41</v>
      </c>
      <c r="D253" s="30">
        <f t="shared" si="217"/>
        <v>42125</v>
      </c>
      <c r="E253">
        <v>498.86066368169878</v>
      </c>
      <c r="F253" s="31">
        <f t="shared" si="194"/>
        <v>-15880.373350366868</v>
      </c>
      <c r="G253" s="32">
        <f t="shared" si="221"/>
        <v>-12355.935714434474</v>
      </c>
      <c r="H253" s="30">
        <f t="shared" si="192"/>
        <v>42125</v>
      </c>
      <c r="I253" s="31">
        <f t="shared" ref="I253:J253" si="254">SUM(F242:F253)</f>
        <v>-61665.943749222417</v>
      </c>
      <c r="J253" s="31">
        <f t="shared" si="254"/>
        <v>-75217.627651232906</v>
      </c>
    </row>
    <row r="254" spans="1:10" x14ac:dyDescent="0.3">
      <c r="A254" s="11">
        <v>42156</v>
      </c>
      <c r="B254" s="18">
        <v>-8566.16</v>
      </c>
      <c r="C254" s="18">
        <v>-9323.15</v>
      </c>
      <c r="D254" s="30">
        <f t="shared" si="217"/>
        <v>42156</v>
      </c>
      <c r="E254">
        <v>502.80166292478424</v>
      </c>
      <c r="F254" s="31">
        <f t="shared" si="194"/>
        <v>-15218.417032418381</v>
      </c>
      <c r="G254" s="32">
        <f t="shared" si="221"/>
        <v>-16563.265775539032</v>
      </c>
      <c r="H254" s="30">
        <f t="shared" si="192"/>
        <v>42156</v>
      </c>
      <c r="I254" s="31">
        <f t="shared" ref="I254:J254" si="255">SUM(F243:F254)</f>
        <v>-71598.634056883559</v>
      </c>
      <c r="J254" s="31">
        <f t="shared" si="255"/>
        <v>-87717.324874159734</v>
      </c>
    </row>
    <row r="255" spans="1:10" x14ac:dyDescent="0.3">
      <c r="A255" s="11">
        <v>42186</v>
      </c>
      <c r="B255" s="18">
        <v>-6039.9</v>
      </c>
      <c r="C255" s="18">
        <v>-10018.65</v>
      </c>
      <c r="D255" s="30">
        <f t="shared" si="217"/>
        <v>42186</v>
      </c>
      <c r="E255">
        <v>505.91903323491789</v>
      </c>
      <c r="F255" s="31">
        <f t="shared" si="194"/>
        <v>-10664.21112073009</v>
      </c>
      <c r="G255" s="32">
        <f t="shared" si="221"/>
        <v>-17689.199944486252</v>
      </c>
      <c r="H255" s="30">
        <f t="shared" si="192"/>
        <v>42186</v>
      </c>
      <c r="I255" s="31">
        <f t="shared" ref="I255:J255" si="256">SUM(F244:F255)</f>
        <v>-78597.240215192258</v>
      </c>
      <c r="J255" s="31">
        <f t="shared" si="256"/>
        <v>-96285.572090086236</v>
      </c>
    </row>
    <row r="256" spans="1:10" x14ac:dyDescent="0.3">
      <c r="A256" s="11">
        <v>42217</v>
      </c>
      <c r="B256" s="18">
        <v>-6933.74</v>
      </c>
      <c r="C256" s="18">
        <v>-7309.98</v>
      </c>
      <c r="D256" s="30">
        <f t="shared" si="217"/>
        <v>42217</v>
      </c>
      <c r="E256">
        <v>507.03205510803468</v>
      </c>
      <c r="F256" s="31">
        <f t="shared" si="194"/>
        <v>-12215.525092507714</v>
      </c>
      <c r="G256" s="32">
        <f t="shared" si="221"/>
        <v>-12878.366381740523</v>
      </c>
      <c r="H256" s="30">
        <f t="shared" si="192"/>
        <v>42217</v>
      </c>
      <c r="I256" s="31">
        <f t="shared" ref="I256:J256" si="257">SUM(F245:F256)</f>
        <v>-67752.881235238412</v>
      </c>
      <c r="J256" s="31">
        <f t="shared" si="257"/>
        <v>-81262.273149385132</v>
      </c>
    </row>
    <row r="257" spans="1:10" x14ac:dyDescent="0.3">
      <c r="A257" s="11">
        <v>42248</v>
      </c>
      <c r="B257" s="18">
        <v>-6840.14</v>
      </c>
      <c r="C257" s="18">
        <v>-7318.33</v>
      </c>
      <c r="D257" s="30">
        <f t="shared" si="217"/>
        <v>42248</v>
      </c>
      <c r="E257">
        <v>509.77002820561813</v>
      </c>
      <c r="F257" s="31">
        <f t="shared" si="194"/>
        <v>-11985.901308706192</v>
      </c>
      <c r="G257" s="32">
        <f t="shared" si="221"/>
        <v>-12823.828331663355</v>
      </c>
      <c r="H257" s="30">
        <f t="shared" si="192"/>
        <v>42248</v>
      </c>
      <c r="I257" s="31">
        <f t="shared" ref="I257:J257" si="258">SUM(F246:F257)</f>
        <v>-39457.500733117231</v>
      </c>
      <c r="J257" s="31">
        <f t="shared" si="258"/>
        <v>-45178.148735409239</v>
      </c>
    </row>
    <row r="258" spans="1:10" x14ac:dyDescent="0.3">
      <c r="A258" s="11">
        <v>42278</v>
      </c>
      <c r="B258" s="18">
        <v>-12316.38</v>
      </c>
      <c r="C258" s="18">
        <v>-11530.19</v>
      </c>
      <c r="D258" s="30">
        <f t="shared" si="217"/>
        <v>42278</v>
      </c>
      <c r="E258">
        <v>513.95014243690423</v>
      </c>
      <c r="F258" s="31">
        <f t="shared" si="194"/>
        <v>-21406.323947825225</v>
      </c>
      <c r="G258" s="32">
        <f t="shared" si="221"/>
        <v>-20039.896651449122</v>
      </c>
      <c r="H258" s="30">
        <f t="shared" si="192"/>
        <v>42278</v>
      </c>
      <c r="I258" s="31">
        <f t="shared" ref="I258:J258" si="259">SUM(F247:F258)</f>
        <v>-70231.766847265753</v>
      </c>
      <c r="J258" s="31">
        <f t="shared" si="259"/>
        <v>-72342.03075105368</v>
      </c>
    </row>
    <row r="259" spans="1:10" x14ac:dyDescent="0.3">
      <c r="A259" s="11">
        <v>42309</v>
      </c>
      <c r="B259" s="18">
        <v>-21670.57</v>
      </c>
      <c r="C259" s="18">
        <v>-19566.96</v>
      </c>
      <c r="D259" s="30">
        <f t="shared" si="217"/>
        <v>42309</v>
      </c>
      <c r="E259">
        <v>519.14103887551698</v>
      </c>
      <c r="F259" s="31">
        <f t="shared" si="194"/>
        <v>-37287.646888721443</v>
      </c>
      <c r="G259" s="32">
        <f t="shared" si="221"/>
        <v>-33668.052809212539</v>
      </c>
      <c r="H259" s="30">
        <f t="shared" ref="H259:H322" si="260">D259</f>
        <v>42309</v>
      </c>
      <c r="I259" s="31">
        <f t="shared" ref="I259:J259" si="261">SUM(F248:F259)</f>
        <v>-94861.431559442164</v>
      </c>
      <c r="J259" s="31">
        <f t="shared" si="261"/>
        <v>-90642.647494250792</v>
      </c>
    </row>
    <row r="260" spans="1:10" x14ac:dyDescent="0.3">
      <c r="A260" s="11">
        <v>42339</v>
      </c>
      <c r="B260" s="18">
        <v>-60943.99</v>
      </c>
      <c r="C260" s="18">
        <v>-71728.73</v>
      </c>
      <c r="D260" s="30">
        <f t="shared" si="217"/>
        <v>42339</v>
      </c>
      <c r="E260">
        <v>524.124792848722</v>
      </c>
      <c r="F260" s="31">
        <f t="shared" ref="F260:F323" si="262">B260*($E$387/E260)</f>
        <v>-103866.66436691811</v>
      </c>
      <c r="G260" s="32">
        <f t="shared" si="221"/>
        <v>-122247.06528691819</v>
      </c>
      <c r="H260" s="30">
        <f t="shared" si="260"/>
        <v>42339</v>
      </c>
      <c r="I260" s="31">
        <f t="shared" ref="I260:J260" si="263">SUM(F249:F260)</f>
        <v>-200151.52067880041</v>
      </c>
      <c r="J260" s="31">
        <f t="shared" si="263"/>
        <v>-188568.53027284893</v>
      </c>
    </row>
    <row r="261" spans="1:10" x14ac:dyDescent="0.3">
      <c r="A261" s="11">
        <v>42370</v>
      </c>
      <c r="B261" s="18">
        <v>20898.52</v>
      </c>
      <c r="C261" s="18">
        <v>27912.84</v>
      </c>
      <c r="D261" s="30">
        <f t="shared" si="217"/>
        <v>42370</v>
      </c>
      <c r="E261">
        <v>530.78117771790073</v>
      </c>
      <c r="F261" s="31">
        <f t="shared" si="262"/>
        <v>35170.619797937943</v>
      </c>
      <c r="G261" s="32">
        <f t="shared" si="221"/>
        <v>46975.186908961696</v>
      </c>
      <c r="H261" s="30">
        <f t="shared" si="260"/>
        <v>42370</v>
      </c>
      <c r="I261" s="31">
        <f t="shared" ref="I261:J261" si="264">SUM(F250:F261)</f>
        <v>-183751.82850358041</v>
      </c>
      <c r="J261" s="31">
        <f t="shared" si="264"/>
        <v>-180835.52204825234</v>
      </c>
    </row>
    <row r="262" spans="1:10" x14ac:dyDescent="0.3">
      <c r="A262" s="11">
        <v>42401</v>
      </c>
      <c r="B262" s="18">
        <v>-26432.76</v>
      </c>
      <c r="C262" s="18">
        <v>-23039.96</v>
      </c>
      <c r="D262" s="30">
        <f t="shared" si="217"/>
        <v>42401</v>
      </c>
      <c r="E262">
        <v>535.55820831736173</v>
      </c>
      <c r="F262" s="31">
        <f t="shared" si="262"/>
        <v>-44087.53699815974</v>
      </c>
      <c r="G262" s="32">
        <f t="shared" si="221"/>
        <v>-38428.642674322335</v>
      </c>
      <c r="H262" s="30">
        <f t="shared" si="260"/>
        <v>42401</v>
      </c>
      <c r="I262" s="31">
        <f t="shared" ref="I262:J262" si="265">SUM(F251:F262)</f>
        <v>-215559.65581652668</v>
      </c>
      <c r="J262" s="31">
        <f t="shared" si="265"/>
        <v>-215031.32123407655</v>
      </c>
    </row>
    <row r="263" spans="1:10" x14ac:dyDescent="0.3">
      <c r="A263" s="11">
        <v>42430</v>
      </c>
      <c r="B263" s="18">
        <v>-8944.4</v>
      </c>
      <c r="C263" s="18">
        <v>-10643.53</v>
      </c>
      <c r="D263" s="30">
        <f t="shared" si="217"/>
        <v>42430</v>
      </c>
      <c r="E263">
        <v>537.86110861312636</v>
      </c>
      <c r="F263" s="31">
        <f t="shared" si="262"/>
        <v>-14854.603861181426</v>
      </c>
      <c r="G263" s="32">
        <f t="shared" si="221"/>
        <v>-17676.470398752332</v>
      </c>
      <c r="H263" s="30">
        <f t="shared" si="260"/>
        <v>42430</v>
      </c>
      <c r="I263" s="31">
        <f t="shared" ref="I263:J263" si="266">SUM(F252:F263)</f>
        <v>-233107.75892046804</v>
      </c>
      <c r="J263" s="31">
        <f t="shared" si="266"/>
        <v>-233142.62900535326</v>
      </c>
    </row>
    <row r="264" spans="1:10" x14ac:dyDescent="0.3">
      <c r="A264" s="11">
        <v>42461</v>
      </c>
      <c r="B264" s="18">
        <v>8714.32</v>
      </c>
      <c r="C264" s="18">
        <v>10181.709999999999</v>
      </c>
      <c r="D264" s="30">
        <f t="shared" si="217"/>
        <v>42461</v>
      </c>
      <c r="E264">
        <v>541.14206137566646</v>
      </c>
      <c r="F264" s="31">
        <f t="shared" si="262"/>
        <v>14384.746619207483</v>
      </c>
      <c r="G264" s="32">
        <f t="shared" si="221"/>
        <v>16806.97042342386</v>
      </c>
      <c r="H264" s="30">
        <f t="shared" si="260"/>
        <v>42461</v>
      </c>
      <c r="I264" s="31">
        <f t="shared" ref="I264:J264" si="267">SUM(F253:F264)</f>
        <v>-237911.83755038976</v>
      </c>
      <c r="J264" s="31">
        <f t="shared" si="267"/>
        <v>-240588.5666361326</v>
      </c>
    </row>
    <row r="265" spans="1:10" x14ac:dyDescent="0.3">
      <c r="A265" s="11">
        <v>42491</v>
      </c>
      <c r="B265" s="18">
        <v>-17766.349999999999</v>
      </c>
      <c r="C265" s="18">
        <v>-18125.330000000002</v>
      </c>
      <c r="D265" s="30">
        <f t="shared" si="217"/>
        <v>42491</v>
      </c>
      <c r="E265">
        <v>545.36296945439665</v>
      </c>
      <c r="F265" s="31">
        <f t="shared" si="262"/>
        <v>-29099.972073867317</v>
      </c>
      <c r="G265" s="32">
        <f t="shared" si="221"/>
        <v>-29687.954860150203</v>
      </c>
      <c r="H265" s="30">
        <f t="shared" si="260"/>
        <v>42491</v>
      </c>
      <c r="I265" s="31">
        <f t="shared" ref="I265:J265" si="268">SUM(F254:F265)</f>
        <v>-251131.43627389017</v>
      </c>
      <c r="J265" s="31">
        <f t="shared" si="268"/>
        <v>-257920.58578184832</v>
      </c>
    </row>
    <row r="266" spans="1:10" x14ac:dyDescent="0.3">
      <c r="A266" s="11">
        <v>42522</v>
      </c>
      <c r="B266" s="18">
        <v>-10450.530000000001</v>
      </c>
      <c r="C266" s="18">
        <v>-10061.41</v>
      </c>
      <c r="D266" s="30">
        <f t="shared" si="217"/>
        <v>42522</v>
      </c>
      <c r="E266">
        <v>547.27173984748708</v>
      </c>
      <c r="F266" s="31">
        <f t="shared" si="262"/>
        <v>-17057.496787687054</v>
      </c>
      <c r="G266" s="32">
        <f t="shared" si="221"/>
        <v>-16422.369846754413</v>
      </c>
      <c r="H266" s="30">
        <f t="shared" si="260"/>
        <v>42522</v>
      </c>
      <c r="I266" s="31">
        <f t="shared" ref="I266:J266" si="269">SUM(F255:F266)</f>
        <v>-252970.51602915887</v>
      </c>
      <c r="J266" s="31">
        <f t="shared" si="269"/>
        <v>-257779.6898530637</v>
      </c>
    </row>
    <row r="267" spans="1:10" x14ac:dyDescent="0.3">
      <c r="A267" s="11">
        <v>42552</v>
      </c>
      <c r="B267" s="18">
        <v>-11852.89</v>
      </c>
      <c r="C267" s="18">
        <v>-12816.07</v>
      </c>
      <c r="D267" s="30">
        <f t="shared" si="217"/>
        <v>42552</v>
      </c>
      <c r="E267">
        <v>550.11755289469409</v>
      </c>
      <c r="F267" s="31">
        <f t="shared" si="262"/>
        <v>-19246.366690575072</v>
      </c>
      <c r="G267" s="32">
        <f t="shared" si="221"/>
        <v>-20810.349438160523</v>
      </c>
      <c r="H267" s="30">
        <f t="shared" si="260"/>
        <v>42552</v>
      </c>
      <c r="I267" s="31">
        <f t="shared" ref="I267:J267" si="270">SUM(F256:F267)</f>
        <v>-261552.67159900384</v>
      </c>
      <c r="J267" s="31">
        <f t="shared" si="270"/>
        <v>-260900.83934673795</v>
      </c>
    </row>
    <row r="268" spans="1:10" x14ac:dyDescent="0.3">
      <c r="A268" s="11">
        <v>42583</v>
      </c>
      <c r="B268" s="18">
        <v>-22142.63</v>
      </c>
      <c r="C268" s="18">
        <v>-22266.95</v>
      </c>
      <c r="D268" s="30">
        <f t="shared" si="217"/>
        <v>42583</v>
      </c>
      <c r="E268">
        <v>552.53807012743073</v>
      </c>
      <c r="F268" s="31">
        <f t="shared" si="262"/>
        <v>-35797.030438284433</v>
      </c>
      <c r="G268" s="32">
        <f t="shared" si="221"/>
        <v>-35998.013195259889</v>
      </c>
      <c r="H268" s="30">
        <f t="shared" si="260"/>
        <v>42583</v>
      </c>
      <c r="I268" s="31">
        <f t="shared" ref="I268:J268" si="271">SUM(F257:F268)</f>
        <v>-285134.17694478057</v>
      </c>
      <c r="J268" s="31">
        <f t="shared" si="271"/>
        <v>-284020.48616025737</v>
      </c>
    </row>
    <row r="269" spans="1:10" x14ac:dyDescent="0.3">
      <c r="A269" s="11">
        <v>42614</v>
      </c>
      <c r="B269" s="18">
        <v>-26499.09</v>
      </c>
      <c r="C269" s="18">
        <v>-26642.639999999999</v>
      </c>
      <c r="D269" s="30">
        <f t="shared" si="217"/>
        <v>42614</v>
      </c>
      <c r="E269">
        <v>552.98010058353259</v>
      </c>
      <c r="F269" s="31">
        <f t="shared" si="262"/>
        <v>-42805.685997701446</v>
      </c>
      <c r="G269" s="32">
        <f t="shared" si="221"/>
        <v>-43037.571553959046</v>
      </c>
      <c r="H269" s="30">
        <f t="shared" si="260"/>
        <v>42614</v>
      </c>
      <c r="I269" s="31">
        <f t="shared" ref="I269:J269" si="272">SUM(F258:F269)</f>
        <v>-315953.96163377579</v>
      </c>
      <c r="J269" s="31">
        <f t="shared" si="272"/>
        <v>-314234.22938255308</v>
      </c>
    </row>
    <row r="270" spans="1:10" x14ac:dyDescent="0.3">
      <c r="A270" s="11">
        <v>42644</v>
      </c>
      <c r="B270" s="18">
        <v>39127.339999999997</v>
      </c>
      <c r="C270" s="18">
        <v>39588.910000000003</v>
      </c>
      <c r="D270" s="30">
        <f t="shared" si="217"/>
        <v>42644</v>
      </c>
      <c r="E270">
        <v>554.41784884504978</v>
      </c>
      <c r="F270" s="31">
        <f t="shared" si="262"/>
        <v>63041.004574313702</v>
      </c>
      <c r="G270" s="32">
        <f t="shared" si="221"/>
        <v>63784.674767108976</v>
      </c>
      <c r="H270" s="30">
        <f t="shared" si="260"/>
        <v>42644</v>
      </c>
      <c r="I270" s="31">
        <f t="shared" ref="I270:J270" si="273">SUM(F259:F270)</f>
        <v>-231506.63311163685</v>
      </c>
      <c r="J270" s="31">
        <f t="shared" si="273"/>
        <v>-230409.65796399495</v>
      </c>
    </row>
    <row r="271" spans="1:10" x14ac:dyDescent="0.3">
      <c r="A271" s="11">
        <v>42675</v>
      </c>
      <c r="B271" s="18">
        <v>-39876.400000000001</v>
      </c>
      <c r="C271" s="18">
        <v>-39140.82</v>
      </c>
      <c r="D271" s="30">
        <f t="shared" si="217"/>
        <v>42675</v>
      </c>
      <c r="E271">
        <v>555.41580097297083</v>
      </c>
      <c r="F271" s="31">
        <f t="shared" si="262"/>
        <v>-64132.433180344713</v>
      </c>
      <c r="G271" s="32">
        <f t="shared" si="221"/>
        <v>-62949.414271947819</v>
      </c>
      <c r="H271" s="30">
        <f t="shared" si="260"/>
        <v>42675</v>
      </c>
      <c r="I271" s="31">
        <f t="shared" ref="I271:J271" si="274">SUM(F260:F271)</f>
        <v>-258351.41940326022</v>
      </c>
      <c r="J271" s="31">
        <f t="shared" si="274"/>
        <v>-259691.01942673023</v>
      </c>
    </row>
    <row r="272" spans="1:10" x14ac:dyDescent="0.3">
      <c r="A272" s="11">
        <v>42705</v>
      </c>
      <c r="B272" s="18">
        <v>-64248.47</v>
      </c>
      <c r="C272" s="18">
        <v>-70737.36</v>
      </c>
      <c r="D272" s="30">
        <f t="shared" si="217"/>
        <v>42705</v>
      </c>
      <c r="E272">
        <v>557.08204837588971</v>
      </c>
      <c r="F272" s="31">
        <f t="shared" si="262"/>
        <v>-103020.494574856</v>
      </c>
      <c r="G272" s="32">
        <f t="shared" si="221"/>
        <v>-113425.23506193432</v>
      </c>
      <c r="H272" s="30">
        <f t="shared" si="260"/>
        <v>42705</v>
      </c>
      <c r="I272" s="31">
        <f t="shared" ref="I272:J272" si="275">SUM(F261:F272)</f>
        <v>-257505.24961119809</v>
      </c>
      <c r="J272" s="31">
        <f t="shared" si="275"/>
        <v>-250869.18920174637</v>
      </c>
    </row>
    <row r="273" spans="1:10" x14ac:dyDescent="0.3">
      <c r="A273" s="11">
        <v>42736</v>
      </c>
      <c r="B273" s="18">
        <v>26292.560000000001</v>
      </c>
      <c r="C273" s="18">
        <v>36712.04</v>
      </c>
      <c r="D273" s="30">
        <f t="shared" si="217"/>
        <v>42736</v>
      </c>
      <c r="E273">
        <v>559.19896015971813</v>
      </c>
      <c r="F273" s="31">
        <f t="shared" si="262"/>
        <v>41999.732357369256</v>
      </c>
      <c r="G273" s="32">
        <f t="shared" si="221"/>
        <v>58643.808525797198</v>
      </c>
      <c r="H273" s="30">
        <f t="shared" si="260"/>
        <v>42736</v>
      </c>
      <c r="I273" s="31">
        <f t="shared" ref="I273:J273" si="276">SUM(F262:F273)</f>
        <v>-250676.1370517668</v>
      </c>
      <c r="J273" s="31">
        <f t="shared" si="276"/>
        <v>-239200.56758491084</v>
      </c>
    </row>
    <row r="274" spans="1:10" x14ac:dyDescent="0.3">
      <c r="A274" s="11">
        <v>42767</v>
      </c>
      <c r="B274" s="18">
        <v>-28769.48</v>
      </c>
      <c r="C274" s="18">
        <v>-23467.75</v>
      </c>
      <c r="D274" s="30">
        <f t="shared" si="217"/>
        <v>42767</v>
      </c>
      <c r="E274">
        <v>561.04431672824524</v>
      </c>
      <c r="F274" s="31">
        <f t="shared" si="262"/>
        <v>-45805.206901236284</v>
      </c>
      <c r="G274" s="32">
        <f t="shared" si="221"/>
        <v>-37364.079721165894</v>
      </c>
      <c r="H274" s="30">
        <f t="shared" si="260"/>
        <v>42767</v>
      </c>
      <c r="I274" s="31">
        <f t="shared" ref="I274:J274" si="277">SUM(F263:F274)</f>
        <v>-252393.80695484331</v>
      </c>
      <c r="J274" s="31">
        <f t="shared" si="277"/>
        <v>-238136.00463175436</v>
      </c>
    </row>
    <row r="275" spans="1:10" x14ac:dyDescent="0.3">
      <c r="A275" s="11">
        <v>42795</v>
      </c>
      <c r="B275" s="18">
        <v>-11685.93</v>
      </c>
      <c r="C275" s="18">
        <v>-11046.96</v>
      </c>
      <c r="D275" s="30">
        <f t="shared" si="217"/>
        <v>42795</v>
      </c>
      <c r="E275">
        <v>562.44692752006586</v>
      </c>
      <c r="F275" s="31">
        <f t="shared" si="262"/>
        <v>-18559.30616453887</v>
      </c>
      <c r="G275" s="32">
        <f t="shared" si="221"/>
        <v>-17544.509750393361</v>
      </c>
      <c r="H275" s="30">
        <f t="shared" si="260"/>
        <v>42795</v>
      </c>
      <c r="I275" s="31">
        <f t="shared" ref="I275:J275" si="278">SUM(F264:F275)</f>
        <v>-256098.50925820076</v>
      </c>
      <c r="J275" s="31">
        <f t="shared" si="278"/>
        <v>-238004.04398339542</v>
      </c>
    </row>
    <row r="276" spans="1:10" x14ac:dyDescent="0.3">
      <c r="A276" s="11">
        <v>42826</v>
      </c>
      <c r="B276" s="18">
        <v>11451.28</v>
      </c>
      <c r="C276" s="18">
        <v>12908.19</v>
      </c>
      <c r="D276" s="30">
        <f t="shared" si="217"/>
        <v>42826</v>
      </c>
      <c r="E276">
        <v>563.23435321859404</v>
      </c>
      <c r="F276" s="31">
        <f t="shared" si="262"/>
        <v>18161.215113552447</v>
      </c>
      <c r="G276" s="32">
        <f t="shared" si="221"/>
        <v>20471.808856006188</v>
      </c>
      <c r="H276" s="30">
        <f t="shared" si="260"/>
        <v>42826</v>
      </c>
      <c r="I276" s="31">
        <f t="shared" ref="I276:J276" si="279">SUM(F265:F276)</f>
        <v>-252322.0407638558</v>
      </c>
      <c r="J276" s="31">
        <f t="shared" si="279"/>
        <v>-234339.20555081309</v>
      </c>
    </row>
    <row r="277" spans="1:10" x14ac:dyDescent="0.3">
      <c r="A277" s="11">
        <v>42856</v>
      </c>
      <c r="B277" s="18">
        <v>-32105.54</v>
      </c>
      <c r="C277" s="18">
        <v>-30736.43</v>
      </c>
      <c r="D277" s="30">
        <f t="shared" si="217"/>
        <v>42856</v>
      </c>
      <c r="E277">
        <v>564.98037971357178</v>
      </c>
      <c r="F277" s="31">
        <f t="shared" si="262"/>
        <v>-50760.584834190784</v>
      </c>
      <c r="G277" s="32">
        <f t="shared" si="221"/>
        <v>-48595.948316557413</v>
      </c>
      <c r="H277" s="30">
        <f t="shared" si="260"/>
        <v>42856</v>
      </c>
      <c r="I277" s="31">
        <f t="shared" ref="I277:J277" si="280">SUM(F266:F277)</f>
        <v>-273982.65352417924</v>
      </c>
      <c r="J277" s="31">
        <f t="shared" si="280"/>
        <v>-253247.19900722033</v>
      </c>
    </row>
    <row r="278" spans="1:10" x14ac:dyDescent="0.3">
      <c r="A278" s="11">
        <v>42887</v>
      </c>
      <c r="B278" s="18">
        <v>-19937.32</v>
      </c>
      <c r="C278" s="18">
        <v>-19552.38</v>
      </c>
      <c r="D278" s="30">
        <f t="shared" si="217"/>
        <v>42887</v>
      </c>
      <c r="E278">
        <v>563.68092484023055</v>
      </c>
      <c r="F278" s="31">
        <f t="shared" si="262"/>
        <v>-31594.642490374172</v>
      </c>
      <c r="G278" s="32">
        <f t="shared" si="221"/>
        <v>-30984.628622901284</v>
      </c>
      <c r="H278" s="30">
        <f t="shared" si="260"/>
        <v>42887</v>
      </c>
      <c r="I278" s="31">
        <f t="shared" ref="I278:J278" si="281">SUM(F267:F278)</f>
        <v>-288519.79922686634</v>
      </c>
      <c r="J278" s="31">
        <f t="shared" si="281"/>
        <v>-267809.45778336719</v>
      </c>
    </row>
    <row r="279" spans="1:10" x14ac:dyDescent="0.3">
      <c r="A279" s="11">
        <v>42917</v>
      </c>
      <c r="B279" s="18">
        <v>-13977.34</v>
      </c>
      <c r="C279" s="18">
        <v>-16137.85</v>
      </c>
      <c r="D279" s="30">
        <f t="shared" si="217"/>
        <v>42917</v>
      </c>
      <c r="E279">
        <v>565.03375905984706</v>
      </c>
      <c r="F279" s="31">
        <f t="shared" si="262"/>
        <v>-22096.838296208676</v>
      </c>
      <c r="G279" s="32">
        <f t="shared" si="221"/>
        <v>-25512.398059893454</v>
      </c>
      <c r="H279" s="30">
        <f t="shared" si="260"/>
        <v>42917</v>
      </c>
      <c r="I279" s="31">
        <f t="shared" ref="I279:J279" si="282">SUM(F268:F279)</f>
        <v>-291370.27083249995</v>
      </c>
      <c r="J279" s="31">
        <f t="shared" si="282"/>
        <v>-272511.50640510011</v>
      </c>
    </row>
    <row r="280" spans="1:10" x14ac:dyDescent="0.3">
      <c r="A280" s="11">
        <v>42948</v>
      </c>
      <c r="B280" s="18">
        <v>-9916.2000000000007</v>
      </c>
      <c r="C280" s="18">
        <v>-9529.0300000000007</v>
      </c>
      <c r="D280" s="30">
        <f t="shared" si="217"/>
        <v>42948</v>
      </c>
      <c r="E280">
        <v>566.1073232020608</v>
      </c>
      <c r="F280" s="31">
        <f t="shared" si="262"/>
        <v>-15646.835217210863</v>
      </c>
      <c r="G280" s="32">
        <f t="shared" si="221"/>
        <v>-15035.917205165168</v>
      </c>
      <c r="H280" s="30">
        <f t="shared" si="260"/>
        <v>42948</v>
      </c>
      <c r="I280" s="31">
        <f t="shared" ref="I280:J280" si="283">SUM(F269:F280)</f>
        <v>-271220.07561142638</v>
      </c>
      <c r="J280" s="31">
        <f t="shared" si="283"/>
        <v>-251549.4104150054</v>
      </c>
    </row>
    <row r="281" spans="1:10" x14ac:dyDescent="0.3">
      <c r="A281" s="11">
        <v>42979</v>
      </c>
      <c r="B281" s="18">
        <v>-22226.95</v>
      </c>
      <c r="C281" s="18">
        <v>-21259.45</v>
      </c>
      <c r="D281" s="30">
        <f t="shared" si="217"/>
        <v>42979</v>
      </c>
      <c r="E281">
        <v>567.01309491918414</v>
      </c>
      <c r="F281" s="31">
        <f t="shared" si="262"/>
        <v>-35016.020517027035</v>
      </c>
      <c r="G281" s="32">
        <f t="shared" si="221"/>
        <v>-33491.834794279479</v>
      </c>
      <c r="H281" s="30">
        <f t="shared" si="260"/>
        <v>42979</v>
      </c>
      <c r="I281" s="31">
        <f t="shared" ref="I281:J281" si="284">SUM(F270:F281)</f>
        <v>-263430.41013075196</v>
      </c>
      <c r="J281" s="31">
        <f t="shared" si="284"/>
        <v>-242003.67365532584</v>
      </c>
    </row>
    <row r="282" spans="1:10" x14ac:dyDescent="0.3">
      <c r="A282" s="11">
        <v>43009</v>
      </c>
      <c r="B282" s="18">
        <v>4967.3100000000004</v>
      </c>
      <c r="C282" s="18">
        <v>4757.58</v>
      </c>
      <c r="D282" s="30">
        <f t="shared" ref="D282:D345" si="285">A282</f>
        <v>43009</v>
      </c>
      <c r="E282">
        <v>569.39454991784476</v>
      </c>
      <c r="F282" s="31">
        <f t="shared" si="262"/>
        <v>7792.7000988212631</v>
      </c>
      <c r="G282" s="32">
        <f t="shared" si="221"/>
        <v>7463.6763431616027</v>
      </c>
      <c r="H282" s="30">
        <f t="shared" si="260"/>
        <v>43009</v>
      </c>
      <c r="I282" s="31">
        <f t="shared" ref="I282:J282" si="286">SUM(F271:F282)</f>
        <v>-318678.71460624441</v>
      </c>
      <c r="J282" s="31">
        <f t="shared" si="286"/>
        <v>-298324.67207927321</v>
      </c>
    </row>
    <row r="283" spans="1:10" x14ac:dyDescent="0.3">
      <c r="A283" s="11">
        <v>43040</v>
      </c>
      <c r="B283">
        <v>-366.45</v>
      </c>
      <c r="C283">
        <v>-909.18</v>
      </c>
      <c r="D283" s="30">
        <f t="shared" si="285"/>
        <v>43040</v>
      </c>
      <c r="E283">
        <v>570.98885465761464</v>
      </c>
      <c r="F283" s="31">
        <f t="shared" si="262"/>
        <v>-573.28040710481275</v>
      </c>
      <c r="G283" s="32">
        <f t="shared" si="221"/>
        <v>-1422.3361455356901</v>
      </c>
      <c r="H283" s="30">
        <f t="shared" si="260"/>
        <v>43040</v>
      </c>
      <c r="I283" s="31">
        <f t="shared" ref="I283:J283" si="287">SUM(F272:F283)</f>
        <v>-255119.56183300453</v>
      </c>
      <c r="J283" s="31">
        <f t="shared" si="287"/>
        <v>-236797.59395286106</v>
      </c>
    </row>
    <row r="284" spans="1:10" x14ac:dyDescent="0.3">
      <c r="A284" s="11">
        <v>43070</v>
      </c>
      <c r="B284" s="18">
        <v>-22168.17</v>
      </c>
      <c r="C284" s="18">
        <v>-32321.46</v>
      </c>
      <c r="D284" s="30">
        <f t="shared" si="285"/>
        <v>43070</v>
      </c>
      <c r="E284">
        <v>573.50120561810809</v>
      </c>
      <c r="F284" s="31">
        <f t="shared" si="262"/>
        <v>-34528.325123498624</v>
      </c>
      <c r="G284" s="32">
        <f t="shared" si="221"/>
        <v>-50342.715675049221</v>
      </c>
      <c r="H284" s="30">
        <f t="shared" si="260"/>
        <v>43070</v>
      </c>
      <c r="I284" s="31">
        <f t="shared" ref="I284:J284" si="288">SUM(F273:F284)</f>
        <v>-186627.39238164717</v>
      </c>
      <c r="J284" s="31">
        <f t="shared" si="288"/>
        <v>-173715.07456597599</v>
      </c>
    </row>
    <row r="285" spans="1:10" x14ac:dyDescent="0.3">
      <c r="A285" s="11">
        <v>43101</v>
      </c>
      <c r="B285" s="18">
        <v>36530.04</v>
      </c>
      <c r="C285" s="18">
        <v>46940.14</v>
      </c>
      <c r="D285" s="30">
        <f t="shared" si="285"/>
        <v>43101</v>
      </c>
      <c r="E285">
        <v>575.16435911440055</v>
      </c>
      <c r="F285" s="31">
        <f t="shared" si="262"/>
        <v>56733.318255297672</v>
      </c>
      <c r="G285" s="32">
        <f t="shared" ref="G285:G348" si="289">C285*($E$387/E285)</f>
        <v>72900.820846849005</v>
      </c>
      <c r="H285" s="30">
        <f t="shared" si="260"/>
        <v>43101</v>
      </c>
      <c r="I285" s="31">
        <f t="shared" ref="I285:J285" si="290">SUM(F274:F285)</f>
        <v>-171893.80648371877</v>
      </c>
      <c r="J285" s="31">
        <f t="shared" si="290"/>
        <v>-159458.06224492416</v>
      </c>
    </row>
    <row r="286" spans="1:10" x14ac:dyDescent="0.3">
      <c r="A286" s="11">
        <v>43132</v>
      </c>
      <c r="B286" s="18">
        <v>-19004.78</v>
      </c>
      <c r="C286" s="18">
        <v>-17413.54</v>
      </c>
      <c r="D286" s="30">
        <f t="shared" si="285"/>
        <v>43132</v>
      </c>
      <c r="E286">
        <v>577.00488506356669</v>
      </c>
      <c r="F286" s="31">
        <f t="shared" si="262"/>
        <v>-29421.401787750448</v>
      </c>
      <c r="G286" s="32">
        <f t="shared" si="289"/>
        <v>-26957.994614358282</v>
      </c>
      <c r="H286" s="30">
        <f t="shared" si="260"/>
        <v>43132</v>
      </c>
      <c r="I286" s="31">
        <f t="shared" ref="I286:J286" si="291">SUM(F275:F286)</f>
        <v>-155510.00137023293</v>
      </c>
      <c r="J286" s="31">
        <f t="shared" si="291"/>
        <v>-149051.97713811658</v>
      </c>
    </row>
    <row r="287" spans="1:10" x14ac:dyDescent="0.3">
      <c r="A287" s="11">
        <v>43160</v>
      </c>
      <c r="B287" s="18">
        <v>-25531.200000000001</v>
      </c>
      <c r="C287" s="18">
        <v>-25135.279999999999</v>
      </c>
      <c r="D287" s="30">
        <f t="shared" si="285"/>
        <v>43160</v>
      </c>
      <c r="E287">
        <v>577.52418946012381</v>
      </c>
      <c r="F287" s="31">
        <f t="shared" si="262"/>
        <v>-39489.447070416449</v>
      </c>
      <c r="G287" s="32">
        <f t="shared" si="289"/>
        <v>-38877.072333462471</v>
      </c>
      <c r="H287" s="30">
        <f t="shared" si="260"/>
        <v>43160</v>
      </c>
      <c r="I287" s="31">
        <f t="shared" ref="I287:J287" si="292">SUM(F276:F287)</f>
        <v>-176440.14227611048</v>
      </c>
      <c r="J287" s="31">
        <f t="shared" si="292"/>
        <v>-170384.53972118569</v>
      </c>
    </row>
    <row r="288" spans="1:10" x14ac:dyDescent="0.3">
      <c r="A288" s="11">
        <v>43191</v>
      </c>
      <c r="B288" s="18">
        <v>5360.05</v>
      </c>
      <c r="C288" s="18">
        <v>2899.91</v>
      </c>
      <c r="D288" s="30">
        <f t="shared" si="285"/>
        <v>43191</v>
      </c>
      <c r="E288">
        <v>578.79474267693604</v>
      </c>
      <c r="F288" s="31">
        <f t="shared" si="262"/>
        <v>8272.2617455432755</v>
      </c>
      <c r="G288" s="32">
        <f t="shared" si="289"/>
        <v>4475.4833552892978</v>
      </c>
      <c r="H288" s="30">
        <f t="shared" si="260"/>
        <v>43191</v>
      </c>
      <c r="I288" s="31">
        <f t="shared" ref="I288:J288" si="293">SUM(F277:F288)</f>
        <v>-186329.09564411966</v>
      </c>
      <c r="J288" s="31">
        <f t="shared" si="293"/>
        <v>-186380.86522190258</v>
      </c>
    </row>
    <row r="289" spans="1:10" x14ac:dyDescent="0.3">
      <c r="A289" s="11">
        <v>43221</v>
      </c>
      <c r="B289" s="18">
        <v>-11120.27</v>
      </c>
      <c r="C289" s="18">
        <v>-8224.0499999999993</v>
      </c>
      <c r="D289" s="30">
        <f t="shared" si="285"/>
        <v>43221</v>
      </c>
      <c r="E289">
        <v>581.10992164764377</v>
      </c>
      <c r="F289" s="31">
        <f t="shared" si="262"/>
        <v>-17093.738110145128</v>
      </c>
      <c r="G289" s="32">
        <f t="shared" si="289"/>
        <v>-12641.757520702198</v>
      </c>
      <c r="H289" s="30">
        <f t="shared" si="260"/>
        <v>43221</v>
      </c>
      <c r="I289" s="31">
        <f t="shared" ref="I289:J289" si="294">SUM(F278:F289)</f>
        <v>-152662.24892007399</v>
      </c>
      <c r="J289" s="31">
        <f t="shared" si="294"/>
        <v>-150426.67442604734</v>
      </c>
    </row>
    <row r="290" spans="1:10" x14ac:dyDescent="0.3">
      <c r="A290" s="11">
        <v>43252</v>
      </c>
      <c r="B290" s="18">
        <v>-14951.46</v>
      </c>
      <c r="C290" s="18">
        <v>-13491.2</v>
      </c>
      <c r="D290" s="30">
        <f t="shared" si="285"/>
        <v>43252</v>
      </c>
      <c r="E290">
        <v>588.43190666040402</v>
      </c>
      <c r="F290" s="31">
        <f t="shared" si="262"/>
        <v>-22696.944418875453</v>
      </c>
      <c r="G290" s="32">
        <f t="shared" si="289"/>
        <v>-20480.208390614196</v>
      </c>
      <c r="H290" s="30">
        <f t="shared" si="260"/>
        <v>43252</v>
      </c>
      <c r="I290" s="31">
        <f t="shared" ref="I290:J290" si="295">SUM(F279:F290)</f>
        <v>-143764.55084857528</v>
      </c>
      <c r="J290" s="31">
        <f t="shared" si="295"/>
        <v>-139922.25419376025</v>
      </c>
    </row>
    <row r="291" spans="1:10" x14ac:dyDescent="0.3">
      <c r="A291" s="11">
        <v>43282</v>
      </c>
      <c r="B291" s="18">
        <v>-2676.94</v>
      </c>
      <c r="C291" s="18">
        <v>-3400.65</v>
      </c>
      <c r="D291" s="30">
        <f t="shared" si="285"/>
        <v>43282</v>
      </c>
      <c r="E291">
        <v>590.37373195238342</v>
      </c>
      <c r="F291" s="31">
        <f t="shared" si="262"/>
        <v>-4050.3412571213908</v>
      </c>
      <c r="G291" s="32">
        <f t="shared" si="289"/>
        <v>-5145.3499129714737</v>
      </c>
      <c r="H291" s="30">
        <f t="shared" si="260"/>
        <v>43282</v>
      </c>
      <c r="I291" s="31">
        <f t="shared" ref="I291:J291" si="296">SUM(F280:F291)</f>
        <v>-125718.05380948799</v>
      </c>
      <c r="J291" s="31">
        <f t="shared" si="296"/>
        <v>-119555.20604683827</v>
      </c>
    </row>
    <row r="292" spans="1:10" x14ac:dyDescent="0.3">
      <c r="A292" s="11">
        <v>43313</v>
      </c>
      <c r="B292" s="18">
        <v>-20850.509999999998</v>
      </c>
      <c r="C292" s="18">
        <v>-16875.55</v>
      </c>
      <c r="D292" s="30">
        <f t="shared" si="285"/>
        <v>43313</v>
      </c>
      <c r="E292">
        <v>589.84239559362629</v>
      </c>
      <c r="F292" s="31">
        <f t="shared" si="262"/>
        <v>-31576.260904353807</v>
      </c>
      <c r="G292" s="32">
        <f t="shared" si="289"/>
        <v>-25556.534094584156</v>
      </c>
      <c r="H292" s="30">
        <f t="shared" si="260"/>
        <v>43313</v>
      </c>
      <c r="I292" s="31">
        <f t="shared" ref="I292:J292" si="297">SUM(F281:F292)</f>
        <v>-141647.47949663093</v>
      </c>
      <c r="J292" s="31">
        <f t="shared" si="297"/>
        <v>-130075.82293625727</v>
      </c>
    </row>
    <row r="293" spans="1:10" x14ac:dyDescent="0.3">
      <c r="A293" s="11">
        <v>43344</v>
      </c>
      <c r="B293" s="18">
        <v>-24291.86</v>
      </c>
      <c r="C293" s="18">
        <v>-24621.18</v>
      </c>
      <c r="D293" s="30">
        <f t="shared" si="285"/>
        <v>43344</v>
      </c>
      <c r="E293">
        <v>592.6736390924757</v>
      </c>
      <c r="F293" s="31">
        <f t="shared" si="262"/>
        <v>-36612.144077350924</v>
      </c>
      <c r="G293" s="32">
        <f t="shared" si="289"/>
        <v>-37108.487761513163</v>
      </c>
      <c r="H293" s="30">
        <f t="shared" si="260"/>
        <v>43344</v>
      </c>
      <c r="I293" s="31">
        <f t="shared" ref="I293:J293" si="298">SUM(F282:F293)</f>
        <v>-143243.60305695483</v>
      </c>
      <c r="J293" s="31">
        <f t="shared" si="298"/>
        <v>-133692.47590349097</v>
      </c>
    </row>
    <row r="294" spans="1:10" x14ac:dyDescent="0.3">
      <c r="A294" s="11">
        <v>43374</v>
      </c>
      <c r="B294" s="18">
        <v>10197.07</v>
      </c>
      <c r="C294" s="18">
        <v>7798.1</v>
      </c>
      <c r="D294" s="30">
        <f t="shared" si="285"/>
        <v>43374</v>
      </c>
      <c r="E294">
        <v>595.34067046839175</v>
      </c>
      <c r="F294" s="31">
        <f t="shared" si="262"/>
        <v>15299.944406191185</v>
      </c>
      <c r="G294" s="32">
        <f t="shared" si="289"/>
        <v>11700.468514379081</v>
      </c>
      <c r="H294" s="30">
        <f t="shared" si="260"/>
        <v>43374</v>
      </c>
      <c r="I294" s="31">
        <f t="shared" ref="I294:J294" si="299">SUM(F283:F294)</f>
        <v>-135736.35874958494</v>
      </c>
      <c r="J294" s="31">
        <f t="shared" si="299"/>
        <v>-129455.68373227346</v>
      </c>
    </row>
    <row r="295" spans="1:10" x14ac:dyDescent="0.3">
      <c r="A295" s="11">
        <v>43405</v>
      </c>
      <c r="B295" s="18">
        <v>-17072.7</v>
      </c>
      <c r="C295" s="18">
        <v>-15601.93</v>
      </c>
      <c r="D295" s="30">
        <f t="shared" si="285"/>
        <v>43405</v>
      </c>
      <c r="E295">
        <v>594.09045506040809</v>
      </c>
      <c r="F295" s="31">
        <f t="shared" si="262"/>
        <v>-25670.222827504804</v>
      </c>
      <c r="G295" s="32">
        <f t="shared" si="289"/>
        <v>-23458.797942863872</v>
      </c>
      <c r="H295" s="30">
        <f t="shared" si="260"/>
        <v>43405</v>
      </c>
      <c r="I295" s="31">
        <f t="shared" ref="I295:J295" si="300">SUM(F284:F295)</f>
        <v>-160833.30116998492</v>
      </c>
      <c r="J295" s="31">
        <f t="shared" si="300"/>
        <v>-151492.14552960164</v>
      </c>
    </row>
    <row r="296" spans="1:10" x14ac:dyDescent="0.3">
      <c r="A296" s="11">
        <v>43435</v>
      </c>
      <c r="B296" s="18">
        <v>-32754.81</v>
      </c>
      <c r="C296" s="18">
        <v>-41132.97</v>
      </c>
      <c r="D296" s="30">
        <f t="shared" si="285"/>
        <v>43435</v>
      </c>
      <c r="E296">
        <v>594.98159074299872</v>
      </c>
      <c r="F296" s="31">
        <f t="shared" si="262"/>
        <v>-49175.814340107652</v>
      </c>
      <c r="G296" s="32">
        <f t="shared" si="289"/>
        <v>-61754.206358614749</v>
      </c>
      <c r="H296" s="30">
        <f t="shared" si="260"/>
        <v>43435</v>
      </c>
      <c r="I296" s="31">
        <f t="shared" ref="I296:J296" si="301">SUM(F285:F296)</f>
        <v>-175480.7903865939</v>
      </c>
      <c r="J296" s="31">
        <f t="shared" si="301"/>
        <v>-162903.63621316716</v>
      </c>
    </row>
    <row r="297" spans="1:10" x14ac:dyDescent="0.3">
      <c r="A297" s="11">
        <v>43466</v>
      </c>
      <c r="B297" s="18">
        <v>35606.949999999997</v>
      </c>
      <c r="C297" s="18">
        <v>46897.38</v>
      </c>
      <c r="D297" s="30">
        <f t="shared" si="285"/>
        <v>43466</v>
      </c>
      <c r="E297">
        <v>596.88553183337638</v>
      </c>
      <c r="F297" s="31">
        <f t="shared" si="262"/>
        <v>53287.301408000661</v>
      </c>
      <c r="G297" s="32">
        <f t="shared" si="289"/>
        <v>70183.905762935101</v>
      </c>
      <c r="H297" s="30">
        <f t="shared" si="260"/>
        <v>43466</v>
      </c>
      <c r="I297" s="31">
        <f t="shared" ref="I297:J297" si="302">SUM(F286:F297)</f>
        <v>-178926.80723389096</v>
      </c>
      <c r="J297" s="31">
        <f t="shared" si="302"/>
        <v>-165620.55129708111</v>
      </c>
    </row>
    <row r="298" spans="1:10" x14ac:dyDescent="0.3">
      <c r="A298" s="11">
        <v>43497</v>
      </c>
      <c r="B298" s="18">
        <v>-20612.48</v>
      </c>
      <c r="C298" s="18">
        <v>-14930.79</v>
      </c>
      <c r="D298" s="30">
        <f t="shared" si="285"/>
        <v>43497</v>
      </c>
      <c r="E298">
        <v>599.45213962025991</v>
      </c>
      <c r="F298" s="31">
        <f t="shared" si="262"/>
        <v>-30715.368991513242</v>
      </c>
      <c r="G298" s="32">
        <f t="shared" si="289"/>
        <v>-22248.886314737287</v>
      </c>
      <c r="H298" s="30">
        <f t="shared" si="260"/>
        <v>43497</v>
      </c>
      <c r="I298" s="31">
        <f t="shared" ref="I298:J298" si="303">SUM(F287:F298)</f>
        <v>-180220.77443765372</v>
      </c>
      <c r="J298" s="31">
        <f t="shared" si="303"/>
        <v>-160911.44299746011</v>
      </c>
    </row>
    <row r="299" spans="1:10" x14ac:dyDescent="0.3">
      <c r="A299" s="11">
        <v>43525</v>
      </c>
      <c r="B299" s="18">
        <v>-20399.61</v>
      </c>
      <c r="C299" s="18">
        <v>-18629.240000000002</v>
      </c>
      <c r="D299" s="30">
        <f t="shared" si="285"/>
        <v>43525</v>
      </c>
      <c r="E299">
        <v>603.9480306674119</v>
      </c>
      <c r="F299" s="31">
        <f t="shared" si="262"/>
        <v>-30171.874983529859</v>
      </c>
      <c r="G299" s="32">
        <f t="shared" si="289"/>
        <v>-27553.423831052351</v>
      </c>
      <c r="H299" s="30">
        <f t="shared" si="260"/>
        <v>43525</v>
      </c>
      <c r="I299" s="31">
        <f t="shared" ref="I299:J299" si="304">SUM(F288:F299)</f>
        <v>-170903.2023507671</v>
      </c>
      <c r="J299" s="31">
        <f t="shared" si="304"/>
        <v>-149587.79449504998</v>
      </c>
    </row>
    <row r="300" spans="1:10" x14ac:dyDescent="0.3">
      <c r="A300" s="11">
        <v>43556</v>
      </c>
      <c r="B300" s="18">
        <v>6132.96</v>
      </c>
      <c r="C300" s="18">
        <v>6637.08</v>
      </c>
      <c r="D300" s="30">
        <f t="shared" si="285"/>
        <v>43556</v>
      </c>
      <c r="E300">
        <v>607.39053444221622</v>
      </c>
      <c r="F300" s="31">
        <f t="shared" si="262"/>
        <v>9019.4928150483247</v>
      </c>
      <c r="G300" s="32">
        <f t="shared" si="289"/>
        <v>9760.8814296686978</v>
      </c>
      <c r="H300" s="30">
        <f t="shared" si="260"/>
        <v>43556</v>
      </c>
      <c r="I300" s="31">
        <f t="shared" ref="I300:J300" si="305">SUM(F289:F300)</f>
        <v>-170155.97128126206</v>
      </c>
      <c r="J300" s="31">
        <f t="shared" si="305"/>
        <v>-144302.39642067056</v>
      </c>
    </row>
    <row r="301" spans="1:10" x14ac:dyDescent="0.3">
      <c r="A301" s="11">
        <v>43586</v>
      </c>
      <c r="B301" s="18">
        <v>-13189.83</v>
      </c>
      <c r="C301" s="18">
        <v>-13007.99</v>
      </c>
      <c r="D301" s="30">
        <f t="shared" si="285"/>
        <v>43586</v>
      </c>
      <c r="E301">
        <v>608.18014213699109</v>
      </c>
      <c r="F301" s="31">
        <f t="shared" si="262"/>
        <v>-19372.557860725341</v>
      </c>
      <c r="G301" s="32">
        <f t="shared" si="289"/>
        <v>-19105.480428992385</v>
      </c>
      <c r="H301" s="30">
        <f t="shared" si="260"/>
        <v>43586</v>
      </c>
      <c r="I301" s="31">
        <f t="shared" ref="I301:J301" si="306">SUM(F290:F301)</f>
        <v>-172434.79103184229</v>
      </c>
      <c r="J301" s="31">
        <f t="shared" si="306"/>
        <v>-150766.11932896075</v>
      </c>
    </row>
    <row r="302" spans="1:10" x14ac:dyDescent="0.3">
      <c r="A302" s="11">
        <v>43617</v>
      </c>
      <c r="B302" s="18">
        <v>-12212.15</v>
      </c>
      <c r="C302" s="18">
        <v>-12706.22</v>
      </c>
      <c r="D302" s="30">
        <f t="shared" si="285"/>
        <v>43617</v>
      </c>
      <c r="E302">
        <v>608.24096015120483</v>
      </c>
      <c r="F302" s="31">
        <f t="shared" si="262"/>
        <v>-17934.797248044768</v>
      </c>
      <c r="G302" s="32">
        <f t="shared" si="289"/>
        <v>-18660.389815802409</v>
      </c>
      <c r="H302" s="30">
        <f t="shared" si="260"/>
        <v>43617</v>
      </c>
      <c r="I302" s="31">
        <f t="shared" ref="I302:J302" si="307">SUM(F291:F302)</f>
        <v>-167672.64386101163</v>
      </c>
      <c r="J302" s="31">
        <f t="shared" si="307"/>
        <v>-148946.30075414898</v>
      </c>
    </row>
    <row r="303" spans="1:10" x14ac:dyDescent="0.3">
      <c r="A303" s="11">
        <v>43647</v>
      </c>
      <c r="B303" s="18">
        <v>-1401.6</v>
      </c>
      <c r="C303" s="18">
        <v>-2762.98</v>
      </c>
      <c r="D303" s="30">
        <f t="shared" si="285"/>
        <v>43647</v>
      </c>
      <c r="E303">
        <v>609.39661797549218</v>
      </c>
      <c r="F303" s="31">
        <f t="shared" si="262"/>
        <v>-2054.4901032465423</v>
      </c>
      <c r="G303" s="32">
        <f t="shared" si="289"/>
        <v>-4050.0250181707556</v>
      </c>
      <c r="H303" s="30">
        <f t="shared" si="260"/>
        <v>43647</v>
      </c>
      <c r="I303" s="31">
        <f t="shared" ref="I303:J303" si="308">SUM(F292:F303)</f>
        <v>-165676.79270713677</v>
      </c>
      <c r="J303" s="31">
        <f t="shared" si="308"/>
        <v>-147850.97585934825</v>
      </c>
    </row>
    <row r="304" spans="1:10" x14ac:dyDescent="0.3">
      <c r="A304" s="11">
        <v>43678</v>
      </c>
      <c r="B304" s="18">
        <v>-16459.37</v>
      </c>
      <c r="C304" s="18">
        <v>-13447.65</v>
      </c>
      <c r="D304" s="30">
        <f t="shared" si="285"/>
        <v>43678</v>
      </c>
      <c r="E304">
        <v>610.06695425526527</v>
      </c>
      <c r="F304" s="31">
        <f t="shared" si="262"/>
        <v>-24099.926133388712</v>
      </c>
      <c r="G304" s="32">
        <f t="shared" si="289"/>
        <v>-19690.144377802113</v>
      </c>
      <c r="H304" s="30">
        <f t="shared" si="260"/>
        <v>43678</v>
      </c>
      <c r="I304" s="31">
        <f t="shared" ref="I304:J304" si="309">SUM(F293:F304)</f>
        <v>-158200.45793617168</v>
      </c>
      <c r="J304" s="31">
        <f t="shared" si="309"/>
        <v>-141984.5861425662</v>
      </c>
    </row>
    <row r="305" spans="1:10" x14ac:dyDescent="0.3">
      <c r="A305" s="11">
        <v>43709</v>
      </c>
      <c r="B305" s="18">
        <v>-20631.080000000002</v>
      </c>
      <c r="C305" s="18">
        <v>-20540.689999999999</v>
      </c>
      <c r="D305" s="30">
        <f t="shared" si="285"/>
        <v>43709</v>
      </c>
      <c r="E305">
        <v>609.82292747356314</v>
      </c>
      <c r="F305" s="31">
        <f t="shared" si="262"/>
        <v>-30220.261567647409</v>
      </c>
      <c r="G305" s="32">
        <f t="shared" si="289"/>
        <v>-30087.858928372116</v>
      </c>
      <c r="H305" s="30">
        <f t="shared" si="260"/>
        <v>43709</v>
      </c>
      <c r="I305" s="31">
        <f t="shared" ref="I305:J305" si="310">SUM(F294:F305)</f>
        <v>-151808.57542646816</v>
      </c>
      <c r="J305" s="31">
        <f t="shared" si="310"/>
        <v>-134963.95730942517</v>
      </c>
    </row>
    <row r="306" spans="1:10" x14ac:dyDescent="0.3">
      <c r="A306" s="11">
        <v>43739</v>
      </c>
      <c r="B306" s="18">
        <v>8544.81</v>
      </c>
      <c r="C306" s="18">
        <v>9444.35</v>
      </c>
      <c r="D306" s="30">
        <f t="shared" si="285"/>
        <v>43739</v>
      </c>
      <c r="E306">
        <v>610.43275040103663</v>
      </c>
      <c r="F306" s="31">
        <f t="shared" si="262"/>
        <v>12503.874000829246</v>
      </c>
      <c r="G306" s="32">
        <f t="shared" si="289"/>
        <v>13820.197572530191</v>
      </c>
      <c r="H306" s="30">
        <f t="shared" si="260"/>
        <v>43739</v>
      </c>
      <c r="I306" s="31">
        <f t="shared" ref="I306:J306" si="311">SUM(F295:F306)</f>
        <v>-154604.6458318301</v>
      </c>
      <c r="J306" s="31">
        <f t="shared" si="311"/>
        <v>-132844.22825127406</v>
      </c>
    </row>
    <row r="307" spans="1:10" x14ac:dyDescent="0.3">
      <c r="A307" s="11">
        <v>43770</v>
      </c>
      <c r="B307" s="18">
        <v>-18177.16</v>
      </c>
      <c r="C307" s="18">
        <v>-15312.46</v>
      </c>
      <c r="D307" s="30">
        <f t="shared" si="285"/>
        <v>43770</v>
      </c>
      <c r="E307">
        <v>613.54595742808203</v>
      </c>
      <c r="F307" s="31">
        <f t="shared" si="262"/>
        <v>-26464.210079984477</v>
      </c>
      <c r="G307" s="32">
        <f t="shared" si="289"/>
        <v>-22293.480295126363</v>
      </c>
      <c r="H307" s="30">
        <f t="shared" si="260"/>
        <v>43770</v>
      </c>
      <c r="I307" s="31">
        <f t="shared" ref="I307:J307" si="312">SUM(F296:F307)</f>
        <v>-155398.63308430975</v>
      </c>
      <c r="J307" s="31">
        <f t="shared" si="312"/>
        <v>-131678.91060353653</v>
      </c>
    </row>
    <row r="308" spans="1:10" x14ac:dyDescent="0.3">
      <c r="A308" s="11">
        <v>43800</v>
      </c>
      <c r="B308" s="18">
        <v>-16100.33</v>
      </c>
      <c r="C308" s="18">
        <v>-13512.65</v>
      </c>
      <c r="D308" s="30">
        <f t="shared" si="285"/>
        <v>43800</v>
      </c>
      <c r="E308">
        <v>620.60173593850504</v>
      </c>
      <c r="F308" s="31">
        <f t="shared" si="262"/>
        <v>-23174.042331750392</v>
      </c>
      <c r="G308" s="32">
        <f t="shared" si="289"/>
        <v>-19449.459924990788</v>
      </c>
      <c r="H308" s="30">
        <f t="shared" si="260"/>
        <v>43800</v>
      </c>
      <c r="I308" s="31">
        <f t="shared" ref="I308:J308" si="313">SUM(F297:F308)</f>
        <v>-129396.8610759525</v>
      </c>
      <c r="J308" s="31">
        <f t="shared" si="313"/>
        <v>-89374.16416991259</v>
      </c>
    </row>
    <row r="309" spans="1:10" x14ac:dyDescent="0.3">
      <c r="A309" s="11">
        <v>43831</v>
      </c>
      <c r="B309" s="18">
        <v>45469.23</v>
      </c>
      <c r="C309" s="18">
        <v>56275.83</v>
      </c>
      <c r="D309" s="30">
        <f t="shared" si="285"/>
        <v>43831</v>
      </c>
      <c r="E309">
        <v>621.90499958397595</v>
      </c>
      <c r="F309" s="31">
        <f t="shared" si="262"/>
        <v>65309.07848530529</v>
      </c>
      <c r="G309" s="32">
        <f t="shared" si="289"/>
        <v>80830.983904845052</v>
      </c>
      <c r="H309" s="30">
        <f t="shared" si="260"/>
        <v>43831</v>
      </c>
      <c r="I309" s="31">
        <f t="shared" ref="I309:J309" si="314">SUM(F298:F309)</f>
        <v>-117375.08399864788</v>
      </c>
      <c r="J309" s="31">
        <f t="shared" si="314"/>
        <v>-78727.08602800261</v>
      </c>
    </row>
    <row r="310" spans="1:10" x14ac:dyDescent="0.3">
      <c r="A310" s="11">
        <v>43862</v>
      </c>
      <c r="B310" s="18">
        <v>-26892.93</v>
      </c>
      <c r="C310" s="18">
        <v>-20901</v>
      </c>
      <c r="D310" s="30">
        <f t="shared" si="285"/>
        <v>43862</v>
      </c>
      <c r="E310">
        <v>623.45976208293587</v>
      </c>
      <c r="F310" s="31">
        <f t="shared" si="262"/>
        <v>-38530.948175459562</v>
      </c>
      <c r="G310" s="32">
        <f t="shared" si="289"/>
        <v>-29945.987581690813</v>
      </c>
      <c r="H310" s="30">
        <f t="shared" si="260"/>
        <v>43862</v>
      </c>
      <c r="I310" s="31">
        <f t="shared" ref="I310:J310" si="315">SUM(F299:F310)</f>
        <v>-125190.6631825942</v>
      </c>
      <c r="J310" s="31">
        <f t="shared" si="315"/>
        <v>-86424.187294956137</v>
      </c>
    </row>
    <row r="311" spans="1:10" x14ac:dyDescent="0.3">
      <c r="A311" s="11">
        <v>43891</v>
      </c>
      <c r="B311" s="18">
        <v>-21380.17</v>
      </c>
      <c r="C311" s="18">
        <v>-23655.32</v>
      </c>
      <c r="D311" s="30">
        <f t="shared" si="285"/>
        <v>43891</v>
      </c>
      <c r="E311">
        <v>623.89618391639385</v>
      </c>
      <c r="F311" s="31">
        <f t="shared" si="262"/>
        <v>-30611.092464662728</v>
      </c>
      <c r="G311" s="32">
        <f t="shared" si="289"/>
        <v>-33868.542102386724</v>
      </c>
      <c r="H311" s="30">
        <f t="shared" si="260"/>
        <v>43891</v>
      </c>
      <c r="I311" s="31">
        <f t="shared" ref="I311:J311" si="316">SUM(F300:F311)</f>
        <v>-125629.88066372706</v>
      </c>
      <c r="J311" s="31">
        <f t="shared" si="316"/>
        <v>-92739.305566290524</v>
      </c>
    </row>
    <row r="312" spans="1:10" x14ac:dyDescent="0.3">
      <c r="A312" s="11">
        <v>43922</v>
      </c>
      <c r="B312" s="18">
        <v>-92164.88</v>
      </c>
      <c r="C312" s="18">
        <v>-94302.55</v>
      </c>
      <c r="D312" s="30">
        <f t="shared" si="285"/>
        <v>43922</v>
      </c>
      <c r="E312">
        <v>621.96210574625309</v>
      </c>
      <c r="F312" s="31">
        <f t="shared" si="262"/>
        <v>-132367.55321047161</v>
      </c>
      <c r="G312" s="32">
        <f t="shared" si="289"/>
        <v>-135437.68304161151</v>
      </c>
      <c r="H312" s="30">
        <f t="shared" si="260"/>
        <v>43922</v>
      </c>
      <c r="I312" s="31">
        <f t="shared" ref="I312:J312" si="317">SUM(F301:F312)</f>
        <v>-267016.92668924702</v>
      </c>
      <c r="J312" s="31">
        <f t="shared" si="317"/>
        <v>-237937.87003757071</v>
      </c>
    </row>
    <row r="313" spans="1:10" x14ac:dyDescent="0.3">
      <c r="A313" s="11">
        <v>43952</v>
      </c>
      <c r="B313" s="18">
        <v>-127092.22</v>
      </c>
      <c r="C313" s="18">
        <v>-131438.06</v>
      </c>
      <c r="D313" s="30">
        <f t="shared" si="285"/>
        <v>43952</v>
      </c>
      <c r="E313">
        <v>619.59864974441734</v>
      </c>
      <c r="F313" s="31">
        <f t="shared" si="262"/>
        <v>-183226.5935801733</v>
      </c>
      <c r="G313" s="32">
        <f t="shared" si="289"/>
        <v>-189491.91382907963</v>
      </c>
      <c r="H313" s="30">
        <f t="shared" si="260"/>
        <v>43952</v>
      </c>
      <c r="I313" s="31">
        <f t="shared" ref="I313:J313" si="318">SUM(F302:F313)</f>
        <v>-430870.9624086949</v>
      </c>
      <c r="J313" s="31">
        <f t="shared" si="318"/>
        <v>-408324.303437658</v>
      </c>
    </row>
    <row r="314" spans="1:10" x14ac:dyDescent="0.3">
      <c r="A314" s="11">
        <v>43983</v>
      </c>
      <c r="B314" s="18">
        <v>-195180</v>
      </c>
      <c r="C314" s="18">
        <v>-188681.51</v>
      </c>
      <c r="D314" s="30">
        <f t="shared" si="285"/>
        <v>43983</v>
      </c>
      <c r="E314">
        <v>621.20960623375277</v>
      </c>
      <c r="F314" s="31">
        <f t="shared" si="262"/>
        <v>-280657.82490310754</v>
      </c>
      <c r="G314" s="32">
        <f t="shared" si="289"/>
        <v>-271313.36302917276</v>
      </c>
      <c r="H314" s="30">
        <f t="shared" si="260"/>
        <v>43983</v>
      </c>
      <c r="I314" s="31">
        <f t="shared" ref="I314:J314" si="319">SUM(F303:F314)</f>
        <v>-693593.99006375764</v>
      </c>
      <c r="J314" s="31">
        <f t="shared" si="319"/>
        <v>-660977.27665102831</v>
      </c>
    </row>
    <row r="315" spans="1:10" x14ac:dyDescent="0.3">
      <c r="A315" s="11">
        <v>44013</v>
      </c>
      <c r="B315" s="18">
        <v>-88141.23</v>
      </c>
      <c r="C315" s="18">
        <v>-81070.880000000005</v>
      </c>
      <c r="D315" s="30">
        <f t="shared" si="285"/>
        <v>44013</v>
      </c>
      <c r="E315">
        <v>623.44596081619432</v>
      </c>
      <c r="F315" s="31">
        <f t="shared" si="262"/>
        <v>-126287.47951214407</v>
      </c>
      <c r="G315" s="32">
        <f t="shared" si="289"/>
        <v>-116157.18429424561</v>
      </c>
      <c r="H315" s="30">
        <f t="shared" si="260"/>
        <v>44013</v>
      </c>
      <c r="I315" s="31">
        <f t="shared" ref="I315:J315" si="320">SUM(F304:F315)</f>
        <v>-817826.97947265534</v>
      </c>
      <c r="J315" s="31">
        <f t="shared" si="320"/>
        <v>-773084.43592710327</v>
      </c>
    </row>
    <row r="316" spans="1:10" x14ac:dyDescent="0.3">
      <c r="A316" s="11">
        <v>44044</v>
      </c>
      <c r="B316" s="18">
        <v>-96471.06</v>
      </c>
      <c r="C316" s="18">
        <v>-87593.65</v>
      </c>
      <c r="D316" s="30">
        <f t="shared" si="285"/>
        <v>44044</v>
      </c>
      <c r="E316">
        <v>624.9422311221532</v>
      </c>
      <c r="F316" s="31">
        <f t="shared" si="262"/>
        <v>-137891.40009730321</v>
      </c>
      <c r="G316" s="32">
        <f t="shared" si="289"/>
        <v>-125202.42897852622</v>
      </c>
      <c r="H316" s="30">
        <f t="shared" si="260"/>
        <v>44044</v>
      </c>
      <c r="I316" s="31">
        <f t="shared" ref="I316:J316" si="321">SUM(F305:F316)</f>
        <v>-931618.45343656989</v>
      </c>
      <c r="J316" s="31">
        <f t="shared" si="321"/>
        <v>-878596.72052782727</v>
      </c>
    </row>
    <row r="317" spans="1:10" x14ac:dyDescent="0.3">
      <c r="A317" s="11">
        <v>44075</v>
      </c>
      <c r="B317" s="18">
        <v>-75147.67</v>
      </c>
      <c r="C317" s="18">
        <v>-64558.58</v>
      </c>
      <c r="D317" s="30">
        <f t="shared" si="285"/>
        <v>44075</v>
      </c>
      <c r="E317">
        <v>628.9418614013349</v>
      </c>
      <c r="F317" s="31">
        <f t="shared" si="262"/>
        <v>-106729.63452566035</v>
      </c>
      <c r="G317" s="32">
        <f t="shared" si="289"/>
        <v>-91690.316531378892</v>
      </c>
      <c r="H317" s="30">
        <f t="shared" si="260"/>
        <v>44075</v>
      </c>
      <c r="I317" s="31">
        <f t="shared" ref="I317:J317" si="322">SUM(F306:F317)</f>
        <v>-1008127.8263945826</v>
      </c>
      <c r="J317" s="31">
        <f t="shared" si="322"/>
        <v>-940199.17813083401</v>
      </c>
    </row>
    <row r="318" spans="1:10" x14ac:dyDescent="0.3">
      <c r="A318" s="11">
        <v>44105</v>
      </c>
      <c r="B318" s="18">
        <v>-3209.93</v>
      </c>
      <c r="C318" s="18">
        <v>2952.51</v>
      </c>
      <c r="D318" s="30">
        <f t="shared" si="285"/>
        <v>44105</v>
      </c>
      <c r="E318">
        <v>634.35076140938634</v>
      </c>
      <c r="F318" s="31">
        <f t="shared" si="262"/>
        <v>-4520.0797837494129</v>
      </c>
      <c r="G318" s="32">
        <f t="shared" si="289"/>
        <v>4157.5924591246485</v>
      </c>
      <c r="H318" s="30">
        <f t="shared" si="260"/>
        <v>44105</v>
      </c>
      <c r="I318" s="31">
        <f t="shared" ref="I318:J318" si="323">SUM(F307:F318)</f>
        <v>-1025151.7801791615</v>
      </c>
      <c r="J318" s="31">
        <f t="shared" si="323"/>
        <v>-949861.78324423963</v>
      </c>
    </row>
    <row r="319" spans="1:10" x14ac:dyDescent="0.3">
      <c r="A319" s="11">
        <v>44136</v>
      </c>
      <c r="B319" s="18">
        <v>-20393.509999999998</v>
      </c>
      <c r="C319" s="18">
        <v>-18139.810000000001</v>
      </c>
      <c r="D319" s="30">
        <f t="shared" si="285"/>
        <v>44136</v>
      </c>
      <c r="E319">
        <v>639.99648318592983</v>
      </c>
      <c r="F319" s="31">
        <f t="shared" si="262"/>
        <v>-28463.899480500339</v>
      </c>
      <c r="G319" s="32">
        <f t="shared" si="289"/>
        <v>-25318.335511413923</v>
      </c>
      <c r="H319" s="30">
        <f t="shared" si="260"/>
        <v>44136</v>
      </c>
      <c r="I319" s="31">
        <f t="shared" ref="I319:J319" si="324">SUM(F308:F319)</f>
        <v>-1027151.4695796773</v>
      </c>
      <c r="J319" s="31">
        <f t="shared" si="324"/>
        <v>-952886.63846052717</v>
      </c>
    </row>
    <row r="320" spans="1:10" x14ac:dyDescent="0.3">
      <c r="A320" s="11">
        <v>44166</v>
      </c>
      <c r="B320" s="18">
        <v>-44661.49</v>
      </c>
      <c r="C320" s="18">
        <v>-51837.21</v>
      </c>
      <c r="D320" s="30">
        <f t="shared" si="285"/>
        <v>44166</v>
      </c>
      <c r="E320">
        <v>648.63643570893998</v>
      </c>
      <c r="F320" s="31">
        <f t="shared" si="262"/>
        <v>-61505.205198915886</v>
      </c>
      <c r="G320" s="32">
        <f t="shared" si="289"/>
        <v>-71387.189231467535</v>
      </c>
      <c r="H320" s="30">
        <f t="shared" si="260"/>
        <v>44166</v>
      </c>
      <c r="I320" s="31">
        <f t="shared" ref="I320:J320" si="325">SUM(F309:F320)</f>
        <v>-1065482.6324468427</v>
      </c>
      <c r="J320" s="31">
        <f t="shared" si="325"/>
        <v>-1004824.3677670039</v>
      </c>
    </row>
    <row r="321" spans="1:10" x14ac:dyDescent="0.3">
      <c r="A321" s="11">
        <v>44197</v>
      </c>
      <c r="B321" s="18">
        <v>43156.41</v>
      </c>
      <c r="C321" s="18">
        <v>58374.62</v>
      </c>
      <c r="D321" s="30">
        <f t="shared" si="285"/>
        <v>44197</v>
      </c>
      <c r="E321">
        <v>650.25802679821231</v>
      </c>
      <c r="F321" s="31">
        <f t="shared" si="262"/>
        <v>59284.285888025304</v>
      </c>
      <c r="G321" s="32">
        <f t="shared" si="289"/>
        <v>80189.655735610067</v>
      </c>
      <c r="H321" s="30">
        <f t="shared" si="260"/>
        <v>44197</v>
      </c>
      <c r="I321" s="31">
        <f t="shared" ref="I321:J321" si="326">SUM(F310:F321)</f>
        <v>-1071507.4250441229</v>
      </c>
      <c r="J321" s="31">
        <f t="shared" si="326"/>
        <v>-1005465.6959362389</v>
      </c>
    </row>
    <row r="322" spans="1:10" x14ac:dyDescent="0.3">
      <c r="A322" s="11">
        <v>44228</v>
      </c>
      <c r="B322" s="18">
        <v>-22508.14</v>
      </c>
      <c r="C322" s="18">
        <v>-11769.78</v>
      </c>
      <c r="D322" s="30">
        <f t="shared" si="285"/>
        <v>44228</v>
      </c>
      <c r="E322">
        <v>655.85024582867686</v>
      </c>
      <c r="F322" s="31">
        <f t="shared" si="262"/>
        <v>-30655.960407264931</v>
      </c>
      <c r="G322" s="32">
        <f t="shared" si="289"/>
        <v>-16030.374330451947</v>
      </c>
      <c r="H322" s="30">
        <f t="shared" si="260"/>
        <v>44228</v>
      </c>
      <c r="I322" s="31">
        <f t="shared" ref="I322:J322" si="327">SUM(F311:F322)</f>
        <v>-1063632.4372759282</v>
      </c>
      <c r="J322" s="31">
        <f t="shared" si="327"/>
        <v>-991550.08268500003</v>
      </c>
    </row>
    <row r="323" spans="1:10" x14ac:dyDescent="0.3">
      <c r="A323" s="11">
        <v>44256</v>
      </c>
      <c r="B323" s="18">
        <v>3938.27</v>
      </c>
      <c r="C323" s="18">
        <v>4981.17</v>
      </c>
      <c r="D323" s="30">
        <f t="shared" si="285"/>
        <v>44256</v>
      </c>
      <c r="E323">
        <v>661.94965311488363</v>
      </c>
      <c r="F323" s="31">
        <f t="shared" si="262"/>
        <v>5314.4770097524697</v>
      </c>
      <c r="G323" s="32">
        <f t="shared" si="289"/>
        <v>6721.8127367267125</v>
      </c>
      <c r="H323" s="30">
        <f t="shared" ref="H323:H386" si="328">D323</f>
        <v>44256</v>
      </c>
      <c r="I323" s="31">
        <f t="shared" ref="I323:J323" si="329">SUM(F312:F323)</f>
        <v>-1027706.8678015128</v>
      </c>
      <c r="J323" s="31">
        <f t="shared" si="329"/>
        <v>-950959.72784588672</v>
      </c>
    </row>
    <row r="324" spans="1:10" x14ac:dyDescent="0.3">
      <c r="A324" s="11">
        <v>44287</v>
      </c>
      <c r="B324" s="18">
        <v>16265.05</v>
      </c>
      <c r="C324" s="18">
        <v>24255.43</v>
      </c>
      <c r="D324" s="30">
        <f t="shared" si="285"/>
        <v>44287</v>
      </c>
      <c r="E324">
        <v>664.00169703953986</v>
      </c>
      <c r="F324" s="31">
        <f t="shared" ref="F324:F387" si="330">B324*($E$387/E324)</f>
        <v>21880.952216240115</v>
      </c>
      <c r="G324" s="32">
        <f t="shared" si="289"/>
        <v>32630.204322418747</v>
      </c>
      <c r="H324" s="30">
        <f t="shared" si="328"/>
        <v>44287</v>
      </c>
      <c r="I324" s="31">
        <f t="shared" ref="I324:J324" si="331">SUM(F313:F324)</f>
        <v>-873458.36237480119</v>
      </c>
      <c r="J324" s="31">
        <f t="shared" si="331"/>
        <v>-782891.84048185626</v>
      </c>
    </row>
    <row r="325" spans="1:10" x14ac:dyDescent="0.3">
      <c r="A325" s="11">
        <v>44317</v>
      </c>
      <c r="B325" s="18">
        <v>-20923.689999999999</v>
      </c>
      <c r="C325" s="18">
        <v>-15541.42</v>
      </c>
      <c r="D325" s="30">
        <f t="shared" si="285"/>
        <v>44317</v>
      </c>
      <c r="E325">
        <v>669.51291112496801</v>
      </c>
      <c r="F325" s="31">
        <f t="shared" si="330"/>
        <v>-27916.394367719287</v>
      </c>
      <c r="G325" s="32">
        <f t="shared" si="289"/>
        <v>-20735.367889428679</v>
      </c>
      <c r="H325" s="30">
        <f t="shared" si="328"/>
        <v>44317</v>
      </c>
      <c r="I325" s="31">
        <f t="shared" ref="I325:J325" si="332">SUM(F314:F325)</f>
        <v>-718148.16316234716</v>
      </c>
      <c r="J325" s="31">
        <f t="shared" si="332"/>
        <v>-614135.29454220529</v>
      </c>
    </row>
    <row r="326" spans="1:10" x14ac:dyDescent="0.3">
      <c r="A326" s="11">
        <v>44348</v>
      </c>
      <c r="B326" s="18">
        <v>-75082.66</v>
      </c>
      <c r="C326" s="18">
        <v>-65508.09</v>
      </c>
      <c r="D326" s="30">
        <f t="shared" si="285"/>
        <v>44348</v>
      </c>
      <c r="E326">
        <v>673.06132955393036</v>
      </c>
      <c r="F326" s="31">
        <f t="shared" si="330"/>
        <v>-99647.180642446852</v>
      </c>
      <c r="G326" s="32">
        <f t="shared" si="289"/>
        <v>-86940.133417911216</v>
      </c>
      <c r="H326" s="30">
        <f t="shared" si="328"/>
        <v>44348</v>
      </c>
      <c r="I326" s="31">
        <f t="shared" ref="I326:J326" si="333">SUM(F315:F326)</f>
        <v>-537137.51890168642</v>
      </c>
      <c r="J326" s="31">
        <f t="shared" si="333"/>
        <v>-429762.06493094389</v>
      </c>
    </row>
    <row r="327" spans="1:10" x14ac:dyDescent="0.3">
      <c r="A327" s="11">
        <v>44378</v>
      </c>
      <c r="B327" s="18">
        <v>-16842.32</v>
      </c>
      <c r="C327" s="18">
        <v>-10283.14</v>
      </c>
      <c r="D327" s="30">
        <f t="shared" si="285"/>
        <v>44378</v>
      </c>
      <c r="E327">
        <v>679.52271831764813</v>
      </c>
      <c r="F327" s="31">
        <f t="shared" si="330"/>
        <v>-22140.016386995547</v>
      </c>
      <c r="G327" s="32">
        <f t="shared" si="289"/>
        <v>-13517.667881252069</v>
      </c>
      <c r="H327" s="30">
        <f t="shared" si="328"/>
        <v>44378</v>
      </c>
      <c r="I327" s="31">
        <f t="shared" ref="I327:J327" si="334">SUM(F316:F327)</f>
        <v>-432990.05577653798</v>
      </c>
      <c r="J327" s="31">
        <f t="shared" si="334"/>
        <v>-327122.54851795029</v>
      </c>
    </row>
    <row r="328" spans="1:10" x14ac:dyDescent="0.3">
      <c r="A328" s="11">
        <v>44409</v>
      </c>
      <c r="B328" s="18">
        <v>-11092.32</v>
      </c>
      <c r="C328" s="18">
        <v>16728.599999999999</v>
      </c>
      <c r="D328" s="30">
        <f t="shared" si="285"/>
        <v>44409</v>
      </c>
      <c r="E328">
        <v>685.43456596701162</v>
      </c>
      <c r="F328" s="31">
        <f t="shared" si="330"/>
        <v>-14455.608991849616</v>
      </c>
      <c r="G328" s="32">
        <f t="shared" si="289"/>
        <v>21800.858664468342</v>
      </c>
      <c r="H328" s="30">
        <f t="shared" si="328"/>
        <v>44409</v>
      </c>
      <c r="I328" s="31">
        <f t="shared" ref="I328:J328" si="335">SUM(F317:F328)</f>
        <v>-309554.26467108435</v>
      </c>
      <c r="J328" s="31">
        <f t="shared" si="335"/>
        <v>-180119.26087495574</v>
      </c>
    </row>
    <row r="329" spans="1:10" x14ac:dyDescent="0.3">
      <c r="A329" s="11">
        <v>44440</v>
      </c>
      <c r="B329">
        <v>708.29</v>
      </c>
      <c r="C329" s="18">
        <v>12933.47</v>
      </c>
      <c r="D329" s="30">
        <f t="shared" si="285"/>
        <v>44440</v>
      </c>
      <c r="E329">
        <v>693.38560693222894</v>
      </c>
      <c r="F329" s="31">
        <f t="shared" si="330"/>
        <v>912.46516222445052</v>
      </c>
      <c r="G329" s="32">
        <f t="shared" si="289"/>
        <v>16661.735732080171</v>
      </c>
      <c r="H329" s="30">
        <f t="shared" si="328"/>
        <v>44440</v>
      </c>
      <c r="I329" s="31">
        <f t="shared" ref="I329:J329" si="336">SUM(F318:F329)</f>
        <v>-201912.16498319956</v>
      </c>
      <c r="J329" s="31">
        <f t="shared" si="336"/>
        <v>-71767.208611496695</v>
      </c>
    </row>
    <row r="330" spans="1:10" x14ac:dyDescent="0.3">
      <c r="A330" s="11">
        <v>44470</v>
      </c>
      <c r="B330" s="18">
        <v>29042.400000000001</v>
      </c>
      <c r="C330" s="18">
        <v>35399.360000000001</v>
      </c>
      <c r="D330" s="30">
        <f t="shared" si="285"/>
        <v>44470</v>
      </c>
      <c r="E330">
        <v>702.05292701888175</v>
      </c>
      <c r="F330" s="31">
        <f t="shared" si="330"/>
        <v>36952.400193737187</v>
      </c>
      <c r="G330" s="32">
        <f t="shared" si="289"/>
        <v>45040.744474360668</v>
      </c>
      <c r="H330" s="30">
        <f t="shared" si="328"/>
        <v>44470</v>
      </c>
      <c r="I330" s="31">
        <f t="shared" ref="I330:J330" si="337">SUM(F319:F330)</f>
        <v>-160439.68500571296</v>
      </c>
      <c r="J330" s="31">
        <f t="shared" si="337"/>
        <v>-30884.056596260671</v>
      </c>
    </row>
    <row r="331" spans="1:10" x14ac:dyDescent="0.3">
      <c r="A331" s="11">
        <v>44501</v>
      </c>
      <c r="B331" s="18">
        <v>3528.7</v>
      </c>
      <c r="C331" s="18">
        <v>15034.08</v>
      </c>
      <c r="D331" s="30">
        <f t="shared" si="285"/>
        <v>44501</v>
      </c>
      <c r="E331">
        <v>708.72242982556122</v>
      </c>
      <c r="F331" s="31">
        <f t="shared" si="330"/>
        <v>4447.5267021132058</v>
      </c>
      <c r="G331" s="32">
        <f t="shared" si="289"/>
        <v>18948.75513410211</v>
      </c>
      <c r="H331" s="30">
        <f t="shared" si="328"/>
        <v>44501</v>
      </c>
      <c r="I331" s="31">
        <f t="shared" ref="I331:J331" si="338">SUM(F320:F331)</f>
        <v>-127528.25882309939</v>
      </c>
      <c r="J331" s="31">
        <f t="shared" si="338"/>
        <v>13383.034049255366</v>
      </c>
    </row>
    <row r="332" spans="1:10" x14ac:dyDescent="0.3">
      <c r="A332" s="11">
        <v>44531</v>
      </c>
      <c r="B332" s="18">
        <v>13937.83</v>
      </c>
      <c r="C332">
        <v>123.19</v>
      </c>
      <c r="D332" s="30">
        <f t="shared" si="285"/>
        <v>44531</v>
      </c>
      <c r="E332">
        <v>713.89610356328785</v>
      </c>
      <c r="F332" s="31">
        <f t="shared" si="330"/>
        <v>17439.746020489765</v>
      </c>
      <c r="G332" s="32">
        <f t="shared" si="289"/>
        <v>154.14180774655267</v>
      </c>
      <c r="H332" s="30">
        <f t="shared" si="328"/>
        <v>44531</v>
      </c>
      <c r="I332" s="31">
        <f t="shared" ref="I332:J332" si="339">SUM(F321:F332)</f>
        <v>-48583.307603693742</v>
      </c>
      <c r="J332" s="31">
        <f t="shared" si="339"/>
        <v>84924.365088469465</v>
      </c>
    </row>
    <row r="333" spans="1:10" x14ac:dyDescent="0.3">
      <c r="A333" s="11">
        <v>44562</v>
      </c>
      <c r="B333" s="18">
        <v>77429.539999999994</v>
      </c>
      <c r="C333" s="18">
        <v>101833.12</v>
      </c>
      <c r="D333" s="30">
        <f t="shared" si="285"/>
        <v>44562</v>
      </c>
      <c r="E333">
        <v>717.75114252252968</v>
      </c>
      <c r="F333" s="31">
        <f t="shared" si="330"/>
        <v>96363.550041756069</v>
      </c>
      <c r="G333" s="32">
        <f t="shared" si="289"/>
        <v>126734.58934443045</v>
      </c>
      <c r="H333" s="30">
        <f t="shared" si="328"/>
        <v>44562</v>
      </c>
      <c r="I333" s="31">
        <f t="shared" ref="I333:J333" si="340">SUM(F322:F333)</f>
        <v>-11504.043449962977</v>
      </c>
      <c r="J333" s="31">
        <f t="shared" si="340"/>
        <v>131469.29869728984</v>
      </c>
    </row>
    <row r="334" spans="1:10" x14ac:dyDescent="0.3">
      <c r="A334" s="11">
        <v>44593</v>
      </c>
      <c r="B334" s="18">
        <v>-19181.07</v>
      </c>
      <c r="C334" s="18">
        <v>3470.9</v>
      </c>
      <c r="D334" s="30">
        <f t="shared" si="285"/>
        <v>44593</v>
      </c>
      <c r="E334">
        <v>725.00042906200724</v>
      </c>
      <c r="F334" s="31">
        <f t="shared" si="330"/>
        <v>-23632.766883100441</v>
      </c>
      <c r="G334" s="32">
        <f t="shared" si="289"/>
        <v>4276.4543674859287</v>
      </c>
      <c r="H334" s="30">
        <f t="shared" si="328"/>
        <v>44593</v>
      </c>
      <c r="I334" s="31">
        <f t="shared" ref="I334:J334" si="341">SUM(F323:F334)</f>
        <v>-4480.8499257984804</v>
      </c>
      <c r="J334" s="31">
        <f t="shared" si="341"/>
        <v>151776.1273952277</v>
      </c>
    </row>
    <row r="335" spans="1:10" x14ac:dyDescent="0.3">
      <c r="A335" s="11">
        <v>44621</v>
      </c>
      <c r="B335" s="18">
        <v>-7811.43</v>
      </c>
      <c r="C335" s="18">
        <v>4312.25</v>
      </c>
      <c r="D335" s="30">
        <f t="shared" si="285"/>
        <v>44621</v>
      </c>
      <c r="E335">
        <v>736.74543601281175</v>
      </c>
      <c r="F335" s="31">
        <f t="shared" si="330"/>
        <v>-9470.9402229420866</v>
      </c>
      <c r="G335" s="32">
        <f t="shared" si="289"/>
        <v>5228.3720108074976</v>
      </c>
      <c r="H335" s="30">
        <f t="shared" si="328"/>
        <v>44621</v>
      </c>
      <c r="I335" s="31">
        <f t="shared" ref="I335:J335" si="342">SUM(F324:F335)</f>
        <v>-19266.267158493043</v>
      </c>
      <c r="J335" s="31">
        <f t="shared" si="342"/>
        <v>150282.68666930849</v>
      </c>
    </row>
    <row r="336" spans="1:10" x14ac:dyDescent="0.3">
      <c r="A336" s="11">
        <v>44652</v>
      </c>
      <c r="B336" s="18">
        <v>29638.37</v>
      </c>
      <c r="C336" s="18">
        <v>38876.449999999997</v>
      </c>
      <c r="D336" s="30">
        <f t="shared" si="285"/>
        <v>44652</v>
      </c>
      <c r="E336">
        <v>744.55493763454751</v>
      </c>
      <c r="F336" s="31">
        <f t="shared" si="330"/>
        <v>35558.020148798896</v>
      </c>
      <c r="G336" s="32">
        <f t="shared" si="289"/>
        <v>46641.21516850531</v>
      </c>
      <c r="H336" s="30">
        <f t="shared" si="328"/>
        <v>44652</v>
      </c>
      <c r="I336" s="31">
        <f t="shared" ref="I336:J336" si="343">SUM(F325:F336)</f>
        <v>-5589.1992259342587</v>
      </c>
      <c r="J336" s="31">
        <f t="shared" si="343"/>
        <v>164293.69751539506</v>
      </c>
    </row>
    <row r="337" spans="1:10" x14ac:dyDescent="0.3">
      <c r="A337" s="11">
        <v>44682</v>
      </c>
      <c r="B337" s="18">
        <v>-40017.730000000003</v>
      </c>
      <c r="C337" s="18">
        <v>-32992.58</v>
      </c>
      <c r="D337" s="30">
        <f t="shared" si="285"/>
        <v>44682</v>
      </c>
      <c r="E337">
        <v>748.05434584142984</v>
      </c>
      <c r="F337" s="31">
        <f t="shared" si="330"/>
        <v>-47785.848706423021</v>
      </c>
      <c r="G337" s="32">
        <f t="shared" si="289"/>
        <v>-39396.998188416932</v>
      </c>
      <c r="H337" s="30">
        <f t="shared" si="328"/>
        <v>44682</v>
      </c>
      <c r="I337" s="31">
        <f t="shared" ref="I337:J337" si="344">SUM(F326:F337)</f>
        <v>-25458.653564638007</v>
      </c>
      <c r="J337" s="31">
        <f t="shared" si="344"/>
        <v>145632.06721640681</v>
      </c>
    </row>
    <row r="338" spans="1:10" x14ac:dyDescent="0.3">
      <c r="A338" s="11">
        <v>44713</v>
      </c>
      <c r="B338" s="18">
        <v>13710.33</v>
      </c>
      <c r="C338" s="18">
        <v>14394.62</v>
      </c>
      <c r="D338" s="30">
        <f t="shared" si="285"/>
        <v>44713</v>
      </c>
      <c r="E338">
        <v>753.06630995856733</v>
      </c>
      <c r="F338" s="31">
        <f t="shared" si="330"/>
        <v>16262.776502340887</v>
      </c>
      <c r="G338" s="32">
        <f t="shared" si="289"/>
        <v>17074.460490456917</v>
      </c>
      <c r="H338" s="30">
        <f t="shared" si="328"/>
        <v>44713</v>
      </c>
      <c r="I338" s="31">
        <f t="shared" ref="I338:J338" si="345">SUM(F327:F338)</f>
        <v>90451.303580149746</v>
      </c>
      <c r="J338" s="31">
        <f t="shared" si="345"/>
        <v>249646.66112477492</v>
      </c>
    </row>
    <row r="339" spans="1:10" x14ac:dyDescent="0.3">
      <c r="A339" s="11">
        <v>44743</v>
      </c>
      <c r="B339" s="18">
        <v>19960.52</v>
      </c>
      <c r="C339" s="18">
        <v>20440.48</v>
      </c>
      <c r="D339" s="30">
        <f t="shared" si="285"/>
        <v>44743</v>
      </c>
      <c r="E339">
        <v>747.94545905084908</v>
      </c>
      <c r="F339" s="31">
        <f t="shared" si="330"/>
        <v>23838.664726493858</v>
      </c>
      <c r="G339" s="32">
        <f t="shared" si="289"/>
        <v>24411.87652268594</v>
      </c>
      <c r="H339" s="30">
        <f t="shared" si="328"/>
        <v>44743</v>
      </c>
      <c r="I339" s="31">
        <f t="shared" ref="I339:J339" si="346">SUM(F328:F339)</f>
        <v>136429.98469363916</v>
      </c>
      <c r="J339" s="31">
        <f t="shared" si="346"/>
        <v>287576.20552871289</v>
      </c>
    </row>
    <row r="340" spans="1:10" x14ac:dyDescent="0.3">
      <c r="A340" s="11">
        <v>44774</v>
      </c>
      <c r="B340" s="18">
        <v>-49773.21</v>
      </c>
      <c r="C340" s="18">
        <v>-30279.17</v>
      </c>
      <c r="D340" s="30">
        <f t="shared" si="285"/>
        <v>44774</v>
      </c>
      <c r="E340">
        <v>745.25285539826598</v>
      </c>
      <c r="F340" s="31">
        <f t="shared" si="330"/>
        <v>-59658.45555196669</v>
      </c>
      <c r="G340" s="32">
        <f t="shared" si="289"/>
        <v>-36292.787175981677</v>
      </c>
      <c r="H340" s="30">
        <f t="shared" si="328"/>
        <v>44774</v>
      </c>
      <c r="I340" s="31">
        <f t="shared" ref="I340:J340" si="347">SUM(F329:F340)</f>
        <v>91227.138133522079</v>
      </c>
      <c r="J340" s="31">
        <f t="shared" si="347"/>
        <v>229482.55968826293</v>
      </c>
    </row>
    <row r="341" spans="1:10" x14ac:dyDescent="0.3">
      <c r="A341" s="11">
        <v>44805</v>
      </c>
      <c r="B341" s="18">
        <v>11113.02</v>
      </c>
      <c r="C341" s="18">
        <v>10745.8</v>
      </c>
      <c r="D341" s="30">
        <f t="shared" si="285"/>
        <v>44805</v>
      </c>
      <c r="E341">
        <v>743.091622117611</v>
      </c>
      <c r="F341" s="31">
        <f t="shared" si="330"/>
        <v>13358.870362427124</v>
      </c>
      <c r="G341" s="32">
        <f t="shared" si="289"/>
        <v>12917.438206767321</v>
      </c>
      <c r="H341" s="30">
        <f t="shared" si="328"/>
        <v>44805</v>
      </c>
      <c r="I341" s="31">
        <f t="shared" ref="I341:J341" si="348">SUM(F330:F341)</f>
        <v>103673.54333372478</v>
      </c>
      <c r="J341" s="31">
        <f t="shared" si="348"/>
        <v>225738.26216295006</v>
      </c>
    </row>
    <row r="342" spans="1:10" x14ac:dyDescent="0.3">
      <c r="A342" s="11">
        <v>44835</v>
      </c>
      <c r="B342" s="18">
        <v>30244.34</v>
      </c>
      <c r="C342" s="18">
        <v>27094.62</v>
      </c>
      <c r="D342" s="30">
        <f t="shared" si="285"/>
        <v>44835</v>
      </c>
      <c r="E342">
        <v>747.47586268810494</v>
      </c>
      <c r="F342" s="31">
        <f t="shared" si="330"/>
        <v>36143.228463063955</v>
      </c>
      <c r="G342" s="32">
        <f t="shared" si="289"/>
        <v>32379.183701145463</v>
      </c>
      <c r="H342" s="30">
        <f t="shared" si="328"/>
        <v>44835</v>
      </c>
      <c r="I342" s="31">
        <f t="shared" ref="I342:J342" si="349">SUM(F331:F342)</f>
        <v>102864.37160305152</v>
      </c>
      <c r="J342" s="31">
        <f t="shared" si="349"/>
        <v>213076.70138973487</v>
      </c>
    </row>
    <row r="343" spans="1:10" x14ac:dyDescent="0.3">
      <c r="A343" s="11">
        <v>44866</v>
      </c>
      <c r="B343" s="18">
        <v>-16524.39</v>
      </c>
      <c r="C343" s="18">
        <v>-20089.189999999999</v>
      </c>
      <c r="D343" s="30">
        <f t="shared" si="285"/>
        <v>44866</v>
      </c>
      <c r="E343">
        <v>750.54051372512617</v>
      </c>
      <c r="F343" s="31">
        <f t="shared" si="330"/>
        <v>-19666.691287726797</v>
      </c>
      <c r="G343" s="32">
        <f t="shared" si="289"/>
        <v>-23909.378679060967</v>
      </c>
      <c r="H343" s="30">
        <f t="shared" si="328"/>
        <v>44866</v>
      </c>
      <c r="I343" s="31">
        <f t="shared" ref="I343:J343" si="350">SUM(F332:F343)</f>
        <v>78750.1536132115</v>
      </c>
      <c r="J343" s="31">
        <f t="shared" si="350"/>
        <v>170218.56757657183</v>
      </c>
    </row>
    <row r="344" spans="1:10" x14ac:dyDescent="0.3">
      <c r="A344" s="11">
        <v>44896</v>
      </c>
      <c r="B344" s="18">
        <v>6158.37</v>
      </c>
      <c r="C344" s="18">
        <v>-11813.39</v>
      </c>
      <c r="D344" s="30">
        <f t="shared" si="285"/>
        <v>44896</v>
      </c>
      <c r="E344">
        <v>755.19386491022192</v>
      </c>
      <c r="F344" s="31">
        <f t="shared" si="330"/>
        <v>7284.2917086668767</v>
      </c>
      <c r="G344" s="32">
        <f t="shared" si="289"/>
        <v>-13973.2070057902</v>
      </c>
      <c r="H344" s="30">
        <f t="shared" si="328"/>
        <v>44896</v>
      </c>
      <c r="I344" s="31">
        <f t="shared" ref="I344:J344" si="351">SUM(F333:F344)</f>
        <v>68594.699301388639</v>
      </c>
      <c r="J344" s="31">
        <f t="shared" si="351"/>
        <v>156091.21876303508</v>
      </c>
    </row>
    <row r="345" spans="1:10" x14ac:dyDescent="0.3">
      <c r="A345" s="11">
        <v>44927</v>
      </c>
      <c r="B345" s="18">
        <v>79404.820000000007</v>
      </c>
      <c r="C345" s="18">
        <v>99012.7</v>
      </c>
      <c r="D345" s="30">
        <f t="shared" si="285"/>
        <v>44927</v>
      </c>
      <c r="E345">
        <v>759.19639239424612</v>
      </c>
      <c r="F345" s="31">
        <f t="shared" si="330"/>
        <v>93427.071132833633</v>
      </c>
      <c r="G345" s="32">
        <f t="shared" si="289"/>
        <v>116497.54468247539</v>
      </c>
      <c r="H345" s="30">
        <f t="shared" si="328"/>
        <v>44927</v>
      </c>
      <c r="I345" s="31">
        <f t="shared" ref="I345:J345" si="352">SUM(F334:F345)</f>
        <v>65658.220392466188</v>
      </c>
      <c r="J345" s="31">
        <f t="shared" si="352"/>
        <v>145854.17410107999</v>
      </c>
    </row>
    <row r="346" spans="1:10" x14ac:dyDescent="0.3">
      <c r="A346" s="11">
        <v>44958</v>
      </c>
      <c r="B346" s="18">
        <v>-39237.769999999997</v>
      </c>
      <c r="C346" s="18">
        <v>-26453.03</v>
      </c>
      <c r="D346" s="30">
        <f t="shared" ref="D346:D388" si="353">A346</f>
        <v>44958</v>
      </c>
      <c r="E346">
        <v>765.57364209035779</v>
      </c>
      <c r="F346" s="31">
        <f t="shared" si="330"/>
        <v>-45782.27279637225</v>
      </c>
      <c r="G346" s="32">
        <f t="shared" si="289"/>
        <v>-30865.15456282605</v>
      </c>
      <c r="H346" s="30">
        <f t="shared" si="328"/>
        <v>44958</v>
      </c>
      <c r="I346" s="31">
        <f t="shared" ref="I346:J346" si="354">SUM(F335:F346)</f>
        <v>43508.714479194379</v>
      </c>
      <c r="J346" s="31">
        <f t="shared" si="354"/>
        <v>110712.56517076799</v>
      </c>
    </row>
    <row r="347" spans="1:10" x14ac:dyDescent="0.3">
      <c r="A347" s="11">
        <v>44986</v>
      </c>
      <c r="B347" s="18">
        <v>-9711.73</v>
      </c>
      <c r="C347" s="18">
        <v>-14182.48</v>
      </c>
      <c r="D347" s="30">
        <f t="shared" si="353"/>
        <v>44986</v>
      </c>
      <c r="E347">
        <v>771.00921494919942</v>
      </c>
      <c r="F347" s="31">
        <f t="shared" si="330"/>
        <v>-11251.671277643631</v>
      </c>
      <c r="G347" s="32">
        <f t="shared" si="289"/>
        <v>-16431.326124362524</v>
      </c>
      <c r="H347" s="30">
        <f t="shared" si="328"/>
        <v>44986</v>
      </c>
      <c r="I347" s="31">
        <f t="shared" ref="I347:J347" si="355">SUM(F336:F347)</f>
        <v>41727.983424492842</v>
      </c>
      <c r="J347" s="31">
        <f t="shared" si="355"/>
        <v>89052.867035597999</v>
      </c>
    </row>
    <row r="348" spans="1:10" x14ac:dyDescent="0.3">
      <c r="A348" s="11">
        <v>45017</v>
      </c>
      <c r="B348" s="18">
        <v>16885.5</v>
      </c>
      <c r="C348" s="18">
        <v>20324.490000000002</v>
      </c>
      <c r="D348" s="30">
        <f t="shared" si="353"/>
        <v>45017</v>
      </c>
      <c r="E348">
        <v>775.71237116038958</v>
      </c>
      <c r="F348" s="31">
        <f t="shared" si="330"/>
        <v>19444.340240691676</v>
      </c>
      <c r="G348" s="32">
        <f t="shared" si="289"/>
        <v>23404.47714183978</v>
      </c>
      <c r="H348" s="30">
        <f t="shared" si="328"/>
        <v>45017</v>
      </c>
      <c r="I348" s="31">
        <f t="shared" ref="I348:J348" si="356">SUM(F337:F348)</f>
        <v>25614.303516385618</v>
      </c>
      <c r="J348" s="31">
        <f t="shared" si="356"/>
        <v>65816.129008932461</v>
      </c>
    </row>
    <row r="349" spans="1:10" x14ac:dyDescent="0.3">
      <c r="A349" s="11">
        <v>45047</v>
      </c>
      <c r="B349" s="18">
        <v>-43187.91</v>
      </c>
      <c r="C349" s="18">
        <v>-50172.27</v>
      </c>
      <c r="D349" s="30">
        <f t="shared" si="353"/>
        <v>45047</v>
      </c>
      <c r="E349">
        <v>777.49650961405848</v>
      </c>
      <c r="F349" s="31">
        <f t="shared" si="330"/>
        <v>-49618.512896005908</v>
      </c>
      <c r="G349" s="32">
        <f t="shared" ref="G349:G388" si="357">C349*($E$387/E349)</f>
        <v>-57642.831663233759</v>
      </c>
      <c r="H349" s="30">
        <f t="shared" si="328"/>
        <v>45047</v>
      </c>
      <c r="I349" s="31">
        <f t="shared" ref="I349:J349" si="358">SUM(F338:F349)</f>
        <v>23781.639326802731</v>
      </c>
      <c r="J349" s="31">
        <f t="shared" si="358"/>
        <v>47570.295534115627</v>
      </c>
    </row>
    <row r="350" spans="1:10" x14ac:dyDescent="0.3">
      <c r="A350" s="11">
        <v>45078</v>
      </c>
      <c r="B350" s="18">
        <v>-46479.57</v>
      </c>
      <c r="C350" s="18">
        <v>-48898.59</v>
      </c>
      <c r="D350" s="30">
        <f t="shared" si="353"/>
        <v>45078</v>
      </c>
      <c r="E350">
        <v>776.87451240636722</v>
      </c>
      <c r="F350" s="31">
        <f t="shared" si="330"/>
        <v>-53443.049648396547</v>
      </c>
      <c r="G350" s="32">
        <f t="shared" si="357"/>
        <v>-56224.482565277322</v>
      </c>
      <c r="H350" s="30">
        <f t="shared" si="328"/>
        <v>45078</v>
      </c>
      <c r="I350" s="31">
        <f t="shared" ref="I350:J350" si="359">SUM(F339:F350)</f>
        <v>-45924.186823934702</v>
      </c>
      <c r="J350" s="31">
        <f t="shared" si="359"/>
        <v>-25728.647521618608</v>
      </c>
    </row>
    <row r="351" spans="1:10" x14ac:dyDescent="0.3">
      <c r="A351" s="11">
        <v>45108</v>
      </c>
      <c r="B351" s="18">
        <v>-32477.84</v>
      </c>
      <c r="C351" s="18">
        <v>-35809.360000000001</v>
      </c>
      <c r="D351" s="30">
        <f t="shared" si="353"/>
        <v>45108</v>
      </c>
      <c r="E351">
        <v>777.8067618212549</v>
      </c>
      <c r="F351" s="31">
        <f t="shared" si="330"/>
        <v>-37298.848811372009</v>
      </c>
      <c r="G351" s="32">
        <f t="shared" si="357"/>
        <v>-41124.899459816057</v>
      </c>
      <c r="H351" s="30">
        <f t="shared" si="328"/>
        <v>45108</v>
      </c>
      <c r="I351" s="31">
        <f t="shared" ref="I351:J351" si="360">SUM(F340:F351)</f>
        <v>-107061.70036180055</v>
      </c>
      <c r="J351" s="31">
        <f t="shared" si="360"/>
        <v>-91265.423504120612</v>
      </c>
    </row>
    <row r="352" spans="1:10" x14ac:dyDescent="0.3">
      <c r="A352" s="11">
        <v>45139</v>
      </c>
      <c r="B352" s="18">
        <v>-26181.51</v>
      </c>
      <c r="C352" s="18">
        <v>-22830.080000000002</v>
      </c>
      <c r="D352" s="30">
        <f t="shared" si="353"/>
        <v>45139</v>
      </c>
      <c r="E352">
        <v>779.59571737344379</v>
      </c>
      <c r="F352" s="31">
        <f t="shared" si="330"/>
        <v>-29998.894469751187</v>
      </c>
      <c r="G352" s="32">
        <f t="shared" si="357"/>
        <v>-26158.810574943051</v>
      </c>
      <c r="H352" s="30">
        <f t="shared" si="328"/>
        <v>45139</v>
      </c>
      <c r="I352" s="31">
        <f t="shared" ref="I352:J352" si="361">SUM(F341:F352)</f>
        <v>-77402.13927958507</v>
      </c>
      <c r="J352" s="31">
        <f t="shared" si="361"/>
        <v>-81131.446903081975</v>
      </c>
    </row>
    <row r="353" spans="1:10" x14ac:dyDescent="0.3">
      <c r="A353" s="11">
        <v>45170</v>
      </c>
      <c r="B353" s="18">
        <v>-16505.560000000001</v>
      </c>
      <c r="C353" s="18">
        <v>-18071.05</v>
      </c>
      <c r="D353" s="30">
        <f t="shared" si="353"/>
        <v>45170</v>
      </c>
      <c r="E353">
        <v>781.62266623861467</v>
      </c>
      <c r="F353" s="31">
        <f t="shared" si="330"/>
        <v>-18863.102429593586</v>
      </c>
      <c r="G353" s="32">
        <f t="shared" si="357"/>
        <v>-20652.196421103381</v>
      </c>
      <c r="H353" s="30">
        <f t="shared" si="328"/>
        <v>45170</v>
      </c>
      <c r="I353" s="31">
        <f t="shared" ref="I353:J353" si="362">SUM(F342:F353)</f>
        <v>-109624.11207160578</v>
      </c>
      <c r="J353" s="31">
        <f t="shared" si="362"/>
        <v>-114701.08153095268</v>
      </c>
    </row>
    <row r="354" spans="1:10" x14ac:dyDescent="0.3">
      <c r="A354" s="11">
        <v>45200</v>
      </c>
      <c r="B354" s="18">
        <v>19455.64</v>
      </c>
      <c r="C354" s="18">
        <v>14798.47</v>
      </c>
      <c r="D354" s="30">
        <f t="shared" si="353"/>
        <v>45200</v>
      </c>
      <c r="E354">
        <v>783.49856063758727</v>
      </c>
      <c r="F354" s="31">
        <f t="shared" si="330"/>
        <v>22181.316721373973</v>
      </c>
      <c r="G354" s="32">
        <f t="shared" si="357"/>
        <v>16871.691194006009</v>
      </c>
      <c r="H354" s="30">
        <f t="shared" si="328"/>
        <v>45200</v>
      </c>
      <c r="I354" s="31">
        <f t="shared" ref="I354:J354" si="363">SUM(F343:F354)</f>
        <v>-123586.02381329576</v>
      </c>
      <c r="J354" s="31">
        <f t="shared" si="363"/>
        <v>-130208.57403809213</v>
      </c>
    </row>
    <row r="355" spans="1:10" x14ac:dyDescent="0.3">
      <c r="A355" s="11">
        <v>45231</v>
      </c>
      <c r="B355" s="18">
        <v>-38922.660000000003</v>
      </c>
      <c r="C355" s="18">
        <v>-37269.730000000003</v>
      </c>
      <c r="D355" s="30">
        <f t="shared" si="353"/>
        <v>45231</v>
      </c>
      <c r="E355">
        <v>785.6923566073724</v>
      </c>
      <c r="F355" s="31">
        <f t="shared" si="330"/>
        <v>-44251.702978224646</v>
      </c>
      <c r="G355" s="32">
        <f t="shared" si="357"/>
        <v>-42372.464318693237</v>
      </c>
      <c r="H355" s="30">
        <f t="shared" si="328"/>
        <v>45231</v>
      </c>
      <c r="I355" s="31">
        <f t="shared" ref="I355:J355" si="364">SUM(F344:F355)</f>
        <v>-148171.03550379362</v>
      </c>
      <c r="J355" s="31">
        <f t="shared" si="364"/>
        <v>-148671.65967772441</v>
      </c>
    </row>
    <row r="356" spans="1:10" x14ac:dyDescent="0.3">
      <c r="A356" s="11">
        <v>45261</v>
      </c>
      <c r="B356" s="18">
        <v>-127574.19</v>
      </c>
      <c r="C356" s="18">
        <v>-129572.8</v>
      </c>
      <c r="D356" s="30">
        <f t="shared" si="353"/>
        <v>45261</v>
      </c>
      <c r="E356">
        <v>790.09223380437368</v>
      </c>
      <c r="F356" s="31">
        <f t="shared" si="330"/>
        <v>-144233.13092475096</v>
      </c>
      <c r="G356" s="32">
        <f t="shared" si="357"/>
        <v>-146492.72416847458</v>
      </c>
      <c r="H356" s="30">
        <f t="shared" si="328"/>
        <v>45261</v>
      </c>
      <c r="I356" s="31">
        <f t="shared" ref="I356:J356" si="365">SUM(F345:F356)</f>
        <v>-299688.45813721145</v>
      </c>
      <c r="J356" s="31">
        <f t="shared" si="365"/>
        <v>-281191.17684040882</v>
      </c>
    </row>
    <row r="357" spans="1:10" x14ac:dyDescent="0.3">
      <c r="A357" s="11">
        <v>45292</v>
      </c>
      <c r="B357" s="18">
        <v>81283.5</v>
      </c>
      <c r="C357" s="18">
        <v>102146.35</v>
      </c>
      <c r="D357" s="30">
        <f t="shared" si="353"/>
        <v>45292</v>
      </c>
      <c r="E357">
        <v>793.41062118635205</v>
      </c>
      <c r="F357" s="31">
        <f t="shared" si="330"/>
        <v>91513.33659576677</v>
      </c>
      <c r="G357" s="32">
        <f t="shared" si="357"/>
        <v>115001.85535291913</v>
      </c>
      <c r="H357" s="30">
        <f t="shared" si="328"/>
        <v>45292</v>
      </c>
      <c r="I357" s="31">
        <f t="shared" ref="I357:J357" si="366">SUM(F346:F357)</f>
        <v>-301602.19267427834</v>
      </c>
      <c r="J357" s="31">
        <f t="shared" si="366"/>
        <v>-282686.86616996501</v>
      </c>
    </row>
    <row r="358" spans="1:10" x14ac:dyDescent="0.3">
      <c r="A358" s="11">
        <v>45323</v>
      </c>
      <c r="B358" s="18">
        <v>-57820.61</v>
      </c>
      <c r="C358" s="18">
        <v>-48691.77</v>
      </c>
      <c r="D358" s="30">
        <f t="shared" si="353"/>
        <v>45323</v>
      </c>
      <c r="E358">
        <v>799.99592934219879</v>
      </c>
      <c r="F358" s="31">
        <f t="shared" si="330"/>
        <v>-64561.690914075065</v>
      </c>
      <c r="G358" s="32">
        <f t="shared" si="357"/>
        <v>-54368.55482498771</v>
      </c>
      <c r="H358" s="30">
        <f t="shared" si="328"/>
        <v>45323</v>
      </c>
      <c r="I358" s="31">
        <f t="shared" ref="I358:J358" si="367">SUM(F347:F358)</f>
        <v>-320381.6107919811</v>
      </c>
      <c r="J358" s="31">
        <f t="shared" si="367"/>
        <v>-306190.26643212669</v>
      </c>
    </row>
    <row r="359" spans="1:10" x14ac:dyDescent="0.3">
      <c r="A359" s="11">
        <v>45352</v>
      </c>
      <c r="B359" s="18">
        <v>-1898.49</v>
      </c>
      <c r="C359" s="18">
        <v>1177</v>
      </c>
      <c r="D359" s="30">
        <f t="shared" si="353"/>
        <v>45352</v>
      </c>
      <c r="E359">
        <v>801.27592282914634</v>
      </c>
      <c r="F359" s="31">
        <f t="shared" si="330"/>
        <v>-2116.4412880005962</v>
      </c>
      <c r="G359" s="32">
        <f t="shared" si="357"/>
        <v>1312.1224741645738</v>
      </c>
      <c r="H359" s="30">
        <f t="shared" si="328"/>
        <v>45352</v>
      </c>
      <c r="I359" s="31">
        <f t="shared" ref="I359:J359" si="368">SUM(F348:F359)</f>
        <v>-311246.38080233807</v>
      </c>
      <c r="J359" s="31">
        <f t="shared" si="368"/>
        <v>-288446.81783359958</v>
      </c>
    </row>
    <row r="360" spans="1:10" x14ac:dyDescent="0.3">
      <c r="A360" s="11">
        <v>45383</v>
      </c>
      <c r="B360" s="18">
        <v>8762.42</v>
      </c>
      <c r="C360" s="18">
        <v>6688.17</v>
      </c>
      <c r="D360" s="30">
        <f t="shared" si="353"/>
        <v>45383</v>
      </c>
      <c r="E360">
        <v>804.32077133589712</v>
      </c>
      <c r="F360" s="31">
        <f t="shared" si="330"/>
        <v>9731.387939144035</v>
      </c>
      <c r="G360" s="32">
        <f t="shared" si="357"/>
        <v>7427.7627496678952</v>
      </c>
      <c r="H360" s="30">
        <f t="shared" si="328"/>
        <v>45383</v>
      </c>
      <c r="I360" s="31">
        <f t="shared" ref="I360:J360" si="369">SUM(F349:F360)</f>
        <v>-320959.33310388576</v>
      </c>
      <c r="J360" s="31">
        <f t="shared" si="369"/>
        <v>-304423.53222577146</v>
      </c>
    </row>
    <row r="361" spans="1:10" x14ac:dyDescent="0.3">
      <c r="A361" s="11">
        <v>45413</v>
      </c>
      <c r="B361" s="18">
        <v>-60778.22</v>
      </c>
      <c r="C361" s="18">
        <v>-63894.98</v>
      </c>
      <c r="D361" s="30">
        <f t="shared" si="353"/>
        <v>45413</v>
      </c>
      <c r="E361">
        <v>808.02064688404221</v>
      </c>
      <c r="F361" s="31">
        <f t="shared" si="330"/>
        <v>-67190.136443120951</v>
      </c>
      <c r="G361" s="32">
        <f t="shared" si="357"/>
        <v>-70635.705096833786</v>
      </c>
      <c r="H361" s="30">
        <f t="shared" si="328"/>
        <v>45413</v>
      </c>
      <c r="I361" s="31">
        <f t="shared" ref="I361:J361" si="370">SUM(F350:F361)</f>
        <v>-338530.95665100077</v>
      </c>
      <c r="J361" s="31">
        <f t="shared" si="370"/>
        <v>-317416.40565937152</v>
      </c>
    </row>
    <row r="362" spans="1:10" x14ac:dyDescent="0.3">
      <c r="A362" s="11">
        <v>45444</v>
      </c>
      <c r="B362" s="18">
        <v>-40188.46</v>
      </c>
      <c r="C362" s="18">
        <v>-40873.26</v>
      </c>
      <c r="D362" s="30">
        <f t="shared" si="353"/>
        <v>45444</v>
      </c>
      <c r="E362">
        <v>809.71749024249868</v>
      </c>
      <c r="F362" s="31">
        <f t="shared" si="330"/>
        <v>-44335.115951630993</v>
      </c>
      <c r="G362" s="32">
        <f t="shared" si="357"/>
        <v>-45090.573797084071</v>
      </c>
      <c r="H362" s="30">
        <f t="shared" si="328"/>
        <v>45444</v>
      </c>
      <c r="I362" s="31">
        <f t="shared" ref="I362:J362" si="371">SUM(F351:F362)</f>
        <v>-329423.0229542352</v>
      </c>
      <c r="J362" s="31">
        <f t="shared" si="371"/>
        <v>-306282.49689117831</v>
      </c>
    </row>
    <row r="363" spans="1:10" x14ac:dyDescent="0.3">
      <c r="A363" s="11">
        <v>45474</v>
      </c>
      <c r="B363" s="18">
        <v>-8617.8799999999992</v>
      </c>
      <c r="C363" s="18">
        <v>-21348.32</v>
      </c>
      <c r="D363" s="30">
        <f t="shared" si="353"/>
        <v>45474</v>
      </c>
      <c r="E363">
        <v>812.79441670542019</v>
      </c>
      <c r="F363" s="31">
        <f t="shared" si="330"/>
        <v>-9471.0850188284312</v>
      </c>
      <c r="G363" s="32">
        <f t="shared" si="357"/>
        <v>-23461.890131813787</v>
      </c>
      <c r="H363" s="30">
        <f t="shared" si="328"/>
        <v>45474</v>
      </c>
      <c r="I363" s="31">
        <f t="shared" ref="I363:J363" si="372">SUM(F352:F363)</f>
        <v>-301595.25916169165</v>
      </c>
      <c r="J363" s="31">
        <f t="shared" si="372"/>
        <v>-288619.48756317596</v>
      </c>
    </row>
    <row r="364" spans="1:10" x14ac:dyDescent="0.3">
      <c r="A364" s="11">
        <v>45505</v>
      </c>
      <c r="B364" s="18">
        <v>-22328.97</v>
      </c>
      <c r="C364" s="18">
        <v>-21425.040000000001</v>
      </c>
      <c r="D364" s="30">
        <f t="shared" si="353"/>
        <v>45505</v>
      </c>
      <c r="E364">
        <v>812.63185782207916</v>
      </c>
      <c r="F364" s="31">
        <f t="shared" si="330"/>
        <v>-24544.537360510381</v>
      </c>
      <c r="G364" s="32">
        <f t="shared" si="357"/>
        <v>-23550.915905679005</v>
      </c>
      <c r="H364" s="30">
        <f t="shared" si="328"/>
        <v>45505</v>
      </c>
      <c r="I364" s="31">
        <f t="shared" ref="I364:J364" si="373">SUM(F353:F364)</f>
        <v>-296140.90205245081</v>
      </c>
      <c r="J364" s="31">
        <f t="shared" si="373"/>
        <v>-286011.59289391193</v>
      </c>
    </row>
    <row r="365" spans="1:10" x14ac:dyDescent="0.3">
      <c r="A365" s="11">
        <v>45536</v>
      </c>
      <c r="B365" s="18">
        <v>-3974.49</v>
      </c>
      <c r="C365" s="18">
        <v>-7339.53</v>
      </c>
      <c r="D365" s="30">
        <f t="shared" si="353"/>
        <v>45536</v>
      </c>
      <c r="E365">
        <v>816.20743799649631</v>
      </c>
      <c r="F365" s="31">
        <f t="shared" si="330"/>
        <v>-4349.7156271466047</v>
      </c>
      <c r="G365" s="32">
        <f t="shared" si="357"/>
        <v>-8032.4439958111143</v>
      </c>
      <c r="H365" s="30">
        <f t="shared" si="328"/>
        <v>45536</v>
      </c>
      <c r="I365" s="31">
        <f t="shared" ref="I365:J365" si="374">SUM(F354:F365)</f>
        <v>-281627.51525000384</v>
      </c>
      <c r="J365" s="31">
        <f t="shared" si="374"/>
        <v>-273391.84046861966</v>
      </c>
    </row>
    <row r="366" spans="1:10" x14ac:dyDescent="0.3">
      <c r="A366" s="11">
        <v>45566</v>
      </c>
      <c r="B366" s="18">
        <v>39149.980000000003</v>
      </c>
      <c r="C366" s="18">
        <v>36882.94</v>
      </c>
      <c r="D366" s="30">
        <f t="shared" si="353"/>
        <v>45566</v>
      </c>
      <c r="E366">
        <v>820.77819964927676</v>
      </c>
      <c r="F366" s="31">
        <f t="shared" si="330"/>
        <v>42607.468942367756</v>
      </c>
      <c r="G366" s="32">
        <f t="shared" si="357"/>
        <v>40140.217710282697</v>
      </c>
      <c r="H366" s="30">
        <f t="shared" si="328"/>
        <v>45566</v>
      </c>
      <c r="I366" s="31">
        <f t="shared" ref="I366:J366" si="375">SUM(F355:F366)</f>
        <v>-261201.36302901007</v>
      </c>
      <c r="J366" s="31">
        <f t="shared" si="375"/>
        <v>-250123.31395234296</v>
      </c>
    </row>
    <row r="367" spans="1:10" x14ac:dyDescent="0.3">
      <c r="A367" s="11">
        <v>45597</v>
      </c>
      <c r="B367" s="18">
        <v>-5681.26</v>
      </c>
      <c r="C367" s="18">
        <v>-6619.6</v>
      </c>
      <c r="D367" s="30">
        <f t="shared" si="353"/>
        <v>45597</v>
      </c>
      <c r="E367">
        <v>823.97923462790891</v>
      </c>
      <c r="F367" s="31">
        <f t="shared" si="330"/>
        <v>-6158.9744482700144</v>
      </c>
      <c r="G367" s="32">
        <f t="shared" si="357"/>
        <v>-7176.2157087984333</v>
      </c>
      <c r="H367" s="30">
        <f t="shared" si="328"/>
        <v>45597</v>
      </c>
      <c r="I367" s="31">
        <f t="shared" ref="I367:J367" si="376">SUM(F356:F367)</f>
        <v>-223108.63449905542</v>
      </c>
      <c r="J367" s="31">
        <f t="shared" si="376"/>
        <v>-214927.06534244819</v>
      </c>
    </row>
    <row r="368" spans="1:10" x14ac:dyDescent="0.3">
      <c r="A368" s="11">
        <v>45627</v>
      </c>
      <c r="B368" s="18">
        <v>26728.15</v>
      </c>
      <c r="C368" s="18">
        <v>15745.16</v>
      </c>
      <c r="D368" s="30">
        <f t="shared" si="353"/>
        <v>45627</v>
      </c>
      <c r="E368">
        <v>828.26392664797413</v>
      </c>
      <c r="F368" s="31">
        <f t="shared" si="330"/>
        <v>28825.719572790469</v>
      </c>
      <c r="G368" s="32">
        <f t="shared" si="357"/>
        <v>16980.807380560105</v>
      </c>
      <c r="H368" s="30">
        <f t="shared" si="328"/>
        <v>45627</v>
      </c>
      <c r="I368" s="31">
        <f t="shared" ref="I368:J368" si="377">SUM(F357:F368)</f>
        <v>-50049.784001514017</v>
      </c>
      <c r="J368" s="31">
        <f t="shared" si="377"/>
        <v>-51453.533793413517</v>
      </c>
    </row>
    <row r="369" spans="1:10" x14ac:dyDescent="0.3">
      <c r="A369" s="11">
        <v>45658</v>
      </c>
      <c r="B369" s="18">
        <v>83149.89</v>
      </c>
      <c r="C369" s="18">
        <v>104095.55</v>
      </c>
      <c r="D369" s="30">
        <f t="shared" si="353"/>
        <v>45658</v>
      </c>
      <c r="E369">
        <v>829.58914893061092</v>
      </c>
      <c r="F369" s="31">
        <f t="shared" si="330"/>
        <v>89532.068966155668</v>
      </c>
      <c r="G369" s="32">
        <f t="shared" si="357"/>
        <v>112085.41540668192</v>
      </c>
      <c r="H369" s="30">
        <f t="shared" si="328"/>
        <v>45658</v>
      </c>
      <c r="I369" s="31">
        <f t="shared" ref="I369:J369" si="378">SUM(F358:F369)</f>
        <v>-52031.051631125098</v>
      </c>
      <c r="J369" s="31">
        <f t="shared" si="378"/>
        <v>-54369.973739650683</v>
      </c>
    </row>
    <row r="370" spans="1:10" x14ac:dyDescent="0.3">
      <c r="A370" s="11">
        <v>45689</v>
      </c>
      <c r="B370" s="18">
        <v>-28516.6</v>
      </c>
      <c r="C370" s="18">
        <v>-18973.29</v>
      </c>
      <c r="D370" s="30">
        <f t="shared" si="353"/>
        <v>45689</v>
      </c>
      <c r="E370">
        <v>840.45676678160203</v>
      </c>
      <c r="F370" s="31">
        <f t="shared" si="330"/>
        <v>-30308.355319502134</v>
      </c>
      <c r="G370" s="32">
        <f t="shared" si="357"/>
        <v>-20165.41996240634</v>
      </c>
      <c r="H370" s="30">
        <f t="shared" si="328"/>
        <v>45689</v>
      </c>
      <c r="I370" s="31">
        <f t="shared" ref="I370:J370" si="379">SUM(F359:F370)</f>
        <v>-17777.716036552167</v>
      </c>
      <c r="J370" s="31">
        <f t="shared" si="379"/>
        <v>-20166.838877069335</v>
      </c>
    </row>
    <row r="371" spans="1:10" x14ac:dyDescent="0.3">
      <c r="A371" s="11">
        <v>45717</v>
      </c>
      <c r="B371" s="18">
        <v>-2305.2800000000002</v>
      </c>
      <c r="C371" s="18">
        <v>3588.2</v>
      </c>
      <c r="D371" s="30">
        <f t="shared" si="353"/>
        <v>45717</v>
      </c>
      <c r="E371">
        <v>845.16332467557902</v>
      </c>
      <c r="F371" s="31">
        <f t="shared" si="330"/>
        <v>-2436.4810838137664</v>
      </c>
      <c r="G371" s="32">
        <f t="shared" si="357"/>
        <v>3792.4162899693556</v>
      </c>
      <c r="H371" s="30">
        <f t="shared" si="328"/>
        <v>45717</v>
      </c>
      <c r="I371" s="31">
        <f t="shared" ref="I371:J371" si="380">SUM(F360:F371)</f>
        <v>-18097.75583236535</v>
      </c>
      <c r="J371" s="31">
        <f t="shared" si="380"/>
        <v>-17686.545061264565</v>
      </c>
    </row>
    <row r="372" spans="1:10" x14ac:dyDescent="0.3">
      <c r="A372" s="11">
        <v>45748</v>
      </c>
      <c r="B372" s="18">
        <v>16227.06</v>
      </c>
      <c r="C372" s="18">
        <v>14149.74</v>
      </c>
      <c r="D372" s="30">
        <f t="shared" si="353"/>
        <v>45748</v>
      </c>
      <c r="E372">
        <v>848.79752697168396</v>
      </c>
      <c r="F372" s="31">
        <f t="shared" si="330"/>
        <v>17077.163670912731</v>
      </c>
      <c r="G372" s="32">
        <f t="shared" si="357"/>
        <v>14891.016972936608</v>
      </c>
      <c r="H372" s="30">
        <f t="shared" si="328"/>
        <v>45748</v>
      </c>
      <c r="I372" s="31">
        <f t="shared" ref="I372:J372" si="381">SUM(F361:F372)</f>
        <v>-10751.980100596633</v>
      </c>
      <c r="J372" s="31">
        <f t="shared" si="381"/>
        <v>-10223.290837995833</v>
      </c>
    </row>
    <row r="373" spans="1:10" x14ac:dyDescent="0.3">
      <c r="A373" s="11">
        <v>45778</v>
      </c>
      <c r="B373" s="18">
        <v>-37351.129999999997</v>
      </c>
      <c r="C373" s="18">
        <v>-33739.56</v>
      </c>
      <c r="D373" s="30">
        <f t="shared" si="353"/>
        <v>45778</v>
      </c>
      <c r="E373">
        <v>851.00440054181024</v>
      </c>
      <c r="F373" s="31">
        <f t="shared" si="330"/>
        <v>-39205.946576899471</v>
      </c>
      <c r="G373" s="32">
        <f t="shared" si="357"/>
        <v>-35415.02993050262</v>
      </c>
      <c r="H373" s="30">
        <f t="shared" si="328"/>
        <v>45778</v>
      </c>
      <c r="I373" s="31">
        <f t="shared" ref="I373:J373" si="382">SUM(F362:F373)</f>
        <v>17232.209765624822</v>
      </c>
      <c r="J373" s="31">
        <f t="shared" si="382"/>
        <v>24997.384328335291</v>
      </c>
    </row>
    <row r="374" spans="1:10" x14ac:dyDescent="0.3">
      <c r="A374" s="11">
        <v>45809</v>
      </c>
      <c r="B374" s="18">
        <v>-43527.040000000001</v>
      </c>
      <c r="C374" s="18">
        <v>-47091.18</v>
      </c>
      <c r="D374" s="30">
        <f t="shared" si="353"/>
        <v>45809</v>
      </c>
      <c r="E374">
        <v>853.0468111031106</v>
      </c>
      <c r="F374" s="31">
        <f t="shared" si="330"/>
        <v>-45579.1555910815</v>
      </c>
      <c r="G374" s="32">
        <f t="shared" si="357"/>
        <v>-49311.329697301386</v>
      </c>
      <c r="H374" s="30">
        <f t="shared" si="328"/>
        <v>45809</v>
      </c>
      <c r="I374" s="31">
        <f t="shared" ref="I374:J374" si="383">SUM(F363:F374)</f>
        <v>15988.170126174322</v>
      </c>
      <c r="J374" s="31">
        <f t="shared" si="383"/>
        <v>20776.628428118005</v>
      </c>
    </row>
    <row r="375" spans="1:10" x14ac:dyDescent="0.3">
      <c r="A375" s="11">
        <v>45839</v>
      </c>
      <c r="B375" s="18">
        <v>-56360.57</v>
      </c>
      <c r="C375" s="18">
        <v>-66566.28</v>
      </c>
      <c r="D375" s="30">
        <f t="shared" si="353"/>
        <v>45839</v>
      </c>
      <c r="E375">
        <v>855.26473281197866</v>
      </c>
      <c r="F375" s="31">
        <f t="shared" si="330"/>
        <v>-58864.683999851899</v>
      </c>
      <c r="G375" s="32">
        <f t="shared" si="357"/>
        <v>-69523.836207576707</v>
      </c>
      <c r="H375" s="30">
        <f t="shared" si="328"/>
        <v>45839</v>
      </c>
      <c r="I375" s="31">
        <f t="shared" ref="I375:J375" si="384">SUM(F364:F375)</f>
        <v>-33405.428854849139</v>
      </c>
      <c r="J375" s="31">
        <f t="shared" si="384"/>
        <v>-25285.317647644937</v>
      </c>
    </row>
    <row r="376" spans="1:10" x14ac:dyDescent="0.3">
      <c r="A376" s="11">
        <v>45870</v>
      </c>
      <c r="B376" s="18">
        <v>-15933.99</v>
      </c>
      <c r="C376" s="18">
        <v>-17254.830000000002</v>
      </c>
      <c r="D376" s="30">
        <f t="shared" si="353"/>
        <v>45870</v>
      </c>
      <c r="E376">
        <v>854.32394160588547</v>
      </c>
      <c r="F376" s="31">
        <f t="shared" si="330"/>
        <v>-16660.26739243498</v>
      </c>
      <c r="G376" s="32">
        <f t="shared" si="357"/>
        <v>-18041.311787631905</v>
      </c>
      <c r="H376" s="30">
        <f t="shared" si="328"/>
        <v>45870</v>
      </c>
      <c r="I376" s="31">
        <f t="shared" ref="I376:J376" si="385">SUM(F365:F376)</f>
        <v>-25521.158886773752</v>
      </c>
      <c r="J376" s="31">
        <f t="shared" si="385"/>
        <v>-19775.713529597811</v>
      </c>
    </row>
    <row r="377" spans="1:10" x14ac:dyDescent="0.3">
      <c r="A377" s="11">
        <v>45901</v>
      </c>
      <c r="B377" s="18">
        <v>-14944.23</v>
      </c>
      <c r="C377" s="18">
        <v>-17452.310000000001</v>
      </c>
      <c r="D377" s="30">
        <f t="shared" si="353"/>
        <v>45901</v>
      </c>
      <c r="E377">
        <v>858.42469652559362</v>
      </c>
      <c r="F377" s="31">
        <f t="shared" si="330"/>
        <v>-15550.750150250689</v>
      </c>
      <c r="G377" s="32">
        <f t="shared" si="357"/>
        <v>-18160.622016304729</v>
      </c>
      <c r="H377" s="30">
        <f t="shared" si="328"/>
        <v>45901</v>
      </c>
      <c r="I377" s="31">
        <f t="shared" ref="I377:J377" si="386">SUM(F366:F377)</f>
        <v>-36722.193409877844</v>
      </c>
      <c r="J377" s="31">
        <f t="shared" si="386"/>
        <v>-29903.891550091408</v>
      </c>
    </row>
    <row r="378" spans="1:10" x14ac:dyDescent="0.3">
      <c r="A378" s="11">
        <v>45931</v>
      </c>
      <c r="B378" s="18">
        <v>36179.65</v>
      </c>
      <c r="C378" s="18">
        <v>32391.94</v>
      </c>
      <c r="D378" s="30">
        <f t="shared" si="353"/>
        <v>45931</v>
      </c>
      <c r="E378">
        <v>859.19727875246656</v>
      </c>
      <c r="F378" s="31">
        <f t="shared" si="330"/>
        <v>37614.169104637353</v>
      </c>
      <c r="G378" s="32">
        <f t="shared" si="357"/>
        <v>33676.276823774329</v>
      </c>
      <c r="H378" s="30">
        <f t="shared" si="328"/>
        <v>45931</v>
      </c>
      <c r="I378" s="31">
        <f t="shared" ref="I378:J378" si="387">SUM(F367:F378)</f>
        <v>-41715.493247608225</v>
      </c>
      <c r="J378" s="31">
        <f t="shared" si="387"/>
        <v>-36367.832436599798</v>
      </c>
    </row>
    <row r="379" spans="1:10" x14ac:dyDescent="0.3">
      <c r="A379" s="11">
        <v>45962</v>
      </c>
      <c r="B379" s="18">
        <v>-16876.759999999998</v>
      </c>
      <c r="C379" s="18">
        <v>-14420.43</v>
      </c>
      <c r="D379" s="30">
        <f t="shared" si="353"/>
        <v>45962</v>
      </c>
      <c r="E379">
        <v>860.74383385422107</v>
      </c>
      <c r="F379" s="31">
        <f t="shared" si="330"/>
        <v>-17514.395747437928</v>
      </c>
      <c r="G379" s="32">
        <f t="shared" si="357"/>
        <v>-14965.260978305452</v>
      </c>
      <c r="H379" s="30">
        <f t="shared" si="328"/>
        <v>45962</v>
      </c>
      <c r="I379" s="31">
        <f t="shared" ref="I379:J379" si="388">SUM(F368:F379)</f>
        <v>-53070.914546776148</v>
      </c>
      <c r="J379" s="31">
        <f t="shared" si="388"/>
        <v>-44156.877706106839</v>
      </c>
    </row>
    <row r="380" spans="1:10" x14ac:dyDescent="0.3">
      <c r="A380" s="11">
        <v>45992</v>
      </c>
      <c r="B380" s="18">
        <v>21571.89</v>
      </c>
      <c r="C380" s="18">
        <v>6251.08</v>
      </c>
      <c r="D380" s="30">
        <f t="shared" si="353"/>
        <v>45992</v>
      </c>
      <c r="E380">
        <v>863.58428850594009</v>
      </c>
      <c r="F380" s="31">
        <f t="shared" si="330"/>
        <v>22313.282759899444</v>
      </c>
      <c r="G380" s="32">
        <f t="shared" si="357"/>
        <v>6465.9200280898995</v>
      </c>
      <c r="H380" s="30">
        <f t="shared" si="328"/>
        <v>45992</v>
      </c>
      <c r="I380" s="31">
        <f t="shared" ref="I380:J380" si="389">SUM(F369:F380)</f>
        <v>-59583.351359667169</v>
      </c>
      <c r="J380" s="31">
        <f t="shared" si="389"/>
        <v>-54671.765058577024</v>
      </c>
    </row>
    <row r="381" spans="1:10" x14ac:dyDescent="0.3">
      <c r="A381" s="11">
        <v>46023</v>
      </c>
      <c r="B381" s="18">
        <v>87274.32</v>
      </c>
      <c r="C381" s="18">
        <v>103689.08</v>
      </c>
      <c r="D381" s="30">
        <f t="shared" si="353"/>
        <v>46023</v>
      </c>
      <c r="E381">
        <v>866.43411665800977</v>
      </c>
      <c r="F381" s="31">
        <f t="shared" si="330"/>
        <v>89976.880760227708</v>
      </c>
      <c r="G381" s="32">
        <f t="shared" si="357"/>
        <v>106899.94476379432</v>
      </c>
      <c r="H381" s="30">
        <f t="shared" si="328"/>
        <v>46023</v>
      </c>
      <c r="I381" s="31">
        <f t="shared" ref="I381:J381" si="390">SUM(F370:F381)</f>
        <v>-59138.5395655951</v>
      </c>
      <c r="J381" s="31">
        <f t="shared" si="390"/>
        <v>-59857.235701464626</v>
      </c>
    </row>
    <row r="382" spans="1:10" x14ac:dyDescent="0.3">
      <c r="A382" s="11">
        <v>46054</v>
      </c>
      <c r="B382" s="18">
        <v>-29506.63</v>
      </c>
      <c r="C382" s="18">
        <v>-16388.28</v>
      </c>
      <c r="D382" s="30">
        <f t="shared" si="353"/>
        <v>46054</v>
      </c>
      <c r="E382">
        <v>872.4991554746158</v>
      </c>
      <c r="F382" s="31">
        <f t="shared" si="330"/>
        <v>-30208.878326963961</v>
      </c>
      <c r="G382" s="32">
        <f t="shared" si="357"/>
        <v>-16778.315805912669</v>
      </c>
      <c r="H382" s="30">
        <f t="shared" si="328"/>
        <v>46054</v>
      </c>
      <c r="I382" s="31">
        <f t="shared" ref="I382:J382" si="391">SUM(F371:F382)</f>
        <v>-59039.062573056937</v>
      </c>
      <c r="J382" s="31">
        <f t="shared" si="391"/>
        <v>-56470.131544970965</v>
      </c>
    </row>
    <row r="383" spans="1:10" x14ac:dyDescent="0.3">
      <c r="A383" s="11">
        <v>46082</v>
      </c>
      <c r="B383" s="18">
        <v>-74813.37</v>
      </c>
      <c r="C383" s="18">
        <v>-80676.31</v>
      </c>
      <c r="D383" s="30">
        <f t="shared" si="353"/>
        <v>46082</v>
      </c>
      <c r="E383">
        <v>880.1771480427924</v>
      </c>
      <c r="F383" s="31">
        <f t="shared" si="330"/>
        <v>-75925.757536232777</v>
      </c>
      <c r="G383" s="32">
        <f t="shared" si="357"/>
        <v>-81875.872614453168</v>
      </c>
      <c r="H383" s="30">
        <f t="shared" si="328"/>
        <v>46082</v>
      </c>
      <c r="I383" s="31">
        <f t="shared" ref="I383:J383" si="392">SUM(F372:F383)</f>
        <v>-132528.33902547596</v>
      </c>
      <c r="J383" s="31">
        <f t="shared" si="392"/>
        <v>-142138.42044939348</v>
      </c>
    </row>
    <row r="384" spans="1:10" x14ac:dyDescent="0.3">
      <c r="A384" s="11">
        <v>46113</v>
      </c>
      <c r="B384" s="18">
        <v>26075.3</v>
      </c>
      <c r="C384" s="18">
        <v>24623.78</v>
      </c>
      <c r="D384" s="30">
        <f t="shared" si="353"/>
        <v>46113</v>
      </c>
      <c r="E384">
        <v>886.07433493467909</v>
      </c>
      <c r="F384" s="31">
        <f t="shared" si="330"/>
        <v>26286.887148223148</v>
      </c>
      <c r="G384" s="32">
        <f t="shared" si="357"/>
        <v>24823.588837814874</v>
      </c>
      <c r="H384" s="30">
        <f t="shared" si="328"/>
        <v>46113</v>
      </c>
      <c r="I384" s="31">
        <f t="shared" ref="I384:J384" si="393">SUM(F373:F384)</f>
        <v>-123318.61554816554</v>
      </c>
      <c r="J384" s="31">
        <f t="shared" si="393"/>
        <v>-132205.84858451522</v>
      </c>
    </row>
    <row r="385" spans="1:10" x14ac:dyDescent="0.3">
      <c r="A385" s="11">
        <v>46143</v>
      </c>
      <c r="B385" s="18">
        <v>-55168.68</v>
      </c>
      <c r="C385" s="18">
        <v>-56131.43</v>
      </c>
      <c r="D385" s="30">
        <f t="shared" si="353"/>
        <v>46143</v>
      </c>
      <c r="E385">
        <v>891.21356607730024</v>
      </c>
      <c r="F385" s="31">
        <f t="shared" si="330"/>
        <v>-55295.629752921603</v>
      </c>
      <c r="G385" s="32">
        <f t="shared" si="357"/>
        <v>-56260.595156201605</v>
      </c>
      <c r="H385" s="30">
        <f t="shared" si="328"/>
        <v>46143</v>
      </c>
      <c r="I385" s="31">
        <f t="shared" ref="I385:J385" si="394">SUM(F374:F385)</f>
        <v>-139408.29872418771</v>
      </c>
      <c r="J385" s="31">
        <f t="shared" si="394"/>
        <v>-153051.4138102142</v>
      </c>
    </row>
    <row r="386" spans="1:10" x14ac:dyDescent="0.3">
      <c r="A386" s="11">
        <v>46174</v>
      </c>
      <c r="B386" s="18">
        <v>-47235.91</v>
      </c>
      <c r="C386" s="18">
        <v>-55313.04</v>
      </c>
      <c r="D386" s="30">
        <f t="shared" si="353"/>
        <v>46174</v>
      </c>
      <c r="E386">
        <v>892.63950778302399</v>
      </c>
      <c r="F386" s="31">
        <f t="shared" si="330"/>
        <v>-47268.975137000001</v>
      </c>
      <c r="G386" s="32">
        <f t="shared" si="357"/>
        <v>-55351.759127999998</v>
      </c>
      <c r="H386" s="30">
        <f t="shared" si="328"/>
        <v>46174</v>
      </c>
      <c r="I386" s="31">
        <f t="shared" ref="I386:J386" si="395">SUM(F375:F386)</f>
        <v>-141098.11827010621</v>
      </c>
      <c r="J386" s="31">
        <f t="shared" si="395"/>
        <v>-159091.8432409128</v>
      </c>
    </row>
    <row r="387" spans="1:10" x14ac:dyDescent="0.3">
      <c r="A387" s="11">
        <v>46204</v>
      </c>
      <c r="B387" s="18">
        <v>10975.1</v>
      </c>
      <c r="C387" s="18">
        <v>1361.2</v>
      </c>
      <c r="D387" s="30">
        <f t="shared" si="353"/>
        <v>46204</v>
      </c>
      <c r="E387">
        <v>893.26435543847208</v>
      </c>
      <c r="F387" s="31">
        <f t="shared" si="330"/>
        <v>10975.1</v>
      </c>
      <c r="G387" s="32">
        <f t="shared" si="357"/>
        <v>1361.2</v>
      </c>
      <c r="H387" s="30">
        <f t="shared" ref="H387:H388" si="396">D387</f>
        <v>46204</v>
      </c>
      <c r="I387" s="31">
        <f t="shared" ref="I387:J387" si="397">SUM(F376:F387)</f>
        <v>-71258.334270254272</v>
      </c>
      <c r="J387" s="31">
        <f t="shared" si="397"/>
        <v>-88206.807033336096</v>
      </c>
    </row>
    <row r="388" spans="1:10" x14ac:dyDescent="0.3">
      <c r="A388" t="s">
        <v>19</v>
      </c>
      <c r="B388" t="s">
        <v>30</v>
      </c>
      <c r="C388" t="s">
        <v>30</v>
      </c>
      <c r="D388" s="30" t="str">
        <f t="shared" si="353"/>
        <v>Fonte</v>
      </c>
      <c r="E388">
        <v>890.405909501069</v>
      </c>
      <c r="F388" t="e">
        <f t="shared" ref="F388" si="398">B388*($E$387/E388)</f>
        <v>#VALUE!</v>
      </c>
      <c r="G388" t="e">
        <f t="shared" si="357"/>
        <v>#VALUE!</v>
      </c>
      <c r="H388" s="30" t="str">
        <f t="shared" si="396"/>
        <v>Fonte</v>
      </c>
      <c r="I388" s="32"/>
      <c r="J388" s="3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BCBA-DF8A-4A41-83A4-ADEE884B84F1}">
  <dimension ref="A1:F12170"/>
  <sheetViews>
    <sheetView topLeftCell="A376" zoomScaleNormal="100" workbookViewId="0">
      <selection activeCell="C3" sqref="C3:D403"/>
    </sheetView>
  </sheetViews>
  <sheetFormatPr defaultRowHeight="12.75" customHeight="1" x14ac:dyDescent="0.25"/>
  <cols>
    <col min="1" max="1" width="9.77734375" style="34" customWidth="1"/>
    <col min="2" max="2" width="9.109375" style="35" customWidth="1"/>
    <col min="3" max="256" width="9.77734375" style="34" customWidth="1"/>
    <col min="257" max="16384" width="8.88671875" style="34"/>
  </cols>
  <sheetData>
    <row r="1" spans="1:6" ht="14.4" x14ac:dyDescent="0.3">
      <c r="A1" s="34" t="s">
        <v>24</v>
      </c>
      <c r="B1" s="35" t="s">
        <v>12205</v>
      </c>
      <c r="F1"/>
    </row>
    <row r="2" spans="1:6" ht="14.4" x14ac:dyDescent="0.3">
      <c r="A2" s="34" t="s">
        <v>12204</v>
      </c>
      <c r="B2" s="35">
        <v>2.3605191125893699</v>
      </c>
      <c r="D2" s="36"/>
      <c r="F2"/>
    </row>
    <row r="3" spans="1:6" ht="14.4" x14ac:dyDescent="0.3">
      <c r="A3" s="34" t="s">
        <v>12203</v>
      </c>
      <c r="B3" s="35">
        <v>2.3479452307875399</v>
      </c>
      <c r="C3" s="37">
        <f>DATE(1993,5,1)</f>
        <v>34090</v>
      </c>
      <c r="D3" s="35" cm="1">
        <f t="array" ref="D3">IFERROR(LOOKUP(2,1/((RIGHT($A$2:$A$12170,7)=TEXT(C3,"mm/aaaa"))*($B$2:$B$12170&lt;&gt;"")),$B$2:$B$12170),"")</f>
        <v>2.2070362089674398</v>
      </c>
      <c r="F3"/>
    </row>
    <row r="4" spans="1:6" ht="14.4" x14ac:dyDescent="0.3">
      <c r="A4" s="34" t="s">
        <v>12202</v>
      </c>
      <c r="B4" s="35">
        <v>2.17009076043747</v>
      </c>
      <c r="C4" s="37">
        <f>EDATE(C3,1)</f>
        <v>34121</v>
      </c>
      <c r="D4" s="35" cm="1">
        <f t="array" ref="D4">IFERROR(LOOKUP(2,1/((RIGHT($A$2:$A$12170,7)=TEXT(C4,"mm/aaaa"))*($B$2:$B$12170&lt;&gt;"")),$B$2:$B$12170),"")</f>
        <v>3.38201940748838</v>
      </c>
      <c r="F4"/>
    </row>
    <row r="5" spans="1:6" ht="13.2" x14ac:dyDescent="0.25">
      <c r="A5" s="34" t="s">
        <v>12201</v>
      </c>
      <c r="C5" s="37">
        <f t="shared" ref="C5:C68" si="0">EDATE(C4,1)</f>
        <v>34151</v>
      </c>
      <c r="D5" s="35" cm="1">
        <f t="array" ref="D5">IFERROR(LOOKUP(2,1/((RIGHT($A$2:$A$12170,7)=TEXT(C5,"mm/aaaa"))*($B$2:$B$12170&lt;&gt;"")),$B$2:$B$12170),"")</f>
        <v>2.3604006044896999</v>
      </c>
    </row>
    <row r="6" spans="1:6" ht="13.2" x14ac:dyDescent="0.25">
      <c r="A6" s="34" t="s">
        <v>12200</v>
      </c>
      <c r="C6" s="37">
        <f t="shared" si="0"/>
        <v>34182</v>
      </c>
      <c r="D6" s="35" cm="1">
        <f t="array" ref="D6">IFERROR(LOOKUP(2,1/((RIGHT($A$2:$A$12170,7)=TEXT(C6,"mm/aaaa"))*($B$2:$B$12170&lt;&gt;"")),$B$2:$B$12170),"")</f>
        <v>2.8780638891730499</v>
      </c>
    </row>
    <row r="7" spans="1:6" ht="13.2" x14ac:dyDescent="0.25">
      <c r="A7" s="34" t="s">
        <v>12199</v>
      </c>
      <c r="B7" s="35">
        <v>2.2070362089674398</v>
      </c>
      <c r="C7" s="37">
        <f t="shared" si="0"/>
        <v>34213</v>
      </c>
      <c r="D7" s="35" cm="1">
        <f t="array" ref="D7">IFERROR(LOOKUP(2,1/((RIGHT($A$2:$A$12170,7)=TEXT(C7,"mm/aaaa"))*($B$2:$B$12170&lt;&gt;"")),$B$2:$B$12170),"")</f>
        <v>3.0595345168841601</v>
      </c>
    </row>
    <row r="8" spans="1:6" ht="13.2" x14ac:dyDescent="0.25">
      <c r="A8" s="34" t="s">
        <v>12198</v>
      </c>
      <c r="B8" s="35">
        <v>2.3843925803577499</v>
      </c>
      <c r="C8" s="37">
        <f t="shared" si="0"/>
        <v>34243</v>
      </c>
      <c r="D8" s="35" cm="1">
        <f t="array" ref="D8">IFERROR(LOOKUP(2,1/((RIGHT($A$2:$A$12170,7)=TEXT(C8,"mm/aaaa"))*($B$2:$B$12170&lt;&gt;"")),$B$2:$B$12170),"")</f>
        <v>5.4759475553955799</v>
      </c>
    </row>
    <row r="9" spans="1:6" ht="13.2" x14ac:dyDescent="0.25">
      <c r="A9" s="34" t="s">
        <v>12197</v>
      </c>
      <c r="B9" s="35">
        <v>2.4875801840710801</v>
      </c>
      <c r="C9" s="37">
        <f t="shared" si="0"/>
        <v>34274</v>
      </c>
      <c r="D9" s="35" cm="1">
        <f t="array" ref="D9">IFERROR(LOOKUP(2,1/((RIGHT($A$2:$A$12170,7)=TEXT(C9,"mm/aaaa"))*($B$2:$B$12170&lt;&gt;"")),$B$2:$B$12170),"")</f>
        <v>3.0718843266977802</v>
      </c>
    </row>
    <row r="10" spans="1:6" ht="13.2" x14ac:dyDescent="0.25">
      <c r="A10" s="34" t="s">
        <v>12196</v>
      </c>
      <c r="B10" s="35">
        <v>2.3833146193999402</v>
      </c>
      <c r="C10" s="37">
        <f t="shared" si="0"/>
        <v>34304</v>
      </c>
      <c r="D10" s="35" cm="1">
        <f t="array" ref="D10">IFERROR(LOOKUP(2,1/((RIGHT($A$2:$A$12170,7)=TEXT(C10,"mm/aaaa"))*($B$2:$B$12170&lt;&gt;"")),$B$2:$B$12170),"")</f>
        <v>2.3973512022967598</v>
      </c>
    </row>
    <row r="11" spans="1:6" ht="13.2" x14ac:dyDescent="0.25">
      <c r="A11" s="34" t="s">
        <v>12195</v>
      </c>
      <c r="B11" s="35">
        <v>2.3743001997056599</v>
      </c>
      <c r="C11" s="37">
        <f t="shared" si="0"/>
        <v>34335</v>
      </c>
      <c r="D11" s="35" cm="1">
        <f t="array" ref="D11">IFERROR(LOOKUP(2,1/((RIGHT($A$2:$A$12170,7)=TEXT(C11,"mm/aaaa"))*($B$2:$B$12170&lt;&gt;"")),$B$2:$B$12170),"")</f>
        <v>3.28163503198755</v>
      </c>
    </row>
    <row r="12" spans="1:6" ht="13.2" x14ac:dyDescent="0.25">
      <c r="A12" s="34" t="s">
        <v>12194</v>
      </c>
      <c r="C12" s="37">
        <f t="shared" si="0"/>
        <v>34366</v>
      </c>
      <c r="D12" s="35" cm="1">
        <f t="array" ref="D12">IFERROR(LOOKUP(2,1/((RIGHT($A$2:$A$12170,7)=TEXT(C12,"mm/aaaa"))*($B$2:$B$12170&lt;&gt;"")),$B$2:$B$12170),"")</f>
        <v>5.40909721831843</v>
      </c>
    </row>
    <row r="13" spans="1:6" ht="13.2" x14ac:dyDescent="0.25">
      <c r="A13" s="34" t="s">
        <v>12193</v>
      </c>
      <c r="C13" s="37">
        <f t="shared" si="0"/>
        <v>34394</v>
      </c>
      <c r="D13" s="35" cm="1">
        <f t="array" ref="D13">IFERROR(LOOKUP(2,1/((RIGHT($A$2:$A$12170,7)=TEXT(C13,"mm/aaaa"))*($B$2:$B$12170&lt;&gt;"")),$B$2:$B$12170),"")</f>
        <v>3.8729900200362302</v>
      </c>
    </row>
    <row r="14" spans="1:6" ht="13.2" x14ac:dyDescent="0.25">
      <c r="A14" s="34" t="s">
        <v>12192</v>
      </c>
      <c r="B14" s="35">
        <v>2.3497365000318799</v>
      </c>
      <c r="C14" s="37">
        <f t="shared" si="0"/>
        <v>34425</v>
      </c>
      <c r="D14" s="35" cm="1">
        <f t="array" ref="D14">IFERROR(LOOKUP(2,1/((RIGHT($A$2:$A$12170,7)=TEXT(C14,"mm/aaaa"))*($B$2:$B$12170&lt;&gt;"")),$B$2:$B$12170),"")</f>
        <v>5.3568214465595396</v>
      </c>
    </row>
    <row r="15" spans="1:6" ht="13.2" x14ac:dyDescent="0.25">
      <c r="A15" s="34" t="s">
        <v>12191</v>
      </c>
      <c r="B15" s="35">
        <v>2.1633081498067699</v>
      </c>
      <c r="C15" s="37">
        <f t="shared" si="0"/>
        <v>34455</v>
      </c>
      <c r="D15" s="35" cm="1">
        <f t="array" ref="D15">IFERROR(LOOKUP(2,1/((RIGHT($A$2:$A$12170,7)=TEXT(C15,"mm/aaaa"))*($B$2:$B$12170&lt;&gt;"")),$B$2:$B$12170),"")</f>
        <v>5.2151502674538097</v>
      </c>
    </row>
    <row r="16" spans="1:6" ht="13.2" x14ac:dyDescent="0.25">
      <c r="A16" s="34" t="s">
        <v>12190</v>
      </c>
      <c r="B16" s="35">
        <v>2.2983789658217999</v>
      </c>
      <c r="C16" s="37">
        <f t="shared" si="0"/>
        <v>34486</v>
      </c>
      <c r="D16" s="35" cm="1">
        <f t="array" ref="D16">IFERROR(LOOKUP(2,1/((RIGHT($A$2:$A$12170,7)=TEXT(C16,"mm/aaaa"))*($B$2:$B$12170&lt;&gt;"")),$B$2:$B$12170),"")</f>
        <v>4.0510311279018199</v>
      </c>
    </row>
    <row r="17" spans="1:4" ht="13.2" x14ac:dyDescent="0.25">
      <c r="A17" s="34" t="s">
        <v>12189</v>
      </c>
      <c r="C17" s="37">
        <f t="shared" si="0"/>
        <v>34516</v>
      </c>
      <c r="D17" s="35" cm="1">
        <f t="array" ref="D17">IFERROR(LOOKUP(2,1/((RIGHT($A$2:$A$12170,7)=TEXT(C17,"mm/aaaa"))*($B$2:$B$12170&lt;&gt;"")),$B$2:$B$12170),"")</f>
        <v>2.9107447586049902</v>
      </c>
    </row>
    <row r="18" spans="1:4" ht="13.2" x14ac:dyDescent="0.25">
      <c r="A18" s="34" t="s">
        <v>12188</v>
      </c>
      <c r="B18" s="35">
        <v>2.6057660584485198</v>
      </c>
      <c r="C18" s="37">
        <f t="shared" si="0"/>
        <v>34547</v>
      </c>
      <c r="D18" s="35" cm="1">
        <f t="array" ref="D18">IFERROR(LOOKUP(2,1/((RIGHT($A$2:$A$12170,7)=TEXT(C18,"mm/aaaa"))*($B$2:$B$12170&lt;&gt;"")),$B$2:$B$12170),"")</f>
        <v>2.0852279924829</v>
      </c>
    </row>
    <row r="19" spans="1:4" ht="13.2" x14ac:dyDescent="0.25">
      <c r="A19" s="34" t="s">
        <v>12187</v>
      </c>
      <c r="C19" s="37">
        <f t="shared" si="0"/>
        <v>34578</v>
      </c>
      <c r="D19" s="35" cm="1">
        <f t="array" ref="D19">IFERROR(LOOKUP(2,1/((RIGHT($A$2:$A$12170,7)=TEXT(C19,"mm/aaaa"))*($B$2:$B$12170&lt;&gt;"")),$B$2:$B$12170),"")</f>
        <v>3.4343090542706798</v>
      </c>
    </row>
    <row r="20" spans="1:4" ht="13.2" x14ac:dyDescent="0.25">
      <c r="A20" s="34" t="s">
        <v>12186</v>
      </c>
      <c r="C20" s="37">
        <f t="shared" si="0"/>
        <v>34608</v>
      </c>
      <c r="D20" s="35" cm="1">
        <f t="array" ref="D20">IFERROR(LOOKUP(2,1/((RIGHT($A$2:$A$12170,7)=TEXT(C20,"mm/aaaa"))*($B$2:$B$12170&lt;&gt;"")),$B$2:$B$12170),"")</f>
        <v>2.9277644601174</v>
      </c>
    </row>
    <row r="21" spans="1:4" ht="13.2" x14ac:dyDescent="0.25">
      <c r="A21" s="34" t="s">
        <v>12185</v>
      </c>
      <c r="B21" s="35">
        <v>2.6351931166310298</v>
      </c>
      <c r="C21" s="37">
        <f t="shared" si="0"/>
        <v>34639</v>
      </c>
      <c r="D21" s="35" cm="1">
        <f t="array" ref="D21">IFERROR(LOOKUP(2,1/((RIGHT($A$2:$A$12170,7)=TEXT(C21,"mm/aaaa"))*($B$2:$B$12170&lt;&gt;"")),$B$2:$B$12170),"")</f>
        <v>2.9493352455202402</v>
      </c>
    </row>
    <row r="22" spans="1:4" ht="13.2" x14ac:dyDescent="0.25">
      <c r="A22" s="34" t="s">
        <v>12184</v>
      </c>
      <c r="B22" s="35">
        <v>2.6337106607250198</v>
      </c>
      <c r="C22" s="37">
        <f t="shared" si="0"/>
        <v>34669</v>
      </c>
      <c r="D22" s="35" cm="1">
        <f t="array" ref="D22">IFERROR(LOOKUP(2,1/((RIGHT($A$2:$A$12170,7)=TEXT(C22,"mm/aaaa"))*($B$2:$B$12170&lt;&gt;"")),$B$2:$B$12170),"")</f>
        <v>3.0173709768483898</v>
      </c>
    </row>
    <row r="23" spans="1:4" ht="13.2" x14ac:dyDescent="0.25">
      <c r="A23" s="34" t="s">
        <v>12183</v>
      </c>
      <c r="B23" s="35">
        <v>2.78304947550318</v>
      </c>
      <c r="C23" s="37">
        <f t="shared" si="0"/>
        <v>34700</v>
      </c>
      <c r="D23" s="35" cm="1">
        <f t="array" ref="D23">IFERROR(LOOKUP(2,1/((RIGHT($A$2:$A$12170,7)=TEXT(C23,"mm/aaaa"))*($B$2:$B$12170&lt;&gt;"")),$B$2:$B$12170),"")</f>
        <v>5.3614279907724702</v>
      </c>
    </row>
    <row r="24" spans="1:4" ht="13.2" x14ac:dyDescent="0.25">
      <c r="A24" s="34" t="s">
        <v>12182</v>
      </c>
      <c r="B24" s="35">
        <v>3.1848537017793701</v>
      </c>
      <c r="C24" s="37">
        <f t="shared" si="0"/>
        <v>34731</v>
      </c>
      <c r="D24" s="35" cm="1">
        <f t="array" ref="D24">IFERROR(LOOKUP(2,1/((RIGHT($A$2:$A$12170,7)=TEXT(C24,"mm/aaaa"))*($B$2:$B$12170&lt;&gt;"")),$B$2:$B$12170),"")</f>
        <v>4.7830692109212203</v>
      </c>
    </row>
    <row r="25" spans="1:4" ht="13.2" x14ac:dyDescent="0.25">
      <c r="A25" s="34" t="s">
        <v>12181</v>
      </c>
      <c r="B25" s="35">
        <v>3.1984616975643698</v>
      </c>
      <c r="C25" s="37">
        <f t="shared" si="0"/>
        <v>34759</v>
      </c>
      <c r="D25" s="35" cm="1">
        <f t="array" ref="D25">IFERROR(LOOKUP(2,1/((RIGHT($A$2:$A$12170,7)=TEXT(C25,"mm/aaaa"))*($B$2:$B$12170&lt;&gt;"")),$B$2:$B$12170),"")</f>
        <v>7.7365376235932803</v>
      </c>
    </row>
    <row r="26" spans="1:4" ht="13.2" x14ac:dyDescent="0.25">
      <c r="A26" s="34" t="s">
        <v>12180</v>
      </c>
      <c r="C26" s="37">
        <f t="shared" si="0"/>
        <v>34790</v>
      </c>
      <c r="D26" s="35" cm="1">
        <f t="array" ref="D26">IFERROR(LOOKUP(2,1/((RIGHT($A$2:$A$12170,7)=TEXT(C26,"mm/aaaa"))*($B$2:$B$12170&lt;&gt;"")),$B$2:$B$12170),"")</f>
        <v>3.3338172924227001</v>
      </c>
    </row>
    <row r="27" spans="1:4" ht="13.2" x14ac:dyDescent="0.25">
      <c r="A27" s="34" t="s">
        <v>12179</v>
      </c>
      <c r="C27" s="37">
        <f t="shared" si="0"/>
        <v>34820</v>
      </c>
      <c r="D27" s="35" cm="1">
        <f t="array" ref="D27">IFERROR(LOOKUP(2,1/((RIGHT($A$2:$A$12170,7)=TEXT(C27,"mm/aaaa"))*($B$2:$B$12170&lt;&gt;"")),$B$2:$B$12170),"")</f>
        <v>2.3048042332216001</v>
      </c>
    </row>
    <row r="28" spans="1:4" ht="13.2" x14ac:dyDescent="0.25">
      <c r="A28" s="34" t="s">
        <v>12178</v>
      </c>
      <c r="B28" s="35">
        <v>3.0269140472364899</v>
      </c>
      <c r="C28" s="37">
        <f t="shared" si="0"/>
        <v>34851</v>
      </c>
      <c r="D28" s="35" cm="1">
        <f t="array" ref="D28">IFERROR(LOOKUP(2,1/((RIGHT($A$2:$A$12170,7)=TEXT(C28,"mm/aaaa"))*($B$2:$B$12170&lt;&gt;"")),$B$2:$B$12170),"")</f>
        <v>2.4534621574734499</v>
      </c>
    </row>
    <row r="29" spans="1:4" ht="13.2" x14ac:dyDescent="0.25">
      <c r="A29" s="34" t="s">
        <v>12177</v>
      </c>
      <c r="B29" s="35">
        <v>3.0166209460004598</v>
      </c>
      <c r="C29" s="37">
        <f t="shared" si="0"/>
        <v>34881</v>
      </c>
      <c r="D29" s="35" cm="1">
        <f t="array" ref="D29">IFERROR(LOOKUP(2,1/((RIGHT($A$2:$A$12170,7)=TEXT(C29,"mm/aaaa"))*($B$2:$B$12170&lt;&gt;"")),$B$2:$B$12170),"")</f>
        <v>1.8383507068062199</v>
      </c>
    </row>
    <row r="30" spans="1:4" ht="13.2" x14ac:dyDescent="0.25">
      <c r="A30" s="34" t="s">
        <v>12176</v>
      </c>
      <c r="B30" s="35">
        <v>3.1915252057752599</v>
      </c>
      <c r="C30" s="37">
        <f t="shared" si="0"/>
        <v>34912</v>
      </c>
      <c r="D30" s="35" cm="1">
        <f t="array" ref="D30">IFERROR(LOOKUP(2,1/((RIGHT($A$2:$A$12170,7)=TEXT(C30,"mm/aaaa"))*($B$2:$B$12170&lt;&gt;"")),$B$2:$B$12170),"")</f>
        <v>2.3846738846604398</v>
      </c>
    </row>
    <row r="31" spans="1:4" ht="13.2" x14ac:dyDescent="0.25">
      <c r="A31" s="34" t="s">
        <v>12175</v>
      </c>
      <c r="B31" s="35">
        <v>3.19289396249376</v>
      </c>
      <c r="C31" s="37">
        <f t="shared" si="0"/>
        <v>34943</v>
      </c>
      <c r="D31" s="35" cm="1">
        <f t="array" ref="D31">IFERROR(LOOKUP(2,1/((RIGHT($A$2:$A$12170,7)=TEXT(C31,"mm/aaaa"))*($B$2:$B$12170&lt;&gt;"")),$B$2:$B$12170),"")</f>
        <v>1.4126607467930801</v>
      </c>
    </row>
    <row r="32" spans="1:4" ht="13.2" x14ac:dyDescent="0.25">
      <c r="A32" s="34" t="s">
        <v>12174</v>
      </c>
      <c r="B32" s="35">
        <v>3.3950262044513</v>
      </c>
      <c r="C32" s="37">
        <f t="shared" si="0"/>
        <v>34973</v>
      </c>
      <c r="D32" s="35" cm="1">
        <f t="array" ref="D32">IFERROR(LOOKUP(2,1/((RIGHT($A$2:$A$12170,7)=TEXT(C32,"mm/aaaa"))*($B$2:$B$12170&lt;&gt;"")),$B$2:$B$12170),"")</f>
        <v>2.22094327833529</v>
      </c>
    </row>
    <row r="33" spans="1:4" ht="13.2" x14ac:dyDescent="0.25">
      <c r="A33" s="34" t="s">
        <v>12173</v>
      </c>
      <c r="C33" s="37">
        <f t="shared" si="0"/>
        <v>35004</v>
      </c>
      <c r="D33" s="35" cm="1">
        <f t="array" ref="D33">IFERROR(LOOKUP(2,1/((RIGHT($A$2:$A$12170,7)=TEXT(C33,"mm/aaaa"))*($B$2:$B$12170&lt;&gt;"")),$B$2:$B$12170),"")</f>
        <v>2.5042218691439802</v>
      </c>
    </row>
    <row r="34" spans="1:4" ht="13.2" x14ac:dyDescent="0.25">
      <c r="A34" s="34" t="s">
        <v>12172</v>
      </c>
      <c r="C34" s="37">
        <f t="shared" si="0"/>
        <v>35034</v>
      </c>
      <c r="D34" s="35" cm="1">
        <f t="array" ref="D34">IFERROR(LOOKUP(2,1/((RIGHT($A$2:$A$12170,7)=TEXT(C34,"mm/aaaa"))*($B$2:$B$12170&lt;&gt;"")),$B$2:$B$12170),"")</f>
        <v>2.0580277502531499</v>
      </c>
    </row>
    <row r="35" spans="1:4" ht="13.2" x14ac:dyDescent="0.25">
      <c r="A35" s="34" t="s">
        <v>12171</v>
      </c>
      <c r="B35" s="35">
        <v>3.34999482323513</v>
      </c>
      <c r="C35" s="37">
        <f t="shared" si="0"/>
        <v>35065</v>
      </c>
      <c r="D35" s="35" cm="1">
        <f t="array" ref="D35">IFERROR(LOOKUP(2,1/((RIGHT($A$2:$A$12170,7)=TEXT(C35,"mm/aaaa"))*($B$2:$B$12170&lt;&gt;"")),$B$2:$B$12170),"")</f>
        <v>1.8932619488926099</v>
      </c>
    </row>
    <row r="36" spans="1:4" ht="13.2" x14ac:dyDescent="0.25">
      <c r="A36" s="34" t="s">
        <v>12170</v>
      </c>
      <c r="B36" s="35">
        <v>3.4099924981060399</v>
      </c>
      <c r="C36" s="37">
        <f t="shared" si="0"/>
        <v>35096</v>
      </c>
      <c r="D36" s="35" cm="1">
        <f t="array" ref="D36">IFERROR(LOOKUP(2,1/((RIGHT($A$2:$A$12170,7)=TEXT(C36,"mm/aaaa"))*($B$2:$B$12170&lt;&gt;"")),$B$2:$B$12170),"")</f>
        <v>1.81098041898812</v>
      </c>
    </row>
    <row r="37" spans="1:4" ht="13.2" x14ac:dyDescent="0.25">
      <c r="A37" s="34" t="s">
        <v>12169</v>
      </c>
      <c r="B37" s="35">
        <v>3.38201940748838</v>
      </c>
      <c r="C37" s="37">
        <f t="shared" si="0"/>
        <v>35125</v>
      </c>
      <c r="D37" s="35" cm="1">
        <f t="array" ref="D37">IFERROR(LOOKUP(2,1/((RIGHT($A$2:$A$12170,7)=TEXT(C37,"mm/aaaa"))*($B$2:$B$12170&lt;&gt;"")),$B$2:$B$12170),"")</f>
        <v>1.80844348062621</v>
      </c>
    </row>
    <row r="38" spans="1:4" ht="13.2" x14ac:dyDescent="0.25">
      <c r="A38" s="34" t="s">
        <v>12168</v>
      </c>
      <c r="B38" s="35">
        <v>3.3776024145638299</v>
      </c>
      <c r="C38" s="37">
        <f t="shared" si="0"/>
        <v>35156</v>
      </c>
      <c r="D38" s="35" cm="1">
        <f t="array" ref="D38">IFERROR(LOOKUP(2,1/((RIGHT($A$2:$A$12170,7)=TEXT(C38,"mm/aaaa"))*($B$2:$B$12170&lt;&gt;"")),$B$2:$B$12170),"")</f>
        <v>1.0001045037241301</v>
      </c>
    </row>
    <row r="39" spans="1:4" ht="13.2" x14ac:dyDescent="0.25">
      <c r="A39" s="34" t="s">
        <v>12167</v>
      </c>
      <c r="B39" s="35">
        <v>3.2740550481979902</v>
      </c>
      <c r="C39" s="37">
        <f t="shared" si="0"/>
        <v>35186</v>
      </c>
      <c r="D39" s="35" cm="1">
        <f t="array" ref="D39">IFERROR(LOOKUP(2,1/((RIGHT($A$2:$A$12170,7)=TEXT(C39,"mm/aaaa"))*($B$2:$B$12170&lt;&gt;"")),$B$2:$B$12170),"")</f>
        <v>1.34889364447159</v>
      </c>
    </row>
    <row r="40" spans="1:4" ht="13.2" x14ac:dyDescent="0.25">
      <c r="A40" s="34" t="s">
        <v>12166</v>
      </c>
      <c r="C40" s="37">
        <f t="shared" si="0"/>
        <v>35217</v>
      </c>
      <c r="D40" s="35" cm="1">
        <f t="array" ref="D40">IFERROR(LOOKUP(2,1/((RIGHT($A$2:$A$12170,7)=TEXT(C40,"mm/aaaa"))*($B$2:$B$12170&lt;&gt;"")),$B$2:$B$12170),"")</f>
        <v>1.7947104265574301</v>
      </c>
    </row>
    <row r="41" spans="1:4" ht="13.2" x14ac:dyDescent="0.25">
      <c r="A41" s="34" t="s">
        <v>12165</v>
      </c>
      <c r="C41" s="37">
        <f t="shared" si="0"/>
        <v>35247</v>
      </c>
      <c r="D41" s="35" cm="1">
        <f t="array" ref="D41">IFERROR(LOOKUP(2,1/((RIGHT($A$2:$A$12170,7)=TEXT(C41,"mm/aaaa"))*($B$2:$B$12170&lt;&gt;"")),$B$2:$B$12170),"")</f>
        <v>2.07144746564328</v>
      </c>
    </row>
    <row r="42" spans="1:4" ht="13.2" x14ac:dyDescent="0.25">
      <c r="A42" s="34" t="s">
        <v>12164</v>
      </c>
      <c r="B42" s="35">
        <v>3.3228664201154801</v>
      </c>
      <c r="C42" s="37">
        <f t="shared" si="0"/>
        <v>35278</v>
      </c>
      <c r="D42" s="35" cm="1">
        <f t="array" ref="D42">IFERROR(LOOKUP(2,1/((RIGHT($A$2:$A$12170,7)=TEXT(C42,"mm/aaaa"))*($B$2:$B$12170&lt;&gt;"")),$B$2:$B$12170),"")</f>
        <v>1.4151689760616699</v>
      </c>
    </row>
    <row r="43" spans="1:4" ht="13.2" x14ac:dyDescent="0.25">
      <c r="A43" s="34" t="s">
        <v>12163</v>
      </c>
      <c r="B43" s="35">
        <v>3.3251367709697499</v>
      </c>
      <c r="C43" s="37">
        <f t="shared" si="0"/>
        <v>35309</v>
      </c>
      <c r="D43" s="35" cm="1">
        <f t="array" ref="D43">IFERROR(LOOKUP(2,1/((RIGHT($A$2:$A$12170,7)=TEXT(C43,"mm/aaaa"))*($B$2:$B$12170&lt;&gt;"")),$B$2:$B$12170),"")</f>
        <v>0.71390622801543901</v>
      </c>
    </row>
    <row r="44" spans="1:4" ht="13.2" x14ac:dyDescent="0.25">
      <c r="A44" s="34" t="s">
        <v>12162</v>
      </c>
      <c r="B44" s="35">
        <v>3.3260997448479799</v>
      </c>
      <c r="C44" s="37">
        <f t="shared" si="0"/>
        <v>35339</v>
      </c>
      <c r="D44" s="35" cm="1">
        <f t="array" ref="D44">IFERROR(LOOKUP(2,1/((RIGHT($A$2:$A$12170,7)=TEXT(C44,"mm/aaaa"))*($B$2:$B$12170&lt;&gt;"")),$B$2:$B$12170),"")</f>
        <v>0.99099419956282797</v>
      </c>
    </row>
    <row r="45" spans="1:4" ht="13.2" x14ac:dyDescent="0.25">
      <c r="A45" s="34" t="s">
        <v>12161</v>
      </c>
      <c r="B45" s="35">
        <v>3.34499401800998</v>
      </c>
      <c r="C45" s="37">
        <f t="shared" si="0"/>
        <v>35370</v>
      </c>
      <c r="D45" s="35" cm="1">
        <f t="array" ref="D45">IFERROR(LOOKUP(2,1/((RIGHT($A$2:$A$12170,7)=TEXT(C45,"mm/aaaa"))*($B$2:$B$12170&lt;&gt;"")),$B$2:$B$12170),"")</f>
        <v>0.74710312232663501</v>
      </c>
    </row>
    <row r="46" spans="1:4" ht="13.2" x14ac:dyDescent="0.25">
      <c r="A46" s="34" t="s">
        <v>12160</v>
      </c>
      <c r="B46" s="35">
        <v>3.28110148205268</v>
      </c>
      <c r="C46" s="37">
        <f t="shared" si="0"/>
        <v>35400</v>
      </c>
      <c r="D46" s="35" cm="1">
        <f t="array" ref="D46">IFERROR(LOOKUP(2,1/((RIGHT($A$2:$A$12170,7)=TEXT(C46,"mm/aaaa"))*($B$2:$B$12170&lt;&gt;"")),$B$2:$B$12170),"")</f>
        <v>1.11608892715042</v>
      </c>
    </row>
    <row r="47" spans="1:4" ht="13.2" x14ac:dyDescent="0.25">
      <c r="A47" s="34" t="s">
        <v>12159</v>
      </c>
      <c r="C47" s="37">
        <f t="shared" si="0"/>
        <v>35431</v>
      </c>
      <c r="D47" s="35" cm="1">
        <f t="array" ref="D47">IFERROR(LOOKUP(2,1/((RIGHT($A$2:$A$12170,7)=TEXT(C47,"mm/aaaa"))*($B$2:$B$12170&lt;&gt;"")),$B$2:$B$12170),"")</f>
        <v>1.38592664094971</v>
      </c>
    </row>
    <row r="48" spans="1:4" ht="13.2" x14ac:dyDescent="0.25">
      <c r="A48" s="34" t="s">
        <v>12158</v>
      </c>
      <c r="C48" s="37">
        <f t="shared" si="0"/>
        <v>35462</v>
      </c>
      <c r="D48" s="35" cm="1">
        <f t="array" ref="D48">IFERROR(LOOKUP(2,1/((RIGHT($A$2:$A$12170,7)=TEXT(C48,"mm/aaaa"))*($B$2:$B$12170&lt;&gt;"")),$B$2:$B$12170),"")</f>
        <v>1.97985412776047</v>
      </c>
    </row>
    <row r="49" spans="1:4" ht="13.2" x14ac:dyDescent="0.25">
      <c r="A49" s="34" t="s">
        <v>12157</v>
      </c>
      <c r="B49" s="35">
        <v>2.9561848211932502</v>
      </c>
      <c r="C49" s="37">
        <f t="shared" si="0"/>
        <v>35490</v>
      </c>
      <c r="D49" s="35" cm="1">
        <f t="array" ref="D49">IFERROR(LOOKUP(2,1/((RIGHT($A$2:$A$12170,7)=TEXT(C49,"mm/aaaa"))*($B$2:$B$12170&lt;&gt;"")),$B$2:$B$12170),"")</f>
        <v>1.6505538186108499</v>
      </c>
    </row>
    <row r="50" spans="1:4" ht="13.2" x14ac:dyDescent="0.25">
      <c r="A50" s="34" t="s">
        <v>12156</v>
      </c>
      <c r="B50" s="35">
        <v>2.95235542489154</v>
      </c>
      <c r="C50" s="37">
        <f t="shared" si="0"/>
        <v>35521</v>
      </c>
      <c r="D50" s="35" cm="1">
        <f t="array" ref="D50">IFERROR(LOOKUP(2,1/((RIGHT($A$2:$A$12170,7)=TEXT(C50,"mm/aaaa"))*($B$2:$B$12170&lt;&gt;"")),$B$2:$B$12170),"")</f>
        <v>1.32931638424631</v>
      </c>
    </row>
    <row r="51" spans="1:4" ht="13.2" x14ac:dyDescent="0.25">
      <c r="A51" s="34" t="s">
        <v>12155</v>
      </c>
      <c r="B51" s="35">
        <v>3.1808380352460599</v>
      </c>
      <c r="C51" s="37">
        <f t="shared" si="0"/>
        <v>35551</v>
      </c>
      <c r="D51" s="35" cm="1">
        <f t="array" ref="D51">IFERROR(LOOKUP(2,1/((RIGHT($A$2:$A$12170,7)=TEXT(C51,"mm/aaaa"))*($B$2:$B$12170&lt;&gt;"")),$B$2:$B$12170),"")</f>
        <v>1.2927681971410101</v>
      </c>
    </row>
    <row r="52" spans="1:4" ht="13.2" x14ac:dyDescent="0.25">
      <c r="A52" s="34" t="s">
        <v>12154</v>
      </c>
      <c r="B52" s="35">
        <v>2.8885733471894399</v>
      </c>
      <c r="C52" s="37">
        <f t="shared" si="0"/>
        <v>35582</v>
      </c>
      <c r="D52" s="35" cm="1">
        <f t="array" ref="D52">IFERROR(LOOKUP(2,1/((RIGHT($A$2:$A$12170,7)=TEXT(C52,"mm/aaaa"))*($B$2:$B$12170&lt;&gt;"")),$B$2:$B$12170),"")</f>
        <v>1.5240465708713899</v>
      </c>
    </row>
    <row r="53" spans="1:4" ht="13.2" x14ac:dyDescent="0.25">
      <c r="A53" s="34" t="s">
        <v>12153</v>
      </c>
      <c r="B53" s="35">
        <v>2.6152615472023899</v>
      </c>
      <c r="C53" s="37">
        <f t="shared" si="0"/>
        <v>35612</v>
      </c>
      <c r="D53" s="35" cm="1">
        <f t="array" ref="D53">IFERROR(LOOKUP(2,1/((RIGHT($A$2:$A$12170,7)=TEXT(C53,"mm/aaaa"))*($B$2:$B$12170&lt;&gt;"")),$B$2:$B$12170),"")</f>
        <v>4.1319691394591702</v>
      </c>
    </row>
    <row r="54" spans="1:4" ht="13.2" x14ac:dyDescent="0.25">
      <c r="A54" s="34" t="s">
        <v>12152</v>
      </c>
      <c r="C54" s="37">
        <f t="shared" si="0"/>
        <v>35643</v>
      </c>
      <c r="D54" s="35" cm="1">
        <f t="array" ref="D54">IFERROR(LOOKUP(2,1/((RIGHT($A$2:$A$12170,7)=TEXT(C54,"mm/aaaa"))*($B$2:$B$12170&lt;&gt;"")),$B$2:$B$12170),"")</f>
        <v>2.7496896373189399</v>
      </c>
    </row>
    <row r="55" spans="1:4" ht="13.2" x14ac:dyDescent="0.25">
      <c r="A55" s="34" t="s">
        <v>12151</v>
      </c>
      <c r="C55" s="37">
        <f t="shared" si="0"/>
        <v>35674</v>
      </c>
      <c r="D55" s="35" cm="1">
        <f t="array" ref="D55">IFERROR(LOOKUP(2,1/((RIGHT($A$2:$A$12170,7)=TEXT(C55,"mm/aaaa"))*($B$2:$B$12170&lt;&gt;"")),$B$2:$B$12170),"")</f>
        <v>2.7841249024547898</v>
      </c>
    </row>
    <row r="56" spans="1:4" ht="13.2" x14ac:dyDescent="0.25">
      <c r="A56" s="34" t="s">
        <v>12150</v>
      </c>
      <c r="B56" s="35">
        <v>2.61605422012018</v>
      </c>
      <c r="C56" s="37">
        <f t="shared" si="0"/>
        <v>35704</v>
      </c>
      <c r="D56" s="35" cm="1">
        <f t="array" ref="D56">IFERROR(LOOKUP(2,1/((RIGHT($A$2:$A$12170,7)=TEXT(C56,"mm/aaaa"))*($B$2:$B$12170&lt;&gt;"")),$B$2:$B$12170),"")</f>
        <v>5.03507712023245</v>
      </c>
    </row>
    <row r="57" spans="1:4" ht="13.2" x14ac:dyDescent="0.25">
      <c r="A57" s="34" t="s">
        <v>12149</v>
      </c>
      <c r="B57" s="35">
        <v>2.7609531350548902</v>
      </c>
      <c r="C57" s="37">
        <f t="shared" si="0"/>
        <v>35735</v>
      </c>
      <c r="D57" s="35" cm="1">
        <f t="array" ref="D57">IFERROR(LOOKUP(2,1/((RIGHT($A$2:$A$12170,7)=TEXT(C57,"mm/aaaa"))*($B$2:$B$12170&lt;&gt;"")),$B$2:$B$12170),"")</f>
        <v>4.7739641024210799</v>
      </c>
    </row>
    <row r="58" spans="1:4" ht="13.2" x14ac:dyDescent="0.25">
      <c r="A58" s="34" t="s">
        <v>12148</v>
      </c>
      <c r="B58" s="35">
        <v>2.7328771270590702</v>
      </c>
      <c r="C58" s="37">
        <f t="shared" si="0"/>
        <v>35765</v>
      </c>
      <c r="D58" s="35" cm="1">
        <f t="array" ref="D58">IFERROR(LOOKUP(2,1/((RIGHT($A$2:$A$12170,7)=TEXT(C58,"mm/aaaa"))*($B$2:$B$12170&lt;&gt;"")),$B$2:$B$12170),"")</f>
        <v>2.6607477382412599</v>
      </c>
    </row>
    <row r="59" spans="1:4" ht="13.2" x14ac:dyDescent="0.25">
      <c r="A59" s="34" t="s">
        <v>12147</v>
      </c>
      <c r="B59" s="35">
        <v>2.6243162817430501</v>
      </c>
      <c r="C59" s="37">
        <f t="shared" si="0"/>
        <v>35796</v>
      </c>
      <c r="D59" s="35" cm="1">
        <f t="array" ref="D59">IFERROR(LOOKUP(2,1/((RIGHT($A$2:$A$12170,7)=TEXT(C59,"mm/aaaa"))*($B$2:$B$12170&lt;&gt;"")),$B$2:$B$12170),"")</f>
        <v>2.5852799502133301</v>
      </c>
    </row>
    <row r="60" spans="1:4" ht="13.2" x14ac:dyDescent="0.25">
      <c r="A60" s="34" t="s">
        <v>12146</v>
      </c>
      <c r="B60" s="35">
        <v>2.6501513263778702</v>
      </c>
      <c r="C60" s="37">
        <f t="shared" si="0"/>
        <v>35827</v>
      </c>
      <c r="D60" s="35" cm="1">
        <f t="array" ref="D60">IFERROR(LOOKUP(2,1/((RIGHT($A$2:$A$12170,7)=TEXT(C60,"mm/aaaa"))*($B$2:$B$12170&lt;&gt;"")),$B$2:$B$12170),"")</f>
        <v>1.2180046225972401</v>
      </c>
    </row>
    <row r="61" spans="1:4" ht="13.2" x14ac:dyDescent="0.25">
      <c r="A61" s="34" t="s">
        <v>12145</v>
      </c>
      <c r="C61" s="37">
        <f t="shared" si="0"/>
        <v>35855</v>
      </c>
      <c r="D61" s="35" cm="1">
        <f t="array" ref="D61">IFERROR(LOOKUP(2,1/((RIGHT($A$2:$A$12170,7)=TEXT(C61,"mm/aaaa"))*($B$2:$B$12170&lt;&gt;"")),$B$2:$B$12170),"")</f>
        <v>0.98819828482720495</v>
      </c>
    </row>
    <row r="62" spans="1:4" ht="13.2" x14ac:dyDescent="0.25">
      <c r="A62" s="34" t="s">
        <v>12144</v>
      </c>
      <c r="C62" s="37">
        <f t="shared" si="0"/>
        <v>35886</v>
      </c>
      <c r="D62" s="35" cm="1">
        <f t="array" ref="D62">IFERROR(LOOKUP(2,1/((RIGHT($A$2:$A$12170,7)=TEXT(C62,"mm/aaaa"))*($B$2:$B$12170&lt;&gt;"")),$B$2:$B$12170),"")</f>
        <v>2.0111631583749499</v>
      </c>
    </row>
    <row r="63" spans="1:4" ht="13.2" x14ac:dyDescent="0.25">
      <c r="A63" s="34" t="s">
        <v>12143</v>
      </c>
      <c r="B63" s="35">
        <v>2.4456238009965698</v>
      </c>
      <c r="C63" s="37">
        <f t="shared" si="0"/>
        <v>35916</v>
      </c>
      <c r="D63" s="35" cm="1">
        <f t="array" ref="D63">IFERROR(LOOKUP(2,1/((RIGHT($A$2:$A$12170,7)=TEXT(C63,"mm/aaaa"))*($B$2:$B$12170&lt;&gt;"")),$B$2:$B$12170),"")</f>
        <v>2.66398313025147</v>
      </c>
    </row>
    <row r="64" spans="1:4" ht="13.2" x14ac:dyDescent="0.25">
      <c r="A64" s="34" t="s">
        <v>12142</v>
      </c>
      <c r="B64" s="35">
        <v>2.4094119617732299</v>
      </c>
      <c r="C64" s="37">
        <f t="shared" si="0"/>
        <v>35947</v>
      </c>
      <c r="D64" s="35" cm="1">
        <f t="array" ref="D64">IFERROR(LOOKUP(2,1/((RIGHT($A$2:$A$12170,7)=TEXT(C64,"mm/aaaa"))*($B$2:$B$12170&lt;&gt;"")),$B$2:$B$12170),"")</f>
        <v>3.3110852403539699</v>
      </c>
    </row>
    <row r="65" spans="1:4" ht="13.2" x14ac:dyDescent="0.25">
      <c r="A65" s="34" t="s">
        <v>12141</v>
      </c>
      <c r="B65" s="35">
        <v>2.40077544254738</v>
      </c>
      <c r="C65" s="37">
        <f t="shared" si="0"/>
        <v>35977</v>
      </c>
      <c r="D65" s="35" cm="1">
        <f t="array" ref="D65">IFERROR(LOOKUP(2,1/((RIGHT($A$2:$A$12170,7)=TEXT(C65,"mm/aaaa"))*($B$2:$B$12170&lt;&gt;"")),$B$2:$B$12170),"")</f>
        <v>1.6891164659237099</v>
      </c>
    </row>
    <row r="66" spans="1:4" ht="13.2" x14ac:dyDescent="0.25">
      <c r="A66" s="34" t="s">
        <v>12140</v>
      </c>
      <c r="B66" s="35">
        <v>2.4670315184728802</v>
      </c>
      <c r="C66" s="37">
        <f t="shared" si="0"/>
        <v>36008</v>
      </c>
      <c r="D66" s="35" cm="1">
        <f t="array" ref="D66">IFERROR(LOOKUP(2,1/((RIGHT($A$2:$A$12170,7)=TEXT(C66,"mm/aaaa"))*($B$2:$B$12170&lt;&gt;"")),$B$2:$B$12170),"")</f>
        <v>3.09448302015329</v>
      </c>
    </row>
    <row r="67" spans="1:4" ht="13.2" x14ac:dyDescent="0.25">
      <c r="A67" s="34" t="s">
        <v>12139</v>
      </c>
      <c r="B67" s="35">
        <v>2.3604006044896999</v>
      </c>
      <c r="C67" s="37">
        <f t="shared" si="0"/>
        <v>36039</v>
      </c>
      <c r="D67" s="35" cm="1">
        <f t="array" ref="D67">IFERROR(LOOKUP(2,1/((RIGHT($A$2:$A$12170,7)=TEXT(C67,"mm/aaaa"))*($B$2:$B$12170&lt;&gt;"")),$B$2:$B$12170),"")</f>
        <v>7.7961845549383897</v>
      </c>
    </row>
    <row r="68" spans="1:4" ht="13.2" x14ac:dyDescent="0.25">
      <c r="A68" s="34" t="s">
        <v>12138</v>
      </c>
      <c r="C68" s="37">
        <f t="shared" si="0"/>
        <v>36069</v>
      </c>
      <c r="D68" s="35" cm="1">
        <f t="array" ref="D68">IFERROR(LOOKUP(2,1/((RIGHT($A$2:$A$12170,7)=TEXT(C68,"mm/aaaa"))*($B$2:$B$12170&lt;&gt;"")),$B$2:$B$12170),"")</f>
        <v>4.7059704167390599</v>
      </c>
    </row>
    <row r="69" spans="1:4" ht="13.2" x14ac:dyDescent="0.25">
      <c r="A69" s="34" t="s">
        <v>12137</v>
      </c>
      <c r="C69" s="37">
        <f t="shared" ref="C69:C132" si="1">EDATE(C68,1)</f>
        <v>36100</v>
      </c>
      <c r="D69" s="35" cm="1">
        <f t="array" ref="D69">IFERROR(LOOKUP(2,1/((RIGHT($A$2:$A$12170,7)=TEXT(C69,"mm/aaaa"))*($B$2:$B$12170&lt;&gt;"")),$B$2:$B$12170),"")</f>
        <v>3.4469942368142199</v>
      </c>
    </row>
    <row r="70" spans="1:4" ht="13.2" x14ac:dyDescent="0.25">
      <c r="A70" s="34" t="s">
        <v>12136</v>
      </c>
      <c r="B70" s="35">
        <v>2.6519459808386499</v>
      </c>
      <c r="C70" s="37">
        <f t="shared" si="1"/>
        <v>36130</v>
      </c>
      <c r="D70" s="35" cm="1">
        <f t="array" ref="D70">IFERROR(LOOKUP(2,1/((RIGHT($A$2:$A$12170,7)=TEXT(C70,"mm/aaaa"))*($B$2:$B$12170&lt;&gt;"")),$B$2:$B$12170),"")</f>
        <v>4.0193146882654798</v>
      </c>
    </row>
    <row r="71" spans="1:4" ht="13.2" x14ac:dyDescent="0.25">
      <c r="A71" s="34" t="s">
        <v>12135</v>
      </c>
      <c r="B71" s="35">
        <v>2.49602617336188</v>
      </c>
      <c r="C71" s="37">
        <f t="shared" si="1"/>
        <v>36161</v>
      </c>
      <c r="D71" s="35" cm="1">
        <f t="array" ref="D71">IFERROR(LOOKUP(2,1/((RIGHT($A$2:$A$12170,7)=TEXT(C71,"mm/aaaa"))*($B$2:$B$12170&lt;&gt;"")),$B$2:$B$12170),"")</f>
        <v>7.9161244967321602</v>
      </c>
    </row>
    <row r="72" spans="1:4" ht="13.2" x14ac:dyDescent="0.25">
      <c r="A72" s="34" t="s">
        <v>12134</v>
      </c>
      <c r="B72" s="35">
        <v>2.5032605012142399</v>
      </c>
      <c r="C72" s="37">
        <f t="shared" si="1"/>
        <v>36192</v>
      </c>
      <c r="D72" s="35" cm="1">
        <f t="array" ref="D72">IFERROR(LOOKUP(2,1/((RIGHT($A$2:$A$12170,7)=TEXT(C72,"mm/aaaa"))*($B$2:$B$12170&lt;&gt;"")),$B$2:$B$12170),"")</f>
        <v>2.69103487282392</v>
      </c>
    </row>
    <row r="73" spans="1:4" ht="13.2" x14ac:dyDescent="0.25">
      <c r="A73" s="34" t="s">
        <v>12133</v>
      </c>
      <c r="B73" s="35">
        <v>2.4721505497944598</v>
      </c>
      <c r="C73" s="37">
        <f t="shared" si="1"/>
        <v>36220</v>
      </c>
      <c r="D73" s="35" cm="1">
        <f t="array" ref="D73">IFERROR(LOOKUP(2,1/((RIGHT($A$2:$A$12170,7)=TEXT(C73,"mm/aaaa"))*($B$2:$B$12170&lt;&gt;"")),$B$2:$B$12170),"")</f>
        <v>2.8394470233470299</v>
      </c>
    </row>
    <row r="74" spans="1:4" ht="13.2" x14ac:dyDescent="0.25">
      <c r="A74" s="34" t="s">
        <v>12132</v>
      </c>
      <c r="B74" s="35">
        <v>2.4936023519352801</v>
      </c>
      <c r="C74" s="37">
        <f t="shared" si="1"/>
        <v>36251</v>
      </c>
      <c r="D74" s="35" cm="1">
        <f t="array" ref="D74">IFERROR(LOOKUP(2,1/((RIGHT($A$2:$A$12170,7)=TEXT(C74,"mm/aaaa"))*($B$2:$B$12170&lt;&gt;"")),$B$2:$B$12170),"")</f>
        <v>1.8147778556577701</v>
      </c>
    </row>
    <row r="75" spans="1:4" ht="13.2" x14ac:dyDescent="0.25">
      <c r="A75" s="34" t="s">
        <v>12131</v>
      </c>
      <c r="C75" s="37">
        <f t="shared" si="1"/>
        <v>36281</v>
      </c>
      <c r="D75" s="35" cm="1">
        <f t="array" ref="D75">IFERROR(LOOKUP(2,1/((RIGHT($A$2:$A$12170,7)=TEXT(C75,"mm/aaaa"))*($B$2:$B$12170&lt;&gt;"")),$B$2:$B$12170),"")</f>
        <v>2.70391613540072</v>
      </c>
    </row>
    <row r="76" spans="1:4" ht="13.2" x14ac:dyDescent="0.25">
      <c r="A76" s="34" t="s">
        <v>12130</v>
      </c>
      <c r="C76" s="37">
        <f t="shared" si="1"/>
        <v>36312</v>
      </c>
      <c r="D76" s="35" cm="1">
        <f t="array" ref="D76">IFERROR(LOOKUP(2,1/((RIGHT($A$2:$A$12170,7)=TEXT(C76,"mm/aaaa"))*($B$2:$B$12170&lt;&gt;"")),$B$2:$B$12170),"")</f>
        <v>1.67077686693365</v>
      </c>
    </row>
    <row r="77" spans="1:4" ht="13.2" x14ac:dyDescent="0.25">
      <c r="A77" s="34" t="s">
        <v>12129</v>
      </c>
      <c r="B77" s="35">
        <v>2.4342515531925999</v>
      </c>
      <c r="C77" s="37">
        <f t="shared" si="1"/>
        <v>36342</v>
      </c>
      <c r="D77" s="35" cm="1">
        <f t="array" ref="D77">IFERROR(LOOKUP(2,1/((RIGHT($A$2:$A$12170,7)=TEXT(C77,"mm/aaaa"))*($B$2:$B$12170&lt;&gt;"")),$B$2:$B$12170),"")</f>
        <v>1.2390315614028899</v>
      </c>
    </row>
    <row r="78" spans="1:4" ht="13.2" x14ac:dyDescent="0.25">
      <c r="A78" s="34" t="s">
        <v>12128</v>
      </c>
      <c r="B78" s="35">
        <v>2.61170124794269</v>
      </c>
      <c r="C78" s="37">
        <f t="shared" si="1"/>
        <v>36373</v>
      </c>
      <c r="D78" s="35" cm="1">
        <f t="array" ref="D78">IFERROR(LOOKUP(2,1/((RIGHT($A$2:$A$12170,7)=TEXT(C78,"mm/aaaa"))*($B$2:$B$12170&lt;&gt;"")),$B$2:$B$12170),"")</f>
        <v>1.63999248697811</v>
      </c>
    </row>
    <row r="79" spans="1:4" ht="13.2" x14ac:dyDescent="0.25">
      <c r="A79" s="34" t="s">
        <v>12127</v>
      </c>
      <c r="B79" s="35">
        <v>2.6859515475704798</v>
      </c>
      <c r="C79" s="37">
        <f t="shared" si="1"/>
        <v>36404</v>
      </c>
      <c r="D79" s="35" cm="1">
        <f t="array" ref="D79">IFERROR(LOOKUP(2,1/((RIGHT($A$2:$A$12170,7)=TEXT(C79,"mm/aaaa"))*($B$2:$B$12170&lt;&gt;"")),$B$2:$B$12170),"")</f>
        <v>1.5239000235632401</v>
      </c>
    </row>
    <row r="80" spans="1:4" ht="13.2" x14ac:dyDescent="0.25">
      <c r="A80" s="34" t="s">
        <v>12126</v>
      </c>
      <c r="B80" s="35">
        <v>2.6667824785596701</v>
      </c>
      <c r="C80" s="37">
        <f t="shared" si="1"/>
        <v>36434</v>
      </c>
      <c r="D80" s="35" cm="1">
        <f t="array" ref="D80">IFERROR(LOOKUP(2,1/((RIGHT($A$2:$A$12170,7)=TEXT(C80,"mm/aaaa"))*($B$2:$B$12170&lt;&gt;"")),$B$2:$B$12170),"")</f>
        <v>1.5066947796522501</v>
      </c>
    </row>
    <row r="81" spans="1:4" ht="13.2" x14ac:dyDescent="0.25">
      <c r="A81" s="34" t="s">
        <v>12125</v>
      </c>
      <c r="B81" s="35">
        <v>2.6777955989426498</v>
      </c>
      <c r="C81" s="37">
        <f t="shared" si="1"/>
        <v>36465</v>
      </c>
      <c r="D81" s="35" cm="1">
        <f t="array" ref="D81">IFERROR(LOOKUP(2,1/((RIGHT($A$2:$A$12170,7)=TEXT(C81,"mm/aaaa"))*($B$2:$B$12170&lt;&gt;"")),$B$2:$B$12170),"")</f>
        <v>1.64412635779341</v>
      </c>
    </row>
    <row r="82" spans="1:4" ht="13.2" x14ac:dyDescent="0.25">
      <c r="A82" s="34" t="s">
        <v>12124</v>
      </c>
      <c r="C82" s="37">
        <f t="shared" si="1"/>
        <v>36495</v>
      </c>
      <c r="D82" s="35" cm="1">
        <f t="array" ref="D82">IFERROR(LOOKUP(2,1/((RIGHT($A$2:$A$12170,7)=TEXT(C82,"mm/aaaa"))*($B$2:$B$12170&lt;&gt;"")),$B$2:$B$12170),"")</f>
        <v>1.3272939622759801</v>
      </c>
    </row>
    <row r="83" spans="1:4" ht="13.2" x14ac:dyDescent="0.25">
      <c r="A83" s="34" t="s">
        <v>12123</v>
      </c>
      <c r="C83" s="37">
        <f t="shared" si="1"/>
        <v>36526</v>
      </c>
      <c r="D83" s="35" cm="1">
        <f t="array" ref="D83">IFERROR(LOOKUP(2,1/((RIGHT($A$2:$A$12170,7)=TEXT(C83,"mm/aaaa"))*($B$2:$B$12170&lt;&gt;"")),$B$2:$B$12170),"")</f>
        <v>2.5125853591545901</v>
      </c>
    </row>
    <row r="84" spans="1:4" ht="13.2" x14ac:dyDescent="0.25">
      <c r="A84" s="34" t="s">
        <v>12122</v>
      </c>
      <c r="B84" s="35">
        <v>2.88630827095729</v>
      </c>
      <c r="C84" s="37">
        <f t="shared" si="1"/>
        <v>36557</v>
      </c>
      <c r="D84" s="35" cm="1">
        <f t="array" ref="D84">IFERROR(LOOKUP(2,1/((RIGHT($A$2:$A$12170,7)=TEXT(C84,"mm/aaaa"))*($B$2:$B$12170&lt;&gt;"")),$B$2:$B$12170),"")</f>
        <v>1.7400511311485201</v>
      </c>
    </row>
    <row r="85" spans="1:4" ht="13.2" x14ac:dyDescent="0.25">
      <c r="A85" s="34" t="s">
        <v>12121</v>
      </c>
      <c r="B85" s="35">
        <v>2.93115653494154</v>
      </c>
      <c r="C85" s="37">
        <f t="shared" si="1"/>
        <v>36586</v>
      </c>
      <c r="D85" s="35" cm="1">
        <f t="array" ref="D85">IFERROR(LOOKUP(2,1/((RIGHT($A$2:$A$12170,7)=TEXT(C85,"mm/aaaa"))*($B$2:$B$12170&lt;&gt;"")),$B$2:$B$12170),"")</f>
        <v>2.1705899171798699</v>
      </c>
    </row>
    <row r="86" spans="1:4" ht="13.2" x14ac:dyDescent="0.25">
      <c r="A86" s="34" t="s">
        <v>12120</v>
      </c>
      <c r="B86" s="35">
        <v>2.8472868694043898</v>
      </c>
      <c r="C86" s="37">
        <f t="shared" si="1"/>
        <v>36617</v>
      </c>
      <c r="D86" s="35" cm="1">
        <f t="array" ref="D86">IFERROR(LOOKUP(2,1/((RIGHT($A$2:$A$12170,7)=TEXT(C86,"mm/aaaa"))*($B$2:$B$12170&lt;&gt;"")),$B$2:$B$12170),"")</f>
        <v>2.7290213590413299</v>
      </c>
    </row>
    <row r="87" spans="1:4" ht="13.2" x14ac:dyDescent="0.25">
      <c r="A87" s="34" t="s">
        <v>12119</v>
      </c>
      <c r="B87" s="35">
        <v>3.0859741868727402</v>
      </c>
      <c r="C87" s="37">
        <f t="shared" si="1"/>
        <v>36647</v>
      </c>
      <c r="D87" s="35" cm="1">
        <f t="array" ref="D87">IFERROR(LOOKUP(2,1/((RIGHT($A$2:$A$12170,7)=TEXT(C87,"mm/aaaa"))*($B$2:$B$12170&lt;&gt;"")),$B$2:$B$12170),"")</f>
        <v>2.37529704605139</v>
      </c>
    </row>
    <row r="88" spans="1:4" ht="13.2" x14ac:dyDescent="0.25">
      <c r="A88" s="34" t="s">
        <v>12118</v>
      </c>
      <c r="B88" s="35">
        <v>3.0682424048088999</v>
      </c>
      <c r="C88" s="37">
        <f t="shared" si="1"/>
        <v>36678</v>
      </c>
      <c r="D88" s="35" cm="1">
        <f t="array" ref="D88">IFERROR(LOOKUP(2,1/((RIGHT($A$2:$A$12170,7)=TEXT(C88,"mm/aaaa"))*($B$2:$B$12170&lt;&gt;"")),$B$2:$B$12170),"")</f>
        <v>1.9372363880012</v>
      </c>
    </row>
    <row r="89" spans="1:4" ht="13.2" x14ac:dyDescent="0.25">
      <c r="A89" s="34" t="s">
        <v>12117</v>
      </c>
      <c r="C89" s="37">
        <f t="shared" si="1"/>
        <v>36708</v>
      </c>
      <c r="D89" s="35" cm="1">
        <f t="array" ref="D89">IFERROR(LOOKUP(2,1/((RIGHT($A$2:$A$12170,7)=TEXT(C89,"mm/aaaa"))*($B$2:$B$12170&lt;&gt;"")),$B$2:$B$12170),"")</f>
        <v>1.9334236669431499</v>
      </c>
    </row>
    <row r="90" spans="1:4" ht="13.2" x14ac:dyDescent="0.25">
      <c r="A90" s="34" t="s">
        <v>12116</v>
      </c>
      <c r="C90" s="37">
        <f t="shared" si="1"/>
        <v>36739</v>
      </c>
      <c r="D90" s="35" cm="1">
        <f t="array" ref="D90">IFERROR(LOOKUP(2,1/((RIGHT($A$2:$A$12170,7)=TEXT(C90,"mm/aaaa"))*($B$2:$B$12170&lt;&gt;"")),$B$2:$B$12170),"")</f>
        <v>1.6724332610855399</v>
      </c>
    </row>
    <row r="91" spans="1:4" ht="13.2" x14ac:dyDescent="0.25">
      <c r="A91" s="34" t="s">
        <v>12115</v>
      </c>
      <c r="B91" s="35">
        <v>3.0567043390253898</v>
      </c>
      <c r="C91" s="37">
        <f t="shared" si="1"/>
        <v>36770</v>
      </c>
      <c r="D91" s="35" cm="1">
        <f t="array" ref="D91">IFERROR(LOOKUP(2,1/((RIGHT($A$2:$A$12170,7)=TEXT(C91,"mm/aaaa"))*($B$2:$B$12170&lt;&gt;"")),$B$2:$B$12170),"")</f>
        <v>1.42096612539291</v>
      </c>
    </row>
    <row r="92" spans="1:4" ht="13.2" x14ac:dyDescent="0.25">
      <c r="A92" s="34" t="s">
        <v>12114</v>
      </c>
      <c r="B92" s="35">
        <v>2.89804783557872</v>
      </c>
      <c r="C92" s="37">
        <f t="shared" si="1"/>
        <v>36800</v>
      </c>
      <c r="D92" s="35" cm="1">
        <f t="array" ref="D92">IFERROR(LOOKUP(2,1/((RIGHT($A$2:$A$12170,7)=TEXT(C92,"mm/aaaa"))*($B$2:$B$12170&lt;&gt;"")),$B$2:$B$12170),"")</f>
        <v>2.2372067075309601</v>
      </c>
    </row>
    <row r="93" spans="1:4" ht="13.2" x14ac:dyDescent="0.25">
      <c r="A93" s="34" t="s">
        <v>12113</v>
      </c>
      <c r="B93" s="35">
        <v>2.8884863284862399</v>
      </c>
      <c r="C93" s="37">
        <f t="shared" si="1"/>
        <v>36831</v>
      </c>
      <c r="D93" s="35" cm="1">
        <f t="array" ref="D93">IFERROR(LOOKUP(2,1/((RIGHT($A$2:$A$12170,7)=TEXT(C93,"mm/aaaa"))*($B$2:$B$12170&lt;&gt;"")),$B$2:$B$12170),"")</f>
        <v>1.4891959349899799</v>
      </c>
    </row>
    <row r="94" spans="1:4" ht="13.2" x14ac:dyDescent="0.25">
      <c r="A94" s="34" t="s">
        <v>12112</v>
      </c>
      <c r="B94" s="35">
        <v>3.0336736752256002</v>
      </c>
      <c r="C94" s="37">
        <f t="shared" si="1"/>
        <v>36861</v>
      </c>
      <c r="D94" s="35" cm="1">
        <f t="array" ref="D94">IFERROR(LOOKUP(2,1/((RIGHT($A$2:$A$12170,7)=TEXT(C94,"mm/aaaa"))*($B$2:$B$12170&lt;&gt;"")),$B$2:$B$12170),"")</f>
        <v>2.3964457253990901</v>
      </c>
    </row>
    <row r="95" spans="1:4" ht="13.2" x14ac:dyDescent="0.25">
      <c r="A95" s="34" t="s">
        <v>12111</v>
      </c>
      <c r="B95" s="35">
        <v>3.0426868577280799</v>
      </c>
      <c r="C95" s="37">
        <f t="shared" si="1"/>
        <v>36892</v>
      </c>
      <c r="D95" s="35" cm="1">
        <f t="array" ref="D95">IFERROR(LOOKUP(2,1/((RIGHT($A$2:$A$12170,7)=TEXT(C95,"mm/aaaa"))*($B$2:$B$12170&lt;&gt;"")),$B$2:$B$12170),"")</f>
        <v>1.9759953775738399</v>
      </c>
    </row>
    <row r="96" spans="1:4" ht="13.2" x14ac:dyDescent="0.25">
      <c r="A96" s="34" t="s">
        <v>12110</v>
      </c>
      <c r="C96" s="37">
        <f t="shared" si="1"/>
        <v>36923</v>
      </c>
      <c r="D96" s="35" cm="1">
        <f t="array" ref="D96">IFERROR(LOOKUP(2,1/((RIGHT($A$2:$A$12170,7)=TEXT(C96,"mm/aaaa"))*($B$2:$B$12170&lt;&gt;"")),$B$2:$B$12170),"")</f>
        <v>1.67863516526892</v>
      </c>
    </row>
    <row r="97" spans="1:4" ht="13.2" x14ac:dyDescent="0.25">
      <c r="A97" s="34" t="s">
        <v>12109</v>
      </c>
      <c r="C97" s="37">
        <f t="shared" si="1"/>
        <v>36951</v>
      </c>
      <c r="D97" s="35" cm="1">
        <f t="array" ref="D97">IFERROR(LOOKUP(2,1/((RIGHT($A$2:$A$12170,7)=TEXT(C97,"mm/aaaa"))*($B$2:$B$12170&lt;&gt;"")),$B$2:$B$12170),"")</f>
        <v>1.94207501730763</v>
      </c>
    </row>
    <row r="98" spans="1:4" ht="13.2" x14ac:dyDescent="0.25">
      <c r="A98" s="34" t="s">
        <v>12108</v>
      </c>
      <c r="B98" s="35">
        <v>2.9863318693179801</v>
      </c>
      <c r="C98" s="37">
        <f t="shared" si="1"/>
        <v>36982</v>
      </c>
      <c r="D98" s="35" cm="1">
        <f t="array" ref="D98">IFERROR(LOOKUP(2,1/((RIGHT($A$2:$A$12170,7)=TEXT(C98,"mm/aaaa"))*($B$2:$B$12170&lt;&gt;"")),$B$2:$B$12170),"")</f>
        <v>2.6079002120535901</v>
      </c>
    </row>
    <row r="99" spans="1:4" ht="13.2" x14ac:dyDescent="0.25">
      <c r="A99" s="34" t="s">
        <v>12107</v>
      </c>
      <c r="B99" s="35">
        <v>2.8780638891730499</v>
      </c>
      <c r="C99" s="37">
        <f t="shared" si="1"/>
        <v>37012</v>
      </c>
      <c r="D99" s="35" cm="1">
        <f t="array" ref="D99">IFERROR(LOOKUP(2,1/((RIGHT($A$2:$A$12170,7)=TEXT(C99,"mm/aaaa"))*($B$2:$B$12170&lt;&gt;"")),$B$2:$B$12170),"")</f>
        <v>1.5451004676300399</v>
      </c>
    </row>
    <row r="100" spans="1:4" ht="13.2" x14ac:dyDescent="0.25">
      <c r="A100" s="34" t="s">
        <v>12106</v>
      </c>
      <c r="B100" s="35">
        <v>2.9694870554986501</v>
      </c>
      <c r="C100" s="37">
        <f t="shared" si="1"/>
        <v>37043</v>
      </c>
      <c r="D100" s="35" cm="1">
        <f t="array" ref="D100">IFERROR(LOOKUP(2,1/((RIGHT($A$2:$A$12170,7)=TEXT(C100,"mm/aaaa"))*($B$2:$B$12170&lt;&gt;"")),$B$2:$B$12170),"")</f>
        <v>1.58348585847134</v>
      </c>
    </row>
    <row r="101" spans="1:4" ht="13.2" x14ac:dyDescent="0.25">
      <c r="A101" s="34" t="s">
        <v>12105</v>
      </c>
      <c r="B101" s="35">
        <v>3.0031695608182001</v>
      </c>
      <c r="C101" s="37">
        <f t="shared" si="1"/>
        <v>37073</v>
      </c>
      <c r="D101" s="35" cm="1">
        <f t="array" ref="D101">IFERROR(LOOKUP(2,1/((RIGHT($A$2:$A$12170,7)=TEXT(C101,"mm/aaaa"))*($B$2:$B$12170&lt;&gt;"")),$B$2:$B$12170),"")</f>
        <v>1.6149542138308399</v>
      </c>
    </row>
    <row r="102" spans="1:4" ht="13.2" x14ac:dyDescent="0.25">
      <c r="A102" s="34" t="s">
        <v>12104</v>
      </c>
      <c r="B102" s="35">
        <v>2.9979496483525501</v>
      </c>
      <c r="C102" s="37">
        <f t="shared" si="1"/>
        <v>37104</v>
      </c>
      <c r="D102" s="35" cm="1">
        <f t="array" ref="D102">IFERROR(LOOKUP(2,1/((RIGHT($A$2:$A$12170,7)=TEXT(C102,"mm/aaaa"))*($B$2:$B$12170&lt;&gt;"")),$B$2:$B$12170),"")</f>
        <v>1.21373188357602</v>
      </c>
    </row>
    <row r="103" spans="1:4" ht="13.2" x14ac:dyDescent="0.25">
      <c r="A103" s="34" t="s">
        <v>12103</v>
      </c>
      <c r="C103" s="37">
        <f t="shared" si="1"/>
        <v>37135</v>
      </c>
      <c r="D103" s="35" cm="1">
        <f t="array" ref="D103">IFERROR(LOOKUP(2,1/((RIGHT($A$2:$A$12170,7)=TEXT(C103,"mm/aaaa"))*($B$2:$B$12170&lt;&gt;"")),$B$2:$B$12170),"")</f>
        <v>3.3937206451817201</v>
      </c>
    </row>
    <row r="104" spans="1:4" ht="13.2" x14ac:dyDescent="0.25">
      <c r="A104" s="34" t="s">
        <v>12102</v>
      </c>
      <c r="C104" s="37">
        <f t="shared" si="1"/>
        <v>37165</v>
      </c>
      <c r="D104" s="35" cm="1">
        <f t="array" ref="D104">IFERROR(LOOKUP(2,1/((RIGHT($A$2:$A$12170,7)=TEXT(C104,"mm/aaaa"))*($B$2:$B$12170&lt;&gt;"")),$B$2:$B$12170),"")</f>
        <v>2.3494694328099701</v>
      </c>
    </row>
    <row r="105" spans="1:4" ht="13.2" x14ac:dyDescent="0.25">
      <c r="A105" s="34" t="s">
        <v>12101</v>
      </c>
      <c r="B105" s="35">
        <v>3.0059846397521701</v>
      </c>
      <c r="C105" s="37">
        <f t="shared" si="1"/>
        <v>37196</v>
      </c>
      <c r="D105" s="35" cm="1">
        <f t="array" ref="D105">IFERROR(LOOKUP(2,1/((RIGHT($A$2:$A$12170,7)=TEXT(C105,"mm/aaaa"))*($B$2:$B$12170&lt;&gt;"")),$B$2:$B$12170),"")</f>
        <v>2.4030938056708799</v>
      </c>
    </row>
    <row r="106" spans="1:4" ht="13.2" x14ac:dyDescent="0.25">
      <c r="A106" s="34" t="s">
        <v>12100</v>
      </c>
      <c r="C106" s="37">
        <f t="shared" si="1"/>
        <v>37226</v>
      </c>
      <c r="D106" s="35" cm="1">
        <f t="array" ref="D106">IFERROR(LOOKUP(2,1/((RIGHT($A$2:$A$12170,7)=TEXT(C106,"mm/aaaa"))*($B$2:$B$12170&lt;&gt;"")),$B$2:$B$12170),"")</f>
        <v>2.3043020054191001</v>
      </c>
    </row>
    <row r="107" spans="1:4" ht="13.2" x14ac:dyDescent="0.25">
      <c r="A107" s="34" t="s">
        <v>12099</v>
      </c>
      <c r="B107" s="35">
        <v>2.9705368646466499</v>
      </c>
      <c r="C107" s="37">
        <f t="shared" si="1"/>
        <v>37257</v>
      </c>
      <c r="D107" s="35" cm="1">
        <f t="array" ref="D107">IFERROR(LOOKUP(2,1/((RIGHT($A$2:$A$12170,7)=TEXT(C107,"mm/aaaa"))*($B$2:$B$12170&lt;&gt;"")),$B$2:$B$12170),"")</f>
        <v>1.8459595466716101</v>
      </c>
    </row>
    <row r="108" spans="1:4" ht="13.2" x14ac:dyDescent="0.25">
      <c r="A108" s="34" t="s">
        <v>12098</v>
      </c>
      <c r="B108" s="35">
        <v>2.9736902428342198</v>
      </c>
      <c r="C108" s="37">
        <f t="shared" si="1"/>
        <v>37288</v>
      </c>
      <c r="D108" s="35" cm="1">
        <f t="array" ref="D108">IFERROR(LOOKUP(2,1/((RIGHT($A$2:$A$12170,7)=TEXT(C108,"mm/aaaa"))*($B$2:$B$12170&lt;&gt;"")),$B$2:$B$12170),"")</f>
        <v>1.7149427917639699</v>
      </c>
    </row>
    <row r="109" spans="1:4" ht="13.2" x14ac:dyDescent="0.25">
      <c r="A109" s="34" t="s">
        <v>12097</v>
      </c>
      <c r="B109" s="35">
        <v>2.9841451739146398</v>
      </c>
      <c r="C109" s="37">
        <f t="shared" si="1"/>
        <v>37316</v>
      </c>
      <c r="D109" s="35" cm="1">
        <f t="array" ref="D109">IFERROR(LOOKUP(2,1/((RIGHT($A$2:$A$12170,7)=TEXT(C109,"mm/aaaa"))*($B$2:$B$12170&lt;&gt;"")),$B$2:$B$12170),"")</f>
        <v>1.81021715092109</v>
      </c>
    </row>
    <row r="110" spans="1:4" ht="13.2" x14ac:dyDescent="0.25">
      <c r="A110" s="34" t="s">
        <v>12096</v>
      </c>
      <c r="C110" s="37">
        <f t="shared" si="1"/>
        <v>37347</v>
      </c>
      <c r="D110" s="35" cm="1">
        <f t="array" ref="D110">IFERROR(LOOKUP(2,1/((RIGHT($A$2:$A$12170,7)=TEXT(C110,"mm/aaaa"))*($B$2:$B$12170&lt;&gt;"")),$B$2:$B$12170),"")</f>
        <v>1.3243467460290901</v>
      </c>
    </row>
    <row r="111" spans="1:4" ht="13.2" x14ac:dyDescent="0.25">
      <c r="A111" s="34" t="s">
        <v>12095</v>
      </c>
      <c r="C111" s="37">
        <f t="shared" si="1"/>
        <v>37377</v>
      </c>
      <c r="D111" s="35" cm="1">
        <f t="array" ref="D111">IFERROR(LOOKUP(2,1/((RIGHT($A$2:$A$12170,7)=TEXT(C111,"mm/aaaa"))*($B$2:$B$12170&lt;&gt;"")),$B$2:$B$12170),"")</f>
        <v>1.8742242558384901</v>
      </c>
    </row>
    <row r="112" spans="1:4" ht="13.2" x14ac:dyDescent="0.25">
      <c r="A112" s="34" t="s">
        <v>12094</v>
      </c>
      <c r="B112" s="35">
        <v>2.9529677834250299</v>
      </c>
      <c r="C112" s="37">
        <f t="shared" si="1"/>
        <v>37408</v>
      </c>
      <c r="D112" s="35" cm="1">
        <f t="array" ref="D112">IFERROR(LOOKUP(2,1/((RIGHT($A$2:$A$12170,7)=TEXT(C112,"mm/aaaa"))*($B$2:$B$12170&lt;&gt;"")),$B$2:$B$12170),"")</f>
        <v>2.4310618947843001</v>
      </c>
    </row>
    <row r="113" spans="1:4" ht="13.2" x14ac:dyDescent="0.25">
      <c r="A113" s="34" t="s">
        <v>12093</v>
      </c>
      <c r="B113" s="35">
        <v>2.9989598032569198</v>
      </c>
      <c r="C113" s="37">
        <f t="shared" si="1"/>
        <v>37438</v>
      </c>
      <c r="D113" s="35" cm="1">
        <f t="array" ref="D113">IFERROR(LOOKUP(2,1/((RIGHT($A$2:$A$12170,7)=TEXT(C113,"mm/aaaa"))*($B$2:$B$12170&lt;&gt;"")),$B$2:$B$12170),"")</f>
        <v>2.5636845273709099</v>
      </c>
    </row>
    <row r="114" spans="1:4" ht="13.2" x14ac:dyDescent="0.25">
      <c r="A114" s="34" t="s">
        <v>12092</v>
      </c>
      <c r="B114" s="35">
        <v>2.87966302117314</v>
      </c>
      <c r="C114" s="37">
        <f t="shared" si="1"/>
        <v>37469</v>
      </c>
      <c r="D114" s="35" cm="1">
        <f t="array" ref="D114">IFERROR(LOOKUP(2,1/((RIGHT($A$2:$A$12170,7)=TEXT(C114,"mm/aaaa"))*($B$2:$B$12170&lt;&gt;"")),$B$2:$B$12170),"")</f>
        <v>2.5481418257811899</v>
      </c>
    </row>
    <row r="115" spans="1:4" ht="13.2" x14ac:dyDescent="0.25">
      <c r="A115" s="34" t="s">
        <v>12091</v>
      </c>
      <c r="B115" s="35">
        <v>2.86675744420122</v>
      </c>
      <c r="C115" s="37">
        <f t="shared" si="1"/>
        <v>37500</v>
      </c>
      <c r="D115" s="35" cm="1">
        <f t="array" ref="D115">IFERROR(LOOKUP(2,1/((RIGHT($A$2:$A$12170,7)=TEXT(C115,"mm/aaaa"))*($B$2:$B$12170&lt;&gt;"")),$B$2:$B$12170),"")</f>
        <v>1.9847304642180801</v>
      </c>
    </row>
    <row r="116" spans="1:4" ht="13.2" x14ac:dyDescent="0.25">
      <c r="A116" s="34" t="s">
        <v>12090</v>
      </c>
      <c r="B116" s="35">
        <v>3.06660280449857</v>
      </c>
      <c r="C116" s="37">
        <f t="shared" si="1"/>
        <v>37530</v>
      </c>
      <c r="D116" s="35" cm="1">
        <f t="array" ref="D116">IFERROR(LOOKUP(2,1/((RIGHT($A$2:$A$12170,7)=TEXT(C116,"mm/aaaa"))*($B$2:$B$12170&lt;&gt;"")),$B$2:$B$12170),"")</f>
        <v>2.97487728711247</v>
      </c>
    </row>
    <row r="117" spans="1:4" ht="13.2" x14ac:dyDescent="0.25">
      <c r="A117" s="34" t="s">
        <v>12089</v>
      </c>
      <c r="C117" s="37">
        <f t="shared" si="1"/>
        <v>37561</v>
      </c>
      <c r="D117" s="35" cm="1">
        <f t="array" ref="D117">IFERROR(LOOKUP(2,1/((RIGHT($A$2:$A$12170,7)=TEXT(C117,"mm/aaaa"))*($B$2:$B$12170&lt;&gt;"")),$B$2:$B$12170),"")</f>
        <v>1.27693601109345</v>
      </c>
    </row>
    <row r="118" spans="1:4" ht="13.2" x14ac:dyDescent="0.25">
      <c r="A118" s="34" t="s">
        <v>12088</v>
      </c>
      <c r="C118" s="37">
        <f t="shared" si="1"/>
        <v>37591</v>
      </c>
      <c r="D118" s="35" cm="1">
        <f t="array" ref="D118">IFERROR(LOOKUP(2,1/((RIGHT($A$2:$A$12170,7)=TEXT(C118,"mm/aaaa"))*($B$2:$B$12170&lt;&gt;"")),$B$2:$B$12170),"")</f>
        <v>1.46155793753151</v>
      </c>
    </row>
    <row r="119" spans="1:4" ht="13.2" x14ac:dyDescent="0.25">
      <c r="A119" s="34" t="s">
        <v>12087</v>
      </c>
      <c r="B119" s="35">
        <v>2.9893677356722601</v>
      </c>
      <c r="C119" s="37">
        <f t="shared" si="1"/>
        <v>37622</v>
      </c>
      <c r="D119" s="35" cm="1">
        <f t="array" ref="D119">IFERROR(LOOKUP(2,1/((RIGHT($A$2:$A$12170,7)=TEXT(C119,"mm/aaaa"))*($B$2:$B$12170&lt;&gt;"")),$B$2:$B$12170),"")</f>
        <v>1.9224979573435701</v>
      </c>
    </row>
    <row r="120" spans="1:4" ht="13.2" x14ac:dyDescent="0.25">
      <c r="A120" s="34" t="s">
        <v>12086</v>
      </c>
      <c r="B120" s="35">
        <v>3.1464924754662502</v>
      </c>
      <c r="C120" s="37">
        <f t="shared" si="1"/>
        <v>37653</v>
      </c>
      <c r="D120" s="35" cm="1">
        <f t="array" ref="D120">IFERROR(LOOKUP(2,1/((RIGHT($A$2:$A$12170,7)=TEXT(C120,"mm/aaaa"))*($B$2:$B$12170&lt;&gt;"")),$B$2:$B$12170),"")</f>
        <v>1.62091136974245</v>
      </c>
    </row>
    <row r="121" spans="1:4" ht="13.2" x14ac:dyDescent="0.25">
      <c r="A121" s="34" t="s">
        <v>12085</v>
      </c>
      <c r="B121" s="35">
        <v>3.15242646348291</v>
      </c>
      <c r="C121" s="37">
        <f t="shared" si="1"/>
        <v>37681</v>
      </c>
      <c r="D121" s="35" cm="1">
        <f t="array" ref="D121">IFERROR(LOOKUP(2,1/((RIGHT($A$2:$A$12170,7)=TEXT(C121,"mm/aaaa"))*($B$2:$B$12170&lt;&gt;"")),$B$2:$B$12170),"")</f>
        <v>1.72849654769817</v>
      </c>
    </row>
    <row r="122" spans="1:4" ht="13.2" x14ac:dyDescent="0.25">
      <c r="A122" s="34" t="s">
        <v>12084</v>
      </c>
      <c r="B122" s="35">
        <v>3.2006612348736101</v>
      </c>
      <c r="C122" s="37">
        <f t="shared" si="1"/>
        <v>37712</v>
      </c>
      <c r="D122" s="35" cm="1">
        <f t="array" ref="D122">IFERROR(LOOKUP(2,1/((RIGHT($A$2:$A$12170,7)=TEXT(C122,"mm/aaaa"))*($B$2:$B$12170&lt;&gt;"")),$B$2:$B$12170),"")</f>
        <v>1.65814068701772</v>
      </c>
    </row>
    <row r="123" spans="1:4" ht="13.2" x14ac:dyDescent="0.25">
      <c r="A123" s="34" t="s">
        <v>12083</v>
      </c>
      <c r="B123" s="35">
        <v>3.2333619803489499</v>
      </c>
      <c r="C123" s="37">
        <f t="shared" si="1"/>
        <v>37742</v>
      </c>
      <c r="D123" s="35" cm="1">
        <f t="array" ref="D123">IFERROR(LOOKUP(2,1/((RIGHT($A$2:$A$12170,7)=TEXT(C123,"mm/aaaa"))*($B$2:$B$12170&lt;&gt;"")),$B$2:$B$12170),"")</f>
        <v>1.6889094568527501</v>
      </c>
    </row>
    <row r="124" spans="1:4" ht="13.2" x14ac:dyDescent="0.25">
      <c r="A124" s="34" t="s">
        <v>12082</v>
      </c>
      <c r="C124" s="37">
        <f t="shared" si="1"/>
        <v>37773</v>
      </c>
      <c r="D124" s="35" cm="1">
        <f t="array" ref="D124">IFERROR(LOOKUP(2,1/((RIGHT($A$2:$A$12170,7)=TEXT(C124,"mm/aaaa"))*($B$2:$B$12170&lt;&gt;"")),$B$2:$B$12170),"")</f>
        <v>1.2520464086513099</v>
      </c>
    </row>
    <row r="125" spans="1:4" ht="13.2" x14ac:dyDescent="0.25">
      <c r="A125" s="34" t="s">
        <v>12081</v>
      </c>
      <c r="C125" s="37">
        <f t="shared" si="1"/>
        <v>37803</v>
      </c>
      <c r="D125" s="35" cm="1">
        <f t="array" ref="D125">IFERROR(LOOKUP(2,1/((RIGHT($A$2:$A$12170,7)=TEXT(C125,"mm/aaaa"))*($B$2:$B$12170&lt;&gt;"")),$B$2:$B$12170),"")</f>
        <v>1.01901188508091</v>
      </c>
    </row>
    <row r="126" spans="1:4" ht="13.2" x14ac:dyDescent="0.25">
      <c r="A126" s="34" t="s">
        <v>12080</v>
      </c>
      <c r="B126" s="35">
        <v>3.2486128485931101</v>
      </c>
      <c r="C126" s="37">
        <f t="shared" si="1"/>
        <v>37834</v>
      </c>
      <c r="D126" s="35" cm="1">
        <f t="array" ref="D126">IFERROR(LOOKUP(2,1/((RIGHT($A$2:$A$12170,7)=TEXT(C126,"mm/aaaa"))*($B$2:$B$12170&lt;&gt;"")),$B$2:$B$12170),"")</f>
        <v>1.5342206822017601</v>
      </c>
    </row>
    <row r="127" spans="1:4" ht="13.2" x14ac:dyDescent="0.25">
      <c r="A127" s="34" t="s">
        <v>12079</v>
      </c>
      <c r="B127" s="35">
        <v>3.2424962165595002</v>
      </c>
      <c r="C127" s="37">
        <f t="shared" si="1"/>
        <v>37865</v>
      </c>
      <c r="D127" s="35" cm="1">
        <f t="array" ref="D127">IFERROR(LOOKUP(2,1/((RIGHT($A$2:$A$12170,7)=TEXT(C127,"mm/aaaa"))*($B$2:$B$12170&lt;&gt;"")),$B$2:$B$12170),"")</f>
        <v>1.4113633639958101</v>
      </c>
    </row>
    <row r="128" spans="1:4" ht="13.2" x14ac:dyDescent="0.25">
      <c r="A128" s="34" t="s">
        <v>12078</v>
      </c>
      <c r="B128" s="35">
        <v>3.2418557133914101</v>
      </c>
      <c r="C128" s="37">
        <f t="shared" si="1"/>
        <v>37895</v>
      </c>
      <c r="D128" s="35" cm="1">
        <f t="array" ref="D128">IFERROR(LOOKUP(2,1/((RIGHT($A$2:$A$12170,7)=TEXT(C128,"mm/aaaa"))*($B$2:$B$12170&lt;&gt;"")),$B$2:$B$12170),"")</f>
        <v>1.5111491189456701</v>
      </c>
    </row>
    <row r="129" spans="1:4" ht="13.2" x14ac:dyDescent="0.25">
      <c r="A129" s="34" t="s">
        <v>12077</v>
      </c>
      <c r="B129" s="35">
        <v>3.0595345168841601</v>
      </c>
      <c r="C129" s="37">
        <f t="shared" si="1"/>
        <v>37926</v>
      </c>
      <c r="D129" s="35" cm="1">
        <f t="array" ref="D129">IFERROR(LOOKUP(2,1/((RIGHT($A$2:$A$12170,7)=TEXT(C129,"mm/aaaa"))*($B$2:$B$12170&lt;&gt;"")),$B$2:$B$12170),"")</f>
        <v>1.25142054529589</v>
      </c>
    </row>
    <row r="130" spans="1:4" ht="13.2" x14ac:dyDescent="0.25">
      <c r="A130" s="34" t="s">
        <v>12076</v>
      </c>
      <c r="B130" s="35">
        <v>2.90469611716957</v>
      </c>
      <c r="C130" s="37">
        <f t="shared" si="1"/>
        <v>37956</v>
      </c>
      <c r="D130" s="35" cm="1">
        <f t="array" ref="D130">IFERROR(LOOKUP(2,1/((RIGHT($A$2:$A$12170,7)=TEXT(C130,"mm/aaaa"))*($B$2:$B$12170&lt;&gt;"")),$B$2:$B$12170),"")</f>
        <v>1.1282970843778199</v>
      </c>
    </row>
    <row r="131" spans="1:4" ht="13.2" x14ac:dyDescent="0.25">
      <c r="A131" s="34" t="s">
        <v>12075</v>
      </c>
      <c r="C131" s="37">
        <f t="shared" si="1"/>
        <v>37987</v>
      </c>
      <c r="D131" s="35" cm="1">
        <f t="array" ref="D131">IFERROR(LOOKUP(2,1/((RIGHT($A$2:$A$12170,7)=TEXT(C131,"mm/aaaa"))*($B$2:$B$12170&lt;&gt;"")),$B$2:$B$12170),"")</f>
        <v>2.39573182571438</v>
      </c>
    </row>
    <row r="132" spans="1:4" ht="13.2" x14ac:dyDescent="0.25">
      <c r="A132" s="34" t="s">
        <v>12074</v>
      </c>
      <c r="C132" s="37">
        <f t="shared" si="1"/>
        <v>38018</v>
      </c>
      <c r="D132" s="35" cm="1">
        <f t="array" ref="D132">IFERROR(LOOKUP(2,1/((RIGHT($A$2:$A$12170,7)=TEXT(C132,"mm/aaaa"))*($B$2:$B$12170&lt;&gt;"")),$B$2:$B$12170),"")</f>
        <v>2.6961942966604102</v>
      </c>
    </row>
    <row r="133" spans="1:4" ht="13.2" x14ac:dyDescent="0.25">
      <c r="A133" s="34" t="s">
        <v>12073</v>
      </c>
      <c r="B133" s="35">
        <v>2.7020499067002</v>
      </c>
      <c r="C133" s="37">
        <f t="shared" ref="C133:C196" si="2">EDATE(C132,1)</f>
        <v>38047</v>
      </c>
      <c r="D133" s="35" cm="1">
        <f t="array" ref="D133">IFERROR(LOOKUP(2,1/((RIGHT($A$2:$A$12170,7)=TEXT(C133,"mm/aaaa"))*($B$2:$B$12170&lt;&gt;"")),$B$2:$B$12170),"")</f>
        <v>2.3459929803779902</v>
      </c>
    </row>
    <row r="134" spans="1:4" ht="13.2" x14ac:dyDescent="0.25">
      <c r="A134" s="34" t="s">
        <v>12072</v>
      </c>
      <c r="B134" s="35">
        <v>2.7669116362946702</v>
      </c>
      <c r="C134" s="37">
        <f t="shared" si="2"/>
        <v>38078</v>
      </c>
      <c r="D134" s="35" cm="1">
        <f t="array" ref="D134">IFERROR(LOOKUP(2,1/((RIGHT($A$2:$A$12170,7)=TEXT(C134,"mm/aaaa"))*($B$2:$B$12170&lt;&gt;"")),$B$2:$B$12170),"")</f>
        <v>1.73118195776373</v>
      </c>
    </row>
    <row r="135" spans="1:4" ht="13.2" x14ac:dyDescent="0.25">
      <c r="A135" s="34" t="s">
        <v>12071</v>
      </c>
      <c r="B135" s="35">
        <v>2.73195630738075</v>
      </c>
      <c r="C135" s="37">
        <f t="shared" si="2"/>
        <v>38108</v>
      </c>
      <c r="D135" s="35" cm="1">
        <f t="array" ref="D135">IFERROR(LOOKUP(2,1/((RIGHT($A$2:$A$12170,7)=TEXT(C135,"mm/aaaa"))*($B$2:$B$12170&lt;&gt;"")),$B$2:$B$12170),"")</f>
        <v>2.53404072870382</v>
      </c>
    </row>
    <row r="136" spans="1:4" ht="13.2" x14ac:dyDescent="0.25">
      <c r="A136" s="34" t="s">
        <v>12070</v>
      </c>
      <c r="B136" s="35">
        <v>2.8799629751593101</v>
      </c>
      <c r="C136" s="37">
        <f t="shared" si="2"/>
        <v>38139</v>
      </c>
      <c r="D136" s="35" cm="1">
        <f t="array" ref="D136">IFERROR(LOOKUP(2,1/((RIGHT($A$2:$A$12170,7)=TEXT(C136,"mm/aaaa"))*($B$2:$B$12170&lt;&gt;"")),$B$2:$B$12170),"")</f>
        <v>1.68809673348622</v>
      </c>
    </row>
    <row r="137" spans="1:4" ht="13.2" x14ac:dyDescent="0.25">
      <c r="A137" s="34" t="s">
        <v>12069</v>
      </c>
      <c r="B137" s="35">
        <v>2.8944349912212002</v>
      </c>
      <c r="C137" s="37">
        <f t="shared" si="2"/>
        <v>38169</v>
      </c>
      <c r="D137" s="35" cm="1">
        <f t="array" ref="D137">IFERROR(LOOKUP(2,1/((RIGHT($A$2:$A$12170,7)=TEXT(C137,"mm/aaaa"))*($B$2:$B$12170&lt;&gt;"")),$B$2:$B$12170),"")</f>
        <v>1.47615700870139</v>
      </c>
    </row>
    <row r="138" spans="1:4" ht="13.2" x14ac:dyDescent="0.25">
      <c r="A138" s="34" t="s">
        <v>12068</v>
      </c>
      <c r="C138" s="37">
        <f t="shared" si="2"/>
        <v>38200</v>
      </c>
      <c r="D138" s="35" cm="1">
        <f t="array" ref="D138">IFERROR(LOOKUP(2,1/((RIGHT($A$2:$A$12170,7)=TEXT(C138,"mm/aaaa"))*($B$2:$B$12170&lt;&gt;"")),$B$2:$B$12170),"")</f>
        <v>1.6297669774588499</v>
      </c>
    </row>
    <row r="139" spans="1:4" ht="13.2" x14ac:dyDescent="0.25">
      <c r="A139" s="34" t="s">
        <v>12067</v>
      </c>
      <c r="C139" s="37">
        <f t="shared" si="2"/>
        <v>38231</v>
      </c>
      <c r="D139" s="35" cm="1">
        <f t="array" ref="D139">IFERROR(LOOKUP(2,1/((RIGHT($A$2:$A$12170,7)=TEXT(C139,"mm/aaaa"))*($B$2:$B$12170&lt;&gt;"")),$B$2:$B$12170),"")</f>
        <v>1.1293917748842299</v>
      </c>
    </row>
    <row r="140" spans="1:4" ht="13.2" x14ac:dyDescent="0.25">
      <c r="A140" s="34" t="s">
        <v>12066</v>
      </c>
      <c r="B140" s="35">
        <v>2.9090404500148401</v>
      </c>
      <c r="C140" s="37">
        <f t="shared" si="2"/>
        <v>38261</v>
      </c>
      <c r="D140" s="35" cm="1">
        <f t="array" ref="D140">IFERROR(LOOKUP(2,1/((RIGHT($A$2:$A$12170,7)=TEXT(C140,"mm/aaaa"))*($B$2:$B$12170&lt;&gt;"")),$B$2:$B$12170),"")</f>
        <v>1.3123817378111</v>
      </c>
    </row>
    <row r="141" spans="1:4" ht="13.2" x14ac:dyDescent="0.25">
      <c r="A141" s="34" t="s">
        <v>12065</v>
      </c>
      <c r="C141" s="37">
        <f t="shared" si="2"/>
        <v>38292</v>
      </c>
      <c r="D141" s="35" cm="1">
        <f t="array" ref="D141">IFERROR(LOOKUP(2,1/((RIGHT($A$2:$A$12170,7)=TEXT(C141,"mm/aaaa"))*($B$2:$B$12170&lt;&gt;"")),$B$2:$B$12170),"")</f>
        <v>1.0902176399637999</v>
      </c>
    </row>
    <row r="142" spans="1:4" ht="13.2" x14ac:dyDescent="0.25">
      <c r="A142" s="34" t="s">
        <v>12064</v>
      </c>
      <c r="B142" s="35">
        <v>2.8817815557486002</v>
      </c>
      <c r="C142" s="37">
        <f t="shared" si="2"/>
        <v>38322</v>
      </c>
      <c r="D142" s="35" cm="1">
        <f t="array" ref="D142">IFERROR(LOOKUP(2,1/((RIGHT($A$2:$A$12170,7)=TEXT(C142,"mm/aaaa"))*($B$2:$B$12170&lt;&gt;"")),$B$2:$B$12170),"")</f>
        <v>1.0319682011265401</v>
      </c>
    </row>
    <row r="143" spans="1:4" ht="13.2" x14ac:dyDescent="0.25">
      <c r="A143" s="34" t="s">
        <v>12063</v>
      </c>
      <c r="B143" s="35">
        <v>2.71382053050446</v>
      </c>
      <c r="C143" s="37">
        <f t="shared" si="2"/>
        <v>38353</v>
      </c>
      <c r="D143" s="35" cm="1">
        <f t="array" ref="D143">IFERROR(LOOKUP(2,1/((RIGHT($A$2:$A$12170,7)=TEXT(C143,"mm/aaaa"))*($B$2:$B$12170&lt;&gt;"")),$B$2:$B$12170),"")</f>
        <v>1.5635931190838299</v>
      </c>
    </row>
    <row r="144" spans="1:4" ht="13.2" x14ac:dyDescent="0.25">
      <c r="A144" s="34" t="s">
        <v>12062</v>
      </c>
      <c r="B144" s="35">
        <v>2.7107983929917601</v>
      </c>
      <c r="C144" s="37">
        <f t="shared" si="2"/>
        <v>38384</v>
      </c>
      <c r="D144" s="35" cm="1">
        <f t="array" ref="D144">IFERROR(LOOKUP(2,1/((RIGHT($A$2:$A$12170,7)=TEXT(C144,"mm/aaaa"))*($B$2:$B$12170&lt;&gt;"")),$B$2:$B$12170),"")</f>
        <v>1.6501340772270301</v>
      </c>
    </row>
    <row r="145" spans="1:4" ht="13.2" x14ac:dyDescent="0.25">
      <c r="A145" s="34" t="s">
        <v>12061</v>
      </c>
      <c r="C145" s="37">
        <f t="shared" si="2"/>
        <v>38412</v>
      </c>
      <c r="D145" s="35" cm="1">
        <f t="array" ref="D145">IFERROR(LOOKUP(2,1/((RIGHT($A$2:$A$12170,7)=TEXT(C145,"mm/aaaa"))*($B$2:$B$12170&lt;&gt;"")),$B$2:$B$12170),"")</f>
        <v>1.5919475869442301</v>
      </c>
    </row>
    <row r="146" spans="1:4" ht="13.2" x14ac:dyDescent="0.25">
      <c r="A146" s="34" t="s">
        <v>12060</v>
      </c>
      <c r="C146" s="37">
        <f t="shared" si="2"/>
        <v>38443</v>
      </c>
      <c r="D146" s="35" cm="1">
        <f t="array" ref="D146">IFERROR(LOOKUP(2,1/((RIGHT($A$2:$A$12170,7)=TEXT(C146,"mm/aaaa"))*($B$2:$B$12170&lt;&gt;"")),$B$2:$B$12170),"")</f>
        <v>1.7931353857769901</v>
      </c>
    </row>
    <row r="147" spans="1:4" ht="13.2" x14ac:dyDescent="0.25">
      <c r="A147" s="34" t="s">
        <v>12059</v>
      </c>
      <c r="B147" s="35">
        <v>3.7549183920940101</v>
      </c>
      <c r="C147" s="37">
        <f t="shared" si="2"/>
        <v>38473</v>
      </c>
      <c r="D147" s="35" cm="1">
        <f t="array" ref="D147">IFERROR(LOOKUP(2,1/((RIGHT($A$2:$A$12170,7)=TEXT(C147,"mm/aaaa"))*($B$2:$B$12170&lt;&gt;"")),$B$2:$B$12170),"")</f>
        <v>1.55812403194307</v>
      </c>
    </row>
    <row r="148" spans="1:4" ht="13.2" x14ac:dyDescent="0.25">
      <c r="A148" s="34" t="s">
        <v>12058</v>
      </c>
      <c r="B148" s="35">
        <v>3.4302687144100799</v>
      </c>
      <c r="C148" s="37">
        <f t="shared" si="2"/>
        <v>38504</v>
      </c>
      <c r="D148" s="35" cm="1">
        <f t="array" ref="D148">IFERROR(LOOKUP(2,1/((RIGHT($A$2:$A$12170,7)=TEXT(C148,"mm/aaaa"))*($B$2:$B$12170&lt;&gt;"")),$B$2:$B$12170),"")</f>
        <v>1.7020223724417101</v>
      </c>
    </row>
    <row r="149" spans="1:4" ht="13.2" x14ac:dyDescent="0.25">
      <c r="A149" s="34" t="s">
        <v>12057</v>
      </c>
      <c r="B149" s="35">
        <v>3.77813263502027</v>
      </c>
      <c r="C149" s="37">
        <f t="shared" si="2"/>
        <v>38534</v>
      </c>
      <c r="D149" s="35" cm="1">
        <f t="array" ref="D149">IFERROR(LOOKUP(2,1/((RIGHT($A$2:$A$12170,7)=TEXT(C149,"mm/aaaa"))*($B$2:$B$12170&lt;&gt;"")),$B$2:$B$12170),"")</f>
        <v>1.6586838432895401</v>
      </c>
    </row>
    <row r="150" spans="1:4" ht="13.2" x14ac:dyDescent="0.25">
      <c r="A150" s="34" t="s">
        <v>12056</v>
      </c>
      <c r="B150" s="35">
        <v>4.4067563653990698</v>
      </c>
      <c r="C150" s="37">
        <f t="shared" si="2"/>
        <v>38565</v>
      </c>
      <c r="D150" s="35" cm="1">
        <f t="array" ref="D150">IFERROR(LOOKUP(2,1/((RIGHT($A$2:$A$12170,7)=TEXT(C150,"mm/aaaa"))*($B$2:$B$12170&lt;&gt;"")),$B$2:$B$12170),"")</f>
        <v>1.4224653750630101</v>
      </c>
    </row>
    <row r="151" spans="1:4" ht="13.2" x14ac:dyDescent="0.25">
      <c r="A151" s="34" t="s">
        <v>12055</v>
      </c>
      <c r="B151" s="35">
        <v>4.91404100078692</v>
      </c>
      <c r="C151" s="37">
        <f t="shared" si="2"/>
        <v>38596</v>
      </c>
      <c r="D151" s="35" cm="1">
        <f t="array" ref="D151">IFERROR(LOOKUP(2,1/((RIGHT($A$2:$A$12170,7)=TEXT(C151,"mm/aaaa"))*($B$2:$B$12170&lt;&gt;"")),$B$2:$B$12170),"")</f>
        <v>1.01462436422381</v>
      </c>
    </row>
    <row r="152" spans="1:4" ht="13.2" x14ac:dyDescent="0.25">
      <c r="A152" s="34" t="s">
        <v>12054</v>
      </c>
      <c r="C152" s="37">
        <f t="shared" si="2"/>
        <v>38626</v>
      </c>
      <c r="D152" s="35" cm="1">
        <f t="array" ref="D152">IFERROR(LOOKUP(2,1/((RIGHT($A$2:$A$12170,7)=TEXT(C152,"mm/aaaa"))*($B$2:$B$12170&lt;&gt;"")),$B$2:$B$12170),"")</f>
        <v>2.2466095759777001</v>
      </c>
    </row>
    <row r="153" spans="1:4" ht="13.2" x14ac:dyDescent="0.25">
      <c r="A153" s="34" t="s">
        <v>12053</v>
      </c>
      <c r="C153" s="37">
        <f t="shared" si="2"/>
        <v>38657</v>
      </c>
      <c r="D153" s="35" cm="1">
        <f t="array" ref="D153">IFERROR(LOOKUP(2,1/((RIGHT($A$2:$A$12170,7)=TEXT(C153,"mm/aaaa"))*($B$2:$B$12170&lt;&gt;"")),$B$2:$B$12170),"")</f>
        <v>1.1574648088275501</v>
      </c>
    </row>
    <row r="154" spans="1:4" ht="13.2" x14ac:dyDescent="0.25">
      <c r="A154" s="34" t="s">
        <v>12052</v>
      </c>
      <c r="B154" s="35">
        <v>5.0989694497759404</v>
      </c>
      <c r="C154" s="37">
        <f t="shared" si="2"/>
        <v>38687</v>
      </c>
      <c r="D154" s="35" cm="1">
        <f t="array" ref="D154">IFERROR(LOOKUP(2,1/((RIGHT($A$2:$A$12170,7)=TEXT(C154,"mm/aaaa"))*($B$2:$B$12170&lt;&gt;"")),$B$2:$B$12170),"")</f>
        <v>0.99234759657392002</v>
      </c>
    </row>
    <row r="155" spans="1:4" ht="13.2" x14ac:dyDescent="0.25">
      <c r="A155" s="34" t="s">
        <v>12051</v>
      </c>
      <c r="B155" s="35">
        <v>5.1978618470879097</v>
      </c>
      <c r="C155" s="37">
        <f t="shared" si="2"/>
        <v>38718</v>
      </c>
      <c r="D155" s="35" cm="1">
        <f t="array" ref="D155">IFERROR(LOOKUP(2,1/((RIGHT($A$2:$A$12170,7)=TEXT(C155,"mm/aaaa"))*($B$2:$B$12170&lt;&gt;"")),$B$2:$B$12170),"")</f>
        <v>1.3114957341803699</v>
      </c>
    </row>
    <row r="156" spans="1:4" ht="13.2" x14ac:dyDescent="0.25">
      <c r="A156" s="34" t="s">
        <v>12050</v>
      </c>
      <c r="B156" s="35">
        <v>5.4460647224887602</v>
      </c>
      <c r="C156" s="37">
        <f t="shared" si="2"/>
        <v>38749</v>
      </c>
      <c r="D156" s="35" cm="1">
        <f t="array" ref="D156">IFERROR(LOOKUP(2,1/((RIGHT($A$2:$A$12170,7)=TEXT(C156,"mm/aaaa"))*($B$2:$B$12170&lt;&gt;"")),$B$2:$B$12170),"")</f>
        <v>1.3415482538188299</v>
      </c>
    </row>
    <row r="157" spans="1:4" ht="13.2" x14ac:dyDescent="0.25">
      <c r="A157" s="34" t="s">
        <v>12049</v>
      </c>
      <c r="B157" s="35">
        <v>5.4500670806563001</v>
      </c>
      <c r="C157" s="37">
        <f t="shared" si="2"/>
        <v>38777</v>
      </c>
      <c r="D157" s="35" cm="1">
        <f t="array" ref="D157">IFERROR(LOOKUP(2,1/((RIGHT($A$2:$A$12170,7)=TEXT(C157,"mm/aaaa"))*($B$2:$B$12170&lt;&gt;"")),$B$2:$B$12170),"")</f>
        <v>1.5452941705159</v>
      </c>
    </row>
    <row r="158" spans="1:4" ht="13.2" x14ac:dyDescent="0.25">
      <c r="A158" s="34" t="s">
        <v>12048</v>
      </c>
      <c r="B158" s="35">
        <v>5.4759475553955799</v>
      </c>
      <c r="C158" s="37">
        <f t="shared" si="2"/>
        <v>38808</v>
      </c>
      <c r="D158" s="35" cm="1">
        <f t="array" ref="D158">IFERROR(LOOKUP(2,1/((RIGHT($A$2:$A$12170,7)=TEXT(C158,"mm/aaaa"))*($B$2:$B$12170&lt;&gt;"")),$B$2:$B$12170),"")</f>
        <v>1.2474685949277</v>
      </c>
    </row>
    <row r="159" spans="1:4" ht="13.2" x14ac:dyDescent="0.25">
      <c r="A159" s="34" t="s">
        <v>12047</v>
      </c>
      <c r="C159" s="37">
        <f t="shared" si="2"/>
        <v>38838</v>
      </c>
      <c r="D159" s="35" cm="1">
        <f t="array" ref="D159">IFERROR(LOOKUP(2,1/((RIGHT($A$2:$A$12170,7)=TEXT(C159,"mm/aaaa"))*($B$2:$B$12170&lt;&gt;"")),$B$2:$B$12170),"")</f>
        <v>2.0572254672707602</v>
      </c>
    </row>
    <row r="160" spans="1:4" ht="13.2" x14ac:dyDescent="0.25">
      <c r="A160" s="34" t="s">
        <v>12046</v>
      </c>
      <c r="C160" s="37">
        <f t="shared" si="2"/>
        <v>38869</v>
      </c>
      <c r="D160" s="35" cm="1">
        <f t="array" ref="D160">IFERROR(LOOKUP(2,1/((RIGHT($A$2:$A$12170,7)=TEXT(C160,"mm/aaaa"))*($B$2:$B$12170&lt;&gt;"")),$B$2:$B$12170),"")</f>
        <v>2.3903442922110298</v>
      </c>
    </row>
    <row r="161" spans="1:4" ht="13.2" x14ac:dyDescent="0.25">
      <c r="A161" s="34" t="s">
        <v>12045</v>
      </c>
      <c r="B161" s="35">
        <v>5.7881180692376999</v>
      </c>
      <c r="C161" s="37">
        <f t="shared" si="2"/>
        <v>38899</v>
      </c>
      <c r="D161" s="35" cm="1">
        <f t="array" ref="D161">IFERROR(LOOKUP(2,1/((RIGHT($A$2:$A$12170,7)=TEXT(C161,"mm/aaaa"))*($B$2:$B$12170&lt;&gt;"")),$B$2:$B$12170),"")</f>
        <v>1.7398258681255401</v>
      </c>
    </row>
    <row r="162" spans="1:4" ht="13.2" x14ac:dyDescent="0.25">
      <c r="A162" s="34" t="s">
        <v>12044</v>
      </c>
      <c r="C162" s="37">
        <f t="shared" si="2"/>
        <v>38930</v>
      </c>
      <c r="D162" s="35" cm="1">
        <f t="array" ref="D162">IFERROR(LOOKUP(2,1/((RIGHT($A$2:$A$12170,7)=TEXT(C162,"mm/aaaa"))*($B$2:$B$12170&lt;&gt;"")),$B$2:$B$12170),"")</f>
        <v>1.1186720970566</v>
      </c>
    </row>
    <row r="163" spans="1:4" ht="13.2" x14ac:dyDescent="0.25">
      <c r="A163" s="34" t="s">
        <v>12043</v>
      </c>
      <c r="B163" s="35">
        <v>5.8155534617238303</v>
      </c>
      <c r="C163" s="37">
        <f t="shared" si="2"/>
        <v>38961</v>
      </c>
      <c r="D163" s="35" cm="1">
        <f t="array" ref="D163">IFERROR(LOOKUP(2,1/((RIGHT($A$2:$A$12170,7)=TEXT(C163,"mm/aaaa"))*($B$2:$B$12170&lt;&gt;"")),$B$2:$B$12170),"")</f>
        <v>1.3824649117977501</v>
      </c>
    </row>
    <row r="164" spans="1:4" ht="13.2" x14ac:dyDescent="0.25">
      <c r="A164" s="34" t="s">
        <v>12042</v>
      </c>
      <c r="B164" s="35">
        <v>5.8374048699105998</v>
      </c>
      <c r="C164" s="37">
        <f t="shared" si="2"/>
        <v>38991</v>
      </c>
      <c r="D164" s="35" cm="1">
        <f t="array" ref="D164">IFERROR(LOOKUP(2,1/((RIGHT($A$2:$A$12170,7)=TEXT(C164,"mm/aaaa"))*($B$2:$B$12170&lt;&gt;"")),$B$2:$B$12170),"")</f>
        <v>1.19766149573447</v>
      </c>
    </row>
    <row r="165" spans="1:4" ht="13.2" x14ac:dyDescent="0.25">
      <c r="A165" s="34" t="s">
        <v>12041</v>
      </c>
      <c r="B165" s="35">
        <v>5.80498367278053</v>
      </c>
      <c r="C165" s="37">
        <f t="shared" si="2"/>
        <v>39022</v>
      </c>
      <c r="D165" s="35" cm="1">
        <f t="array" ref="D165">IFERROR(LOOKUP(2,1/((RIGHT($A$2:$A$12170,7)=TEXT(C165,"mm/aaaa"))*($B$2:$B$12170&lt;&gt;"")),$B$2:$B$12170),"")</f>
        <v>1.1030208933429</v>
      </c>
    </row>
    <row r="166" spans="1:4" ht="13.2" x14ac:dyDescent="0.25">
      <c r="A166" s="34" t="s">
        <v>12040</v>
      </c>
      <c r="C166" s="37">
        <f t="shared" si="2"/>
        <v>39052</v>
      </c>
      <c r="D166" s="35" cm="1">
        <f t="array" ref="D166">IFERROR(LOOKUP(2,1/((RIGHT($A$2:$A$12170,7)=TEXT(C166,"mm/aaaa"))*($B$2:$B$12170&lt;&gt;"")),$B$2:$B$12170),"")</f>
        <v>0.99203925264639403</v>
      </c>
    </row>
    <row r="167" spans="1:4" ht="13.2" x14ac:dyDescent="0.25">
      <c r="A167" s="34" t="s">
        <v>12039</v>
      </c>
      <c r="C167" s="37">
        <f t="shared" si="2"/>
        <v>39083</v>
      </c>
      <c r="D167" s="35" cm="1">
        <f t="array" ref="D167">IFERROR(LOOKUP(2,1/((RIGHT($A$2:$A$12170,7)=TEXT(C167,"mm/aaaa"))*($B$2:$B$12170&lt;&gt;"")),$B$2:$B$12170),"")</f>
        <v>1.59000954219415</v>
      </c>
    </row>
    <row r="168" spans="1:4" ht="13.2" x14ac:dyDescent="0.25">
      <c r="A168" s="34" t="s">
        <v>12038</v>
      </c>
      <c r="B168" s="35">
        <v>5.86922352761359</v>
      </c>
      <c r="C168" s="37">
        <f t="shared" si="2"/>
        <v>39114</v>
      </c>
      <c r="D168" s="35" cm="1">
        <f t="array" ref="D168">IFERROR(LOOKUP(2,1/((RIGHT($A$2:$A$12170,7)=TEXT(C168,"mm/aaaa"))*($B$2:$B$12170&lt;&gt;"")),$B$2:$B$12170),"")</f>
        <v>1.95168091243621</v>
      </c>
    </row>
    <row r="169" spans="1:4" ht="13.2" x14ac:dyDescent="0.25">
      <c r="A169" s="34" t="s">
        <v>12037</v>
      </c>
      <c r="B169" s="35">
        <v>5.7921918419100198</v>
      </c>
      <c r="C169" s="37">
        <f t="shared" si="2"/>
        <v>39142</v>
      </c>
      <c r="D169" s="35" cm="1">
        <f t="array" ref="D169">IFERROR(LOOKUP(2,1/((RIGHT($A$2:$A$12170,7)=TEXT(C169,"mm/aaaa"))*($B$2:$B$12170&lt;&gt;"")),$B$2:$B$12170),"")</f>
        <v>2.0480616260845799</v>
      </c>
    </row>
    <row r="170" spans="1:4" ht="13.2" x14ac:dyDescent="0.25">
      <c r="A170" s="34" t="s">
        <v>12036</v>
      </c>
      <c r="B170" s="35">
        <v>5.9005230298551998</v>
      </c>
      <c r="C170" s="37">
        <f t="shared" si="2"/>
        <v>39173</v>
      </c>
      <c r="D170" s="35" cm="1">
        <f t="array" ref="D170">IFERROR(LOOKUP(2,1/((RIGHT($A$2:$A$12170,7)=TEXT(C170,"mm/aaaa"))*($B$2:$B$12170&lt;&gt;"")),$B$2:$B$12170),"")</f>
        <v>0.836018134714272</v>
      </c>
    </row>
    <row r="171" spans="1:4" ht="13.2" x14ac:dyDescent="0.25">
      <c r="A171" s="34" t="s">
        <v>12035</v>
      </c>
      <c r="B171" s="35">
        <v>5.8604117501908704</v>
      </c>
      <c r="C171" s="37">
        <f t="shared" si="2"/>
        <v>39203</v>
      </c>
      <c r="D171" s="35" cm="1">
        <f t="array" ref="D171">IFERROR(LOOKUP(2,1/((RIGHT($A$2:$A$12170,7)=TEXT(C171,"mm/aaaa"))*($B$2:$B$12170&lt;&gt;"")),$B$2:$B$12170),"")</f>
        <v>1.3277471488163599</v>
      </c>
    </row>
    <row r="172" spans="1:4" ht="13.2" x14ac:dyDescent="0.25">
      <c r="A172" s="34" t="s">
        <v>12034</v>
      </c>
      <c r="B172" s="35">
        <v>5.8566531817720104</v>
      </c>
      <c r="C172" s="37">
        <f t="shared" si="2"/>
        <v>39234</v>
      </c>
      <c r="D172" s="35" cm="1">
        <f t="array" ref="D172">IFERROR(LOOKUP(2,1/((RIGHT($A$2:$A$12170,7)=TEXT(C172,"mm/aaaa"))*($B$2:$B$12170&lt;&gt;"")),$B$2:$B$12170),"")</f>
        <v>1.1604553614143001</v>
      </c>
    </row>
    <row r="173" spans="1:4" ht="13.2" x14ac:dyDescent="0.25">
      <c r="A173" s="34" t="s">
        <v>12033</v>
      </c>
      <c r="C173" s="37">
        <f t="shared" si="2"/>
        <v>39264</v>
      </c>
      <c r="D173" s="35" cm="1">
        <f t="array" ref="D173">IFERROR(LOOKUP(2,1/((RIGHT($A$2:$A$12170,7)=TEXT(C173,"mm/aaaa"))*($B$2:$B$12170&lt;&gt;"")),$B$2:$B$12170),"")</f>
        <v>1.71271325103151</v>
      </c>
    </row>
    <row r="174" spans="1:4" ht="13.2" x14ac:dyDescent="0.25">
      <c r="A174" s="34" t="s">
        <v>12032</v>
      </c>
      <c r="C174" s="37">
        <f t="shared" si="2"/>
        <v>39295</v>
      </c>
      <c r="D174" s="35" cm="1">
        <f t="array" ref="D174">IFERROR(LOOKUP(2,1/((RIGHT($A$2:$A$12170,7)=TEXT(C174,"mm/aaaa"))*($B$2:$B$12170&lt;&gt;"")),$B$2:$B$12170),"")</f>
        <v>2.3125765043925801</v>
      </c>
    </row>
    <row r="175" spans="1:4" ht="13.2" x14ac:dyDescent="0.25">
      <c r="A175" s="34" t="s">
        <v>12031</v>
      </c>
      <c r="C175" s="37">
        <f t="shared" si="2"/>
        <v>39326</v>
      </c>
      <c r="D175" s="35" cm="1">
        <f t="array" ref="D175">IFERROR(LOOKUP(2,1/((RIGHT($A$2:$A$12170,7)=TEXT(C175,"mm/aaaa"))*($B$2:$B$12170&lt;&gt;"")),$B$2:$B$12170),"")</f>
        <v>1.7283785770959501</v>
      </c>
    </row>
    <row r="176" spans="1:4" ht="13.2" x14ac:dyDescent="0.25">
      <c r="A176" s="34" t="s">
        <v>12030</v>
      </c>
      <c r="B176" s="35">
        <v>5.85687951684291</v>
      </c>
      <c r="C176" s="37">
        <f t="shared" si="2"/>
        <v>39356</v>
      </c>
      <c r="D176" s="35" cm="1">
        <f t="array" ref="D176">IFERROR(LOOKUP(2,1/((RIGHT($A$2:$A$12170,7)=TEXT(C176,"mm/aaaa"))*($B$2:$B$12170&lt;&gt;"")),$B$2:$B$12170),"")</f>
        <v>1.84367868686023</v>
      </c>
    </row>
    <row r="177" spans="1:4" ht="13.2" x14ac:dyDescent="0.25">
      <c r="A177" s="34" t="s">
        <v>12029</v>
      </c>
      <c r="B177" s="35">
        <v>5.9037730970440396</v>
      </c>
      <c r="C177" s="37">
        <f t="shared" si="2"/>
        <v>39387</v>
      </c>
      <c r="D177" s="35" cm="1">
        <f t="array" ref="D177">IFERROR(LOOKUP(2,1/((RIGHT($A$2:$A$12170,7)=TEXT(C177,"mm/aaaa"))*($B$2:$B$12170&lt;&gt;"")),$B$2:$B$12170),"")</f>
        <v>2.2285079548798601</v>
      </c>
    </row>
    <row r="178" spans="1:4" ht="13.2" x14ac:dyDescent="0.25">
      <c r="A178" s="34" t="s">
        <v>12028</v>
      </c>
      <c r="B178" s="35">
        <v>5.3149441382835203</v>
      </c>
      <c r="C178" s="37">
        <f t="shared" si="2"/>
        <v>39417</v>
      </c>
      <c r="D178" s="35" cm="1">
        <f t="array" ref="D178">IFERROR(LOOKUP(2,1/((RIGHT($A$2:$A$12170,7)=TEXT(C178,"mm/aaaa"))*($B$2:$B$12170&lt;&gt;"")),$B$2:$B$12170),"")</f>
        <v>1.80951152170827</v>
      </c>
    </row>
    <row r="179" spans="1:4" ht="13.2" x14ac:dyDescent="0.25">
      <c r="A179" s="34" t="s">
        <v>12027</v>
      </c>
      <c r="B179" s="35">
        <v>5.3324684920434002</v>
      </c>
      <c r="C179" s="37">
        <f t="shared" si="2"/>
        <v>39448</v>
      </c>
      <c r="D179" s="35" cm="1">
        <f t="array" ref="D179">IFERROR(LOOKUP(2,1/((RIGHT($A$2:$A$12170,7)=TEXT(C179,"mm/aaaa"))*($B$2:$B$12170&lt;&gt;"")),$B$2:$B$12170),"")</f>
        <v>2.9211773145850399</v>
      </c>
    </row>
    <row r="180" spans="1:4" ht="13.2" x14ac:dyDescent="0.25">
      <c r="A180" s="34" t="s">
        <v>12026</v>
      </c>
      <c r="C180" s="37">
        <f t="shared" si="2"/>
        <v>39479</v>
      </c>
      <c r="D180" s="35" cm="1">
        <f t="array" ref="D180">IFERROR(LOOKUP(2,1/((RIGHT($A$2:$A$12170,7)=TEXT(C180,"mm/aaaa"))*($B$2:$B$12170&lt;&gt;"")),$B$2:$B$12170),"")</f>
        <v>1.7282355571043999</v>
      </c>
    </row>
    <row r="181" spans="1:4" ht="13.2" x14ac:dyDescent="0.25">
      <c r="A181" s="34" t="s">
        <v>12025</v>
      </c>
      <c r="C181" s="37">
        <f t="shared" si="2"/>
        <v>39508</v>
      </c>
      <c r="D181" s="35" cm="1">
        <f t="array" ref="D181">IFERROR(LOOKUP(2,1/((RIGHT($A$2:$A$12170,7)=TEXT(C181,"mm/aaaa"))*($B$2:$B$12170&lt;&gt;"")),$B$2:$B$12170),"")</f>
        <v>2.29633773506455</v>
      </c>
    </row>
    <row r="182" spans="1:4" ht="13.2" x14ac:dyDescent="0.25">
      <c r="A182" s="34" t="s">
        <v>12024</v>
      </c>
      <c r="B182" s="35">
        <v>5.0590305537611302</v>
      </c>
      <c r="C182" s="37">
        <f t="shared" si="2"/>
        <v>39539</v>
      </c>
      <c r="D182" s="35" cm="1">
        <f t="array" ref="D182">IFERROR(LOOKUP(2,1/((RIGHT($A$2:$A$12170,7)=TEXT(C182,"mm/aaaa"))*($B$2:$B$12170&lt;&gt;"")),$B$2:$B$12170),"")</f>
        <v>1.8379953115463501</v>
      </c>
    </row>
    <row r="183" spans="1:4" ht="13.2" x14ac:dyDescent="0.25">
      <c r="A183" s="34" t="s">
        <v>12023</v>
      </c>
      <c r="B183" s="35">
        <v>4.2899939764533004</v>
      </c>
      <c r="C183" s="37">
        <f t="shared" si="2"/>
        <v>39569</v>
      </c>
      <c r="D183" s="35" cm="1">
        <f t="array" ref="D183">IFERROR(LOOKUP(2,1/((RIGHT($A$2:$A$12170,7)=TEXT(C183,"mm/aaaa"))*($B$2:$B$12170&lt;&gt;"")),$B$2:$B$12170),"")</f>
        <v>1.85100387458209</v>
      </c>
    </row>
    <row r="184" spans="1:4" ht="13.2" x14ac:dyDescent="0.25">
      <c r="A184" s="34" t="s">
        <v>12022</v>
      </c>
      <c r="B184" s="35">
        <v>3.9205284576182202</v>
      </c>
      <c r="C184" s="37">
        <f t="shared" si="2"/>
        <v>39600</v>
      </c>
      <c r="D184" s="35" cm="1">
        <f t="array" ref="D184">IFERROR(LOOKUP(2,1/((RIGHT($A$2:$A$12170,7)=TEXT(C184,"mm/aaaa"))*($B$2:$B$12170&lt;&gt;"")),$B$2:$B$12170),"")</f>
        <v>1.8107600515121101</v>
      </c>
    </row>
    <row r="185" spans="1:4" ht="13.2" x14ac:dyDescent="0.25">
      <c r="A185" s="34" t="s">
        <v>12021</v>
      </c>
      <c r="B185" s="35">
        <v>3.3382521857880798</v>
      </c>
      <c r="C185" s="37">
        <f t="shared" si="2"/>
        <v>39630</v>
      </c>
      <c r="D185" s="35" cm="1">
        <f t="array" ref="D185">IFERROR(LOOKUP(2,1/((RIGHT($A$2:$A$12170,7)=TEXT(C185,"mm/aaaa"))*($B$2:$B$12170&lt;&gt;"")),$B$2:$B$12170),"")</f>
        <v>1.87878497394807</v>
      </c>
    </row>
    <row r="186" spans="1:4" ht="13.2" x14ac:dyDescent="0.25">
      <c r="A186" s="34" t="s">
        <v>12020</v>
      </c>
      <c r="B186" s="35">
        <v>3.2946714736485299</v>
      </c>
      <c r="C186" s="37">
        <f t="shared" si="2"/>
        <v>39661</v>
      </c>
      <c r="D186" s="35" cm="1">
        <f t="array" ref="D186">IFERROR(LOOKUP(2,1/((RIGHT($A$2:$A$12170,7)=TEXT(C186,"mm/aaaa"))*($B$2:$B$12170&lt;&gt;"")),$B$2:$B$12170),"")</f>
        <v>1.90303769967974</v>
      </c>
    </row>
    <row r="187" spans="1:4" ht="13.2" x14ac:dyDescent="0.25">
      <c r="A187" s="34" t="s">
        <v>12019</v>
      </c>
      <c r="C187" s="37">
        <f t="shared" si="2"/>
        <v>39692</v>
      </c>
      <c r="D187" s="35" cm="1">
        <f t="array" ref="D187">IFERROR(LOOKUP(2,1/((RIGHT($A$2:$A$12170,7)=TEXT(C187,"mm/aaaa"))*($B$2:$B$12170&lt;&gt;"")),$B$2:$B$12170),"")</f>
        <v>4.9185248689414101</v>
      </c>
    </row>
    <row r="188" spans="1:4" ht="13.2" x14ac:dyDescent="0.25">
      <c r="A188" s="34" t="s">
        <v>12018</v>
      </c>
      <c r="C188" s="37">
        <f t="shared" si="2"/>
        <v>39722</v>
      </c>
      <c r="D188" s="35" cm="1">
        <f t="array" ref="D188">IFERROR(LOOKUP(2,1/((RIGHT($A$2:$A$12170,7)=TEXT(C188,"mm/aaaa"))*($B$2:$B$12170&lt;&gt;"")),$B$2:$B$12170),"")</f>
        <v>6.8920295375474199</v>
      </c>
    </row>
    <row r="189" spans="1:4" ht="13.2" x14ac:dyDescent="0.25">
      <c r="A189" s="34" t="s">
        <v>12017</v>
      </c>
      <c r="B189" s="35">
        <v>3.09130272258307</v>
      </c>
      <c r="C189" s="37">
        <f t="shared" si="2"/>
        <v>39753</v>
      </c>
      <c r="D189" s="35" cm="1">
        <f t="array" ref="D189">IFERROR(LOOKUP(2,1/((RIGHT($A$2:$A$12170,7)=TEXT(C189,"mm/aaaa"))*($B$2:$B$12170&lt;&gt;"")),$B$2:$B$12170),"")</f>
        <v>4.50271991659557</v>
      </c>
    </row>
    <row r="190" spans="1:4" ht="13.2" x14ac:dyDescent="0.25">
      <c r="A190" s="34" t="s">
        <v>12016</v>
      </c>
      <c r="B190" s="35">
        <v>3.0718843266977802</v>
      </c>
      <c r="C190" s="37">
        <f t="shared" si="2"/>
        <v>39783</v>
      </c>
      <c r="D190" s="35" cm="1">
        <f t="array" ref="D190">IFERROR(LOOKUP(2,1/((RIGHT($A$2:$A$12170,7)=TEXT(C190,"mm/aaaa"))*($B$2:$B$12170&lt;&gt;"")),$B$2:$B$12170),"")</f>
        <v>2.8596485866002599</v>
      </c>
    </row>
    <row r="191" spans="1:4" ht="13.2" x14ac:dyDescent="0.25">
      <c r="A191" s="34" t="s">
        <v>12015</v>
      </c>
      <c r="B191" s="35">
        <v>3.2046919348634599</v>
      </c>
      <c r="C191" s="37">
        <f t="shared" si="2"/>
        <v>39814</v>
      </c>
      <c r="D191" s="35" cm="1">
        <f t="array" ref="D191">IFERROR(LOOKUP(2,1/((RIGHT($A$2:$A$12170,7)=TEXT(C191,"mm/aaaa"))*($B$2:$B$12170&lt;&gt;"")),$B$2:$B$12170),"")</f>
        <v>3.0744686118460498</v>
      </c>
    </row>
    <row r="192" spans="1:4" ht="13.2" x14ac:dyDescent="0.25">
      <c r="A192" s="34" t="s">
        <v>12014</v>
      </c>
      <c r="B192" s="35">
        <v>2.6070238623719302</v>
      </c>
      <c r="C192" s="37">
        <f t="shared" si="2"/>
        <v>39845</v>
      </c>
      <c r="D192" s="35" cm="1">
        <f t="array" ref="D192">IFERROR(LOOKUP(2,1/((RIGHT($A$2:$A$12170,7)=TEXT(C192,"mm/aaaa"))*($B$2:$B$12170&lt;&gt;"")),$B$2:$B$12170),"")</f>
        <v>2.22907972451083</v>
      </c>
    </row>
    <row r="193" spans="1:4" ht="13.2" x14ac:dyDescent="0.25">
      <c r="A193" s="34" t="s">
        <v>12013</v>
      </c>
      <c r="B193" s="35">
        <v>2.7364001223999201</v>
      </c>
      <c r="C193" s="37">
        <f t="shared" si="2"/>
        <v>39873</v>
      </c>
      <c r="D193" s="35" cm="1">
        <f t="array" ref="D193">IFERROR(LOOKUP(2,1/((RIGHT($A$2:$A$12170,7)=TEXT(C193,"mm/aaaa"))*($B$2:$B$12170&lt;&gt;"")),$B$2:$B$12170),"")</f>
        <v>2.4939851406424398</v>
      </c>
    </row>
    <row r="194" spans="1:4" ht="13.2" x14ac:dyDescent="0.25">
      <c r="A194" s="34" t="s">
        <v>12012</v>
      </c>
      <c r="C194" s="37">
        <f t="shared" si="2"/>
        <v>39904</v>
      </c>
      <c r="D194" s="35" cm="1">
        <f t="array" ref="D194">IFERROR(LOOKUP(2,1/((RIGHT($A$2:$A$12170,7)=TEXT(C194,"mm/aaaa"))*($B$2:$B$12170&lt;&gt;"")),$B$2:$B$12170),"")</f>
        <v>1.7770125831688199</v>
      </c>
    </row>
    <row r="195" spans="1:4" ht="13.2" x14ac:dyDescent="0.25">
      <c r="A195" s="34" t="s">
        <v>12011</v>
      </c>
      <c r="C195" s="37">
        <f t="shared" si="2"/>
        <v>39934</v>
      </c>
      <c r="D195" s="35" cm="1">
        <f t="array" ref="D195">IFERROR(LOOKUP(2,1/((RIGHT($A$2:$A$12170,7)=TEXT(C195,"mm/aaaa"))*($B$2:$B$12170&lt;&gt;"")),$B$2:$B$12170),"")</f>
        <v>2.3308382163399601</v>
      </c>
    </row>
    <row r="196" spans="1:4" ht="13.2" x14ac:dyDescent="0.25">
      <c r="A196" s="34" t="s">
        <v>12010</v>
      </c>
      <c r="B196" s="35">
        <v>2.6264156305886499</v>
      </c>
      <c r="C196" s="37">
        <f t="shared" si="2"/>
        <v>39965</v>
      </c>
      <c r="D196" s="35" cm="1">
        <f t="array" ref="D196">IFERROR(LOOKUP(2,1/((RIGHT($A$2:$A$12170,7)=TEXT(C196,"mm/aaaa"))*($B$2:$B$12170&lt;&gt;"")),$B$2:$B$12170),"")</f>
        <v>1.87230681963373</v>
      </c>
    </row>
    <row r="197" spans="1:4" ht="13.2" x14ac:dyDescent="0.25">
      <c r="A197" s="34" t="s">
        <v>12009</v>
      </c>
      <c r="B197" s="35">
        <v>2.7069906678195199</v>
      </c>
      <c r="C197" s="37">
        <f t="shared" ref="C197:C260" si="3">EDATE(C196,1)</f>
        <v>39995</v>
      </c>
      <c r="D197" s="35" cm="1">
        <f t="array" ref="D197">IFERROR(LOOKUP(2,1/((RIGHT($A$2:$A$12170,7)=TEXT(C197,"mm/aaaa"))*($B$2:$B$12170&lt;&gt;"")),$B$2:$B$12170),"")</f>
        <v>1.48635429704787</v>
      </c>
    </row>
    <row r="198" spans="1:4" ht="13.2" x14ac:dyDescent="0.25">
      <c r="A198" s="34" t="s">
        <v>12008</v>
      </c>
      <c r="B198" s="35">
        <v>2.6142445995788601</v>
      </c>
      <c r="C198" s="37">
        <f t="shared" si="3"/>
        <v>40026</v>
      </c>
      <c r="D198" s="35" cm="1">
        <f t="array" ref="D198">IFERROR(LOOKUP(2,1/((RIGHT($A$2:$A$12170,7)=TEXT(C198,"mm/aaaa"))*($B$2:$B$12170&lt;&gt;"")),$B$2:$B$12170),"")</f>
        <v>1.26404535561659</v>
      </c>
    </row>
    <row r="199" spans="1:4" ht="13.2" x14ac:dyDescent="0.25">
      <c r="A199" s="34" t="s">
        <v>12007</v>
      </c>
      <c r="B199" s="35">
        <v>2.7282207360249302</v>
      </c>
      <c r="C199" s="37">
        <f t="shared" si="3"/>
        <v>40057</v>
      </c>
      <c r="D199" s="35" cm="1">
        <f t="array" ref="D199">IFERROR(LOOKUP(2,1/((RIGHT($A$2:$A$12170,7)=TEXT(C199,"mm/aaaa"))*($B$2:$B$12170&lt;&gt;"")),$B$2:$B$12170),"")</f>
        <v>1.0037083404598199</v>
      </c>
    </row>
    <row r="200" spans="1:4" ht="13.2" x14ac:dyDescent="0.25">
      <c r="A200" s="34" t="s">
        <v>12006</v>
      </c>
      <c r="B200" s="35">
        <v>2.44301110551622</v>
      </c>
      <c r="C200" s="37">
        <f t="shared" si="3"/>
        <v>40087</v>
      </c>
      <c r="D200" s="35" cm="1">
        <f t="array" ref="D200">IFERROR(LOOKUP(2,1/((RIGHT($A$2:$A$12170,7)=TEXT(C200,"mm/aaaa"))*($B$2:$B$12170&lt;&gt;"")),$B$2:$B$12170),"")</f>
        <v>2.3647036618313502</v>
      </c>
    </row>
    <row r="201" spans="1:4" ht="13.2" x14ac:dyDescent="0.25">
      <c r="A201" s="34" t="s">
        <v>12005</v>
      </c>
      <c r="C201" s="37">
        <f t="shared" si="3"/>
        <v>40118</v>
      </c>
      <c r="D201" s="35" cm="1">
        <f t="array" ref="D201">IFERROR(LOOKUP(2,1/((RIGHT($A$2:$A$12170,7)=TEXT(C201,"mm/aaaa"))*($B$2:$B$12170&lt;&gt;"")),$B$2:$B$12170),"")</f>
        <v>2.0291458001402001</v>
      </c>
    </row>
    <row r="202" spans="1:4" ht="13.2" x14ac:dyDescent="0.25">
      <c r="A202" s="34" t="s">
        <v>12004</v>
      </c>
      <c r="C202" s="37">
        <f t="shared" si="3"/>
        <v>40148</v>
      </c>
      <c r="D202" s="35" cm="1">
        <f t="array" ref="D202">IFERROR(LOOKUP(2,1/((RIGHT($A$2:$A$12170,7)=TEXT(C202,"mm/aaaa"))*($B$2:$B$12170&lt;&gt;"")),$B$2:$B$12170),"")</f>
        <v>1.1160228616194701</v>
      </c>
    </row>
    <row r="203" spans="1:4" ht="13.2" x14ac:dyDescent="0.25">
      <c r="A203" s="34" t="s">
        <v>12003</v>
      </c>
      <c r="B203" s="35">
        <v>2.4363129324283301</v>
      </c>
      <c r="C203" s="37">
        <f t="shared" si="3"/>
        <v>40179</v>
      </c>
      <c r="D203" s="35" cm="1">
        <f t="array" ref="D203">IFERROR(LOOKUP(2,1/((RIGHT($A$2:$A$12170,7)=TEXT(C203,"mm/aaaa"))*($B$2:$B$12170&lt;&gt;"")),$B$2:$B$12170),"")</f>
        <v>1.1235800002382199</v>
      </c>
    </row>
    <row r="204" spans="1:4" ht="13.2" x14ac:dyDescent="0.25">
      <c r="A204" s="34" t="s">
        <v>12002</v>
      </c>
      <c r="B204" s="35">
        <v>2.4930177194491998</v>
      </c>
      <c r="C204" s="37">
        <f t="shared" si="3"/>
        <v>40210</v>
      </c>
      <c r="D204" s="35" cm="1">
        <f t="array" ref="D204">IFERROR(LOOKUP(2,1/((RIGHT($A$2:$A$12170,7)=TEXT(C204,"mm/aaaa"))*($B$2:$B$12170&lt;&gt;"")),$B$2:$B$12170),"")</f>
        <v>1.59104458727263</v>
      </c>
    </row>
    <row r="205" spans="1:4" ht="13.2" x14ac:dyDescent="0.25">
      <c r="A205" s="34" t="s">
        <v>12001</v>
      </c>
      <c r="B205" s="35">
        <v>2.54844032840289</v>
      </c>
      <c r="C205" s="37">
        <f t="shared" si="3"/>
        <v>40238</v>
      </c>
      <c r="D205" s="35" cm="1">
        <f t="array" ref="D205">IFERROR(LOOKUP(2,1/((RIGHT($A$2:$A$12170,7)=TEXT(C205,"mm/aaaa"))*($B$2:$B$12170&lt;&gt;"")),$B$2:$B$12170),"")</f>
        <v>0.82461228686381305</v>
      </c>
    </row>
    <row r="206" spans="1:4" ht="13.2" x14ac:dyDescent="0.25">
      <c r="A206" s="34" t="s">
        <v>12000</v>
      </c>
      <c r="B206" s="35">
        <v>2.42069585767356</v>
      </c>
      <c r="C206" s="37">
        <f t="shared" si="3"/>
        <v>40269</v>
      </c>
      <c r="D206" s="35" cm="1">
        <f t="array" ref="D206">IFERROR(LOOKUP(2,1/((RIGHT($A$2:$A$12170,7)=TEXT(C206,"mm/aaaa"))*($B$2:$B$12170&lt;&gt;"")),$B$2:$B$12170),"")</f>
        <v>1.13140776043044</v>
      </c>
    </row>
    <row r="207" spans="1:4" ht="13.2" x14ac:dyDescent="0.25">
      <c r="A207" s="34" t="s">
        <v>11999</v>
      </c>
      <c r="B207" s="35">
        <v>2.4215845624042598</v>
      </c>
      <c r="C207" s="37">
        <f t="shared" si="3"/>
        <v>40299</v>
      </c>
      <c r="D207" s="35" cm="1">
        <f t="array" ref="D207">IFERROR(LOOKUP(2,1/((RIGHT($A$2:$A$12170,7)=TEXT(C207,"mm/aaaa"))*($B$2:$B$12170&lt;&gt;"")),$B$2:$B$12170),"")</f>
        <v>2.1506735230897398</v>
      </c>
    </row>
    <row r="208" spans="1:4" ht="13.2" x14ac:dyDescent="0.25">
      <c r="A208" s="34" t="s">
        <v>11998</v>
      </c>
      <c r="C208" s="37">
        <f t="shared" si="3"/>
        <v>40330</v>
      </c>
      <c r="D208" s="35" cm="1">
        <f t="array" ref="D208">IFERROR(LOOKUP(2,1/((RIGHT($A$2:$A$12170,7)=TEXT(C208,"mm/aaaa"))*($B$2:$B$12170&lt;&gt;"")),$B$2:$B$12170),"")</f>
        <v>1.49550755332025</v>
      </c>
    </row>
    <row r="209" spans="1:4" ht="13.2" x14ac:dyDescent="0.25">
      <c r="A209" s="34" t="s">
        <v>11997</v>
      </c>
      <c r="C209" s="37">
        <f t="shared" si="3"/>
        <v>40360</v>
      </c>
      <c r="D209" s="35" cm="1">
        <f t="array" ref="D209">IFERROR(LOOKUP(2,1/((RIGHT($A$2:$A$12170,7)=TEXT(C209,"mm/aaaa"))*($B$2:$B$12170&lt;&gt;"")),$B$2:$B$12170),"")</f>
        <v>1.01165521726468</v>
      </c>
    </row>
    <row r="210" spans="1:4" ht="13.2" x14ac:dyDescent="0.25">
      <c r="A210" s="34" t="s">
        <v>11996</v>
      </c>
      <c r="B210" s="35">
        <v>2.4016763781774002</v>
      </c>
      <c r="C210" s="37">
        <f t="shared" si="3"/>
        <v>40391</v>
      </c>
      <c r="D210" s="35" cm="1">
        <f t="array" ref="D210">IFERROR(LOOKUP(2,1/((RIGHT($A$2:$A$12170,7)=TEXT(C210,"mm/aaaa"))*($B$2:$B$12170&lt;&gt;"")),$B$2:$B$12170),"")</f>
        <v>1.1704363788982799</v>
      </c>
    </row>
    <row r="211" spans="1:4" ht="13.2" x14ac:dyDescent="0.25">
      <c r="A211" s="34" t="s">
        <v>11995</v>
      </c>
      <c r="B211" s="35">
        <v>2.6011083590020099</v>
      </c>
      <c r="C211" s="37">
        <f t="shared" si="3"/>
        <v>40422</v>
      </c>
      <c r="D211" s="35" cm="1">
        <f t="array" ref="D211">IFERROR(LOOKUP(2,1/((RIGHT($A$2:$A$12170,7)=TEXT(C211,"mm/aaaa"))*($B$2:$B$12170&lt;&gt;"")),$B$2:$B$12170),"")</f>
        <v>0.96716830351605299</v>
      </c>
    </row>
    <row r="212" spans="1:4" ht="13.2" x14ac:dyDescent="0.25">
      <c r="A212" s="34" t="s">
        <v>11994</v>
      </c>
      <c r="B212" s="35">
        <v>2.5857813399821201</v>
      </c>
      <c r="C212" s="37">
        <f t="shared" si="3"/>
        <v>40452</v>
      </c>
      <c r="D212" s="35" cm="1">
        <f t="array" ref="D212">IFERROR(LOOKUP(2,1/((RIGHT($A$2:$A$12170,7)=TEXT(C212,"mm/aaaa"))*($B$2:$B$12170&lt;&gt;"")),$B$2:$B$12170),"")</f>
        <v>0.98531659414933304</v>
      </c>
    </row>
    <row r="213" spans="1:4" ht="13.2" x14ac:dyDescent="0.25">
      <c r="A213" s="34" t="s">
        <v>11993</v>
      </c>
      <c r="B213" s="35">
        <v>2.4901489589479899</v>
      </c>
      <c r="C213" s="37">
        <f t="shared" si="3"/>
        <v>40483</v>
      </c>
      <c r="D213" s="35" cm="1">
        <f t="array" ref="D213">IFERROR(LOOKUP(2,1/((RIGHT($A$2:$A$12170,7)=TEXT(C213,"mm/aaaa"))*($B$2:$B$12170&lt;&gt;"")),$B$2:$B$12170),"")</f>
        <v>1.2565379558896099</v>
      </c>
    </row>
    <row r="214" spans="1:4" ht="13.2" x14ac:dyDescent="0.25">
      <c r="A214" s="34" t="s">
        <v>11992</v>
      </c>
      <c r="C214" s="37">
        <f t="shared" si="3"/>
        <v>40513</v>
      </c>
      <c r="D214" s="35" cm="1">
        <f t="array" ref="D214">IFERROR(LOOKUP(2,1/((RIGHT($A$2:$A$12170,7)=TEXT(C214,"mm/aaaa"))*($B$2:$B$12170&lt;&gt;"")),$B$2:$B$12170),"")</f>
        <v>1.01714542134552</v>
      </c>
    </row>
    <row r="215" spans="1:4" ht="13.2" x14ac:dyDescent="0.25">
      <c r="A215" s="34" t="s">
        <v>11991</v>
      </c>
      <c r="C215" s="37">
        <f t="shared" si="3"/>
        <v>40544</v>
      </c>
      <c r="D215" s="35" cm="1">
        <f t="array" ref="D215">IFERROR(LOOKUP(2,1/((RIGHT($A$2:$A$12170,7)=TEXT(C215,"mm/aaaa"))*($B$2:$B$12170&lt;&gt;"")),$B$2:$B$12170),"")</f>
        <v>0.90885566445374899</v>
      </c>
    </row>
    <row r="216" spans="1:4" ht="13.2" x14ac:dyDescent="0.25">
      <c r="A216" s="34" t="s">
        <v>11990</v>
      </c>
      <c r="C216" s="37">
        <f t="shared" si="3"/>
        <v>40575</v>
      </c>
      <c r="D216" s="35" cm="1">
        <f t="array" ref="D216">IFERROR(LOOKUP(2,1/((RIGHT($A$2:$A$12170,7)=TEXT(C216,"mm/aaaa"))*($B$2:$B$12170&lt;&gt;"")),$B$2:$B$12170),"")</f>
        <v>1.2373976351495499</v>
      </c>
    </row>
    <row r="217" spans="1:4" ht="13.2" x14ac:dyDescent="0.25">
      <c r="A217" s="34" t="s">
        <v>11989</v>
      </c>
      <c r="B217" s="35">
        <v>2.5048118420252199</v>
      </c>
      <c r="C217" s="37">
        <f t="shared" si="3"/>
        <v>40603</v>
      </c>
      <c r="D217" s="35" cm="1">
        <f t="array" ref="D217">IFERROR(LOOKUP(2,1/((RIGHT($A$2:$A$12170,7)=TEXT(C217,"mm/aaaa"))*($B$2:$B$12170&lt;&gt;"")),$B$2:$B$12170),"")</f>
        <v>1.02098026670847</v>
      </c>
    </row>
    <row r="218" spans="1:4" ht="13.2" x14ac:dyDescent="0.25">
      <c r="A218" s="34" t="s">
        <v>11988</v>
      </c>
      <c r="B218" s="35">
        <v>2.50536781490788</v>
      </c>
      <c r="C218" s="37">
        <f t="shared" si="3"/>
        <v>40634</v>
      </c>
      <c r="D218" s="35" cm="1">
        <f t="array" ref="D218">IFERROR(LOOKUP(2,1/((RIGHT($A$2:$A$12170,7)=TEXT(C218,"mm/aaaa"))*($B$2:$B$12170&lt;&gt;"")),$B$2:$B$12170),"")</f>
        <v>0.98617105822867601</v>
      </c>
    </row>
    <row r="219" spans="1:4" ht="13.2" x14ac:dyDescent="0.25">
      <c r="A219" s="34" t="s">
        <v>11987</v>
      </c>
      <c r="B219" s="35">
        <v>2.44608323397562</v>
      </c>
      <c r="C219" s="37">
        <f t="shared" si="3"/>
        <v>40664</v>
      </c>
      <c r="D219" s="35" cm="1">
        <f t="array" ref="D219">IFERROR(LOOKUP(2,1/((RIGHT($A$2:$A$12170,7)=TEXT(C219,"mm/aaaa"))*($B$2:$B$12170&lt;&gt;"")),$B$2:$B$12170),"")</f>
        <v>1.0391268803488201</v>
      </c>
    </row>
    <row r="220" spans="1:4" ht="13.2" x14ac:dyDescent="0.25">
      <c r="A220" s="34" t="s">
        <v>11986</v>
      </c>
      <c r="B220" s="35">
        <v>2.3973512022967598</v>
      </c>
      <c r="C220" s="37">
        <f t="shared" si="3"/>
        <v>40695</v>
      </c>
      <c r="D220" s="35" cm="1">
        <f t="array" ref="D220">IFERROR(LOOKUP(2,1/((RIGHT($A$2:$A$12170,7)=TEXT(C220,"mm/aaaa"))*($B$2:$B$12170&lt;&gt;"")),$B$2:$B$12170),"")</f>
        <v>0.95007609527542203</v>
      </c>
    </row>
    <row r="221" spans="1:4" ht="13.2" x14ac:dyDescent="0.25">
      <c r="A221" s="34" t="s">
        <v>11985</v>
      </c>
      <c r="C221" s="37">
        <f t="shared" si="3"/>
        <v>40725</v>
      </c>
      <c r="D221" s="35" cm="1">
        <f t="array" ref="D221">IFERROR(LOOKUP(2,1/((RIGHT($A$2:$A$12170,7)=TEXT(C221,"mm/aaaa"))*($B$2:$B$12170&lt;&gt;"")),$B$2:$B$12170),"")</f>
        <v>1.1434031762436201</v>
      </c>
    </row>
    <row r="222" spans="1:4" ht="13.2" x14ac:dyDescent="0.25">
      <c r="A222" s="34" t="s">
        <v>11984</v>
      </c>
      <c r="C222" s="37">
        <f t="shared" si="3"/>
        <v>40756</v>
      </c>
      <c r="D222" s="35" cm="1">
        <f t="array" ref="D222">IFERROR(LOOKUP(2,1/((RIGHT($A$2:$A$12170,7)=TEXT(C222,"mm/aaaa"))*($B$2:$B$12170&lt;&gt;"")),$B$2:$B$12170),"")</f>
        <v>3.1107244631605</v>
      </c>
    </row>
    <row r="223" spans="1:4" ht="13.2" x14ac:dyDescent="0.25">
      <c r="A223" s="34" t="s">
        <v>11983</v>
      </c>
      <c r="C223" s="37">
        <f t="shared" si="3"/>
        <v>40787</v>
      </c>
      <c r="D223" s="35" cm="1">
        <f t="array" ref="D223">IFERROR(LOOKUP(2,1/((RIGHT($A$2:$A$12170,7)=TEXT(C223,"mm/aaaa"))*($B$2:$B$12170&lt;&gt;"")),$B$2:$B$12170),"")</f>
        <v>1.7872391888313699</v>
      </c>
    </row>
    <row r="224" spans="1:4" ht="13.2" x14ac:dyDescent="0.25">
      <c r="A224" s="34" t="s">
        <v>11982</v>
      </c>
      <c r="B224" s="35">
        <v>2.2092981705111101</v>
      </c>
      <c r="C224" s="37">
        <f t="shared" si="3"/>
        <v>40817</v>
      </c>
      <c r="D224" s="35" cm="1">
        <f t="array" ref="D224">IFERROR(LOOKUP(2,1/((RIGHT($A$2:$A$12170,7)=TEXT(C224,"mm/aaaa"))*($B$2:$B$12170&lt;&gt;"")),$B$2:$B$12170),"")</f>
        <v>2.0583024108450498</v>
      </c>
    </row>
    <row r="225" spans="1:4" ht="13.2" x14ac:dyDescent="0.25">
      <c r="A225" s="34" t="s">
        <v>11981</v>
      </c>
      <c r="B225" s="35">
        <v>2.3428885021360499</v>
      </c>
      <c r="C225" s="37">
        <f t="shared" si="3"/>
        <v>40848</v>
      </c>
      <c r="D225" s="35" cm="1">
        <f t="array" ref="D225">IFERROR(LOOKUP(2,1/((RIGHT($A$2:$A$12170,7)=TEXT(C225,"mm/aaaa"))*($B$2:$B$12170&lt;&gt;"")),$B$2:$B$12170),"")</f>
        <v>1.53849214774281</v>
      </c>
    </row>
    <row r="226" spans="1:4" ht="13.2" x14ac:dyDescent="0.25">
      <c r="A226" s="34" t="s">
        <v>11980</v>
      </c>
      <c r="B226" s="35">
        <v>2.2559820046843799</v>
      </c>
      <c r="C226" s="37">
        <f t="shared" si="3"/>
        <v>40878</v>
      </c>
      <c r="D226" s="35" cm="1">
        <f t="array" ref="D226">IFERROR(LOOKUP(2,1/((RIGHT($A$2:$A$12170,7)=TEXT(C226,"mm/aaaa"))*($B$2:$B$12170&lt;&gt;"")),$B$2:$B$12170),"")</f>
        <v>1.44340181518601</v>
      </c>
    </row>
    <row r="227" spans="1:4" ht="13.2" x14ac:dyDescent="0.25">
      <c r="A227" s="34" t="s">
        <v>11979</v>
      </c>
      <c r="B227" s="35">
        <v>2.38102912548562</v>
      </c>
      <c r="C227" s="37">
        <f t="shared" si="3"/>
        <v>40909</v>
      </c>
      <c r="D227" s="35" cm="1">
        <f t="array" ref="D227">IFERROR(LOOKUP(2,1/((RIGHT($A$2:$A$12170,7)=TEXT(C227,"mm/aaaa"))*($B$2:$B$12170&lt;&gt;"")),$B$2:$B$12170),"")</f>
        <v>0.94172925770948601</v>
      </c>
    </row>
    <row r="228" spans="1:4" ht="13.2" x14ac:dyDescent="0.25">
      <c r="A228" s="34" t="s">
        <v>11978</v>
      </c>
      <c r="B228" s="35">
        <v>2.5186121392110299</v>
      </c>
      <c r="C228" s="37">
        <f t="shared" si="3"/>
        <v>40940</v>
      </c>
      <c r="D228" s="35" cm="1">
        <f t="array" ref="D228">IFERROR(LOOKUP(2,1/((RIGHT($A$2:$A$12170,7)=TEXT(C228,"mm/aaaa"))*($B$2:$B$12170&lt;&gt;"")),$B$2:$B$12170),"")</f>
        <v>1.1125936176384299</v>
      </c>
    </row>
    <row r="229" spans="1:4" ht="13.2" x14ac:dyDescent="0.25">
      <c r="A229" s="34" t="s">
        <v>11977</v>
      </c>
      <c r="C229" s="37">
        <f t="shared" si="3"/>
        <v>40969</v>
      </c>
      <c r="D229" s="35" cm="1">
        <f t="array" ref="D229">IFERROR(LOOKUP(2,1/((RIGHT($A$2:$A$12170,7)=TEXT(C229,"mm/aaaa"))*($B$2:$B$12170&lt;&gt;"")),$B$2:$B$12170),"")</f>
        <v>1.2812834617434301</v>
      </c>
    </row>
    <row r="230" spans="1:4" ht="13.2" x14ac:dyDescent="0.25">
      <c r="A230" s="34" t="s">
        <v>11976</v>
      </c>
      <c r="C230" s="37">
        <f t="shared" si="3"/>
        <v>41000</v>
      </c>
      <c r="D230" s="35" cm="1">
        <f t="array" ref="D230">IFERROR(LOOKUP(2,1/((RIGHT($A$2:$A$12170,7)=TEXT(C230,"mm/aaaa"))*($B$2:$B$12170&lt;&gt;"")),$B$2:$B$12170),"")</f>
        <v>1.14641024337375</v>
      </c>
    </row>
    <row r="231" spans="1:4" ht="13.2" x14ac:dyDescent="0.25">
      <c r="A231" s="34" t="s">
        <v>11975</v>
      </c>
      <c r="B231" s="35">
        <v>2.44795262906311</v>
      </c>
      <c r="C231" s="37">
        <f t="shared" si="3"/>
        <v>41030</v>
      </c>
      <c r="D231" s="35" cm="1">
        <f t="array" ref="D231">IFERROR(LOOKUP(2,1/((RIGHT($A$2:$A$12170,7)=TEXT(C231,"mm/aaaa"))*($B$2:$B$12170&lt;&gt;"")),$B$2:$B$12170),"")</f>
        <v>1.7113114660633</v>
      </c>
    </row>
    <row r="232" spans="1:4" ht="13.2" x14ac:dyDescent="0.25">
      <c r="A232" s="34" t="s">
        <v>11974</v>
      </c>
      <c r="B232" s="35">
        <v>2.21490679409867</v>
      </c>
      <c r="C232" s="37">
        <f t="shared" si="3"/>
        <v>41061</v>
      </c>
      <c r="D232" s="35" cm="1">
        <f t="array" ref="D232">IFERROR(LOOKUP(2,1/((RIGHT($A$2:$A$12170,7)=TEXT(C232,"mm/aaaa"))*($B$2:$B$12170&lt;&gt;"")),$B$2:$B$12170),"")</f>
        <v>1.716397</v>
      </c>
    </row>
    <row r="233" spans="1:4" ht="13.2" x14ac:dyDescent="0.25">
      <c r="A233" s="34" t="s">
        <v>11973</v>
      </c>
      <c r="B233" s="35">
        <v>2.3777531118313302</v>
      </c>
      <c r="C233" s="37">
        <f t="shared" si="3"/>
        <v>41091</v>
      </c>
      <c r="D233" s="35" cm="1">
        <f t="array" ref="D233">IFERROR(LOOKUP(2,1/((RIGHT($A$2:$A$12170,7)=TEXT(C233,"mm/aaaa"))*($B$2:$B$12170&lt;&gt;"")),$B$2:$B$12170),"")</f>
        <v>1.8805122021010801</v>
      </c>
    </row>
    <row r="234" spans="1:4" ht="13.2" x14ac:dyDescent="0.25">
      <c r="A234" s="34" t="s">
        <v>11972</v>
      </c>
      <c r="B234" s="35">
        <v>2.3734352066918301</v>
      </c>
      <c r="C234" s="37">
        <f t="shared" si="3"/>
        <v>41122</v>
      </c>
      <c r="D234" s="35" cm="1">
        <f t="array" ref="D234">IFERROR(LOOKUP(2,1/((RIGHT($A$2:$A$12170,7)=TEXT(C234,"mm/aaaa"))*($B$2:$B$12170&lt;&gt;"")),$B$2:$B$12170),"")</f>
        <v>1.31097015636365</v>
      </c>
    </row>
    <row r="235" spans="1:4" ht="13.2" x14ac:dyDescent="0.25">
      <c r="A235" s="34" t="s">
        <v>11971</v>
      </c>
      <c r="B235" s="35">
        <v>2.60645532373624</v>
      </c>
      <c r="C235" s="37">
        <f t="shared" si="3"/>
        <v>41153</v>
      </c>
      <c r="D235" s="35" cm="1">
        <f t="array" ref="D235">IFERROR(LOOKUP(2,1/((RIGHT($A$2:$A$12170,7)=TEXT(C235,"mm/aaaa"))*($B$2:$B$12170&lt;&gt;"")),$B$2:$B$12170),"")</f>
        <v>1.3421407796826399</v>
      </c>
    </row>
    <row r="236" spans="1:4" ht="13.2" x14ac:dyDescent="0.25">
      <c r="A236" s="34" t="s">
        <v>11970</v>
      </c>
      <c r="C236" s="37">
        <f t="shared" si="3"/>
        <v>41183</v>
      </c>
      <c r="D236" s="35" cm="1">
        <f t="array" ref="D236">IFERROR(LOOKUP(2,1/((RIGHT($A$2:$A$12170,7)=TEXT(C236,"mm/aaaa"))*($B$2:$B$12170&lt;&gt;"")),$B$2:$B$12170),"")</f>
        <v>0.89949885361814896</v>
      </c>
    </row>
    <row r="237" spans="1:4" ht="13.2" x14ac:dyDescent="0.25">
      <c r="A237" s="34" t="s">
        <v>11969</v>
      </c>
      <c r="C237" s="37">
        <f t="shared" si="3"/>
        <v>41214</v>
      </c>
      <c r="D237" s="35" cm="1">
        <f t="array" ref="D237">IFERROR(LOOKUP(2,1/((RIGHT($A$2:$A$12170,7)=TEXT(C237,"mm/aaaa"))*($B$2:$B$12170&lt;&gt;"")),$B$2:$B$12170),"")</f>
        <v>1.44336746877077</v>
      </c>
    </row>
    <row r="238" spans="1:4" ht="13.2" x14ac:dyDescent="0.25">
      <c r="A238" s="34" t="s">
        <v>11968</v>
      </c>
      <c r="B238" s="35">
        <v>2.6844847181323801</v>
      </c>
      <c r="C238" s="37">
        <f t="shared" si="3"/>
        <v>41244</v>
      </c>
      <c r="D238" s="35" cm="1">
        <f t="array" ref="D238">IFERROR(LOOKUP(2,1/((RIGHT($A$2:$A$12170,7)=TEXT(C238,"mm/aaaa"))*($B$2:$B$12170&lt;&gt;"")),$B$2:$B$12170),"")</f>
        <v>0.87242964444172</v>
      </c>
    </row>
    <row r="239" spans="1:4" ht="13.2" x14ac:dyDescent="0.25">
      <c r="A239" s="34" t="s">
        <v>11967</v>
      </c>
      <c r="B239" s="35">
        <v>2.67500111074584</v>
      </c>
      <c r="C239" s="37">
        <f t="shared" si="3"/>
        <v>41275</v>
      </c>
      <c r="D239" s="35" cm="1">
        <f t="array" ref="D239">IFERROR(LOOKUP(2,1/((RIGHT($A$2:$A$12170,7)=TEXT(C239,"mm/aaaa"))*($B$2:$B$12170&lt;&gt;"")),$B$2:$B$12170),"")</f>
        <v>1.10132570019062</v>
      </c>
    </row>
    <row r="240" spans="1:4" ht="13.2" x14ac:dyDescent="0.25">
      <c r="A240" s="34" t="s">
        <v>11966</v>
      </c>
      <c r="B240" s="35">
        <v>2.7031644442050302</v>
      </c>
      <c r="C240" s="37">
        <f t="shared" si="3"/>
        <v>41306</v>
      </c>
      <c r="D240" s="35" cm="1">
        <f t="array" ref="D240">IFERROR(LOOKUP(2,1/((RIGHT($A$2:$A$12170,7)=TEXT(C240,"mm/aaaa"))*($B$2:$B$12170&lt;&gt;"")),$B$2:$B$12170),"")</f>
        <v>0.84252918128672505</v>
      </c>
    </row>
    <row r="241" spans="1:4" ht="13.2" x14ac:dyDescent="0.25">
      <c r="A241" s="34" t="s">
        <v>11965</v>
      </c>
      <c r="B241" s="35">
        <v>2.7080993545648</v>
      </c>
      <c r="C241" s="37">
        <f t="shared" si="3"/>
        <v>41334</v>
      </c>
      <c r="D241" s="35" cm="1">
        <f t="array" ref="D241">IFERROR(LOOKUP(2,1/((RIGHT($A$2:$A$12170,7)=TEXT(C241,"mm/aaaa"))*($B$2:$B$12170&lt;&gt;"")),$B$2:$B$12170),"")</f>
        <v>1.14364187978515</v>
      </c>
    </row>
    <row r="242" spans="1:4" ht="13.2" x14ac:dyDescent="0.25">
      <c r="A242" s="34" t="s">
        <v>11964</v>
      </c>
      <c r="B242" s="35">
        <v>2.77801502653957</v>
      </c>
      <c r="C242" s="37">
        <f t="shared" si="3"/>
        <v>41365</v>
      </c>
      <c r="D242" s="35" cm="1">
        <f t="array" ref="D242">IFERROR(LOOKUP(2,1/((RIGHT($A$2:$A$12170,7)=TEXT(C242,"mm/aaaa"))*($B$2:$B$12170&lt;&gt;"")),$B$2:$B$12170),"")</f>
        <v>1.5104068560249999</v>
      </c>
    </row>
    <row r="243" spans="1:4" ht="13.2" x14ac:dyDescent="0.25">
      <c r="A243" s="34" t="s">
        <v>11963</v>
      </c>
      <c r="C243" s="37">
        <f t="shared" si="3"/>
        <v>41395</v>
      </c>
      <c r="D243" s="35" cm="1">
        <f t="array" ref="D243">IFERROR(LOOKUP(2,1/((RIGHT($A$2:$A$12170,7)=TEXT(C243,"mm/aaaa"))*($B$2:$B$12170&lt;&gt;"")),$B$2:$B$12170),"")</f>
        <v>0.994445375170392</v>
      </c>
    </row>
    <row r="244" spans="1:4" ht="13.2" x14ac:dyDescent="0.25">
      <c r="A244" s="34" t="s">
        <v>11962</v>
      </c>
      <c r="C244" s="37">
        <f t="shared" si="3"/>
        <v>41426</v>
      </c>
      <c r="D244" s="35" cm="1">
        <f t="array" ref="D244">IFERROR(LOOKUP(2,1/((RIGHT($A$2:$A$12170,7)=TEXT(C244,"mm/aaaa"))*($B$2:$B$12170&lt;&gt;"")),$B$2:$B$12170),"")</f>
        <v>1.6897814710539301</v>
      </c>
    </row>
    <row r="245" spans="1:4" ht="13.2" x14ac:dyDescent="0.25">
      <c r="A245" s="34" t="s">
        <v>11961</v>
      </c>
      <c r="B245" s="35">
        <v>2.8739436421516902</v>
      </c>
      <c r="C245" s="37">
        <f t="shared" si="3"/>
        <v>41456</v>
      </c>
      <c r="D245" s="35" cm="1">
        <f t="array" ref="D245">IFERROR(LOOKUP(2,1/((RIGHT($A$2:$A$12170,7)=TEXT(C245,"mm/aaaa"))*($B$2:$B$12170&lt;&gt;"")),$B$2:$B$12170),"")</f>
        <v>1.6760786000702399</v>
      </c>
    </row>
    <row r="246" spans="1:4" ht="13.2" x14ac:dyDescent="0.25">
      <c r="A246" s="34" t="s">
        <v>11960</v>
      </c>
      <c r="C246" s="37">
        <f t="shared" si="3"/>
        <v>41487</v>
      </c>
      <c r="D246" s="35" cm="1">
        <f t="array" ref="D246">IFERROR(LOOKUP(2,1/((RIGHT($A$2:$A$12170,7)=TEXT(C246,"mm/aaaa"))*($B$2:$B$12170&lt;&gt;"")),$B$2:$B$12170),"")</f>
        <v>1.4533848995376299</v>
      </c>
    </row>
    <row r="247" spans="1:4" ht="13.2" x14ac:dyDescent="0.25">
      <c r="A247" s="34" t="s">
        <v>11959</v>
      </c>
      <c r="B247" s="35">
        <v>2.8612815333611699</v>
      </c>
      <c r="C247" s="37">
        <f t="shared" si="3"/>
        <v>41518</v>
      </c>
      <c r="D247" s="35" cm="1">
        <f t="array" ref="D247">IFERROR(LOOKUP(2,1/((RIGHT($A$2:$A$12170,7)=TEXT(C247,"mm/aaaa"))*($B$2:$B$12170&lt;&gt;"")),$B$2:$B$12170),"")</f>
        <v>1.4834812265292701</v>
      </c>
    </row>
    <row r="248" spans="1:4" ht="13.2" x14ac:dyDescent="0.25">
      <c r="A248" s="34" t="s">
        <v>11958</v>
      </c>
      <c r="B248" s="35">
        <v>3.1729924961323399</v>
      </c>
      <c r="C248" s="37">
        <f t="shared" si="3"/>
        <v>41548</v>
      </c>
      <c r="D248" s="35" cm="1">
        <f t="array" ref="D248">IFERROR(LOOKUP(2,1/((RIGHT($A$2:$A$12170,7)=TEXT(C248,"mm/aaaa"))*($B$2:$B$12170&lt;&gt;"")),$B$2:$B$12170),"")</f>
        <v>1.13938950717159</v>
      </c>
    </row>
    <row r="249" spans="1:4" ht="13.2" x14ac:dyDescent="0.25">
      <c r="A249" s="34" t="s">
        <v>11957</v>
      </c>
      <c r="B249" s="35">
        <v>3.1575433174022098</v>
      </c>
      <c r="C249" s="37">
        <f t="shared" si="3"/>
        <v>41579</v>
      </c>
      <c r="D249" s="35" cm="1">
        <f t="array" ref="D249">IFERROR(LOOKUP(2,1/((RIGHT($A$2:$A$12170,7)=TEXT(C249,"mm/aaaa"))*($B$2:$B$12170&lt;&gt;"")),$B$2:$B$12170),"")</f>
        <v>1.1865192374756399</v>
      </c>
    </row>
    <row r="250" spans="1:4" ht="13.2" x14ac:dyDescent="0.25">
      <c r="A250" s="34" t="s">
        <v>11956</v>
      </c>
      <c r="C250" s="37">
        <f t="shared" si="3"/>
        <v>41609</v>
      </c>
      <c r="D250" s="35" cm="1">
        <f t="array" ref="D250">IFERROR(LOOKUP(2,1/((RIGHT($A$2:$A$12170,7)=TEXT(C250,"mm/aaaa"))*($B$2:$B$12170&lt;&gt;"")),$B$2:$B$12170),"")</f>
        <v>0.94352733353725804</v>
      </c>
    </row>
    <row r="251" spans="1:4" ht="13.2" x14ac:dyDescent="0.25">
      <c r="A251" s="34" t="s">
        <v>11955</v>
      </c>
      <c r="C251" s="37">
        <f t="shared" si="3"/>
        <v>41640</v>
      </c>
      <c r="D251" s="35" cm="1">
        <f t="array" ref="D251">IFERROR(LOOKUP(2,1/((RIGHT($A$2:$A$12170,7)=TEXT(C251,"mm/aaaa"))*($B$2:$B$12170&lt;&gt;"")),$B$2:$B$12170),"")</f>
        <v>1.0389593586628101</v>
      </c>
    </row>
    <row r="252" spans="1:4" ht="13.2" x14ac:dyDescent="0.25">
      <c r="A252" s="34" t="s">
        <v>11954</v>
      </c>
      <c r="B252" s="35">
        <v>3.28163503198755</v>
      </c>
      <c r="C252" s="37">
        <f t="shared" si="3"/>
        <v>41671</v>
      </c>
      <c r="D252" s="35" cm="1">
        <f t="array" ref="D252">IFERROR(LOOKUP(2,1/((RIGHT($A$2:$A$12170,7)=TEXT(C252,"mm/aaaa"))*($B$2:$B$12170&lt;&gt;"")),$B$2:$B$12170),"")</f>
        <v>1.4230039051140599</v>
      </c>
    </row>
    <row r="253" spans="1:4" ht="13.2" x14ac:dyDescent="0.25">
      <c r="A253" s="34" t="s">
        <v>11953</v>
      </c>
      <c r="B253" s="35">
        <v>3.6250940052994798</v>
      </c>
      <c r="C253" s="37">
        <f t="shared" si="3"/>
        <v>41699</v>
      </c>
      <c r="D253" s="35" cm="1">
        <f t="array" ref="D253">IFERROR(LOOKUP(2,1/((RIGHT($A$2:$A$12170,7)=TEXT(C253,"mm/aaaa"))*($B$2:$B$12170&lt;&gt;"")),$B$2:$B$12170),"")</f>
        <v>1.36051554520888</v>
      </c>
    </row>
    <row r="254" spans="1:4" ht="13.2" x14ac:dyDescent="0.25">
      <c r="A254" s="34" t="s">
        <v>11952</v>
      </c>
      <c r="B254" s="35">
        <v>3.7016142463547199</v>
      </c>
      <c r="C254" s="37">
        <f t="shared" si="3"/>
        <v>41730</v>
      </c>
      <c r="D254" s="35" cm="1">
        <f t="array" ref="D254">IFERROR(LOOKUP(2,1/((RIGHT($A$2:$A$12170,7)=TEXT(C254,"mm/aaaa"))*($B$2:$B$12170&lt;&gt;"")),$B$2:$B$12170),"")</f>
        <v>1.24422718608223</v>
      </c>
    </row>
    <row r="255" spans="1:4" ht="13.2" x14ac:dyDescent="0.25">
      <c r="A255" s="34" t="s">
        <v>11951</v>
      </c>
      <c r="B255" s="35">
        <v>3.9593056909883502</v>
      </c>
      <c r="C255" s="37">
        <f t="shared" si="3"/>
        <v>41760</v>
      </c>
      <c r="D255" s="35" cm="1">
        <f t="array" ref="D255">IFERROR(LOOKUP(2,1/((RIGHT($A$2:$A$12170,7)=TEXT(C255,"mm/aaaa"))*($B$2:$B$12170&lt;&gt;"")),$B$2:$B$12170),"")</f>
        <v>1.20338466756297</v>
      </c>
    </row>
    <row r="256" spans="1:4" ht="13.2" x14ac:dyDescent="0.25">
      <c r="A256" s="34" t="s">
        <v>11950</v>
      </c>
      <c r="B256" s="35">
        <v>3.9407782889556899</v>
      </c>
      <c r="C256" s="37">
        <f t="shared" si="3"/>
        <v>41791</v>
      </c>
      <c r="D256" s="35" cm="1">
        <f t="array" ref="D256">IFERROR(LOOKUP(2,1/((RIGHT($A$2:$A$12170,7)=TEXT(C256,"mm/aaaa"))*($B$2:$B$12170&lt;&gt;"")),$B$2:$B$12170),"")</f>
        <v>1.1992126367206</v>
      </c>
    </row>
    <row r="257" spans="1:4" ht="13.2" x14ac:dyDescent="0.25">
      <c r="A257" s="34" t="s">
        <v>11949</v>
      </c>
      <c r="C257" s="37">
        <f t="shared" si="3"/>
        <v>41821</v>
      </c>
      <c r="D257" s="35" cm="1">
        <f t="array" ref="D257">IFERROR(LOOKUP(2,1/((RIGHT($A$2:$A$12170,7)=TEXT(C257,"mm/aaaa"))*($B$2:$B$12170&lt;&gt;"")),$B$2:$B$12170),"")</f>
        <v>1.06528755117443</v>
      </c>
    </row>
    <row r="258" spans="1:4" ht="13.2" x14ac:dyDescent="0.25">
      <c r="A258" s="34" t="s">
        <v>11948</v>
      </c>
      <c r="C258" s="37">
        <f t="shared" si="3"/>
        <v>41852</v>
      </c>
      <c r="D258" s="35" cm="1">
        <f t="array" ref="D258">IFERROR(LOOKUP(2,1/((RIGHT($A$2:$A$12170,7)=TEXT(C258,"mm/aaaa"))*($B$2:$B$12170&lt;&gt;"")),$B$2:$B$12170),"")</f>
        <v>1.17574044670546</v>
      </c>
    </row>
    <row r="259" spans="1:4" ht="13.2" x14ac:dyDescent="0.25">
      <c r="A259" s="34" t="s">
        <v>11947</v>
      </c>
      <c r="B259" s="35">
        <v>3.90985861370967</v>
      </c>
      <c r="C259" s="37">
        <f t="shared" si="3"/>
        <v>41883</v>
      </c>
      <c r="D259" s="35" cm="1">
        <f t="array" ref="D259">IFERROR(LOOKUP(2,1/((RIGHT($A$2:$A$12170,7)=TEXT(C259,"mm/aaaa"))*($B$2:$B$12170&lt;&gt;"")),$B$2:$B$12170),"")</f>
        <v>1.6358758707694301</v>
      </c>
    </row>
    <row r="260" spans="1:4" ht="13.2" x14ac:dyDescent="0.25">
      <c r="A260" s="34" t="s">
        <v>11946</v>
      </c>
      <c r="B260" s="35">
        <v>3.8223257016221899</v>
      </c>
      <c r="C260" s="37">
        <f t="shared" si="3"/>
        <v>41913</v>
      </c>
      <c r="D260" s="35" cm="1">
        <f t="array" ref="D260">IFERROR(LOOKUP(2,1/((RIGHT($A$2:$A$12170,7)=TEXT(C260,"mm/aaaa"))*($B$2:$B$12170&lt;&gt;"")),$B$2:$B$12170),"")</f>
        <v>2.9567587649897198</v>
      </c>
    </row>
    <row r="261" spans="1:4" ht="13.2" x14ac:dyDescent="0.25">
      <c r="A261" s="34" t="s">
        <v>11945</v>
      </c>
      <c r="B261" s="35">
        <v>3.8231180353288101</v>
      </c>
      <c r="C261" s="37">
        <f t="shared" ref="C261:C324" si="4">EDATE(C260,1)</f>
        <v>41944</v>
      </c>
      <c r="D261" s="35" cm="1">
        <f t="array" ref="D261">IFERROR(LOOKUP(2,1/((RIGHT($A$2:$A$12170,7)=TEXT(C261,"mm/aaaa"))*($B$2:$B$12170&lt;&gt;"")),$B$2:$B$12170),"")</f>
        <v>1.9332098324898299</v>
      </c>
    </row>
    <row r="262" spans="1:4" ht="13.2" x14ac:dyDescent="0.25">
      <c r="A262" s="34" t="s">
        <v>11944</v>
      </c>
      <c r="B262" s="35">
        <v>4.1119471735762696</v>
      </c>
      <c r="C262" s="37">
        <f t="shared" si="4"/>
        <v>41974</v>
      </c>
      <c r="D262" s="35" cm="1">
        <f t="array" ref="D262">IFERROR(LOOKUP(2,1/((RIGHT($A$2:$A$12170,7)=TEXT(C262,"mm/aaaa"))*($B$2:$B$12170&lt;&gt;"")),$B$2:$B$12170),"")</f>
        <v>2.02285472722376</v>
      </c>
    </row>
    <row r="263" spans="1:4" ht="13.2" x14ac:dyDescent="0.25">
      <c r="A263" s="34" t="s">
        <v>11943</v>
      </c>
      <c r="B263" s="35">
        <v>4.0354117067913</v>
      </c>
      <c r="C263" s="37">
        <f t="shared" si="4"/>
        <v>42005</v>
      </c>
      <c r="D263" s="35" cm="1">
        <f t="array" ref="D263">IFERROR(LOOKUP(2,1/((RIGHT($A$2:$A$12170,7)=TEXT(C263,"mm/aaaa"))*($B$2:$B$12170&lt;&gt;"")),$B$2:$B$12170),"")</f>
        <v>1.71178411440875</v>
      </c>
    </row>
    <row r="264" spans="1:4" ht="13.2" x14ac:dyDescent="0.25">
      <c r="A264" s="34" t="s">
        <v>11942</v>
      </c>
      <c r="C264" s="37">
        <f t="shared" si="4"/>
        <v>42036</v>
      </c>
      <c r="D264" s="35" cm="1">
        <f t="array" ref="D264">IFERROR(LOOKUP(2,1/((RIGHT($A$2:$A$12170,7)=TEXT(C264,"mm/aaaa"))*($B$2:$B$12170&lt;&gt;"")),$B$2:$B$12170),"")</f>
        <v>1.3429399975827601</v>
      </c>
    </row>
    <row r="265" spans="1:4" ht="13.2" x14ac:dyDescent="0.25">
      <c r="A265" s="34" t="s">
        <v>11941</v>
      </c>
      <c r="C265" s="37">
        <f t="shared" si="4"/>
        <v>42064</v>
      </c>
      <c r="D265" s="35" cm="1">
        <f t="array" ref="D265">IFERROR(LOOKUP(2,1/((RIGHT($A$2:$A$12170,7)=TEXT(C265,"mm/aaaa"))*($B$2:$B$12170&lt;&gt;"")),$B$2:$B$12170),"")</f>
        <v>1.4937904174979399</v>
      </c>
    </row>
    <row r="266" spans="1:4" ht="13.2" x14ac:dyDescent="0.25">
      <c r="A266" s="34" t="s">
        <v>11940</v>
      </c>
      <c r="C266" s="37">
        <f t="shared" si="4"/>
        <v>42095</v>
      </c>
      <c r="D266" s="35" cm="1">
        <f t="array" ref="D266">IFERROR(LOOKUP(2,1/((RIGHT($A$2:$A$12170,7)=TEXT(C266,"mm/aaaa"))*($B$2:$B$12170&lt;&gt;"")),$B$2:$B$12170),"")</f>
        <v>1.1555319272590201</v>
      </c>
    </row>
    <row r="267" spans="1:4" ht="13.2" x14ac:dyDescent="0.25">
      <c r="A267" s="34" t="s">
        <v>11939</v>
      </c>
      <c r="C267" s="37">
        <f t="shared" si="4"/>
        <v>42125</v>
      </c>
      <c r="D267" s="35" cm="1">
        <f t="array" ref="D267">IFERROR(LOOKUP(2,1/((RIGHT($A$2:$A$12170,7)=TEXT(C267,"mm/aaaa"))*($B$2:$B$12170&lt;&gt;"")),$B$2:$B$12170),"")</f>
        <v>1.2362755797679901</v>
      </c>
    </row>
    <row r="268" spans="1:4" ht="13.2" x14ac:dyDescent="0.25">
      <c r="A268" s="34" t="s">
        <v>11938</v>
      </c>
      <c r="C268" s="37">
        <f t="shared" si="4"/>
        <v>42156</v>
      </c>
      <c r="D268" s="35" cm="1">
        <f t="array" ref="D268">IFERROR(LOOKUP(2,1/((RIGHT($A$2:$A$12170,7)=TEXT(C268,"mm/aaaa"))*($B$2:$B$12170&lt;&gt;"")),$B$2:$B$12170),"")</f>
        <v>1.1516073944407299</v>
      </c>
    </row>
    <row r="269" spans="1:4" ht="13.2" x14ac:dyDescent="0.25">
      <c r="A269" s="34" t="s">
        <v>11937</v>
      </c>
      <c r="B269" s="35">
        <v>4.0588612108322204</v>
      </c>
      <c r="C269" s="37">
        <f t="shared" si="4"/>
        <v>42186</v>
      </c>
      <c r="D269" s="35" cm="1">
        <f t="array" ref="D269">IFERROR(LOOKUP(2,1/((RIGHT($A$2:$A$12170,7)=TEXT(C269,"mm/aaaa"))*($B$2:$B$12170&lt;&gt;"")),$B$2:$B$12170),"")</f>
        <v>1.1861422697419299</v>
      </c>
    </row>
    <row r="270" spans="1:4" ht="13.2" x14ac:dyDescent="0.25">
      <c r="A270" s="34" t="s">
        <v>11936</v>
      </c>
      <c r="B270" s="35">
        <v>4.8076242771505102</v>
      </c>
      <c r="C270" s="37">
        <f t="shared" si="4"/>
        <v>42217</v>
      </c>
      <c r="D270" s="35" cm="1">
        <f t="array" ref="D270">IFERROR(LOOKUP(2,1/((RIGHT($A$2:$A$12170,7)=TEXT(C270,"mm/aaaa"))*($B$2:$B$12170&lt;&gt;"")),$B$2:$B$12170),"")</f>
        <v>1.70375886116202</v>
      </c>
    </row>
    <row r="271" spans="1:4" ht="13.2" x14ac:dyDescent="0.25">
      <c r="A271" s="34" t="s">
        <v>11935</v>
      </c>
      <c r="C271" s="37">
        <f t="shared" si="4"/>
        <v>42248</v>
      </c>
      <c r="D271" s="35" cm="1">
        <f t="array" ref="D271">IFERROR(LOOKUP(2,1/((RIGHT($A$2:$A$12170,7)=TEXT(C271,"mm/aaaa"))*($B$2:$B$12170&lt;&gt;"")),$B$2:$B$12170),"")</f>
        <v>1.59534700413884</v>
      </c>
    </row>
    <row r="272" spans="1:4" ht="13.2" x14ac:dyDescent="0.25">
      <c r="A272" s="34" t="s">
        <v>11934</v>
      </c>
      <c r="C272" s="37">
        <f t="shared" si="4"/>
        <v>42278</v>
      </c>
      <c r="D272" s="35" cm="1">
        <f t="array" ref="D272">IFERROR(LOOKUP(2,1/((RIGHT($A$2:$A$12170,7)=TEXT(C272,"mm/aaaa"))*($B$2:$B$12170&lt;&gt;"")),$B$2:$B$12170),"")</f>
        <v>1.61519249008041</v>
      </c>
    </row>
    <row r="273" spans="1:4" ht="13.2" x14ac:dyDescent="0.25">
      <c r="A273" s="34" t="s">
        <v>11933</v>
      </c>
      <c r="B273" s="35">
        <v>4.7147764394145097</v>
      </c>
      <c r="C273" s="37">
        <f t="shared" si="4"/>
        <v>42309</v>
      </c>
      <c r="D273" s="35" cm="1">
        <f t="array" ref="D273">IFERROR(LOOKUP(2,1/((RIGHT($A$2:$A$12170,7)=TEXT(C273,"mm/aaaa"))*($B$2:$B$12170&lt;&gt;"")),$B$2:$B$12170),"")</f>
        <v>1.7844262518256899</v>
      </c>
    </row>
    <row r="274" spans="1:4" ht="13.2" x14ac:dyDescent="0.25">
      <c r="A274" s="34" t="s">
        <v>11932</v>
      </c>
      <c r="B274" s="35">
        <v>5.2387776218399802</v>
      </c>
      <c r="C274" s="37">
        <f t="shared" si="4"/>
        <v>42339</v>
      </c>
      <c r="D274" s="35" cm="1">
        <f t="array" ref="D274">IFERROR(LOOKUP(2,1/((RIGHT($A$2:$A$12170,7)=TEXT(C274,"mm/aaaa"))*($B$2:$B$12170&lt;&gt;"")),$B$2:$B$12170),"")</f>
        <v>1.6077638161085801</v>
      </c>
    </row>
    <row r="275" spans="1:4" ht="13.2" x14ac:dyDescent="0.25">
      <c r="A275" s="34" t="s">
        <v>11931</v>
      </c>
      <c r="B275" s="35">
        <v>5.1994540886058402</v>
      </c>
      <c r="C275" s="37">
        <f t="shared" si="4"/>
        <v>42370</v>
      </c>
      <c r="D275" s="35" cm="1">
        <f t="array" ref="D275">IFERROR(LOOKUP(2,1/((RIGHT($A$2:$A$12170,7)=TEXT(C275,"mm/aaaa"))*($B$2:$B$12170&lt;&gt;"")),$B$2:$B$12170),"")</f>
        <v>1.75561500857612</v>
      </c>
    </row>
    <row r="276" spans="1:4" ht="13.2" x14ac:dyDescent="0.25">
      <c r="A276" s="34" t="s">
        <v>11930</v>
      </c>
      <c r="B276" s="35">
        <v>5.4092878287312898</v>
      </c>
      <c r="C276" s="37">
        <f t="shared" si="4"/>
        <v>42401</v>
      </c>
      <c r="D276" s="35" cm="1">
        <f t="array" ref="D276">IFERROR(LOOKUP(2,1/((RIGHT($A$2:$A$12170,7)=TEXT(C276,"mm/aaaa"))*($B$2:$B$12170&lt;&gt;"")),$B$2:$B$12170),"")</f>
        <v>2.2532362854910502</v>
      </c>
    </row>
    <row r="277" spans="1:4" ht="13.2" x14ac:dyDescent="0.25">
      <c r="A277" s="34" t="s">
        <v>11929</v>
      </c>
      <c r="B277" s="35">
        <v>5.3959749815165097</v>
      </c>
      <c r="C277" s="37">
        <f t="shared" si="4"/>
        <v>42430</v>
      </c>
      <c r="D277" s="35" cm="1">
        <f t="array" ref="D277">IFERROR(LOOKUP(2,1/((RIGHT($A$2:$A$12170,7)=TEXT(C277,"mm/aaaa"))*($B$2:$B$12170&lt;&gt;"")),$B$2:$B$12170),"")</f>
        <v>2.4229049846037101</v>
      </c>
    </row>
    <row r="278" spans="1:4" ht="13.2" x14ac:dyDescent="0.25">
      <c r="A278" s="34" t="s">
        <v>11928</v>
      </c>
      <c r="C278" s="37">
        <f t="shared" si="4"/>
        <v>42461</v>
      </c>
      <c r="D278" s="35" cm="1">
        <f t="array" ref="D278">IFERROR(LOOKUP(2,1/((RIGHT($A$2:$A$12170,7)=TEXT(C278,"mm/aaaa"))*($B$2:$B$12170&lt;&gt;"")),$B$2:$B$12170),"")</f>
        <v>1.9957074522673699</v>
      </c>
    </row>
    <row r="279" spans="1:4" ht="13.2" x14ac:dyDescent="0.25">
      <c r="A279" s="34" t="s">
        <v>11927</v>
      </c>
      <c r="C279" s="37">
        <f t="shared" si="4"/>
        <v>42491</v>
      </c>
      <c r="D279" s="35" cm="1">
        <f t="array" ref="D279">IFERROR(LOOKUP(2,1/((RIGHT($A$2:$A$12170,7)=TEXT(C279,"mm/aaaa"))*($B$2:$B$12170&lt;&gt;"")),$B$2:$B$12170),"")</f>
        <v>1.39063566706608</v>
      </c>
    </row>
    <row r="280" spans="1:4" ht="13.2" x14ac:dyDescent="0.25">
      <c r="A280" s="34" t="s">
        <v>11926</v>
      </c>
      <c r="B280" s="35">
        <v>5.40909721831843</v>
      </c>
      <c r="C280" s="37">
        <f t="shared" si="4"/>
        <v>42522</v>
      </c>
      <c r="D280" s="35" cm="1">
        <f t="array" ref="D280">IFERROR(LOOKUP(2,1/((RIGHT($A$2:$A$12170,7)=TEXT(C280,"mm/aaaa"))*($B$2:$B$12170&lt;&gt;"")),$B$2:$B$12170),"")</f>
        <v>1.71602396063567</v>
      </c>
    </row>
    <row r="281" spans="1:4" ht="13.2" x14ac:dyDescent="0.25">
      <c r="A281" s="34" t="s">
        <v>11925</v>
      </c>
      <c r="B281" s="35">
        <v>5.4091029116815603</v>
      </c>
      <c r="C281" s="37">
        <f t="shared" si="4"/>
        <v>42552</v>
      </c>
      <c r="D281" s="35" cm="1">
        <f t="array" ref="D281">IFERROR(LOOKUP(2,1/((RIGHT($A$2:$A$12170,7)=TEXT(C281,"mm/aaaa"))*($B$2:$B$12170&lt;&gt;"")),$B$2:$B$12170),"")</f>
        <v>0.83024021813950899</v>
      </c>
    </row>
    <row r="282" spans="1:4" ht="13.2" x14ac:dyDescent="0.25">
      <c r="A282" s="34" t="s">
        <v>11924</v>
      </c>
      <c r="B282" s="35">
        <v>5.5175524685703197</v>
      </c>
      <c r="C282" s="37">
        <f t="shared" si="4"/>
        <v>42583</v>
      </c>
      <c r="D282" s="35" cm="1">
        <f t="array" ref="D282">IFERROR(LOOKUP(2,1/((RIGHT($A$2:$A$12170,7)=TEXT(C282,"mm/aaaa"))*($B$2:$B$12170&lt;&gt;"")),$B$2:$B$12170),"")</f>
        <v>1.0682662221711501</v>
      </c>
    </row>
    <row r="283" spans="1:4" ht="13.2" x14ac:dyDescent="0.25">
      <c r="A283" s="34" t="s">
        <v>11923</v>
      </c>
      <c r="B283" s="35">
        <v>5.5110780267059702</v>
      </c>
      <c r="C283" s="37">
        <f t="shared" si="4"/>
        <v>42614</v>
      </c>
      <c r="D283" s="35" cm="1">
        <f t="array" ref="D283">IFERROR(LOOKUP(2,1/((RIGHT($A$2:$A$12170,7)=TEXT(C283,"mm/aaaa"))*($B$2:$B$12170&lt;&gt;"")),$B$2:$B$12170),"")</f>
        <v>1.5201554457791999</v>
      </c>
    </row>
    <row r="284" spans="1:4" ht="13.2" x14ac:dyDescent="0.25">
      <c r="A284" s="34" t="s">
        <v>11922</v>
      </c>
      <c r="B284" s="35">
        <v>5.4728996058408903</v>
      </c>
      <c r="C284" s="37">
        <f t="shared" si="4"/>
        <v>42644</v>
      </c>
      <c r="D284" s="35" cm="1">
        <f t="array" ref="D284">IFERROR(LOOKUP(2,1/((RIGHT($A$2:$A$12170,7)=TEXT(C284,"mm/aaaa"))*($B$2:$B$12170&lt;&gt;"")),$B$2:$B$12170),"")</f>
        <v>0.76671212329923999</v>
      </c>
    </row>
    <row r="285" spans="1:4" ht="13.2" x14ac:dyDescent="0.25">
      <c r="A285" s="34" t="s">
        <v>11921</v>
      </c>
      <c r="C285" s="37">
        <f t="shared" si="4"/>
        <v>42675</v>
      </c>
      <c r="D285" s="35" cm="1">
        <f t="array" ref="D285">IFERROR(LOOKUP(2,1/((RIGHT($A$2:$A$12170,7)=TEXT(C285,"mm/aaaa"))*($B$2:$B$12170&lt;&gt;"")),$B$2:$B$12170),"")</f>
        <v>2.0144643492708201</v>
      </c>
    </row>
    <row r="286" spans="1:4" ht="13.2" x14ac:dyDescent="0.25">
      <c r="A286" s="34" t="s">
        <v>11920</v>
      </c>
      <c r="C286" s="37">
        <f t="shared" si="4"/>
        <v>42705</v>
      </c>
      <c r="D286" s="35" cm="1">
        <f t="array" ref="D286">IFERROR(LOOKUP(2,1/((RIGHT($A$2:$A$12170,7)=TEXT(C286,"mm/aaaa"))*($B$2:$B$12170&lt;&gt;"")),$B$2:$B$12170),"")</f>
        <v>1.2170703428562599</v>
      </c>
    </row>
    <row r="287" spans="1:4" ht="13.2" x14ac:dyDescent="0.25">
      <c r="A287" s="34" t="s">
        <v>11919</v>
      </c>
      <c r="B287" s="35">
        <v>5.1993602872235698</v>
      </c>
      <c r="C287" s="37">
        <f t="shared" si="4"/>
        <v>42736</v>
      </c>
      <c r="D287" s="35" cm="1">
        <f t="array" ref="D287">IFERROR(LOOKUP(2,1/((RIGHT($A$2:$A$12170,7)=TEXT(C287,"mm/aaaa"))*($B$2:$B$12170&lt;&gt;"")),$B$2:$B$12170),"")</f>
        <v>1.2850499250258201</v>
      </c>
    </row>
    <row r="288" spans="1:4" ht="13.2" x14ac:dyDescent="0.25">
      <c r="A288" s="34" t="s">
        <v>11918</v>
      </c>
      <c r="B288" s="35">
        <v>5.1790285773557496</v>
      </c>
      <c r="C288" s="37">
        <f t="shared" si="4"/>
        <v>42767</v>
      </c>
      <c r="D288" s="35" cm="1">
        <f t="array" ref="D288">IFERROR(LOOKUP(2,1/((RIGHT($A$2:$A$12170,7)=TEXT(C288,"mm/aaaa"))*($B$2:$B$12170&lt;&gt;"")),$B$2:$B$12170),"")</f>
        <v>1.146952202619</v>
      </c>
    </row>
    <row r="289" spans="1:4" ht="13.2" x14ac:dyDescent="0.25">
      <c r="A289" s="34" t="s">
        <v>11917</v>
      </c>
      <c r="B289" s="35">
        <v>5.0864152267509901</v>
      </c>
      <c r="C289" s="37">
        <f t="shared" si="4"/>
        <v>42795</v>
      </c>
      <c r="D289" s="35" cm="1">
        <f t="array" ref="D289">IFERROR(LOOKUP(2,1/((RIGHT($A$2:$A$12170,7)=TEXT(C289,"mm/aaaa"))*($B$2:$B$12170&lt;&gt;"")),$B$2:$B$12170),"")</f>
        <v>1.3195834711207499</v>
      </c>
    </row>
    <row r="290" spans="1:4" ht="13.2" x14ac:dyDescent="0.25">
      <c r="A290" s="34" t="s">
        <v>11916</v>
      </c>
      <c r="B290" s="35">
        <v>5.09633516148424</v>
      </c>
      <c r="C290" s="37">
        <f t="shared" si="4"/>
        <v>42826</v>
      </c>
      <c r="D290" s="35" cm="1">
        <f t="array" ref="D290">IFERROR(LOOKUP(2,1/((RIGHT($A$2:$A$12170,7)=TEXT(C290,"mm/aaaa"))*($B$2:$B$12170&lt;&gt;"")),$B$2:$B$12170),"")</f>
        <v>1.0298114425931799</v>
      </c>
    </row>
    <row r="291" spans="1:4" ht="13.2" x14ac:dyDescent="0.25">
      <c r="A291" s="34" t="s">
        <v>11915</v>
      </c>
      <c r="B291" s="35">
        <v>5.1048727474549702</v>
      </c>
      <c r="C291" s="37">
        <f t="shared" si="4"/>
        <v>42856</v>
      </c>
      <c r="D291" s="35" cm="1">
        <f t="array" ref="D291">IFERROR(LOOKUP(2,1/((RIGHT($A$2:$A$12170,7)=TEXT(C291,"mm/aaaa"))*($B$2:$B$12170&lt;&gt;"")),$B$2:$B$12170),"")</f>
        <v>2.3658791193893598</v>
      </c>
    </row>
    <row r="292" spans="1:4" ht="13.2" x14ac:dyDescent="0.25">
      <c r="A292" s="34" t="s">
        <v>11914</v>
      </c>
      <c r="C292" s="37">
        <f t="shared" si="4"/>
        <v>42887</v>
      </c>
      <c r="D292" s="35" cm="1">
        <f t="array" ref="D292">IFERROR(LOOKUP(2,1/((RIGHT($A$2:$A$12170,7)=TEXT(C292,"mm/aaaa"))*($B$2:$B$12170&lt;&gt;"")),$B$2:$B$12170),"")</f>
        <v>0.84472516124010799</v>
      </c>
    </row>
    <row r="293" spans="1:4" ht="13.2" x14ac:dyDescent="0.25">
      <c r="A293" s="34" t="s">
        <v>11913</v>
      </c>
      <c r="C293" s="37">
        <f t="shared" si="4"/>
        <v>42917</v>
      </c>
      <c r="D293" s="35" cm="1">
        <f t="array" ref="D293">IFERROR(LOOKUP(2,1/((RIGHT($A$2:$A$12170,7)=TEXT(C293,"mm/aaaa"))*($B$2:$B$12170&lt;&gt;"")),$B$2:$B$12170),"")</f>
        <v>0.69644068024827399</v>
      </c>
    </row>
    <row r="294" spans="1:4" ht="13.2" x14ac:dyDescent="0.25">
      <c r="A294" s="34" t="s">
        <v>11912</v>
      </c>
      <c r="B294" s="35">
        <v>5.10934037945509</v>
      </c>
      <c r="C294" s="37">
        <f t="shared" si="4"/>
        <v>42948</v>
      </c>
      <c r="D294" s="35" cm="1">
        <f t="array" ref="D294">IFERROR(LOOKUP(2,1/((RIGHT($A$2:$A$12170,7)=TEXT(C294,"mm/aaaa"))*($B$2:$B$12170&lt;&gt;"")),$B$2:$B$12170),"")</f>
        <v>0.79384415889457804</v>
      </c>
    </row>
    <row r="295" spans="1:4" ht="13.2" x14ac:dyDescent="0.25">
      <c r="A295" s="34" t="s">
        <v>11911</v>
      </c>
      <c r="B295" s="35">
        <v>5.1098728815121204</v>
      </c>
      <c r="C295" s="37">
        <f t="shared" si="4"/>
        <v>42979</v>
      </c>
      <c r="D295" s="35" cm="1">
        <f t="array" ref="D295">IFERROR(LOOKUP(2,1/((RIGHT($A$2:$A$12170,7)=TEXT(C295,"mm/aaaa"))*($B$2:$B$12170&lt;&gt;"")),$B$2:$B$12170),"")</f>
        <v>0.81889659675234405</v>
      </c>
    </row>
    <row r="296" spans="1:4" ht="13.2" x14ac:dyDescent="0.25">
      <c r="A296" s="34" t="s">
        <v>11910</v>
      </c>
      <c r="B296" s="35">
        <v>4.7878346272342904</v>
      </c>
      <c r="C296" s="37">
        <f t="shared" si="4"/>
        <v>43009</v>
      </c>
      <c r="D296" s="35" cm="1">
        <f t="array" ref="D296">IFERROR(LOOKUP(2,1/((RIGHT($A$2:$A$12170,7)=TEXT(C296,"mm/aaaa"))*($B$2:$B$12170&lt;&gt;"")),$B$2:$B$12170),"")</f>
        <v>1.05079790283314</v>
      </c>
    </row>
    <row r="297" spans="1:4" ht="13.2" x14ac:dyDescent="0.25">
      <c r="A297" s="34" t="s">
        <v>11909</v>
      </c>
      <c r="B297" s="35">
        <v>4.8038903200905496</v>
      </c>
      <c r="C297" s="37">
        <f t="shared" si="4"/>
        <v>43040</v>
      </c>
      <c r="D297" s="35" cm="1">
        <f t="array" ref="D297">IFERROR(LOOKUP(2,1/((RIGHT($A$2:$A$12170,7)=TEXT(C297,"mm/aaaa"))*($B$2:$B$12170&lt;&gt;"")),$B$2:$B$12170),"")</f>
        <v>1.4313758827679799</v>
      </c>
    </row>
    <row r="298" spans="1:4" ht="13.2" x14ac:dyDescent="0.25">
      <c r="A298" s="34" t="s">
        <v>11908</v>
      </c>
      <c r="B298" s="35">
        <v>4.9755578095451298</v>
      </c>
      <c r="C298" s="37">
        <f t="shared" si="4"/>
        <v>43070</v>
      </c>
      <c r="D298" s="35" cm="1">
        <f t="array" ref="D298">IFERROR(LOOKUP(2,1/((RIGHT($A$2:$A$12170,7)=TEXT(C298,"mm/aaaa"))*($B$2:$B$12170&lt;&gt;"")),$B$2:$B$12170),"")</f>
        <v>0.90291813561286105</v>
      </c>
    </row>
    <row r="299" spans="1:4" ht="13.2" x14ac:dyDescent="0.25">
      <c r="A299" s="34" t="s">
        <v>11907</v>
      </c>
      <c r="C299" s="37">
        <f t="shared" si="4"/>
        <v>43101</v>
      </c>
      <c r="D299" s="35" cm="1">
        <f t="array" ref="D299">IFERROR(LOOKUP(2,1/((RIGHT($A$2:$A$12170,7)=TEXT(C299,"mm/aaaa"))*($B$2:$B$12170&lt;&gt;"")),$B$2:$B$12170),"")</f>
        <v>1.17061998528627</v>
      </c>
    </row>
    <row r="300" spans="1:4" ht="13.2" x14ac:dyDescent="0.25">
      <c r="A300" s="34" t="s">
        <v>11906</v>
      </c>
      <c r="C300" s="37">
        <f t="shared" si="4"/>
        <v>43132</v>
      </c>
      <c r="D300" s="35" cm="1">
        <f t="array" ref="D300">IFERROR(LOOKUP(2,1/((RIGHT($A$2:$A$12170,7)=TEXT(C300,"mm/aaaa"))*($B$2:$B$12170&lt;&gt;"")),$B$2:$B$12170),"")</f>
        <v>1.41120527822835</v>
      </c>
    </row>
    <row r="301" spans="1:4" ht="13.2" x14ac:dyDescent="0.25">
      <c r="A301" s="34" t="s">
        <v>11905</v>
      </c>
      <c r="B301" s="35">
        <v>4.5309237107480804</v>
      </c>
      <c r="C301" s="37">
        <f t="shared" si="4"/>
        <v>43160</v>
      </c>
      <c r="D301" s="35" cm="1">
        <f t="array" ref="D301">IFERROR(LOOKUP(2,1/((RIGHT($A$2:$A$12170,7)=TEXT(C301,"mm/aaaa"))*($B$2:$B$12170&lt;&gt;"")),$B$2:$B$12170),"")</f>
        <v>0.86110484159892797</v>
      </c>
    </row>
    <row r="302" spans="1:4" ht="13.2" x14ac:dyDescent="0.25">
      <c r="A302" s="34" t="s">
        <v>11904</v>
      </c>
      <c r="B302" s="35">
        <v>4.5908688102947304</v>
      </c>
      <c r="C302" s="37">
        <f t="shared" si="4"/>
        <v>43191</v>
      </c>
      <c r="D302" s="35" cm="1">
        <f t="array" ref="D302">IFERROR(LOOKUP(2,1/((RIGHT($A$2:$A$12170,7)=TEXT(C302,"mm/aaaa"))*($B$2:$B$12170&lt;&gt;"")),$B$2:$B$12170),"")</f>
        <v>1.04765456649129</v>
      </c>
    </row>
    <row r="303" spans="1:4" ht="13.2" x14ac:dyDescent="0.25">
      <c r="A303" s="34" t="s">
        <v>11903</v>
      </c>
      <c r="B303" s="35">
        <v>3.92457710042815</v>
      </c>
      <c r="C303" s="37">
        <f t="shared" si="4"/>
        <v>43221</v>
      </c>
      <c r="D303" s="35" cm="1">
        <f t="array" ref="D303">IFERROR(LOOKUP(2,1/((RIGHT($A$2:$A$12170,7)=TEXT(C303,"mm/aaaa"))*($B$2:$B$12170&lt;&gt;"")),$B$2:$B$12170),"")</f>
        <v>1.6726822045755001</v>
      </c>
    </row>
    <row r="304" spans="1:4" ht="13.2" x14ac:dyDescent="0.25">
      <c r="A304" s="34" t="s">
        <v>11902</v>
      </c>
      <c r="B304" s="35">
        <v>4.0300250941734399</v>
      </c>
      <c r="C304" s="37">
        <f t="shared" si="4"/>
        <v>43252</v>
      </c>
      <c r="D304" s="35" cm="1">
        <f t="array" ref="D304">IFERROR(LOOKUP(2,1/((RIGHT($A$2:$A$12170,7)=TEXT(C304,"mm/aaaa"))*($B$2:$B$12170&lt;&gt;"")),$B$2:$B$12170),"")</f>
        <v>1.5240147761682099</v>
      </c>
    </row>
    <row r="305" spans="1:4" ht="13.2" x14ac:dyDescent="0.25">
      <c r="A305" s="34" t="s">
        <v>11901</v>
      </c>
      <c r="B305" s="35">
        <v>3.7550874526528299</v>
      </c>
      <c r="C305" s="37">
        <f t="shared" si="4"/>
        <v>43282</v>
      </c>
      <c r="D305" s="35" cm="1">
        <f t="array" ref="D305">IFERROR(LOOKUP(2,1/((RIGHT($A$2:$A$12170,7)=TEXT(C305,"mm/aaaa"))*($B$2:$B$12170&lt;&gt;"")),$B$2:$B$12170),"")</f>
        <v>0.99917318869587501</v>
      </c>
    </row>
    <row r="306" spans="1:4" ht="13.2" x14ac:dyDescent="0.25">
      <c r="A306" s="34" t="s">
        <v>11900</v>
      </c>
      <c r="C306" s="37">
        <f t="shared" si="4"/>
        <v>43313</v>
      </c>
      <c r="D306" s="35" cm="1">
        <f t="array" ref="D306">IFERROR(LOOKUP(2,1/((RIGHT($A$2:$A$12170,7)=TEXT(C306,"mm/aaaa"))*($B$2:$B$12170&lt;&gt;"")),$B$2:$B$12170),"")</f>
        <v>1.4655604687803601</v>
      </c>
    </row>
    <row r="307" spans="1:4" ht="13.2" x14ac:dyDescent="0.25">
      <c r="A307" s="34" t="s">
        <v>11899</v>
      </c>
      <c r="C307" s="37">
        <f t="shared" si="4"/>
        <v>43344</v>
      </c>
      <c r="D307" s="35" cm="1">
        <f t="array" ref="D307">IFERROR(LOOKUP(2,1/((RIGHT($A$2:$A$12170,7)=TEXT(C307,"mm/aaaa"))*($B$2:$B$12170&lt;&gt;"")),$B$2:$B$12170),"")</f>
        <v>1.2627353801976799</v>
      </c>
    </row>
    <row r="308" spans="1:4" ht="13.2" x14ac:dyDescent="0.25">
      <c r="A308" s="34" t="s">
        <v>11898</v>
      </c>
      <c r="B308" s="35">
        <v>3.7592134210350001</v>
      </c>
      <c r="C308" s="37">
        <f t="shared" si="4"/>
        <v>43374</v>
      </c>
      <c r="D308" s="35" cm="1">
        <f t="array" ref="D308">IFERROR(LOOKUP(2,1/((RIGHT($A$2:$A$12170,7)=TEXT(C308,"mm/aaaa"))*($B$2:$B$12170&lt;&gt;"")),$B$2:$B$12170),"")</f>
        <v>2.1119547494379201</v>
      </c>
    </row>
    <row r="309" spans="1:4" ht="13.2" x14ac:dyDescent="0.25">
      <c r="A309" s="34" t="s">
        <v>11897</v>
      </c>
      <c r="B309" s="35">
        <v>3.7937544192111101</v>
      </c>
      <c r="C309" s="37">
        <f t="shared" si="4"/>
        <v>43405</v>
      </c>
      <c r="D309" s="35" cm="1">
        <f t="array" ref="D309">IFERROR(LOOKUP(2,1/((RIGHT($A$2:$A$12170,7)=TEXT(C309,"mm/aaaa"))*($B$2:$B$12170&lt;&gt;"")),$B$2:$B$12170),"")</f>
        <v>1.5304761243913201</v>
      </c>
    </row>
    <row r="310" spans="1:4" ht="13.2" x14ac:dyDescent="0.25">
      <c r="A310" s="34" t="s">
        <v>11896</v>
      </c>
      <c r="B310" s="35">
        <v>3.8729900200362302</v>
      </c>
      <c r="C310" s="37">
        <f t="shared" si="4"/>
        <v>43435</v>
      </c>
      <c r="D310" s="35" cm="1">
        <f t="array" ref="D310">IFERROR(LOOKUP(2,1/((RIGHT($A$2:$A$12170,7)=TEXT(C310,"mm/aaaa"))*($B$2:$B$12170&lt;&gt;"")),$B$2:$B$12170),"")</f>
        <v>1.1280840278153099</v>
      </c>
    </row>
    <row r="311" spans="1:4" ht="13.2" x14ac:dyDescent="0.25">
      <c r="A311" s="34" t="s">
        <v>11895</v>
      </c>
      <c r="C311" s="37">
        <f t="shared" si="4"/>
        <v>43466</v>
      </c>
      <c r="D311" s="35" cm="1">
        <f t="array" ref="D311">IFERROR(LOOKUP(2,1/((RIGHT($A$2:$A$12170,7)=TEXT(C311,"mm/aaaa"))*($B$2:$B$12170&lt;&gt;"")),$B$2:$B$12170),"")</f>
        <v>1.13034428024074</v>
      </c>
    </row>
    <row r="312" spans="1:4" ht="13.2" x14ac:dyDescent="0.25">
      <c r="A312" s="34" t="s">
        <v>11894</v>
      </c>
      <c r="C312" s="37">
        <f t="shared" si="4"/>
        <v>43497</v>
      </c>
      <c r="D312" s="35" cm="1">
        <f t="array" ref="D312">IFERROR(LOOKUP(2,1/((RIGHT($A$2:$A$12170,7)=TEXT(C312,"mm/aaaa"))*($B$2:$B$12170&lt;&gt;"")),$B$2:$B$12170),"")</f>
        <v>1.32308861904136</v>
      </c>
    </row>
    <row r="313" spans="1:4" ht="13.2" x14ac:dyDescent="0.25">
      <c r="A313" s="34" t="s">
        <v>11893</v>
      </c>
      <c r="C313" s="37">
        <f t="shared" si="4"/>
        <v>43525</v>
      </c>
      <c r="D313" s="35" cm="1">
        <f t="array" ref="D313">IFERROR(LOOKUP(2,1/((RIGHT($A$2:$A$12170,7)=TEXT(C313,"mm/aaaa"))*($B$2:$B$12170&lt;&gt;"")),$B$2:$B$12170),"")</f>
        <v>1.64725478901468</v>
      </c>
    </row>
    <row r="314" spans="1:4" ht="13.2" x14ac:dyDescent="0.25">
      <c r="A314" s="34" t="s">
        <v>11892</v>
      </c>
      <c r="C314" s="37">
        <f t="shared" si="4"/>
        <v>43556</v>
      </c>
      <c r="D314" s="35" cm="1">
        <f t="array" ref="D314">IFERROR(LOOKUP(2,1/((RIGHT($A$2:$A$12170,7)=TEXT(C314,"mm/aaaa"))*($B$2:$B$12170&lt;&gt;"")),$B$2:$B$12170),"")</f>
        <v>1.08453040632066</v>
      </c>
    </row>
    <row r="315" spans="1:4" ht="13.2" x14ac:dyDescent="0.25">
      <c r="A315" s="34" t="s">
        <v>11891</v>
      </c>
      <c r="B315" s="35">
        <v>4.5808640109619496</v>
      </c>
      <c r="C315" s="37">
        <f t="shared" si="4"/>
        <v>43586</v>
      </c>
      <c r="D315" s="35" cm="1">
        <f t="array" ref="D315">IFERROR(LOOKUP(2,1/((RIGHT($A$2:$A$12170,7)=TEXT(C315,"mm/aaaa"))*($B$2:$B$12170&lt;&gt;"")),$B$2:$B$12170),"")</f>
        <v>1.2833313723692401</v>
      </c>
    </row>
    <row r="316" spans="1:4" ht="13.2" x14ac:dyDescent="0.25">
      <c r="A316" s="34" t="s">
        <v>11890</v>
      </c>
      <c r="B316" s="35">
        <v>4.6556463949900397</v>
      </c>
      <c r="C316" s="37">
        <f t="shared" si="4"/>
        <v>43617</v>
      </c>
      <c r="D316" s="35" cm="1">
        <f t="array" ref="D316">IFERROR(LOOKUP(2,1/((RIGHT($A$2:$A$12170,7)=TEXT(C316,"mm/aaaa"))*($B$2:$B$12170&lt;&gt;"")),$B$2:$B$12170),"")</f>
        <v>0.97931983211320395</v>
      </c>
    </row>
    <row r="317" spans="1:4" ht="13.2" x14ac:dyDescent="0.25">
      <c r="A317" s="34" t="s">
        <v>11889</v>
      </c>
      <c r="B317" s="35">
        <v>4.5246744266805896</v>
      </c>
      <c r="C317" s="37">
        <f t="shared" si="4"/>
        <v>43647</v>
      </c>
      <c r="D317" s="35" cm="1">
        <f t="array" ref="D317">IFERROR(LOOKUP(2,1/((RIGHT($A$2:$A$12170,7)=TEXT(C317,"mm/aaaa"))*($B$2:$B$12170&lt;&gt;"")),$B$2:$B$12170),"")</f>
        <v>0.87074063477032304</v>
      </c>
    </row>
    <row r="318" spans="1:4" ht="13.2" x14ac:dyDescent="0.25">
      <c r="A318" s="34" t="s">
        <v>11888</v>
      </c>
      <c r="B318" s="35">
        <v>4.3482478942990799</v>
      </c>
      <c r="C318" s="37">
        <f t="shared" si="4"/>
        <v>43678</v>
      </c>
      <c r="D318" s="35" cm="1">
        <f t="array" ref="D318">IFERROR(LOOKUP(2,1/((RIGHT($A$2:$A$12170,7)=TEXT(C318,"mm/aaaa"))*($B$2:$B$12170&lt;&gt;"")),$B$2:$B$12170),"")</f>
        <v>1.58122209886568</v>
      </c>
    </row>
    <row r="319" spans="1:4" ht="13.2" x14ac:dyDescent="0.25">
      <c r="A319" s="34" t="s">
        <v>11887</v>
      </c>
      <c r="B319" s="35">
        <v>4.4017342458796902</v>
      </c>
      <c r="C319" s="37">
        <f t="shared" si="4"/>
        <v>43709</v>
      </c>
      <c r="D319" s="35" cm="1">
        <f t="array" ref="D319">IFERROR(LOOKUP(2,1/((RIGHT($A$2:$A$12170,7)=TEXT(C319,"mm/aaaa"))*($B$2:$B$12170&lt;&gt;"")),$B$2:$B$12170),"")</f>
        <v>0.66582898722851402</v>
      </c>
    </row>
    <row r="320" spans="1:4" ht="13.2" x14ac:dyDescent="0.25">
      <c r="A320" s="34" t="s">
        <v>11886</v>
      </c>
      <c r="C320" s="37">
        <f t="shared" si="4"/>
        <v>43739</v>
      </c>
      <c r="D320" s="35" cm="1">
        <f t="array" ref="D320">IFERROR(LOOKUP(2,1/((RIGHT($A$2:$A$12170,7)=TEXT(C320,"mm/aaaa"))*($B$2:$B$12170&lt;&gt;"")),$B$2:$B$12170),"")</f>
        <v>0.922433086674182</v>
      </c>
    </row>
    <row r="321" spans="1:4" ht="13.2" x14ac:dyDescent="0.25">
      <c r="A321" s="34" t="s">
        <v>11885</v>
      </c>
      <c r="C321" s="37">
        <f t="shared" si="4"/>
        <v>43770</v>
      </c>
      <c r="D321" s="35" cm="1">
        <f t="array" ref="D321">IFERROR(LOOKUP(2,1/((RIGHT($A$2:$A$12170,7)=TEXT(C321,"mm/aaaa"))*($B$2:$B$12170&lt;&gt;"")),$B$2:$B$12170),"")</f>
        <v>0.93848952451013201</v>
      </c>
    </row>
    <row r="322" spans="1:4" ht="13.2" x14ac:dyDescent="0.25">
      <c r="A322" s="34" t="s">
        <v>11884</v>
      </c>
      <c r="B322" s="35">
        <v>4.5707348348051999</v>
      </c>
      <c r="C322" s="37">
        <f t="shared" si="4"/>
        <v>43800</v>
      </c>
      <c r="D322" s="35" cm="1">
        <f t="array" ref="D322">IFERROR(LOOKUP(2,1/((RIGHT($A$2:$A$12170,7)=TEXT(C322,"mm/aaaa"))*($B$2:$B$12170&lt;&gt;"")),$B$2:$B$12170),"")</f>
        <v>0.60810694639545004</v>
      </c>
    </row>
    <row r="323" spans="1:4" ht="13.2" x14ac:dyDescent="0.25">
      <c r="A323" s="34" t="s">
        <v>11883</v>
      </c>
      <c r="B323" s="35">
        <v>4.5879723987569703</v>
      </c>
      <c r="C323" s="37">
        <f t="shared" si="4"/>
        <v>43831</v>
      </c>
      <c r="D323" s="35" cm="1">
        <f t="array" ref="D323">IFERROR(LOOKUP(2,1/((RIGHT($A$2:$A$12170,7)=TEXT(C323,"mm/aaaa"))*($B$2:$B$12170&lt;&gt;"")),$B$2:$B$12170),"")</f>
        <v>1.2189812124627699</v>
      </c>
    </row>
    <row r="324" spans="1:4" ht="13.2" x14ac:dyDescent="0.25">
      <c r="A324" s="34" t="s">
        <v>11882</v>
      </c>
      <c r="B324" s="35">
        <v>4.8515275350319698</v>
      </c>
      <c r="C324" s="37">
        <f t="shared" si="4"/>
        <v>43862</v>
      </c>
      <c r="D324" s="35" cm="1">
        <f t="array" ref="D324">IFERROR(LOOKUP(2,1/((RIGHT($A$2:$A$12170,7)=TEXT(C324,"mm/aaaa"))*($B$2:$B$12170&lt;&gt;"")),$B$2:$B$12170),"")</f>
        <v>1.9758359710433</v>
      </c>
    </row>
    <row r="325" spans="1:4" ht="13.2" x14ac:dyDescent="0.25">
      <c r="A325" s="34" t="s">
        <v>11881</v>
      </c>
      <c r="B325" s="35">
        <v>4.8475355224271803</v>
      </c>
      <c r="C325" s="37">
        <f t="shared" ref="C325:C388" si="5">EDATE(C324,1)</f>
        <v>43891</v>
      </c>
      <c r="D325" s="35" cm="1">
        <f t="array" ref="D325">IFERROR(LOOKUP(2,1/((RIGHT($A$2:$A$12170,7)=TEXT(C325,"mm/aaaa"))*($B$2:$B$12170&lt;&gt;"")),$B$2:$B$12170),"")</f>
        <v>7.9815016223873796</v>
      </c>
    </row>
    <row r="326" spans="1:4" ht="13.2" x14ac:dyDescent="0.25">
      <c r="A326" s="34" t="s">
        <v>11880</v>
      </c>
      <c r="B326" s="35">
        <v>4.9543729670116203</v>
      </c>
      <c r="C326" s="37">
        <f t="shared" si="5"/>
        <v>43922</v>
      </c>
      <c r="D326" s="35" cm="1">
        <f t="array" ref="D326">IFERROR(LOOKUP(2,1/((RIGHT($A$2:$A$12170,7)=TEXT(C326,"mm/aaaa"))*($B$2:$B$12170&lt;&gt;"")),$B$2:$B$12170),"")</f>
        <v>2.9971151197030701</v>
      </c>
    </row>
    <row r="327" spans="1:4" ht="13.2" x14ac:dyDescent="0.25">
      <c r="A327" s="34" t="s">
        <v>11879</v>
      </c>
      <c r="C327" s="37">
        <f t="shared" si="5"/>
        <v>43952</v>
      </c>
      <c r="D327" s="35" cm="1">
        <f t="array" ref="D327">IFERROR(LOOKUP(2,1/((RIGHT($A$2:$A$12170,7)=TEXT(C327,"mm/aaaa"))*($B$2:$B$12170&lt;&gt;"")),$B$2:$B$12170),"")</f>
        <v>2.0982817806167602</v>
      </c>
    </row>
    <row r="328" spans="1:4" ht="13.2" x14ac:dyDescent="0.25">
      <c r="A328" s="34" t="s">
        <v>11878</v>
      </c>
      <c r="C328" s="37">
        <f t="shared" si="5"/>
        <v>43983</v>
      </c>
      <c r="D328" s="35" cm="1">
        <f t="array" ref="D328">IFERROR(LOOKUP(2,1/((RIGHT($A$2:$A$12170,7)=TEXT(C328,"mm/aaaa"))*($B$2:$B$12170&lt;&gt;"")),$B$2:$B$12170),"")</f>
        <v>1.6664808442582599</v>
      </c>
    </row>
    <row r="329" spans="1:4" ht="13.2" x14ac:dyDescent="0.25">
      <c r="A329" s="34" t="s">
        <v>11877</v>
      </c>
      <c r="B329" s="35">
        <v>4.9217078818669098</v>
      </c>
      <c r="C329" s="37">
        <f t="shared" si="5"/>
        <v>44013</v>
      </c>
      <c r="D329" s="35" cm="1">
        <f t="array" ref="D329">IFERROR(LOOKUP(2,1/((RIGHT($A$2:$A$12170,7)=TEXT(C329,"mm/aaaa"))*($B$2:$B$12170&lt;&gt;"")),$B$2:$B$12170),"")</f>
        <v>1.4112285586055999</v>
      </c>
    </row>
    <row r="330" spans="1:4" ht="13.2" x14ac:dyDescent="0.25">
      <c r="A330" s="34" t="s">
        <v>11876</v>
      </c>
      <c r="B330" s="35">
        <v>4.9956841682001398</v>
      </c>
      <c r="C330" s="37">
        <f t="shared" si="5"/>
        <v>44044</v>
      </c>
      <c r="D330" s="35" cm="1">
        <f t="array" ref="D330">IFERROR(LOOKUP(2,1/((RIGHT($A$2:$A$12170,7)=TEXT(C330,"mm/aaaa"))*($B$2:$B$12170&lt;&gt;"")),$B$2:$B$12170),"")</f>
        <v>1.3518439809954701</v>
      </c>
    </row>
    <row r="331" spans="1:4" ht="13.2" x14ac:dyDescent="0.25">
      <c r="A331" s="34" t="s">
        <v>11875</v>
      </c>
      <c r="B331" s="35">
        <v>5.0024258846655103</v>
      </c>
      <c r="C331" s="37">
        <f t="shared" si="5"/>
        <v>44075</v>
      </c>
      <c r="D331" s="35" cm="1">
        <f t="array" ref="D331">IFERROR(LOOKUP(2,1/((RIGHT($A$2:$A$12170,7)=TEXT(C331,"mm/aaaa"))*($B$2:$B$12170&lt;&gt;"")),$B$2:$B$12170),"")</f>
        <v>1.4093754719070299</v>
      </c>
    </row>
    <row r="332" spans="1:4" ht="13.2" x14ac:dyDescent="0.25">
      <c r="A332" s="34" t="s">
        <v>11874</v>
      </c>
      <c r="C332" s="37">
        <f t="shared" si="5"/>
        <v>44105</v>
      </c>
      <c r="D332" s="35" cm="1">
        <f t="array" ref="D332">IFERROR(LOOKUP(2,1/((RIGHT($A$2:$A$12170,7)=TEXT(C332,"mm/aaaa"))*($B$2:$B$12170&lt;&gt;"")),$B$2:$B$12170),"")</f>
        <v>1.6290325723255801</v>
      </c>
    </row>
    <row r="333" spans="1:4" ht="13.2" x14ac:dyDescent="0.25">
      <c r="A333" s="34" t="s">
        <v>11873</v>
      </c>
      <c r="B333" s="35">
        <v>5.3635471578982399</v>
      </c>
      <c r="C333" s="37">
        <f t="shared" si="5"/>
        <v>44136</v>
      </c>
      <c r="D333" s="35" cm="1">
        <f t="array" ref="D333">IFERROR(LOOKUP(2,1/((RIGHT($A$2:$A$12170,7)=TEXT(C333,"mm/aaaa"))*($B$2:$B$12170&lt;&gt;"")),$B$2:$B$12170),"")</f>
        <v>1.6374506243981899</v>
      </c>
    </row>
    <row r="334" spans="1:4" ht="13.2" x14ac:dyDescent="0.25">
      <c r="A334" s="34" t="s">
        <v>11872</v>
      </c>
      <c r="C334" s="37">
        <f t="shared" si="5"/>
        <v>44166</v>
      </c>
      <c r="D334" s="35" cm="1">
        <f t="array" ref="D334">IFERROR(LOOKUP(2,1/((RIGHT($A$2:$A$12170,7)=TEXT(C334,"mm/aaaa"))*($B$2:$B$12170&lt;&gt;"")),$B$2:$B$12170),"")</f>
        <v>0.98476081783897396</v>
      </c>
    </row>
    <row r="335" spans="1:4" ht="13.2" x14ac:dyDescent="0.25">
      <c r="A335" s="34" t="s">
        <v>11871</v>
      </c>
      <c r="C335" s="37">
        <f t="shared" si="5"/>
        <v>44197</v>
      </c>
      <c r="D335" s="35" cm="1">
        <f t="array" ref="D335">IFERROR(LOOKUP(2,1/((RIGHT($A$2:$A$12170,7)=TEXT(C335,"mm/aaaa"))*($B$2:$B$12170&lt;&gt;"")),$B$2:$B$12170),"")</f>
        <v>1.4993340944414399</v>
      </c>
    </row>
    <row r="336" spans="1:4" ht="13.2" x14ac:dyDescent="0.25">
      <c r="A336" s="34" t="s">
        <v>11870</v>
      </c>
      <c r="B336" s="35">
        <v>5.5262447120903602</v>
      </c>
      <c r="C336" s="37">
        <f t="shared" si="5"/>
        <v>44228</v>
      </c>
      <c r="D336" s="35" cm="1">
        <f t="array" ref="D336">IFERROR(LOOKUP(2,1/((RIGHT($A$2:$A$12170,7)=TEXT(C336,"mm/aaaa"))*($B$2:$B$12170&lt;&gt;"")),$B$2:$B$12170),"")</f>
        <v>1.85019754117672</v>
      </c>
    </row>
    <row r="337" spans="1:4" ht="13.2" x14ac:dyDescent="0.25">
      <c r="A337" s="34" t="s">
        <v>11869</v>
      </c>
      <c r="B337" s="35">
        <v>5.4668465266219801</v>
      </c>
      <c r="C337" s="37">
        <f t="shared" si="5"/>
        <v>44256</v>
      </c>
      <c r="D337" s="35" cm="1">
        <f t="array" ref="D337">IFERROR(LOOKUP(2,1/((RIGHT($A$2:$A$12170,7)=TEXT(C337,"mm/aaaa"))*($B$2:$B$12170&lt;&gt;"")),$B$2:$B$12170),"")</f>
        <v>1.54133286498445</v>
      </c>
    </row>
    <row r="338" spans="1:4" ht="13.2" x14ac:dyDescent="0.25">
      <c r="A338" s="34" t="s">
        <v>11868</v>
      </c>
      <c r="B338" s="35">
        <v>5.4149369974796402</v>
      </c>
      <c r="C338" s="37">
        <f t="shared" si="5"/>
        <v>44287</v>
      </c>
      <c r="D338" s="35" cm="1">
        <f t="array" ref="D338">IFERROR(LOOKUP(2,1/((RIGHT($A$2:$A$12170,7)=TEXT(C338,"mm/aaaa"))*($B$2:$B$12170&lt;&gt;"")),$B$2:$B$12170),"")</f>
        <v>0.84107292955324597</v>
      </c>
    </row>
    <row r="339" spans="1:4" ht="13.2" x14ac:dyDescent="0.25">
      <c r="A339" s="34" t="s">
        <v>11867</v>
      </c>
      <c r="B339" s="35">
        <v>5.3473028216468501</v>
      </c>
      <c r="C339" s="37">
        <f t="shared" si="5"/>
        <v>44317</v>
      </c>
      <c r="D339" s="35" cm="1">
        <f t="array" ref="D339">IFERROR(LOOKUP(2,1/((RIGHT($A$2:$A$12170,7)=TEXT(C339,"mm/aaaa"))*($B$2:$B$12170&lt;&gt;"")),$B$2:$B$12170),"")</f>
        <v>0.99933663947334195</v>
      </c>
    </row>
    <row r="340" spans="1:4" ht="13.2" x14ac:dyDescent="0.25">
      <c r="A340" s="34" t="s">
        <v>11866</v>
      </c>
      <c r="B340" s="35">
        <v>5.3568214465595396</v>
      </c>
      <c r="C340" s="37">
        <f t="shared" si="5"/>
        <v>44348</v>
      </c>
      <c r="D340" s="35" cm="1">
        <f t="array" ref="D340">IFERROR(LOOKUP(2,1/((RIGHT($A$2:$A$12170,7)=TEXT(C340,"mm/aaaa"))*($B$2:$B$12170&lt;&gt;"")),$B$2:$B$12170),"")</f>
        <v>0.75129733983866498</v>
      </c>
    </row>
    <row r="341" spans="1:4" ht="13.2" x14ac:dyDescent="0.25">
      <c r="A341" s="34" t="s">
        <v>11865</v>
      </c>
      <c r="C341" s="37">
        <f t="shared" si="5"/>
        <v>44378</v>
      </c>
      <c r="D341" s="35" cm="1">
        <f t="array" ref="D341">IFERROR(LOOKUP(2,1/((RIGHT($A$2:$A$12170,7)=TEXT(C341,"mm/aaaa"))*($B$2:$B$12170&lt;&gt;"")),$B$2:$B$12170),"")</f>
        <v>1.23838509389198</v>
      </c>
    </row>
    <row r="342" spans="1:4" ht="13.2" x14ac:dyDescent="0.25">
      <c r="A342" s="34" t="s">
        <v>11864</v>
      </c>
      <c r="C342" s="37">
        <f t="shared" si="5"/>
        <v>44409</v>
      </c>
      <c r="D342" s="35" cm="1">
        <f t="array" ref="D342">IFERROR(LOOKUP(2,1/((RIGHT($A$2:$A$12170,7)=TEXT(C342,"mm/aaaa"))*($B$2:$B$12170&lt;&gt;"")),$B$2:$B$12170),"")</f>
        <v>1.0933398479666501</v>
      </c>
    </row>
    <row r="343" spans="1:4" ht="13.2" x14ac:dyDescent="0.25">
      <c r="A343" s="34" t="s">
        <v>11863</v>
      </c>
      <c r="B343" s="35">
        <v>5.3217044972869196</v>
      </c>
      <c r="C343" s="37">
        <f t="shared" si="5"/>
        <v>44440</v>
      </c>
      <c r="D343" s="35" cm="1">
        <f t="array" ref="D343">IFERROR(LOOKUP(2,1/((RIGHT($A$2:$A$12170,7)=TEXT(C343,"mm/aaaa"))*($B$2:$B$12170&lt;&gt;"")),$B$2:$B$12170),"")</f>
        <v>1.68163228509808</v>
      </c>
    </row>
    <row r="344" spans="1:4" ht="13.2" x14ac:dyDescent="0.25">
      <c r="A344" s="34" t="s">
        <v>11862</v>
      </c>
      <c r="B344" s="35">
        <v>5.3569556106060796</v>
      </c>
      <c r="C344" s="37">
        <f t="shared" si="5"/>
        <v>44470</v>
      </c>
      <c r="D344" s="35" cm="1">
        <f t="array" ref="D344">IFERROR(LOOKUP(2,1/((RIGHT($A$2:$A$12170,7)=TEXT(C344,"mm/aaaa"))*($B$2:$B$12170&lt;&gt;"")),$B$2:$B$12170),"")</f>
        <v>1.5527735247054499</v>
      </c>
    </row>
    <row r="345" spans="1:4" ht="13.2" x14ac:dyDescent="0.25">
      <c r="A345" s="34" t="s">
        <v>11861</v>
      </c>
      <c r="B345" s="35">
        <v>4.8094411415817797</v>
      </c>
      <c r="C345" s="37">
        <f t="shared" si="5"/>
        <v>44501</v>
      </c>
      <c r="D345" s="35" cm="1">
        <f t="array" ref="D345">IFERROR(LOOKUP(2,1/((RIGHT($A$2:$A$12170,7)=TEXT(C345,"mm/aaaa"))*($B$2:$B$12170&lt;&gt;"")),$B$2:$B$12170),"")</f>
        <v>1.4648154594377101</v>
      </c>
    </row>
    <row r="346" spans="1:4" ht="13.2" x14ac:dyDescent="0.25">
      <c r="A346" s="34" t="s">
        <v>11860</v>
      </c>
      <c r="B346" s="35">
        <v>5.0753291319993004</v>
      </c>
      <c r="C346" s="37">
        <f t="shared" si="5"/>
        <v>44531</v>
      </c>
      <c r="D346" s="35" cm="1">
        <f t="array" ref="D346">IFERROR(LOOKUP(2,1/((RIGHT($A$2:$A$12170,7)=TEXT(C346,"mm/aaaa"))*($B$2:$B$12170&lt;&gt;"")),$B$2:$B$12170),"")</f>
        <v>1.2459076683107</v>
      </c>
    </row>
    <row r="347" spans="1:4" ht="13.2" x14ac:dyDescent="0.25">
      <c r="A347" s="34" t="s">
        <v>11859</v>
      </c>
      <c r="B347" s="35">
        <v>5.1554383400907602</v>
      </c>
      <c r="C347" s="37">
        <f t="shared" si="5"/>
        <v>44562</v>
      </c>
      <c r="D347" s="35" cm="1">
        <f t="array" ref="D347">IFERROR(LOOKUP(2,1/((RIGHT($A$2:$A$12170,7)=TEXT(C347,"mm/aaaa"))*($B$2:$B$12170&lt;&gt;"")),$B$2:$B$12170),"")</f>
        <v>1.16286578038585</v>
      </c>
    </row>
    <row r="348" spans="1:4" ht="13.2" x14ac:dyDescent="0.25">
      <c r="A348" s="34" t="s">
        <v>11858</v>
      </c>
      <c r="C348" s="37">
        <f t="shared" si="5"/>
        <v>44593</v>
      </c>
      <c r="D348" s="35" cm="1">
        <f t="array" ref="D348">IFERROR(LOOKUP(2,1/((RIGHT($A$2:$A$12170,7)=TEXT(C348,"mm/aaaa"))*($B$2:$B$12170&lt;&gt;"")),$B$2:$B$12170),"")</f>
        <v>2.7051116398016601</v>
      </c>
    </row>
    <row r="349" spans="1:4" ht="13.2" x14ac:dyDescent="0.25">
      <c r="A349" s="34" t="s">
        <v>11857</v>
      </c>
      <c r="C349" s="37">
        <f t="shared" si="5"/>
        <v>44621</v>
      </c>
      <c r="D349" s="35" cm="1">
        <f t="array" ref="D349">IFERROR(LOOKUP(2,1/((RIGHT($A$2:$A$12170,7)=TEXT(C349,"mm/aaaa"))*($B$2:$B$12170&lt;&gt;"")),$B$2:$B$12170),"")</f>
        <v>1.2976715585404099</v>
      </c>
    </row>
    <row r="350" spans="1:4" ht="13.2" x14ac:dyDescent="0.25">
      <c r="A350" s="34" t="s">
        <v>11856</v>
      </c>
      <c r="B350" s="35">
        <v>5.2975972248231704</v>
      </c>
      <c r="C350" s="37">
        <f t="shared" si="5"/>
        <v>44652</v>
      </c>
      <c r="D350" s="35" cm="1">
        <f t="array" ref="D350">IFERROR(LOOKUP(2,1/((RIGHT($A$2:$A$12170,7)=TEXT(C350,"mm/aaaa"))*($B$2:$B$12170&lt;&gt;"")),$B$2:$B$12170),"")</f>
        <v>1.07169290500994</v>
      </c>
    </row>
    <row r="351" spans="1:4" ht="13.2" x14ac:dyDescent="0.25">
      <c r="A351" s="34" t="s">
        <v>11855</v>
      </c>
      <c r="B351" s="35">
        <v>5.5542867055023599</v>
      </c>
      <c r="C351" s="37">
        <f t="shared" si="5"/>
        <v>44682</v>
      </c>
      <c r="D351" s="35" cm="1">
        <f t="array" ref="D351">IFERROR(LOOKUP(2,1/((RIGHT($A$2:$A$12170,7)=TEXT(C351,"mm/aaaa"))*($B$2:$B$12170&lt;&gt;"")),$B$2:$B$12170),"")</f>
        <v>1.27663508054332</v>
      </c>
    </row>
    <row r="352" spans="1:4" ht="13.2" x14ac:dyDescent="0.25">
      <c r="A352" s="34" t="s">
        <v>11854</v>
      </c>
      <c r="B352" s="35">
        <v>5.2732910749924899</v>
      </c>
      <c r="C352" s="37">
        <f t="shared" si="5"/>
        <v>44713</v>
      </c>
      <c r="D352" s="35" cm="1">
        <f t="array" ref="D352">IFERROR(LOOKUP(2,1/((RIGHT($A$2:$A$12170,7)=TEXT(C352,"mm/aaaa"))*($B$2:$B$12170&lt;&gt;"")),$B$2:$B$12170),"")</f>
        <v>1.18641908512733</v>
      </c>
    </row>
    <row r="353" spans="1:4" ht="13.2" x14ac:dyDescent="0.25">
      <c r="A353" s="34" t="s">
        <v>11853</v>
      </c>
      <c r="B353" s="35">
        <v>5.4373720108698098</v>
      </c>
      <c r="C353" s="37">
        <f t="shared" si="5"/>
        <v>44743</v>
      </c>
      <c r="D353" s="35" cm="1">
        <f t="array" ref="D353">IFERROR(LOOKUP(2,1/((RIGHT($A$2:$A$12170,7)=TEXT(C353,"mm/aaaa"))*($B$2:$B$12170&lt;&gt;"")),$B$2:$B$12170),"")</f>
        <v>1.02143708343185</v>
      </c>
    </row>
    <row r="354" spans="1:4" ht="13.2" x14ac:dyDescent="0.25">
      <c r="A354" s="34" t="s">
        <v>11852</v>
      </c>
      <c r="B354" s="35">
        <v>5.3166841125903099</v>
      </c>
      <c r="C354" s="37">
        <f t="shared" si="5"/>
        <v>44774</v>
      </c>
      <c r="D354" s="35" cm="1">
        <f t="array" ref="D354">IFERROR(LOOKUP(2,1/((RIGHT($A$2:$A$12170,7)=TEXT(C354,"mm/aaaa"))*($B$2:$B$12170&lt;&gt;"")),$B$2:$B$12170),"")</f>
        <v>1.2424080295734301</v>
      </c>
    </row>
    <row r="355" spans="1:4" ht="13.2" x14ac:dyDescent="0.25">
      <c r="A355" s="34" t="s">
        <v>11851</v>
      </c>
      <c r="C355" s="37">
        <f t="shared" si="5"/>
        <v>44805</v>
      </c>
      <c r="D355" s="35" cm="1">
        <f t="array" ref="D355">IFERROR(LOOKUP(2,1/((RIGHT($A$2:$A$12170,7)=TEXT(C355,"mm/aaaa"))*($B$2:$B$12170&lt;&gt;"")),$B$2:$B$12170),"")</f>
        <v>1.4828319438120401</v>
      </c>
    </row>
    <row r="356" spans="1:4" ht="13.2" x14ac:dyDescent="0.25">
      <c r="A356" s="34" t="s">
        <v>11850</v>
      </c>
      <c r="C356" s="37">
        <f t="shared" si="5"/>
        <v>44835</v>
      </c>
      <c r="D356" s="35" cm="1">
        <f t="array" ref="D356">IFERROR(LOOKUP(2,1/((RIGHT($A$2:$A$12170,7)=TEXT(C356,"mm/aaaa"))*($B$2:$B$12170&lt;&gt;"")),$B$2:$B$12170),"")</f>
        <v>1.8605244542776</v>
      </c>
    </row>
    <row r="357" spans="1:4" ht="13.2" x14ac:dyDescent="0.25">
      <c r="A357" s="34" t="s">
        <v>11849</v>
      </c>
      <c r="B357" s="35">
        <v>5.2813730406593704</v>
      </c>
      <c r="C357" s="37">
        <f t="shared" si="5"/>
        <v>44866</v>
      </c>
      <c r="D357" s="35" cm="1">
        <f t="array" ref="D357">IFERROR(LOOKUP(2,1/((RIGHT($A$2:$A$12170,7)=TEXT(C357,"mm/aaaa"))*($B$2:$B$12170&lt;&gt;"")),$B$2:$B$12170),"")</f>
        <v>1.7502108740754401</v>
      </c>
    </row>
    <row r="358" spans="1:4" ht="13.2" x14ac:dyDescent="0.25">
      <c r="A358" s="34" t="s">
        <v>11848</v>
      </c>
      <c r="B358" s="35">
        <v>5.2940469705326301</v>
      </c>
      <c r="C358" s="37">
        <f t="shared" si="5"/>
        <v>44896</v>
      </c>
      <c r="D358" s="35" cm="1">
        <f t="array" ref="D358">IFERROR(LOOKUP(2,1/((RIGHT($A$2:$A$12170,7)=TEXT(C358,"mm/aaaa"))*($B$2:$B$12170&lt;&gt;"")),$B$2:$B$12170),"")</f>
        <v>1.34826342668004</v>
      </c>
    </row>
    <row r="359" spans="1:4" ht="13.2" x14ac:dyDescent="0.25">
      <c r="A359" s="34" t="s">
        <v>11847</v>
      </c>
      <c r="B359" s="35">
        <v>5.4778882720050399</v>
      </c>
      <c r="C359" s="37">
        <f t="shared" si="5"/>
        <v>44927</v>
      </c>
      <c r="D359" s="35" cm="1">
        <f t="array" ref="D359">IFERROR(LOOKUP(2,1/((RIGHT($A$2:$A$12170,7)=TEXT(C359,"mm/aaaa"))*($B$2:$B$12170&lt;&gt;"")),$B$2:$B$12170),"")</f>
        <v>1.18772319644484</v>
      </c>
    </row>
    <row r="360" spans="1:4" ht="13.2" x14ac:dyDescent="0.25">
      <c r="A360" s="34" t="s">
        <v>11846</v>
      </c>
      <c r="B360" s="35">
        <v>5.7775108109037099</v>
      </c>
      <c r="C360" s="37">
        <f t="shared" si="5"/>
        <v>44958</v>
      </c>
      <c r="D360" s="35" cm="1">
        <f t="array" ref="D360">IFERROR(LOOKUP(2,1/((RIGHT($A$2:$A$12170,7)=TEXT(C360,"mm/aaaa"))*($B$2:$B$12170&lt;&gt;"")),$B$2:$B$12170),"")</f>
        <v>1.1933107334008599</v>
      </c>
    </row>
    <row r="361" spans="1:4" ht="13.2" x14ac:dyDescent="0.25">
      <c r="A361" s="34" t="s">
        <v>11845</v>
      </c>
      <c r="B361" s="35">
        <v>5.5805959294930298</v>
      </c>
      <c r="C361" s="37">
        <f t="shared" si="5"/>
        <v>44986</v>
      </c>
      <c r="D361" s="35" cm="1">
        <f t="array" ref="D361">IFERROR(LOOKUP(2,1/((RIGHT($A$2:$A$12170,7)=TEXT(C361,"mm/aaaa"))*($B$2:$B$12170&lt;&gt;"")),$B$2:$B$12170),"")</f>
        <v>1.23474380500376</v>
      </c>
    </row>
    <row r="362" spans="1:4" ht="13.2" x14ac:dyDescent="0.25">
      <c r="A362" s="34" t="s">
        <v>11844</v>
      </c>
      <c r="C362" s="37">
        <f t="shared" si="5"/>
        <v>45017</v>
      </c>
      <c r="D362" s="35" cm="1">
        <f t="array" ref="D362">IFERROR(LOOKUP(2,1/((RIGHT($A$2:$A$12170,7)=TEXT(C362,"mm/aaaa"))*($B$2:$B$12170&lt;&gt;"")),$B$2:$B$12170),"")</f>
        <v>1.3345641627850999</v>
      </c>
    </row>
    <row r="363" spans="1:4" ht="13.2" x14ac:dyDescent="0.25">
      <c r="A363" s="34" t="s">
        <v>11843</v>
      </c>
      <c r="C363" s="37">
        <f t="shared" si="5"/>
        <v>45047</v>
      </c>
      <c r="D363" s="35" cm="1">
        <f t="array" ref="D363">IFERROR(LOOKUP(2,1/((RIGHT($A$2:$A$12170,7)=TEXT(C363,"mm/aaaa"))*($B$2:$B$12170&lt;&gt;"")),$B$2:$B$12170),"")</f>
        <v>0.93179099733173298</v>
      </c>
    </row>
    <row r="364" spans="1:4" ht="13.2" x14ac:dyDescent="0.25">
      <c r="A364" s="34" t="s">
        <v>11842</v>
      </c>
      <c r="B364" s="35">
        <v>5.28552181903971</v>
      </c>
      <c r="C364" s="37">
        <f t="shared" si="5"/>
        <v>45078</v>
      </c>
      <c r="D364" s="35" cm="1">
        <f t="array" ref="D364">IFERROR(LOOKUP(2,1/((RIGHT($A$2:$A$12170,7)=TEXT(C364,"mm/aaaa"))*($B$2:$B$12170&lt;&gt;"")),$B$2:$B$12170),"")</f>
        <v>0.99171425935881896</v>
      </c>
    </row>
    <row r="365" spans="1:4" ht="13.2" x14ac:dyDescent="0.25">
      <c r="A365" s="34" t="s">
        <v>11841</v>
      </c>
      <c r="B365" s="35">
        <v>5.0371671136802796</v>
      </c>
      <c r="C365" s="37">
        <f t="shared" si="5"/>
        <v>45108</v>
      </c>
      <c r="D365" s="35" cm="1">
        <f t="array" ref="D365">IFERROR(LOOKUP(2,1/((RIGHT($A$2:$A$12170,7)=TEXT(C365,"mm/aaaa"))*($B$2:$B$12170&lt;&gt;"")),$B$2:$B$12170),"")</f>
        <v>1.07053509989923</v>
      </c>
    </row>
    <row r="366" spans="1:4" ht="13.2" x14ac:dyDescent="0.25">
      <c r="A366" s="34" t="s">
        <v>11840</v>
      </c>
      <c r="B366" s="35">
        <v>5.2247205878925298</v>
      </c>
      <c r="C366" s="37">
        <f t="shared" si="5"/>
        <v>45139</v>
      </c>
      <c r="D366" s="35" cm="1">
        <f t="array" ref="D366">IFERROR(LOOKUP(2,1/((RIGHT($A$2:$A$12170,7)=TEXT(C366,"mm/aaaa"))*($B$2:$B$12170&lt;&gt;"")),$B$2:$B$12170),"")</f>
        <v>0.883233157656099</v>
      </c>
    </row>
    <row r="367" spans="1:4" ht="13.2" x14ac:dyDescent="0.25">
      <c r="A367" s="34" t="s">
        <v>11839</v>
      </c>
      <c r="B367" s="35">
        <v>5.2237493863436697</v>
      </c>
      <c r="C367" s="37">
        <f t="shared" si="5"/>
        <v>45170</v>
      </c>
      <c r="D367" s="35" cm="1">
        <f t="array" ref="D367">IFERROR(LOOKUP(2,1/((RIGHT($A$2:$A$12170,7)=TEXT(C367,"mm/aaaa"))*($B$2:$B$12170&lt;&gt;"")),$B$2:$B$12170),"")</f>
        <v>1.0349471813414399</v>
      </c>
    </row>
    <row r="368" spans="1:4" ht="13.2" x14ac:dyDescent="0.25">
      <c r="A368" s="34" t="s">
        <v>11838</v>
      </c>
      <c r="B368" s="35">
        <v>5.2051933001490696</v>
      </c>
      <c r="C368" s="37">
        <f t="shared" si="5"/>
        <v>45200</v>
      </c>
      <c r="D368" s="35" cm="1">
        <f t="array" ref="D368">IFERROR(LOOKUP(2,1/((RIGHT($A$2:$A$12170,7)=TEXT(C368,"mm/aaaa"))*($B$2:$B$12170&lt;&gt;"")),$B$2:$B$12170),"")</f>
        <v>0.96774766206472196</v>
      </c>
    </row>
    <row r="369" spans="1:4" ht="13.2" x14ac:dyDescent="0.25">
      <c r="A369" s="34" t="s">
        <v>11837</v>
      </c>
      <c r="C369" s="37">
        <f t="shared" si="5"/>
        <v>45231</v>
      </c>
      <c r="D369" s="35" cm="1">
        <f t="array" ref="D369">IFERROR(LOOKUP(2,1/((RIGHT($A$2:$A$12170,7)=TEXT(C369,"mm/aaaa"))*($B$2:$B$12170&lt;&gt;"")),$B$2:$B$12170),"")</f>
        <v>0.88628631573161198</v>
      </c>
    </row>
    <row r="370" spans="1:4" ht="13.2" x14ac:dyDescent="0.25">
      <c r="A370" s="34" t="s">
        <v>11836</v>
      </c>
      <c r="C370" s="37">
        <f t="shared" si="5"/>
        <v>45261</v>
      </c>
      <c r="D370" s="35" cm="1">
        <f t="array" ref="D370">IFERROR(LOOKUP(2,1/((RIGHT($A$2:$A$12170,7)=TEXT(C370,"mm/aaaa"))*($B$2:$B$12170&lt;&gt;"")),$B$2:$B$12170),"")</f>
        <v>0.814701806874363</v>
      </c>
    </row>
    <row r="371" spans="1:4" ht="13.2" x14ac:dyDescent="0.25">
      <c r="A371" s="34" t="s">
        <v>11835</v>
      </c>
      <c r="B371" s="35">
        <v>5.2173208616945601</v>
      </c>
      <c r="C371" s="37">
        <f t="shared" si="5"/>
        <v>45292</v>
      </c>
      <c r="D371" s="35" cm="1">
        <f t="array" ref="D371">IFERROR(LOOKUP(2,1/((RIGHT($A$2:$A$12170,7)=TEXT(C371,"mm/aaaa"))*($B$2:$B$12170&lt;&gt;"")),$B$2:$B$12170),"")</f>
        <v>0.72123296992986297</v>
      </c>
    </row>
    <row r="372" spans="1:4" ht="13.2" x14ac:dyDescent="0.25">
      <c r="A372" s="34" t="s">
        <v>11834</v>
      </c>
      <c r="B372" s="35">
        <v>5.2151502674538097</v>
      </c>
      <c r="C372" s="37">
        <f t="shared" si="5"/>
        <v>45323</v>
      </c>
      <c r="D372" s="35" cm="1">
        <f t="array" ref="D372">IFERROR(LOOKUP(2,1/((RIGHT($A$2:$A$12170,7)=TEXT(C372,"mm/aaaa"))*($B$2:$B$12170&lt;&gt;"")),$B$2:$B$12170),"")</f>
        <v>0.88890783939266405</v>
      </c>
    </row>
    <row r="373" spans="1:4" ht="13.2" x14ac:dyDescent="0.25">
      <c r="A373" s="34" t="s">
        <v>11833</v>
      </c>
      <c r="B373" s="35">
        <v>5.0129996757297901</v>
      </c>
      <c r="C373" s="37">
        <f t="shared" si="5"/>
        <v>45352</v>
      </c>
      <c r="D373" s="35" cm="1">
        <f t="array" ref="D373">IFERROR(LOOKUP(2,1/((RIGHT($A$2:$A$12170,7)=TEXT(C373,"mm/aaaa"))*($B$2:$B$12170&lt;&gt;"")),$B$2:$B$12170),"")</f>
        <v>0.67330436117070402</v>
      </c>
    </row>
    <row r="374" spans="1:4" ht="13.2" x14ac:dyDescent="0.25">
      <c r="A374" s="34" t="s">
        <v>11832</v>
      </c>
      <c r="C374" s="37">
        <f t="shared" si="5"/>
        <v>45383</v>
      </c>
      <c r="D374" s="35" cm="1">
        <f t="array" ref="D374">IFERROR(LOOKUP(2,1/((RIGHT($A$2:$A$12170,7)=TEXT(C374,"mm/aaaa"))*($B$2:$B$12170&lt;&gt;"")),$B$2:$B$12170),"")</f>
        <v>0.79808961084470897</v>
      </c>
    </row>
    <row r="375" spans="1:4" ht="13.2" x14ac:dyDescent="0.25">
      <c r="A375" s="34" t="s">
        <v>11831</v>
      </c>
      <c r="B375" s="35">
        <v>4.8589264485938202</v>
      </c>
      <c r="C375" s="37">
        <f t="shared" si="5"/>
        <v>45413</v>
      </c>
      <c r="D375" s="35" cm="1">
        <f t="array" ref="D375">IFERROR(LOOKUP(2,1/((RIGHT($A$2:$A$12170,7)=TEXT(C375,"mm/aaaa"))*($B$2:$B$12170&lt;&gt;"")),$B$2:$B$12170),"")</f>
        <v>0.57393410541357803</v>
      </c>
    </row>
    <row r="376" spans="1:4" ht="13.2" x14ac:dyDescent="0.25">
      <c r="A376" s="34" t="s">
        <v>11830</v>
      </c>
      <c r="C376" s="37">
        <f t="shared" si="5"/>
        <v>45444</v>
      </c>
      <c r="D376" s="35" cm="1">
        <f t="array" ref="D376">IFERROR(LOOKUP(2,1/((RIGHT($A$2:$A$12170,7)=TEXT(C376,"mm/aaaa"))*($B$2:$B$12170&lt;&gt;"")),$B$2:$B$12170),"")</f>
        <v>0.76122350540468797</v>
      </c>
    </row>
    <row r="377" spans="1:4" ht="13.2" x14ac:dyDescent="0.25">
      <c r="A377" s="34" t="s">
        <v>11829</v>
      </c>
      <c r="C377" s="37">
        <f t="shared" si="5"/>
        <v>45474</v>
      </c>
      <c r="D377" s="35" cm="1">
        <f t="array" ref="D377">IFERROR(LOOKUP(2,1/((RIGHT($A$2:$A$12170,7)=TEXT(C377,"mm/aaaa"))*($B$2:$B$12170&lt;&gt;"")),$B$2:$B$12170),"")</f>
        <v>0.64912386606594197</v>
      </c>
    </row>
    <row r="378" spans="1:4" ht="13.2" x14ac:dyDescent="0.25">
      <c r="A378" s="34" t="s">
        <v>11828</v>
      </c>
      <c r="B378" s="35">
        <v>4.2811712166250997</v>
      </c>
      <c r="C378" s="37">
        <f t="shared" si="5"/>
        <v>45505</v>
      </c>
      <c r="D378" s="35" cm="1">
        <f t="array" ref="D378">IFERROR(LOOKUP(2,1/((RIGHT($A$2:$A$12170,7)=TEXT(C378,"mm/aaaa"))*($B$2:$B$12170&lt;&gt;"")),$B$2:$B$12170),"")</f>
        <v>0.75007648068546096</v>
      </c>
    </row>
    <row r="379" spans="1:4" ht="13.2" x14ac:dyDescent="0.25">
      <c r="A379" s="34" t="s">
        <v>11827</v>
      </c>
      <c r="B379" s="35">
        <v>4.3219150098438499</v>
      </c>
      <c r="C379" s="37">
        <f t="shared" si="5"/>
        <v>45536</v>
      </c>
      <c r="D379" s="35" cm="1">
        <f t="array" ref="D379">IFERROR(LOOKUP(2,1/((RIGHT($A$2:$A$12170,7)=TEXT(C379,"mm/aaaa"))*($B$2:$B$12170&lt;&gt;"")),$B$2:$B$12170),"")</f>
        <v>0.77188942608264399</v>
      </c>
    </row>
    <row r="380" spans="1:4" ht="13.2" x14ac:dyDescent="0.25">
      <c r="A380" s="34" t="s">
        <v>11826</v>
      </c>
      <c r="B380" s="35">
        <v>4.0760366766645504</v>
      </c>
      <c r="C380" s="37">
        <f t="shared" si="5"/>
        <v>45566</v>
      </c>
      <c r="D380" s="35" cm="1">
        <f t="array" ref="D380">IFERROR(LOOKUP(2,1/((RIGHT($A$2:$A$12170,7)=TEXT(C380,"mm/aaaa"))*($B$2:$B$12170&lt;&gt;"")),$B$2:$B$12170),"")</f>
        <v>0.60268387012961699</v>
      </c>
    </row>
    <row r="381" spans="1:4" ht="13.2" x14ac:dyDescent="0.25">
      <c r="A381" s="34" t="s">
        <v>11825</v>
      </c>
      <c r="B381" s="35">
        <v>3.8995361394450501</v>
      </c>
      <c r="C381" s="37">
        <f t="shared" si="5"/>
        <v>45597</v>
      </c>
      <c r="D381" s="35" cm="1">
        <f t="array" ref="D381">IFERROR(LOOKUP(2,1/((RIGHT($A$2:$A$12170,7)=TEXT(C381,"mm/aaaa"))*($B$2:$B$12170&lt;&gt;"")),$B$2:$B$12170),"")</f>
        <v>1.2649323711263101</v>
      </c>
    </row>
    <row r="382" spans="1:4" ht="13.2" x14ac:dyDescent="0.25">
      <c r="A382" s="34" t="s">
        <v>11824</v>
      </c>
      <c r="B382" s="35">
        <v>3.8318802179126799</v>
      </c>
      <c r="C382" s="37">
        <f t="shared" si="5"/>
        <v>45627</v>
      </c>
      <c r="D382" s="35" cm="1">
        <f t="array" ref="D382">IFERROR(LOOKUP(2,1/((RIGHT($A$2:$A$12170,7)=TEXT(C382,"mm/aaaa"))*($B$2:$B$12170&lt;&gt;"")),$B$2:$B$12170),"")</f>
        <v>1.3366496149339999</v>
      </c>
    </row>
    <row r="383" spans="1:4" ht="13.2" x14ac:dyDescent="0.25">
      <c r="A383" s="34" t="s">
        <v>11823</v>
      </c>
      <c r="C383" s="37">
        <f t="shared" si="5"/>
        <v>45658</v>
      </c>
      <c r="D383" s="35" cm="1">
        <f t="array" ref="D383">IFERROR(LOOKUP(2,1/((RIGHT($A$2:$A$12170,7)=TEXT(C383,"mm/aaaa"))*($B$2:$B$12170&lt;&gt;"")),$B$2:$B$12170),"")</f>
        <v>1.1953829365686399</v>
      </c>
    </row>
    <row r="384" spans="1:4" ht="13.2" x14ac:dyDescent="0.25">
      <c r="A384" s="34" t="s">
        <v>11822</v>
      </c>
      <c r="C384" s="37">
        <f t="shared" si="5"/>
        <v>45689</v>
      </c>
      <c r="D384" s="35" cm="1">
        <f t="array" ref="D384">IFERROR(LOOKUP(2,1/((RIGHT($A$2:$A$12170,7)=TEXT(C384,"mm/aaaa"))*($B$2:$B$12170&lt;&gt;"")),$B$2:$B$12170),"")</f>
        <v>1.01723854480572</v>
      </c>
    </row>
    <row r="385" spans="1:4" ht="13.2" x14ac:dyDescent="0.25">
      <c r="A385" s="34" t="s">
        <v>11821</v>
      </c>
      <c r="B385" s="35">
        <v>3.9734958789511099</v>
      </c>
      <c r="C385" s="37">
        <f t="shared" si="5"/>
        <v>45717</v>
      </c>
      <c r="D385" s="35" cm="1">
        <f t="array" ref="D385">IFERROR(LOOKUP(2,1/((RIGHT($A$2:$A$12170,7)=TEXT(C385,"mm/aaaa"))*($B$2:$B$12170&lt;&gt;"")),$B$2:$B$12170),"")</f>
        <v>1.00819745934427</v>
      </c>
    </row>
    <row r="386" spans="1:4" ht="13.2" x14ac:dyDescent="0.25">
      <c r="A386" s="34" t="s">
        <v>11820</v>
      </c>
      <c r="B386" s="35">
        <v>3.73009577930398</v>
      </c>
      <c r="C386" s="37">
        <f t="shared" si="5"/>
        <v>45748</v>
      </c>
      <c r="D386" s="35" cm="1">
        <f t="array" ref="D386">IFERROR(LOOKUP(2,1/((RIGHT($A$2:$A$12170,7)=TEXT(C386,"mm/aaaa"))*($B$2:$B$12170&lt;&gt;"")),$B$2:$B$12170),"")</f>
        <v>1.3228564724529499</v>
      </c>
    </row>
    <row r="387" spans="1:4" ht="13.2" x14ac:dyDescent="0.25">
      <c r="A387" s="34" t="s">
        <v>11819</v>
      </c>
      <c r="B387" s="35">
        <v>3.59815367047625</v>
      </c>
      <c r="C387" s="37">
        <f t="shared" si="5"/>
        <v>45778</v>
      </c>
      <c r="D387" s="35" cm="1">
        <f t="array" ref="D387">IFERROR(LOOKUP(2,1/((RIGHT($A$2:$A$12170,7)=TEXT(C387,"mm/aaaa"))*($B$2:$B$12170&lt;&gt;"")),$B$2:$B$12170),"")</f>
        <v>0.87184076633423502</v>
      </c>
    </row>
    <row r="388" spans="1:4" ht="13.2" x14ac:dyDescent="0.25">
      <c r="A388" s="34" t="s">
        <v>11818</v>
      </c>
      <c r="B388" s="35">
        <v>3.6855195020511302</v>
      </c>
      <c r="C388" s="37">
        <f t="shared" si="5"/>
        <v>45809</v>
      </c>
      <c r="D388" s="35" cm="1">
        <f t="array" ref="D388">IFERROR(LOOKUP(2,1/((RIGHT($A$2:$A$12170,7)=TEXT(C388,"mm/aaaa"))*($B$2:$B$12170&lt;&gt;"")),$B$2:$B$12170),"")</f>
        <v>0.74866291098180904</v>
      </c>
    </row>
    <row r="389" spans="1:4" ht="13.2" x14ac:dyDescent="0.25">
      <c r="A389" s="34" t="s">
        <v>11817</v>
      </c>
      <c r="B389" s="35">
        <v>3.5735669681648399</v>
      </c>
      <c r="C389" s="37">
        <f t="shared" ref="C389:C403" si="6">EDATE(C388,1)</f>
        <v>45839</v>
      </c>
      <c r="D389" s="35" cm="1">
        <f t="array" ref="D389">IFERROR(LOOKUP(2,1/((RIGHT($A$2:$A$12170,7)=TEXT(C389,"mm/aaaa"))*($B$2:$B$12170&lt;&gt;"")),$B$2:$B$12170),"")</f>
        <v>0.82889207842361201</v>
      </c>
    </row>
    <row r="390" spans="1:4" ht="13.2" x14ac:dyDescent="0.25">
      <c r="A390" s="34" t="s">
        <v>11816</v>
      </c>
      <c r="C390" s="37">
        <f t="shared" si="6"/>
        <v>45870</v>
      </c>
      <c r="D390" s="35" cm="1">
        <f t="array" ref="D390">IFERROR(LOOKUP(2,1/((RIGHT($A$2:$A$12170,7)=TEXT(C390,"mm/aaaa"))*($B$2:$B$12170&lt;&gt;"")),$B$2:$B$12170),"")</f>
        <v>1.00542139579746</v>
      </c>
    </row>
    <row r="391" spans="1:4" ht="13.2" x14ac:dyDescent="0.25">
      <c r="A391" s="34" t="s">
        <v>11815</v>
      </c>
      <c r="C391" s="37">
        <f t="shared" si="6"/>
        <v>45901</v>
      </c>
      <c r="D391" s="35" cm="1">
        <f t="array" ref="D391">IFERROR(LOOKUP(2,1/((RIGHT($A$2:$A$12170,7)=TEXT(C391,"mm/aaaa"))*($B$2:$B$12170&lt;&gt;"")),$B$2:$B$12170),"")</f>
        <v>0.60809051811038195</v>
      </c>
    </row>
    <row r="392" spans="1:4" ht="13.2" x14ac:dyDescent="0.25">
      <c r="A392" s="34" t="s">
        <v>11814</v>
      </c>
      <c r="B392" s="35">
        <v>3.0189128954952902</v>
      </c>
      <c r="C392" s="37">
        <f t="shared" si="6"/>
        <v>45931</v>
      </c>
      <c r="D392" s="35" cm="1">
        <f t="array" ref="D392">IFERROR(LOOKUP(2,1/((RIGHT($A$2:$A$12170,7)=TEXT(C392,"mm/aaaa"))*($B$2:$B$12170&lt;&gt;"")),$B$2:$B$12170),"")</f>
        <v>0.61241171440761699</v>
      </c>
    </row>
    <row r="393" spans="1:4" ht="13.2" x14ac:dyDescent="0.25">
      <c r="A393" s="34" t="s">
        <v>11813</v>
      </c>
      <c r="B393" s="35">
        <v>3.2629912353892498</v>
      </c>
      <c r="C393" s="37">
        <f t="shared" si="6"/>
        <v>45962</v>
      </c>
      <c r="D393" s="35" cm="1">
        <f t="array" ref="D393">IFERROR(LOOKUP(2,1/((RIGHT($A$2:$A$12170,7)=TEXT(C393,"mm/aaaa"))*($B$2:$B$12170&lt;&gt;"")),$B$2:$B$12170),"")</f>
        <v>0.68330781563953902</v>
      </c>
    </row>
    <row r="394" spans="1:4" ht="13.2" x14ac:dyDescent="0.25">
      <c r="A394" s="34" t="s">
        <v>11812</v>
      </c>
      <c r="B394" s="35">
        <v>3.25410302682574</v>
      </c>
      <c r="C394" s="37">
        <f t="shared" si="6"/>
        <v>45992</v>
      </c>
      <c r="D394" s="35" cm="1">
        <f t="array" ref="D394">IFERROR(LOOKUP(2,1/((RIGHT($A$2:$A$12170,7)=TEXT(C394,"mm/aaaa"))*($B$2:$B$12170&lt;&gt;"")),$B$2:$B$12170),"")</f>
        <v>1.36054011567319</v>
      </c>
    </row>
    <row r="395" spans="1:4" ht="13.2" x14ac:dyDescent="0.25">
      <c r="A395" s="34" t="s">
        <v>11811</v>
      </c>
      <c r="B395" s="35">
        <v>3.36072667154773</v>
      </c>
      <c r="C395" s="37">
        <f t="shared" si="6"/>
        <v>46023</v>
      </c>
      <c r="D395" s="35" cm="1">
        <f t="array" ref="D395">IFERROR(LOOKUP(2,1/((RIGHT($A$2:$A$12170,7)=TEXT(C395,"mm/aaaa"))*($B$2:$B$12170&lt;&gt;"")),$B$2:$B$12170),"")</f>
        <v>1.1864333341206801</v>
      </c>
    </row>
    <row r="396" spans="1:4" ht="13.2" x14ac:dyDescent="0.25">
      <c r="A396" s="34" t="s">
        <v>11810</v>
      </c>
      <c r="B396" s="35">
        <v>3.11506527292461</v>
      </c>
      <c r="C396" s="37">
        <f t="shared" si="6"/>
        <v>46054</v>
      </c>
      <c r="D396" s="35" cm="1">
        <f t="array" ref="D396">IFERROR(LOOKUP(2,1/((RIGHT($A$2:$A$12170,7)=TEXT(C396,"mm/aaaa"))*($B$2:$B$12170&lt;&gt;"")),$B$2:$B$12170),"")</f>
        <v>1.1645494149121101</v>
      </c>
    </row>
    <row r="397" spans="1:4" ht="13.2" x14ac:dyDescent="0.25">
      <c r="A397" s="34" t="s">
        <v>11809</v>
      </c>
      <c r="C397" s="37">
        <f t="shared" si="6"/>
        <v>46082</v>
      </c>
      <c r="D397" s="35" cm="1">
        <f t="array" ref="D397">IFERROR(LOOKUP(2,1/((RIGHT($A$2:$A$12170,7)=TEXT(C397,"mm/aaaa"))*($B$2:$B$12170&lt;&gt;"")),$B$2:$B$12170),"")</f>
        <v>1.73546032644462</v>
      </c>
    </row>
    <row r="398" spans="1:4" ht="13.2" x14ac:dyDescent="0.25">
      <c r="A398" s="34" t="s">
        <v>11808</v>
      </c>
      <c r="C398" s="37">
        <f t="shared" si="6"/>
        <v>46113</v>
      </c>
      <c r="D398" s="35" cm="1">
        <f t="array" ref="D398">IFERROR(LOOKUP(2,1/((RIGHT($A$2:$A$12170,7)=TEXT(C398,"mm/aaaa"))*($B$2:$B$12170&lt;&gt;"")),$B$2:$B$12170),"")</f>
        <v>1.1421721356938801</v>
      </c>
    </row>
    <row r="399" spans="1:4" ht="13.2" x14ac:dyDescent="0.25">
      <c r="A399" s="34" t="s">
        <v>11807</v>
      </c>
      <c r="B399" s="35">
        <v>3.4391989979950899</v>
      </c>
      <c r="C399" s="37">
        <f t="shared" si="6"/>
        <v>46143</v>
      </c>
      <c r="D399" s="35" cm="1">
        <f t="array" ref="D399">IFERROR(LOOKUP(2,1/((RIGHT($A$2:$A$12170,7)=TEXT(C399,"mm/aaaa"))*($B$2:$B$12170&lt;&gt;"")),$B$2:$B$12170),"")</f>
        <v>1.0415117219722401</v>
      </c>
    </row>
    <row r="400" spans="1:4" ht="13.2" x14ac:dyDescent="0.25">
      <c r="A400" s="34" t="s">
        <v>11806</v>
      </c>
      <c r="B400" s="35">
        <v>3.51853223881976</v>
      </c>
      <c r="C400" s="37">
        <f t="shared" si="6"/>
        <v>46174</v>
      </c>
      <c r="D400" s="35" cm="1">
        <f t="array" ref="D400">IFERROR(LOOKUP(2,1/((RIGHT($A$2:$A$12170,7)=TEXT(C400,"mm/aaaa"))*($B$2:$B$12170&lt;&gt;"")),$B$2:$B$12170),"")</f>
        <v>0.89365114139022195</v>
      </c>
    </row>
    <row r="401" spans="1:4" ht="13.2" x14ac:dyDescent="0.25">
      <c r="A401" s="34" t="s">
        <v>11805</v>
      </c>
      <c r="B401" s="35">
        <v>3.68796955374177</v>
      </c>
      <c r="C401" s="37">
        <f t="shared" si="6"/>
        <v>46204</v>
      </c>
      <c r="D401" s="35" cm="1">
        <f t="array" ref="D401">IFERROR(LOOKUP(2,1/((RIGHT($A$2:$A$12170,7)=TEXT(C401,"mm/aaaa"))*($B$2:$B$12170&lt;&gt;"")),$B$2:$B$12170),"")</f>
        <v>1.2449005014501699</v>
      </c>
    </row>
    <row r="402" spans="1:4" ht="13.2" x14ac:dyDescent="0.25">
      <c r="A402" s="34" t="s">
        <v>11804</v>
      </c>
      <c r="B402" s="35">
        <v>4.0510311279018199</v>
      </c>
      <c r="C402" s="37">
        <f t="shared" si="6"/>
        <v>46235</v>
      </c>
      <c r="D402" s="35" cm="1">
        <f t="array" ref="D402">IFERROR(LOOKUP(2,1/((RIGHT($A$2:$A$12170,7)=TEXT(C402,"mm/aaaa"))*($B$2:$B$12170&lt;&gt;"")),$B$2:$B$12170),"")</f>
        <v>0.99422820791405697</v>
      </c>
    </row>
    <row r="403" spans="1:4" ht="13.2" x14ac:dyDescent="0.25">
      <c r="A403" s="34" t="s">
        <v>11803</v>
      </c>
      <c r="C403" s="37">
        <f t="shared" si="6"/>
        <v>46266</v>
      </c>
      <c r="D403" s="35" cm="1">
        <f t="array" ref="D403">IFERROR(LOOKUP(2,1/((RIGHT($A$2:$A$12170,7)=TEXT(C403,"mm/aaaa"))*($B$2:$B$12170&lt;&gt;"")),$B$2:$B$12170),"")</f>
        <v>1.00216513623299</v>
      </c>
    </row>
    <row r="404" spans="1:4" ht="13.2" x14ac:dyDescent="0.25">
      <c r="A404" s="34" t="s">
        <v>11802</v>
      </c>
    </row>
    <row r="405" spans="1:4" ht="13.2" x14ac:dyDescent="0.25">
      <c r="A405" s="34" t="s">
        <v>11801</v>
      </c>
    </row>
    <row r="406" spans="1:4" ht="13.2" x14ac:dyDescent="0.25">
      <c r="A406" s="34" t="s">
        <v>11800</v>
      </c>
      <c r="B406" s="35">
        <v>4.10088525035572</v>
      </c>
    </row>
    <row r="407" spans="1:4" ht="13.2" x14ac:dyDescent="0.25">
      <c r="A407" s="34" t="s">
        <v>11799</v>
      </c>
      <c r="B407" s="35">
        <v>3.9699101196535</v>
      </c>
    </row>
    <row r="408" spans="1:4" ht="13.2" x14ac:dyDescent="0.25">
      <c r="A408" s="34" t="s">
        <v>11798</v>
      </c>
      <c r="B408" s="35">
        <v>3.81083930418488</v>
      </c>
    </row>
    <row r="409" spans="1:4" ht="13.2" x14ac:dyDescent="0.25">
      <c r="A409" s="34" t="s">
        <v>11797</v>
      </c>
      <c r="B409" s="35">
        <v>3.8517300934965299</v>
      </c>
    </row>
    <row r="410" spans="1:4" ht="13.2" x14ac:dyDescent="0.25">
      <c r="A410" s="34" t="s">
        <v>11796</v>
      </c>
      <c r="B410" s="35">
        <v>3.71741532230486</v>
      </c>
    </row>
    <row r="411" spans="1:4" ht="13.2" x14ac:dyDescent="0.25">
      <c r="A411" s="34" t="s">
        <v>11795</v>
      </c>
    </row>
    <row r="412" spans="1:4" ht="13.2" x14ac:dyDescent="0.25">
      <c r="A412" s="34" t="s">
        <v>11794</v>
      </c>
    </row>
    <row r="413" spans="1:4" ht="13.2" x14ac:dyDescent="0.25">
      <c r="A413" s="34" t="s">
        <v>11793</v>
      </c>
      <c r="B413" s="35">
        <v>3.7300376987837698</v>
      </c>
    </row>
    <row r="414" spans="1:4" ht="13.2" x14ac:dyDescent="0.25">
      <c r="A414" s="34" t="s">
        <v>11792</v>
      </c>
      <c r="B414" s="35">
        <v>3.8023501154675898</v>
      </c>
    </row>
    <row r="415" spans="1:4" ht="13.2" x14ac:dyDescent="0.25">
      <c r="A415" s="34" t="s">
        <v>11791</v>
      </c>
      <c r="B415" s="35">
        <v>3.78250129225265</v>
      </c>
    </row>
    <row r="416" spans="1:4" ht="13.2" x14ac:dyDescent="0.25">
      <c r="A416" s="34" t="s">
        <v>11790</v>
      </c>
      <c r="B416" s="35">
        <v>3.8407173496781501</v>
      </c>
    </row>
    <row r="417" spans="1:2" ht="13.2" x14ac:dyDescent="0.25">
      <c r="A417" s="34" t="s">
        <v>11789</v>
      </c>
      <c r="B417" s="35">
        <v>3.8401233486147799</v>
      </c>
    </row>
    <row r="418" spans="1:2" ht="13.2" x14ac:dyDescent="0.25">
      <c r="A418" s="34" t="s">
        <v>11788</v>
      </c>
    </row>
    <row r="419" spans="1:2" ht="13.2" x14ac:dyDescent="0.25">
      <c r="A419" s="34" t="s">
        <v>11787</v>
      </c>
    </row>
    <row r="420" spans="1:2" ht="13.2" x14ac:dyDescent="0.25">
      <c r="A420" s="34" t="s">
        <v>11786</v>
      </c>
      <c r="B420" s="35">
        <v>3.83006433983677</v>
      </c>
    </row>
    <row r="421" spans="1:2" ht="13.2" x14ac:dyDescent="0.25">
      <c r="A421" s="34" t="s">
        <v>11785</v>
      </c>
      <c r="B421" s="35">
        <v>3.8325921015137201</v>
      </c>
    </row>
    <row r="422" spans="1:2" ht="13.2" x14ac:dyDescent="0.25">
      <c r="A422" s="34" t="s">
        <v>11784</v>
      </c>
      <c r="B422" s="35">
        <v>3.8926453698455399</v>
      </c>
    </row>
    <row r="423" spans="1:2" ht="13.2" x14ac:dyDescent="0.25">
      <c r="A423" s="34" t="s">
        <v>11783</v>
      </c>
      <c r="B423" s="35">
        <v>3.7724468244640201</v>
      </c>
    </row>
    <row r="424" spans="1:2" ht="13.2" x14ac:dyDescent="0.25">
      <c r="A424" s="34" t="s">
        <v>11782</v>
      </c>
      <c r="B424" s="35">
        <v>3.7884280100060299</v>
      </c>
    </row>
    <row r="425" spans="1:2" ht="13.2" x14ac:dyDescent="0.25">
      <c r="A425" s="34" t="s">
        <v>11781</v>
      </c>
    </row>
    <row r="426" spans="1:2" ht="13.2" x14ac:dyDescent="0.25">
      <c r="A426" s="34" t="s">
        <v>11780</v>
      </c>
    </row>
    <row r="427" spans="1:2" ht="13.2" x14ac:dyDescent="0.25">
      <c r="A427" s="34" t="s">
        <v>11779</v>
      </c>
      <c r="B427" s="35">
        <v>3.7363067495248599</v>
      </c>
    </row>
    <row r="428" spans="1:2" ht="13.2" x14ac:dyDescent="0.25">
      <c r="A428" s="34" t="s">
        <v>11778</v>
      </c>
      <c r="B428" s="35">
        <v>3.7088906083960702</v>
      </c>
    </row>
    <row r="429" spans="1:2" ht="13.2" x14ac:dyDescent="0.25">
      <c r="A429" s="34" t="s">
        <v>11777</v>
      </c>
      <c r="B429" s="35">
        <v>3.3690421493280902</v>
      </c>
    </row>
    <row r="430" spans="1:2" ht="13.2" x14ac:dyDescent="0.25">
      <c r="A430" s="34" t="s">
        <v>11776</v>
      </c>
      <c r="B430" s="35">
        <v>3.2273089674284301</v>
      </c>
    </row>
    <row r="431" spans="1:2" ht="13.2" x14ac:dyDescent="0.25">
      <c r="A431" s="34" t="s">
        <v>11775</v>
      </c>
      <c r="B431" s="35">
        <v>2.9107447586049902</v>
      </c>
    </row>
    <row r="432" spans="1:2" ht="13.2" x14ac:dyDescent="0.25">
      <c r="A432" s="34" t="s">
        <v>11774</v>
      </c>
    </row>
    <row r="433" spans="1:2" ht="13.2" x14ac:dyDescent="0.25">
      <c r="A433" s="34" t="s">
        <v>11773</v>
      </c>
    </row>
    <row r="434" spans="1:2" ht="13.2" x14ac:dyDescent="0.25">
      <c r="A434" s="34" t="s">
        <v>11772</v>
      </c>
      <c r="B434" s="35">
        <v>2.6054727562076399</v>
      </c>
    </row>
    <row r="435" spans="1:2" ht="13.2" x14ac:dyDescent="0.25">
      <c r="A435" s="34" t="s">
        <v>11771</v>
      </c>
      <c r="B435" s="35">
        <v>2.6545099005753299</v>
      </c>
    </row>
    <row r="436" spans="1:2" ht="13.2" x14ac:dyDescent="0.25">
      <c r="A436" s="34" t="s">
        <v>11770</v>
      </c>
      <c r="B436" s="35">
        <v>2.6441100747958801</v>
      </c>
    </row>
    <row r="437" spans="1:2" ht="13.2" x14ac:dyDescent="0.25">
      <c r="A437" s="34" t="s">
        <v>11769</v>
      </c>
      <c r="B437" s="35">
        <v>2.49050197073363</v>
      </c>
    </row>
    <row r="438" spans="1:2" ht="13.2" x14ac:dyDescent="0.25">
      <c r="A438" s="34" t="s">
        <v>11768</v>
      </c>
      <c r="B438" s="35">
        <v>2.4183594633446899</v>
      </c>
    </row>
    <row r="439" spans="1:2" ht="13.2" x14ac:dyDescent="0.25">
      <c r="A439" s="34" t="s">
        <v>11767</v>
      </c>
    </row>
    <row r="440" spans="1:2" ht="13.2" x14ac:dyDescent="0.25">
      <c r="A440" s="34" t="s">
        <v>11766</v>
      </c>
    </row>
    <row r="441" spans="1:2" ht="13.2" x14ac:dyDescent="0.25">
      <c r="A441" s="34" t="s">
        <v>11765</v>
      </c>
      <c r="B441" s="35">
        <v>2.3548247760167298</v>
      </c>
    </row>
    <row r="442" spans="1:2" ht="13.2" x14ac:dyDescent="0.25">
      <c r="A442" s="34" t="s">
        <v>11764</v>
      </c>
      <c r="B442" s="35">
        <v>2.3397723710393898</v>
      </c>
    </row>
    <row r="443" spans="1:2" ht="13.2" x14ac:dyDescent="0.25">
      <c r="A443" s="34" t="s">
        <v>11763</v>
      </c>
      <c r="B443" s="35">
        <v>2.2752163278079598</v>
      </c>
    </row>
    <row r="444" spans="1:2" ht="13.2" x14ac:dyDescent="0.25">
      <c r="A444" s="34" t="s">
        <v>11762</v>
      </c>
      <c r="B444" s="35">
        <v>2.2283974648095102</v>
      </c>
    </row>
    <row r="445" spans="1:2" ht="13.2" x14ac:dyDescent="0.25">
      <c r="A445" s="34" t="s">
        <v>11761</v>
      </c>
      <c r="B445" s="35">
        <v>2.0757417300691299</v>
      </c>
    </row>
    <row r="446" spans="1:2" ht="13.2" x14ac:dyDescent="0.25">
      <c r="A446" s="34" t="s">
        <v>11760</v>
      </c>
    </row>
    <row r="447" spans="1:2" ht="13.2" x14ac:dyDescent="0.25">
      <c r="A447" s="34" t="s">
        <v>11759</v>
      </c>
    </row>
    <row r="448" spans="1:2" ht="13.2" x14ac:dyDescent="0.25">
      <c r="A448" s="34" t="s">
        <v>11758</v>
      </c>
      <c r="B448" s="35">
        <v>2.0974216423906999</v>
      </c>
    </row>
    <row r="449" spans="1:2" ht="13.2" x14ac:dyDescent="0.25">
      <c r="A449" s="34" t="s">
        <v>11757</v>
      </c>
      <c r="B449" s="35">
        <v>2.0888804800032998</v>
      </c>
    </row>
    <row r="450" spans="1:2" ht="13.2" x14ac:dyDescent="0.25">
      <c r="A450" s="34" t="s">
        <v>11756</v>
      </c>
      <c r="B450" s="35">
        <v>1.90745430608086</v>
      </c>
    </row>
    <row r="451" spans="1:2" ht="13.2" x14ac:dyDescent="0.25">
      <c r="A451" s="34" t="s">
        <v>11755</v>
      </c>
      <c r="B451" s="35">
        <v>1.7831177524806401</v>
      </c>
    </row>
    <row r="452" spans="1:2" ht="13.2" x14ac:dyDescent="0.25">
      <c r="A452" s="34" t="s">
        <v>11754</v>
      </c>
      <c r="B452" s="35">
        <v>1.76358539058093</v>
      </c>
    </row>
    <row r="453" spans="1:2" ht="13.2" x14ac:dyDescent="0.25">
      <c r="A453" s="34" t="s">
        <v>11753</v>
      </c>
    </row>
    <row r="454" spans="1:2" ht="13.2" x14ac:dyDescent="0.25">
      <c r="A454" s="34" t="s">
        <v>11752</v>
      </c>
    </row>
    <row r="455" spans="1:2" ht="13.2" x14ac:dyDescent="0.25">
      <c r="A455" s="34" t="s">
        <v>11751</v>
      </c>
      <c r="B455" s="35">
        <v>1.8625272504361701</v>
      </c>
    </row>
    <row r="456" spans="1:2" ht="13.2" x14ac:dyDescent="0.25">
      <c r="A456" s="34" t="s">
        <v>11750</v>
      </c>
      <c r="B456" s="35">
        <v>1.9552251716759701</v>
      </c>
    </row>
    <row r="457" spans="1:2" ht="13.2" x14ac:dyDescent="0.25">
      <c r="A457" s="34" t="s">
        <v>11749</v>
      </c>
      <c r="B457" s="35">
        <v>2.0659033937363902</v>
      </c>
    </row>
    <row r="458" spans="1:2" ht="13.2" x14ac:dyDescent="0.25">
      <c r="A458" s="34" t="s">
        <v>11748</v>
      </c>
      <c r="B458" s="35">
        <v>2.0923085742395702</v>
      </c>
    </row>
    <row r="459" spans="1:2" ht="13.2" x14ac:dyDescent="0.25">
      <c r="A459" s="34" t="s">
        <v>11747</v>
      </c>
      <c r="B459" s="35">
        <v>2.2313999896824401</v>
      </c>
    </row>
    <row r="460" spans="1:2" ht="13.2" x14ac:dyDescent="0.25">
      <c r="A460" s="34" t="s">
        <v>11746</v>
      </c>
    </row>
    <row r="461" spans="1:2" ht="13.2" x14ac:dyDescent="0.25">
      <c r="A461" s="34" t="s">
        <v>11745</v>
      </c>
    </row>
    <row r="462" spans="1:2" ht="13.2" x14ac:dyDescent="0.25">
      <c r="A462" s="34" t="s">
        <v>11744</v>
      </c>
      <c r="B462" s="35">
        <v>2.1817969018418299</v>
      </c>
    </row>
    <row r="463" spans="1:2" ht="13.2" x14ac:dyDescent="0.25">
      <c r="A463" s="34" t="s">
        <v>11743</v>
      </c>
      <c r="B463" s="35">
        <v>2.1171585471872998</v>
      </c>
    </row>
    <row r="464" spans="1:2" ht="13.2" x14ac:dyDescent="0.25">
      <c r="A464" s="34" t="s">
        <v>11742</v>
      </c>
      <c r="B464" s="35">
        <v>2.0852279924829</v>
      </c>
    </row>
    <row r="465" spans="1:2" ht="13.2" x14ac:dyDescent="0.25">
      <c r="A465" s="34" t="s">
        <v>11741</v>
      </c>
      <c r="B465" s="35">
        <v>2.0879715422396701</v>
      </c>
    </row>
    <row r="466" spans="1:2" ht="13.2" x14ac:dyDescent="0.25">
      <c r="A466" s="34" t="s">
        <v>11740</v>
      </c>
      <c r="B466" s="35">
        <v>2.109415209067</v>
      </c>
    </row>
    <row r="467" spans="1:2" ht="13.2" x14ac:dyDescent="0.25">
      <c r="A467" s="34" t="s">
        <v>11739</v>
      </c>
    </row>
    <row r="468" spans="1:2" ht="13.2" x14ac:dyDescent="0.25">
      <c r="A468" s="34" t="s">
        <v>11738</v>
      </c>
    </row>
    <row r="469" spans="1:2" ht="13.2" x14ac:dyDescent="0.25">
      <c r="A469" s="34" t="s">
        <v>11737</v>
      </c>
      <c r="B469" s="35">
        <v>3.34367230861631</v>
      </c>
    </row>
    <row r="470" spans="1:2" ht="13.2" x14ac:dyDescent="0.25">
      <c r="A470" s="34" t="s">
        <v>11736</v>
      </c>
      <c r="B470" s="35">
        <v>3.3969993294394101</v>
      </c>
    </row>
    <row r="471" spans="1:2" ht="13.2" x14ac:dyDescent="0.25">
      <c r="A471" s="34" t="s">
        <v>11735</v>
      </c>
    </row>
    <row r="472" spans="1:2" ht="13.2" x14ac:dyDescent="0.25">
      <c r="A472" s="34" t="s">
        <v>11734</v>
      </c>
      <c r="B472" s="35">
        <v>3.5669444633808598</v>
      </c>
    </row>
    <row r="473" spans="1:2" ht="13.2" x14ac:dyDescent="0.25">
      <c r="A473" s="34" t="s">
        <v>11733</v>
      </c>
      <c r="B473" s="35">
        <v>3.5493218162901998</v>
      </c>
    </row>
    <row r="474" spans="1:2" ht="13.2" x14ac:dyDescent="0.25">
      <c r="A474" s="34" t="s">
        <v>11732</v>
      </c>
    </row>
    <row r="475" spans="1:2" ht="13.2" x14ac:dyDescent="0.25">
      <c r="A475" s="34" t="s">
        <v>11731</v>
      </c>
    </row>
    <row r="476" spans="1:2" ht="13.2" x14ac:dyDescent="0.25">
      <c r="A476" s="34" t="s">
        <v>11730</v>
      </c>
      <c r="B476" s="35">
        <v>3.5501068843257801</v>
      </c>
    </row>
    <row r="477" spans="1:2" ht="13.2" x14ac:dyDescent="0.25">
      <c r="A477" s="34" t="s">
        <v>11729</v>
      </c>
      <c r="B477" s="35">
        <v>3.5509941915021499</v>
      </c>
    </row>
    <row r="478" spans="1:2" ht="13.2" x14ac:dyDescent="0.25">
      <c r="A478" s="34" t="s">
        <v>11728</v>
      </c>
      <c r="B478" s="35">
        <v>3.5522956760725699</v>
      </c>
    </row>
    <row r="479" spans="1:2" ht="13.2" x14ac:dyDescent="0.25">
      <c r="A479" s="34" t="s">
        <v>11727</v>
      </c>
      <c r="B479" s="35">
        <v>3.6597708167321801</v>
      </c>
    </row>
    <row r="480" spans="1:2" ht="13.2" x14ac:dyDescent="0.25">
      <c r="A480" s="34" t="s">
        <v>11726</v>
      </c>
      <c r="B480" s="35">
        <v>3.5365885352977098</v>
      </c>
    </row>
    <row r="481" spans="1:2" ht="13.2" x14ac:dyDescent="0.25">
      <c r="A481" s="34" t="s">
        <v>11725</v>
      </c>
    </row>
    <row r="482" spans="1:2" ht="13.2" x14ac:dyDescent="0.25">
      <c r="A482" s="34" t="s">
        <v>11724</v>
      </c>
    </row>
    <row r="483" spans="1:2" ht="13.2" x14ac:dyDescent="0.25">
      <c r="A483" s="34" t="s">
        <v>11723</v>
      </c>
      <c r="B483" s="35">
        <v>3.5317694075428001</v>
      </c>
    </row>
    <row r="484" spans="1:2" ht="13.2" x14ac:dyDescent="0.25">
      <c r="A484" s="34" t="s">
        <v>11722</v>
      </c>
      <c r="B484" s="35">
        <v>3.54009477282451</v>
      </c>
    </row>
    <row r="485" spans="1:2" ht="13.2" x14ac:dyDescent="0.25">
      <c r="A485" s="34" t="s">
        <v>11721</v>
      </c>
      <c r="B485" s="35">
        <v>3.4237842284650402</v>
      </c>
    </row>
    <row r="486" spans="1:2" ht="13.2" x14ac:dyDescent="0.25">
      <c r="A486" s="34" t="s">
        <v>11720</v>
      </c>
      <c r="B486" s="35">
        <v>3.4267864710654101</v>
      </c>
    </row>
    <row r="487" spans="1:2" ht="13.2" x14ac:dyDescent="0.25">
      <c r="A487" s="34" t="s">
        <v>11719</v>
      </c>
      <c r="B487" s="35">
        <v>3.4041986642498299</v>
      </c>
    </row>
    <row r="488" spans="1:2" ht="13.2" x14ac:dyDescent="0.25">
      <c r="A488" s="34" t="s">
        <v>11718</v>
      </c>
    </row>
    <row r="489" spans="1:2" ht="13.2" x14ac:dyDescent="0.25">
      <c r="A489" s="34" t="s">
        <v>11717</v>
      </c>
    </row>
    <row r="490" spans="1:2" ht="13.2" x14ac:dyDescent="0.25">
      <c r="A490" s="34" t="s">
        <v>11716</v>
      </c>
      <c r="B490" s="35">
        <v>3.4440536534011299</v>
      </c>
    </row>
    <row r="491" spans="1:2" ht="13.2" x14ac:dyDescent="0.25">
      <c r="A491" s="34" t="s">
        <v>11715</v>
      </c>
      <c r="B491" s="35">
        <v>3.3995613750929499</v>
      </c>
    </row>
    <row r="492" spans="1:2" ht="13.2" x14ac:dyDescent="0.25">
      <c r="A492" s="34" t="s">
        <v>11714</v>
      </c>
      <c r="B492" s="35">
        <v>3.3773519762876298</v>
      </c>
    </row>
    <row r="493" spans="1:2" ht="13.2" x14ac:dyDescent="0.25">
      <c r="A493" s="34" t="s">
        <v>11713</v>
      </c>
      <c r="B493" s="35">
        <v>3.4388866341244801</v>
      </c>
    </row>
    <row r="494" spans="1:2" ht="13.2" x14ac:dyDescent="0.25">
      <c r="A494" s="34" t="s">
        <v>11712</v>
      </c>
      <c r="B494" s="35">
        <v>3.4343090542706798</v>
      </c>
    </row>
    <row r="495" spans="1:2" ht="13.2" x14ac:dyDescent="0.25">
      <c r="A495" s="34" t="s">
        <v>11711</v>
      </c>
    </row>
    <row r="496" spans="1:2" ht="13.2" x14ac:dyDescent="0.25">
      <c r="A496" s="34" t="s">
        <v>11710</v>
      </c>
    </row>
    <row r="497" spans="1:2" ht="13.2" x14ac:dyDescent="0.25">
      <c r="A497" s="34" t="s">
        <v>11709</v>
      </c>
    </row>
    <row r="498" spans="1:2" ht="13.2" x14ac:dyDescent="0.25">
      <c r="A498" s="34" t="s">
        <v>11708</v>
      </c>
      <c r="B498" s="35">
        <v>3.46197264934478</v>
      </c>
    </row>
    <row r="499" spans="1:2" ht="13.2" x14ac:dyDescent="0.25">
      <c r="A499" s="34" t="s">
        <v>11707</v>
      </c>
      <c r="B499" s="35">
        <v>3.5199163939910298</v>
      </c>
    </row>
    <row r="500" spans="1:2" ht="13.2" x14ac:dyDescent="0.25">
      <c r="A500" s="34" t="s">
        <v>11706</v>
      </c>
      <c r="B500" s="35">
        <v>2.6317295831850198</v>
      </c>
    </row>
    <row r="501" spans="1:2" ht="13.2" x14ac:dyDescent="0.25">
      <c r="A501" s="34" t="s">
        <v>11705</v>
      </c>
      <c r="B501" s="35">
        <v>2.5396582397437499</v>
      </c>
    </row>
    <row r="502" spans="1:2" ht="13.2" x14ac:dyDescent="0.25">
      <c r="A502" s="34" t="s">
        <v>11704</v>
      </c>
    </row>
    <row r="503" spans="1:2" ht="13.2" x14ac:dyDescent="0.25">
      <c r="A503" s="34" t="s">
        <v>11703</v>
      </c>
    </row>
    <row r="504" spans="1:2" ht="13.2" x14ac:dyDescent="0.25">
      <c r="A504" s="34" t="s">
        <v>11702</v>
      </c>
      <c r="B504" s="35">
        <v>2.3186162996922399</v>
      </c>
    </row>
    <row r="505" spans="1:2" ht="13.2" x14ac:dyDescent="0.25">
      <c r="A505" s="34" t="s">
        <v>11701</v>
      </c>
      <c r="B505" s="35">
        <v>2.31969452693997</v>
      </c>
    </row>
    <row r="506" spans="1:2" ht="13.2" x14ac:dyDescent="0.25">
      <c r="A506" s="34" t="s">
        <v>11700</v>
      </c>
    </row>
    <row r="507" spans="1:2" ht="13.2" x14ac:dyDescent="0.25">
      <c r="A507" s="34" t="s">
        <v>11699</v>
      </c>
      <c r="B507" s="35">
        <v>2.1996232239801898</v>
      </c>
    </row>
    <row r="508" spans="1:2" ht="13.2" x14ac:dyDescent="0.25">
      <c r="A508" s="34" t="s">
        <v>11698</v>
      </c>
      <c r="B508" s="35">
        <v>2.2284054344177302</v>
      </c>
    </row>
    <row r="509" spans="1:2" ht="13.2" x14ac:dyDescent="0.25">
      <c r="A509" s="34" t="s">
        <v>11697</v>
      </c>
    </row>
    <row r="510" spans="1:2" ht="13.2" x14ac:dyDescent="0.25">
      <c r="A510" s="34" t="s">
        <v>11696</v>
      </c>
    </row>
    <row r="511" spans="1:2" ht="13.2" x14ac:dyDescent="0.25">
      <c r="A511" s="34" t="s">
        <v>11695</v>
      </c>
      <c r="B511" s="35">
        <v>2.2301409746434602</v>
      </c>
    </row>
    <row r="512" spans="1:2" ht="13.2" x14ac:dyDescent="0.25">
      <c r="A512" s="34" t="s">
        <v>11694</v>
      </c>
      <c r="B512" s="35">
        <v>2.23487190549801</v>
      </c>
    </row>
    <row r="513" spans="1:2" ht="13.2" x14ac:dyDescent="0.25">
      <c r="A513" s="34" t="s">
        <v>11693</v>
      </c>
      <c r="B513" s="35">
        <v>2.3112539661729499</v>
      </c>
    </row>
    <row r="514" spans="1:2" ht="13.2" x14ac:dyDescent="0.25">
      <c r="A514" s="34" t="s">
        <v>11692</v>
      </c>
      <c r="B514" s="35">
        <v>2.3091019950151401</v>
      </c>
    </row>
    <row r="515" spans="1:2" ht="13.2" x14ac:dyDescent="0.25">
      <c r="A515" s="34" t="s">
        <v>11691</v>
      </c>
      <c r="B515" s="35">
        <v>2.3730114492491099</v>
      </c>
    </row>
    <row r="516" spans="1:2" ht="13.2" x14ac:dyDescent="0.25">
      <c r="A516" s="34" t="s">
        <v>11690</v>
      </c>
    </row>
    <row r="517" spans="1:2" ht="13.2" x14ac:dyDescent="0.25">
      <c r="A517" s="34" t="s">
        <v>11689</v>
      </c>
    </row>
    <row r="518" spans="1:2" ht="13.2" x14ac:dyDescent="0.25">
      <c r="A518" s="34" t="s">
        <v>11688</v>
      </c>
      <c r="B518" s="35">
        <v>2.4405468097103</v>
      </c>
    </row>
    <row r="519" spans="1:2" ht="13.2" x14ac:dyDescent="0.25">
      <c r="A519" s="34" t="s">
        <v>11687</v>
      </c>
      <c r="B519" s="35">
        <v>2.6594032007967998</v>
      </c>
    </row>
    <row r="520" spans="1:2" ht="13.2" x14ac:dyDescent="0.25">
      <c r="A520" s="34" t="s">
        <v>11686</v>
      </c>
      <c r="B520" s="35">
        <v>2.73448444209198</v>
      </c>
    </row>
    <row r="521" spans="1:2" ht="13.2" x14ac:dyDescent="0.25">
      <c r="A521" s="34" t="s">
        <v>11685</v>
      </c>
      <c r="B521" s="35">
        <v>2.6807676813467798</v>
      </c>
    </row>
    <row r="522" spans="1:2" ht="13.2" x14ac:dyDescent="0.25">
      <c r="A522" s="34" t="s">
        <v>11684</v>
      </c>
      <c r="B522" s="35">
        <v>2.9014713921222</v>
      </c>
    </row>
    <row r="523" spans="1:2" ht="13.2" x14ac:dyDescent="0.25">
      <c r="A523" s="34" t="s">
        <v>11683</v>
      </c>
    </row>
    <row r="524" spans="1:2" ht="13.2" x14ac:dyDescent="0.25">
      <c r="A524" s="34" t="s">
        <v>11682</v>
      </c>
    </row>
    <row r="525" spans="1:2" ht="13.2" x14ac:dyDescent="0.25">
      <c r="A525" s="34" t="s">
        <v>11681</v>
      </c>
      <c r="B525" s="35">
        <v>2.9277644601174</v>
      </c>
    </row>
    <row r="526" spans="1:2" ht="13.2" x14ac:dyDescent="0.25">
      <c r="A526" s="34" t="s">
        <v>11680</v>
      </c>
      <c r="B526" s="35">
        <v>2.8299013719967099</v>
      </c>
    </row>
    <row r="527" spans="1:2" ht="13.2" x14ac:dyDescent="0.25">
      <c r="A527" s="34" t="s">
        <v>11679</v>
      </c>
    </row>
    <row r="528" spans="1:2" ht="13.2" x14ac:dyDescent="0.25">
      <c r="A528" s="34" t="s">
        <v>11678</v>
      </c>
      <c r="B528" s="35">
        <v>2.9075738425823698</v>
      </c>
    </row>
    <row r="529" spans="1:2" ht="13.2" x14ac:dyDescent="0.25">
      <c r="A529" s="34" t="s">
        <v>11677</v>
      </c>
      <c r="B529" s="35">
        <v>3.0268029895552599</v>
      </c>
    </row>
    <row r="530" spans="1:2" ht="13.2" x14ac:dyDescent="0.25">
      <c r="A530" s="34" t="s">
        <v>11676</v>
      </c>
    </row>
    <row r="531" spans="1:2" ht="13.2" x14ac:dyDescent="0.25">
      <c r="A531" s="34" t="s">
        <v>11675</v>
      </c>
    </row>
    <row r="532" spans="1:2" ht="13.2" x14ac:dyDescent="0.25">
      <c r="A532" s="34" t="s">
        <v>11674</v>
      </c>
      <c r="B532" s="35">
        <v>3.06627682465259</v>
      </c>
    </row>
    <row r="533" spans="1:2" ht="13.2" x14ac:dyDescent="0.25">
      <c r="A533" s="34" t="s">
        <v>11673</v>
      </c>
      <c r="B533" s="35">
        <v>2.9695649544417799</v>
      </c>
    </row>
    <row r="534" spans="1:2" ht="13.2" x14ac:dyDescent="0.25">
      <c r="A534" s="34" t="s">
        <v>11672</v>
      </c>
      <c r="B534" s="35">
        <v>2.9776872279779099</v>
      </c>
    </row>
    <row r="535" spans="1:2" ht="13.2" x14ac:dyDescent="0.25">
      <c r="A535" s="34" t="s">
        <v>11671</v>
      </c>
      <c r="B535" s="35">
        <v>2.9343764678917301</v>
      </c>
    </row>
    <row r="536" spans="1:2" ht="13.2" x14ac:dyDescent="0.25">
      <c r="A536" s="34" t="s">
        <v>11670</v>
      </c>
      <c r="B536" s="35">
        <v>2.9013203424682201</v>
      </c>
    </row>
    <row r="537" spans="1:2" ht="13.2" x14ac:dyDescent="0.25">
      <c r="A537" s="34" t="s">
        <v>11669</v>
      </c>
    </row>
    <row r="538" spans="1:2" ht="13.2" x14ac:dyDescent="0.25">
      <c r="A538" s="34" t="s">
        <v>11668</v>
      </c>
    </row>
    <row r="539" spans="1:2" ht="13.2" x14ac:dyDescent="0.25">
      <c r="A539" s="34" t="s">
        <v>11667</v>
      </c>
      <c r="B539" s="35">
        <v>2.9002454126431401</v>
      </c>
    </row>
    <row r="540" spans="1:2" ht="13.2" x14ac:dyDescent="0.25">
      <c r="A540" s="34" t="s">
        <v>11666</v>
      </c>
    </row>
    <row r="541" spans="1:2" ht="13.2" x14ac:dyDescent="0.25">
      <c r="A541" s="34" t="s">
        <v>11665</v>
      </c>
      <c r="B541" s="35">
        <v>2.8573661880116399</v>
      </c>
    </row>
    <row r="542" spans="1:2" ht="13.2" x14ac:dyDescent="0.25">
      <c r="A542" s="34" t="s">
        <v>11664</v>
      </c>
      <c r="B542" s="35">
        <v>2.89892729768223</v>
      </c>
    </row>
    <row r="543" spans="1:2" ht="13.2" x14ac:dyDescent="0.25">
      <c r="A543" s="34" t="s">
        <v>11663</v>
      </c>
      <c r="B543" s="35">
        <v>2.9332505401775499</v>
      </c>
    </row>
    <row r="544" spans="1:2" ht="13.2" x14ac:dyDescent="0.25">
      <c r="A544" s="34" t="s">
        <v>11662</v>
      </c>
    </row>
    <row r="545" spans="1:2" ht="13.2" x14ac:dyDescent="0.25">
      <c r="A545" s="34" t="s">
        <v>11661</v>
      </c>
    </row>
    <row r="546" spans="1:2" ht="13.2" x14ac:dyDescent="0.25">
      <c r="A546" s="34" t="s">
        <v>11660</v>
      </c>
      <c r="B546" s="35">
        <v>3.0517053671807499</v>
      </c>
    </row>
    <row r="547" spans="1:2" ht="13.2" x14ac:dyDescent="0.25">
      <c r="A547" s="34" t="s">
        <v>11659</v>
      </c>
      <c r="B547" s="35">
        <v>3.0521153375021401</v>
      </c>
    </row>
    <row r="548" spans="1:2" ht="13.2" x14ac:dyDescent="0.25">
      <c r="A548" s="34" t="s">
        <v>11658</v>
      </c>
      <c r="B548" s="35">
        <v>2.99829629450196</v>
      </c>
    </row>
    <row r="549" spans="1:2" ht="13.2" x14ac:dyDescent="0.25">
      <c r="A549" s="34" t="s">
        <v>11657</v>
      </c>
      <c r="B549" s="35">
        <v>2.9281174834240198</v>
      </c>
    </row>
    <row r="550" spans="1:2" ht="13.2" x14ac:dyDescent="0.25">
      <c r="A550" s="34" t="s">
        <v>11656</v>
      </c>
      <c r="B550" s="35">
        <v>2.89211306650063</v>
      </c>
    </row>
    <row r="551" spans="1:2" ht="13.2" x14ac:dyDescent="0.25">
      <c r="A551" s="34" t="s">
        <v>11655</v>
      </c>
    </row>
    <row r="552" spans="1:2" ht="13.2" x14ac:dyDescent="0.25">
      <c r="A552" s="34" t="s">
        <v>11654</v>
      </c>
    </row>
    <row r="553" spans="1:2" ht="13.2" x14ac:dyDescent="0.25">
      <c r="A553" s="34" t="s">
        <v>11653</v>
      </c>
      <c r="B553" s="35">
        <v>2.82247412752863</v>
      </c>
    </row>
    <row r="554" spans="1:2" ht="13.2" x14ac:dyDescent="0.25">
      <c r="A554" s="34" t="s">
        <v>11652</v>
      </c>
      <c r="B554" s="35">
        <v>3.13364360917805</v>
      </c>
    </row>
    <row r="555" spans="1:2" ht="13.2" x14ac:dyDescent="0.25">
      <c r="A555" s="34" t="s">
        <v>11651</v>
      </c>
      <c r="B555" s="35">
        <v>2.9493352455202402</v>
      </c>
    </row>
    <row r="556" spans="1:2" ht="13.2" x14ac:dyDescent="0.25">
      <c r="A556" s="34" t="s">
        <v>11650</v>
      </c>
      <c r="B556" s="35">
        <v>2.8977699697542398</v>
      </c>
    </row>
    <row r="557" spans="1:2" ht="13.2" x14ac:dyDescent="0.25">
      <c r="A557" s="34" t="s">
        <v>11649</v>
      </c>
      <c r="B557" s="35">
        <v>2.9255865679895798</v>
      </c>
    </row>
    <row r="558" spans="1:2" ht="13.2" x14ac:dyDescent="0.25">
      <c r="A558" s="34" t="s">
        <v>11648</v>
      </c>
    </row>
    <row r="559" spans="1:2" ht="13.2" x14ac:dyDescent="0.25">
      <c r="A559" s="34" t="s">
        <v>11647</v>
      </c>
    </row>
    <row r="560" spans="1:2" ht="13.2" x14ac:dyDescent="0.25">
      <c r="A560" s="34" t="s">
        <v>11646</v>
      </c>
      <c r="B560" s="35">
        <v>2.8224769447646998</v>
      </c>
    </row>
    <row r="561" spans="1:2" ht="13.2" x14ac:dyDescent="0.25">
      <c r="A561" s="34" t="s">
        <v>11645</v>
      </c>
      <c r="B561" s="35">
        <v>2.7305544251737701</v>
      </c>
    </row>
    <row r="562" spans="1:2" ht="13.2" x14ac:dyDescent="0.25">
      <c r="A562" s="34" t="s">
        <v>11644</v>
      </c>
      <c r="B562" s="35">
        <v>2.6422675131948701</v>
      </c>
    </row>
    <row r="563" spans="1:2" ht="13.2" x14ac:dyDescent="0.25">
      <c r="A563" s="34" t="s">
        <v>11643</v>
      </c>
      <c r="B563" s="35">
        <v>2.7721558285355599</v>
      </c>
    </row>
    <row r="564" spans="1:2" ht="13.2" x14ac:dyDescent="0.25">
      <c r="A564" s="34" t="s">
        <v>11642</v>
      </c>
      <c r="B564" s="35">
        <v>2.7322295891763302</v>
      </c>
    </row>
    <row r="565" spans="1:2" ht="13.2" x14ac:dyDescent="0.25">
      <c r="A565" s="34" t="s">
        <v>11641</v>
      </c>
    </row>
    <row r="566" spans="1:2" ht="13.2" x14ac:dyDescent="0.25">
      <c r="A566" s="34" t="s">
        <v>11640</v>
      </c>
    </row>
    <row r="567" spans="1:2" ht="13.2" x14ac:dyDescent="0.25">
      <c r="A567" s="34" t="s">
        <v>11639</v>
      </c>
      <c r="B567" s="35">
        <v>2.7143046993897602</v>
      </c>
    </row>
    <row r="568" spans="1:2" ht="13.2" x14ac:dyDescent="0.25">
      <c r="A568" s="34" t="s">
        <v>11638</v>
      </c>
      <c r="B568" s="35">
        <v>2.7134539450732</v>
      </c>
    </row>
    <row r="569" spans="1:2" ht="13.2" x14ac:dyDescent="0.25">
      <c r="A569" s="34" t="s">
        <v>11637</v>
      </c>
      <c r="B569" s="35">
        <v>2.7915171494590498</v>
      </c>
    </row>
    <row r="570" spans="1:2" ht="13.2" x14ac:dyDescent="0.25">
      <c r="A570" s="34" t="s">
        <v>11636</v>
      </c>
      <c r="B570" s="35">
        <v>2.8481213444611502</v>
      </c>
    </row>
    <row r="571" spans="1:2" ht="13.2" x14ac:dyDescent="0.25">
      <c r="A571" s="34" t="s">
        <v>11635</v>
      </c>
      <c r="B571" s="35">
        <v>2.8236590303550599</v>
      </c>
    </row>
    <row r="572" spans="1:2" ht="13.2" x14ac:dyDescent="0.25">
      <c r="A572" s="34" t="s">
        <v>11634</v>
      </c>
    </row>
    <row r="573" spans="1:2" ht="13.2" x14ac:dyDescent="0.25">
      <c r="A573" s="34" t="s">
        <v>11633</v>
      </c>
    </row>
    <row r="574" spans="1:2" ht="13.2" x14ac:dyDescent="0.25">
      <c r="A574" s="34" t="s">
        <v>11632</v>
      </c>
      <c r="B574" s="35">
        <v>2.71375265809748</v>
      </c>
    </row>
    <row r="575" spans="1:2" ht="13.2" x14ac:dyDescent="0.25">
      <c r="A575" s="34" t="s">
        <v>11631</v>
      </c>
      <c r="B575" s="35">
        <v>2.5265199905216398</v>
      </c>
    </row>
    <row r="576" spans="1:2" ht="13.2" x14ac:dyDescent="0.25">
      <c r="A576" s="34" t="s">
        <v>11630</v>
      </c>
      <c r="B576" s="35">
        <v>2.9376999434075</v>
      </c>
    </row>
    <row r="577" spans="1:2" ht="13.2" x14ac:dyDescent="0.25">
      <c r="A577" s="34" t="s">
        <v>11629</v>
      </c>
      <c r="B577" s="35">
        <v>3.21051470268036</v>
      </c>
    </row>
    <row r="578" spans="1:2" ht="13.2" x14ac:dyDescent="0.25">
      <c r="A578" s="34" t="s">
        <v>11628</v>
      </c>
      <c r="B578" s="35">
        <v>3.15245113451489</v>
      </c>
    </row>
    <row r="579" spans="1:2" ht="13.2" x14ac:dyDescent="0.25">
      <c r="A579" s="34" t="s">
        <v>11627</v>
      </c>
    </row>
    <row r="580" spans="1:2" ht="13.2" x14ac:dyDescent="0.25">
      <c r="A580" s="34" t="s">
        <v>11626</v>
      </c>
    </row>
    <row r="581" spans="1:2" ht="13.2" x14ac:dyDescent="0.25">
      <c r="A581" s="34" t="s">
        <v>11625</v>
      </c>
      <c r="B581" s="35">
        <v>3.06000156580542</v>
      </c>
    </row>
    <row r="582" spans="1:2" ht="13.2" x14ac:dyDescent="0.25">
      <c r="A582" s="34" t="s">
        <v>11624</v>
      </c>
      <c r="B582" s="35">
        <v>3.1693287692369498</v>
      </c>
    </row>
    <row r="583" spans="1:2" ht="13.2" x14ac:dyDescent="0.25">
      <c r="A583" s="34" t="s">
        <v>11623</v>
      </c>
      <c r="B583" s="35">
        <v>2.87285858683452</v>
      </c>
    </row>
    <row r="584" spans="1:2" ht="13.2" x14ac:dyDescent="0.25">
      <c r="A584" s="34" t="s">
        <v>11622</v>
      </c>
      <c r="B584" s="35">
        <v>3.0173709768483898</v>
      </c>
    </row>
    <row r="585" spans="1:2" ht="13.2" x14ac:dyDescent="0.25">
      <c r="A585" s="34" t="s">
        <v>11621</v>
      </c>
    </row>
    <row r="586" spans="1:2" ht="13.2" x14ac:dyDescent="0.25">
      <c r="A586" s="34" t="s">
        <v>11620</v>
      </c>
    </row>
    <row r="587" spans="1:2" ht="13.2" x14ac:dyDescent="0.25">
      <c r="A587" s="34" t="s">
        <v>11619</v>
      </c>
    </row>
    <row r="588" spans="1:2" ht="13.2" x14ac:dyDescent="0.25">
      <c r="A588" s="34" t="s">
        <v>11618</v>
      </c>
      <c r="B588" s="35">
        <v>3.0231288785535</v>
      </c>
    </row>
    <row r="589" spans="1:2" ht="13.2" x14ac:dyDescent="0.25">
      <c r="A589" s="34" t="s">
        <v>11617</v>
      </c>
      <c r="B589" s="35">
        <v>3.13657726593912</v>
      </c>
    </row>
    <row r="590" spans="1:2" ht="13.2" x14ac:dyDescent="0.25">
      <c r="A590" s="34" t="s">
        <v>11616</v>
      </c>
      <c r="B590" s="35">
        <v>3.12339508444839</v>
      </c>
    </row>
    <row r="591" spans="1:2" ht="13.2" x14ac:dyDescent="0.25">
      <c r="A591" s="34" t="s">
        <v>11615</v>
      </c>
      <c r="B591" s="35">
        <v>3.1656893803318802</v>
      </c>
    </row>
    <row r="592" spans="1:2" ht="13.2" x14ac:dyDescent="0.25">
      <c r="A592" s="34" t="s">
        <v>11614</v>
      </c>
      <c r="B592" s="35">
        <v>3.3159999215433502</v>
      </c>
    </row>
    <row r="593" spans="1:2" ht="13.2" x14ac:dyDescent="0.25">
      <c r="A593" s="34" t="s">
        <v>11613</v>
      </c>
    </row>
    <row r="594" spans="1:2" ht="13.2" x14ac:dyDescent="0.25">
      <c r="A594" s="34" t="s">
        <v>11612</v>
      </c>
    </row>
    <row r="595" spans="1:2" ht="13.2" x14ac:dyDescent="0.25">
      <c r="A595" s="34" t="s">
        <v>11611</v>
      </c>
      <c r="B595" s="35">
        <v>3.28309762064475</v>
      </c>
    </row>
    <row r="596" spans="1:2" ht="13.2" x14ac:dyDescent="0.25">
      <c r="A596" s="34" t="s">
        <v>11610</v>
      </c>
      <c r="B596" s="35">
        <v>3.8301328686070102</v>
      </c>
    </row>
    <row r="597" spans="1:2" ht="13.2" x14ac:dyDescent="0.25">
      <c r="A597" s="34" t="s">
        <v>11609</v>
      </c>
      <c r="B597" s="35">
        <v>4.2004524836911896</v>
      </c>
    </row>
    <row r="598" spans="1:2" ht="13.2" x14ac:dyDescent="0.25">
      <c r="A598" s="34" t="s">
        <v>11608</v>
      </c>
      <c r="B598" s="35">
        <v>4.8090837186413804</v>
      </c>
    </row>
    <row r="599" spans="1:2" ht="13.2" x14ac:dyDescent="0.25">
      <c r="A599" s="34" t="s">
        <v>11607</v>
      </c>
      <c r="B599" s="35">
        <v>5.0282993276001298</v>
      </c>
    </row>
    <row r="600" spans="1:2" ht="13.2" x14ac:dyDescent="0.25">
      <c r="A600" s="34" t="s">
        <v>11606</v>
      </c>
    </row>
    <row r="601" spans="1:2" ht="13.2" x14ac:dyDescent="0.25">
      <c r="A601" s="34" t="s">
        <v>11605</v>
      </c>
    </row>
    <row r="602" spans="1:2" ht="13.2" x14ac:dyDescent="0.25">
      <c r="A602" s="34" t="s">
        <v>11604</v>
      </c>
      <c r="B602" s="35">
        <v>5.0116036482548898</v>
      </c>
    </row>
    <row r="603" spans="1:2" ht="13.2" x14ac:dyDescent="0.25">
      <c r="A603" s="34" t="s">
        <v>11603</v>
      </c>
      <c r="B603" s="35">
        <v>5.0851981744592498</v>
      </c>
    </row>
    <row r="604" spans="1:2" ht="13.2" x14ac:dyDescent="0.25">
      <c r="A604" s="34" t="s">
        <v>11602</v>
      </c>
      <c r="B604" s="35">
        <v>5.1081127977486798</v>
      </c>
    </row>
    <row r="605" spans="1:2" ht="13.2" x14ac:dyDescent="0.25">
      <c r="A605" s="34" t="s">
        <v>11601</v>
      </c>
      <c r="B605" s="35">
        <v>5.2603261617497603</v>
      </c>
    </row>
    <row r="606" spans="1:2" ht="13.2" x14ac:dyDescent="0.25">
      <c r="A606" s="34" t="s">
        <v>11600</v>
      </c>
      <c r="B606" s="35">
        <v>5.1330414790498304</v>
      </c>
    </row>
    <row r="607" spans="1:2" ht="13.2" x14ac:dyDescent="0.25">
      <c r="A607" s="34" t="s">
        <v>11599</v>
      </c>
    </row>
    <row r="608" spans="1:2" ht="13.2" x14ac:dyDescent="0.25">
      <c r="A608" s="34" t="s">
        <v>11598</v>
      </c>
    </row>
    <row r="609" spans="1:2" ht="13.2" x14ac:dyDescent="0.25">
      <c r="A609" s="34" t="s">
        <v>11597</v>
      </c>
      <c r="B609" s="35">
        <v>4.9968909933334604</v>
      </c>
    </row>
    <row r="610" spans="1:2" ht="13.2" x14ac:dyDescent="0.25">
      <c r="A610" s="34" t="s">
        <v>11596</v>
      </c>
      <c r="B610" s="35">
        <v>4.96875328289648</v>
      </c>
    </row>
    <row r="611" spans="1:2" ht="13.2" x14ac:dyDescent="0.25">
      <c r="A611" s="34" t="s">
        <v>11595</v>
      </c>
    </row>
    <row r="612" spans="1:2" ht="13.2" x14ac:dyDescent="0.25">
      <c r="A612" s="34" t="s">
        <v>11594</v>
      </c>
      <c r="B612" s="35">
        <v>4.9990452307286999</v>
      </c>
    </row>
    <row r="613" spans="1:2" ht="13.2" x14ac:dyDescent="0.25">
      <c r="A613" s="34" t="s">
        <v>11593</v>
      </c>
      <c r="B613" s="35">
        <v>4.9913915664681401</v>
      </c>
    </row>
    <row r="614" spans="1:2" ht="13.2" x14ac:dyDescent="0.25">
      <c r="A614" s="34" t="s">
        <v>11592</v>
      </c>
    </row>
    <row r="615" spans="1:2" ht="13.2" x14ac:dyDescent="0.25">
      <c r="A615" s="34" t="s">
        <v>11591</v>
      </c>
    </row>
    <row r="616" spans="1:2" ht="13.2" x14ac:dyDescent="0.25">
      <c r="A616" s="34" t="s">
        <v>11590</v>
      </c>
      <c r="B616" s="35">
        <v>5.08120954760673</v>
      </c>
    </row>
    <row r="617" spans="1:2" ht="13.2" x14ac:dyDescent="0.25">
      <c r="A617" s="34" t="s">
        <v>11589</v>
      </c>
      <c r="B617" s="35">
        <v>5.3614279907724702</v>
      </c>
    </row>
    <row r="618" spans="1:2" ht="13.2" x14ac:dyDescent="0.25">
      <c r="A618" s="34" t="s">
        <v>11588</v>
      </c>
      <c r="B618" s="35">
        <v>5.4036373979597601</v>
      </c>
    </row>
    <row r="619" spans="1:2" ht="13.2" x14ac:dyDescent="0.25">
      <c r="A619" s="34" t="s">
        <v>11587</v>
      </c>
      <c r="B619" s="35">
        <v>5.3269754262313898</v>
      </c>
    </row>
    <row r="620" spans="1:2" ht="13.2" x14ac:dyDescent="0.25">
      <c r="A620" s="34" t="s">
        <v>11586</v>
      </c>
      <c r="B620" s="35">
        <v>5.2901221346007103</v>
      </c>
    </row>
    <row r="621" spans="1:2" ht="13.2" x14ac:dyDescent="0.25">
      <c r="A621" s="34" t="s">
        <v>11585</v>
      </c>
    </row>
    <row r="622" spans="1:2" ht="13.2" x14ac:dyDescent="0.25">
      <c r="A622" s="34" t="s">
        <v>11584</v>
      </c>
    </row>
    <row r="623" spans="1:2" ht="13.2" x14ac:dyDescent="0.25">
      <c r="A623" s="34" t="s">
        <v>11583</v>
      </c>
      <c r="B623" s="35">
        <v>5.3110471785196198</v>
      </c>
    </row>
    <row r="624" spans="1:2" ht="13.2" x14ac:dyDescent="0.25">
      <c r="A624" s="34" t="s">
        <v>11582</v>
      </c>
      <c r="B624" s="35">
        <v>5.3030583832741698</v>
      </c>
    </row>
    <row r="625" spans="1:2" ht="13.2" x14ac:dyDescent="0.25">
      <c r="A625" s="34" t="s">
        <v>11581</v>
      </c>
      <c r="B625" s="35">
        <v>5.1956364026756701</v>
      </c>
    </row>
    <row r="626" spans="1:2" ht="13.2" x14ac:dyDescent="0.25">
      <c r="A626" s="34" t="s">
        <v>11580</v>
      </c>
      <c r="B626" s="35">
        <v>4.7502637181832199</v>
      </c>
    </row>
    <row r="627" spans="1:2" ht="13.2" x14ac:dyDescent="0.25">
      <c r="A627" s="34" t="s">
        <v>11579</v>
      </c>
      <c r="B627" s="35">
        <v>4.5415649687208699</v>
      </c>
    </row>
    <row r="628" spans="1:2" ht="13.2" x14ac:dyDescent="0.25">
      <c r="A628" s="34" t="s">
        <v>11578</v>
      </c>
    </row>
    <row r="629" spans="1:2" ht="13.2" x14ac:dyDescent="0.25">
      <c r="A629" s="34" t="s">
        <v>11577</v>
      </c>
    </row>
    <row r="630" spans="1:2" ht="13.2" x14ac:dyDescent="0.25">
      <c r="A630" s="34" t="s">
        <v>11576</v>
      </c>
      <c r="B630" s="35">
        <v>3.9766243983627598</v>
      </c>
    </row>
    <row r="631" spans="1:2" ht="13.2" x14ac:dyDescent="0.25">
      <c r="A631" s="34" t="s">
        <v>11575</v>
      </c>
      <c r="B631" s="35">
        <v>3.62971234337842</v>
      </c>
    </row>
    <row r="632" spans="1:2" ht="13.2" x14ac:dyDescent="0.25">
      <c r="A632" s="34" t="s">
        <v>11574</v>
      </c>
      <c r="B632" s="35">
        <v>3.67808698236029</v>
      </c>
    </row>
    <row r="633" spans="1:2" ht="13.2" x14ac:dyDescent="0.25">
      <c r="A633" s="34" t="s">
        <v>11573</v>
      </c>
      <c r="B633" s="35">
        <v>3.68235760837204</v>
      </c>
    </row>
    <row r="634" spans="1:2" ht="13.2" x14ac:dyDescent="0.25">
      <c r="A634" s="34" t="s">
        <v>11572</v>
      </c>
      <c r="B634" s="35">
        <v>3.99081220229706</v>
      </c>
    </row>
    <row r="635" spans="1:2" ht="13.2" x14ac:dyDescent="0.25">
      <c r="A635" s="34" t="s">
        <v>11571</v>
      </c>
    </row>
    <row r="636" spans="1:2" ht="13.2" x14ac:dyDescent="0.25">
      <c r="A636" s="34" t="s">
        <v>11570</v>
      </c>
    </row>
    <row r="637" spans="1:2" ht="13.2" x14ac:dyDescent="0.25">
      <c r="A637" s="34" t="s">
        <v>11569</v>
      </c>
      <c r="B637" s="35">
        <v>3.7993048390493298</v>
      </c>
    </row>
    <row r="638" spans="1:2" ht="13.2" x14ac:dyDescent="0.25">
      <c r="A638" s="34" t="s">
        <v>11568</v>
      </c>
      <c r="B638" s="35">
        <v>3.88111482039759</v>
      </c>
    </row>
    <row r="639" spans="1:2" ht="13.2" x14ac:dyDescent="0.25">
      <c r="A639" s="34" t="s">
        <v>11567</v>
      </c>
      <c r="B639" s="35">
        <v>3.9829310689648598</v>
      </c>
    </row>
    <row r="640" spans="1:2" ht="13.2" x14ac:dyDescent="0.25">
      <c r="A640" s="34" t="s">
        <v>11566</v>
      </c>
      <c r="B640" s="35">
        <v>4.8000162966376099</v>
      </c>
    </row>
    <row r="641" spans="1:2" ht="13.2" x14ac:dyDescent="0.25">
      <c r="A641" s="34" t="s">
        <v>11565</v>
      </c>
      <c r="B641" s="35">
        <v>4.7830692109212203</v>
      </c>
    </row>
    <row r="642" spans="1:2" ht="13.2" x14ac:dyDescent="0.25">
      <c r="A642" s="34" t="s">
        <v>11564</v>
      </c>
    </row>
    <row r="643" spans="1:2" ht="13.2" x14ac:dyDescent="0.25">
      <c r="A643" s="34" t="s">
        <v>11563</v>
      </c>
    </row>
    <row r="644" spans="1:2" ht="13.2" x14ac:dyDescent="0.25">
      <c r="A644" s="34" t="s">
        <v>11562</v>
      </c>
    </row>
    <row r="645" spans="1:2" ht="13.2" x14ac:dyDescent="0.25">
      <c r="A645" s="34" t="s">
        <v>11561</v>
      </c>
    </row>
    <row r="646" spans="1:2" ht="13.2" x14ac:dyDescent="0.25">
      <c r="A646" s="34" t="s">
        <v>11560</v>
      </c>
    </row>
    <row r="647" spans="1:2" ht="13.2" x14ac:dyDescent="0.25">
      <c r="A647" s="34" t="s">
        <v>11559</v>
      </c>
      <c r="B647" s="35">
        <v>5.0717493999352001</v>
      </c>
    </row>
    <row r="648" spans="1:2" ht="13.2" x14ac:dyDescent="0.25">
      <c r="A648" s="34" t="s">
        <v>11558</v>
      </c>
      <c r="B648" s="35">
        <v>4.9738047963745498</v>
      </c>
    </row>
    <row r="649" spans="1:2" ht="13.2" x14ac:dyDescent="0.25">
      <c r="A649" s="34" t="s">
        <v>11557</v>
      </c>
    </row>
    <row r="650" spans="1:2" ht="13.2" x14ac:dyDescent="0.25">
      <c r="A650" s="34" t="s">
        <v>11556</v>
      </c>
    </row>
    <row r="651" spans="1:2" ht="13.2" x14ac:dyDescent="0.25">
      <c r="A651" s="34" t="s">
        <v>11555</v>
      </c>
      <c r="B651" s="35">
        <v>4.5657640526141501</v>
      </c>
    </row>
    <row r="652" spans="1:2" ht="13.2" x14ac:dyDescent="0.25">
      <c r="A652" s="34" t="s">
        <v>11554</v>
      </c>
      <c r="B652" s="35">
        <v>4.76014072001737</v>
      </c>
    </row>
    <row r="653" spans="1:2" ht="13.2" x14ac:dyDescent="0.25">
      <c r="A653" s="34" t="s">
        <v>11553</v>
      </c>
      <c r="B653" s="35">
        <v>5.0812082981773097</v>
      </c>
    </row>
    <row r="654" spans="1:2" ht="13.2" x14ac:dyDescent="0.25">
      <c r="A654" s="34" t="s">
        <v>11552</v>
      </c>
      <c r="B654" s="35">
        <v>5.2714807940064601</v>
      </c>
    </row>
    <row r="655" spans="1:2" ht="13.2" x14ac:dyDescent="0.25">
      <c r="A655" s="34" t="s">
        <v>11551</v>
      </c>
      <c r="B655" s="35">
        <v>7.7008546674747302</v>
      </c>
    </row>
    <row r="656" spans="1:2" ht="13.2" x14ac:dyDescent="0.25">
      <c r="A656" s="34" t="s">
        <v>11550</v>
      </c>
    </row>
    <row r="657" spans="1:2" ht="13.2" x14ac:dyDescent="0.25">
      <c r="A657" s="34" t="s">
        <v>11549</v>
      </c>
    </row>
    <row r="658" spans="1:2" ht="13.2" x14ac:dyDescent="0.25">
      <c r="A658" s="34" t="s">
        <v>11548</v>
      </c>
      <c r="B658" s="35">
        <v>7.6625831526126502</v>
      </c>
    </row>
    <row r="659" spans="1:2" ht="13.2" x14ac:dyDescent="0.25">
      <c r="A659" s="34" t="s">
        <v>11547</v>
      </c>
      <c r="B659" s="35">
        <v>8.2162834374245897</v>
      </c>
    </row>
    <row r="660" spans="1:2" ht="13.2" x14ac:dyDescent="0.25">
      <c r="A660" s="34" t="s">
        <v>11546</v>
      </c>
      <c r="B660" s="35">
        <v>8.18494714525972</v>
      </c>
    </row>
    <row r="661" spans="1:2" ht="13.2" x14ac:dyDescent="0.25">
      <c r="A661" s="34" t="s">
        <v>11545</v>
      </c>
      <c r="B661" s="35">
        <v>8.3223353728058704</v>
      </c>
    </row>
    <row r="662" spans="1:2" ht="13.2" x14ac:dyDescent="0.25">
      <c r="A662" s="34" t="s">
        <v>11544</v>
      </c>
      <c r="B662" s="35">
        <v>8.3937486041235303</v>
      </c>
    </row>
    <row r="663" spans="1:2" ht="13.2" x14ac:dyDescent="0.25">
      <c r="A663" s="34" t="s">
        <v>11543</v>
      </c>
    </row>
    <row r="664" spans="1:2" ht="13.2" x14ac:dyDescent="0.25">
      <c r="A664" s="34" t="s">
        <v>11542</v>
      </c>
    </row>
    <row r="665" spans="1:2" ht="13.2" x14ac:dyDescent="0.25">
      <c r="A665" s="34" t="s">
        <v>11541</v>
      </c>
      <c r="B665" s="35">
        <v>8.4049227128449093</v>
      </c>
    </row>
    <row r="666" spans="1:2" ht="13.2" x14ac:dyDescent="0.25">
      <c r="A666" s="34" t="s">
        <v>11540</v>
      </c>
      <c r="B666" s="35">
        <v>8.4382469605231591</v>
      </c>
    </row>
    <row r="667" spans="1:2" ht="13.2" x14ac:dyDescent="0.25">
      <c r="A667" s="34" t="s">
        <v>11539</v>
      </c>
      <c r="B667" s="35">
        <v>8.2919718405526499</v>
      </c>
    </row>
    <row r="668" spans="1:2" ht="13.2" x14ac:dyDescent="0.25">
      <c r="A668" s="34" t="s">
        <v>11538</v>
      </c>
      <c r="B668" s="35">
        <v>8.2684441798744999</v>
      </c>
    </row>
    <row r="669" spans="1:2" ht="13.2" x14ac:dyDescent="0.25">
      <c r="A669" s="34" t="s">
        <v>11537</v>
      </c>
      <c r="B669" s="35">
        <v>8.3670796036517601</v>
      </c>
    </row>
    <row r="670" spans="1:2" ht="13.2" x14ac:dyDescent="0.25">
      <c r="A670" s="34" t="s">
        <v>11536</v>
      </c>
    </row>
    <row r="671" spans="1:2" ht="13.2" x14ac:dyDescent="0.25">
      <c r="A671" s="34" t="s">
        <v>11535</v>
      </c>
    </row>
    <row r="672" spans="1:2" ht="13.2" x14ac:dyDescent="0.25">
      <c r="A672" s="34" t="s">
        <v>11534</v>
      </c>
      <c r="B672" s="35">
        <v>8.2361225435196896</v>
      </c>
    </row>
    <row r="673" spans="1:2" ht="13.2" x14ac:dyDescent="0.25">
      <c r="A673" s="34" t="s">
        <v>11533</v>
      </c>
      <c r="B673" s="35">
        <v>8.2783803088583703</v>
      </c>
    </row>
    <row r="674" spans="1:2" ht="13.2" x14ac:dyDescent="0.25">
      <c r="A674" s="34" t="s">
        <v>11532</v>
      </c>
      <c r="B674" s="35">
        <v>7.9139812383413304</v>
      </c>
    </row>
    <row r="675" spans="1:2" ht="13.2" x14ac:dyDescent="0.25">
      <c r="A675" s="34" t="s">
        <v>11531</v>
      </c>
      <c r="B675" s="35">
        <v>7.9190337785383003</v>
      </c>
    </row>
    <row r="676" spans="1:2" ht="13.2" x14ac:dyDescent="0.25">
      <c r="A676" s="34" t="s">
        <v>11530</v>
      </c>
      <c r="B676" s="35">
        <v>7.7365376235932803</v>
      </c>
    </row>
    <row r="677" spans="1:2" ht="13.2" x14ac:dyDescent="0.25">
      <c r="A677" s="34" t="s">
        <v>11529</v>
      </c>
    </row>
    <row r="678" spans="1:2" ht="13.2" x14ac:dyDescent="0.25">
      <c r="A678" s="34" t="s">
        <v>11528</v>
      </c>
    </row>
    <row r="679" spans="1:2" ht="13.2" x14ac:dyDescent="0.25">
      <c r="A679" s="34" t="s">
        <v>11527</v>
      </c>
      <c r="B679" s="35">
        <v>7.7623218191852699</v>
      </c>
    </row>
    <row r="680" spans="1:2" ht="13.2" x14ac:dyDescent="0.25">
      <c r="A680" s="34" t="s">
        <v>11526</v>
      </c>
      <c r="B680" s="35">
        <v>7.8876183096834502</v>
      </c>
    </row>
    <row r="681" spans="1:2" ht="13.2" x14ac:dyDescent="0.25">
      <c r="A681" s="34" t="s">
        <v>11525</v>
      </c>
      <c r="B681" s="35">
        <v>7.5776612826474903</v>
      </c>
    </row>
    <row r="682" spans="1:2" ht="13.2" x14ac:dyDescent="0.25">
      <c r="A682" s="34" t="s">
        <v>11524</v>
      </c>
      <c r="B682" s="35">
        <v>7.1421622604238904</v>
      </c>
    </row>
    <row r="683" spans="1:2" ht="13.2" x14ac:dyDescent="0.25">
      <c r="A683" s="34" t="s">
        <v>11523</v>
      </c>
      <c r="B683" s="35">
        <v>6.6846156115254498</v>
      </c>
    </row>
    <row r="684" spans="1:2" ht="13.2" x14ac:dyDescent="0.25">
      <c r="A684" s="34" t="s">
        <v>11522</v>
      </c>
    </row>
    <row r="685" spans="1:2" ht="13.2" x14ac:dyDescent="0.25">
      <c r="A685" s="34" t="s">
        <v>11521</v>
      </c>
    </row>
    <row r="686" spans="1:2" ht="13.2" x14ac:dyDescent="0.25">
      <c r="A686" s="34" t="s">
        <v>11520</v>
      </c>
      <c r="B686" s="35">
        <v>4.7359321693302601</v>
      </c>
    </row>
    <row r="687" spans="1:2" ht="13.2" x14ac:dyDescent="0.25">
      <c r="A687" s="34" t="s">
        <v>11519</v>
      </c>
      <c r="B687" s="35">
        <v>4.8032560600008702</v>
      </c>
    </row>
    <row r="688" spans="1:2" ht="13.2" x14ac:dyDescent="0.25">
      <c r="A688" s="34" t="s">
        <v>11518</v>
      </c>
      <c r="B688" s="35">
        <v>4.0009240904925596</v>
      </c>
    </row>
    <row r="689" spans="1:2" ht="13.2" x14ac:dyDescent="0.25">
      <c r="A689" s="34" t="s">
        <v>11517</v>
      </c>
    </row>
    <row r="690" spans="1:2" ht="13.2" x14ac:dyDescent="0.25">
      <c r="A690" s="34" t="s">
        <v>11516</v>
      </c>
    </row>
    <row r="691" spans="1:2" ht="13.2" x14ac:dyDescent="0.25">
      <c r="A691" s="34" t="s">
        <v>11515</v>
      </c>
    </row>
    <row r="692" spans="1:2" ht="13.2" x14ac:dyDescent="0.25">
      <c r="A692" s="34" t="s">
        <v>11514</v>
      </c>
    </row>
    <row r="693" spans="1:2" ht="13.2" x14ac:dyDescent="0.25">
      <c r="A693" s="34" t="s">
        <v>11513</v>
      </c>
      <c r="B693" s="35">
        <v>4.0054014970051997</v>
      </c>
    </row>
    <row r="694" spans="1:2" ht="13.2" x14ac:dyDescent="0.25">
      <c r="A694" s="34" t="s">
        <v>11512</v>
      </c>
      <c r="B694" s="35">
        <v>3.7720713813532498</v>
      </c>
    </row>
    <row r="695" spans="1:2" ht="13.2" x14ac:dyDescent="0.25">
      <c r="A695" s="34" t="s">
        <v>11511</v>
      </c>
      <c r="B695" s="35">
        <v>3.6667487854614902</v>
      </c>
    </row>
    <row r="696" spans="1:2" ht="13.2" x14ac:dyDescent="0.25">
      <c r="A696" s="34" t="s">
        <v>11510</v>
      </c>
      <c r="B696" s="35">
        <v>3.53534756947424</v>
      </c>
    </row>
    <row r="697" spans="1:2" ht="13.2" x14ac:dyDescent="0.25">
      <c r="A697" s="34" t="s">
        <v>11509</v>
      </c>
    </row>
    <row r="698" spans="1:2" ht="13.2" x14ac:dyDescent="0.25">
      <c r="A698" s="34" t="s">
        <v>11508</v>
      </c>
    </row>
    <row r="699" spans="1:2" ht="13.2" x14ac:dyDescent="0.25">
      <c r="A699" s="34" t="s">
        <v>11507</v>
      </c>
    </row>
    <row r="700" spans="1:2" ht="13.2" x14ac:dyDescent="0.25">
      <c r="A700" s="34" t="s">
        <v>11506</v>
      </c>
      <c r="B700" s="35">
        <v>3.4915834994973598</v>
      </c>
    </row>
    <row r="701" spans="1:2" ht="13.2" x14ac:dyDescent="0.25">
      <c r="A701" s="34" t="s">
        <v>11505</v>
      </c>
      <c r="B701" s="35">
        <v>3.6153422949277401</v>
      </c>
    </row>
    <row r="702" spans="1:2" ht="13.2" x14ac:dyDescent="0.25">
      <c r="A702" s="34" t="s">
        <v>11504</v>
      </c>
      <c r="B702" s="35">
        <v>3.56308174102326</v>
      </c>
    </row>
    <row r="703" spans="1:2" ht="13.2" x14ac:dyDescent="0.25">
      <c r="A703" s="34" t="s">
        <v>11503</v>
      </c>
      <c r="B703" s="35">
        <v>3.3153614051753602</v>
      </c>
    </row>
    <row r="704" spans="1:2" ht="13.2" x14ac:dyDescent="0.25">
      <c r="A704" s="34" t="s">
        <v>11502</v>
      </c>
      <c r="B704" s="35">
        <v>3.3338172924227001</v>
      </c>
    </row>
    <row r="705" spans="1:2" ht="13.2" x14ac:dyDescent="0.25">
      <c r="A705" s="34" t="s">
        <v>11501</v>
      </c>
    </row>
    <row r="706" spans="1:2" ht="13.2" x14ac:dyDescent="0.25">
      <c r="A706" s="34" t="s">
        <v>11500</v>
      </c>
    </row>
    <row r="707" spans="1:2" ht="13.2" x14ac:dyDescent="0.25">
      <c r="A707" s="34" t="s">
        <v>11499</v>
      </c>
    </row>
    <row r="708" spans="1:2" ht="13.2" x14ac:dyDescent="0.25">
      <c r="A708" s="34" t="s">
        <v>11498</v>
      </c>
      <c r="B708" s="35">
        <v>3.2001630279208002</v>
      </c>
    </row>
    <row r="709" spans="1:2" ht="13.2" x14ac:dyDescent="0.25">
      <c r="A709" s="34" t="s">
        <v>11497</v>
      </c>
      <c r="B709" s="35">
        <v>3.1738731484162201</v>
      </c>
    </row>
    <row r="710" spans="1:2" ht="13.2" x14ac:dyDescent="0.25">
      <c r="A710" s="34" t="s">
        <v>11496</v>
      </c>
      <c r="B710" s="35">
        <v>3.0823098868488898</v>
      </c>
    </row>
    <row r="711" spans="1:2" ht="13.2" x14ac:dyDescent="0.25">
      <c r="A711" s="34" t="s">
        <v>11495</v>
      </c>
      <c r="B711" s="35">
        <v>2.8055340698146898</v>
      </c>
    </row>
    <row r="712" spans="1:2" ht="13.2" x14ac:dyDescent="0.25">
      <c r="A712" s="34" t="s">
        <v>11494</v>
      </c>
    </row>
    <row r="713" spans="1:2" ht="13.2" x14ac:dyDescent="0.25">
      <c r="A713" s="34" t="s">
        <v>11493</v>
      </c>
    </row>
    <row r="714" spans="1:2" ht="13.2" x14ac:dyDescent="0.25">
      <c r="A714" s="34" t="s">
        <v>11492</v>
      </c>
      <c r="B714" s="35">
        <v>2.7661788058951799</v>
      </c>
    </row>
    <row r="715" spans="1:2" ht="13.2" x14ac:dyDescent="0.25">
      <c r="A715" s="34" t="s">
        <v>11491</v>
      </c>
      <c r="B715" s="35">
        <v>2.4355034439224901</v>
      </c>
    </row>
    <row r="716" spans="1:2" ht="13.2" x14ac:dyDescent="0.25">
      <c r="A716" s="34" t="s">
        <v>11490</v>
      </c>
      <c r="B716" s="35">
        <v>2.45766932110475</v>
      </c>
    </row>
    <row r="717" spans="1:2" ht="13.2" x14ac:dyDescent="0.25">
      <c r="A717" s="34" t="s">
        <v>11489</v>
      </c>
      <c r="B717" s="35">
        <v>2.5648917835309799</v>
      </c>
    </row>
    <row r="718" spans="1:2" ht="13.2" x14ac:dyDescent="0.25">
      <c r="A718" s="34" t="s">
        <v>11488</v>
      </c>
      <c r="B718" s="35">
        <v>2.4991510377982999</v>
      </c>
    </row>
    <row r="719" spans="1:2" ht="13.2" x14ac:dyDescent="0.25">
      <c r="A719" s="34" t="s">
        <v>11487</v>
      </c>
    </row>
    <row r="720" spans="1:2" ht="13.2" x14ac:dyDescent="0.25">
      <c r="A720" s="34" t="s">
        <v>11486</v>
      </c>
    </row>
    <row r="721" spans="1:2" ht="13.2" x14ac:dyDescent="0.25">
      <c r="A721" s="34" t="s">
        <v>11485</v>
      </c>
      <c r="B721" s="35">
        <v>2.4861136012560801</v>
      </c>
    </row>
    <row r="722" spans="1:2" ht="13.2" x14ac:dyDescent="0.25">
      <c r="A722" s="34" t="s">
        <v>11484</v>
      </c>
      <c r="B722" s="35">
        <v>2.37175542477878</v>
      </c>
    </row>
    <row r="723" spans="1:2" ht="13.2" x14ac:dyDescent="0.25">
      <c r="A723" s="34" t="s">
        <v>11483</v>
      </c>
      <c r="B723" s="35">
        <v>2.40473704721704</v>
      </c>
    </row>
    <row r="724" spans="1:2" ht="13.2" x14ac:dyDescent="0.25">
      <c r="A724" s="34" t="s">
        <v>11482</v>
      </c>
      <c r="B724" s="35">
        <v>2.37252924137344</v>
      </c>
    </row>
    <row r="725" spans="1:2" ht="13.2" x14ac:dyDescent="0.25">
      <c r="A725" s="34" t="s">
        <v>11481</v>
      </c>
      <c r="B725" s="35">
        <v>2.4192419118216502</v>
      </c>
    </row>
    <row r="726" spans="1:2" ht="13.2" x14ac:dyDescent="0.25">
      <c r="A726" s="34" t="s">
        <v>11480</v>
      </c>
    </row>
    <row r="727" spans="1:2" ht="13.2" x14ac:dyDescent="0.25">
      <c r="A727" s="34" t="s">
        <v>11479</v>
      </c>
    </row>
    <row r="728" spans="1:2" ht="13.2" x14ac:dyDescent="0.25">
      <c r="A728" s="34" t="s">
        <v>11478</v>
      </c>
      <c r="B728" s="35">
        <v>2.3226728113463602</v>
      </c>
    </row>
    <row r="729" spans="1:2" ht="13.2" x14ac:dyDescent="0.25">
      <c r="A729" s="34" t="s">
        <v>11477</v>
      </c>
      <c r="B729" s="35">
        <v>2.3200050984398701</v>
      </c>
    </row>
    <row r="730" spans="1:2" ht="13.2" x14ac:dyDescent="0.25">
      <c r="A730" s="34" t="s">
        <v>11476</v>
      </c>
      <c r="B730" s="35">
        <v>2.2275698905441601</v>
      </c>
    </row>
    <row r="731" spans="1:2" ht="13.2" x14ac:dyDescent="0.25">
      <c r="A731" s="34" t="s">
        <v>11475</v>
      </c>
      <c r="B731" s="35">
        <v>2.05660274990236</v>
      </c>
    </row>
    <row r="732" spans="1:2" ht="13.2" x14ac:dyDescent="0.25">
      <c r="A732" s="34" t="s">
        <v>11474</v>
      </c>
      <c r="B732" s="35">
        <v>2.0565675806802801</v>
      </c>
    </row>
    <row r="733" spans="1:2" ht="13.2" x14ac:dyDescent="0.25">
      <c r="A733" s="34" t="s">
        <v>11473</v>
      </c>
    </row>
    <row r="734" spans="1:2" ht="13.2" x14ac:dyDescent="0.25">
      <c r="A734" s="34" t="s">
        <v>11472</v>
      </c>
    </row>
    <row r="735" spans="1:2" ht="13.2" x14ac:dyDescent="0.25">
      <c r="A735" s="34" t="s">
        <v>11471</v>
      </c>
      <c r="B735" s="35">
        <v>2.0535666841255602</v>
      </c>
    </row>
    <row r="736" spans="1:2" ht="13.2" x14ac:dyDescent="0.25">
      <c r="A736" s="34" t="s">
        <v>11470</v>
      </c>
      <c r="B736" s="35">
        <v>2.3230247280763598</v>
      </c>
    </row>
    <row r="737" spans="1:2" ht="13.2" x14ac:dyDescent="0.25">
      <c r="A737" s="34" t="s">
        <v>11469</v>
      </c>
      <c r="B737" s="35">
        <v>2.3048042332216001</v>
      </c>
    </row>
    <row r="738" spans="1:2" ht="13.2" x14ac:dyDescent="0.25">
      <c r="A738" s="34" t="s">
        <v>11468</v>
      </c>
      <c r="B738" s="35">
        <v>2.2255646824077799</v>
      </c>
    </row>
    <row r="739" spans="1:2" ht="13.2" x14ac:dyDescent="0.25">
      <c r="A739" s="34" t="s">
        <v>11467</v>
      </c>
      <c r="B739" s="35">
        <v>2.4715608741878898</v>
      </c>
    </row>
    <row r="740" spans="1:2" ht="13.2" x14ac:dyDescent="0.25">
      <c r="A740" s="34" t="s">
        <v>11466</v>
      </c>
    </row>
    <row r="741" spans="1:2" ht="13.2" x14ac:dyDescent="0.25">
      <c r="A741" s="34" t="s">
        <v>11465</v>
      </c>
    </row>
    <row r="742" spans="1:2" ht="13.2" x14ac:dyDescent="0.25">
      <c r="A742" s="34" t="s">
        <v>11464</v>
      </c>
      <c r="B742" s="35">
        <v>2.5222116658159601</v>
      </c>
    </row>
    <row r="743" spans="1:2" ht="13.2" x14ac:dyDescent="0.25">
      <c r="A743" s="34" t="s">
        <v>11463</v>
      </c>
      <c r="B743" s="35">
        <v>2.5706871378673899</v>
      </c>
    </row>
    <row r="744" spans="1:2" ht="13.2" x14ac:dyDescent="0.25">
      <c r="A744" s="34" t="s">
        <v>11462</v>
      </c>
      <c r="B744" s="35">
        <v>2.51225195106979</v>
      </c>
    </row>
    <row r="745" spans="1:2" ht="13.2" x14ac:dyDescent="0.25">
      <c r="A745" s="34" t="s">
        <v>11461</v>
      </c>
      <c r="B745" s="35">
        <v>2.51538494147138</v>
      </c>
    </row>
    <row r="746" spans="1:2" ht="13.2" x14ac:dyDescent="0.25">
      <c r="A746" s="34" t="s">
        <v>11460</v>
      </c>
      <c r="B746" s="35">
        <v>2.5984616339412798</v>
      </c>
    </row>
    <row r="747" spans="1:2" ht="13.2" x14ac:dyDescent="0.25">
      <c r="A747" s="34" t="s">
        <v>11459</v>
      </c>
    </row>
    <row r="748" spans="1:2" ht="13.2" x14ac:dyDescent="0.25">
      <c r="A748" s="34" t="s">
        <v>11458</v>
      </c>
    </row>
    <row r="749" spans="1:2" ht="13.2" x14ac:dyDescent="0.25">
      <c r="A749" s="34" t="s">
        <v>11457</v>
      </c>
      <c r="B749" s="35">
        <v>2.5913061328953102</v>
      </c>
    </row>
    <row r="750" spans="1:2" ht="13.2" x14ac:dyDescent="0.25">
      <c r="A750" s="34" t="s">
        <v>11456</v>
      </c>
      <c r="B750" s="35">
        <v>2.5962541565800299</v>
      </c>
    </row>
    <row r="751" spans="1:2" ht="13.2" x14ac:dyDescent="0.25">
      <c r="A751" s="34" t="s">
        <v>11455</v>
      </c>
      <c r="B751" s="35">
        <v>2.6738136885407</v>
      </c>
    </row>
    <row r="752" spans="1:2" ht="13.2" x14ac:dyDescent="0.25">
      <c r="A752" s="34" t="s">
        <v>11454</v>
      </c>
    </row>
    <row r="753" spans="1:2" ht="13.2" x14ac:dyDescent="0.25">
      <c r="A753" s="34" t="s">
        <v>11453</v>
      </c>
      <c r="B753" s="35">
        <v>2.5793581722301502</v>
      </c>
    </row>
    <row r="754" spans="1:2" ht="13.2" x14ac:dyDescent="0.25">
      <c r="A754" s="34" t="s">
        <v>11452</v>
      </c>
    </row>
    <row r="755" spans="1:2" ht="13.2" x14ac:dyDescent="0.25">
      <c r="A755" s="34" t="s">
        <v>11451</v>
      </c>
    </row>
    <row r="756" spans="1:2" ht="13.2" x14ac:dyDescent="0.25">
      <c r="A756" s="34" t="s">
        <v>11450</v>
      </c>
      <c r="B756" s="35">
        <v>2.55969599455269</v>
      </c>
    </row>
    <row r="757" spans="1:2" ht="13.2" x14ac:dyDescent="0.25">
      <c r="A757" s="34" t="s">
        <v>11449</v>
      </c>
      <c r="B757" s="35">
        <v>2.6276860043791599</v>
      </c>
    </row>
    <row r="758" spans="1:2" ht="13.2" x14ac:dyDescent="0.25">
      <c r="A758" s="34" t="s">
        <v>11448</v>
      </c>
      <c r="B758" s="35">
        <v>2.6022877636119501</v>
      </c>
    </row>
    <row r="759" spans="1:2" ht="13.2" x14ac:dyDescent="0.25">
      <c r="A759" s="34" t="s">
        <v>11447</v>
      </c>
      <c r="B759" s="35">
        <v>2.59583323047951</v>
      </c>
    </row>
    <row r="760" spans="1:2" ht="13.2" x14ac:dyDescent="0.25">
      <c r="A760" s="34" t="s">
        <v>11446</v>
      </c>
      <c r="B760" s="35">
        <v>2.5632284332590598</v>
      </c>
    </row>
    <row r="761" spans="1:2" ht="13.2" x14ac:dyDescent="0.25">
      <c r="A761" s="34" t="s">
        <v>11445</v>
      </c>
    </row>
    <row r="762" spans="1:2" ht="13.2" x14ac:dyDescent="0.25">
      <c r="A762" s="34" t="s">
        <v>11444</v>
      </c>
    </row>
    <row r="763" spans="1:2" ht="13.2" x14ac:dyDescent="0.25">
      <c r="A763" s="34" t="s">
        <v>11443</v>
      </c>
      <c r="B763" s="35">
        <v>2.5504540386685202</v>
      </c>
    </row>
    <row r="764" spans="1:2" ht="13.2" x14ac:dyDescent="0.25">
      <c r="A764" s="34" t="s">
        <v>11442</v>
      </c>
      <c r="B764" s="35">
        <v>2.64140510954465</v>
      </c>
    </row>
    <row r="765" spans="1:2" ht="13.2" x14ac:dyDescent="0.25">
      <c r="A765" s="34" t="s">
        <v>11441</v>
      </c>
      <c r="B765" s="35">
        <v>2.6422072673183301</v>
      </c>
    </row>
    <row r="766" spans="1:2" ht="13.2" x14ac:dyDescent="0.25">
      <c r="A766" s="34" t="s">
        <v>11440</v>
      </c>
      <c r="B766" s="35">
        <v>2.4164803547459699</v>
      </c>
    </row>
    <row r="767" spans="1:2" ht="13.2" x14ac:dyDescent="0.25">
      <c r="A767" s="34" t="s">
        <v>11439</v>
      </c>
      <c r="B767" s="35">
        <v>2.4534621574734499</v>
      </c>
    </row>
    <row r="768" spans="1:2" ht="13.2" x14ac:dyDescent="0.25">
      <c r="A768" s="34" t="s">
        <v>11438</v>
      </c>
    </row>
    <row r="769" spans="1:2" ht="13.2" x14ac:dyDescent="0.25">
      <c r="A769" s="34" t="s">
        <v>11437</v>
      </c>
    </row>
    <row r="770" spans="1:2" ht="13.2" x14ac:dyDescent="0.25">
      <c r="A770" s="34" t="s">
        <v>11436</v>
      </c>
      <c r="B770" s="35">
        <v>2.4270564989118601</v>
      </c>
    </row>
    <row r="771" spans="1:2" ht="13.2" x14ac:dyDescent="0.25">
      <c r="A771" s="34" t="s">
        <v>11435</v>
      </c>
      <c r="B771" s="35">
        <v>2.1401140327722699</v>
      </c>
    </row>
    <row r="772" spans="1:2" ht="13.2" x14ac:dyDescent="0.25">
      <c r="A772" s="34" t="s">
        <v>11434</v>
      </c>
      <c r="B772" s="35">
        <v>2.10542207226288</v>
      </c>
    </row>
    <row r="773" spans="1:2" ht="13.2" x14ac:dyDescent="0.25">
      <c r="A773" s="34" t="s">
        <v>11433</v>
      </c>
      <c r="B773" s="35">
        <v>2.1473854113777202</v>
      </c>
    </row>
    <row r="774" spans="1:2" ht="13.2" x14ac:dyDescent="0.25">
      <c r="A774" s="34" t="s">
        <v>11432</v>
      </c>
      <c r="B774" s="35">
        <v>2.1738241646180301</v>
      </c>
    </row>
    <row r="775" spans="1:2" ht="13.2" x14ac:dyDescent="0.25">
      <c r="A775" s="34" t="s">
        <v>11431</v>
      </c>
    </row>
    <row r="776" spans="1:2" ht="13.2" x14ac:dyDescent="0.25">
      <c r="A776" s="34" t="s">
        <v>11430</v>
      </c>
    </row>
    <row r="777" spans="1:2" ht="13.2" x14ac:dyDescent="0.25">
      <c r="A777" s="34" t="s">
        <v>11429</v>
      </c>
      <c r="B777" s="35">
        <v>2.1745262155392</v>
      </c>
    </row>
    <row r="778" spans="1:2" ht="13.2" x14ac:dyDescent="0.25">
      <c r="A778" s="34" t="s">
        <v>11428</v>
      </c>
      <c r="B778" s="35">
        <v>2.0139911793750098</v>
      </c>
    </row>
    <row r="779" spans="1:2" ht="13.2" x14ac:dyDescent="0.25">
      <c r="A779" s="34" t="s">
        <v>11427</v>
      </c>
      <c r="B779" s="35">
        <v>2.1283238185195299</v>
      </c>
    </row>
    <row r="780" spans="1:2" ht="13.2" x14ac:dyDescent="0.25">
      <c r="A780" s="34" t="s">
        <v>11426</v>
      </c>
      <c r="B780" s="35">
        <v>2.0921536314644298</v>
      </c>
    </row>
    <row r="781" spans="1:2" ht="13.2" x14ac:dyDescent="0.25">
      <c r="A781" s="34" t="s">
        <v>11425</v>
      </c>
      <c r="B781" s="35">
        <v>1.9225095009692501</v>
      </c>
    </row>
    <row r="782" spans="1:2" ht="13.2" x14ac:dyDescent="0.25">
      <c r="A782" s="34" t="s">
        <v>11424</v>
      </c>
    </row>
    <row r="783" spans="1:2" ht="13.2" x14ac:dyDescent="0.25">
      <c r="A783" s="34" t="s">
        <v>11423</v>
      </c>
    </row>
    <row r="784" spans="1:2" ht="13.2" x14ac:dyDescent="0.25">
      <c r="A784" s="34" t="s">
        <v>11422</v>
      </c>
      <c r="B784" s="35">
        <v>1.91473179446771</v>
      </c>
    </row>
    <row r="785" spans="1:2" ht="13.2" x14ac:dyDescent="0.25">
      <c r="A785" s="34" t="s">
        <v>11421</v>
      </c>
      <c r="B785" s="35">
        <v>2.0017755758485301</v>
      </c>
    </row>
    <row r="786" spans="1:2" ht="13.2" x14ac:dyDescent="0.25">
      <c r="A786" s="34" t="s">
        <v>11420</v>
      </c>
      <c r="B786" s="35">
        <v>1.92598855451055</v>
      </c>
    </row>
    <row r="787" spans="1:2" ht="13.2" x14ac:dyDescent="0.25">
      <c r="A787" s="34" t="s">
        <v>11419</v>
      </c>
      <c r="B787" s="35">
        <v>1.9864543029647199</v>
      </c>
    </row>
    <row r="788" spans="1:2" ht="13.2" x14ac:dyDescent="0.25">
      <c r="A788" s="34" t="s">
        <v>11418</v>
      </c>
      <c r="B788" s="35">
        <v>2.0336893426523601</v>
      </c>
    </row>
    <row r="789" spans="1:2" ht="13.2" x14ac:dyDescent="0.25">
      <c r="A789" s="34" t="s">
        <v>11417</v>
      </c>
    </row>
    <row r="790" spans="1:2" ht="13.2" x14ac:dyDescent="0.25">
      <c r="A790" s="34" t="s">
        <v>11416</v>
      </c>
    </row>
    <row r="791" spans="1:2" ht="13.2" x14ac:dyDescent="0.25">
      <c r="A791" s="34" t="s">
        <v>11415</v>
      </c>
      <c r="B791" s="35">
        <v>2.0313548626935298</v>
      </c>
    </row>
    <row r="792" spans="1:2" ht="13.2" x14ac:dyDescent="0.25">
      <c r="A792" s="34" t="s">
        <v>11414</v>
      </c>
      <c r="B792" s="35">
        <v>1.9907177551103701</v>
      </c>
    </row>
    <row r="793" spans="1:2" ht="13.2" x14ac:dyDescent="0.25">
      <c r="A793" s="34" t="s">
        <v>11413</v>
      </c>
      <c r="B793" s="35">
        <v>1.89381728324915</v>
      </c>
    </row>
    <row r="794" spans="1:2" ht="13.2" x14ac:dyDescent="0.25">
      <c r="A794" s="34" t="s">
        <v>11412</v>
      </c>
      <c r="B794" s="35">
        <v>1.89709613556141</v>
      </c>
    </row>
    <row r="795" spans="1:2" ht="13.2" x14ac:dyDescent="0.25">
      <c r="A795" s="34" t="s">
        <v>11411</v>
      </c>
      <c r="B795" s="35">
        <v>1.90783418652604</v>
      </c>
    </row>
    <row r="796" spans="1:2" ht="13.2" x14ac:dyDescent="0.25">
      <c r="A796" s="34" t="s">
        <v>11410</v>
      </c>
    </row>
    <row r="797" spans="1:2" ht="13.2" x14ac:dyDescent="0.25">
      <c r="A797" s="34" t="s">
        <v>11409</v>
      </c>
    </row>
    <row r="798" spans="1:2" ht="13.2" x14ac:dyDescent="0.25">
      <c r="A798" s="34" t="s">
        <v>11408</v>
      </c>
      <c r="B798" s="35">
        <v>1.8383507068062199</v>
      </c>
    </row>
    <row r="799" spans="1:2" ht="13.2" x14ac:dyDescent="0.25">
      <c r="A799" s="34" t="s">
        <v>11407</v>
      </c>
      <c r="B799" s="35">
        <v>1.8371703096262799</v>
      </c>
    </row>
    <row r="800" spans="1:2" ht="13.2" x14ac:dyDescent="0.25">
      <c r="A800" s="34" t="s">
        <v>11406</v>
      </c>
      <c r="B800" s="35">
        <v>1.8402125003832099</v>
      </c>
    </row>
    <row r="801" spans="1:2" ht="13.2" x14ac:dyDescent="0.25">
      <c r="A801" s="34" t="s">
        <v>11405</v>
      </c>
      <c r="B801" s="35">
        <v>1.8842917724303301</v>
      </c>
    </row>
    <row r="802" spans="1:2" ht="13.2" x14ac:dyDescent="0.25">
      <c r="A802" s="34" t="s">
        <v>11404</v>
      </c>
      <c r="B802" s="35">
        <v>1.9736755587828301</v>
      </c>
    </row>
    <row r="803" spans="1:2" ht="13.2" x14ac:dyDescent="0.25">
      <c r="A803" s="34" t="s">
        <v>11403</v>
      </c>
    </row>
    <row r="804" spans="1:2" ht="13.2" x14ac:dyDescent="0.25">
      <c r="A804" s="34" t="s">
        <v>11402</v>
      </c>
    </row>
    <row r="805" spans="1:2" ht="13.2" x14ac:dyDescent="0.25">
      <c r="A805" s="34" t="s">
        <v>11401</v>
      </c>
      <c r="B805" s="35">
        <v>2.0527737948749998</v>
      </c>
    </row>
    <row r="806" spans="1:2" ht="13.2" x14ac:dyDescent="0.25">
      <c r="A806" s="34" t="s">
        <v>11400</v>
      </c>
      <c r="B806" s="35">
        <v>2.1161085166404101</v>
      </c>
    </row>
    <row r="807" spans="1:2" ht="13.2" x14ac:dyDescent="0.25">
      <c r="A807" s="34" t="s">
        <v>11399</v>
      </c>
      <c r="B807" s="35">
        <v>2.0744974268860199</v>
      </c>
    </row>
    <row r="808" spans="1:2" ht="13.2" x14ac:dyDescent="0.25">
      <c r="A808" s="34" t="s">
        <v>11398</v>
      </c>
      <c r="B808" s="35">
        <v>1.96888779995594</v>
      </c>
    </row>
    <row r="809" spans="1:2" ht="13.2" x14ac:dyDescent="0.25">
      <c r="A809" s="34" t="s">
        <v>11397</v>
      </c>
      <c r="B809" s="35">
        <v>2.1255722320234698</v>
      </c>
    </row>
    <row r="810" spans="1:2" ht="13.2" x14ac:dyDescent="0.25">
      <c r="A810" s="34" t="s">
        <v>11396</v>
      </c>
    </row>
    <row r="811" spans="1:2" ht="13.2" x14ac:dyDescent="0.25">
      <c r="A811" s="34" t="s">
        <v>11395</v>
      </c>
    </row>
    <row r="812" spans="1:2" ht="13.2" x14ac:dyDescent="0.25">
      <c r="A812" s="34" t="s">
        <v>11394</v>
      </c>
      <c r="B812" s="35">
        <v>2.2172425034707999</v>
      </c>
    </row>
    <row r="813" spans="1:2" ht="13.2" x14ac:dyDescent="0.25">
      <c r="A813" s="34" t="s">
        <v>11393</v>
      </c>
      <c r="B813" s="35">
        <v>2.2484483357806702</v>
      </c>
    </row>
    <row r="814" spans="1:2" ht="13.2" x14ac:dyDescent="0.25">
      <c r="A814" s="34" t="s">
        <v>11392</v>
      </c>
      <c r="B814" s="35">
        <v>2.1862868752283</v>
      </c>
    </row>
    <row r="815" spans="1:2" ht="13.2" x14ac:dyDescent="0.25">
      <c r="A815" s="34" t="s">
        <v>11391</v>
      </c>
      <c r="B815" s="35">
        <v>2.1000830762437901</v>
      </c>
    </row>
    <row r="816" spans="1:2" ht="13.2" x14ac:dyDescent="0.25">
      <c r="A816" s="34" t="s">
        <v>11390</v>
      </c>
      <c r="B816" s="35">
        <v>2.0304541076375302</v>
      </c>
    </row>
    <row r="817" spans="1:2" ht="13.2" x14ac:dyDescent="0.25">
      <c r="A817" s="34" t="s">
        <v>11389</v>
      </c>
    </row>
    <row r="818" spans="1:2" ht="13.2" x14ac:dyDescent="0.25">
      <c r="A818" s="34" t="s">
        <v>11388</v>
      </c>
    </row>
    <row r="819" spans="1:2" ht="13.2" x14ac:dyDescent="0.25">
      <c r="A819" s="34" t="s">
        <v>11387</v>
      </c>
      <c r="B819" s="35">
        <v>1.97312991499343</v>
      </c>
    </row>
    <row r="820" spans="1:2" ht="13.2" x14ac:dyDescent="0.25">
      <c r="A820" s="34" t="s">
        <v>11386</v>
      </c>
      <c r="B820" s="35">
        <v>1.9717682040625799</v>
      </c>
    </row>
    <row r="821" spans="1:2" ht="13.2" x14ac:dyDescent="0.25">
      <c r="A821" s="34" t="s">
        <v>11385</v>
      </c>
      <c r="B821" s="35">
        <v>2.09931915311686</v>
      </c>
    </row>
    <row r="822" spans="1:2" ht="13.2" x14ac:dyDescent="0.25">
      <c r="A822" s="34" t="s">
        <v>11384</v>
      </c>
      <c r="B822" s="35">
        <v>2.0850841681629202</v>
      </c>
    </row>
    <row r="823" spans="1:2" ht="13.2" x14ac:dyDescent="0.25">
      <c r="A823" s="34" t="s">
        <v>11383</v>
      </c>
      <c r="B823" s="35">
        <v>2.0855971798863</v>
      </c>
    </row>
    <row r="824" spans="1:2" ht="13.2" x14ac:dyDescent="0.25">
      <c r="A824" s="34" t="s">
        <v>11382</v>
      </c>
    </row>
    <row r="825" spans="1:2" ht="13.2" x14ac:dyDescent="0.25">
      <c r="A825" s="34" t="s">
        <v>11381</v>
      </c>
    </row>
    <row r="826" spans="1:2" ht="13.2" x14ac:dyDescent="0.25">
      <c r="A826" s="34" t="s">
        <v>11380</v>
      </c>
      <c r="B826" s="35">
        <v>2.06941821826087</v>
      </c>
    </row>
    <row r="827" spans="1:2" ht="13.2" x14ac:dyDescent="0.25">
      <c r="A827" s="34" t="s">
        <v>11379</v>
      </c>
      <c r="B827" s="35">
        <v>2.24093881748695</v>
      </c>
    </row>
    <row r="828" spans="1:2" ht="13.2" x14ac:dyDescent="0.25">
      <c r="A828" s="34" t="s">
        <v>11378</v>
      </c>
      <c r="B828" s="35">
        <v>2.3733754597508301</v>
      </c>
    </row>
    <row r="829" spans="1:2" ht="13.2" x14ac:dyDescent="0.25">
      <c r="A829" s="34" t="s">
        <v>11377</v>
      </c>
      <c r="B829" s="35">
        <v>2.3846738846604398</v>
      </c>
    </row>
    <row r="830" spans="1:2" ht="13.2" x14ac:dyDescent="0.25">
      <c r="A830" s="34" t="s">
        <v>11376</v>
      </c>
      <c r="B830" s="35">
        <v>2.4100068743251</v>
      </c>
    </row>
    <row r="831" spans="1:2" ht="13.2" x14ac:dyDescent="0.25">
      <c r="A831" s="34" t="s">
        <v>11375</v>
      </c>
    </row>
    <row r="832" spans="1:2" ht="13.2" x14ac:dyDescent="0.25">
      <c r="A832" s="34" t="s">
        <v>11374</v>
      </c>
    </row>
    <row r="833" spans="1:2" ht="13.2" x14ac:dyDescent="0.25">
      <c r="A833" s="34" t="s">
        <v>11373</v>
      </c>
      <c r="B833" s="35">
        <v>2.2665656672444801</v>
      </c>
    </row>
    <row r="834" spans="1:2" ht="13.2" x14ac:dyDescent="0.25">
      <c r="A834" s="34" t="s">
        <v>11372</v>
      </c>
      <c r="B834" s="35">
        <v>2.0644483176350801</v>
      </c>
    </row>
    <row r="835" spans="1:2" ht="13.2" x14ac:dyDescent="0.25">
      <c r="A835" s="34" t="s">
        <v>11371</v>
      </c>
      <c r="B835" s="35">
        <v>2.0120509678979799</v>
      </c>
    </row>
    <row r="836" spans="1:2" ht="13.2" x14ac:dyDescent="0.25">
      <c r="A836" s="34" t="s">
        <v>11370</v>
      </c>
    </row>
    <row r="837" spans="1:2" ht="13.2" x14ac:dyDescent="0.25">
      <c r="A837" s="34" t="s">
        <v>11369</v>
      </c>
      <c r="B837" s="35">
        <v>2.0055266018480702</v>
      </c>
    </row>
    <row r="838" spans="1:2" ht="13.2" x14ac:dyDescent="0.25">
      <c r="A838" s="34" t="s">
        <v>11368</v>
      </c>
    </row>
    <row r="839" spans="1:2" ht="13.2" x14ac:dyDescent="0.25">
      <c r="A839" s="34" t="s">
        <v>11367</v>
      </c>
    </row>
    <row r="840" spans="1:2" ht="13.2" x14ac:dyDescent="0.25">
      <c r="A840" s="34" t="s">
        <v>11366</v>
      </c>
      <c r="B840" s="35">
        <v>2.04365439886468</v>
      </c>
    </row>
    <row r="841" spans="1:2" ht="13.2" x14ac:dyDescent="0.25">
      <c r="A841" s="34" t="s">
        <v>11365</v>
      </c>
      <c r="B841" s="35">
        <v>1.8699351757376099</v>
      </c>
    </row>
    <row r="842" spans="1:2" ht="13.2" x14ac:dyDescent="0.25">
      <c r="A842" s="34" t="s">
        <v>11364</v>
      </c>
      <c r="B842" s="35">
        <v>1.71527872677055</v>
      </c>
    </row>
    <row r="843" spans="1:2" ht="13.2" x14ac:dyDescent="0.25">
      <c r="A843" s="34" t="s">
        <v>11363</v>
      </c>
      <c r="B843" s="35">
        <v>1.7068814490864299</v>
      </c>
    </row>
    <row r="844" spans="1:2" ht="13.2" x14ac:dyDescent="0.25">
      <c r="A844" s="34" t="s">
        <v>11362</v>
      </c>
      <c r="B844" s="35">
        <v>1.70405500506562</v>
      </c>
    </row>
    <row r="845" spans="1:2" ht="13.2" x14ac:dyDescent="0.25">
      <c r="A845" s="34" t="s">
        <v>11361</v>
      </c>
    </row>
    <row r="846" spans="1:2" ht="13.2" x14ac:dyDescent="0.25">
      <c r="A846" s="34" t="s">
        <v>11360</v>
      </c>
    </row>
    <row r="847" spans="1:2" ht="13.2" x14ac:dyDescent="0.25">
      <c r="A847" s="34" t="s">
        <v>11359</v>
      </c>
      <c r="B847" s="35">
        <v>1.7027825153889999</v>
      </c>
    </row>
    <row r="848" spans="1:2" ht="13.2" x14ac:dyDescent="0.25">
      <c r="A848" s="34" t="s">
        <v>11358</v>
      </c>
      <c r="B848" s="35">
        <v>1.7020013795453599</v>
      </c>
    </row>
    <row r="849" spans="1:2" ht="13.2" x14ac:dyDescent="0.25">
      <c r="A849" s="34" t="s">
        <v>11357</v>
      </c>
      <c r="B849" s="35">
        <v>1.7685519206035301</v>
      </c>
    </row>
    <row r="850" spans="1:2" ht="13.2" x14ac:dyDescent="0.25">
      <c r="A850" s="34" t="s">
        <v>11356</v>
      </c>
      <c r="B850" s="35">
        <v>1.8349965335787799</v>
      </c>
    </row>
    <row r="851" spans="1:2" ht="13.2" x14ac:dyDescent="0.25">
      <c r="A851" s="34" t="s">
        <v>11355</v>
      </c>
      <c r="B851" s="35">
        <v>1.6716698504379199</v>
      </c>
    </row>
    <row r="852" spans="1:2" ht="13.2" x14ac:dyDescent="0.25">
      <c r="A852" s="34" t="s">
        <v>11354</v>
      </c>
    </row>
    <row r="853" spans="1:2" ht="13.2" x14ac:dyDescent="0.25">
      <c r="A853" s="34" t="s">
        <v>11353</v>
      </c>
    </row>
    <row r="854" spans="1:2" ht="13.2" x14ac:dyDescent="0.25">
      <c r="A854" s="34" t="s">
        <v>11352</v>
      </c>
      <c r="B854" s="35">
        <v>1.7356392703588499</v>
      </c>
    </row>
    <row r="855" spans="1:2" ht="13.2" x14ac:dyDescent="0.25">
      <c r="A855" s="34" t="s">
        <v>11351</v>
      </c>
      <c r="B855" s="35">
        <v>1.74629514952739</v>
      </c>
    </row>
    <row r="856" spans="1:2" ht="13.2" x14ac:dyDescent="0.25">
      <c r="A856" s="34" t="s">
        <v>11350</v>
      </c>
      <c r="B856" s="35">
        <v>1.7262087233180099</v>
      </c>
    </row>
    <row r="857" spans="1:2" ht="13.2" x14ac:dyDescent="0.25">
      <c r="A857" s="34" t="s">
        <v>11349</v>
      </c>
      <c r="B857" s="35">
        <v>1.5469133339307699</v>
      </c>
    </row>
    <row r="858" spans="1:2" ht="13.2" x14ac:dyDescent="0.25">
      <c r="A858" s="34" t="s">
        <v>11348</v>
      </c>
      <c r="B858" s="35">
        <v>1.4126607467930801</v>
      </c>
    </row>
    <row r="859" spans="1:2" ht="13.2" x14ac:dyDescent="0.25">
      <c r="A859" s="34" t="s">
        <v>11347</v>
      </c>
    </row>
    <row r="860" spans="1:2" ht="13.2" x14ac:dyDescent="0.25">
      <c r="A860" s="34" t="s">
        <v>11346</v>
      </c>
    </row>
    <row r="861" spans="1:2" ht="13.2" x14ac:dyDescent="0.25">
      <c r="A861" s="34" t="s">
        <v>11345</v>
      </c>
      <c r="B861" s="35">
        <v>1.55539308445181</v>
      </c>
    </row>
    <row r="862" spans="1:2" ht="13.2" x14ac:dyDescent="0.25">
      <c r="A862" s="34" t="s">
        <v>11344</v>
      </c>
      <c r="B862" s="35">
        <v>1.4140260931173601</v>
      </c>
    </row>
    <row r="863" spans="1:2" ht="13.2" x14ac:dyDescent="0.25">
      <c r="A863" s="34" t="s">
        <v>11343</v>
      </c>
      <c r="B863" s="35">
        <v>1.4220264806191101</v>
      </c>
    </row>
    <row r="864" spans="1:2" ht="13.2" x14ac:dyDescent="0.25">
      <c r="A864" s="34" t="s">
        <v>11342</v>
      </c>
      <c r="B864" s="35">
        <v>1.45425103991545</v>
      </c>
    </row>
    <row r="865" spans="1:2" ht="13.2" x14ac:dyDescent="0.25">
      <c r="A865" s="34" t="s">
        <v>11341</v>
      </c>
      <c r="B865" s="35">
        <v>1.4561231848070399</v>
      </c>
    </row>
    <row r="866" spans="1:2" ht="13.2" x14ac:dyDescent="0.25">
      <c r="A866" s="34" t="s">
        <v>11340</v>
      </c>
    </row>
    <row r="867" spans="1:2" ht="13.2" x14ac:dyDescent="0.25">
      <c r="A867" s="34" t="s">
        <v>11339</v>
      </c>
    </row>
    <row r="868" spans="1:2" ht="13.2" x14ac:dyDescent="0.25">
      <c r="A868" s="34" t="s">
        <v>11338</v>
      </c>
      <c r="B868" s="35">
        <v>1.4799431729538</v>
      </c>
    </row>
    <row r="869" spans="1:2" ht="13.2" x14ac:dyDescent="0.25">
      <c r="A869" s="34" t="s">
        <v>11337</v>
      </c>
      <c r="B869" s="35">
        <v>1.3856852435978</v>
      </c>
    </row>
    <row r="870" spans="1:2" ht="13.2" x14ac:dyDescent="0.25">
      <c r="A870" s="34" t="s">
        <v>11336</v>
      </c>
      <c r="B870" s="35">
        <v>1.4308373241002299</v>
      </c>
    </row>
    <row r="871" spans="1:2" ht="13.2" x14ac:dyDescent="0.25">
      <c r="A871" s="34" t="s">
        <v>11335</v>
      </c>
    </row>
    <row r="872" spans="1:2" ht="13.2" x14ac:dyDescent="0.25">
      <c r="A872" s="34" t="s">
        <v>11334</v>
      </c>
      <c r="B872" s="35">
        <v>1.42003117429259</v>
      </c>
    </row>
    <row r="873" spans="1:2" ht="13.2" x14ac:dyDescent="0.25">
      <c r="A873" s="34" t="s">
        <v>11333</v>
      </c>
    </row>
    <row r="874" spans="1:2" ht="13.2" x14ac:dyDescent="0.25">
      <c r="A874" s="34" t="s">
        <v>11332</v>
      </c>
    </row>
    <row r="875" spans="1:2" ht="13.2" x14ac:dyDescent="0.25">
      <c r="A875" s="34" t="s">
        <v>11331</v>
      </c>
      <c r="B875" s="35">
        <v>1.38294391536364</v>
      </c>
    </row>
    <row r="876" spans="1:2" ht="13.2" x14ac:dyDescent="0.25">
      <c r="A876" s="34" t="s">
        <v>11330</v>
      </c>
      <c r="B876" s="35">
        <v>1.43913060812628</v>
      </c>
    </row>
    <row r="877" spans="1:2" ht="13.2" x14ac:dyDescent="0.25">
      <c r="A877" s="34" t="s">
        <v>11329</v>
      </c>
      <c r="B877" s="35">
        <v>1.41267194829012</v>
      </c>
    </row>
    <row r="878" spans="1:2" ht="13.2" x14ac:dyDescent="0.25">
      <c r="A878" s="34" t="s">
        <v>11328</v>
      </c>
      <c r="B878" s="35">
        <v>1.40898103113829</v>
      </c>
    </row>
    <row r="879" spans="1:2" ht="13.2" x14ac:dyDescent="0.25">
      <c r="A879" s="34" t="s">
        <v>11327</v>
      </c>
      <c r="B879" s="35">
        <v>1.4367318619131</v>
      </c>
    </row>
    <row r="880" spans="1:2" ht="13.2" x14ac:dyDescent="0.25">
      <c r="A880" s="34" t="s">
        <v>11326</v>
      </c>
    </row>
    <row r="881" spans="1:2" ht="13.2" x14ac:dyDescent="0.25">
      <c r="A881" s="34" t="s">
        <v>11325</v>
      </c>
    </row>
    <row r="882" spans="1:2" ht="13.2" x14ac:dyDescent="0.25">
      <c r="A882" s="34" t="s">
        <v>11324</v>
      </c>
      <c r="B882" s="35">
        <v>1.4705358481605799</v>
      </c>
    </row>
    <row r="883" spans="1:2" ht="13.2" x14ac:dyDescent="0.25">
      <c r="A883" s="34" t="s">
        <v>11323</v>
      </c>
      <c r="B883" s="35">
        <v>1.4762193119345</v>
      </c>
    </row>
    <row r="884" spans="1:2" ht="13.2" x14ac:dyDescent="0.25">
      <c r="A884" s="34" t="s">
        <v>11322</v>
      </c>
      <c r="B884" s="35">
        <v>1.67079196627355</v>
      </c>
    </row>
    <row r="885" spans="1:2" ht="13.2" x14ac:dyDescent="0.25">
      <c r="A885" s="34" t="s">
        <v>11321</v>
      </c>
      <c r="B885" s="35">
        <v>2.1918520024290098</v>
      </c>
    </row>
    <row r="886" spans="1:2" ht="13.2" x14ac:dyDescent="0.25">
      <c r="A886" s="34" t="s">
        <v>11320</v>
      </c>
      <c r="B886" s="35">
        <v>2.2555503356764901</v>
      </c>
    </row>
    <row r="887" spans="1:2" ht="13.2" x14ac:dyDescent="0.25">
      <c r="A887" s="34" t="s">
        <v>11319</v>
      </c>
    </row>
    <row r="888" spans="1:2" ht="13.2" x14ac:dyDescent="0.25">
      <c r="A888" s="34" t="s">
        <v>11318</v>
      </c>
    </row>
    <row r="889" spans="1:2" ht="13.2" x14ac:dyDescent="0.25">
      <c r="A889" s="34" t="s">
        <v>11317</v>
      </c>
      <c r="B889" s="35">
        <v>2.2635344136851501</v>
      </c>
    </row>
    <row r="890" spans="1:2" ht="13.2" x14ac:dyDescent="0.25">
      <c r="A890" s="34" t="s">
        <v>11316</v>
      </c>
      <c r="B890" s="35">
        <v>2.22094327833529</v>
      </c>
    </row>
    <row r="891" spans="1:2" ht="13.2" x14ac:dyDescent="0.25">
      <c r="A891" s="34" t="s">
        <v>11315</v>
      </c>
      <c r="B891" s="35">
        <v>2.1590437189984999</v>
      </c>
    </row>
    <row r="892" spans="1:2" ht="13.2" x14ac:dyDescent="0.25">
      <c r="A892" s="34" t="s">
        <v>11314</v>
      </c>
    </row>
    <row r="893" spans="1:2" ht="13.2" x14ac:dyDescent="0.25">
      <c r="A893" s="34" t="s">
        <v>11313</v>
      </c>
      <c r="B893" s="35">
        <v>2.19762813565008</v>
      </c>
    </row>
    <row r="894" spans="1:2" ht="13.2" x14ac:dyDescent="0.25">
      <c r="A894" s="34" t="s">
        <v>11312</v>
      </c>
    </row>
    <row r="895" spans="1:2" ht="13.2" x14ac:dyDescent="0.25">
      <c r="A895" s="34" t="s">
        <v>11311</v>
      </c>
    </row>
    <row r="896" spans="1:2" ht="13.2" x14ac:dyDescent="0.25">
      <c r="A896" s="34" t="s">
        <v>11310</v>
      </c>
      <c r="B896" s="35">
        <v>2.1923415021507902</v>
      </c>
    </row>
    <row r="897" spans="1:2" ht="13.2" x14ac:dyDescent="0.25">
      <c r="A897" s="34" t="s">
        <v>11309</v>
      </c>
      <c r="B897" s="35">
        <v>2.1528572451716999</v>
      </c>
    </row>
    <row r="898" spans="1:2" ht="13.2" x14ac:dyDescent="0.25">
      <c r="A898" s="34" t="s">
        <v>11308</v>
      </c>
      <c r="B898" s="35">
        <v>2.1495377607899702</v>
      </c>
    </row>
    <row r="899" spans="1:2" ht="13.2" x14ac:dyDescent="0.25">
      <c r="A899" s="34" t="s">
        <v>11307</v>
      </c>
      <c r="B899" s="35">
        <v>2.1416193542137498</v>
      </c>
    </row>
    <row r="900" spans="1:2" ht="13.2" x14ac:dyDescent="0.25">
      <c r="A900" s="34" t="s">
        <v>11306</v>
      </c>
      <c r="B900" s="35">
        <v>2.2676746933573502</v>
      </c>
    </row>
    <row r="901" spans="1:2" ht="13.2" x14ac:dyDescent="0.25">
      <c r="A901" s="34" t="s">
        <v>11305</v>
      </c>
    </row>
    <row r="902" spans="1:2" ht="13.2" x14ac:dyDescent="0.25">
      <c r="A902" s="34" t="s">
        <v>11304</v>
      </c>
    </row>
    <row r="903" spans="1:2" ht="13.2" x14ac:dyDescent="0.25">
      <c r="A903" s="34" t="s">
        <v>11303</v>
      </c>
      <c r="B903" s="35">
        <v>2.34010818323689</v>
      </c>
    </row>
    <row r="904" spans="1:2" ht="13.2" x14ac:dyDescent="0.25">
      <c r="A904" s="34" t="s">
        <v>11302</v>
      </c>
      <c r="B904" s="35">
        <v>2.33976468438529</v>
      </c>
    </row>
    <row r="905" spans="1:2" ht="13.2" x14ac:dyDescent="0.25">
      <c r="A905" s="34" t="s">
        <v>11301</v>
      </c>
      <c r="B905" s="35">
        <v>2.3186351263035898</v>
      </c>
    </row>
    <row r="906" spans="1:2" ht="13.2" x14ac:dyDescent="0.25">
      <c r="A906" s="34" t="s">
        <v>11300</v>
      </c>
      <c r="B906" s="35">
        <v>2.6348367522792602</v>
      </c>
    </row>
    <row r="907" spans="1:2" ht="13.2" x14ac:dyDescent="0.25">
      <c r="A907" s="34" t="s">
        <v>11299</v>
      </c>
      <c r="B907" s="35">
        <v>2.67689487460928</v>
      </c>
    </row>
    <row r="908" spans="1:2" ht="13.2" x14ac:dyDescent="0.25">
      <c r="A908" s="34" t="s">
        <v>11298</v>
      </c>
    </row>
    <row r="909" spans="1:2" ht="13.2" x14ac:dyDescent="0.25">
      <c r="A909" s="34" t="s">
        <v>11297</v>
      </c>
    </row>
    <row r="910" spans="1:2" ht="13.2" x14ac:dyDescent="0.25">
      <c r="A910" s="34" t="s">
        <v>11296</v>
      </c>
      <c r="B910" s="35">
        <v>2.7058499093527</v>
      </c>
    </row>
    <row r="911" spans="1:2" ht="13.2" x14ac:dyDescent="0.25">
      <c r="A911" s="34" t="s">
        <v>11295</v>
      </c>
      <c r="B911" s="35">
        <v>2.7319459155666901</v>
      </c>
    </row>
    <row r="912" spans="1:2" ht="13.2" x14ac:dyDescent="0.25">
      <c r="A912" s="34" t="s">
        <v>11294</v>
      </c>
      <c r="B912" s="35">
        <v>2.7329194655330502</v>
      </c>
    </row>
    <row r="913" spans="1:2" ht="13.2" x14ac:dyDescent="0.25">
      <c r="A913" s="34" t="s">
        <v>11293</v>
      </c>
      <c r="B913" s="35">
        <v>2.78796561452977</v>
      </c>
    </row>
    <row r="914" spans="1:2" ht="13.2" x14ac:dyDescent="0.25">
      <c r="A914" s="34" t="s">
        <v>11292</v>
      </c>
      <c r="B914" s="35">
        <v>2.7034434475157099</v>
      </c>
    </row>
    <row r="915" spans="1:2" ht="13.2" x14ac:dyDescent="0.25">
      <c r="A915" s="34" t="s">
        <v>11291</v>
      </c>
    </row>
    <row r="916" spans="1:2" ht="13.2" x14ac:dyDescent="0.25">
      <c r="A916" s="34" t="s">
        <v>11290</v>
      </c>
    </row>
    <row r="917" spans="1:2" ht="13.2" x14ac:dyDescent="0.25">
      <c r="A917" s="34" t="s">
        <v>11289</v>
      </c>
      <c r="B917" s="35">
        <v>2.2664981877650798</v>
      </c>
    </row>
    <row r="918" spans="1:2" ht="13.2" x14ac:dyDescent="0.25">
      <c r="A918" s="34" t="s">
        <v>11288</v>
      </c>
      <c r="B918" s="35">
        <v>2.2424824169168498</v>
      </c>
    </row>
    <row r="919" spans="1:2" ht="13.2" x14ac:dyDescent="0.25">
      <c r="A919" s="34" t="s">
        <v>11287</v>
      </c>
      <c r="B919" s="35">
        <v>2.3217445088491999</v>
      </c>
    </row>
    <row r="920" spans="1:2" ht="13.2" x14ac:dyDescent="0.25">
      <c r="A920" s="34" t="s">
        <v>11286</v>
      </c>
      <c r="B920" s="35">
        <v>2.5042218691439802</v>
      </c>
    </row>
    <row r="921" spans="1:2" ht="13.2" x14ac:dyDescent="0.25">
      <c r="A921" s="34" t="s">
        <v>11285</v>
      </c>
      <c r="B921" s="35">
        <v>2.50526294296023</v>
      </c>
    </row>
    <row r="922" spans="1:2" ht="13.2" x14ac:dyDescent="0.25">
      <c r="A922" s="34" t="s">
        <v>11284</v>
      </c>
    </row>
    <row r="923" spans="1:2" ht="13.2" x14ac:dyDescent="0.25">
      <c r="A923" s="34" t="s">
        <v>11283</v>
      </c>
    </row>
    <row r="924" spans="1:2" ht="13.2" x14ac:dyDescent="0.25">
      <c r="A924" s="34" t="s">
        <v>11282</v>
      </c>
      <c r="B924" s="35">
        <v>2.4936523745752899</v>
      </c>
    </row>
    <row r="925" spans="1:2" ht="13.2" x14ac:dyDescent="0.25">
      <c r="A925" s="34" t="s">
        <v>11281</v>
      </c>
      <c r="B925" s="35">
        <v>2.4830146554492201</v>
      </c>
    </row>
    <row r="926" spans="1:2" ht="13.2" x14ac:dyDescent="0.25">
      <c r="A926" s="34" t="s">
        <v>11280</v>
      </c>
      <c r="B926" s="35">
        <v>2.4835863965118401</v>
      </c>
    </row>
    <row r="927" spans="1:2" ht="13.2" x14ac:dyDescent="0.25">
      <c r="A927" s="34" t="s">
        <v>11279</v>
      </c>
      <c r="B927" s="35">
        <v>2.48369254747417</v>
      </c>
    </row>
    <row r="928" spans="1:2" ht="13.2" x14ac:dyDescent="0.25">
      <c r="A928" s="34" t="s">
        <v>11278</v>
      </c>
      <c r="B928" s="35">
        <v>2.4871945678956</v>
      </c>
    </row>
    <row r="929" spans="1:2" ht="13.2" x14ac:dyDescent="0.25">
      <c r="A929" s="34" t="s">
        <v>11277</v>
      </c>
    </row>
    <row r="930" spans="1:2" ht="13.2" x14ac:dyDescent="0.25">
      <c r="A930" s="34" t="s">
        <v>11276</v>
      </c>
    </row>
    <row r="931" spans="1:2" ht="13.2" x14ac:dyDescent="0.25">
      <c r="A931" s="34" t="s">
        <v>11275</v>
      </c>
      <c r="B931" s="35">
        <v>2.3082451903983499</v>
      </c>
    </row>
    <row r="932" spans="1:2" ht="13.2" x14ac:dyDescent="0.25">
      <c r="A932" s="34" t="s">
        <v>11274</v>
      </c>
      <c r="B932" s="35">
        <v>2.0332980249779702</v>
      </c>
    </row>
    <row r="933" spans="1:2" ht="13.2" x14ac:dyDescent="0.25">
      <c r="A933" s="34" t="s">
        <v>11273</v>
      </c>
      <c r="B933" s="35">
        <v>2.0354067883503801</v>
      </c>
    </row>
    <row r="934" spans="1:2" ht="13.2" x14ac:dyDescent="0.25">
      <c r="A934" s="34" t="s">
        <v>11272</v>
      </c>
      <c r="B934" s="35">
        <v>2.3109445202796501</v>
      </c>
    </row>
    <row r="935" spans="1:2" ht="13.2" x14ac:dyDescent="0.25">
      <c r="A935" s="34" t="s">
        <v>11271</v>
      </c>
      <c r="B935" s="35">
        <v>2.0364694176624099</v>
      </c>
    </row>
    <row r="936" spans="1:2" ht="13.2" x14ac:dyDescent="0.25">
      <c r="A936" s="34" t="s">
        <v>11270</v>
      </c>
    </row>
    <row r="937" spans="1:2" ht="13.2" x14ac:dyDescent="0.25">
      <c r="A937" s="34" t="s">
        <v>11269</v>
      </c>
    </row>
    <row r="938" spans="1:2" ht="13.2" x14ac:dyDescent="0.25">
      <c r="A938" s="34" t="s">
        <v>11268</v>
      </c>
      <c r="B938" s="35">
        <v>2.0936847401046399</v>
      </c>
    </row>
    <row r="939" spans="1:2" ht="13.2" x14ac:dyDescent="0.25">
      <c r="A939" s="34" t="s">
        <v>11267</v>
      </c>
      <c r="B939" s="35">
        <v>2.02363629146629</v>
      </c>
    </row>
    <row r="940" spans="1:2" ht="13.2" x14ac:dyDescent="0.25">
      <c r="A940" s="34" t="s">
        <v>11266</v>
      </c>
      <c r="B940" s="35">
        <v>2.1586734973082198</v>
      </c>
    </row>
    <row r="941" spans="1:2" ht="13.2" x14ac:dyDescent="0.25">
      <c r="A941" s="34" t="s">
        <v>11265</v>
      </c>
      <c r="B941" s="35">
        <v>2.1578133743105101</v>
      </c>
    </row>
    <row r="942" spans="1:2" ht="13.2" x14ac:dyDescent="0.25">
      <c r="A942" s="34" t="s">
        <v>11264</v>
      </c>
      <c r="B942" s="35">
        <v>2.1608503510950898</v>
      </c>
    </row>
    <row r="943" spans="1:2" ht="13.2" x14ac:dyDescent="0.25">
      <c r="A943" s="34" t="s">
        <v>11263</v>
      </c>
    </row>
    <row r="944" spans="1:2" ht="13.2" x14ac:dyDescent="0.25">
      <c r="A944" s="34" t="s">
        <v>11262</v>
      </c>
    </row>
    <row r="945" spans="1:2" ht="13.2" x14ac:dyDescent="0.25">
      <c r="A945" s="34" t="s">
        <v>11261</v>
      </c>
    </row>
    <row r="946" spans="1:2" ht="13.2" x14ac:dyDescent="0.25">
      <c r="A946" s="34" t="s">
        <v>11260</v>
      </c>
      <c r="B946" s="35">
        <v>2.06267156513867</v>
      </c>
    </row>
    <row r="947" spans="1:2" ht="13.2" x14ac:dyDescent="0.25">
      <c r="A947" s="34" t="s">
        <v>11259</v>
      </c>
      <c r="B947" s="35">
        <v>2.0676718037594499</v>
      </c>
    </row>
    <row r="948" spans="1:2" ht="13.2" x14ac:dyDescent="0.25">
      <c r="A948" s="34" t="s">
        <v>11258</v>
      </c>
      <c r="B948" s="35">
        <v>2.0580277502531499</v>
      </c>
    </row>
    <row r="949" spans="1:2" ht="13.2" x14ac:dyDescent="0.25">
      <c r="A949" s="34" t="s">
        <v>11257</v>
      </c>
    </row>
    <row r="950" spans="1:2" ht="13.2" x14ac:dyDescent="0.25">
      <c r="A950" s="34" t="s">
        <v>11256</v>
      </c>
    </row>
    <row r="951" spans="1:2" ht="13.2" x14ac:dyDescent="0.25">
      <c r="A951" s="34" t="s">
        <v>11255</v>
      </c>
    </row>
    <row r="952" spans="1:2" ht="13.2" x14ac:dyDescent="0.25">
      <c r="A952" s="34" t="s">
        <v>11254</v>
      </c>
    </row>
    <row r="953" spans="1:2" ht="13.2" x14ac:dyDescent="0.25">
      <c r="A953" s="34" t="s">
        <v>11253</v>
      </c>
      <c r="B953" s="35">
        <v>1.9911318124371999</v>
      </c>
    </row>
    <row r="954" spans="1:2" ht="13.2" x14ac:dyDescent="0.25">
      <c r="A954" s="34" t="s">
        <v>11252</v>
      </c>
      <c r="B954" s="35">
        <v>2.2202057597317402</v>
      </c>
    </row>
    <row r="955" spans="1:2" ht="13.2" x14ac:dyDescent="0.25">
      <c r="A955" s="34" t="s">
        <v>11251</v>
      </c>
      <c r="B955" s="35">
        <v>2.2078126396352702</v>
      </c>
    </row>
    <row r="956" spans="1:2" ht="13.2" x14ac:dyDescent="0.25">
      <c r="A956" s="34" t="s">
        <v>11250</v>
      </c>
      <c r="B956" s="35">
        <v>2.20342390595837</v>
      </c>
    </row>
    <row r="957" spans="1:2" ht="13.2" x14ac:dyDescent="0.25">
      <c r="A957" s="34" t="s">
        <v>11249</v>
      </c>
    </row>
    <row r="958" spans="1:2" ht="13.2" x14ac:dyDescent="0.25">
      <c r="A958" s="34" t="s">
        <v>11248</v>
      </c>
    </row>
    <row r="959" spans="1:2" ht="13.2" x14ac:dyDescent="0.25">
      <c r="A959" s="34" t="s">
        <v>11247</v>
      </c>
      <c r="B959" s="35">
        <v>2.1752840111140901</v>
      </c>
    </row>
    <row r="960" spans="1:2" ht="13.2" x14ac:dyDescent="0.25">
      <c r="A960" s="34" t="s">
        <v>11246</v>
      </c>
      <c r="B960" s="35">
        <v>2.2343081468539099</v>
      </c>
    </row>
    <row r="961" spans="1:2" ht="13.2" x14ac:dyDescent="0.25">
      <c r="A961" s="34" t="s">
        <v>11245</v>
      </c>
      <c r="B961" s="35">
        <v>2.2461801981015901</v>
      </c>
    </row>
    <row r="962" spans="1:2" ht="13.2" x14ac:dyDescent="0.25">
      <c r="A962" s="34" t="s">
        <v>11244</v>
      </c>
      <c r="B962" s="35">
        <v>2.2965198712602701</v>
      </c>
    </row>
    <row r="963" spans="1:2" ht="13.2" x14ac:dyDescent="0.25">
      <c r="A963" s="34" t="s">
        <v>11243</v>
      </c>
      <c r="B963" s="35">
        <v>2.3202561967575099</v>
      </c>
    </row>
    <row r="964" spans="1:2" ht="13.2" x14ac:dyDescent="0.25">
      <c r="A964" s="34" t="s">
        <v>11242</v>
      </c>
    </row>
    <row r="965" spans="1:2" ht="13.2" x14ac:dyDescent="0.25">
      <c r="A965" s="34" t="s">
        <v>11241</v>
      </c>
    </row>
    <row r="966" spans="1:2" ht="13.2" x14ac:dyDescent="0.25">
      <c r="A966" s="34" t="s">
        <v>11240</v>
      </c>
      <c r="B966" s="35">
        <v>2.3152796956243802</v>
      </c>
    </row>
    <row r="967" spans="1:2" ht="13.2" x14ac:dyDescent="0.25">
      <c r="A967" s="34" t="s">
        <v>11239</v>
      </c>
      <c r="B967" s="35">
        <v>2.3380859661838702</v>
      </c>
    </row>
    <row r="968" spans="1:2" ht="13.2" x14ac:dyDescent="0.25">
      <c r="A968" s="34" t="s">
        <v>11238</v>
      </c>
      <c r="B968" s="35">
        <v>2.0670237070204101</v>
      </c>
    </row>
    <row r="969" spans="1:2" ht="13.2" x14ac:dyDescent="0.25">
      <c r="A969" s="34" t="s">
        <v>11237</v>
      </c>
      <c r="B969" s="35">
        <v>2.05357320415435</v>
      </c>
    </row>
    <row r="970" spans="1:2" ht="13.2" x14ac:dyDescent="0.25">
      <c r="A970" s="34" t="s">
        <v>11236</v>
      </c>
      <c r="B970" s="35">
        <v>1.9222037874706599</v>
      </c>
    </row>
    <row r="971" spans="1:2" ht="13.2" x14ac:dyDescent="0.25">
      <c r="A971" s="34" t="s">
        <v>11235</v>
      </c>
    </row>
    <row r="972" spans="1:2" ht="13.2" x14ac:dyDescent="0.25">
      <c r="A972" s="34" t="s">
        <v>11234</v>
      </c>
    </row>
    <row r="973" spans="1:2" ht="13.2" x14ac:dyDescent="0.25">
      <c r="A973" s="34" t="s">
        <v>11233</v>
      </c>
      <c r="B973" s="35">
        <v>1.91496861172051</v>
      </c>
    </row>
    <row r="974" spans="1:2" ht="13.2" x14ac:dyDescent="0.25">
      <c r="A974" s="34" t="s">
        <v>11232</v>
      </c>
      <c r="B974" s="35">
        <v>1.78271778417382</v>
      </c>
    </row>
    <row r="975" spans="1:2" ht="13.2" x14ac:dyDescent="0.25">
      <c r="A975" s="34" t="s">
        <v>11231</v>
      </c>
      <c r="B975" s="35">
        <v>1.8154544454014301</v>
      </c>
    </row>
    <row r="976" spans="1:2" ht="13.2" x14ac:dyDescent="0.25">
      <c r="A976" s="34" t="s">
        <v>11230</v>
      </c>
    </row>
    <row r="977" spans="1:2" ht="13.2" x14ac:dyDescent="0.25">
      <c r="A977" s="34" t="s">
        <v>11229</v>
      </c>
      <c r="B977" s="35">
        <v>1.8130728511787699</v>
      </c>
    </row>
    <row r="978" spans="1:2" ht="13.2" x14ac:dyDescent="0.25">
      <c r="A978" s="34" t="s">
        <v>11228</v>
      </c>
    </row>
    <row r="979" spans="1:2" ht="13.2" x14ac:dyDescent="0.25">
      <c r="A979" s="34" t="s">
        <v>11227</v>
      </c>
    </row>
    <row r="980" spans="1:2" ht="13.2" x14ac:dyDescent="0.25">
      <c r="A980" s="34" t="s">
        <v>11226</v>
      </c>
      <c r="B980" s="35">
        <v>1.81293331984857</v>
      </c>
    </row>
    <row r="981" spans="1:2" ht="13.2" x14ac:dyDescent="0.25">
      <c r="A981" s="34" t="s">
        <v>11225</v>
      </c>
      <c r="B981" s="35">
        <v>1.9384617429109099</v>
      </c>
    </row>
    <row r="982" spans="1:2" ht="13.2" x14ac:dyDescent="0.25">
      <c r="A982" s="34" t="s">
        <v>11224</v>
      </c>
      <c r="B982" s="35">
        <v>1.8932619488926099</v>
      </c>
    </row>
    <row r="983" spans="1:2" ht="13.2" x14ac:dyDescent="0.25">
      <c r="A983" s="34" t="s">
        <v>11223</v>
      </c>
      <c r="B983" s="35">
        <v>1.8990123443072999</v>
      </c>
    </row>
    <row r="984" spans="1:2" ht="13.2" x14ac:dyDescent="0.25">
      <c r="A984" s="34" t="s">
        <v>11222</v>
      </c>
      <c r="B984" s="35">
        <v>1.4787234544326899</v>
      </c>
    </row>
    <row r="985" spans="1:2" ht="13.2" x14ac:dyDescent="0.25">
      <c r="A985" s="34" t="s">
        <v>11221</v>
      </c>
    </row>
    <row r="986" spans="1:2" ht="13.2" x14ac:dyDescent="0.25">
      <c r="A986" s="34" t="s">
        <v>11220</v>
      </c>
    </row>
    <row r="987" spans="1:2" ht="13.2" x14ac:dyDescent="0.25">
      <c r="A987" s="34" t="s">
        <v>11219</v>
      </c>
      <c r="B987" s="35">
        <v>1.5460994633795899</v>
      </c>
    </row>
    <row r="988" spans="1:2" ht="13.2" x14ac:dyDescent="0.25">
      <c r="A988" s="34" t="s">
        <v>11218</v>
      </c>
      <c r="B988" s="35">
        <v>1.54427338293268</v>
      </c>
    </row>
    <row r="989" spans="1:2" ht="13.2" x14ac:dyDescent="0.25">
      <c r="A989" s="34" t="s">
        <v>11217</v>
      </c>
      <c r="B989" s="35">
        <v>1.5993647287041699</v>
      </c>
    </row>
    <row r="990" spans="1:2" ht="13.2" x14ac:dyDescent="0.25">
      <c r="A990" s="34" t="s">
        <v>11216</v>
      </c>
      <c r="B990" s="35">
        <v>1.50457925862719</v>
      </c>
    </row>
    <row r="991" spans="1:2" ht="13.2" x14ac:dyDescent="0.25">
      <c r="A991" s="34" t="s">
        <v>11215</v>
      </c>
      <c r="B991" s="35">
        <v>1.49074805300735</v>
      </c>
    </row>
    <row r="992" spans="1:2" ht="13.2" x14ac:dyDescent="0.25">
      <c r="A992" s="34" t="s">
        <v>11214</v>
      </c>
    </row>
    <row r="993" spans="1:2" ht="13.2" x14ac:dyDescent="0.25">
      <c r="A993" s="34" t="s">
        <v>11213</v>
      </c>
    </row>
    <row r="994" spans="1:2" ht="13.2" x14ac:dyDescent="0.25">
      <c r="A994" s="34" t="s">
        <v>11212</v>
      </c>
      <c r="B994" s="35">
        <v>1.41540269514033</v>
      </c>
    </row>
    <row r="995" spans="1:2" ht="13.2" x14ac:dyDescent="0.25">
      <c r="A995" s="34" t="s">
        <v>11211</v>
      </c>
      <c r="B995" s="35">
        <v>1.37659507312783</v>
      </c>
    </row>
    <row r="996" spans="1:2" ht="13.2" x14ac:dyDescent="0.25">
      <c r="A996" s="34" t="s">
        <v>11210</v>
      </c>
      <c r="B996" s="35">
        <v>1.4103313621481199</v>
      </c>
    </row>
    <row r="997" spans="1:2" ht="13.2" x14ac:dyDescent="0.25">
      <c r="A997" s="34" t="s">
        <v>11209</v>
      </c>
      <c r="B997" s="35">
        <v>1.4143707844172599</v>
      </c>
    </row>
    <row r="998" spans="1:2" ht="13.2" x14ac:dyDescent="0.25">
      <c r="A998" s="34" t="s">
        <v>11208</v>
      </c>
      <c r="B998" s="35">
        <v>1.49854586596303</v>
      </c>
    </row>
    <row r="999" spans="1:2" ht="13.2" x14ac:dyDescent="0.25">
      <c r="A999" s="34" t="s">
        <v>11207</v>
      </c>
    </row>
    <row r="1000" spans="1:2" ht="13.2" x14ac:dyDescent="0.25">
      <c r="A1000" s="34" t="s">
        <v>11206</v>
      </c>
    </row>
    <row r="1001" spans="1:2" ht="13.2" x14ac:dyDescent="0.25">
      <c r="A1001" s="34" t="s">
        <v>11205</v>
      </c>
    </row>
    <row r="1002" spans="1:2" ht="13.2" x14ac:dyDescent="0.25">
      <c r="A1002" s="34" t="s">
        <v>11204</v>
      </c>
    </row>
    <row r="1003" spans="1:2" ht="13.2" x14ac:dyDescent="0.25">
      <c r="A1003" s="34" t="s">
        <v>11203</v>
      </c>
    </row>
    <row r="1004" spans="1:2" ht="13.2" x14ac:dyDescent="0.25">
      <c r="A1004" s="34" t="s">
        <v>11202</v>
      </c>
      <c r="B1004" s="35">
        <v>1.5091178183913601</v>
      </c>
    </row>
    <row r="1005" spans="1:2" ht="13.2" x14ac:dyDescent="0.25">
      <c r="A1005" s="34" t="s">
        <v>11201</v>
      </c>
      <c r="B1005" s="35">
        <v>1.4864765590701901</v>
      </c>
    </row>
    <row r="1006" spans="1:2" ht="13.2" x14ac:dyDescent="0.25">
      <c r="A1006" s="34" t="s">
        <v>11200</v>
      </c>
    </row>
    <row r="1007" spans="1:2" ht="13.2" x14ac:dyDescent="0.25">
      <c r="A1007" s="34" t="s">
        <v>11199</v>
      </c>
    </row>
    <row r="1008" spans="1:2" ht="13.2" x14ac:dyDescent="0.25">
      <c r="A1008" s="34" t="s">
        <v>11198</v>
      </c>
      <c r="B1008" s="35">
        <v>1.4891133044227201</v>
      </c>
    </row>
    <row r="1009" spans="1:2" ht="13.2" x14ac:dyDescent="0.25">
      <c r="A1009" s="34" t="s">
        <v>11197</v>
      </c>
      <c r="B1009" s="35">
        <v>1.47344894771344</v>
      </c>
    </row>
    <row r="1010" spans="1:2" ht="13.2" x14ac:dyDescent="0.25">
      <c r="A1010" s="34" t="s">
        <v>11196</v>
      </c>
      <c r="B1010" s="35">
        <v>1.4557701541692001</v>
      </c>
    </row>
    <row r="1011" spans="1:2" ht="13.2" x14ac:dyDescent="0.25">
      <c r="A1011" s="34" t="s">
        <v>11195</v>
      </c>
      <c r="B1011" s="35">
        <v>1.81098041898812</v>
      </c>
    </row>
    <row r="1012" spans="1:2" ht="13.2" x14ac:dyDescent="0.25">
      <c r="A1012" s="34" t="s">
        <v>11194</v>
      </c>
      <c r="B1012" s="35">
        <v>1.8866470290508</v>
      </c>
    </row>
    <row r="1013" spans="1:2" ht="13.2" x14ac:dyDescent="0.25">
      <c r="A1013" s="34" t="s">
        <v>11193</v>
      </c>
    </row>
    <row r="1014" spans="1:2" ht="13.2" x14ac:dyDescent="0.25">
      <c r="A1014" s="34" t="s">
        <v>11192</v>
      </c>
    </row>
    <row r="1015" spans="1:2" ht="13.2" x14ac:dyDescent="0.25">
      <c r="A1015" s="34" t="s">
        <v>11191</v>
      </c>
      <c r="B1015" s="35">
        <v>1.70075724498903</v>
      </c>
    </row>
    <row r="1016" spans="1:2" ht="13.2" x14ac:dyDescent="0.25">
      <c r="A1016" s="34" t="s">
        <v>11190</v>
      </c>
      <c r="B1016" s="35">
        <v>1.70972703353016</v>
      </c>
    </row>
    <row r="1017" spans="1:2" ht="13.2" x14ac:dyDescent="0.25">
      <c r="A1017" s="34" t="s">
        <v>11189</v>
      </c>
      <c r="B1017" s="35">
        <v>1.88394274136283</v>
      </c>
    </row>
    <row r="1018" spans="1:2" ht="13.2" x14ac:dyDescent="0.25">
      <c r="A1018" s="34" t="s">
        <v>11188</v>
      </c>
      <c r="B1018" s="35">
        <v>1.9739429653917</v>
      </c>
    </row>
    <row r="1019" spans="1:2" ht="13.2" x14ac:dyDescent="0.25">
      <c r="A1019" s="34" t="s">
        <v>11187</v>
      </c>
      <c r="B1019" s="35">
        <v>1.9648512126414901</v>
      </c>
    </row>
    <row r="1020" spans="1:2" ht="13.2" x14ac:dyDescent="0.25">
      <c r="A1020" s="34" t="s">
        <v>11186</v>
      </c>
    </row>
    <row r="1021" spans="1:2" ht="13.2" x14ac:dyDescent="0.25">
      <c r="A1021" s="34" t="s">
        <v>11185</v>
      </c>
    </row>
    <row r="1022" spans="1:2" ht="13.2" x14ac:dyDescent="0.25">
      <c r="A1022" s="34" t="s">
        <v>11184</v>
      </c>
      <c r="B1022" s="35">
        <v>1.9861843211780399</v>
      </c>
    </row>
    <row r="1023" spans="1:2" ht="13.2" x14ac:dyDescent="0.25">
      <c r="A1023" s="34" t="s">
        <v>11183</v>
      </c>
      <c r="B1023" s="35">
        <v>1.9783067218472099</v>
      </c>
    </row>
    <row r="1024" spans="1:2" ht="13.2" x14ac:dyDescent="0.25">
      <c r="A1024" s="34" t="s">
        <v>11182</v>
      </c>
      <c r="B1024" s="35">
        <v>2.0035357959762199</v>
      </c>
    </row>
    <row r="1025" spans="1:2" ht="13.2" x14ac:dyDescent="0.25">
      <c r="A1025" s="34" t="s">
        <v>11181</v>
      </c>
      <c r="B1025" s="35">
        <v>2.02123092691749</v>
      </c>
    </row>
    <row r="1026" spans="1:2" ht="13.2" x14ac:dyDescent="0.25">
      <c r="A1026" s="34" t="s">
        <v>11180</v>
      </c>
      <c r="B1026" s="35">
        <v>2.0125325997877899</v>
      </c>
    </row>
    <row r="1027" spans="1:2" ht="13.2" x14ac:dyDescent="0.25">
      <c r="A1027" s="34" t="s">
        <v>11179</v>
      </c>
    </row>
    <row r="1028" spans="1:2" ht="13.2" x14ac:dyDescent="0.25">
      <c r="A1028" s="34" t="s">
        <v>11178</v>
      </c>
    </row>
    <row r="1029" spans="1:2" ht="13.2" x14ac:dyDescent="0.25">
      <c r="A1029" s="34" t="s">
        <v>11177</v>
      </c>
      <c r="B1029" s="35">
        <v>2.0075493789586698</v>
      </c>
    </row>
    <row r="1030" spans="1:2" ht="13.2" x14ac:dyDescent="0.25">
      <c r="A1030" s="34" t="s">
        <v>11176</v>
      </c>
      <c r="B1030" s="35">
        <v>2.0044729562388599</v>
      </c>
    </row>
    <row r="1031" spans="1:2" ht="13.2" x14ac:dyDescent="0.25">
      <c r="A1031" s="34" t="s">
        <v>11175</v>
      </c>
      <c r="B1031" s="35">
        <v>2.0062536865912501</v>
      </c>
    </row>
    <row r="1032" spans="1:2" ht="13.2" x14ac:dyDescent="0.25">
      <c r="A1032" s="34" t="s">
        <v>11174</v>
      </c>
      <c r="B1032" s="35">
        <v>2.05241502243971</v>
      </c>
    </row>
    <row r="1033" spans="1:2" ht="13.2" x14ac:dyDescent="0.25">
      <c r="A1033" s="34" t="s">
        <v>11173</v>
      </c>
      <c r="B1033" s="35">
        <v>2.0591286543583802</v>
      </c>
    </row>
    <row r="1034" spans="1:2" ht="13.2" x14ac:dyDescent="0.25">
      <c r="A1034" s="34" t="s">
        <v>11172</v>
      </c>
    </row>
    <row r="1035" spans="1:2" ht="13.2" x14ac:dyDescent="0.25">
      <c r="A1035" s="34" t="s">
        <v>11171</v>
      </c>
    </row>
    <row r="1036" spans="1:2" ht="13.2" x14ac:dyDescent="0.25">
      <c r="A1036" s="34" t="s">
        <v>11170</v>
      </c>
      <c r="B1036" s="35">
        <v>2.0525447580424401</v>
      </c>
    </row>
    <row r="1037" spans="1:2" ht="13.2" x14ac:dyDescent="0.25">
      <c r="A1037" s="34" t="s">
        <v>11169</v>
      </c>
      <c r="B1037" s="35">
        <v>2.0592180027718099</v>
      </c>
    </row>
    <row r="1038" spans="1:2" ht="13.2" x14ac:dyDescent="0.25">
      <c r="A1038" s="34" t="s">
        <v>11168</v>
      </c>
      <c r="B1038" s="35">
        <v>2.0733958712938598</v>
      </c>
    </row>
    <row r="1039" spans="1:2" ht="13.2" x14ac:dyDescent="0.25">
      <c r="A1039" s="34" t="s">
        <v>11167</v>
      </c>
      <c r="B1039" s="35">
        <v>2.0845166334298399</v>
      </c>
    </row>
    <row r="1040" spans="1:2" ht="13.2" x14ac:dyDescent="0.25">
      <c r="A1040" s="34" t="s">
        <v>11166</v>
      </c>
      <c r="B1040" s="35">
        <v>1.80844348062621</v>
      </c>
    </row>
    <row r="1041" spans="1:2" ht="13.2" x14ac:dyDescent="0.25">
      <c r="A1041" s="34" t="s">
        <v>11165</v>
      </c>
    </row>
    <row r="1042" spans="1:2" ht="13.2" x14ac:dyDescent="0.25">
      <c r="A1042" s="34" t="s">
        <v>11164</v>
      </c>
    </row>
    <row r="1043" spans="1:2" ht="13.2" x14ac:dyDescent="0.25">
      <c r="A1043" s="34" t="s">
        <v>11163</v>
      </c>
      <c r="B1043" s="35">
        <v>1.7353663402177999</v>
      </c>
    </row>
    <row r="1044" spans="1:2" ht="13.2" x14ac:dyDescent="0.25">
      <c r="A1044" s="34" t="s">
        <v>11162</v>
      </c>
      <c r="B1044" s="35">
        <v>1.7059673966704001</v>
      </c>
    </row>
    <row r="1045" spans="1:2" ht="13.2" x14ac:dyDescent="0.25">
      <c r="A1045" s="34" t="s">
        <v>11161</v>
      </c>
      <c r="B1045" s="35">
        <v>1.68952336573329</v>
      </c>
    </row>
    <row r="1046" spans="1:2" ht="13.2" x14ac:dyDescent="0.25">
      <c r="A1046" s="34" t="s">
        <v>11160</v>
      </c>
    </row>
    <row r="1047" spans="1:2" ht="13.2" x14ac:dyDescent="0.25">
      <c r="A1047" s="34" t="s">
        <v>11159</v>
      </c>
    </row>
    <row r="1048" spans="1:2" ht="13.2" x14ac:dyDescent="0.25">
      <c r="A1048" s="34" t="s">
        <v>11158</v>
      </c>
    </row>
    <row r="1049" spans="1:2" ht="13.2" x14ac:dyDescent="0.25">
      <c r="A1049" s="34" t="s">
        <v>11157</v>
      </c>
    </row>
    <row r="1050" spans="1:2" ht="13.2" x14ac:dyDescent="0.25">
      <c r="A1050" s="34" t="s">
        <v>11156</v>
      </c>
      <c r="B1050" s="35">
        <v>1.49785905715796</v>
      </c>
    </row>
    <row r="1051" spans="1:2" ht="13.2" x14ac:dyDescent="0.25">
      <c r="A1051" s="34" t="s">
        <v>11155</v>
      </c>
      <c r="B1051" s="35">
        <v>1.1104166948012399</v>
      </c>
    </row>
    <row r="1052" spans="1:2" ht="13.2" x14ac:dyDescent="0.25">
      <c r="A1052" s="34" t="s">
        <v>11154</v>
      </c>
      <c r="B1052" s="35">
        <v>1.0963164273380901</v>
      </c>
    </row>
    <row r="1053" spans="1:2" ht="13.2" x14ac:dyDescent="0.25">
      <c r="A1053" s="34" t="s">
        <v>11153</v>
      </c>
      <c r="B1053" s="35">
        <v>1.07839032416707</v>
      </c>
    </row>
    <row r="1054" spans="1:2" ht="13.2" x14ac:dyDescent="0.25">
      <c r="A1054" s="34" t="s">
        <v>11152</v>
      </c>
      <c r="B1054" s="35">
        <v>1.1930770260757899</v>
      </c>
    </row>
    <row r="1055" spans="1:2" ht="13.2" x14ac:dyDescent="0.25">
      <c r="A1055" s="34" t="s">
        <v>11151</v>
      </c>
    </row>
    <row r="1056" spans="1:2" ht="13.2" x14ac:dyDescent="0.25">
      <c r="A1056" s="34" t="s">
        <v>11150</v>
      </c>
    </row>
    <row r="1057" spans="1:2" ht="13.2" x14ac:dyDescent="0.25">
      <c r="A1057" s="34" t="s">
        <v>11149</v>
      </c>
      <c r="B1057" s="35">
        <v>1.1654068409295799</v>
      </c>
    </row>
    <row r="1058" spans="1:2" ht="13.2" x14ac:dyDescent="0.25">
      <c r="A1058" s="34" t="s">
        <v>11148</v>
      </c>
      <c r="B1058" s="35">
        <v>1.17363318832969</v>
      </c>
    </row>
    <row r="1059" spans="1:2" ht="13.2" x14ac:dyDescent="0.25">
      <c r="A1059" s="34" t="s">
        <v>11147</v>
      </c>
      <c r="B1059" s="35">
        <v>1.1739372695916199</v>
      </c>
    </row>
    <row r="1060" spans="1:2" ht="13.2" x14ac:dyDescent="0.25">
      <c r="A1060" s="34" t="s">
        <v>11146</v>
      </c>
      <c r="B1060" s="35">
        <v>1.16734704003597</v>
      </c>
    </row>
    <row r="1061" spans="1:2" ht="13.2" x14ac:dyDescent="0.25">
      <c r="A1061" s="34" t="s">
        <v>11145</v>
      </c>
      <c r="B1061" s="35">
        <v>1.1862264170722701</v>
      </c>
    </row>
    <row r="1062" spans="1:2" ht="13.2" x14ac:dyDescent="0.25">
      <c r="A1062" s="34" t="s">
        <v>11144</v>
      </c>
    </row>
    <row r="1063" spans="1:2" ht="13.2" x14ac:dyDescent="0.25">
      <c r="A1063" s="34" t="s">
        <v>11143</v>
      </c>
    </row>
    <row r="1064" spans="1:2" ht="13.2" x14ac:dyDescent="0.25">
      <c r="A1064" s="34" t="s">
        <v>11142</v>
      </c>
      <c r="B1064" s="35">
        <v>1.18616375834437</v>
      </c>
    </row>
    <row r="1065" spans="1:2" ht="13.2" x14ac:dyDescent="0.25">
      <c r="A1065" s="34" t="s">
        <v>11141</v>
      </c>
      <c r="B1065" s="35">
        <v>1.09282406581765</v>
      </c>
    </row>
    <row r="1066" spans="1:2" ht="13.2" x14ac:dyDescent="0.25">
      <c r="A1066" s="34" t="s">
        <v>11140</v>
      </c>
      <c r="B1066" s="35">
        <v>1.05040735058833</v>
      </c>
    </row>
    <row r="1067" spans="1:2" ht="13.2" x14ac:dyDescent="0.25">
      <c r="A1067" s="34" t="s">
        <v>11139</v>
      </c>
      <c r="B1067" s="35">
        <v>1.0939784950807101</v>
      </c>
    </row>
    <row r="1068" spans="1:2" ht="13.2" x14ac:dyDescent="0.25">
      <c r="A1068" s="34" t="s">
        <v>11138</v>
      </c>
      <c r="B1068" s="35">
        <v>1.0671125260049801</v>
      </c>
    </row>
    <row r="1069" spans="1:2" ht="13.2" x14ac:dyDescent="0.25">
      <c r="A1069" s="34" t="s">
        <v>11137</v>
      </c>
    </row>
    <row r="1070" spans="1:2" ht="13.2" x14ac:dyDescent="0.25">
      <c r="A1070" s="34" t="s">
        <v>11136</v>
      </c>
    </row>
    <row r="1071" spans="1:2" ht="13.2" x14ac:dyDescent="0.25">
      <c r="A1071" s="34" t="s">
        <v>11135</v>
      </c>
      <c r="B1071" s="35">
        <v>1.04203140304912</v>
      </c>
    </row>
    <row r="1072" spans="1:2" ht="13.2" x14ac:dyDescent="0.25">
      <c r="A1072" s="34" t="s">
        <v>11134</v>
      </c>
      <c r="B1072" s="35">
        <v>1.0001045037241301</v>
      </c>
    </row>
    <row r="1073" spans="1:2" ht="13.2" x14ac:dyDescent="0.25">
      <c r="A1073" s="34" t="s">
        <v>11133</v>
      </c>
    </row>
    <row r="1074" spans="1:2" ht="13.2" x14ac:dyDescent="0.25">
      <c r="A1074" s="34" t="s">
        <v>11132</v>
      </c>
      <c r="B1074" s="35">
        <v>0.99508776656430598</v>
      </c>
    </row>
    <row r="1075" spans="1:2" ht="13.2" x14ac:dyDescent="0.25">
      <c r="A1075" s="34" t="s">
        <v>11131</v>
      </c>
      <c r="B1075" s="35">
        <v>0.99723510209674504</v>
      </c>
    </row>
    <row r="1076" spans="1:2" ht="13.2" x14ac:dyDescent="0.25">
      <c r="A1076" s="34" t="s">
        <v>11130</v>
      </c>
    </row>
    <row r="1077" spans="1:2" ht="13.2" x14ac:dyDescent="0.25">
      <c r="A1077" s="34" t="s">
        <v>11129</v>
      </c>
    </row>
    <row r="1078" spans="1:2" ht="13.2" x14ac:dyDescent="0.25">
      <c r="A1078" s="34" t="s">
        <v>11128</v>
      </c>
      <c r="B1078" s="35">
        <v>1.0077847322842099</v>
      </c>
    </row>
    <row r="1079" spans="1:2" ht="13.2" x14ac:dyDescent="0.25">
      <c r="A1079" s="34" t="s">
        <v>11127</v>
      </c>
      <c r="B1079" s="35">
        <v>1.12752207534412</v>
      </c>
    </row>
    <row r="1080" spans="1:2" ht="13.2" x14ac:dyDescent="0.25">
      <c r="A1080" s="34" t="s">
        <v>11126</v>
      </c>
      <c r="B1080" s="35">
        <v>0.95215597995192602</v>
      </c>
    </row>
    <row r="1081" spans="1:2" ht="13.2" x14ac:dyDescent="0.25">
      <c r="A1081" s="34" t="s">
        <v>11125</v>
      </c>
      <c r="B1081" s="35">
        <v>0.95097975340093099</v>
      </c>
    </row>
    <row r="1082" spans="1:2" ht="13.2" x14ac:dyDescent="0.25">
      <c r="A1082" s="34" t="s">
        <v>11124</v>
      </c>
      <c r="B1082" s="35">
        <v>0.99157831807939101</v>
      </c>
    </row>
    <row r="1083" spans="1:2" ht="13.2" x14ac:dyDescent="0.25">
      <c r="A1083" s="34" t="s">
        <v>11123</v>
      </c>
    </row>
    <row r="1084" spans="1:2" ht="13.2" x14ac:dyDescent="0.25">
      <c r="A1084" s="34" t="s">
        <v>11122</v>
      </c>
    </row>
    <row r="1085" spans="1:2" ht="13.2" x14ac:dyDescent="0.25">
      <c r="A1085" s="34" t="s">
        <v>11121</v>
      </c>
      <c r="B1085" s="35">
        <v>1.08036829010726</v>
      </c>
    </row>
    <row r="1086" spans="1:2" ht="13.2" x14ac:dyDescent="0.25">
      <c r="A1086" s="34" t="s">
        <v>11120</v>
      </c>
      <c r="B1086" s="35">
        <v>1.0156882472444899</v>
      </c>
    </row>
    <row r="1087" spans="1:2" ht="13.2" x14ac:dyDescent="0.25">
      <c r="A1087" s="34" t="s">
        <v>11119</v>
      </c>
      <c r="B1087" s="35">
        <v>1.01454539295658</v>
      </c>
    </row>
    <row r="1088" spans="1:2" ht="13.2" x14ac:dyDescent="0.25">
      <c r="A1088" s="34" t="s">
        <v>11118</v>
      </c>
      <c r="B1088" s="35">
        <v>0.98666603256353702</v>
      </c>
    </row>
    <row r="1089" spans="1:2" ht="13.2" x14ac:dyDescent="0.25">
      <c r="A1089" s="34" t="s">
        <v>11117</v>
      </c>
      <c r="B1089" s="35">
        <v>1.01415987146491</v>
      </c>
    </row>
    <row r="1090" spans="1:2" ht="13.2" x14ac:dyDescent="0.25">
      <c r="A1090" s="34" t="s">
        <v>11116</v>
      </c>
    </row>
    <row r="1091" spans="1:2" ht="13.2" x14ac:dyDescent="0.25">
      <c r="A1091" s="34" t="s">
        <v>11115</v>
      </c>
    </row>
    <row r="1092" spans="1:2" ht="13.2" x14ac:dyDescent="0.25">
      <c r="A1092" s="34" t="s">
        <v>11114</v>
      </c>
      <c r="B1092" s="35">
        <v>1.0384676167261699</v>
      </c>
    </row>
    <row r="1093" spans="1:2" ht="13.2" x14ac:dyDescent="0.25">
      <c r="A1093" s="34" t="s">
        <v>11113</v>
      </c>
      <c r="B1093" s="35">
        <v>1.06985623988589</v>
      </c>
    </row>
    <row r="1094" spans="1:2" ht="13.2" x14ac:dyDescent="0.25">
      <c r="A1094" s="34" t="s">
        <v>11112</v>
      </c>
      <c r="B1094" s="35">
        <v>1.0848637531477701</v>
      </c>
    </row>
    <row r="1095" spans="1:2" ht="13.2" x14ac:dyDescent="0.25">
      <c r="A1095" s="34" t="s">
        <v>11111</v>
      </c>
      <c r="B1095" s="35">
        <v>1.28185596843912</v>
      </c>
    </row>
    <row r="1096" spans="1:2" ht="13.2" x14ac:dyDescent="0.25">
      <c r="A1096" s="34" t="s">
        <v>11110</v>
      </c>
      <c r="B1096" s="35">
        <v>1.28311419048599</v>
      </c>
    </row>
    <row r="1097" spans="1:2" ht="13.2" x14ac:dyDescent="0.25">
      <c r="A1097" s="34" t="s">
        <v>11109</v>
      </c>
    </row>
    <row r="1098" spans="1:2" ht="13.2" x14ac:dyDescent="0.25">
      <c r="A1098" s="34" t="s">
        <v>11108</v>
      </c>
    </row>
    <row r="1099" spans="1:2" ht="13.2" x14ac:dyDescent="0.25">
      <c r="A1099" s="34" t="s">
        <v>11107</v>
      </c>
      <c r="B1099" s="35">
        <v>1.2634468810660799</v>
      </c>
    </row>
    <row r="1100" spans="1:2" ht="13.2" x14ac:dyDescent="0.25">
      <c r="A1100" s="34" t="s">
        <v>11106</v>
      </c>
      <c r="B1100" s="35">
        <v>1.28246628472789</v>
      </c>
    </row>
    <row r="1101" spans="1:2" ht="13.2" x14ac:dyDescent="0.25">
      <c r="A1101" s="34" t="s">
        <v>11105</v>
      </c>
      <c r="B1101" s="35">
        <v>1.3533891154534801</v>
      </c>
    </row>
    <row r="1102" spans="1:2" ht="13.2" x14ac:dyDescent="0.25">
      <c r="A1102" s="34" t="s">
        <v>11104</v>
      </c>
      <c r="B1102" s="35">
        <v>1.36090919151391</v>
      </c>
    </row>
    <row r="1103" spans="1:2" ht="13.2" x14ac:dyDescent="0.25">
      <c r="A1103" s="34" t="s">
        <v>11103</v>
      </c>
      <c r="B1103" s="35">
        <v>1.34889364447159</v>
      </c>
    </row>
    <row r="1104" spans="1:2" ht="13.2" x14ac:dyDescent="0.25">
      <c r="A1104" s="34" t="s">
        <v>11102</v>
      </c>
    </row>
    <row r="1105" spans="1:2" ht="13.2" x14ac:dyDescent="0.25">
      <c r="A1105" s="34" t="s">
        <v>11101</v>
      </c>
    </row>
    <row r="1106" spans="1:2" ht="13.2" x14ac:dyDescent="0.25">
      <c r="A1106" s="34" t="s">
        <v>11100</v>
      </c>
      <c r="B1106" s="35">
        <v>1.3975697046857201</v>
      </c>
    </row>
    <row r="1107" spans="1:2" ht="13.2" x14ac:dyDescent="0.25">
      <c r="A1107" s="34" t="s">
        <v>11099</v>
      </c>
      <c r="B1107" s="35">
        <v>1.4121745298061299</v>
      </c>
    </row>
    <row r="1108" spans="1:2" ht="13.2" x14ac:dyDescent="0.25">
      <c r="A1108" s="34" t="s">
        <v>11098</v>
      </c>
      <c r="B1108" s="35">
        <v>1.33914480287238</v>
      </c>
    </row>
    <row r="1109" spans="1:2" ht="13.2" x14ac:dyDescent="0.25">
      <c r="A1109" s="34" t="s">
        <v>11097</v>
      </c>
    </row>
    <row r="1110" spans="1:2" ht="13.2" x14ac:dyDescent="0.25">
      <c r="A1110" s="34" t="s">
        <v>11096</v>
      </c>
      <c r="B1110" s="35">
        <v>1.32499707062427</v>
      </c>
    </row>
    <row r="1111" spans="1:2" ht="13.2" x14ac:dyDescent="0.25">
      <c r="A1111" s="34" t="s">
        <v>11095</v>
      </c>
    </row>
    <row r="1112" spans="1:2" ht="13.2" x14ac:dyDescent="0.25">
      <c r="A1112" s="34" t="s">
        <v>11094</v>
      </c>
    </row>
    <row r="1113" spans="1:2" ht="13.2" x14ac:dyDescent="0.25">
      <c r="A1113" s="34" t="s">
        <v>11093</v>
      </c>
      <c r="B1113" s="35">
        <v>1.36001470253386</v>
      </c>
    </row>
    <row r="1114" spans="1:2" ht="13.2" x14ac:dyDescent="0.25">
      <c r="A1114" s="34" t="s">
        <v>11092</v>
      </c>
      <c r="B1114" s="35">
        <v>1.3601625537118101</v>
      </c>
    </row>
    <row r="1115" spans="1:2" ht="13.2" x14ac:dyDescent="0.25">
      <c r="A1115" s="34" t="s">
        <v>11091</v>
      </c>
      <c r="B1115" s="35">
        <v>1.33372394605237</v>
      </c>
    </row>
    <row r="1116" spans="1:2" ht="13.2" x14ac:dyDescent="0.25">
      <c r="A1116" s="34" t="s">
        <v>11090</v>
      </c>
      <c r="B1116" s="35">
        <v>1.32072008244148</v>
      </c>
    </row>
    <row r="1117" spans="1:2" ht="13.2" x14ac:dyDescent="0.25">
      <c r="A1117" s="34" t="s">
        <v>11089</v>
      </c>
      <c r="B1117" s="35">
        <v>1.41198577632992</v>
      </c>
    </row>
    <row r="1118" spans="1:2" ht="13.2" x14ac:dyDescent="0.25">
      <c r="A1118" s="34" t="s">
        <v>11088</v>
      </c>
    </row>
    <row r="1119" spans="1:2" ht="13.2" x14ac:dyDescent="0.25">
      <c r="A1119" s="34" t="s">
        <v>11087</v>
      </c>
    </row>
    <row r="1120" spans="1:2" ht="13.2" x14ac:dyDescent="0.25">
      <c r="A1120" s="34" t="s">
        <v>11086</v>
      </c>
      <c r="B1120" s="35">
        <v>1.53771936639528</v>
      </c>
    </row>
    <row r="1121" spans="1:2" ht="13.2" x14ac:dyDescent="0.25">
      <c r="A1121" s="34" t="s">
        <v>11085</v>
      </c>
      <c r="B1121" s="35">
        <v>1.51180366933538</v>
      </c>
    </row>
    <row r="1122" spans="1:2" ht="13.2" x14ac:dyDescent="0.25">
      <c r="A1122" s="34" t="s">
        <v>11084</v>
      </c>
      <c r="B1122" s="35">
        <v>1.4771534957526899</v>
      </c>
    </row>
    <row r="1123" spans="1:2" ht="13.2" x14ac:dyDescent="0.25">
      <c r="A1123" s="34" t="s">
        <v>11083</v>
      </c>
      <c r="B1123" s="35">
        <v>1.45608887224473</v>
      </c>
    </row>
    <row r="1124" spans="1:2" ht="13.2" x14ac:dyDescent="0.25">
      <c r="A1124" s="34" t="s">
        <v>11082</v>
      </c>
      <c r="B1124" s="35">
        <v>1.6468021113493101</v>
      </c>
    </row>
    <row r="1125" spans="1:2" ht="13.2" x14ac:dyDescent="0.25">
      <c r="A1125" s="34" t="s">
        <v>11081</v>
      </c>
    </row>
    <row r="1126" spans="1:2" ht="13.2" x14ac:dyDescent="0.25">
      <c r="A1126" s="34" t="s">
        <v>11080</v>
      </c>
    </row>
    <row r="1127" spans="1:2" ht="13.2" x14ac:dyDescent="0.25">
      <c r="A1127" s="34" t="s">
        <v>11079</v>
      </c>
      <c r="B1127" s="35">
        <v>1.55854792560573</v>
      </c>
    </row>
    <row r="1128" spans="1:2" ht="13.2" x14ac:dyDescent="0.25">
      <c r="A1128" s="34" t="s">
        <v>11078</v>
      </c>
      <c r="B1128" s="35">
        <v>1.6399383761811499</v>
      </c>
    </row>
    <row r="1129" spans="1:2" ht="13.2" x14ac:dyDescent="0.25">
      <c r="A1129" s="34" t="s">
        <v>11077</v>
      </c>
      <c r="B1129" s="35">
        <v>1.69490968320549</v>
      </c>
    </row>
    <row r="1130" spans="1:2" ht="13.2" x14ac:dyDescent="0.25">
      <c r="A1130" s="34" t="s">
        <v>11076</v>
      </c>
      <c r="B1130" s="35">
        <v>1.6826618413618799</v>
      </c>
    </row>
    <row r="1131" spans="1:2" ht="13.2" x14ac:dyDescent="0.25">
      <c r="A1131" s="34" t="s">
        <v>11075</v>
      </c>
      <c r="B1131" s="35">
        <v>1.7947104265574301</v>
      </c>
    </row>
    <row r="1132" spans="1:2" ht="13.2" x14ac:dyDescent="0.25">
      <c r="A1132" s="34" t="s">
        <v>11074</v>
      </c>
    </row>
    <row r="1133" spans="1:2" ht="13.2" x14ac:dyDescent="0.25">
      <c r="A1133" s="34" t="s">
        <v>11073</v>
      </c>
    </row>
    <row r="1134" spans="1:2" ht="13.2" x14ac:dyDescent="0.25">
      <c r="A1134" s="34" t="s">
        <v>11072</v>
      </c>
      <c r="B1134" s="35">
        <v>1.8175541142771701</v>
      </c>
    </row>
    <row r="1135" spans="1:2" ht="13.2" x14ac:dyDescent="0.25">
      <c r="A1135" s="34" t="s">
        <v>11071</v>
      </c>
      <c r="B1135" s="35">
        <v>1.8312246076411201</v>
      </c>
    </row>
    <row r="1136" spans="1:2" ht="13.2" x14ac:dyDescent="0.25">
      <c r="A1136" s="34" t="s">
        <v>11070</v>
      </c>
      <c r="B1136" s="35">
        <v>1.7906349678773701</v>
      </c>
    </row>
    <row r="1137" spans="1:2" ht="13.2" x14ac:dyDescent="0.25">
      <c r="A1137" s="34" t="s">
        <v>11069</v>
      </c>
      <c r="B1137" s="35">
        <v>1.7732748357746799</v>
      </c>
    </row>
    <row r="1138" spans="1:2" ht="13.2" x14ac:dyDescent="0.25">
      <c r="A1138" s="34" t="s">
        <v>11068</v>
      </c>
      <c r="B1138" s="35">
        <v>1.8701730025651699</v>
      </c>
    </row>
    <row r="1139" spans="1:2" ht="13.2" x14ac:dyDescent="0.25">
      <c r="A1139" s="34" t="s">
        <v>11067</v>
      </c>
    </row>
    <row r="1140" spans="1:2" ht="13.2" x14ac:dyDescent="0.25">
      <c r="A1140" s="34" t="s">
        <v>11066</v>
      </c>
    </row>
    <row r="1141" spans="1:2" ht="13.2" x14ac:dyDescent="0.25">
      <c r="A1141" s="34" t="s">
        <v>11065</v>
      </c>
      <c r="B1141" s="35">
        <v>1.84830038442873</v>
      </c>
    </row>
    <row r="1142" spans="1:2" ht="13.2" x14ac:dyDescent="0.25">
      <c r="A1142" s="34" t="s">
        <v>11064</v>
      </c>
      <c r="B1142" s="35">
        <v>1.8246115183640801</v>
      </c>
    </row>
    <row r="1143" spans="1:2" ht="13.2" x14ac:dyDescent="0.25">
      <c r="A1143" s="34" t="s">
        <v>11063</v>
      </c>
      <c r="B1143" s="35">
        <v>1.81876012067628</v>
      </c>
    </row>
    <row r="1144" spans="1:2" ht="13.2" x14ac:dyDescent="0.25">
      <c r="A1144" s="34" t="s">
        <v>11062</v>
      </c>
      <c r="B1144" s="35">
        <v>1.7930811028696301</v>
      </c>
    </row>
    <row r="1145" spans="1:2" ht="13.2" x14ac:dyDescent="0.25">
      <c r="A1145" s="34" t="s">
        <v>11061</v>
      </c>
      <c r="B1145" s="35">
        <v>1.79261624403689</v>
      </c>
    </row>
    <row r="1146" spans="1:2" ht="13.2" x14ac:dyDescent="0.25">
      <c r="A1146" s="34" t="s">
        <v>11060</v>
      </c>
    </row>
    <row r="1147" spans="1:2" ht="13.2" x14ac:dyDescent="0.25">
      <c r="A1147" s="34" t="s">
        <v>11059</v>
      </c>
    </row>
    <row r="1148" spans="1:2" ht="13.2" x14ac:dyDescent="0.25">
      <c r="A1148" s="34" t="s">
        <v>11058</v>
      </c>
      <c r="B1148" s="35">
        <v>1.98385544181841</v>
      </c>
    </row>
    <row r="1149" spans="1:2" ht="13.2" x14ac:dyDescent="0.25">
      <c r="A1149" s="34" t="s">
        <v>11057</v>
      </c>
      <c r="B1149" s="35">
        <v>1.9991273764652999</v>
      </c>
    </row>
    <row r="1150" spans="1:2" ht="13.2" x14ac:dyDescent="0.25">
      <c r="A1150" s="34" t="s">
        <v>11056</v>
      </c>
      <c r="B1150" s="35">
        <v>2.0305838871329902</v>
      </c>
    </row>
    <row r="1151" spans="1:2" ht="13.2" x14ac:dyDescent="0.25">
      <c r="A1151" s="34" t="s">
        <v>11055</v>
      </c>
      <c r="B1151" s="35">
        <v>2.03247902834724</v>
      </c>
    </row>
    <row r="1152" spans="1:2" ht="13.2" x14ac:dyDescent="0.25">
      <c r="A1152" s="34" t="s">
        <v>11054</v>
      </c>
      <c r="B1152" s="35">
        <v>2.1510341728077802</v>
      </c>
    </row>
    <row r="1153" spans="1:2" ht="13.2" x14ac:dyDescent="0.25">
      <c r="A1153" s="34" t="s">
        <v>11053</v>
      </c>
    </row>
    <row r="1154" spans="1:2" ht="13.2" x14ac:dyDescent="0.25">
      <c r="A1154" s="34" t="s">
        <v>11052</v>
      </c>
    </row>
    <row r="1155" spans="1:2" ht="13.2" x14ac:dyDescent="0.25">
      <c r="A1155" s="34" t="s">
        <v>11051</v>
      </c>
      <c r="B1155" s="35">
        <v>2.0532880551249599</v>
      </c>
    </row>
    <row r="1156" spans="1:2" ht="13.2" x14ac:dyDescent="0.25">
      <c r="A1156" s="34" t="s">
        <v>11050</v>
      </c>
      <c r="B1156" s="35">
        <v>2.0083994148547402</v>
      </c>
    </row>
    <row r="1157" spans="1:2" ht="13.2" x14ac:dyDescent="0.25">
      <c r="A1157" s="34" t="s">
        <v>11049</v>
      </c>
      <c r="B1157" s="35">
        <v>2.0579935493508001</v>
      </c>
    </row>
    <row r="1158" spans="1:2" ht="13.2" x14ac:dyDescent="0.25">
      <c r="A1158" s="34" t="s">
        <v>11048</v>
      </c>
      <c r="B1158" s="35">
        <v>1.99405916726562</v>
      </c>
    </row>
    <row r="1159" spans="1:2" ht="13.2" x14ac:dyDescent="0.25">
      <c r="A1159" s="34" t="s">
        <v>11047</v>
      </c>
      <c r="B1159" s="35">
        <v>2.0417106322754401</v>
      </c>
    </row>
    <row r="1160" spans="1:2" ht="13.2" x14ac:dyDescent="0.25">
      <c r="A1160" s="34" t="s">
        <v>11046</v>
      </c>
    </row>
    <row r="1161" spans="1:2" ht="13.2" x14ac:dyDescent="0.25">
      <c r="A1161" s="34" t="s">
        <v>11045</v>
      </c>
    </row>
    <row r="1162" spans="1:2" ht="13.2" x14ac:dyDescent="0.25">
      <c r="A1162" s="34" t="s">
        <v>11044</v>
      </c>
      <c r="B1162" s="35">
        <v>1.9500197145442499</v>
      </c>
    </row>
    <row r="1163" spans="1:2" ht="13.2" x14ac:dyDescent="0.25">
      <c r="A1163" s="34" t="s">
        <v>11043</v>
      </c>
      <c r="B1163" s="35">
        <v>2.0972531924143598</v>
      </c>
    </row>
    <row r="1164" spans="1:2" ht="13.2" x14ac:dyDescent="0.25">
      <c r="A1164" s="34" t="s">
        <v>11042</v>
      </c>
      <c r="B1164" s="35">
        <v>2.07144746564328</v>
      </c>
    </row>
    <row r="1165" spans="1:2" ht="13.2" x14ac:dyDescent="0.25">
      <c r="A1165" s="34" t="s">
        <v>11041</v>
      </c>
      <c r="B1165" s="35">
        <v>2.1098511231055102</v>
      </c>
    </row>
    <row r="1166" spans="1:2" ht="13.2" x14ac:dyDescent="0.25">
      <c r="A1166" s="34" t="s">
        <v>11040</v>
      </c>
      <c r="B1166" s="35">
        <v>2.1153333469090199</v>
      </c>
    </row>
    <row r="1167" spans="1:2" ht="13.2" x14ac:dyDescent="0.25">
      <c r="A1167" s="34" t="s">
        <v>11039</v>
      </c>
    </row>
    <row r="1168" spans="1:2" ht="13.2" x14ac:dyDescent="0.25">
      <c r="A1168" s="34" t="s">
        <v>11038</v>
      </c>
    </row>
    <row r="1169" spans="1:2" ht="13.2" x14ac:dyDescent="0.25">
      <c r="A1169" s="34" t="s">
        <v>11037</v>
      </c>
      <c r="B1169" s="35">
        <v>2.09614766600173</v>
      </c>
    </row>
    <row r="1170" spans="1:2" ht="13.2" x14ac:dyDescent="0.25">
      <c r="A1170" s="34" t="s">
        <v>11036</v>
      </c>
      <c r="B1170" s="35">
        <v>2.1217356989898999</v>
      </c>
    </row>
    <row r="1171" spans="1:2" ht="13.2" x14ac:dyDescent="0.25">
      <c r="A1171" s="34" t="s">
        <v>11035</v>
      </c>
      <c r="B1171" s="35">
        <v>2.0521727239590302</v>
      </c>
    </row>
    <row r="1172" spans="1:2" ht="13.2" x14ac:dyDescent="0.25">
      <c r="A1172" s="34" t="s">
        <v>11034</v>
      </c>
      <c r="B1172" s="35">
        <v>2.08324953126401</v>
      </c>
    </row>
    <row r="1173" spans="1:2" ht="13.2" x14ac:dyDescent="0.25">
      <c r="A1173" s="34" t="s">
        <v>11033</v>
      </c>
      <c r="B1173" s="35">
        <v>2.06868289803871</v>
      </c>
    </row>
    <row r="1174" spans="1:2" ht="13.2" x14ac:dyDescent="0.25">
      <c r="A1174" s="34" t="s">
        <v>11032</v>
      </c>
    </row>
    <row r="1175" spans="1:2" ht="13.2" x14ac:dyDescent="0.25">
      <c r="A1175" s="34" t="s">
        <v>11031</v>
      </c>
    </row>
    <row r="1176" spans="1:2" ht="13.2" x14ac:dyDescent="0.25">
      <c r="A1176" s="34" t="s">
        <v>11030</v>
      </c>
      <c r="B1176" s="35">
        <v>2.0259992558919202</v>
      </c>
    </row>
    <row r="1177" spans="1:2" ht="13.2" x14ac:dyDescent="0.25">
      <c r="A1177" s="34" t="s">
        <v>11029</v>
      </c>
      <c r="B1177" s="35">
        <v>1.9133871607528601</v>
      </c>
    </row>
    <row r="1178" spans="1:2" ht="13.2" x14ac:dyDescent="0.25">
      <c r="A1178" s="34" t="s">
        <v>11028</v>
      </c>
      <c r="B1178" s="35">
        <v>1.85555290239184</v>
      </c>
    </row>
    <row r="1179" spans="1:2" ht="13.2" x14ac:dyDescent="0.25">
      <c r="A1179" s="34" t="s">
        <v>11027</v>
      </c>
      <c r="B1179" s="35">
        <v>1.8819865347813201</v>
      </c>
    </row>
    <row r="1180" spans="1:2" ht="13.2" x14ac:dyDescent="0.25">
      <c r="A1180" s="34" t="s">
        <v>11026</v>
      </c>
      <c r="B1180" s="35">
        <v>1.8782662671880399</v>
      </c>
    </row>
    <row r="1181" spans="1:2" ht="13.2" x14ac:dyDescent="0.25">
      <c r="A1181" s="34" t="s">
        <v>11025</v>
      </c>
    </row>
    <row r="1182" spans="1:2" ht="13.2" x14ac:dyDescent="0.25">
      <c r="A1182" s="34" t="s">
        <v>11024</v>
      </c>
    </row>
    <row r="1183" spans="1:2" ht="13.2" x14ac:dyDescent="0.25">
      <c r="A1183" s="34" t="s">
        <v>11023</v>
      </c>
      <c r="B1183" s="35">
        <v>1.7193017597897899</v>
      </c>
    </row>
    <row r="1184" spans="1:2" ht="13.2" x14ac:dyDescent="0.25">
      <c r="A1184" s="34" t="s">
        <v>11022</v>
      </c>
      <c r="B1184" s="35">
        <v>1.6828586467114699</v>
      </c>
    </row>
    <row r="1185" spans="1:2" ht="13.2" x14ac:dyDescent="0.25">
      <c r="A1185" s="34" t="s">
        <v>11021</v>
      </c>
      <c r="B1185" s="35">
        <v>1.6611098921906</v>
      </c>
    </row>
    <row r="1186" spans="1:2" ht="13.2" x14ac:dyDescent="0.25">
      <c r="A1186" s="34" t="s">
        <v>11020</v>
      </c>
      <c r="B1186" s="35">
        <v>1.55042046720189</v>
      </c>
    </row>
    <row r="1187" spans="1:2" ht="13.2" x14ac:dyDescent="0.25">
      <c r="A1187" s="34" t="s">
        <v>11019</v>
      </c>
      <c r="B1187" s="35">
        <v>1.5559735338451499</v>
      </c>
    </row>
    <row r="1188" spans="1:2" ht="13.2" x14ac:dyDescent="0.25">
      <c r="A1188" s="34" t="s">
        <v>11018</v>
      </c>
    </row>
    <row r="1189" spans="1:2" ht="13.2" x14ac:dyDescent="0.25">
      <c r="A1189" s="34" t="s">
        <v>11017</v>
      </c>
    </row>
    <row r="1190" spans="1:2" ht="13.2" x14ac:dyDescent="0.25">
      <c r="A1190" s="34" t="s">
        <v>11016</v>
      </c>
      <c r="B1190" s="35">
        <v>1.6152498883858799</v>
      </c>
    </row>
    <row r="1191" spans="1:2" ht="13.2" x14ac:dyDescent="0.25">
      <c r="A1191" s="34" t="s">
        <v>11015</v>
      </c>
      <c r="B1191" s="35">
        <v>1.6312627986952899</v>
      </c>
    </row>
    <row r="1192" spans="1:2" ht="13.2" x14ac:dyDescent="0.25">
      <c r="A1192" s="34" t="s">
        <v>11014</v>
      </c>
      <c r="B1192" s="35">
        <v>1.51437871015018</v>
      </c>
    </row>
    <row r="1193" spans="1:2" ht="13.2" x14ac:dyDescent="0.25">
      <c r="A1193" s="34" t="s">
        <v>11013</v>
      </c>
      <c r="B1193" s="35">
        <v>1.51545468659007</v>
      </c>
    </row>
    <row r="1194" spans="1:2" ht="13.2" x14ac:dyDescent="0.25">
      <c r="A1194" s="34" t="s">
        <v>11012</v>
      </c>
      <c r="B1194" s="35">
        <v>1.4151689760616699</v>
      </c>
    </row>
    <row r="1195" spans="1:2" ht="13.2" x14ac:dyDescent="0.25">
      <c r="A1195" s="34" t="s">
        <v>11011</v>
      </c>
    </row>
    <row r="1196" spans="1:2" ht="13.2" x14ac:dyDescent="0.25">
      <c r="A1196" s="34" t="s">
        <v>11010</v>
      </c>
    </row>
    <row r="1197" spans="1:2" ht="13.2" x14ac:dyDescent="0.25">
      <c r="A1197" s="34" t="s">
        <v>11009</v>
      </c>
      <c r="B1197" s="35">
        <v>1.3815329903788101</v>
      </c>
    </row>
    <row r="1198" spans="1:2" ht="13.2" x14ac:dyDescent="0.25">
      <c r="A1198" s="34" t="s">
        <v>11008</v>
      </c>
      <c r="B1198" s="35">
        <v>1.3254612338907099</v>
      </c>
    </row>
    <row r="1199" spans="1:2" ht="13.2" x14ac:dyDescent="0.25">
      <c r="A1199" s="34" t="s">
        <v>11007</v>
      </c>
      <c r="B1199" s="35">
        <v>1.2557838167595099</v>
      </c>
    </row>
    <row r="1200" spans="1:2" ht="13.2" x14ac:dyDescent="0.25">
      <c r="A1200" s="34" t="s">
        <v>11006</v>
      </c>
      <c r="B1200" s="35">
        <v>1.2554980176093999</v>
      </c>
    </row>
    <row r="1201" spans="1:2" ht="13.2" x14ac:dyDescent="0.25">
      <c r="A1201" s="34" t="s">
        <v>11005</v>
      </c>
      <c r="B1201" s="35">
        <v>1.2449242228725199</v>
      </c>
    </row>
    <row r="1202" spans="1:2" ht="13.2" x14ac:dyDescent="0.25">
      <c r="A1202" s="34" t="s">
        <v>11004</v>
      </c>
    </row>
    <row r="1203" spans="1:2" ht="13.2" x14ac:dyDescent="0.25">
      <c r="A1203" s="34" t="s">
        <v>11003</v>
      </c>
    </row>
    <row r="1204" spans="1:2" ht="13.2" x14ac:dyDescent="0.25">
      <c r="A1204" s="34" t="s">
        <v>11002</v>
      </c>
      <c r="B1204" s="35">
        <v>1.2456026292620701</v>
      </c>
    </row>
    <row r="1205" spans="1:2" ht="13.2" x14ac:dyDescent="0.25">
      <c r="A1205" s="34" t="s">
        <v>11001</v>
      </c>
      <c r="B1205" s="35">
        <v>1.2199941936204399</v>
      </c>
    </row>
    <row r="1206" spans="1:2" ht="13.2" x14ac:dyDescent="0.25">
      <c r="A1206" s="34" t="s">
        <v>11000</v>
      </c>
      <c r="B1206" s="35">
        <v>1.2048942791886701</v>
      </c>
    </row>
    <row r="1207" spans="1:2" ht="13.2" x14ac:dyDescent="0.25">
      <c r="A1207" s="34" t="s">
        <v>10999</v>
      </c>
      <c r="B1207" s="35">
        <v>1.20798929113739</v>
      </c>
    </row>
    <row r="1208" spans="1:2" ht="13.2" x14ac:dyDescent="0.25">
      <c r="A1208" s="34" t="s">
        <v>10998</v>
      </c>
      <c r="B1208" s="35">
        <v>1.1603658294458701</v>
      </c>
    </row>
    <row r="1209" spans="1:2" ht="13.2" x14ac:dyDescent="0.25">
      <c r="A1209" s="34" t="s">
        <v>10997</v>
      </c>
    </row>
    <row r="1210" spans="1:2" ht="13.2" x14ac:dyDescent="0.25">
      <c r="A1210" s="34" t="s">
        <v>10996</v>
      </c>
    </row>
    <row r="1211" spans="1:2" ht="13.2" x14ac:dyDescent="0.25">
      <c r="A1211" s="34" t="s">
        <v>10995</v>
      </c>
      <c r="B1211" s="35">
        <v>1.18030527536647</v>
      </c>
    </row>
    <row r="1212" spans="1:2" ht="13.2" x14ac:dyDescent="0.25">
      <c r="A1212" s="34" t="s">
        <v>10994</v>
      </c>
      <c r="B1212" s="35">
        <v>1.15896198215853</v>
      </c>
    </row>
    <row r="1213" spans="1:2" ht="13.2" x14ac:dyDescent="0.25">
      <c r="A1213" s="34" t="s">
        <v>10993</v>
      </c>
      <c r="B1213" s="35">
        <v>1.1570148737436701</v>
      </c>
    </row>
    <row r="1214" spans="1:2" ht="13.2" x14ac:dyDescent="0.25">
      <c r="A1214" s="34" t="s">
        <v>10992</v>
      </c>
      <c r="B1214" s="35">
        <v>1.1704120197346899</v>
      </c>
    </row>
    <row r="1215" spans="1:2" ht="13.2" x14ac:dyDescent="0.25">
      <c r="A1215" s="34" t="s">
        <v>10991</v>
      </c>
      <c r="B1215" s="35">
        <v>1.13665140588467</v>
      </c>
    </row>
    <row r="1216" spans="1:2" ht="13.2" x14ac:dyDescent="0.25">
      <c r="A1216" s="34" t="s">
        <v>10990</v>
      </c>
    </row>
    <row r="1217" spans="1:2" ht="13.2" x14ac:dyDescent="0.25">
      <c r="A1217" s="34" t="s">
        <v>10989</v>
      </c>
    </row>
    <row r="1218" spans="1:2" ht="13.2" x14ac:dyDescent="0.25">
      <c r="A1218" s="34" t="s">
        <v>10988</v>
      </c>
      <c r="B1218" s="35">
        <v>1.12925576941234</v>
      </c>
    </row>
    <row r="1219" spans="1:2" ht="13.2" x14ac:dyDescent="0.25">
      <c r="A1219" s="34" t="s">
        <v>10987</v>
      </c>
      <c r="B1219" s="35">
        <v>0.87798192974027001</v>
      </c>
    </row>
    <row r="1220" spans="1:2" ht="13.2" x14ac:dyDescent="0.25">
      <c r="A1220" s="34" t="s">
        <v>10986</v>
      </c>
      <c r="B1220" s="35">
        <v>0.86097027095922496</v>
      </c>
    </row>
    <row r="1221" spans="1:2" ht="13.2" x14ac:dyDescent="0.25">
      <c r="A1221" s="34" t="s">
        <v>10985</v>
      </c>
      <c r="B1221" s="35">
        <v>0.65881530263789401</v>
      </c>
    </row>
    <row r="1222" spans="1:2" ht="13.2" x14ac:dyDescent="0.25">
      <c r="A1222" s="34" t="s">
        <v>10984</v>
      </c>
      <c r="B1222" s="35">
        <v>0.71353224691774297</v>
      </c>
    </row>
    <row r="1223" spans="1:2" ht="13.2" x14ac:dyDescent="0.25">
      <c r="A1223" s="34" t="s">
        <v>10983</v>
      </c>
    </row>
    <row r="1224" spans="1:2" ht="13.2" x14ac:dyDescent="0.25">
      <c r="A1224" s="34" t="s">
        <v>10982</v>
      </c>
    </row>
    <row r="1225" spans="1:2" ht="13.2" x14ac:dyDescent="0.25">
      <c r="A1225" s="34" t="s">
        <v>10981</v>
      </c>
      <c r="B1225" s="35">
        <v>0.71390622801543901</v>
      </c>
    </row>
    <row r="1226" spans="1:2" ht="13.2" x14ac:dyDescent="0.25">
      <c r="A1226" s="34" t="s">
        <v>10980</v>
      </c>
      <c r="B1226" s="35">
        <v>0.73404740171734595</v>
      </c>
    </row>
    <row r="1227" spans="1:2" ht="13.2" x14ac:dyDescent="0.25">
      <c r="A1227" s="34" t="s">
        <v>10979</v>
      </c>
      <c r="B1227" s="35">
        <v>0.76611506144131902</v>
      </c>
    </row>
    <row r="1228" spans="1:2" ht="13.2" x14ac:dyDescent="0.25">
      <c r="A1228" s="34" t="s">
        <v>10978</v>
      </c>
    </row>
    <row r="1229" spans="1:2" ht="13.2" x14ac:dyDescent="0.25">
      <c r="A1229" s="34" t="s">
        <v>10977</v>
      </c>
      <c r="B1229" s="35">
        <v>0.76558359963198597</v>
      </c>
    </row>
    <row r="1230" spans="1:2" ht="13.2" x14ac:dyDescent="0.25">
      <c r="A1230" s="34" t="s">
        <v>10976</v>
      </c>
    </row>
    <row r="1231" spans="1:2" ht="13.2" x14ac:dyDescent="0.25">
      <c r="A1231" s="34" t="s">
        <v>10975</v>
      </c>
    </row>
    <row r="1232" spans="1:2" ht="13.2" x14ac:dyDescent="0.25">
      <c r="A1232" s="34" t="s">
        <v>10974</v>
      </c>
      <c r="B1232" s="35">
        <v>0.76012091933586701</v>
      </c>
    </row>
    <row r="1233" spans="1:2" ht="13.2" x14ac:dyDescent="0.25">
      <c r="A1233" s="34" t="s">
        <v>10973</v>
      </c>
      <c r="B1233" s="35">
        <v>0.72820321420200396</v>
      </c>
    </row>
    <row r="1234" spans="1:2" ht="13.2" x14ac:dyDescent="0.25">
      <c r="A1234" s="34" t="s">
        <v>10972</v>
      </c>
      <c r="B1234" s="35">
        <v>0.72691731909450097</v>
      </c>
    </row>
    <row r="1235" spans="1:2" ht="13.2" x14ac:dyDescent="0.25">
      <c r="A1235" s="34" t="s">
        <v>10971</v>
      </c>
      <c r="B1235" s="35">
        <v>0.72464051919379302</v>
      </c>
    </row>
    <row r="1236" spans="1:2" ht="13.2" x14ac:dyDescent="0.25">
      <c r="A1236" s="34" t="s">
        <v>10970</v>
      </c>
      <c r="B1236" s="35">
        <v>0.69088492795019196</v>
      </c>
    </row>
    <row r="1237" spans="1:2" ht="13.2" x14ac:dyDescent="0.25">
      <c r="A1237" s="34" t="s">
        <v>10969</v>
      </c>
    </row>
    <row r="1238" spans="1:2" ht="13.2" x14ac:dyDescent="0.25">
      <c r="A1238" s="34" t="s">
        <v>10968</v>
      </c>
    </row>
    <row r="1239" spans="1:2" ht="13.2" x14ac:dyDescent="0.25">
      <c r="A1239" s="34" t="s">
        <v>10967</v>
      </c>
      <c r="B1239" s="35">
        <v>0.68773121619400301</v>
      </c>
    </row>
    <row r="1240" spans="1:2" ht="13.2" x14ac:dyDescent="0.25">
      <c r="A1240" s="34" t="s">
        <v>10966</v>
      </c>
      <c r="B1240" s="35">
        <v>0.73597248183313102</v>
      </c>
    </row>
    <row r="1241" spans="1:2" ht="13.2" x14ac:dyDescent="0.25">
      <c r="A1241" s="34" t="s">
        <v>10965</v>
      </c>
      <c r="B1241" s="35">
        <v>0.711760372339314</v>
      </c>
    </row>
    <row r="1242" spans="1:2" ht="13.2" x14ac:dyDescent="0.25">
      <c r="A1242" s="34" t="s">
        <v>10964</v>
      </c>
      <c r="B1242" s="35">
        <v>0.70659992348072598</v>
      </c>
    </row>
    <row r="1243" spans="1:2" ht="13.2" x14ac:dyDescent="0.25">
      <c r="A1243" s="34" t="s">
        <v>10963</v>
      </c>
      <c r="B1243" s="35">
        <v>0.69837508227283396</v>
      </c>
    </row>
    <row r="1244" spans="1:2" ht="13.2" x14ac:dyDescent="0.25">
      <c r="A1244" s="34" t="s">
        <v>10962</v>
      </c>
    </row>
    <row r="1245" spans="1:2" ht="13.2" x14ac:dyDescent="0.25">
      <c r="A1245" s="34" t="s">
        <v>10961</v>
      </c>
    </row>
    <row r="1246" spans="1:2" ht="13.2" x14ac:dyDescent="0.25">
      <c r="A1246" s="34" t="s">
        <v>10960</v>
      </c>
      <c r="B1246" s="35">
        <v>0.67092329092014402</v>
      </c>
    </row>
    <row r="1247" spans="1:2" ht="13.2" x14ac:dyDescent="0.25">
      <c r="A1247" s="34" t="s">
        <v>10959</v>
      </c>
      <c r="B1247" s="35">
        <v>0.79672253358335698</v>
      </c>
    </row>
    <row r="1248" spans="1:2" ht="13.2" x14ac:dyDescent="0.25">
      <c r="A1248" s="34" t="s">
        <v>10958</v>
      </c>
      <c r="B1248" s="35">
        <v>0.79148999289232702</v>
      </c>
    </row>
    <row r="1249" spans="1:2" ht="13.2" x14ac:dyDescent="0.25">
      <c r="A1249" s="34" t="s">
        <v>10957</v>
      </c>
      <c r="B1249" s="35">
        <v>0.81946388021115002</v>
      </c>
    </row>
    <row r="1250" spans="1:2" ht="13.2" x14ac:dyDescent="0.25">
      <c r="A1250" s="34" t="s">
        <v>10956</v>
      </c>
      <c r="B1250" s="35">
        <v>0.85753767378741197</v>
      </c>
    </row>
    <row r="1251" spans="1:2" ht="13.2" x14ac:dyDescent="0.25">
      <c r="A1251" s="34" t="s">
        <v>10955</v>
      </c>
    </row>
    <row r="1252" spans="1:2" ht="13.2" x14ac:dyDescent="0.25">
      <c r="A1252" s="34" t="s">
        <v>10954</v>
      </c>
    </row>
    <row r="1253" spans="1:2" ht="13.2" x14ac:dyDescent="0.25">
      <c r="A1253" s="34" t="s">
        <v>10953</v>
      </c>
      <c r="B1253" s="35">
        <v>0.91929435493530398</v>
      </c>
    </row>
    <row r="1254" spans="1:2" ht="13.2" x14ac:dyDescent="0.25">
      <c r="A1254" s="34" t="s">
        <v>10952</v>
      </c>
      <c r="B1254" s="35">
        <v>1.02188841788427</v>
      </c>
    </row>
    <row r="1255" spans="1:2" ht="13.2" x14ac:dyDescent="0.25">
      <c r="A1255" s="34" t="s">
        <v>10951</v>
      </c>
      <c r="B1255" s="35">
        <v>1.0210049098179499</v>
      </c>
    </row>
    <row r="1256" spans="1:2" ht="13.2" x14ac:dyDescent="0.25">
      <c r="A1256" s="34" t="s">
        <v>10950</v>
      </c>
      <c r="B1256" s="35">
        <v>0.99099419956282797</v>
      </c>
    </row>
    <row r="1257" spans="1:2" ht="13.2" x14ac:dyDescent="0.25">
      <c r="A1257" s="34" t="s">
        <v>10949</v>
      </c>
      <c r="B1257" s="35">
        <v>1.0168497127884299</v>
      </c>
    </row>
    <row r="1258" spans="1:2" ht="13.2" x14ac:dyDescent="0.25">
      <c r="A1258" s="34" t="s">
        <v>10948</v>
      </c>
    </row>
    <row r="1259" spans="1:2" ht="13.2" x14ac:dyDescent="0.25">
      <c r="A1259" s="34" t="s">
        <v>10947</v>
      </c>
    </row>
    <row r="1260" spans="1:2" ht="13.2" x14ac:dyDescent="0.25">
      <c r="A1260" s="34" t="s">
        <v>10946</v>
      </c>
      <c r="B1260" s="35">
        <v>1.01608243210855</v>
      </c>
    </row>
    <row r="1261" spans="1:2" ht="13.2" x14ac:dyDescent="0.25">
      <c r="A1261" s="34" t="s">
        <v>10945</v>
      </c>
      <c r="B1261" s="35">
        <v>1.02172772229841</v>
      </c>
    </row>
    <row r="1262" spans="1:2" ht="13.2" x14ac:dyDescent="0.25">
      <c r="A1262" s="34" t="s">
        <v>10944</v>
      </c>
      <c r="B1262" s="35">
        <v>1.0147152669388699</v>
      </c>
    </row>
    <row r="1263" spans="1:2" ht="13.2" x14ac:dyDescent="0.25">
      <c r="A1263" s="34" t="s">
        <v>10943</v>
      </c>
      <c r="B1263" s="35">
        <v>1.02067047723049</v>
      </c>
    </row>
    <row r="1264" spans="1:2" ht="13.2" x14ac:dyDescent="0.25">
      <c r="A1264" s="34" t="s">
        <v>10942</v>
      </c>
      <c r="B1264" s="35">
        <v>1.08208569370726</v>
      </c>
    </row>
    <row r="1265" spans="1:2" ht="13.2" x14ac:dyDescent="0.25">
      <c r="A1265" s="34" t="s">
        <v>10941</v>
      </c>
    </row>
    <row r="1266" spans="1:2" ht="13.2" x14ac:dyDescent="0.25">
      <c r="A1266" s="34" t="s">
        <v>10940</v>
      </c>
    </row>
    <row r="1267" spans="1:2" ht="13.2" x14ac:dyDescent="0.25">
      <c r="A1267" s="34" t="s">
        <v>10939</v>
      </c>
      <c r="B1267" s="35">
        <v>1.0842500709973799</v>
      </c>
    </row>
    <row r="1268" spans="1:2" ht="13.2" x14ac:dyDescent="0.25">
      <c r="A1268" s="34" t="s">
        <v>10938</v>
      </c>
      <c r="B1268" s="35">
        <v>1.0977591511988201</v>
      </c>
    </row>
    <row r="1269" spans="1:2" ht="13.2" x14ac:dyDescent="0.25">
      <c r="A1269" s="34" t="s">
        <v>10937</v>
      </c>
      <c r="B1269" s="35">
        <v>1.0380422014699999</v>
      </c>
    </row>
    <row r="1270" spans="1:2" ht="13.2" x14ac:dyDescent="0.25">
      <c r="A1270" s="34" t="s">
        <v>10936</v>
      </c>
      <c r="B1270" s="35">
        <v>1.0465202432890699</v>
      </c>
    </row>
    <row r="1271" spans="1:2" ht="13.2" x14ac:dyDescent="0.25">
      <c r="A1271" s="34" t="s">
        <v>10935</v>
      </c>
    </row>
    <row r="1272" spans="1:2" ht="13.2" x14ac:dyDescent="0.25">
      <c r="A1272" s="34" t="s">
        <v>10934</v>
      </c>
    </row>
    <row r="1273" spans="1:2" ht="13.2" x14ac:dyDescent="0.25">
      <c r="A1273" s="34" t="s">
        <v>10933</v>
      </c>
    </row>
    <row r="1274" spans="1:2" ht="13.2" x14ac:dyDescent="0.25">
      <c r="A1274" s="34" t="s">
        <v>10932</v>
      </c>
      <c r="B1274" s="35">
        <v>1.0473747249007199</v>
      </c>
    </row>
    <row r="1275" spans="1:2" ht="13.2" x14ac:dyDescent="0.25">
      <c r="A1275" s="34" t="s">
        <v>10931</v>
      </c>
      <c r="B1275" s="35">
        <v>1.03843772459253</v>
      </c>
    </row>
    <row r="1276" spans="1:2" ht="13.2" x14ac:dyDescent="0.25">
      <c r="A1276" s="34" t="s">
        <v>10930</v>
      </c>
      <c r="B1276" s="35">
        <v>1.0376629535869299</v>
      </c>
    </row>
    <row r="1277" spans="1:2" ht="13.2" x14ac:dyDescent="0.25">
      <c r="A1277" s="34" t="s">
        <v>10929</v>
      </c>
      <c r="B1277" s="35">
        <v>1.0129287139151499</v>
      </c>
    </row>
    <row r="1278" spans="1:2" ht="13.2" x14ac:dyDescent="0.25">
      <c r="A1278" s="34" t="s">
        <v>10928</v>
      </c>
      <c r="B1278" s="35">
        <v>1.0116370738027001</v>
      </c>
    </row>
    <row r="1279" spans="1:2" ht="13.2" x14ac:dyDescent="0.25">
      <c r="A1279" s="34" t="s">
        <v>10927</v>
      </c>
    </row>
    <row r="1280" spans="1:2" ht="13.2" x14ac:dyDescent="0.25">
      <c r="A1280" s="34" t="s">
        <v>10926</v>
      </c>
    </row>
    <row r="1281" spans="1:2" ht="13.2" x14ac:dyDescent="0.25">
      <c r="A1281" s="34" t="s">
        <v>10925</v>
      </c>
      <c r="B1281" s="35">
        <v>0.99034755597745405</v>
      </c>
    </row>
    <row r="1282" spans="1:2" ht="13.2" x14ac:dyDescent="0.25">
      <c r="A1282" s="34" t="s">
        <v>10924</v>
      </c>
      <c r="B1282" s="35">
        <v>0.94454435038737705</v>
      </c>
    </row>
    <row r="1283" spans="1:2" ht="13.2" x14ac:dyDescent="0.25">
      <c r="A1283" s="34" t="s">
        <v>10923</v>
      </c>
      <c r="B1283" s="35">
        <v>0.879161493708282</v>
      </c>
    </row>
    <row r="1284" spans="1:2" ht="13.2" x14ac:dyDescent="0.25">
      <c r="A1284" s="34" t="s">
        <v>10922</v>
      </c>
      <c r="B1284" s="35">
        <v>0.74625410441553197</v>
      </c>
    </row>
    <row r="1285" spans="1:2" ht="13.2" x14ac:dyDescent="0.25">
      <c r="A1285" s="34" t="s">
        <v>10921</v>
      </c>
      <c r="B1285" s="35">
        <v>0.74710312232663501</v>
      </c>
    </row>
    <row r="1286" spans="1:2" ht="13.2" x14ac:dyDescent="0.25">
      <c r="A1286" s="34" t="s">
        <v>10920</v>
      </c>
    </row>
    <row r="1287" spans="1:2" ht="13.2" x14ac:dyDescent="0.25">
      <c r="A1287" s="34" t="s">
        <v>10919</v>
      </c>
    </row>
    <row r="1288" spans="1:2" ht="13.2" x14ac:dyDescent="0.25">
      <c r="A1288" s="34" t="s">
        <v>10918</v>
      </c>
      <c r="B1288" s="35">
        <v>0.77256918053391399</v>
      </c>
    </row>
    <row r="1289" spans="1:2" ht="13.2" x14ac:dyDescent="0.25">
      <c r="A1289" s="34" t="s">
        <v>10917</v>
      </c>
      <c r="B1289" s="35">
        <v>0.75878238493248795</v>
      </c>
    </row>
    <row r="1290" spans="1:2" ht="13.2" x14ac:dyDescent="0.25">
      <c r="A1290" s="34" t="s">
        <v>10916</v>
      </c>
      <c r="B1290" s="35">
        <v>0.77381007583938399</v>
      </c>
    </row>
    <row r="1291" spans="1:2" ht="13.2" x14ac:dyDescent="0.25">
      <c r="A1291" s="34" t="s">
        <v>10915</v>
      </c>
      <c r="B1291" s="35">
        <v>0.89252553299716797</v>
      </c>
    </row>
    <row r="1292" spans="1:2" ht="13.2" x14ac:dyDescent="0.25">
      <c r="A1292" s="34" t="s">
        <v>10914</v>
      </c>
      <c r="B1292" s="35">
        <v>0.93323457351539496</v>
      </c>
    </row>
    <row r="1293" spans="1:2" ht="13.2" x14ac:dyDescent="0.25">
      <c r="A1293" s="34" t="s">
        <v>10913</v>
      </c>
    </row>
    <row r="1294" spans="1:2" ht="13.2" x14ac:dyDescent="0.25">
      <c r="A1294" s="34" t="s">
        <v>10912</v>
      </c>
    </row>
    <row r="1295" spans="1:2" ht="13.2" x14ac:dyDescent="0.25">
      <c r="A1295" s="34" t="s">
        <v>10911</v>
      </c>
      <c r="B1295" s="35">
        <v>0.93200158566509905</v>
      </c>
    </row>
    <row r="1296" spans="1:2" ht="13.2" x14ac:dyDescent="0.25">
      <c r="A1296" s="34" t="s">
        <v>10910</v>
      </c>
      <c r="B1296" s="35">
        <v>0.84267960413614995</v>
      </c>
    </row>
    <row r="1297" spans="1:2" ht="13.2" x14ac:dyDescent="0.25">
      <c r="A1297" s="34" t="s">
        <v>10909</v>
      </c>
      <c r="B1297" s="35">
        <v>1.04490003003556</v>
      </c>
    </row>
    <row r="1298" spans="1:2" ht="13.2" x14ac:dyDescent="0.25">
      <c r="A1298" s="34" t="s">
        <v>10908</v>
      </c>
      <c r="B1298" s="35">
        <v>1.02474167909464</v>
      </c>
    </row>
    <row r="1299" spans="1:2" ht="13.2" x14ac:dyDescent="0.25">
      <c r="A1299" s="34" t="s">
        <v>10907</v>
      </c>
      <c r="B1299" s="35">
        <v>1.0162448924295999</v>
      </c>
    </row>
    <row r="1300" spans="1:2" ht="13.2" x14ac:dyDescent="0.25">
      <c r="A1300" s="34" t="s">
        <v>10906</v>
      </c>
    </row>
    <row r="1301" spans="1:2" ht="13.2" x14ac:dyDescent="0.25">
      <c r="A1301" s="34" t="s">
        <v>10905</v>
      </c>
    </row>
    <row r="1302" spans="1:2" ht="13.2" x14ac:dyDescent="0.25">
      <c r="A1302" s="34" t="s">
        <v>10904</v>
      </c>
      <c r="B1302" s="35">
        <v>1.0051676343351299</v>
      </c>
    </row>
    <row r="1303" spans="1:2" ht="13.2" x14ac:dyDescent="0.25">
      <c r="A1303" s="34" t="s">
        <v>10903</v>
      </c>
      <c r="B1303" s="35">
        <v>1.0801425806340399</v>
      </c>
    </row>
    <row r="1304" spans="1:2" ht="13.2" x14ac:dyDescent="0.25">
      <c r="A1304" s="34" t="s">
        <v>10902</v>
      </c>
      <c r="B1304" s="35">
        <v>1.13919063486807</v>
      </c>
    </row>
    <row r="1305" spans="1:2" ht="13.2" x14ac:dyDescent="0.25">
      <c r="A1305" s="34" t="s">
        <v>10901</v>
      </c>
      <c r="B1305" s="35">
        <v>1.13991542187143</v>
      </c>
    </row>
    <row r="1306" spans="1:2" ht="13.2" x14ac:dyDescent="0.25">
      <c r="A1306" s="34" t="s">
        <v>10900</v>
      </c>
      <c r="B1306" s="35">
        <v>1.1209906577411299</v>
      </c>
    </row>
    <row r="1307" spans="1:2" ht="13.2" x14ac:dyDescent="0.25">
      <c r="A1307" s="34" t="s">
        <v>10899</v>
      </c>
    </row>
    <row r="1308" spans="1:2" ht="13.2" x14ac:dyDescent="0.25">
      <c r="A1308" s="34" t="s">
        <v>10898</v>
      </c>
    </row>
    <row r="1309" spans="1:2" ht="13.2" x14ac:dyDescent="0.25">
      <c r="A1309" s="34" t="s">
        <v>10897</v>
      </c>
      <c r="B1309" s="35">
        <v>1.1297002511835601</v>
      </c>
    </row>
    <row r="1310" spans="1:2" ht="13.2" x14ac:dyDescent="0.25">
      <c r="A1310" s="34" t="s">
        <v>10896</v>
      </c>
    </row>
    <row r="1311" spans="1:2" ht="13.2" x14ac:dyDescent="0.25">
      <c r="A1311" s="34" t="s">
        <v>10895</v>
      </c>
    </row>
    <row r="1312" spans="1:2" ht="13.2" x14ac:dyDescent="0.25">
      <c r="A1312" s="34" t="s">
        <v>10894</v>
      </c>
      <c r="B1312" s="35">
        <v>1.13371707092077</v>
      </c>
    </row>
    <row r="1313" spans="1:2" ht="13.2" x14ac:dyDescent="0.25">
      <c r="A1313" s="34" t="s">
        <v>10893</v>
      </c>
      <c r="B1313" s="35">
        <v>1.13282728388002</v>
      </c>
    </row>
    <row r="1314" spans="1:2" ht="13.2" x14ac:dyDescent="0.25">
      <c r="A1314" s="34" t="s">
        <v>10892</v>
      </c>
    </row>
    <row r="1315" spans="1:2" ht="13.2" x14ac:dyDescent="0.25">
      <c r="A1315" s="34" t="s">
        <v>10891</v>
      </c>
    </row>
    <row r="1316" spans="1:2" ht="13.2" x14ac:dyDescent="0.25">
      <c r="A1316" s="34" t="s">
        <v>10890</v>
      </c>
      <c r="B1316" s="35">
        <v>1.11608892715042</v>
      </c>
    </row>
    <row r="1317" spans="1:2" ht="13.2" x14ac:dyDescent="0.25">
      <c r="A1317" s="34" t="s">
        <v>10889</v>
      </c>
    </row>
    <row r="1318" spans="1:2" ht="13.2" x14ac:dyDescent="0.25">
      <c r="A1318" s="34" t="s">
        <v>10888</v>
      </c>
    </row>
    <row r="1319" spans="1:2" ht="13.2" x14ac:dyDescent="0.25">
      <c r="A1319" s="34" t="s">
        <v>10887</v>
      </c>
      <c r="B1319" s="35">
        <v>1.1574002235913501</v>
      </c>
    </row>
    <row r="1320" spans="1:2" ht="13.2" x14ac:dyDescent="0.25">
      <c r="A1320" s="34" t="s">
        <v>10886</v>
      </c>
      <c r="B1320" s="35">
        <v>1.16035560552054</v>
      </c>
    </row>
    <row r="1321" spans="1:2" ht="13.2" x14ac:dyDescent="0.25">
      <c r="A1321" s="34" t="s">
        <v>10885</v>
      </c>
    </row>
    <row r="1322" spans="1:2" ht="13.2" x14ac:dyDescent="0.25">
      <c r="A1322" s="34" t="s">
        <v>10884</v>
      </c>
    </row>
    <row r="1323" spans="1:2" ht="13.2" x14ac:dyDescent="0.25">
      <c r="A1323" s="34" t="s">
        <v>10883</v>
      </c>
      <c r="B1323" s="35">
        <v>1.2332979665386801</v>
      </c>
    </row>
    <row r="1324" spans="1:2" ht="13.2" x14ac:dyDescent="0.25">
      <c r="A1324" s="34" t="s">
        <v>10882</v>
      </c>
      <c r="B1324" s="35">
        <v>1.20327641653568</v>
      </c>
    </row>
    <row r="1325" spans="1:2" ht="13.2" x14ac:dyDescent="0.25">
      <c r="A1325" s="34" t="s">
        <v>10881</v>
      </c>
      <c r="B1325" s="35">
        <v>1.4028769236527601</v>
      </c>
    </row>
    <row r="1326" spans="1:2" ht="13.2" x14ac:dyDescent="0.25">
      <c r="A1326" s="34" t="s">
        <v>10880</v>
      </c>
      <c r="B1326" s="35">
        <v>1.34411026800428</v>
      </c>
    </row>
    <row r="1327" spans="1:2" ht="13.2" x14ac:dyDescent="0.25">
      <c r="A1327" s="34" t="s">
        <v>10879</v>
      </c>
      <c r="B1327" s="35">
        <v>1.3048710835569799</v>
      </c>
    </row>
    <row r="1328" spans="1:2" ht="13.2" x14ac:dyDescent="0.25">
      <c r="A1328" s="34" t="s">
        <v>10878</v>
      </c>
    </row>
    <row r="1329" spans="1:2" ht="13.2" x14ac:dyDescent="0.25">
      <c r="A1329" s="34" t="s">
        <v>10877</v>
      </c>
    </row>
    <row r="1330" spans="1:2" ht="13.2" x14ac:dyDescent="0.25">
      <c r="A1330" s="34" t="s">
        <v>10876</v>
      </c>
      <c r="B1330" s="35">
        <v>1.32007374549507</v>
      </c>
    </row>
    <row r="1331" spans="1:2" ht="13.2" x14ac:dyDescent="0.25">
      <c r="A1331" s="34" t="s">
        <v>10875</v>
      </c>
      <c r="B1331" s="35">
        <v>1.41957622086062</v>
      </c>
    </row>
    <row r="1332" spans="1:2" ht="13.2" x14ac:dyDescent="0.25">
      <c r="A1332" s="34" t="s">
        <v>10874</v>
      </c>
      <c r="B1332" s="35">
        <v>1.22434794699536</v>
      </c>
    </row>
    <row r="1333" spans="1:2" ht="13.2" x14ac:dyDescent="0.25">
      <c r="A1333" s="34" t="s">
        <v>10873</v>
      </c>
      <c r="B1333" s="35">
        <v>1.2188618951708301</v>
      </c>
    </row>
    <row r="1334" spans="1:2" ht="13.2" x14ac:dyDescent="0.25">
      <c r="A1334" s="34" t="s">
        <v>10872</v>
      </c>
      <c r="B1334" s="35">
        <v>1.2539975341906899</v>
      </c>
    </row>
    <row r="1335" spans="1:2" ht="13.2" x14ac:dyDescent="0.25">
      <c r="A1335" s="34" t="s">
        <v>10871</v>
      </c>
    </row>
    <row r="1336" spans="1:2" ht="13.2" x14ac:dyDescent="0.25">
      <c r="A1336" s="34" t="s">
        <v>10870</v>
      </c>
    </row>
    <row r="1337" spans="1:2" ht="13.2" x14ac:dyDescent="0.25">
      <c r="A1337" s="34" t="s">
        <v>10869</v>
      </c>
      <c r="B1337" s="35">
        <v>1.23282466604881</v>
      </c>
    </row>
    <row r="1338" spans="1:2" ht="13.2" x14ac:dyDescent="0.25">
      <c r="A1338" s="34" t="s">
        <v>10868</v>
      </c>
      <c r="B1338" s="35">
        <v>1.20437179076947</v>
      </c>
    </row>
    <row r="1339" spans="1:2" ht="13.2" x14ac:dyDescent="0.25">
      <c r="A1339" s="34" t="s">
        <v>10867</v>
      </c>
      <c r="B1339" s="35">
        <v>1.2399420960488401</v>
      </c>
    </row>
    <row r="1340" spans="1:2" ht="13.2" x14ac:dyDescent="0.25">
      <c r="A1340" s="34" t="s">
        <v>10866</v>
      </c>
      <c r="B1340" s="35">
        <v>1.2259629189118399</v>
      </c>
    </row>
    <row r="1341" spans="1:2" ht="13.2" x14ac:dyDescent="0.25">
      <c r="A1341" s="34" t="s">
        <v>10865</v>
      </c>
      <c r="B1341" s="35">
        <v>1.3256641976565899</v>
      </c>
    </row>
    <row r="1342" spans="1:2" ht="13.2" x14ac:dyDescent="0.25">
      <c r="A1342" s="34" t="s">
        <v>10864</v>
      </c>
    </row>
    <row r="1343" spans="1:2" ht="13.2" x14ac:dyDescent="0.25">
      <c r="A1343" s="34" t="s">
        <v>10863</v>
      </c>
    </row>
    <row r="1344" spans="1:2" ht="13.2" x14ac:dyDescent="0.25">
      <c r="A1344" s="34" t="s">
        <v>10862</v>
      </c>
      <c r="B1344" s="35">
        <v>1.31364690686393</v>
      </c>
    </row>
    <row r="1345" spans="1:2" ht="13.2" x14ac:dyDescent="0.25">
      <c r="A1345" s="34" t="s">
        <v>10861</v>
      </c>
      <c r="B1345" s="35">
        <v>1.32032674086762</v>
      </c>
    </row>
    <row r="1346" spans="1:2" ht="13.2" x14ac:dyDescent="0.25">
      <c r="A1346" s="34" t="s">
        <v>10860</v>
      </c>
      <c r="B1346" s="35">
        <v>1.39142163270964</v>
      </c>
    </row>
    <row r="1347" spans="1:2" ht="13.2" x14ac:dyDescent="0.25">
      <c r="A1347" s="34" t="s">
        <v>10859</v>
      </c>
      <c r="B1347" s="35">
        <v>1.3920823462124501</v>
      </c>
    </row>
    <row r="1348" spans="1:2" ht="13.2" x14ac:dyDescent="0.25">
      <c r="A1348" s="34" t="s">
        <v>10858</v>
      </c>
      <c r="B1348" s="35">
        <v>1.38592664094971</v>
      </c>
    </row>
    <row r="1349" spans="1:2" ht="13.2" x14ac:dyDescent="0.25">
      <c r="A1349" s="34" t="s">
        <v>10857</v>
      </c>
    </row>
    <row r="1350" spans="1:2" ht="13.2" x14ac:dyDescent="0.25">
      <c r="A1350" s="34" t="s">
        <v>10856</v>
      </c>
    </row>
    <row r="1351" spans="1:2" ht="13.2" x14ac:dyDescent="0.25">
      <c r="A1351" s="34" t="s">
        <v>10855</v>
      </c>
      <c r="B1351" s="35">
        <v>1.40252511238002</v>
      </c>
    </row>
    <row r="1352" spans="1:2" ht="13.2" x14ac:dyDescent="0.25">
      <c r="A1352" s="34" t="s">
        <v>10854</v>
      </c>
      <c r="B1352" s="35">
        <v>1.3593950221122899</v>
      </c>
    </row>
    <row r="1353" spans="1:2" ht="13.2" x14ac:dyDescent="0.25">
      <c r="A1353" s="34" t="s">
        <v>10853</v>
      </c>
      <c r="B1353" s="35">
        <v>1.3535941082899901</v>
      </c>
    </row>
    <row r="1354" spans="1:2" ht="13.2" x14ac:dyDescent="0.25">
      <c r="A1354" s="34" t="s">
        <v>10852</v>
      </c>
      <c r="B1354" s="35">
        <v>1.1726667134028601</v>
      </c>
    </row>
    <row r="1355" spans="1:2" ht="13.2" x14ac:dyDescent="0.25">
      <c r="A1355" s="34" t="s">
        <v>10851</v>
      </c>
      <c r="B1355" s="35">
        <v>1.17655151740209</v>
      </c>
    </row>
    <row r="1356" spans="1:2" ht="13.2" x14ac:dyDescent="0.25">
      <c r="A1356" s="34" t="s">
        <v>10850</v>
      </c>
    </row>
    <row r="1357" spans="1:2" ht="13.2" x14ac:dyDescent="0.25">
      <c r="A1357" s="34" t="s">
        <v>10849</v>
      </c>
    </row>
    <row r="1358" spans="1:2" ht="13.2" x14ac:dyDescent="0.25">
      <c r="A1358" s="34" t="s">
        <v>10848</v>
      </c>
    </row>
    <row r="1359" spans="1:2" ht="13.2" x14ac:dyDescent="0.25">
      <c r="A1359" s="34" t="s">
        <v>10847</v>
      </c>
      <c r="B1359" s="35">
        <v>1.1959974718828901</v>
      </c>
    </row>
    <row r="1360" spans="1:2" ht="13.2" x14ac:dyDescent="0.25">
      <c r="A1360" s="34" t="s">
        <v>10846</v>
      </c>
      <c r="B1360" s="35">
        <v>1.8042491224727899</v>
      </c>
    </row>
    <row r="1361" spans="1:2" ht="13.2" x14ac:dyDescent="0.25">
      <c r="A1361" s="34" t="s">
        <v>10845</v>
      </c>
      <c r="B1361" s="35">
        <v>1.74539026329091</v>
      </c>
    </row>
    <row r="1362" spans="1:2" ht="13.2" x14ac:dyDescent="0.25">
      <c r="A1362" s="34" t="s">
        <v>10844</v>
      </c>
      <c r="B1362" s="35">
        <v>1.77232877117837</v>
      </c>
    </row>
    <row r="1363" spans="1:2" ht="13.2" x14ac:dyDescent="0.25">
      <c r="A1363" s="34" t="s">
        <v>10843</v>
      </c>
    </row>
    <row r="1364" spans="1:2" ht="13.2" x14ac:dyDescent="0.25">
      <c r="A1364" s="34" t="s">
        <v>10842</v>
      </c>
    </row>
    <row r="1365" spans="1:2" ht="13.2" x14ac:dyDescent="0.25">
      <c r="A1365" s="34" t="s">
        <v>10841</v>
      </c>
      <c r="B1365" s="35">
        <v>1.77020136457539</v>
      </c>
    </row>
    <row r="1366" spans="1:2" ht="13.2" x14ac:dyDescent="0.25">
      <c r="A1366" s="34" t="s">
        <v>10840</v>
      </c>
      <c r="B1366" s="35">
        <v>1.7520113749103301</v>
      </c>
    </row>
    <row r="1367" spans="1:2" ht="13.2" x14ac:dyDescent="0.25">
      <c r="A1367" s="34" t="s">
        <v>10839</v>
      </c>
      <c r="B1367" s="35">
        <v>1.84504630418753</v>
      </c>
    </row>
    <row r="1368" spans="1:2" ht="13.2" x14ac:dyDescent="0.25">
      <c r="A1368" s="34" t="s">
        <v>10838</v>
      </c>
      <c r="B1368" s="35">
        <v>1.8655637469277599</v>
      </c>
    </row>
    <row r="1369" spans="1:2" ht="13.2" x14ac:dyDescent="0.25">
      <c r="A1369" s="34" t="s">
        <v>10837</v>
      </c>
      <c r="B1369" s="35">
        <v>1.83202801848358</v>
      </c>
    </row>
    <row r="1370" spans="1:2" ht="13.2" x14ac:dyDescent="0.25">
      <c r="A1370" s="34" t="s">
        <v>10836</v>
      </c>
    </row>
    <row r="1371" spans="1:2" ht="13.2" x14ac:dyDescent="0.25">
      <c r="A1371" s="34" t="s">
        <v>10835</v>
      </c>
    </row>
    <row r="1372" spans="1:2" ht="13.2" x14ac:dyDescent="0.25">
      <c r="A1372" s="34" t="s">
        <v>10834</v>
      </c>
      <c r="B1372" s="35">
        <v>1.8922884772703901</v>
      </c>
    </row>
    <row r="1373" spans="1:2" ht="13.2" x14ac:dyDescent="0.25">
      <c r="A1373" s="34" t="s">
        <v>10833</v>
      </c>
      <c r="B1373" s="35">
        <v>1.8435794989219001</v>
      </c>
    </row>
    <row r="1374" spans="1:2" ht="13.2" x14ac:dyDescent="0.25">
      <c r="A1374" s="34" t="s">
        <v>10832</v>
      </c>
      <c r="B1374" s="35">
        <v>1.9685928333809699</v>
      </c>
    </row>
    <row r="1375" spans="1:2" ht="13.2" x14ac:dyDescent="0.25">
      <c r="A1375" s="34" t="s">
        <v>10831</v>
      </c>
      <c r="B1375" s="35">
        <v>2.03116045118316</v>
      </c>
    </row>
    <row r="1376" spans="1:2" ht="13.2" x14ac:dyDescent="0.25">
      <c r="A1376" s="34" t="s">
        <v>10830</v>
      </c>
      <c r="B1376" s="35">
        <v>1.97985412776047</v>
      </c>
    </row>
    <row r="1377" spans="1:2" ht="13.2" x14ac:dyDescent="0.25">
      <c r="A1377" s="34" t="s">
        <v>10829</v>
      </c>
    </row>
    <row r="1378" spans="1:2" ht="13.2" x14ac:dyDescent="0.25">
      <c r="A1378" s="34" t="s">
        <v>10828</v>
      </c>
    </row>
    <row r="1379" spans="1:2" ht="13.2" x14ac:dyDescent="0.25">
      <c r="A1379" s="34" t="s">
        <v>10827</v>
      </c>
      <c r="B1379" s="35">
        <v>1.99305579446613</v>
      </c>
    </row>
    <row r="1380" spans="1:2" ht="13.2" x14ac:dyDescent="0.25">
      <c r="A1380" s="34" t="s">
        <v>10826</v>
      </c>
      <c r="B1380" s="35">
        <v>1.9684134149603401</v>
      </c>
    </row>
    <row r="1381" spans="1:2" ht="13.2" x14ac:dyDescent="0.25">
      <c r="A1381" s="34" t="s">
        <v>10825</v>
      </c>
      <c r="B1381" s="35">
        <v>1.95977513686122</v>
      </c>
    </row>
    <row r="1382" spans="1:2" ht="13.2" x14ac:dyDescent="0.25">
      <c r="A1382" s="34" t="s">
        <v>10824</v>
      </c>
      <c r="B1382" s="35">
        <v>1.9568883099004499</v>
      </c>
    </row>
    <row r="1383" spans="1:2" ht="13.2" x14ac:dyDescent="0.25">
      <c r="A1383" s="34" t="s">
        <v>10823</v>
      </c>
      <c r="B1383" s="35">
        <v>1.9558631398722199</v>
      </c>
    </row>
    <row r="1384" spans="1:2" ht="13.2" x14ac:dyDescent="0.25">
      <c r="A1384" s="34" t="s">
        <v>10822</v>
      </c>
    </row>
    <row r="1385" spans="1:2" ht="13.2" x14ac:dyDescent="0.25">
      <c r="A1385" s="34" t="s">
        <v>10821</v>
      </c>
    </row>
    <row r="1386" spans="1:2" ht="13.2" x14ac:dyDescent="0.25">
      <c r="A1386" s="34" t="s">
        <v>10820</v>
      </c>
      <c r="B1386" s="35">
        <v>1.99291278725264</v>
      </c>
    </row>
    <row r="1387" spans="1:2" ht="13.2" x14ac:dyDescent="0.25">
      <c r="A1387" s="34" t="s">
        <v>10819</v>
      </c>
      <c r="B1387" s="35">
        <v>1.9945381002534699</v>
      </c>
    </row>
    <row r="1388" spans="1:2" ht="13.2" x14ac:dyDescent="0.25">
      <c r="A1388" s="34" t="s">
        <v>10818</v>
      </c>
      <c r="B1388" s="35">
        <v>2.1107021396483199</v>
      </c>
    </row>
    <row r="1389" spans="1:2" ht="13.2" x14ac:dyDescent="0.25">
      <c r="A1389" s="34" t="s">
        <v>10817</v>
      </c>
      <c r="B1389" s="35">
        <v>1.5811384270556601</v>
      </c>
    </row>
    <row r="1390" spans="1:2" ht="13.2" x14ac:dyDescent="0.25">
      <c r="A1390" s="34" t="s">
        <v>10816</v>
      </c>
      <c r="B1390" s="35">
        <v>1.6133418834546001</v>
      </c>
    </row>
    <row r="1391" spans="1:2" ht="13.2" x14ac:dyDescent="0.25">
      <c r="A1391" s="34" t="s">
        <v>10815</v>
      </c>
    </row>
    <row r="1392" spans="1:2" ht="13.2" x14ac:dyDescent="0.25">
      <c r="A1392" s="34" t="s">
        <v>10814</v>
      </c>
    </row>
    <row r="1393" spans="1:2" ht="13.2" x14ac:dyDescent="0.25">
      <c r="A1393" s="34" t="s">
        <v>10813</v>
      </c>
      <c r="B1393" s="35">
        <v>1.5954538773126099</v>
      </c>
    </row>
    <row r="1394" spans="1:2" ht="13.2" x14ac:dyDescent="0.25">
      <c r="A1394" s="34" t="s">
        <v>10812</v>
      </c>
      <c r="B1394" s="35">
        <v>1.79379889186673</v>
      </c>
    </row>
    <row r="1395" spans="1:2" ht="13.2" x14ac:dyDescent="0.25">
      <c r="A1395" s="34" t="s">
        <v>10811</v>
      </c>
      <c r="B1395" s="35">
        <v>1.78264480696529</v>
      </c>
    </row>
    <row r="1396" spans="1:2" ht="13.2" x14ac:dyDescent="0.25">
      <c r="A1396" s="34" t="s">
        <v>10810</v>
      </c>
      <c r="B1396" s="35">
        <v>1.7805728649026</v>
      </c>
    </row>
    <row r="1397" spans="1:2" ht="13.2" x14ac:dyDescent="0.25">
      <c r="A1397" s="34" t="s">
        <v>10809</v>
      </c>
      <c r="B1397" s="35">
        <v>1.76503382325498</v>
      </c>
    </row>
    <row r="1398" spans="1:2" ht="13.2" x14ac:dyDescent="0.25">
      <c r="A1398" s="34" t="s">
        <v>10808</v>
      </c>
    </row>
    <row r="1399" spans="1:2" ht="13.2" x14ac:dyDescent="0.25">
      <c r="A1399" s="34" t="s">
        <v>10807</v>
      </c>
    </row>
    <row r="1400" spans="1:2" ht="13.2" x14ac:dyDescent="0.25">
      <c r="A1400" s="34" t="s">
        <v>10806</v>
      </c>
      <c r="B1400" s="35">
        <v>1.76486550059005</v>
      </c>
    </row>
    <row r="1401" spans="1:2" ht="13.2" x14ac:dyDescent="0.25">
      <c r="A1401" s="34" t="s">
        <v>10805</v>
      </c>
      <c r="B1401" s="35">
        <v>1.6794026268265601</v>
      </c>
    </row>
    <row r="1402" spans="1:2" ht="13.2" x14ac:dyDescent="0.25">
      <c r="A1402" s="34" t="s">
        <v>10804</v>
      </c>
      <c r="B1402" s="35">
        <v>1.64730474766309</v>
      </c>
    </row>
    <row r="1403" spans="1:2" ht="13.2" x14ac:dyDescent="0.25">
      <c r="A1403" s="34" t="s">
        <v>10803</v>
      </c>
    </row>
    <row r="1404" spans="1:2" ht="13.2" x14ac:dyDescent="0.25">
      <c r="A1404" s="34" t="s">
        <v>10802</v>
      </c>
    </row>
    <row r="1405" spans="1:2" ht="13.2" x14ac:dyDescent="0.25">
      <c r="A1405" s="34" t="s">
        <v>10801</v>
      </c>
    </row>
    <row r="1406" spans="1:2" ht="13.2" x14ac:dyDescent="0.25">
      <c r="A1406" s="34" t="s">
        <v>10800</v>
      </c>
    </row>
    <row r="1407" spans="1:2" ht="13.2" x14ac:dyDescent="0.25">
      <c r="A1407" s="34" t="s">
        <v>10799</v>
      </c>
      <c r="B1407" s="35">
        <v>1.6505538186108499</v>
      </c>
    </row>
    <row r="1408" spans="1:2" ht="13.2" x14ac:dyDescent="0.25">
      <c r="A1408" s="34" t="s">
        <v>10798</v>
      </c>
      <c r="B1408" s="35">
        <v>1.61163032401029</v>
      </c>
    </row>
    <row r="1409" spans="1:2" ht="13.2" x14ac:dyDescent="0.25">
      <c r="A1409" s="34" t="s">
        <v>10797</v>
      </c>
      <c r="B1409" s="35">
        <v>1.6211384879024799</v>
      </c>
    </row>
    <row r="1410" spans="1:2" ht="13.2" x14ac:dyDescent="0.25">
      <c r="A1410" s="34" t="s">
        <v>10796</v>
      </c>
      <c r="B1410" s="35">
        <v>1.5908517223109799</v>
      </c>
    </row>
    <row r="1411" spans="1:2" ht="13.2" x14ac:dyDescent="0.25">
      <c r="A1411" s="34" t="s">
        <v>10795</v>
      </c>
      <c r="B1411" s="35">
        <v>1.81847532955753</v>
      </c>
    </row>
    <row r="1412" spans="1:2" ht="13.2" x14ac:dyDescent="0.25">
      <c r="A1412" s="34" t="s">
        <v>10794</v>
      </c>
    </row>
    <row r="1413" spans="1:2" ht="13.2" x14ac:dyDescent="0.25">
      <c r="A1413" s="34" t="s">
        <v>10793</v>
      </c>
    </row>
    <row r="1414" spans="1:2" ht="13.2" x14ac:dyDescent="0.25">
      <c r="A1414" s="34" t="s">
        <v>10792</v>
      </c>
      <c r="B1414" s="35">
        <v>1.82094789622928</v>
      </c>
    </row>
    <row r="1415" spans="1:2" ht="13.2" x14ac:dyDescent="0.25">
      <c r="A1415" s="34" t="s">
        <v>10791</v>
      </c>
      <c r="B1415" s="35">
        <v>1.8454196887087599</v>
      </c>
    </row>
    <row r="1416" spans="1:2" ht="13.2" x14ac:dyDescent="0.25">
      <c r="A1416" s="34" t="s">
        <v>10790</v>
      </c>
      <c r="B1416" s="35">
        <v>1.8478841238611301</v>
      </c>
    </row>
    <row r="1417" spans="1:2" ht="13.2" x14ac:dyDescent="0.25">
      <c r="A1417" s="34" t="s">
        <v>10789</v>
      </c>
      <c r="B1417" s="35">
        <v>1.7910153958141899</v>
      </c>
    </row>
    <row r="1418" spans="1:2" ht="13.2" x14ac:dyDescent="0.25">
      <c r="A1418" s="34" t="s">
        <v>10788</v>
      </c>
      <c r="B1418" s="35">
        <v>1.83410619531277</v>
      </c>
    </row>
    <row r="1419" spans="1:2" ht="13.2" x14ac:dyDescent="0.25">
      <c r="A1419" s="34" t="s">
        <v>10787</v>
      </c>
    </row>
    <row r="1420" spans="1:2" ht="13.2" x14ac:dyDescent="0.25">
      <c r="A1420" s="34" t="s">
        <v>10786</v>
      </c>
    </row>
    <row r="1421" spans="1:2" ht="13.2" x14ac:dyDescent="0.25">
      <c r="A1421" s="34" t="s">
        <v>10785</v>
      </c>
      <c r="B1421" s="35">
        <v>1.7422980754744199</v>
      </c>
    </row>
    <row r="1422" spans="1:2" ht="13.2" x14ac:dyDescent="0.25">
      <c r="A1422" s="34" t="s">
        <v>10784</v>
      </c>
      <c r="B1422" s="35">
        <v>1.7432353291596601</v>
      </c>
    </row>
    <row r="1423" spans="1:2" ht="13.2" x14ac:dyDescent="0.25">
      <c r="A1423" s="34" t="s">
        <v>10783</v>
      </c>
      <c r="B1423" s="35">
        <v>1.6983629207551101</v>
      </c>
    </row>
    <row r="1424" spans="1:2" ht="13.2" x14ac:dyDescent="0.25">
      <c r="A1424" s="34" t="s">
        <v>10782</v>
      </c>
      <c r="B1424" s="35">
        <v>1.73315354498631</v>
      </c>
    </row>
    <row r="1425" spans="1:2" ht="13.2" x14ac:dyDescent="0.25">
      <c r="A1425" s="34" t="s">
        <v>10781</v>
      </c>
      <c r="B1425" s="35">
        <v>1.54102731876736</v>
      </c>
    </row>
    <row r="1426" spans="1:2" ht="13.2" x14ac:dyDescent="0.25">
      <c r="A1426" s="34" t="s">
        <v>10780</v>
      </c>
    </row>
    <row r="1427" spans="1:2" ht="13.2" x14ac:dyDescent="0.25">
      <c r="A1427" s="34" t="s">
        <v>10779</v>
      </c>
    </row>
    <row r="1428" spans="1:2" ht="13.2" x14ac:dyDescent="0.25">
      <c r="A1428" s="34" t="s">
        <v>10778</v>
      </c>
    </row>
    <row r="1429" spans="1:2" ht="13.2" x14ac:dyDescent="0.25">
      <c r="A1429" s="34" t="s">
        <v>10777</v>
      </c>
      <c r="B1429" s="35">
        <v>1.52433875116158</v>
      </c>
    </row>
    <row r="1430" spans="1:2" ht="13.2" x14ac:dyDescent="0.25">
      <c r="A1430" s="34" t="s">
        <v>10776</v>
      </c>
      <c r="B1430" s="35">
        <v>1.48410851757935</v>
      </c>
    </row>
    <row r="1431" spans="1:2" ht="13.2" x14ac:dyDescent="0.25">
      <c r="A1431" s="34" t="s">
        <v>10775</v>
      </c>
      <c r="B1431" s="35">
        <v>1.48932180039437</v>
      </c>
    </row>
    <row r="1432" spans="1:2" ht="13.2" x14ac:dyDescent="0.25">
      <c r="A1432" s="34" t="s">
        <v>10774</v>
      </c>
      <c r="B1432" s="35">
        <v>1.4892433745284399</v>
      </c>
    </row>
    <row r="1433" spans="1:2" ht="13.2" x14ac:dyDescent="0.25">
      <c r="A1433" s="34" t="s">
        <v>10773</v>
      </c>
    </row>
    <row r="1434" spans="1:2" ht="13.2" x14ac:dyDescent="0.25">
      <c r="A1434" s="34" t="s">
        <v>10772</v>
      </c>
    </row>
    <row r="1435" spans="1:2" ht="13.2" x14ac:dyDescent="0.25">
      <c r="A1435" s="34" t="s">
        <v>10771</v>
      </c>
      <c r="B1435" s="35">
        <v>1.4872772272203301</v>
      </c>
    </row>
    <row r="1436" spans="1:2" ht="13.2" x14ac:dyDescent="0.25">
      <c r="A1436" s="34" t="s">
        <v>10770</v>
      </c>
      <c r="B1436" s="35">
        <v>1.4633305737678499</v>
      </c>
    </row>
    <row r="1437" spans="1:2" ht="13.2" x14ac:dyDescent="0.25">
      <c r="A1437" s="34" t="s">
        <v>10769</v>
      </c>
      <c r="B1437" s="35">
        <v>1.32931638424631</v>
      </c>
    </row>
    <row r="1438" spans="1:2" ht="13.2" x14ac:dyDescent="0.25">
      <c r="A1438" s="34" t="s">
        <v>10768</v>
      </c>
    </row>
    <row r="1439" spans="1:2" ht="13.2" x14ac:dyDescent="0.25">
      <c r="A1439" s="34" t="s">
        <v>10767</v>
      </c>
      <c r="B1439" s="35">
        <v>1.32708476818718</v>
      </c>
    </row>
    <row r="1440" spans="1:2" ht="13.2" x14ac:dyDescent="0.25">
      <c r="A1440" s="34" t="s">
        <v>10766</v>
      </c>
    </row>
    <row r="1441" spans="1:2" ht="13.2" x14ac:dyDescent="0.25">
      <c r="A1441" s="34" t="s">
        <v>10765</v>
      </c>
    </row>
    <row r="1442" spans="1:2" ht="13.2" x14ac:dyDescent="0.25">
      <c r="A1442" s="34" t="s">
        <v>10764</v>
      </c>
      <c r="B1442" s="35">
        <v>1.3466896598517499</v>
      </c>
    </row>
    <row r="1443" spans="1:2" ht="13.2" x14ac:dyDescent="0.25">
      <c r="A1443" s="34" t="s">
        <v>10763</v>
      </c>
      <c r="B1443" s="35">
        <v>1.4050200590403901</v>
      </c>
    </row>
    <row r="1444" spans="1:2" ht="13.2" x14ac:dyDescent="0.25">
      <c r="A1444" s="34" t="s">
        <v>10762</v>
      </c>
      <c r="B1444" s="35">
        <v>1.1127062906659</v>
      </c>
    </row>
    <row r="1445" spans="1:2" ht="13.2" x14ac:dyDescent="0.25">
      <c r="A1445" s="34" t="s">
        <v>10761</v>
      </c>
      <c r="B1445" s="35">
        <v>1.1952279770015599</v>
      </c>
    </row>
    <row r="1446" spans="1:2" ht="13.2" x14ac:dyDescent="0.25">
      <c r="A1446" s="34" t="s">
        <v>10760</v>
      </c>
      <c r="B1446" s="35">
        <v>1.1585610841502001</v>
      </c>
    </row>
    <row r="1447" spans="1:2" ht="13.2" x14ac:dyDescent="0.25">
      <c r="A1447" s="34" t="s">
        <v>10759</v>
      </c>
    </row>
    <row r="1448" spans="1:2" ht="13.2" x14ac:dyDescent="0.25">
      <c r="A1448" s="34" t="s">
        <v>10758</v>
      </c>
    </row>
    <row r="1449" spans="1:2" ht="13.2" x14ac:dyDescent="0.25">
      <c r="A1449" s="34" t="s">
        <v>10757</v>
      </c>
      <c r="B1449" s="35">
        <v>1.1963115391418</v>
      </c>
    </row>
    <row r="1450" spans="1:2" ht="13.2" x14ac:dyDescent="0.25">
      <c r="A1450" s="34" t="s">
        <v>10756</v>
      </c>
      <c r="B1450" s="35">
        <v>1.1720192481513401</v>
      </c>
    </row>
    <row r="1451" spans="1:2" ht="13.2" x14ac:dyDescent="0.25">
      <c r="A1451" s="34" t="s">
        <v>10755</v>
      </c>
      <c r="B1451" s="35">
        <v>1.3350565002252099</v>
      </c>
    </row>
    <row r="1452" spans="1:2" ht="13.2" x14ac:dyDescent="0.25">
      <c r="A1452" s="34" t="s">
        <v>10754</v>
      </c>
      <c r="B1452" s="35">
        <v>1.3156822037453</v>
      </c>
    </row>
    <row r="1453" spans="1:2" ht="13.2" x14ac:dyDescent="0.25">
      <c r="A1453" s="34" t="s">
        <v>10753</v>
      </c>
      <c r="B1453" s="35">
        <v>1.33198060686248</v>
      </c>
    </row>
    <row r="1454" spans="1:2" ht="13.2" x14ac:dyDescent="0.25">
      <c r="A1454" s="34" t="s">
        <v>10752</v>
      </c>
    </row>
    <row r="1455" spans="1:2" ht="13.2" x14ac:dyDescent="0.25">
      <c r="A1455" s="34" t="s">
        <v>10751</v>
      </c>
    </row>
    <row r="1456" spans="1:2" ht="13.2" x14ac:dyDescent="0.25">
      <c r="A1456" s="34" t="s">
        <v>10750</v>
      </c>
      <c r="B1456" s="35">
        <v>1.3328472417317501</v>
      </c>
    </row>
    <row r="1457" spans="1:2" ht="13.2" x14ac:dyDescent="0.25">
      <c r="A1457" s="34" t="s">
        <v>10749</v>
      </c>
      <c r="B1457" s="35">
        <v>1.26212668331135</v>
      </c>
    </row>
    <row r="1458" spans="1:2" ht="13.2" x14ac:dyDescent="0.25">
      <c r="A1458" s="34" t="s">
        <v>10748</v>
      </c>
      <c r="B1458" s="35">
        <v>1.2559775028612501</v>
      </c>
    </row>
    <row r="1459" spans="1:2" ht="13.2" x14ac:dyDescent="0.25">
      <c r="A1459" s="34" t="s">
        <v>10747</v>
      </c>
      <c r="B1459" s="35">
        <v>1.2580341161636299</v>
      </c>
    </row>
    <row r="1460" spans="1:2" ht="13.2" x14ac:dyDescent="0.25">
      <c r="A1460" s="34" t="s">
        <v>10746</v>
      </c>
      <c r="B1460" s="35">
        <v>1.23629920545801</v>
      </c>
    </row>
    <row r="1461" spans="1:2" ht="13.2" x14ac:dyDescent="0.25">
      <c r="A1461" s="34" t="s">
        <v>10745</v>
      </c>
    </row>
    <row r="1462" spans="1:2" ht="13.2" x14ac:dyDescent="0.25">
      <c r="A1462" s="34" t="s">
        <v>10744</v>
      </c>
    </row>
    <row r="1463" spans="1:2" ht="13.2" x14ac:dyDescent="0.25">
      <c r="A1463" s="34" t="s">
        <v>10743</v>
      </c>
      <c r="B1463" s="35">
        <v>1.2670576950483701</v>
      </c>
    </row>
    <row r="1464" spans="1:2" ht="13.2" x14ac:dyDescent="0.25">
      <c r="A1464" s="34" t="s">
        <v>10742</v>
      </c>
      <c r="B1464" s="35">
        <v>1.2819660116282401</v>
      </c>
    </row>
    <row r="1465" spans="1:2" ht="13.2" x14ac:dyDescent="0.25">
      <c r="A1465" s="34" t="s">
        <v>10741</v>
      </c>
      <c r="B1465" s="35">
        <v>1.2927802814742699</v>
      </c>
    </row>
    <row r="1466" spans="1:2" ht="13.2" x14ac:dyDescent="0.25">
      <c r="A1466" s="34" t="s">
        <v>10740</v>
      </c>
    </row>
    <row r="1467" spans="1:2" ht="13.2" x14ac:dyDescent="0.25">
      <c r="A1467" s="34" t="s">
        <v>10739</v>
      </c>
      <c r="B1467" s="35">
        <v>1.2927681971410101</v>
      </c>
    </row>
    <row r="1468" spans="1:2" ht="13.2" x14ac:dyDescent="0.25">
      <c r="A1468" s="34" t="s">
        <v>10738</v>
      </c>
    </row>
    <row r="1469" spans="1:2" ht="13.2" x14ac:dyDescent="0.25">
      <c r="A1469" s="34" t="s">
        <v>10737</v>
      </c>
    </row>
    <row r="1470" spans="1:2" ht="13.2" x14ac:dyDescent="0.25">
      <c r="A1470" s="34" t="s">
        <v>10736</v>
      </c>
      <c r="B1470" s="35">
        <v>1.2904986201289099</v>
      </c>
    </row>
    <row r="1471" spans="1:2" ht="13.2" x14ac:dyDescent="0.25">
      <c r="A1471" s="34" t="s">
        <v>10735</v>
      </c>
      <c r="B1471" s="35">
        <v>1.4294785356983699</v>
      </c>
    </row>
    <row r="1472" spans="1:2" ht="13.2" x14ac:dyDescent="0.25">
      <c r="A1472" s="34" t="s">
        <v>10734</v>
      </c>
      <c r="B1472" s="35">
        <v>1.42627023417642</v>
      </c>
    </row>
    <row r="1473" spans="1:2" ht="13.2" x14ac:dyDescent="0.25">
      <c r="A1473" s="34" t="s">
        <v>10733</v>
      </c>
      <c r="B1473" s="35">
        <v>1.3699113480757801</v>
      </c>
    </row>
    <row r="1474" spans="1:2" ht="13.2" x14ac:dyDescent="0.25">
      <c r="A1474" s="34" t="s">
        <v>10732</v>
      </c>
      <c r="B1474" s="35">
        <v>1.4022286169813001</v>
      </c>
    </row>
    <row r="1475" spans="1:2" ht="13.2" x14ac:dyDescent="0.25">
      <c r="A1475" s="34" t="s">
        <v>10731</v>
      </c>
    </row>
    <row r="1476" spans="1:2" ht="13.2" x14ac:dyDescent="0.25">
      <c r="A1476" s="34" t="s">
        <v>10730</v>
      </c>
    </row>
    <row r="1477" spans="1:2" ht="13.2" x14ac:dyDescent="0.25">
      <c r="A1477" s="34" t="s">
        <v>10729</v>
      </c>
      <c r="B1477" s="35">
        <v>1.32698161668246</v>
      </c>
    </row>
    <row r="1478" spans="1:2" ht="13.2" x14ac:dyDescent="0.25">
      <c r="A1478" s="34" t="s">
        <v>10728</v>
      </c>
      <c r="B1478" s="35">
        <v>1.3270314572325701</v>
      </c>
    </row>
    <row r="1479" spans="1:2" ht="13.2" x14ac:dyDescent="0.25">
      <c r="A1479" s="34" t="s">
        <v>10727</v>
      </c>
      <c r="B1479" s="35">
        <v>1.2896164524907501</v>
      </c>
    </row>
    <row r="1480" spans="1:2" ht="13.2" x14ac:dyDescent="0.25">
      <c r="A1480" s="34" t="s">
        <v>10726</v>
      </c>
      <c r="B1480" s="35">
        <v>1.41177779967374</v>
      </c>
    </row>
    <row r="1481" spans="1:2" ht="13.2" x14ac:dyDescent="0.25">
      <c r="A1481" s="34" t="s">
        <v>10725</v>
      </c>
      <c r="B1481" s="35">
        <v>1.0925089120657601</v>
      </c>
    </row>
    <row r="1482" spans="1:2" ht="13.2" x14ac:dyDescent="0.25">
      <c r="A1482" s="34" t="s">
        <v>10724</v>
      </c>
    </row>
    <row r="1483" spans="1:2" ht="13.2" x14ac:dyDescent="0.25">
      <c r="A1483" s="34" t="s">
        <v>10723</v>
      </c>
    </row>
    <row r="1484" spans="1:2" ht="13.2" x14ac:dyDescent="0.25">
      <c r="A1484" s="34" t="s">
        <v>10722</v>
      </c>
      <c r="B1484" s="35">
        <v>1.0958783082102901</v>
      </c>
    </row>
    <row r="1485" spans="1:2" ht="13.2" x14ac:dyDescent="0.25">
      <c r="A1485" s="34" t="s">
        <v>10721</v>
      </c>
      <c r="B1485" s="35">
        <v>1.0952466295121399</v>
      </c>
    </row>
    <row r="1486" spans="1:2" ht="13.2" x14ac:dyDescent="0.25">
      <c r="A1486" s="34" t="s">
        <v>10720</v>
      </c>
      <c r="B1486" s="35">
        <v>1.0860945375820401</v>
      </c>
    </row>
    <row r="1487" spans="1:2" ht="13.2" x14ac:dyDescent="0.25">
      <c r="A1487" s="34" t="s">
        <v>10719</v>
      </c>
      <c r="B1487" s="35">
        <v>1.0890070541967001</v>
      </c>
    </row>
    <row r="1488" spans="1:2" ht="13.2" x14ac:dyDescent="0.25">
      <c r="A1488" s="34" t="s">
        <v>10718</v>
      </c>
      <c r="B1488" s="35">
        <v>1.1276368523642899</v>
      </c>
    </row>
    <row r="1489" spans="1:2" ht="13.2" x14ac:dyDescent="0.25">
      <c r="A1489" s="34" t="s">
        <v>10717</v>
      </c>
    </row>
    <row r="1490" spans="1:2" ht="13.2" x14ac:dyDescent="0.25">
      <c r="A1490" s="34" t="s">
        <v>10716</v>
      </c>
    </row>
    <row r="1491" spans="1:2" ht="13.2" x14ac:dyDescent="0.25">
      <c r="A1491" s="34" t="s">
        <v>10715</v>
      </c>
      <c r="B1491" s="35">
        <v>1.12826839296381</v>
      </c>
    </row>
    <row r="1492" spans="1:2" ht="13.2" x14ac:dyDescent="0.25">
      <c r="A1492" s="34" t="s">
        <v>10714</v>
      </c>
      <c r="B1492" s="35">
        <v>1.2186769711216801</v>
      </c>
    </row>
    <row r="1493" spans="1:2" ht="13.2" x14ac:dyDescent="0.25">
      <c r="A1493" s="34" t="s">
        <v>10713</v>
      </c>
      <c r="B1493" s="35">
        <v>1.35568146624788</v>
      </c>
    </row>
    <row r="1494" spans="1:2" ht="13.2" x14ac:dyDescent="0.25">
      <c r="A1494" s="34" t="s">
        <v>10712</v>
      </c>
      <c r="B1494" s="35">
        <v>1.42681655971944</v>
      </c>
    </row>
    <row r="1495" spans="1:2" ht="13.2" x14ac:dyDescent="0.25">
      <c r="A1495" s="34" t="s">
        <v>10711</v>
      </c>
      <c r="B1495" s="35">
        <v>1.4550289644538501</v>
      </c>
    </row>
    <row r="1496" spans="1:2" ht="13.2" x14ac:dyDescent="0.25">
      <c r="A1496" s="34" t="s">
        <v>10710</v>
      </c>
    </row>
    <row r="1497" spans="1:2" ht="13.2" x14ac:dyDescent="0.25">
      <c r="A1497" s="34" t="s">
        <v>10709</v>
      </c>
    </row>
    <row r="1498" spans="1:2" ht="13.2" x14ac:dyDescent="0.25">
      <c r="A1498" s="34" t="s">
        <v>10708</v>
      </c>
      <c r="B1498" s="35">
        <v>1.5240465708713899</v>
      </c>
    </row>
    <row r="1499" spans="1:2" ht="13.2" x14ac:dyDescent="0.25">
      <c r="A1499" s="34" t="s">
        <v>10707</v>
      </c>
      <c r="B1499" s="35">
        <v>1.64746963616338</v>
      </c>
    </row>
    <row r="1500" spans="1:2" ht="13.2" x14ac:dyDescent="0.25">
      <c r="A1500" s="34" t="s">
        <v>10706</v>
      </c>
      <c r="B1500" s="35">
        <v>1.53163023688429</v>
      </c>
    </row>
    <row r="1501" spans="1:2" ht="13.2" x14ac:dyDescent="0.25">
      <c r="A1501" s="34" t="s">
        <v>10705</v>
      </c>
      <c r="B1501" s="35">
        <v>1.49760780393536</v>
      </c>
    </row>
    <row r="1502" spans="1:2" ht="13.2" x14ac:dyDescent="0.25">
      <c r="A1502" s="34" t="s">
        <v>10704</v>
      </c>
      <c r="B1502" s="35">
        <v>1.50393444094434</v>
      </c>
    </row>
    <row r="1503" spans="1:2" ht="13.2" x14ac:dyDescent="0.25">
      <c r="A1503" s="34" t="s">
        <v>10703</v>
      </c>
    </row>
    <row r="1504" spans="1:2" ht="13.2" x14ac:dyDescent="0.25">
      <c r="A1504" s="34" t="s">
        <v>10702</v>
      </c>
    </row>
    <row r="1505" spans="1:2" ht="13.2" x14ac:dyDescent="0.25">
      <c r="A1505" s="34" t="s">
        <v>10701</v>
      </c>
      <c r="B1505" s="35">
        <v>1.4930556505479999</v>
      </c>
    </row>
    <row r="1506" spans="1:2" ht="13.2" x14ac:dyDescent="0.25">
      <c r="A1506" s="34" t="s">
        <v>10700</v>
      </c>
      <c r="B1506" s="35">
        <v>1.4915972356476599</v>
      </c>
    </row>
    <row r="1507" spans="1:2" ht="13.2" x14ac:dyDescent="0.25">
      <c r="A1507" s="34" t="s">
        <v>10699</v>
      </c>
    </row>
    <row r="1508" spans="1:2" ht="13.2" x14ac:dyDescent="0.25">
      <c r="A1508" s="34" t="s">
        <v>10698</v>
      </c>
      <c r="B1508" s="35">
        <v>1.50002209514812</v>
      </c>
    </row>
    <row r="1509" spans="1:2" ht="13.2" x14ac:dyDescent="0.25">
      <c r="A1509" s="34" t="s">
        <v>10697</v>
      </c>
      <c r="B1509" s="35">
        <v>1.76274805100527</v>
      </c>
    </row>
    <row r="1510" spans="1:2" ht="13.2" x14ac:dyDescent="0.25">
      <c r="A1510" s="34" t="s">
        <v>10696</v>
      </c>
    </row>
    <row r="1511" spans="1:2" ht="13.2" x14ac:dyDescent="0.25">
      <c r="A1511" s="34" t="s">
        <v>10695</v>
      </c>
    </row>
    <row r="1512" spans="1:2" ht="13.2" x14ac:dyDescent="0.25">
      <c r="A1512" s="34" t="s">
        <v>10694</v>
      </c>
      <c r="B1512" s="35">
        <v>1.88884565010359</v>
      </c>
    </row>
    <row r="1513" spans="1:2" ht="13.2" x14ac:dyDescent="0.25">
      <c r="A1513" s="34" t="s">
        <v>10693</v>
      </c>
      <c r="B1513" s="35">
        <v>2.7621416788564002</v>
      </c>
    </row>
    <row r="1514" spans="1:2" ht="13.2" x14ac:dyDescent="0.25">
      <c r="A1514" s="34" t="s">
        <v>10692</v>
      </c>
      <c r="B1514" s="35">
        <v>3.3269021722499001</v>
      </c>
    </row>
    <row r="1515" spans="1:2" ht="13.2" x14ac:dyDescent="0.25">
      <c r="A1515" s="34" t="s">
        <v>10691</v>
      </c>
      <c r="B1515" s="35">
        <v>3.7184531008749402</v>
      </c>
    </row>
    <row r="1516" spans="1:2" ht="13.2" x14ac:dyDescent="0.25">
      <c r="A1516" s="34" t="s">
        <v>10690</v>
      </c>
      <c r="B1516" s="35">
        <v>3.8445431023916901</v>
      </c>
    </row>
    <row r="1517" spans="1:2" ht="13.2" x14ac:dyDescent="0.25">
      <c r="A1517" s="34" t="s">
        <v>10689</v>
      </c>
    </row>
    <row r="1518" spans="1:2" ht="13.2" x14ac:dyDescent="0.25">
      <c r="A1518" s="34" t="s">
        <v>10688</v>
      </c>
    </row>
    <row r="1519" spans="1:2" ht="13.2" x14ac:dyDescent="0.25">
      <c r="A1519" s="34" t="s">
        <v>10687</v>
      </c>
      <c r="B1519" s="35">
        <v>3.8558124053690301</v>
      </c>
    </row>
    <row r="1520" spans="1:2" ht="13.2" x14ac:dyDescent="0.25">
      <c r="A1520" s="34" t="s">
        <v>10686</v>
      </c>
      <c r="B1520" s="35">
        <v>4.2663574101869104</v>
      </c>
    </row>
    <row r="1521" spans="1:2" ht="13.2" x14ac:dyDescent="0.25">
      <c r="A1521" s="34" t="s">
        <v>10685</v>
      </c>
      <c r="B1521" s="35">
        <v>4.2746526212080997</v>
      </c>
    </row>
    <row r="1522" spans="1:2" ht="13.2" x14ac:dyDescent="0.25">
      <c r="A1522" s="34" t="s">
        <v>10684</v>
      </c>
      <c r="B1522" s="35">
        <v>4.2342390907031398</v>
      </c>
    </row>
    <row r="1523" spans="1:2" ht="13.2" x14ac:dyDescent="0.25">
      <c r="A1523" s="34" t="s">
        <v>10683</v>
      </c>
      <c r="B1523" s="35">
        <v>4.1507549907287196</v>
      </c>
    </row>
    <row r="1524" spans="1:2" ht="13.2" x14ac:dyDescent="0.25">
      <c r="A1524" s="34" t="s">
        <v>10682</v>
      </c>
    </row>
    <row r="1525" spans="1:2" ht="13.2" x14ac:dyDescent="0.25">
      <c r="A1525" s="34" t="s">
        <v>10681</v>
      </c>
    </row>
    <row r="1526" spans="1:2" ht="13.2" x14ac:dyDescent="0.25">
      <c r="A1526" s="34" t="s">
        <v>10680</v>
      </c>
      <c r="B1526" s="35">
        <v>4.2077541277135504</v>
      </c>
    </row>
    <row r="1527" spans="1:2" ht="13.2" x14ac:dyDescent="0.25">
      <c r="A1527" s="34" t="s">
        <v>10679</v>
      </c>
      <c r="B1527" s="35">
        <v>4.2055207166021296</v>
      </c>
    </row>
    <row r="1528" spans="1:2" ht="13.2" x14ac:dyDescent="0.25">
      <c r="A1528" s="34" t="s">
        <v>10678</v>
      </c>
      <c r="B1528" s="35">
        <v>4.1902008109734998</v>
      </c>
    </row>
    <row r="1529" spans="1:2" ht="13.2" x14ac:dyDescent="0.25">
      <c r="A1529" s="34" t="s">
        <v>10677</v>
      </c>
      <c r="B1529" s="35">
        <v>4.1319691394591702</v>
      </c>
    </row>
    <row r="1530" spans="1:2" ht="13.2" x14ac:dyDescent="0.25">
      <c r="A1530" s="34" t="s">
        <v>10676</v>
      </c>
      <c r="B1530" s="35">
        <v>4.2339433552518102</v>
      </c>
    </row>
    <row r="1531" spans="1:2" ht="13.2" x14ac:dyDescent="0.25">
      <c r="A1531" s="34" t="s">
        <v>10675</v>
      </c>
    </row>
    <row r="1532" spans="1:2" ht="13.2" x14ac:dyDescent="0.25">
      <c r="A1532" s="34" t="s">
        <v>10674</v>
      </c>
    </row>
    <row r="1533" spans="1:2" ht="13.2" x14ac:dyDescent="0.25">
      <c r="A1533" s="34" t="s">
        <v>10673</v>
      </c>
      <c r="B1533" s="35">
        <v>4.2462177108883896</v>
      </c>
    </row>
    <row r="1534" spans="1:2" ht="13.2" x14ac:dyDescent="0.25">
      <c r="A1534" s="34" t="s">
        <v>10672</v>
      </c>
      <c r="B1534" s="35">
        <v>4.2210361087158796</v>
      </c>
    </row>
    <row r="1535" spans="1:2" ht="13.2" x14ac:dyDescent="0.25">
      <c r="A1535" s="34" t="s">
        <v>10671</v>
      </c>
      <c r="B1535" s="35">
        <v>4.3951640506929701</v>
      </c>
    </row>
    <row r="1536" spans="1:2" ht="13.2" x14ac:dyDescent="0.25">
      <c r="A1536" s="34" t="s">
        <v>10670</v>
      </c>
      <c r="B1536" s="35">
        <v>4.3941560867919396</v>
      </c>
    </row>
    <row r="1537" spans="1:2" ht="13.2" x14ac:dyDescent="0.25">
      <c r="A1537" s="34" t="s">
        <v>10669</v>
      </c>
      <c r="B1537" s="35">
        <v>4.3995589159134401</v>
      </c>
    </row>
    <row r="1538" spans="1:2" ht="13.2" x14ac:dyDescent="0.25">
      <c r="A1538" s="34" t="s">
        <v>10668</v>
      </c>
    </row>
    <row r="1539" spans="1:2" ht="13.2" x14ac:dyDescent="0.25">
      <c r="A1539" s="34" t="s">
        <v>10667</v>
      </c>
    </row>
    <row r="1540" spans="1:2" ht="13.2" x14ac:dyDescent="0.25">
      <c r="A1540" s="34" t="s">
        <v>10666</v>
      </c>
      <c r="B1540" s="35">
        <v>4.3569814575154098</v>
      </c>
    </row>
    <row r="1541" spans="1:2" ht="13.2" x14ac:dyDescent="0.25">
      <c r="A1541" s="34" t="s">
        <v>10665</v>
      </c>
      <c r="B1541" s="35">
        <v>4.3042226024833301</v>
      </c>
    </row>
    <row r="1542" spans="1:2" ht="13.2" x14ac:dyDescent="0.25">
      <c r="A1542" s="34" t="s">
        <v>10664</v>
      </c>
      <c r="B1542" s="35">
        <v>3.8327194023636402</v>
      </c>
    </row>
    <row r="1543" spans="1:2" ht="13.2" x14ac:dyDescent="0.25">
      <c r="A1543" s="34" t="s">
        <v>10663</v>
      </c>
      <c r="B1543" s="35">
        <v>3.32606016827049</v>
      </c>
    </row>
    <row r="1544" spans="1:2" ht="13.2" x14ac:dyDescent="0.25">
      <c r="A1544" s="34" t="s">
        <v>10662</v>
      </c>
      <c r="B1544" s="35">
        <v>3.0854524522940601</v>
      </c>
    </row>
    <row r="1545" spans="1:2" ht="13.2" x14ac:dyDescent="0.25">
      <c r="A1545" s="34" t="s">
        <v>10661</v>
      </c>
    </row>
    <row r="1546" spans="1:2" ht="13.2" x14ac:dyDescent="0.25">
      <c r="A1546" s="34" t="s">
        <v>10660</v>
      </c>
    </row>
    <row r="1547" spans="1:2" ht="13.2" x14ac:dyDescent="0.25">
      <c r="A1547" s="34" t="s">
        <v>10659</v>
      </c>
      <c r="B1547" s="35">
        <v>2.8994388524745598</v>
      </c>
    </row>
    <row r="1548" spans="1:2" ht="13.2" x14ac:dyDescent="0.25">
      <c r="A1548" s="34" t="s">
        <v>10658</v>
      </c>
      <c r="B1548" s="35">
        <v>2.9026905150307498</v>
      </c>
    </row>
    <row r="1549" spans="1:2" ht="13.2" x14ac:dyDescent="0.25">
      <c r="A1549" s="34" t="s">
        <v>10657</v>
      </c>
      <c r="B1549" s="35">
        <v>2.3248288569081499</v>
      </c>
    </row>
    <row r="1550" spans="1:2" ht="13.2" x14ac:dyDescent="0.25">
      <c r="A1550" s="34" t="s">
        <v>10656</v>
      </c>
      <c r="B1550" s="35">
        <v>2.4110440808319402</v>
      </c>
    </row>
    <row r="1551" spans="1:2" ht="13.2" x14ac:dyDescent="0.25">
      <c r="A1551" s="34" t="s">
        <v>10655</v>
      </c>
      <c r="B1551" s="35">
        <v>2.3897695163815502</v>
      </c>
    </row>
    <row r="1552" spans="1:2" ht="13.2" x14ac:dyDescent="0.25">
      <c r="A1552" s="34" t="s">
        <v>10654</v>
      </c>
    </row>
    <row r="1553" spans="1:2" ht="13.2" x14ac:dyDescent="0.25">
      <c r="A1553" s="34" t="s">
        <v>10653</v>
      </c>
    </row>
    <row r="1554" spans="1:2" ht="13.2" x14ac:dyDescent="0.25">
      <c r="A1554" s="34" t="s">
        <v>10652</v>
      </c>
      <c r="B1554" s="35">
        <v>2.47139323117809</v>
      </c>
    </row>
    <row r="1555" spans="1:2" ht="13.2" x14ac:dyDescent="0.25">
      <c r="A1555" s="34" t="s">
        <v>10651</v>
      </c>
      <c r="B1555" s="35">
        <v>2.3795930452715699</v>
      </c>
    </row>
    <row r="1556" spans="1:2" ht="13.2" x14ac:dyDescent="0.25">
      <c r="A1556" s="34" t="s">
        <v>10650</v>
      </c>
      <c r="B1556" s="35">
        <v>2.37906193473553</v>
      </c>
    </row>
    <row r="1557" spans="1:2" ht="13.2" x14ac:dyDescent="0.25">
      <c r="A1557" s="34" t="s">
        <v>10649</v>
      </c>
      <c r="B1557" s="35">
        <v>2.4914805890055498</v>
      </c>
    </row>
    <row r="1558" spans="1:2" ht="13.2" x14ac:dyDescent="0.25">
      <c r="A1558" s="34" t="s">
        <v>10648</v>
      </c>
      <c r="B1558" s="35">
        <v>2.7496896373189399</v>
      </c>
    </row>
    <row r="1559" spans="1:2" ht="13.2" x14ac:dyDescent="0.25">
      <c r="A1559" s="34" t="s">
        <v>10647</v>
      </c>
    </row>
    <row r="1560" spans="1:2" ht="13.2" x14ac:dyDescent="0.25">
      <c r="A1560" s="34" t="s">
        <v>10646</v>
      </c>
    </row>
    <row r="1561" spans="1:2" ht="13.2" x14ac:dyDescent="0.25">
      <c r="A1561" s="34" t="s">
        <v>10645</v>
      </c>
      <c r="B1561" s="35">
        <v>2.7459853834854999</v>
      </c>
    </row>
    <row r="1562" spans="1:2" ht="13.2" x14ac:dyDescent="0.25">
      <c r="A1562" s="34" t="s">
        <v>10644</v>
      </c>
      <c r="B1562" s="35">
        <v>3.4828654615327999</v>
      </c>
    </row>
    <row r="1563" spans="1:2" ht="13.2" x14ac:dyDescent="0.25">
      <c r="A1563" s="34" t="s">
        <v>10643</v>
      </c>
      <c r="B1563" s="35">
        <v>3.4861263160406302</v>
      </c>
    </row>
    <row r="1564" spans="1:2" ht="13.2" x14ac:dyDescent="0.25">
      <c r="A1564" s="34" t="s">
        <v>10642</v>
      </c>
      <c r="B1564" s="35">
        <v>3.3445929421275302</v>
      </c>
    </row>
    <row r="1565" spans="1:2" ht="13.2" x14ac:dyDescent="0.25">
      <c r="A1565" s="34" t="s">
        <v>10641</v>
      </c>
      <c r="B1565" s="35">
        <v>3.4392612646254501</v>
      </c>
    </row>
    <row r="1566" spans="1:2" ht="13.2" x14ac:dyDescent="0.25">
      <c r="A1566" s="34" t="s">
        <v>10640</v>
      </c>
    </row>
    <row r="1567" spans="1:2" ht="13.2" x14ac:dyDescent="0.25">
      <c r="A1567" s="34" t="s">
        <v>10639</v>
      </c>
    </row>
    <row r="1568" spans="1:2" ht="13.2" x14ac:dyDescent="0.25">
      <c r="A1568" s="34" t="s">
        <v>10638</v>
      </c>
      <c r="B1568" s="35">
        <v>3.43402169792162</v>
      </c>
    </row>
    <row r="1569" spans="1:2" ht="13.2" x14ac:dyDescent="0.25">
      <c r="A1569" s="34" t="s">
        <v>10637</v>
      </c>
      <c r="B1569" s="35">
        <v>3.4227448880638698</v>
      </c>
    </row>
    <row r="1570" spans="1:2" ht="13.2" x14ac:dyDescent="0.25">
      <c r="A1570" s="34" t="s">
        <v>10636</v>
      </c>
      <c r="B1570" s="35">
        <v>3.4847192533431501</v>
      </c>
    </row>
    <row r="1571" spans="1:2" ht="13.2" x14ac:dyDescent="0.25">
      <c r="A1571" s="34" t="s">
        <v>10635</v>
      </c>
      <c r="B1571" s="35">
        <v>3.5145535348003398</v>
      </c>
    </row>
    <row r="1572" spans="1:2" ht="13.2" x14ac:dyDescent="0.25">
      <c r="A1572" s="34" t="s">
        <v>10634</v>
      </c>
      <c r="B1572" s="35">
        <v>3.5405399157975399</v>
      </c>
    </row>
    <row r="1573" spans="1:2" ht="13.2" x14ac:dyDescent="0.25">
      <c r="A1573" s="34" t="s">
        <v>10633</v>
      </c>
    </row>
    <row r="1574" spans="1:2" ht="13.2" x14ac:dyDescent="0.25">
      <c r="A1574" s="34" t="s">
        <v>10632</v>
      </c>
    </row>
    <row r="1575" spans="1:2" ht="13.2" x14ac:dyDescent="0.25">
      <c r="A1575" s="34" t="s">
        <v>10631</v>
      </c>
      <c r="B1575" s="35">
        <v>3.4783088286978701</v>
      </c>
    </row>
    <row r="1576" spans="1:2" ht="13.2" x14ac:dyDescent="0.25">
      <c r="A1576" s="34" t="s">
        <v>10630</v>
      </c>
      <c r="B1576" s="35">
        <v>3.5510451466606798</v>
      </c>
    </row>
    <row r="1577" spans="1:2" ht="13.2" x14ac:dyDescent="0.25">
      <c r="A1577" s="34" t="s">
        <v>10629</v>
      </c>
      <c r="B1577" s="35">
        <v>3.5955957909995599</v>
      </c>
    </row>
    <row r="1578" spans="1:2" ht="13.2" x14ac:dyDescent="0.25">
      <c r="A1578" s="34" t="s">
        <v>10628</v>
      </c>
      <c r="B1578" s="35">
        <v>3.5215479704500501</v>
      </c>
    </row>
    <row r="1579" spans="1:2" ht="13.2" x14ac:dyDescent="0.25">
      <c r="A1579" s="34" t="s">
        <v>10627</v>
      </c>
      <c r="B1579" s="35">
        <v>3.4733896308453098</v>
      </c>
    </row>
    <row r="1580" spans="1:2" ht="13.2" x14ac:dyDescent="0.25">
      <c r="A1580" s="34" t="s">
        <v>10626</v>
      </c>
    </row>
    <row r="1581" spans="1:2" ht="13.2" x14ac:dyDescent="0.25">
      <c r="A1581" s="34" t="s">
        <v>10625</v>
      </c>
    </row>
    <row r="1582" spans="1:2" ht="13.2" x14ac:dyDescent="0.25">
      <c r="A1582" s="34" t="s">
        <v>10624</v>
      </c>
      <c r="B1582" s="35">
        <v>3.4729022553804998</v>
      </c>
    </row>
    <row r="1583" spans="1:2" ht="13.2" x14ac:dyDescent="0.25">
      <c r="A1583" s="34" t="s">
        <v>10623</v>
      </c>
      <c r="B1583" s="35">
        <v>3.4618416896744901</v>
      </c>
    </row>
    <row r="1584" spans="1:2" ht="13.2" x14ac:dyDescent="0.25">
      <c r="A1584" s="34" t="s">
        <v>10622</v>
      </c>
      <c r="B1584" s="35">
        <v>3.4394662682277399</v>
      </c>
    </row>
    <row r="1585" spans="1:2" ht="13.2" x14ac:dyDescent="0.25">
      <c r="A1585" s="34" t="s">
        <v>10621</v>
      </c>
      <c r="B1585" s="35">
        <v>3.4377271859028502</v>
      </c>
    </row>
    <row r="1586" spans="1:2" ht="13.2" x14ac:dyDescent="0.25">
      <c r="A1586" s="34" t="s">
        <v>10620</v>
      </c>
      <c r="B1586" s="35">
        <v>3.33703307845462</v>
      </c>
    </row>
    <row r="1587" spans="1:2" ht="13.2" x14ac:dyDescent="0.25">
      <c r="A1587" s="34" t="s">
        <v>10619</v>
      </c>
    </row>
    <row r="1588" spans="1:2" ht="13.2" x14ac:dyDescent="0.25">
      <c r="A1588" s="34" t="s">
        <v>10618</v>
      </c>
    </row>
    <row r="1589" spans="1:2" ht="13.2" x14ac:dyDescent="0.25">
      <c r="A1589" s="34" t="s">
        <v>10617</v>
      </c>
      <c r="B1589" s="35">
        <v>3.0277312340221298</v>
      </c>
    </row>
    <row r="1590" spans="1:2" ht="13.2" x14ac:dyDescent="0.25">
      <c r="A1590" s="34" t="s">
        <v>10616</v>
      </c>
      <c r="B1590" s="35">
        <v>2.7841249024547898</v>
      </c>
    </row>
    <row r="1591" spans="1:2" ht="13.2" x14ac:dyDescent="0.25">
      <c r="A1591" s="34" t="s">
        <v>10615</v>
      </c>
      <c r="B1591" s="35">
        <v>2.1277693635405699</v>
      </c>
    </row>
    <row r="1592" spans="1:2" ht="13.2" x14ac:dyDescent="0.25">
      <c r="A1592" s="34" t="s">
        <v>10614</v>
      </c>
      <c r="B1592" s="35">
        <v>2.14865680841489</v>
      </c>
    </row>
    <row r="1593" spans="1:2" ht="13.2" x14ac:dyDescent="0.25">
      <c r="A1593" s="34" t="s">
        <v>10613</v>
      </c>
      <c r="B1593" s="35">
        <v>2.09233111832802</v>
      </c>
    </row>
    <row r="1594" spans="1:2" ht="13.2" x14ac:dyDescent="0.25">
      <c r="A1594" s="34" t="s">
        <v>10612</v>
      </c>
    </row>
    <row r="1595" spans="1:2" ht="13.2" x14ac:dyDescent="0.25">
      <c r="A1595" s="34" t="s">
        <v>10611</v>
      </c>
    </row>
    <row r="1596" spans="1:2" ht="13.2" x14ac:dyDescent="0.25">
      <c r="A1596" s="34" t="s">
        <v>10610</v>
      </c>
      <c r="B1596" s="35">
        <v>1.98088022458678</v>
      </c>
    </row>
    <row r="1597" spans="1:2" ht="13.2" x14ac:dyDescent="0.25">
      <c r="A1597" s="34" t="s">
        <v>10609</v>
      </c>
      <c r="B1597" s="35">
        <v>1.99648457650987</v>
      </c>
    </row>
    <row r="1598" spans="1:2" ht="13.2" x14ac:dyDescent="0.25">
      <c r="A1598" s="34" t="s">
        <v>10608</v>
      </c>
      <c r="B1598" s="35">
        <v>2.0020437694904798</v>
      </c>
    </row>
    <row r="1599" spans="1:2" ht="13.2" x14ac:dyDescent="0.25">
      <c r="A1599" s="34" t="s">
        <v>10607</v>
      </c>
      <c r="B1599" s="35">
        <v>1.8638569256070601</v>
      </c>
    </row>
    <row r="1600" spans="1:2" ht="13.2" x14ac:dyDescent="0.25">
      <c r="A1600" s="34" t="s">
        <v>10606</v>
      </c>
      <c r="B1600" s="35">
        <v>1.7420221557844899</v>
      </c>
    </row>
    <row r="1601" spans="1:2" ht="13.2" x14ac:dyDescent="0.25">
      <c r="A1601" s="34" t="s">
        <v>10605</v>
      </c>
    </row>
    <row r="1602" spans="1:2" ht="13.2" x14ac:dyDescent="0.25">
      <c r="A1602" s="34" t="s">
        <v>10604</v>
      </c>
    </row>
    <row r="1603" spans="1:2" ht="13.2" x14ac:dyDescent="0.25">
      <c r="A1603" s="34" t="s">
        <v>10603</v>
      </c>
      <c r="B1603" s="35">
        <v>1.7346822315783601</v>
      </c>
    </row>
    <row r="1604" spans="1:2" ht="13.2" x14ac:dyDescent="0.25">
      <c r="A1604" s="34" t="s">
        <v>10602</v>
      </c>
      <c r="B1604" s="35">
        <v>1.41913229106912</v>
      </c>
    </row>
    <row r="1605" spans="1:2" ht="13.2" x14ac:dyDescent="0.25">
      <c r="A1605" s="34" t="s">
        <v>10601</v>
      </c>
      <c r="B1605" s="35">
        <v>1.34761654016919</v>
      </c>
    </row>
    <row r="1606" spans="1:2" ht="13.2" x14ac:dyDescent="0.25">
      <c r="A1606" s="34" t="s">
        <v>10600</v>
      </c>
      <c r="B1606" s="35">
        <v>1.36791286090053</v>
      </c>
    </row>
    <row r="1607" spans="1:2" ht="13.2" x14ac:dyDescent="0.25">
      <c r="A1607" s="34" t="s">
        <v>10599</v>
      </c>
      <c r="B1607" s="35">
        <v>1.3594674936603</v>
      </c>
    </row>
    <row r="1608" spans="1:2" ht="13.2" x14ac:dyDescent="0.25">
      <c r="A1608" s="34" t="s">
        <v>10598</v>
      </c>
    </row>
    <row r="1609" spans="1:2" ht="13.2" x14ac:dyDescent="0.25">
      <c r="A1609" s="34" t="s">
        <v>10597</v>
      </c>
    </row>
    <row r="1610" spans="1:2" ht="13.2" x14ac:dyDescent="0.25">
      <c r="A1610" s="34" t="s">
        <v>10596</v>
      </c>
      <c r="B1610" s="35">
        <v>1.37806107613095</v>
      </c>
    </row>
    <row r="1611" spans="1:2" ht="13.2" x14ac:dyDescent="0.25">
      <c r="A1611" s="34" t="s">
        <v>10595</v>
      </c>
      <c r="B1611" s="35">
        <v>1.4465718785230901</v>
      </c>
    </row>
    <row r="1612" spans="1:2" ht="13.2" x14ac:dyDescent="0.25">
      <c r="A1612" s="34" t="s">
        <v>10594</v>
      </c>
      <c r="B1612" s="35">
        <v>1.37682494778905</v>
      </c>
    </row>
    <row r="1613" spans="1:2" ht="13.2" x14ac:dyDescent="0.25">
      <c r="A1613" s="34" t="s">
        <v>10593</v>
      </c>
      <c r="B1613" s="35">
        <v>2.4109950756951499</v>
      </c>
    </row>
    <row r="1614" spans="1:2" ht="13.2" x14ac:dyDescent="0.25">
      <c r="A1614" s="34" t="s">
        <v>10592</v>
      </c>
      <c r="B1614" s="35">
        <v>2.5017294519701698</v>
      </c>
    </row>
    <row r="1615" spans="1:2" ht="13.2" x14ac:dyDescent="0.25">
      <c r="A1615" s="34" t="s">
        <v>10591</v>
      </c>
    </row>
    <row r="1616" spans="1:2" ht="13.2" x14ac:dyDescent="0.25">
      <c r="A1616" s="34" t="s">
        <v>10590</v>
      </c>
    </row>
    <row r="1617" spans="1:2" ht="13.2" x14ac:dyDescent="0.25">
      <c r="A1617" s="34" t="s">
        <v>10589</v>
      </c>
      <c r="B1617" s="35">
        <v>4.3248539253211096</v>
      </c>
    </row>
    <row r="1618" spans="1:2" ht="13.2" x14ac:dyDescent="0.25">
      <c r="A1618" s="34" t="s">
        <v>10588</v>
      </c>
      <c r="B1618" s="35">
        <v>4.5789106012129199</v>
      </c>
    </row>
    <row r="1619" spans="1:2" ht="13.2" x14ac:dyDescent="0.25">
      <c r="A1619" s="34" t="s">
        <v>10587</v>
      </c>
      <c r="B1619" s="35">
        <v>4.71555084770295</v>
      </c>
    </row>
    <row r="1620" spans="1:2" ht="13.2" x14ac:dyDescent="0.25">
      <c r="A1620" s="34" t="s">
        <v>10586</v>
      </c>
      <c r="B1620" s="35">
        <v>5.0462348794704397</v>
      </c>
    </row>
    <row r="1621" spans="1:2" ht="13.2" x14ac:dyDescent="0.25">
      <c r="A1621" s="34" t="s">
        <v>10585</v>
      </c>
      <c r="B1621" s="35">
        <v>5.03507712023245</v>
      </c>
    </row>
    <row r="1622" spans="1:2" ht="13.2" x14ac:dyDescent="0.25">
      <c r="A1622" s="34" t="s">
        <v>10584</v>
      </c>
    </row>
    <row r="1623" spans="1:2" ht="13.2" x14ac:dyDescent="0.25">
      <c r="A1623" s="34" t="s">
        <v>10583</v>
      </c>
    </row>
    <row r="1624" spans="1:2" ht="13.2" x14ac:dyDescent="0.25">
      <c r="A1624" s="34" t="s">
        <v>10582</v>
      </c>
      <c r="B1624" s="35">
        <v>5.5371344355261698</v>
      </c>
    </row>
    <row r="1625" spans="1:2" ht="13.2" x14ac:dyDescent="0.25">
      <c r="A1625" s="34" t="s">
        <v>10581</v>
      </c>
      <c r="B1625" s="35">
        <v>5.6273220846729801</v>
      </c>
    </row>
    <row r="1626" spans="1:2" ht="13.2" x14ac:dyDescent="0.25">
      <c r="A1626" s="34" t="s">
        <v>10580</v>
      </c>
      <c r="B1626" s="35">
        <v>5.6369080359160799</v>
      </c>
    </row>
    <row r="1627" spans="1:2" ht="13.2" x14ac:dyDescent="0.25">
      <c r="A1627" s="34" t="s">
        <v>10579</v>
      </c>
      <c r="B1627" s="35">
        <v>5.7235307065330199</v>
      </c>
    </row>
    <row r="1628" spans="1:2" ht="13.2" x14ac:dyDescent="0.25">
      <c r="A1628" s="34" t="s">
        <v>10578</v>
      </c>
      <c r="B1628" s="35">
        <v>5.7816828848919304</v>
      </c>
    </row>
    <row r="1629" spans="1:2" ht="13.2" x14ac:dyDescent="0.25">
      <c r="A1629" s="34" t="s">
        <v>10577</v>
      </c>
    </row>
    <row r="1630" spans="1:2" ht="13.2" x14ac:dyDescent="0.25">
      <c r="A1630" s="34" t="s">
        <v>10576</v>
      </c>
    </row>
    <row r="1631" spans="1:2" ht="13.2" x14ac:dyDescent="0.25">
      <c r="A1631" s="34" t="s">
        <v>10575</v>
      </c>
      <c r="B1631" s="35">
        <v>5.8192883487484304</v>
      </c>
    </row>
    <row r="1632" spans="1:2" ht="13.2" x14ac:dyDescent="0.25">
      <c r="A1632" s="34" t="s">
        <v>10574</v>
      </c>
      <c r="B1632" s="35">
        <v>5.8217816135617797</v>
      </c>
    </row>
    <row r="1633" spans="1:2" ht="13.2" x14ac:dyDescent="0.25">
      <c r="A1633" s="34" t="s">
        <v>10573</v>
      </c>
      <c r="B1633" s="35">
        <v>6.0827616460146796</v>
      </c>
    </row>
    <row r="1634" spans="1:2" ht="13.2" x14ac:dyDescent="0.25">
      <c r="A1634" s="34" t="s">
        <v>10572</v>
      </c>
      <c r="B1634" s="35">
        <v>6.19028187469572</v>
      </c>
    </row>
    <row r="1635" spans="1:2" ht="13.2" x14ac:dyDescent="0.25">
      <c r="A1635" s="34" t="s">
        <v>10571</v>
      </c>
      <c r="B1635" s="35">
        <v>6.5690604216348296</v>
      </c>
    </row>
    <row r="1636" spans="1:2" ht="13.2" x14ac:dyDescent="0.25">
      <c r="A1636" s="34" t="s">
        <v>10570</v>
      </c>
    </row>
    <row r="1637" spans="1:2" ht="13.2" x14ac:dyDescent="0.25">
      <c r="A1637" s="34" t="s">
        <v>10569</v>
      </c>
    </row>
    <row r="1638" spans="1:2" ht="13.2" x14ac:dyDescent="0.25">
      <c r="A1638" s="34" t="s">
        <v>10568</v>
      </c>
      <c r="B1638" s="35">
        <v>6.6829157688379599</v>
      </c>
    </row>
    <row r="1639" spans="1:2" ht="13.2" x14ac:dyDescent="0.25">
      <c r="A1639" s="34" t="s">
        <v>10567</v>
      </c>
      <c r="B1639" s="35">
        <v>6.6458914417437303</v>
      </c>
    </row>
    <row r="1640" spans="1:2" ht="13.2" x14ac:dyDescent="0.25">
      <c r="A1640" s="34" t="s">
        <v>10566</v>
      </c>
      <c r="B1640" s="35">
        <v>6.6756379200926004</v>
      </c>
    </row>
    <row r="1641" spans="1:2" ht="13.2" x14ac:dyDescent="0.25">
      <c r="A1641" s="34" t="s">
        <v>10565</v>
      </c>
      <c r="B1641" s="35">
        <v>6.6707155459216798</v>
      </c>
    </row>
    <row r="1642" spans="1:2" ht="13.2" x14ac:dyDescent="0.25">
      <c r="A1642" s="34" t="s">
        <v>10564</v>
      </c>
      <c r="B1642" s="35">
        <v>6.5348012097582799</v>
      </c>
    </row>
    <row r="1643" spans="1:2" ht="13.2" x14ac:dyDescent="0.25">
      <c r="A1643" s="34" t="s">
        <v>10563</v>
      </c>
    </row>
    <row r="1644" spans="1:2" ht="13.2" x14ac:dyDescent="0.25">
      <c r="A1644" s="34" t="s">
        <v>10562</v>
      </c>
    </row>
    <row r="1645" spans="1:2" ht="13.2" x14ac:dyDescent="0.25">
      <c r="A1645" s="34" t="s">
        <v>10561</v>
      </c>
      <c r="B1645" s="35">
        <v>6.5485435511644399</v>
      </c>
    </row>
    <row r="1646" spans="1:2" ht="13.2" x14ac:dyDescent="0.25">
      <c r="A1646" s="34" t="s">
        <v>10560</v>
      </c>
      <c r="B1646" s="35">
        <v>5.5720152235066696</v>
      </c>
    </row>
    <row r="1647" spans="1:2" ht="13.2" x14ac:dyDescent="0.25">
      <c r="A1647" s="34" t="s">
        <v>10559</v>
      </c>
      <c r="B1647" s="35">
        <v>5.4071779101492101</v>
      </c>
    </row>
    <row r="1648" spans="1:2" ht="13.2" x14ac:dyDescent="0.25">
      <c r="A1648" s="34" t="s">
        <v>10558</v>
      </c>
      <c r="B1648" s="35">
        <v>5.2834960089579699</v>
      </c>
    </row>
    <row r="1649" spans="1:2" ht="13.2" x14ac:dyDescent="0.25">
      <c r="A1649" s="34" t="s">
        <v>10557</v>
      </c>
      <c r="B1649" s="35">
        <v>4.7739641024210799</v>
      </c>
    </row>
    <row r="1650" spans="1:2" ht="13.2" x14ac:dyDescent="0.25">
      <c r="A1650" s="34" t="s">
        <v>10556</v>
      </c>
    </row>
    <row r="1651" spans="1:2" ht="13.2" x14ac:dyDescent="0.25">
      <c r="A1651" s="34" t="s">
        <v>10555</v>
      </c>
    </row>
    <row r="1652" spans="1:2" ht="13.2" x14ac:dyDescent="0.25">
      <c r="A1652" s="34" t="s">
        <v>10554</v>
      </c>
      <c r="B1652" s="35">
        <v>4.7957366264522499</v>
      </c>
    </row>
    <row r="1653" spans="1:2" ht="13.2" x14ac:dyDescent="0.25">
      <c r="A1653" s="34" t="s">
        <v>10553</v>
      </c>
      <c r="B1653" s="35">
        <v>4.3985424484795299</v>
      </c>
    </row>
    <row r="1654" spans="1:2" ht="13.2" x14ac:dyDescent="0.25">
      <c r="A1654" s="34" t="s">
        <v>10552</v>
      </c>
      <c r="B1654" s="35">
        <v>4.3084003667173798</v>
      </c>
    </row>
    <row r="1655" spans="1:2" ht="13.2" x14ac:dyDescent="0.25">
      <c r="A1655" s="34" t="s">
        <v>10551</v>
      </c>
      <c r="B1655" s="35">
        <v>4.2716015641776703</v>
      </c>
    </row>
    <row r="1656" spans="1:2" ht="13.2" x14ac:dyDescent="0.25">
      <c r="A1656" s="34" t="s">
        <v>10550</v>
      </c>
      <c r="B1656" s="35">
        <v>4.06532336272317</v>
      </c>
    </row>
    <row r="1657" spans="1:2" ht="13.2" x14ac:dyDescent="0.25">
      <c r="A1657" s="34" t="s">
        <v>10549</v>
      </c>
    </row>
    <row r="1658" spans="1:2" ht="13.2" x14ac:dyDescent="0.25">
      <c r="A1658" s="34" t="s">
        <v>10548</v>
      </c>
    </row>
    <row r="1659" spans="1:2" ht="13.2" x14ac:dyDescent="0.25">
      <c r="A1659" s="34" t="s">
        <v>10547</v>
      </c>
      <c r="B1659" s="35">
        <v>3.74738468479311</v>
      </c>
    </row>
    <row r="1660" spans="1:2" ht="13.2" x14ac:dyDescent="0.25">
      <c r="A1660" s="34" t="s">
        <v>10546</v>
      </c>
      <c r="B1660" s="35">
        <v>3.7908561579825699</v>
      </c>
    </row>
    <row r="1661" spans="1:2" ht="13.2" x14ac:dyDescent="0.25">
      <c r="A1661" s="34" t="s">
        <v>10545</v>
      </c>
      <c r="B1661" s="35">
        <v>3.8219293426457002</v>
      </c>
    </row>
    <row r="1662" spans="1:2" ht="13.2" x14ac:dyDescent="0.25">
      <c r="A1662" s="34" t="s">
        <v>10544</v>
      </c>
      <c r="B1662" s="35">
        <v>3.0243126713819999</v>
      </c>
    </row>
    <row r="1663" spans="1:2" ht="13.2" x14ac:dyDescent="0.25">
      <c r="A1663" s="34" t="s">
        <v>10543</v>
      </c>
      <c r="B1663" s="35">
        <v>2.9732974119187898</v>
      </c>
    </row>
    <row r="1664" spans="1:2" ht="13.2" x14ac:dyDescent="0.25">
      <c r="A1664" s="34" t="s">
        <v>10542</v>
      </c>
    </row>
    <row r="1665" spans="1:2" ht="13.2" x14ac:dyDescent="0.25">
      <c r="A1665" s="34" t="s">
        <v>10541</v>
      </c>
    </row>
    <row r="1666" spans="1:2" ht="13.2" x14ac:dyDescent="0.25">
      <c r="A1666" s="34" t="s">
        <v>10540</v>
      </c>
      <c r="B1666" s="35">
        <v>2.6204656207674799</v>
      </c>
    </row>
    <row r="1667" spans="1:2" ht="13.2" x14ac:dyDescent="0.25">
      <c r="A1667" s="34" t="s">
        <v>10539</v>
      </c>
      <c r="B1667" s="35">
        <v>2.52240925082253</v>
      </c>
    </row>
    <row r="1668" spans="1:2" ht="13.2" x14ac:dyDescent="0.25">
      <c r="A1668" s="34" t="s">
        <v>10538</v>
      </c>
      <c r="B1668" s="35">
        <v>2.5185179953421701</v>
      </c>
    </row>
    <row r="1669" spans="1:2" ht="13.2" x14ac:dyDescent="0.25">
      <c r="A1669" s="34" t="s">
        <v>10537</v>
      </c>
      <c r="B1669" s="35">
        <v>2.5898367073277502</v>
      </c>
    </row>
    <row r="1670" spans="1:2" ht="13.2" x14ac:dyDescent="0.25">
      <c r="A1670" s="34" t="s">
        <v>10536</v>
      </c>
      <c r="B1670" s="35">
        <v>2.6974229425326901</v>
      </c>
    </row>
    <row r="1671" spans="1:2" ht="13.2" x14ac:dyDescent="0.25">
      <c r="A1671" s="34" t="s">
        <v>10535</v>
      </c>
    </row>
    <row r="1672" spans="1:2" ht="13.2" x14ac:dyDescent="0.25">
      <c r="A1672" s="34" t="s">
        <v>10534</v>
      </c>
    </row>
    <row r="1673" spans="1:2" ht="13.2" x14ac:dyDescent="0.25">
      <c r="A1673" s="34" t="s">
        <v>10533</v>
      </c>
      <c r="B1673" s="35">
        <v>2.7727354630776802</v>
      </c>
    </row>
    <row r="1674" spans="1:2" ht="13.2" x14ac:dyDescent="0.25">
      <c r="A1674" s="34" t="s">
        <v>10532</v>
      </c>
      <c r="B1674" s="35">
        <v>2.6306042062479</v>
      </c>
    </row>
    <row r="1675" spans="1:2" ht="13.2" x14ac:dyDescent="0.25">
      <c r="A1675" s="34" t="s">
        <v>10531</v>
      </c>
    </row>
    <row r="1676" spans="1:2" ht="13.2" x14ac:dyDescent="0.25">
      <c r="A1676" s="34" t="s">
        <v>10530</v>
      </c>
    </row>
    <row r="1677" spans="1:2" ht="13.2" x14ac:dyDescent="0.25">
      <c r="A1677" s="34" t="s">
        <v>10529</v>
      </c>
      <c r="B1677" s="35">
        <v>2.6435341129408401</v>
      </c>
    </row>
    <row r="1678" spans="1:2" ht="13.2" x14ac:dyDescent="0.25">
      <c r="A1678" s="34" t="s">
        <v>10528</v>
      </c>
    </row>
    <row r="1679" spans="1:2" ht="13.2" x14ac:dyDescent="0.25">
      <c r="A1679" s="34" t="s">
        <v>10527</v>
      </c>
    </row>
    <row r="1680" spans="1:2" ht="13.2" x14ac:dyDescent="0.25">
      <c r="A1680" s="34" t="s">
        <v>10526</v>
      </c>
      <c r="B1680" s="35">
        <v>2.69763242648756</v>
      </c>
    </row>
    <row r="1681" spans="1:2" ht="13.2" x14ac:dyDescent="0.25">
      <c r="A1681" s="34" t="s">
        <v>10525</v>
      </c>
      <c r="B1681" s="35">
        <v>2.6607477382412599</v>
      </c>
    </row>
    <row r="1682" spans="1:2" ht="13.2" x14ac:dyDescent="0.25">
      <c r="A1682" s="34" t="s">
        <v>10524</v>
      </c>
    </row>
    <row r="1683" spans="1:2" ht="13.2" x14ac:dyDescent="0.25">
      <c r="A1683" s="34" t="s">
        <v>10523</v>
      </c>
    </row>
    <row r="1684" spans="1:2" ht="13.2" x14ac:dyDescent="0.25">
      <c r="A1684" s="34" t="s">
        <v>10522</v>
      </c>
      <c r="B1684" s="35">
        <v>2.6407115460154702</v>
      </c>
    </row>
    <row r="1685" spans="1:2" ht="13.2" x14ac:dyDescent="0.25">
      <c r="A1685" s="34" t="s">
        <v>10521</v>
      </c>
    </row>
    <row r="1686" spans="1:2" ht="13.2" x14ac:dyDescent="0.25">
      <c r="A1686" s="34" t="s">
        <v>10520</v>
      </c>
    </row>
    <row r="1687" spans="1:2" ht="13.2" x14ac:dyDescent="0.25">
      <c r="A1687" s="34" t="s">
        <v>10519</v>
      </c>
      <c r="B1687" s="35">
        <v>2.6006581994390099</v>
      </c>
    </row>
    <row r="1688" spans="1:2" ht="13.2" x14ac:dyDescent="0.25">
      <c r="A1688" s="34" t="s">
        <v>10518</v>
      </c>
      <c r="B1688" s="35">
        <v>2.6963975730871499</v>
      </c>
    </row>
    <row r="1689" spans="1:2" ht="13.2" x14ac:dyDescent="0.25">
      <c r="A1689" s="34" t="s">
        <v>10517</v>
      </c>
      <c r="B1689" s="35">
        <v>2.7821342797756801</v>
      </c>
    </row>
    <row r="1690" spans="1:2" ht="13.2" x14ac:dyDescent="0.25">
      <c r="A1690" s="34" t="s">
        <v>10516</v>
      </c>
      <c r="B1690" s="35">
        <v>2.8191889791265901</v>
      </c>
    </row>
    <row r="1691" spans="1:2" ht="13.2" x14ac:dyDescent="0.25">
      <c r="A1691" s="34" t="s">
        <v>10515</v>
      </c>
      <c r="B1691" s="35">
        <v>3.0650806661518399</v>
      </c>
    </row>
    <row r="1692" spans="1:2" ht="13.2" x14ac:dyDescent="0.25">
      <c r="A1692" s="34" t="s">
        <v>10514</v>
      </c>
    </row>
    <row r="1693" spans="1:2" ht="13.2" x14ac:dyDescent="0.25">
      <c r="A1693" s="34" t="s">
        <v>10513</v>
      </c>
    </row>
    <row r="1694" spans="1:2" ht="13.2" x14ac:dyDescent="0.25">
      <c r="A1694" s="34" t="s">
        <v>10512</v>
      </c>
      <c r="B1694" s="35">
        <v>3.0853099911284301</v>
      </c>
    </row>
    <row r="1695" spans="1:2" ht="13.2" x14ac:dyDescent="0.25">
      <c r="A1695" s="34" t="s">
        <v>10511</v>
      </c>
      <c r="B1695" s="35">
        <v>3.0945562205582702</v>
      </c>
    </row>
    <row r="1696" spans="1:2" ht="13.2" x14ac:dyDescent="0.25">
      <c r="A1696" s="34" t="s">
        <v>10510</v>
      </c>
      <c r="B1696" s="35">
        <v>2.97948121602075</v>
      </c>
    </row>
    <row r="1697" spans="1:2" ht="13.2" x14ac:dyDescent="0.25">
      <c r="A1697" s="34" t="s">
        <v>10509</v>
      </c>
      <c r="B1697" s="35">
        <v>2.9005622808698002</v>
      </c>
    </row>
    <row r="1698" spans="1:2" ht="13.2" x14ac:dyDescent="0.25">
      <c r="A1698" s="34" t="s">
        <v>10508</v>
      </c>
      <c r="B1698" s="35">
        <v>2.9881651664236899</v>
      </c>
    </row>
    <row r="1699" spans="1:2" ht="13.2" x14ac:dyDescent="0.25">
      <c r="A1699" s="34" t="s">
        <v>10507</v>
      </c>
    </row>
    <row r="1700" spans="1:2" ht="13.2" x14ac:dyDescent="0.25">
      <c r="A1700" s="34" t="s">
        <v>10506</v>
      </c>
    </row>
    <row r="1701" spans="1:2" ht="13.2" x14ac:dyDescent="0.25">
      <c r="A1701" s="34" t="s">
        <v>10505</v>
      </c>
      <c r="B1701" s="35">
        <v>2.9179455217478898</v>
      </c>
    </row>
    <row r="1702" spans="1:2" ht="13.2" x14ac:dyDescent="0.25">
      <c r="A1702" s="34" t="s">
        <v>10504</v>
      </c>
      <c r="B1702" s="35">
        <v>2.91587376446821</v>
      </c>
    </row>
    <row r="1703" spans="1:2" ht="13.2" x14ac:dyDescent="0.25">
      <c r="A1703" s="34" t="s">
        <v>10503</v>
      </c>
      <c r="B1703" s="35">
        <v>2.92845073684544</v>
      </c>
    </row>
    <row r="1704" spans="1:2" ht="13.2" x14ac:dyDescent="0.25">
      <c r="A1704" s="34" t="s">
        <v>10502</v>
      </c>
      <c r="B1704" s="35">
        <v>2.9084069298082702</v>
      </c>
    </row>
    <row r="1705" spans="1:2" ht="13.2" x14ac:dyDescent="0.25">
      <c r="A1705" s="34" t="s">
        <v>10501</v>
      </c>
      <c r="B1705" s="35">
        <v>2.8417449903546501</v>
      </c>
    </row>
    <row r="1706" spans="1:2" ht="13.2" x14ac:dyDescent="0.25">
      <c r="A1706" s="34" t="s">
        <v>10500</v>
      </c>
    </row>
    <row r="1707" spans="1:2" ht="13.2" x14ac:dyDescent="0.25">
      <c r="A1707" s="34" t="s">
        <v>10499</v>
      </c>
    </row>
    <row r="1708" spans="1:2" ht="13.2" x14ac:dyDescent="0.25">
      <c r="A1708" s="34" t="s">
        <v>10498</v>
      </c>
      <c r="B1708" s="35">
        <v>2.7185091508724599</v>
      </c>
    </row>
    <row r="1709" spans="1:2" ht="13.2" x14ac:dyDescent="0.25">
      <c r="A1709" s="34" t="s">
        <v>10497</v>
      </c>
      <c r="B1709" s="35">
        <v>2.7334640450656602</v>
      </c>
    </row>
    <row r="1710" spans="1:2" ht="13.2" x14ac:dyDescent="0.25">
      <c r="A1710" s="34" t="s">
        <v>10496</v>
      </c>
      <c r="B1710" s="35">
        <v>2.72504296073329</v>
      </c>
    </row>
    <row r="1711" spans="1:2" ht="13.2" x14ac:dyDescent="0.25">
      <c r="A1711" s="34" t="s">
        <v>10495</v>
      </c>
      <c r="B1711" s="35">
        <v>2.6078450895649898</v>
      </c>
    </row>
    <row r="1712" spans="1:2" ht="13.2" x14ac:dyDescent="0.25">
      <c r="A1712" s="34" t="s">
        <v>10494</v>
      </c>
      <c r="B1712" s="35">
        <v>2.5852799502133301</v>
      </c>
    </row>
    <row r="1713" spans="1:2" ht="13.2" x14ac:dyDescent="0.25">
      <c r="A1713" s="34" t="s">
        <v>10493</v>
      </c>
    </row>
    <row r="1714" spans="1:2" ht="13.2" x14ac:dyDescent="0.25">
      <c r="A1714" s="34" t="s">
        <v>10492</v>
      </c>
    </row>
    <row r="1715" spans="1:2" ht="13.2" x14ac:dyDescent="0.25">
      <c r="A1715" s="34" t="s">
        <v>10491</v>
      </c>
      <c r="B1715" s="35">
        <v>2.5758907820582899</v>
      </c>
    </row>
    <row r="1716" spans="1:2" ht="13.2" x14ac:dyDescent="0.25">
      <c r="A1716" s="34" t="s">
        <v>10490</v>
      </c>
      <c r="B1716" s="35">
        <v>2.56646283323632</v>
      </c>
    </row>
    <row r="1717" spans="1:2" ht="13.2" x14ac:dyDescent="0.25">
      <c r="A1717" s="34" t="s">
        <v>10489</v>
      </c>
      <c r="B1717" s="35">
        <v>2.41972872775986</v>
      </c>
    </row>
    <row r="1718" spans="1:2" ht="13.2" x14ac:dyDescent="0.25">
      <c r="A1718" s="34" t="s">
        <v>10488</v>
      </c>
      <c r="B1718" s="35">
        <v>2.3242346251461798</v>
      </c>
    </row>
    <row r="1719" spans="1:2" ht="13.2" x14ac:dyDescent="0.25">
      <c r="A1719" s="34" t="s">
        <v>10487</v>
      </c>
      <c r="B1719" s="35">
        <v>2.2663904773610599</v>
      </c>
    </row>
    <row r="1720" spans="1:2" ht="13.2" x14ac:dyDescent="0.25">
      <c r="A1720" s="34" t="s">
        <v>10486</v>
      </c>
    </row>
    <row r="1721" spans="1:2" ht="13.2" x14ac:dyDescent="0.25">
      <c r="A1721" s="34" t="s">
        <v>10485</v>
      </c>
    </row>
    <row r="1722" spans="1:2" ht="13.2" x14ac:dyDescent="0.25">
      <c r="A1722" s="34" t="s">
        <v>10484</v>
      </c>
      <c r="B1722" s="35">
        <v>1.85663950561978</v>
      </c>
    </row>
    <row r="1723" spans="1:2" ht="13.2" x14ac:dyDescent="0.25">
      <c r="A1723" s="34" t="s">
        <v>10483</v>
      </c>
      <c r="B1723" s="35">
        <v>1.8512077750709801</v>
      </c>
    </row>
    <row r="1724" spans="1:2" ht="13.2" x14ac:dyDescent="0.25">
      <c r="A1724" s="34" t="s">
        <v>10482</v>
      </c>
      <c r="B1724" s="35">
        <v>1.84984614395837</v>
      </c>
    </row>
    <row r="1725" spans="1:2" ht="13.2" x14ac:dyDescent="0.25">
      <c r="A1725" s="34" t="s">
        <v>10481</v>
      </c>
      <c r="B1725" s="35">
        <v>1.8733368319330701</v>
      </c>
    </row>
    <row r="1726" spans="1:2" ht="13.2" x14ac:dyDescent="0.25">
      <c r="A1726" s="34" t="s">
        <v>10480</v>
      </c>
      <c r="B1726" s="35">
        <v>1.7652657577577899</v>
      </c>
    </row>
    <row r="1727" spans="1:2" ht="13.2" x14ac:dyDescent="0.25">
      <c r="A1727" s="34" t="s">
        <v>10479</v>
      </c>
    </row>
    <row r="1728" spans="1:2" ht="13.2" x14ac:dyDescent="0.25">
      <c r="A1728" s="34" t="s">
        <v>10478</v>
      </c>
    </row>
    <row r="1729" spans="1:2" ht="13.2" x14ac:dyDescent="0.25">
      <c r="A1729" s="34" t="s">
        <v>10477</v>
      </c>
      <c r="B1729" s="35">
        <v>1.7101039924369601</v>
      </c>
    </row>
    <row r="1730" spans="1:2" ht="13.2" x14ac:dyDescent="0.25">
      <c r="A1730" s="34" t="s">
        <v>10476</v>
      </c>
      <c r="B1730" s="35">
        <v>1.6220930298113501</v>
      </c>
    </row>
    <row r="1731" spans="1:2" ht="13.2" x14ac:dyDescent="0.25">
      <c r="A1731" s="34" t="s">
        <v>10475</v>
      </c>
      <c r="B1731" s="35">
        <v>1.5683291526824901</v>
      </c>
    </row>
    <row r="1732" spans="1:2" ht="13.2" x14ac:dyDescent="0.25">
      <c r="A1732" s="34" t="s">
        <v>10474</v>
      </c>
      <c r="B1732" s="35">
        <v>1.5052584835884799</v>
      </c>
    </row>
    <row r="1733" spans="1:2" ht="13.2" x14ac:dyDescent="0.25">
      <c r="A1733" s="34" t="s">
        <v>10473</v>
      </c>
      <c r="B1733" s="35">
        <v>1.3466282680266199</v>
      </c>
    </row>
    <row r="1734" spans="1:2" ht="13.2" x14ac:dyDescent="0.25">
      <c r="A1734" s="34" t="s">
        <v>10472</v>
      </c>
    </row>
    <row r="1735" spans="1:2" ht="13.2" x14ac:dyDescent="0.25">
      <c r="A1735" s="34" t="s">
        <v>10471</v>
      </c>
    </row>
    <row r="1736" spans="1:2" ht="13.2" x14ac:dyDescent="0.25">
      <c r="A1736" s="34" t="s">
        <v>10470</v>
      </c>
      <c r="B1736" s="35">
        <v>1.18723725548266</v>
      </c>
    </row>
    <row r="1737" spans="1:2" ht="13.2" x14ac:dyDescent="0.25">
      <c r="A1737" s="34" t="s">
        <v>10469</v>
      </c>
    </row>
    <row r="1738" spans="1:2" ht="13.2" x14ac:dyDescent="0.25">
      <c r="A1738" s="34" t="s">
        <v>10468</v>
      </c>
      <c r="B1738" s="35">
        <v>1.2483548310969601</v>
      </c>
    </row>
    <row r="1739" spans="1:2" ht="13.2" x14ac:dyDescent="0.25">
      <c r="A1739" s="34" t="s">
        <v>10467</v>
      </c>
      <c r="B1739" s="35">
        <v>1.2314841097652001</v>
      </c>
    </row>
    <row r="1740" spans="1:2" ht="13.2" x14ac:dyDescent="0.25">
      <c r="A1740" s="34" t="s">
        <v>10466</v>
      </c>
      <c r="B1740" s="35">
        <v>1.2180046225972401</v>
      </c>
    </row>
    <row r="1741" spans="1:2" ht="13.2" x14ac:dyDescent="0.25">
      <c r="A1741" s="34" t="s">
        <v>10465</v>
      </c>
    </row>
    <row r="1742" spans="1:2" ht="13.2" x14ac:dyDescent="0.25">
      <c r="A1742" s="34" t="s">
        <v>10464</v>
      </c>
    </row>
    <row r="1743" spans="1:2" ht="13.2" x14ac:dyDescent="0.25">
      <c r="A1743" s="34" t="s">
        <v>10463</v>
      </c>
      <c r="B1743" s="35">
        <v>1.3059013425289201</v>
      </c>
    </row>
    <row r="1744" spans="1:2" ht="13.2" x14ac:dyDescent="0.25">
      <c r="A1744" s="34" t="s">
        <v>10462</v>
      </c>
      <c r="B1744" s="35">
        <v>1.2838533366089</v>
      </c>
    </row>
    <row r="1745" spans="1:2" ht="13.2" x14ac:dyDescent="0.25">
      <c r="A1745" s="34" t="s">
        <v>10461</v>
      </c>
      <c r="B1745" s="35">
        <v>1.19513635976415</v>
      </c>
    </row>
    <row r="1746" spans="1:2" ht="13.2" x14ac:dyDescent="0.25">
      <c r="A1746" s="34" t="s">
        <v>10460</v>
      </c>
      <c r="B1746" s="35">
        <v>1.19172767955864</v>
      </c>
    </row>
    <row r="1747" spans="1:2" ht="13.2" x14ac:dyDescent="0.25">
      <c r="A1747" s="34" t="s">
        <v>10459</v>
      </c>
      <c r="B1747" s="35">
        <v>1.19913162755072</v>
      </c>
    </row>
    <row r="1748" spans="1:2" ht="13.2" x14ac:dyDescent="0.25">
      <c r="A1748" s="34" t="s">
        <v>10458</v>
      </c>
    </row>
    <row r="1749" spans="1:2" ht="13.2" x14ac:dyDescent="0.25">
      <c r="A1749" s="34" t="s">
        <v>10457</v>
      </c>
    </row>
    <row r="1750" spans="1:2" ht="13.2" x14ac:dyDescent="0.25">
      <c r="A1750" s="34" t="s">
        <v>10456</v>
      </c>
      <c r="B1750" s="35">
        <v>1.1912466978138301</v>
      </c>
    </row>
    <row r="1751" spans="1:2" ht="13.2" x14ac:dyDescent="0.25">
      <c r="A1751" s="34" t="s">
        <v>10455</v>
      </c>
      <c r="B1751" s="35">
        <v>1.1946420183650499</v>
      </c>
    </row>
    <row r="1752" spans="1:2" ht="13.2" x14ac:dyDescent="0.25">
      <c r="A1752" s="34" t="s">
        <v>10454</v>
      </c>
      <c r="B1752" s="35">
        <v>1.1266160539777099</v>
      </c>
    </row>
    <row r="1753" spans="1:2" ht="13.2" x14ac:dyDescent="0.25">
      <c r="A1753" s="34" t="s">
        <v>10453</v>
      </c>
      <c r="B1753" s="35">
        <v>1.1379767482654899</v>
      </c>
    </row>
    <row r="1754" spans="1:2" ht="13.2" x14ac:dyDescent="0.25">
      <c r="A1754" s="34" t="s">
        <v>10452</v>
      </c>
      <c r="B1754" s="35">
        <v>1.1276882084105699</v>
      </c>
    </row>
    <row r="1755" spans="1:2" ht="13.2" x14ac:dyDescent="0.25">
      <c r="A1755" s="34" t="s">
        <v>10451</v>
      </c>
    </row>
    <row r="1756" spans="1:2" ht="13.2" x14ac:dyDescent="0.25">
      <c r="A1756" s="34" t="s">
        <v>10450</v>
      </c>
    </row>
    <row r="1757" spans="1:2" ht="13.2" x14ac:dyDescent="0.25">
      <c r="A1757" s="34" t="s">
        <v>10449</v>
      </c>
      <c r="B1757" s="35">
        <v>1.0542885445246899</v>
      </c>
    </row>
    <row r="1758" spans="1:2" ht="13.2" x14ac:dyDescent="0.25">
      <c r="A1758" s="34" t="s">
        <v>10448</v>
      </c>
      <c r="B1758" s="35">
        <v>1.0867381507446201</v>
      </c>
    </row>
    <row r="1759" spans="1:2" ht="13.2" x14ac:dyDescent="0.25">
      <c r="A1759" s="34" t="s">
        <v>10447</v>
      </c>
      <c r="B1759" s="35">
        <v>0.96971981443658894</v>
      </c>
    </row>
    <row r="1760" spans="1:2" ht="13.2" x14ac:dyDescent="0.25">
      <c r="A1760" s="34" t="s">
        <v>10446</v>
      </c>
      <c r="B1760" s="35">
        <v>0.97171055050341204</v>
      </c>
    </row>
    <row r="1761" spans="1:2" ht="13.2" x14ac:dyDescent="0.25">
      <c r="A1761" s="34" t="s">
        <v>10445</v>
      </c>
      <c r="B1761" s="35">
        <v>0.90454042286334202</v>
      </c>
    </row>
    <row r="1762" spans="1:2" ht="13.2" x14ac:dyDescent="0.25">
      <c r="A1762" s="34" t="s">
        <v>10444</v>
      </c>
    </row>
    <row r="1763" spans="1:2" ht="13.2" x14ac:dyDescent="0.25">
      <c r="A1763" s="34" t="s">
        <v>10443</v>
      </c>
    </row>
    <row r="1764" spans="1:2" ht="13.2" x14ac:dyDescent="0.25">
      <c r="A1764" s="34" t="s">
        <v>10442</v>
      </c>
      <c r="B1764" s="35">
        <v>0.83508253819825096</v>
      </c>
    </row>
    <row r="1765" spans="1:2" ht="13.2" x14ac:dyDescent="0.25">
      <c r="A1765" s="34" t="s">
        <v>10441</v>
      </c>
      <c r="B1765" s="35">
        <v>0.91984502158735104</v>
      </c>
    </row>
    <row r="1766" spans="1:2" ht="13.2" x14ac:dyDescent="0.25">
      <c r="A1766" s="34" t="s">
        <v>10440</v>
      </c>
      <c r="B1766" s="35">
        <v>1.00369256157792</v>
      </c>
    </row>
    <row r="1767" spans="1:2" ht="13.2" x14ac:dyDescent="0.25">
      <c r="A1767" s="34" t="s">
        <v>10439</v>
      </c>
      <c r="B1767" s="35">
        <v>0.96597729797199705</v>
      </c>
    </row>
    <row r="1768" spans="1:2" ht="13.2" x14ac:dyDescent="0.25">
      <c r="A1768" s="34" t="s">
        <v>10438</v>
      </c>
      <c r="B1768" s="35">
        <v>0.983723383100368</v>
      </c>
    </row>
    <row r="1769" spans="1:2" ht="13.2" x14ac:dyDescent="0.25">
      <c r="A1769" s="34" t="s">
        <v>10437</v>
      </c>
    </row>
    <row r="1770" spans="1:2" ht="13.2" x14ac:dyDescent="0.25">
      <c r="A1770" s="34" t="s">
        <v>10436</v>
      </c>
    </row>
    <row r="1771" spans="1:2" ht="13.2" x14ac:dyDescent="0.25">
      <c r="A1771" s="34" t="s">
        <v>10435</v>
      </c>
      <c r="B1771" s="35">
        <v>1.05948515488828</v>
      </c>
    </row>
    <row r="1772" spans="1:2" ht="13.2" x14ac:dyDescent="0.25">
      <c r="A1772" s="34" t="s">
        <v>10434</v>
      </c>
      <c r="B1772" s="35">
        <v>0.98819828482720495</v>
      </c>
    </row>
    <row r="1773" spans="1:2" ht="13.2" x14ac:dyDescent="0.25">
      <c r="A1773" s="34" t="s">
        <v>10433</v>
      </c>
      <c r="B1773" s="35">
        <v>1.02951794696337</v>
      </c>
    </row>
    <row r="1774" spans="1:2" ht="13.2" x14ac:dyDescent="0.25">
      <c r="A1774" s="34" t="s">
        <v>10432</v>
      </c>
      <c r="B1774" s="35">
        <v>1.03063765992861</v>
      </c>
    </row>
    <row r="1775" spans="1:2" ht="13.2" x14ac:dyDescent="0.25">
      <c r="A1775" s="34" t="s">
        <v>10431</v>
      </c>
      <c r="B1775" s="35">
        <v>1.1469041051162501</v>
      </c>
    </row>
    <row r="1776" spans="1:2" ht="13.2" x14ac:dyDescent="0.25">
      <c r="A1776" s="34" t="s">
        <v>10430</v>
      </c>
    </row>
    <row r="1777" spans="1:2" ht="13.2" x14ac:dyDescent="0.25">
      <c r="A1777" s="34" t="s">
        <v>10429</v>
      </c>
    </row>
    <row r="1778" spans="1:2" ht="13.2" x14ac:dyDescent="0.25">
      <c r="A1778" s="34" t="s">
        <v>10428</v>
      </c>
      <c r="B1778" s="35">
        <v>1.21022053680174</v>
      </c>
    </row>
    <row r="1779" spans="1:2" ht="13.2" x14ac:dyDescent="0.25">
      <c r="A1779" s="34" t="s">
        <v>10427</v>
      </c>
      <c r="B1779" s="35">
        <v>1.23626104672015</v>
      </c>
    </row>
    <row r="1780" spans="1:2" ht="13.2" x14ac:dyDescent="0.25">
      <c r="A1780" s="34" t="s">
        <v>10426</v>
      </c>
      <c r="B1780" s="35">
        <v>1.24757005574976</v>
      </c>
    </row>
    <row r="1781" spans="1:2" ht="13.2" x14ac:dyDescent="0.25">
      <c r="A1781" s="34" t="s">
        <v>10425</v>
      </c>
    </row>
    <row r="1782" spans="1:2" ht="13.2" x14ac:dyDescent="0.25">
      <c r="A1782" s="34" t="s">
        <v>10424</v>
      </c>
    </row>
    <row r="1783" spans="1:2" ht="13.2" x14ac:dyDescent="0.25">
      <c r="A1783" s="34" t="s">
        <v>10423</v>
      </c>
    </row>
    <row r="1784" spans="1:2" ht="13.2" x14ac:dyDescent="0.25">
      <c r="A1784" s="34" t="s">
        <v>10422</v>
      </c>
    </row>
    <row r="1785" spans="1:2" ht="13.2" x14ac:dyDescent="0.25">
      <c r="A1785" s="34" t="s">
        <v>10421</v>
      </c>
      <c r="B1785" s="35">
        <v>1.2624662085684399</v>
      </c>
    </row>
    <row r="1786" spans="1:2" ht="13.2" x14ac:dyDescent="0.25">
      <c r="A1786" s="34" t="s">
        <v>10420</v>
      </c>
      <c r="B1786" s="35">
        <v>1.2639052473601</v>
      </c>
    </row>
    <row r="1787" spans="1:2" ht="13.2" x14ac:dyDescent="0.25">
      <c r="A1787" s="34" t="s">
        <v>10419</v>
      </c>
      <c r="B1787" s="35">
        <v>1.2186644509375699</v>
      </c>
    </row>
    <row r="1788" spans="1:2" ht="13.2" x14ac:dyDescent="0.25">
      <c r="A1788" s="34" t="s">
        <v>10418</v>
      </c>
      <c r="B1788" s="35">
        <v>1.29429287825872</v>
      </c>
    </row>
    <row r="1789" spans="1:2" ht="13.2" x14ac:dyDescent="0.25">
      <c r="A1789" s="34" t="s">
        <v>10417</v>
      </c>
      <c r="B1789" s="35">
        <v>1.2432084913276</v>
      </c>
    </row>
    <row r="1790" spans="1:2" ht="13.2" x14ac:dyDescent="0.25">
      <c r="A1790" s="34" t="s">
        <v>10416</v>
      </c>
    </row>
    <row r="1791" spans="1:2" ht="13.2" x14ac:dyDescent="0.25">
      <c r="A1791" s="34" t="s">
        <v>10415</v>
      </c>
    </row>
    <row r="1792" spans="1:2" ht="13.2" x14ac:dyDescent="0.25">
      <c r="A1792" s="34" t="s">
        <v>10414</v>
      </c>
      <c r="B1792" s="35">
        <v>1.24653840651084</v>
      </c>
    </row>
    <row r="1793" spans="1:2" ht="13.2" x14ac:dyDescent="0.25">
      <c r="A1793" s="34" t="s">
        <v>10413</v>
      </c>
    </row>
    <row r="1794" spans="1:2" ht="13.2" x14ac:dyDescent="0.25">
      <c r="A1794" s="34" t="s">
        <v>10412</v>
      </c>
      <c r="B1794" s="35">
        <v>1.38401219920782</v>
      </c>
    </row>
    <row r="1795" spans="1:2" ht="13.2" x14ac:dyDescent="0.25">
      <c r="A1795" s="34" t="s">
        <v>10411</v>
      </c>
      <c r="B1795" s="35">
        <v>1.3907155652265299</v>
      </c>
    </row>
    <row r="1796" spans="1:2" ht="13.2" x14ac:dyDescent="0.25">
      <c r="A1796" s="34" t="s">
        <v>10410</v>
      </c>
      <c r="B1796" s="35">
        <v>1.41083012264803</v>
      </c>
    </row>
    <row r="1797" spans="1:2" ht="13.2" x14ac:dyDescent="0.25">
      <c r="A1797" s="34" t="s">
        <v>10409</v>
      </c>
    </row>
    <row r="1798" spans="1:2" ht="13.2" x14ac:dyDescent="0.25">
      <c r="A1798" s="34" t="s">
        <v>10408</v>
      </c>
    </row>
    <row r="1799" spans="1:2" ht="13.2" x14ac:dyDescent="0.25">
      <c r="A1799" s="34" t="s">
        <v>10407</v>
      </c>
      <c r="B1799" s="35">
        <v>1.88694008333448</v>
      </c>
    </row>
    <row r="1800" spans="1:2" ht="13.2" x14ac:dyDescent="0.25">
      <c r="A1800" s="34" t="s">
        <v>10406</v>
      </c>
      <c r="B1800" s="35">
        <v>1.99816253194483</v>
      </c>
    </row>
    <row r="1801" spans="1:2" ht="13.2" x14ac:dyDescent="0.25">
      <c r="A1801" s="34" t="s">
        <v>10405</v>
      </c>
      <c r="B1801" s="35">
        <v>1.98693129319121</v>
      </c>
    </row>
    <row r="1802" spans="1:2" ht="13.2" x14ac:dyDescent="0.25">
      <c r="A1802" s="34" t="s">
        <v>10404</v>
      </c>
      <c r="B1802" s="35">
        <v>2.0111631583749499</v>
      </c>
    </row>
    <row r="1803" spans="1:2" ht="13.2" x14ac:dyDescent="0.25">
      <c r="A1803" s="34" t="s">
        <v>10403</v>
      </c>
    </row>
    <row r="1804" spans="1:2" ht="13.2" x14ac:dyDescent="0.25">
      <c r="A1804" s="34" t="s">
        <v>10402</v>
      </c>
    </row>
    <row r="1805" spans="1:2" ht="13.2" x14ac:dyDescent="0.25">
      <c r="A1805" s="34" t="s">
        <v>10401</v>
      </c>
    </row>
    <row r="1806" spans="1:2" ht="13.2" x14ac:dyDescent="0.25">
      <c r="A1806" s="34" t="s">
        <v>10400</v>
      </c>
      <c r="B1806" s="35">
        <v>2.0174197427969101</v>
      </c>
    </row>
    <row r="1807" spans="1:2" ht="13.2" x14ac:dyDescent="0.25">
      <c r="A1807" s="34" t="s">
        <v>10399</v>
      </c>
      <c r="B1807" s="35">
        <v>1.98098864342931</v>
      </c>
    </row>
    <row r="1808" spans="1:2" ht="13.2" x14ac:dyDescent="0.25">
      <c r="A1808" s="34" t="s">
        <v>10398</v>
      </c>
      <c r="B1808" s="35">
        <v>2.1014582498437901</v>
      </c>
    </row>
    <row r="1809" spans="1:2" ht="13.2" x14ac:dyDescent="0.25">
      <c r="A1809" s="34" t="s">
        <v>10397</v>
      </c>
      <c r="B1809" s="35">
        <v>2.10317370997626</v>
      </c>
    </row>
    <row r="1810" spans="1:2" ht="13.2" x14ac:dyDescent="0.25">
      <c r="A1810" s="34" t="s">
        <v>10396</v>
      </c>
      <c r="B1810" s="35">
        <v>2.1033740166822401</v>
      </c>
    </row>
    <row r="1811" spans="1:2" ht="13.2" x14ac:dyDescent="0.25">
      <c r="A1811" s="34" t="s">
        <v>10395</v>
      </c>
    </row>
    <row r="1812" spans="1:2" ht="13.2" x14ac:dyDescent="0.25">
      <c r="A1812" s="34" t="s">
        <v>10394</v>
      </c>
    </row>
    <row r="1813" spans="1:2" ht="13.2" x14ac:dyDescent="0.25">
      <c r="A1813" s="34" t="s">
        <v>10393</v>
      </c>
      <c r="B1813" s="35">
        <v>2.0395691169528698</v>
      </c>
    </row>
    <row r="1814" spans="1:2" ht="13.2" x14ac:dyDescent="0.25">
      <c r="A1814" s="34" t="s">
        <v>10392</v>
      </c>
      <c r="B1814" s="35">
        <v>2.0572551897221798</v>
      </c>
    </row>
    <row r="1815" spans="1:2" ht="13.2" x14ac:dyDescent="0.25">
      <c r="A1815" s="34" t="s">
        <v>10391</v>
      </c>
      <c r="B1815" s="35">
        <v>2.0290789233424</v>
      </c>
    </row>
    <row r="1816" spans="1:2" ht="13.2" x14ac:dyDescent="0.25">
      <c r="A1816" s="34" t="s">
        <v>10390</v>
      </c>
      <c r="B1816" s="35">
        <v>1.99109933148118</v>
      </c>
    </row>
    <row r="1817" spans="1:2" ht="13.2" x14ac:dyDescent="0.25">
      <c r="A1817" s="34" t="s">
        <v>10389</v>
      </c>
      <c r="B1817" s="35">
        <v>2.00926896345171</v>
      </c>
    </row>
    <row r="1818" spans="1:2" ht="13.2" x14ac:dyDescent="0.25">
      <c r="A1818" s="34" t="s">
        <v>10388</v>
      </c>
    </row>
    <row r="1819" spans="1:2" ht="13.2" x14ac:dyDescent="0.25">
      <c r="A1819" s="34" t="s">
        <v>10387</v>
      </c>
    </row>
    <row r="1820" spans="1:2" ht="13.2" x14ac:dyDescent="0.25">
      <c r="A1820" s="34" t="s">
        <v>10386</v>
      </c>
      <c r="B1820" s="35">
        <v>2.3963419109121298</v>
      </c>
    </row>
    <row r="1821" spans="1:2" ht="13.2" x14ac:dyDescent="0.25">
      <c r="A1821" s="34" t="s">
        <v>10385</v>
      </c>
      <c r="B1821" s="35">
        <v>2.43639954157074</v>
      </c>
    </row>
    <row r="1822" spans="1:2" ht="13.2" x14ac:dyDescent="0.25">
      <c r="A1822" s="34" t="s">
        <v>10384</v>
      </c>
      <c r="B1822" s="35">
        <v>2.4473533940386099</v>
      </c>
    </row>
    <row r="1823" spans="1:2" ht="13.2" x14ac:dyDescent="0.25">
      <c r="A1823" s="34" t="s">
        <v>10383</v>
      </c>
      <c r="B1823" s="35">
        <v>2.4510782654994898</v>
      </c>
    </row>
    <row r="1824" spans="1:2" ht="13.2" x14ac:dyDescent="0.25">
      <c r="A1824" s="34" t="s">
        <v>10382</v>
      </c>
      <c r="B1824" s="35">
        <v>2.4098124125756999</v>
      </c>
    </row>
    <row r="1825" spans="1:2" ht="13.2" x14ac:dyDescent="0.25">
      <c r="A1825" s="34" t="s">
        <v>10381</v>
      </c>
    </row>
    <row r="1826" spans="1:2" ht="13.2" x14ac:dyDescent="0.25">
      <c r="A1826" s="34" t="s">
        <v>10380</v>
      </c>
    </row>
    <row r="1827" spans="1:2" ht="13.2" x14ac:dyDescent="0.25">
      <c r="A1827" s="34" t="s">
        <v>10379</v>
      </c>
      <c r="B1827" s="35">
        <v>2.4327118645738799</v>
      </c>
    </row>
    <row r="1828" spans="1:2" ht="13.2" x14ac:dyDescent="0.25">
      <c r="A1828" s="34" t="s">
        <v>10378</v>
      </c>
      <c r="B1828" s="35">
        <v>2.6406492883577699</v>
      </c>
    </row>
    <row r="1829" spans="1:2" ht="13.2" x14ac:dyDescent="0.25">
      <c r="A1829" s="34" t="s">
        <v>10377</v>
      </c>
      <c r="B1829" s="35">
        <v>2.5523312711239501</v>
      </c>
    </row>
    <row r="1830" spans="1:2" ht="13.2" x14ac:dyDescent="0.25">
      <c r="A1830" s="34" t="s">
        <v>10376</v>
      </c>
      <c r="B1830" s="35">
        <v>2.6459289836743398</v>
      </c>
    </row>
    <row r="1831" spans="1:2" ht="13.2" x14ac:dyDescent="0.25">
      <c r="A1831" s="34" t="s">
        <v>10375</v>
      </c>
      <c r="B1831" s="35">
        <v>2.66398313025147</v>
      </c>
    </row>
    <row r="1832" spans="1:2" ht="13.2" x14ac:dyDescent="0.25">
      <c r="A1832" s="34" t="s">
        <v>10374</v>
      </c>
    </row>
    <row r="1833" spans="1:2" ht="13.2" x14ac:dyDescent="0.25">
      <c r="A1833" s="34" t="s">
        <v>10373</v>
      </c>
    </row>
    <row r="1834" spans="1:2" ht="13.2" x14ac:dyDescent="0.25">
      <c r="A1834" s="34" t="s">
        <v>10372</v>
      </c>
      <c r="B1834" s="35">
        <v>2.6470551685352199</v>
      </c>
    </row>
    <row r="1835" spans="1:2" ht="13.2" x14ac:dyDescent="0.25">
      <c r="A1835" s="34" t="s">
        <v>10371</v>
      </c>
      <c r="B1835" s="35">
        <v>2.9926442184489601</v>
      </c>
    </row>
    <row r="1836" spans="1:2" ht="13.2" x14ac:dyDescent="0.25">
      <c r="A1836" s="34" t="s">
        <v>10370</v>
      </c>
      <c r="B1836" s="35">
        <v>3.0252141651573901</v>
      </c>
    </row>
    <row r="1837" spans="1:2" ht="13.2" x14ac:dyDescent="0.25">
      <c r="A1837" s="34" t="s">
        <v>10369</v>
      </c>
      <c r="B1837" s="35">
        <v>3.0862494395438298</v>
      </c>
    </row>
    <row r="1838" spans="1:2" ht="13.2" x14ac:dyDescent="0.25">
      <c r="A1838" s="34" t="s">
        <v>10368</v>
      </c>
      <c r="B1838" s="35">
        <v>3.1197999912902001</v>
      </c>
    </row>
    <row r="1839" spans="1:2" ht="13.2" x14ac:dyDescent="0.25">
      <c r="A1839" s="34" t="s">
        <v>10367</v>
      </c>
    </row>
    <row r="1840" spans="1:2" ht="13.2" x14ac:dyDescent="0.25">
      <c r="A1840" s="34" t="s">
        <v>10366</v>
      </c>
    </row>
    <row r="1841" spans="1:2" ht="13.2" x14ac:dyDescent="0.25">
      <c r="A1841" s="34" t="s">
        <v>10365</v>
      </c>
      <c r="B1841" s="35">
        <v>3.1261214454174802</v>
      </c>
    </row>
    <row r="1842" spans="1:2" ht="13.2" x14ac:dyDescent="0.25">
      <c r="A1842" s="34" t="s">
        <v>10364</v>
      </c>
      <c r="B1842" s="35">
        <v>3.11311342932194</v>
      </c>
    </row>
    <row r="1843" spans="1:2" ht="13.2" x14ac:dyDescent="0.25">
      <c r="A1843" s="34" t="s">
        <v>10363</v>
      </c>
      <c r="B1843" s="35">
        <v>3.2655245413929701</v>
      </c>
    </row>
    <row r="1844" spans="1:2" ht="13.2" x14ac:dyDescent="0.25">
      <c r="A1844" s="34" t="s">
        <v>10362</v>
      </c>
    </row>
    <row r="1845" spans="1:2" ht="13.2" x14ac:dyDescent="0.25">
      <c r="A1845" s="34" t="s">
        <v>10361</v>
      </c>
      <c r="B1845" s="35">
        <v>3.3091401359240602</v>
      </c>
    </row>
    <row r="1846" spans="1:2" ht="13.2" x14ac:dyDescent="0.25">
      <c r="A1846" s="34" t="s">
        <v>10360</v>
      </c>
    </row>
    <row r="1847" spans="1:2" ht="13.2" x14ac:dyDescent="0.25">
      <c r="A1847" s="34" t="s">
        <v>10359</v>
      </c>
    </row>
    <row r="1848" spans="1:2" ht="13.2" x14ac:dyDescent="0.25">
      <c r="A1848" s="34" t="s">
        <v>10358</v>
      </c>
      <c r="B1848" s="35">
        <v>3.4782983862368</v>
      </c>
    </row>
    <row r="1849" spans="1:2" ht="13.2" x14ac:dyDescent="0.25">
      <c r="A1849" s="34" t="s">
        <v>10357</v>
      </c>
      <c r="B1849" s="35">
        <v>3.4899932059934802</v>
      </c>
    </row>
    <row r="1850" spans="1:2" ht="13.2" x14ac:dyDescent="0.25">
      <c r="A1850" s="34" t="s">
        <v>10356</v>
      </c>
      <c r="B1850" s="35">
        <v>3.5902975823468002</v>
      </c>
    </row>
    <row r="1851" spans="1:2" ht="13.2" x14ac:dyDescent="0.25">
      <c r="A1851" s="34" t="s">
        <v>10355</v>
      </c>
      <c r="B1851" s="35">
        <v>3.6531055267623498</v>
      </c>
    </row>
    <row r="1852" spans="1:2" ht="13.2" x14ac:dyDescent="0.25">
      <c r="A1852" s="34" t="s">
        <v>10354</v>
      </c>
      <c r="B1852" s="35">
        <v>3.6711412338070599</v>
      </c>
    </row>
    <row r="1853" spans="1:2" ht="13.2" x14ac:dyDescent="0.25">
      <c r="A1853" s="34" t="s">
        <v>10353</v>
      </c>
    </row>
    <row r="1854" spans="1:2" ht="13.2" x14ac:dyDescent="0.25">
      <c r="A1854" s="34" t="s">
        <v>10352</v>
      </c>
    </row>
    <row r="1855" spans="1:2" ht="13.2" x14ac:dyDescent="0.25">
      <c r="A1855" s="34" t="s">
        <v>10351</v>
      </c>
      <c r="B1855" s="35">
        <v>3.6648408729358501</v>
      </c>
    </row>
    <row r="1856" spans="1:2" ht="13.2" x14ac:dyDescent="0.25">
      <c r="A1856" s="34" t="s">
        <v>10350</v>
      </c>
      <c r="B1856" s="35">
        <v>3.7445413118673598</v>
      </c>
    </row>
    <row r="1857" spans="1:2" ht="13.2" x14ac:dyDescent="0.25">
      <c r="A1857" s="34" t="s">
        <v>10349</v>
      </c>
      <c r="B1857" s="35">
        <v>3.7180176837243</v>
      </c>
    </row>
    <row r="1858" spans="1:2" ht="13.2" x14ac:dyDescent="0.25">
      <c r="A1858" s="34" t="s">
        <v>10348</v>
      </c>
      <c r="B1858" s="35">
        <v>3.5534581113843799</v>
      </c>
    </row>
    <row r="1859" spans="1:2" ht="13.2" x14ac:dyDescent="0.25">
      <c r="A1859" s="34" t="s">
        <v>10347</v>
      </c>
      <c r="B1859" s="35">
        <v>3.4788078054583802</v>
      </c>
    </row>
    <row r="1860" spans="1:2" ht="13.2" x14ac:dyDescent="0.25">
      <c r="A1860" s="34" t="s">
        <v>10346</v>
      </c>
    </row>
    <row r="1861" spans="1:2" ht="13.2" x14ac:dyDescent="0.25">
      <c r="A1861" s="34" t="s">
        <v>10345</v>
      </c>
    </row>
    <row r="1862" spans="1:2" ht="13.2" x14ac:dyDescent="0.25">
      <c r="A1862" s="34" t="s">
        <v>10344</v>
      </c>
      <c r="B1862" s="35">
        <v>3.3664360433604399</v>
      </c>
    </row>
    <row r="1863" spans="1:2" ht="13.2" x14ac:dyDescent="0.25">
      <c r="A1863" s="34" t="s">
        <v>10343</v>
      </c>
      <c r="B1863" s="35">
        <v>3.3110852403539699</v>
      </c>
    </row>
    <row r="1864" spans="1:2" ht="13.2" x14ac:dyDescent="0.25">
      <c r="A1864" s="34" t="s">
        <v>10342</v>
      </c>
      <c r="B1864" s="35">
        <v>3.3059758715246499</v>
      </c>
    </row>
    <row r="1865" spans="1:2" ht="13.2" x14ac:dyDescent="0.25">
      <c r="A1865" s="34" t="s">
        <v>10341</v>
      </c>
      <c r="B1865" s="35">
        <v>3.0686881842294702</v>
      </c>
    </row>
    <row r="1866" spans="1:2" ht="13.2" x14ac:dyDescent="0.25">
      <c r="A1866" s="34" t="s">
        <v>10340</v>
      </c>
      <c r="B1866" s="35">
        <v>3.0354836406886898</v>
      </c>
    </row>
    <row r="1867" spans="1:2" ht="13.2" x14ac:dyDescent="0.25">
      <c r="A1867" s="34" t="s">
        <v>10339</v>
      </c>
    </row>
    <row r="1868" spans="1:2" ht="13.2" x14ac:dyDescent="0.25">
      <c r="A1868" s="34" t="s">
        <v>10338</v>
      </c>
    </row>
    <row r="1869" spans="1:2" ht="13.2" x14ac:dyDescent="0.25">
      <c r="A1869" s="34" t="s">
        <v>10337</v>
      </c>
      <c r="B1869" s="35">
        <v>2.9516277217412599</v>
      </c>
    </row>
    <row r="1870" spans="1:2" ht="13.2" x14ac:dyDescent="0.25">
      <c r="A1870" s="34" t="s">
        <v>10336</v>
      </c>
      <c r="B1870" s="35">
        <v>2.9550619326161298</v>
      </c>
    </row>
    <row r="1871" spans="1:2" ht="13.2" x14ac:dyDescent="0.25">
      <c r="A1871" s="34" t="s">
        <v>10335</v>
      </c>
      <c r="B1871" s="35">
        <v>2.9459405668728702</v>
      </c>
    </row>
    <row r="1872" spans="1:2" ht="13.2" x14ac:dyDescent="0.25">
      <c r="A1872" s="34" t="s">
        <v>10334</v>
      </c>
    </row>
    <row r="1873" spans="1:2" ht="13.2" x14ac:dyDescent="0.25">
      <c r="A1873" s="34" t="s">
        <v>10333</v>
      </c>
      <c r="B1873" s="35">
        <v>2.92496614052705</v>
      </c>
    </row>
    <row r="1874" spans="1:2" ht="13.2" x14ac:dyDescent="0.25">
      <c r="A1874" s="34" t="s">
        <v>10332</v>
      </c>
    </row>
    <row r="1875" spans="1:2" ht="13.2" x14ac:dyDescent="0.25">
      <c r="A1875" s="34" t="s">
        <v>10331</v>
      </c>
    </row>
    <row r="1876" spans="1:2" ht="13.2" x14ac:dyDescent="0.25">
      <c r="A1876" s="34" t="s">
        <v>10330</v>
      </c>
      <c r="B1876" s="35">
        <v>2.70081909932449</v>
      </c>
    </row>
    <row r="1877" spans="1:2" ht="13.2" x14ac:dyDescent="0.25">
      <c r="A1877" s="34" t="s">
        <v>10329</v>
      </c>
      <c r="B1877" s="35">
        <v>2.62741017345851</v>
      </c>
    </row>
    <row r="1878" spans="1:2" ht="13.2" x14ac:dyDescent="0.25">
      <c r="A1878" s="34" t="s">
        <v>10328</v>
      </c>
      <c r="B1878" s="35">
        <v>2.2479678633242099</v>
      </c>
    </row>
    <row r="1879" spans="1:2" ht="13.2" x14ac:dyDescent="0.25">
      <c r="A1879" s="34" t="s">
        <v>10327</v>
      </c>
      <c r="B1879" s="35">
        <v>2.2630740746854801</v>
      </c>
    </row>
    <row r="1880" spans="1:2" ht="13.2" x14ac:dyDescent="0.25">
      <c r="A1880" s="34" t="s">
        <v>10326</v>
      </c>
      <c r="B1880" s="35">
        <v>1.81008005306264</v>
      </c>
    </row>
    <row r="1881" spans="1:2" ht="13.2" x14ac:dyDescent="0.25">
      <c r="A1881" s="34" t="s">
        <v>10325</v>
      </c>
    </row>
    <row r="1882" spans="1:2" ht="13.2" x14ac:dyDescent="0.25">
      <c r="A1882" s="34" t="s">
        <v>10324</v>
      </c>
    </row>
    <row r="1883" spans="1:2" ht="13.2" x14ac:dyDescent="0.25">
      <c r="A1883" s="34" t="s">
        <v>10323</v>
      </c>
      <c r="B1883" s="35">
        <v>1.5434057035008499</v>
      </c>
    </row>
    <row r="1884" spans="1:2" ht="13.2" x14ac:dyDescent="0.25">
      <c r="A1884" s="34" t="s">
        <v>10322</v>
      </c>
      <c r="B1884" s="35">
        <v>1.5770424320498999</v>
      </c>
    </row>
    <row r="1885" spans="1:2" ht="13.2" x14ac:dyDescent="0.25">
      <c r="A1885" s="34" t="s">
        <v>10321</v>
      </c>
      <c r="B1885" s="35">
        <v>1.55971288618646</v>
      </c>
    </row>
    <row r="1886" spans="1:2" ht="13.2" x14ac:dyDescent="0.25">
      <c r="A1886" s="34" t="s">
        <v>10320</v>
      </c>
      <c r="B1886" s="35">
        <v>1.5813910061382399</v>
      </c>
    </row>
    <row r="1887" spans="1:2" ht="13.2" x14ac:dyDescent="0.25">
      <c r="A1887" s="34" t="s">
        <v>10319</v>
      </c>
      <c r="B1887" s="35">
        <v>1.57457321100292</v>
      </c>
    </row>
    <row r="1888" spans="1:2" ht="13.2" x14ac:dyDescent="0.25">
      <c r="A1888" s="34" t="s">
        <v>10318</v>
      </c>
    </row>
    <row r="1889" spans="1:2" ht="13.2" x14ac:dyDescent="0.25">
      <c r="A1889" s="34" t="s">
        <v>10317</v>
      </c>
    </row>
    <row r="1890" spans="1:2" ht="13.2" x14ac:dyDescent="0.25">
      <c r="A1890" s="34" t="s">
        <v>10316</v>
      </c>
      <c r="B1890" s="35">
        <v>1.33095623881253</v>
      </c>
    </row>
    <row r="1891" spans="1:2" ht="13.2" x14ac:dyDescent="0.25">
      <c r="A1891" s="34" t="s">
        <v>10315</v>
      </c>
      <c r="B1891" s="35">
        <v>1.44991844892043</v>
      </c>
    </row>
    <row r="1892" spans="1:2" ht="13.2" x14ac:dyDescent="0.25">
      <c r="A1892" s="34" t="s">
        <v>10314</v>
      </c>
      <c r="B1892" s="35">
        <v>1.48190386255595</v>
      </c>
    </row>
    <row r="1893" spans="1:2" ht="13.2" x14ac:dyDescent="0.25">
      <c r="A1893" s="34" t="s">
        <v>10313</v>
      </c>
      <c r="B1893" s="35">
        <v>1.6430019955595301</v>
      </c>
    </row>
    <row r="1894" spans="1:2" ht="13.2" x14ac:dyDescent="0.25">
      <c r="A1894" s="34" t="s">
        <v>10312</v>
      </c>
      <c r="B1894" s="35">
        <v>1.6891164659237099</v>
      </c>
    </row>
    <row r="1895" spans="1:2" ht="13.2" x14ac:dyDescent="0.25">
      <c r="A1895" s="34" t="s">
        <v>10311</v>
      </c>
    </row>
    <row r="1896" spans="1:2" ht="13.2" x14ac:dyDescent="0.25">
      <c r="A1896" s="34" t="s">
        <v>10310</v>
      </c>
    </row>
    <row r="1897" spans="1:2" ht="13.2" x14ac:dyDescent="0.25">
      <c r="A1897" s="34" t="s">
        <v>10309</v>
      </c>
      <c r="B1897" s="35">
        <v>1.82203499739263</v>
      </c>
    </row>
    <row r="1898" spans="1:2" ht="13.2" x14ac:dyDescent="0.25">
      <c r="A1898" s="34" t="s">
        <v>10308</v>
      </c>
      <c r="B1898" s="35">
        <v>2.15007545727366</v>
      </c>
    </row>
    <row r="1899" spans="1:2" ht="13.2" x14ac:dyDescent="0.25">
      <c r="A1899" s="34" t="s">
        <v>10307</v>
      </c>
      <c r="B1899" s="35">
        <v>2.1418771460358799</v>
      </c>
    </row>
    <row r="1900" spans="1:2" ht="13.2" x14ac:dyDescent="0.25">
      <c r="A1900" s="34" t="s">
        <v>10306</v>
      </c>
      <c r="B1900" s="35">
        <v>2.11222302908351</v>
      </c>
    </row>
    <row r="1901" spans="1:2" ht="13.2" x14ac:dyDescent="0.25">
      <c r="A1901" s="34" t="s">
        <v>10305</v>
      </c>
      <c r="B1901" s="35">
        <v>2.2249885842062</v>
      </c>
    </row>
    <row r="1902" spans="1:2" ht="13.2" x14ac:dyDescent="0.25">
      <c r="A1902" s="34" t="s">
        <v>10304</v>
      </c>
    </row>
    <row r="1903" spans="1:2" ht="13.2" x14ac:dyDescent="0.25">
      <c r="A1903" s="34" t="s">
        <v>10303</v>
      </c>
    </row>
    <row r="1904" spans="1:2" ht="13.2" x14ac:dyDescent="0.25">
      <c r="A1904" s="34" t="s">
        <v>10302</v>
      </c>
      <c r="B1904" s="35">
        <v>2.2330448113072201</v>
      </c>
    </row>
    <row r="1905" spans="1:2" ht="13.2" x14ac:dyDescent="0.25">
      <c r="A1905" s="34" t="s">
        <v>10301</v>
      </c>
      <c r="B1905" s="35">
        <v>2.34314500822369</v>
      </c>
    </row>
    <row r="1906" spans="1:2" ht="13.2" x14ac:dyDescent="0.25">
      <c r="A1906" s="34" t="s">
        <v>10300</v>
      </c>
      <c r="B1906" s="35">
        <v>2.37410893916514</v>
      </c>
    </row>
    <row r="1907" spans="1:2" ht="13.2" x14ac:dyDescent="0.25">
      <c r="A1907" s="34" t="s">
        <v>10299</v>
      </c>
      <c r="B1907" s="35">
        <v>2.5641157825668599</v>
      </c>
    </row>
    <row r="1908" spans="1:2" ht="13.2" x14ac:dyDescent="0.25">
      <c r="A1908" s="34" t="s">
        <v>10298</v>
      </c>
      <c r="B1908" s="35">
        <v>2.4677206355685799</v>
      </c>
    </row>
    <row r="1909" spans="1:2" ht="13.2" x14ac:dyDescent="0.25">
      <c r="A1909" s="34" t="s">
        <v>10297</v>
      </c>
    </row>
    <row r="1910" spans="1:2" ht="13.2" x14ac:dyDescent="0.25">
      <c r="A1910" s="34" t="s">
        <v>10296</v>
      </c>
    </row>
    <row r="1911" spans="1:2" ht="13.2" x14ac:dyDescent="0.25">
      <c r="A1911" s="34" t="s">
        <v>10295</v>
      </c>
      <c r="B1911" s="35">
        <v>2.4065204372753</v>
      </c>
    </row>
    <row r="1912" spans="1:2" ht="13.2" x14ac:dyDescent="0.25">
      <c r="A1912" s="34" t="s">
        <v>10294</v>
      </c>
      <c r="B1912" s="35">
        <v>2.4206945173994301</v>
      </c>
    </row>
    <row r="1913" spans="1:2" ht="13.2" x14ac:dyDescent="0.25">
      <c r="A1913" s="34" t="s">
        <v>10293</v>
      </c>
      <c r="B1913" s="35">
        <v>2.4206038949675599</v>
      </c>
    </row>
    <row r="1914" spans="1:2" ht="13.2" x14ac:dyDescent="0.25">
      <c r="A1914" s="34" t="s">
        <v>10292</v>
      </c>
      <c r="B1914" s="35">
        <v>2.6839905043958301</v>
      </c>
    </row>
    <row r="1915" spans="1:2" ht="13.2" x14ac:dyDescent="0.25">
      <c r="A1915" s="34" t="s">
        <v>10291</v>
      </c>
      <c r="B1915" s="35">
        <v>2.6923712103163902</v>
      </c>
    </row>
    <row r="1916" spans="1:2" ht="13.2" x14ac:dyDescent="0.25">
      <c r="A1916" s="34" t="s">
        <v>10290</v>
      </c>
    </row>
    <row r="1917" spans="1:2" ht="13.2" x14ac:dyDescent="0.25">
      <c r="A1917" s="34" t="s">
        <v>10289</v>
      </c>
    </row>
    <row r="1918" spans="1:2" ht="13.2" x14ac:dyDescent="0.25">
      <c r="A1918" s="34" t="s">
        <v>10288</v>
      </c>
      <c r="B1918" s="35">
        <v>2.6848278473478602</v>
      </c>
    </row>
    <row r="1919" spans="1:2" ht="13.2" x14ac:dyDescent="0.25">
      <c r="A1919" s="34" t="s">
        <v>10287</v>
      </c>
      <c r="B1919" s="35">
        <v>2.6851655484577099</v>
      </c>
    </row>
    <row r="1920" spans="1:2" ht="13.2" x14ac:dyDescent="0.25">
      <c r="A1920" s="34" t="s">
        <v>10286</v>
      </c>
      <c r="B1920" s="35">
        <v>2.7337958373137301</v>
      </c>
    </row>
    <row r="1921" spans="1:2" ht="13.2" x14ac:dyDescent="0.25">
      <c r="A1921" s="34" t="s">
        <v>10285</v>
      </c>
      <c r="B1921" s="35">
        <v>3.2113005905511298</v>
      </c>
    </row>
    <row r="1922" spans="1:2" ht="13.2" x14ac:dyDescent="0.25">
      <c r="A1922" s="34" t="s">
        <v>10284</v>
      </c>
      <c r="B1922" s="35">
        <v>3.0686307218888502</v>
      </c>
    </row>
    <row r="1923" spans="1:2" ht="13.2" x14ac:dyDescent="0.25">
      <c r="A1923" s="34" t="s">
        <v>10283</v>
      </c>
    </row>
    <row r="1924" spans="1:2" ht="13.2" x14ac:dyDescent="0.25">
      <c r="A1924" s="34" t="s">
        <v>10282</v>
      </c>
    </row>
    <row r="1925" spans="1:2" ht="13.2" x14ac:dyDescent="0.25">
      <c r="A1925" s="34" t="s">
        <v>10281</v>
      </c>
      <c r="B1925" s="35">
        <v>3.09448302015329</v>
      </c>
    </row>
    <row r="1926" spans="1:2" ht="13.2" x14ac:dyDescent="0.25">
      <c r="A1926" s="34" t="s">
        <v>10280</v>
      </c>
      <c r="B1926" s="35">
        <v>3.6672536798927902</v>
      </c>
    </row>
    <row r="1927" spans="1:2" ht="13.2" x14ac:dyDescent="0.25">
      <c r="A1927" s="34" t="s">
        <v>10279</v>
      </c>
      <c r="B1927" s="35">
        <v>3.5781666627657498</v>
      </c>
    </row>
    <row r="1928" spans="1:2" ht="13.2" x14ac:dyDescent="0.25">
      <c r="A1928" s="34" t="s">
        <v>10278</v>
      </c>
      <c r="B1928" s="35">
        <v>3.8910491993007801</v>
      </c>
    </row>
    <row r="1929" spans="1:2" ht="13.2" x14ac:dyDescent="0.25">
      <c r="A1929" s="34" t="s">
        <v>10277</v>
      </c>
      <c r="B1929" s="35">
        <v>3.9898046113383798</v>
      </c>
    </row>
    <row r="1930" spans="1:2" ht="13.2" x14ac:dyDescent="0.25">
      <c r="A1930" s="34" t="s">
        <v>10276</v>
      </c>
    </row>
    <row r="1931" spans="1:2" ht="13.2" x14ac:dyDescent="0.25">
      <c r="A1931" s="34" t="s">
        <v>10275</v>
      </c>
    </row>
    <row r="1932" spans="1:2" ht="13.2" x14ac:dyDescent="0.25">
      <c r="A1932" s="34" t="s">
        <v>10274</v>
      </c>
    </row>
    <row r="1933" spans="1:2" ht="13.2" x14ac:dyDescent="0.25">
      <c r="A1933" s="34" t="s">
        <v>10273</v>
      </c>
      <c r="B1933" s="35">
        <v>3.9993677626614601</v>
      </c>
    </row>
    <row r="1934" spans="1:2" ht="13.2" x14ac:dyDescent="0.25">
      <c r="A1934" s="34" t="s">
        <v>10272</v>
      </c>
      <c r="B1934" s="35">
        <v>3.9974215284429899</v>
      </c>
    </row>
    <row r="1935" spans="1:2" ht="13.2" x14ac:dyDescent="0.25">
      <c r="A1935" s="34" t="s">
        <v>10271</v>
      </c>
      <c r="B1935" s="35">
        <v>5.1473082181606999</v>
      </c>
    </row>
    <row r="1936" spans="1:2" ht="13.2" x14ac:dyDescent="0.25">
      <c r="A1936" s="34" t="s">
        <v>10270</v>
      </c>
      <c r="B1936" s="35">
        <v>6.1377094887413701</v>
      </c>
    </row>
    <row r="1937" spans="1:2" ht="13.2" x14ac:dyDescent="0.25">
      <c r="A1937" s="34" t="s">
        <v>10269</v>
      </c>
    </row>
    <row r="1938" spans="1:2" ht="13.2" x14ac:dyDescent="0.25">
      <c r="A1938" s="34" t="s">
        <v>10268</v>
      </c>
    </row>
    <row r="1939" spans="1:2" ht="13.2" x14ac:dyDescent="0.25">
      <c r="A1939" s="34" t="s">
        <v>10267</v>
      </c>
      <c r="B1939" s="35">
        <v>6.38033640726852</v>
      </c>
    </row>
    <row r="1940" spans="1:2" ht="13.2" x14ac:dyDescent="0.25">
      <c r="A1940" s="34" t="s">
        <v>10266</v>
      </c>
      <c r="B1940" s="35">
        <v>7.61071997523098</v>
      </c>
    </row>
    <row r="1941" spans="1:2" ht="13.2" x14ac:dyDescent="0.25">
      <c r="A1941" s="34" t="s">
        <v>10265</v>
      </c>
      <c r="B1941" s="35">
        <v>7.6133590080451397</v>
      </c>
    </row>
    <row r="1942" spans="1:2" ht="13.2" x14ac:dyDescent="0.25">
      <c r="A1942" s="34" t="s">
        <v>10264</v>
      </c>
      <c r="B1942" s="35">
        <v>7.6490205960201401</v>
      </c>
    </row>
    <row r="1943" spans="1:2" ht="13.2" x14ac:dyDescent="0.25">
      <c r="A1943" s="34" t="s">
        <v>10263</v>
      </c>
      <c r="B1943" s="35">
        <v>7.7475649099761803</v>
      </c>
    </row>
    <row r="1944" spans="1:2" ht="13.2" x14ac:dyDescent="0.25">
      <c r="A1944" s="34" t="s">
        <v>10262</v>
      </c>
    </row>
    <row r="1945" spans="1:2" ht="13.2" x14ac:dyDescent="0.25">
      <c r="A1945" s="34" t="s">
        <v>10261</v>
      </c>
    </row>
    <row r="1946" spans="1:2" ht="13.2" x14ac:dyDescent="0.25">
      <c r="A1946" s="34" t="s">
        <v>10260</v>
      </c>
      <c r="B1946" s="35">
        <v>7.6736089505436702</v>
      </c>
    </row>
    <row r="1947" spans="1:2" ht="13.2" x14ac:dyDescent="0.25">
      <c r="A1947" s="34" t="s">
        <v>10259</v>
      </c>
      <c r="B1947" s="35">
        <v>7.6828637977755703</v>
      </c>
    </row>
    <row r="1948" spans="1:2" ht="13.2" x14ac:dyDescent="0.25">
      <c r="A1948" s="34" t="s">
        <v>10258</v>
      </c>
      <c r="B1948" s="35">
        <v>8.0600891269241508</v>
      </c>
    </row>
    <row r="1949" spans="1:2" ht="13.2" x14ac:dyDescent="0.25">
      <c r="A1949" s="34" t="s">
        <v>10257</v>
      </c>
      <c r="B1949" s="35">
        <v>8.1632105337132899</v>
      </c>
    </row>
    <row r="1950" spans="1:2" ht="13.2" x14ac:dyDescent="0.25">
      <c r="A1950" s="34" t="s">
        <v>10256</v>
      </c>
      <c r="B1950" s="35">
        <v>8.1317653409213992</v>
      </c>
    </row>
    <row r="1951" spans="1:2" ht="13.2" x14ac:dyDescent="0.25">
      <c r="A1951" s="34" t="s">
        <v>10255</v>
      </c>
    </row>
    <row r="1952" spans="1:2" ht="13.2" x14ac:dyDescent="0.25">
      <c r="A1952" s="34" t="s">
        <v>10254</v>
      </c>
    </row>
    <row r="1953" spans="1:2" ht="13.2" x14ac:dyDescent="0.25">
      <c r="A1953" s="34" t="s">
        <v>10253</v>
      </c>
      <c r="B1953" s="35">
        <v>7.8071600738543001</v>
      </c>
    </row>
    <row r="1954" spans="1:2" ht="13.2" x14ac:dyDescent="0.25">
      <c r="A1954" s="34" t="s">
        <v>10252</v>
      </c>
      <c r="B1954" s="35">
        <v>7.7974118798537804</v>
      </c>
    </row>
    <row r="1955" spans="1:2" ht="13.2" x14ac:dyDescent="0.25">
      <c r="A1955" s="34" t="s">
        <v>10251</v>
      </c>
      <c r="B1955" s="35">
        <v>7.7961845549383897</v>
      </c>
    </row>
    <row r="1956" spans="1:2" ht="13.2" x14ac:dyDescent="0.25">
      <c r="A1956" s="34" t="s">
        <v>10250</v>
      </c>
      <c r="B1956" s="35">
        <v>7.9463205698339898</v>
      </c>
    </row>
    <row r="1957" spans="1:2" ht="13.2" x14ac:dyDescent="0.25">
      <c r="A1957" s="34" t="s">
        <v>10249</v>
      </c>
      <c r="B1957" s="35">
        <v>8.1303566483295207</v>
      </c>
    </row>
    <row r="1958" spans="1:2" ht="13.2" x14ac:dyDescent="0.25">
      <c r="A1958" s="34" t="s">
        <v>10248</v>
      </c>
    </row>
    <row r="1959" spans="1:2" ht="13.2" x14ac:dyDescent="0.25">
      <c r="A1959" s="34" t="s">
        <v>10247</v>
      </c>
    </row>
    <row r="1960" spans="1:2" ht="13.2" x14ac:dyDescent="0.25">
      <c r="A1960" s="34" t="s">
        <v>10246</v>
      </c>
      <c r="B1960" s="35">
        <v>7.9483868635172099</v>
      </c>
    </row>
    <row r="1961" spans="1:2" ht="13.2" x14ac:dyDescent="0.25">
      <c r="A1961" s="34" t="s">
        <v>10245</v>
      </c>
      <c r="B1961" s="35">
        <v>7.84842556001158</v>
      </c>
    </row>
    <row r="1962" spans="1:2" ht="13.2" x14ac:dyDescent="0.25">
      <c r="A1962" s="34" t="s">
        <v>10244</v>
      </c>
      <c r="B1962" s="35">
        <v>7.8795279063822399</v>
      </c>
    </row>
    <row r="1963" spans="1:2" ht="13.2" x14ac:dyDescent="0.25">
      <c r="A1963" s="34" t="s">
        <v>10243</v>
      </c>
      <c r="B1963" s="35">
        <v>7.8472662748229203</v>
      </c>
    </row>
    <row r="1964" spans="1:2" ht="13.2" x14ac:dyDescent="0.25">
      <c r="A1964" s="34" t="s">
        <v>10242</v>
      </c>
      <c r="B1964" s="35">
        <v>6.7919608966067804</v>
      </c>
    </row>
    <row r="1965" spans="1:2" ht="13.2" x14ac:dyDescent="0.25">
      <c r="A1965" s="34" t="s">
        <v>10241</v>
      </c>
    </row>
    <row r="1966" spans="1:2" ht="13.2" x14ac:dyDescent="0.25">
      <c r="A1966" s="34" t="s">
        <v>10240</v>
      </c>
    </row>
    <row r="1967" spans="1:2" ht="13.2" x14ac:dyDescent="0.25">
      <c r="A1967" s="34" t="s">
        <v>10239</v>
      </c>
    </row>
    <row r="1968" spans="1:2" ht="13.2" x14ac:dyDescent="0.25">
      <c r="A1968" s="34" t="s">
        <v>10238</v>
      </c>
      <c r="B1968" s="35">
        <v>6.3027014782089603</v>
      </c>
    </row>
    <row r="1969" spans="1:2" ht="13.2" x14ac:dyDescent="0.25">
      <c r="A1969" s="34" t="s">
        <v>10237</v>
      </c>
      <c r="B1969" s="35">
        <v>6.1649758304445097</v>
      </c>
    </row>
    <row r="1970" spans="1:2" ht="13.2" x14ac:dyDescent="0.25">
      <c r="A1970" s="34" t="s">
        <v>10236</v>
      </c>
      <c r="B1970" s="35">
        <v>5.0657881243676499</v>
      </c>
    </row>
    <row r="1971" spans="1:2" ht="13.2" x14ac:dyDescent="0.25">
      <c r="A1971" s="34" t="s">
        <v>10235</v>
      </c>
      <c r="B1971" s="35">
        <v>5.0733079319701497</v>
      </c>
    </row>
    <row r="1972" spans="1:2" ht="13.2" x14ac:dyDescent="0.25">
      <c r="A1972" s="34" t="s">
        <v>10234</v>
      </c>
    </row>
    <row r="1973" spans="1:2" ht="13.2" x14ac:dyDescent="0.25">
      <c r="A1973" s="34" t="s">
        <v>10233</v>
      </c>
    </row>
    <row r="1974" spans="1:2" ht="13.2" x14ac:dyDescent="0.25">
      <c r="A1974" s="34" t="s">
        <v>10232</v>
      </c>
      <c r="B1974" s="35">
        <v>4.9614193603469401</v>
      </c>
    </row>
    <row r="1975" spans="1:2" ht="13.2" x14ac:dyDescent="0.25">
      <c r="A1975" s="34" t="s">
        <v>10231</v>
      </c>
      <c r="B1975" s="35">
        <v>4.8940167451749499</v>
      </c>
    </row>
    <row r="1976" spans="1:2" ht="13.2" x14ac:dyDescent="0.25">
      <c r="A1976" s="34" t="s">
        <v>10230</v>
      </c>
      <c r="B1976" s="35">
        <v>4.9179017843755801</v>
      </c>
    </row>
    <row r="1977" spans="1:2" ht="13.2" x14ac:dyDescent="0.25">
      <c r="A1977" s="34" t="s">
        <v>10229</v>
      </c>
      <c r="B1977" s="35">
        <v>4.9500800424445304</v>
      </c>
    </row>
    <row r="1978" spans="1:2" ht="13.2" x14ac:dyDescent="0.25">
      <c r="A1978" s="34" t="s">
        <v>10228</v>
      </c>
      <c r="B1978" s="35">
        <v>4.5375851775986096</v>
      </c>
    </row>
    <row r="1979" spans="1:2" ht="13.2" x14ac:dyDescent="0.25">
      <c r="A1979" s="34" t="s">
        <v>10227</v>
      </c>
    </row>
    <row r="1980" spans="1:2" ht="13.2" x14ac:dyDescent="0.25">
      <c r="A1980" s="34" t="s">
        <v>10226</v>
      </c>
    </row>
    <row r="1981" spans="1:2" ht="13.2" x14ac:dyDescent="0.25">
      <c r="A1981" s="34" t="s">
        <v>10225</v>
      </c>
      <c r="B1981" s="35">
        <v>4.4228850769700703</v>
      </c>
    </row>
    <row r="1982" spans="1:2" ht="13.2" x14ac:dyDescent="0.25">
      <c r="A1982" s="34" t="s">
        <v>10224</v>
      </c>
      <c r="B1982" s="35">
        <v>4.4134424255145399</v>
      </c>
    </row>
    <row r="1983" spans="1:2" ht="13.2" x14ac:dyDescent="0.25">
      <c r="A1983" s="34" t="s">
        <v>10223</v>
      </c>
      <c r="B1983" s="35">
        <v>4.4006486434726604</v>
      </c>
    </row>
    <row r="1984" spans="1:2" ht="13.2" x14ac:dyDescent="0.25">
      <c r="A1984" s="34" t="s">
        <v>10222</v>
      </c>
      <c r="B1984" s="35">
        <v>4.4971415618114197</v>
      </c>
    </row>
    <row r="1985" spans="1:2" ht="13.2" x14ac:dyDescent="0.25">
      <c r="A1985" s="34" t="s">
        <v>10221</v>
      </c>
      <c r="B1985" s="35">
        <v>4.7059704167390599</v>
      </c>
    </row>
    <row r="1986" spans="1:2" ht="13.2" x14ac:dyDescent="0.25">
      <c r="A1986" s="34" t="s">
        <v>10220</v>
      </c>
    </row>
    <row r="1987" spans="1:2" ht="13.2" x14ac:dyDescent="0.25">
      <c r="A1987" s="34" t="s">
        <v>10219</v>
      </c>
    </row>
    <row r="1988" spans="1:2" ht="13.2" x14ac:dyDescent="0.25">
      <c r="A1988" s="34" t="s">
        <v>10218</v>
      </c>
    </row>
    <row r="1989" spans="1:2" ht="13.2" x14ac:dyDescent="0.25">
      <c r="A1989" s="34" t="s">
        <v>10217</v>
      </c>
      <c r="B1989" s="35">
        <v>4.2311700716838798</v>
      </c>
    </row>
    <row r="1990" spans="1:2" ht="13.2" x14ac:dyDescent="0.25">
      <c r="A1990" s="34" t="s">
        <v>10216</v>
      </c>
      <c r="B1990" s="35">
        <v>3.9951507758365001</v>
      </c>
    </row>
    <row r="1991" spans="1:2" ht="13.2" x14ac:dyDescent="0.25">
      <c r="A1991" s="34" t="s">
        <v>10215</v>
      </c>
      <c r="B1991" s="35">
        <v>3.91807982643589</v>
      </c>
    </row>
    <row r="1992" spans="1:2" ht="13.2" x14ac:dyDescent="0.25">
      <c r="A1992" s="34" t="s">
        <v>10214</v>
      </c>
      <c r="B1992" s="35">
        <v>3.8890848674991898</v>
      </c>
    </row>
    <row r="1993" spans="1:2" ht="13.2" x14ac:dyDescent="0.25">
      <c r="A1993" s="34" t="s">
        <v>10213</v>
      </c>
    </row>
    <row r="1994" spans="1:2" ht="13.2" x14ac:dyDescent="0.25">
      <c r="A1994" s="34" t="s">
        <v>10212</v>
      </c>
    </row>
    <row r="1995" spans="1:2" ht="13.2" x14ac:dyDescent="0.25">
      <c r="A1995" s="34" t="s">
        <v>10211</v>
      </c>
      <c r="B1995" s="35">
        <v>3.7814458772121902</v>
      </c>
    </row>
    <row r="1996" spans="1:2" ht="13.2" x14ac:dyDescent="0.25">
      <c r="A1996" s="34" t="s">
        <v>10210</v>
      </c>
      <c r="B1996" s="35">
        <v>3.8946217634868301</v>
      </c>
    </row>
    <row r="1997" spans="1:2" ht="13.2" x14ac:dyDescent="0.25">
      <c r="A1997" s="34" t="s">
        <v>10209</v>
      </c>
      <c r="B1997" s="35">
        <v>3.8673726020610002</v>
      </c>
    </row>
    <row r="1998" spans="1:2" ht="13.2" x14ac:dyDescent="0.25">
      <c r="A1998" s="34" t="s">
        <v>10208</v>
      </c>
      <c r="B1998" s="35">
        <v>3.9953294523876202</v>
      </c>
    </row>
    <row r="1999" spans="1:2" ht="13.2" x14ac:dyDescent="0.25">
      <c r="A1999" s="34" t="s">
        <v>10207</v>
      </c>
      <c r="B1999" s="35">
        <v>3.9346497796676401</v>
      </c>
    </row>
    <row r="2000" spans="1:2" ht="13.2" x14ac:dyDescent="0.25">
      <c r="A2000" s="34" t="s">
        <v>10206</v>
      </c>
    </row>
    <row r="2001" spans="1:2" ht="13.2" x14ac:dyDescent="0.25">
      <c r="A2001" s="34" t="s">
        <v>10205</v>
      </c>
    </row>
    <row r="2002" spans="1:2" ht="13.2" x14ac:dyDescent="0.25">
      <c r="A2002" s="34" t="s">
        <v>10204</v>
      </c>
      <c r="B2002" s="35">
        <v>3.84151624956763</v>
      </c>
    </row>
    <row r="2003" spans="1:2" ht="13.2" x14ac:dyDescent="0.25">
      <c r="A2003" s="34" t="s">
        <v>10203</v>
      </c>
      <c r="B2003" s="35">
        <v>3.83210238592312</v>
      </c>
    </row>
    <row r="2004" spans="1:2" ht="13.2" x14ac:dyDescent="0.25">
      <c r="A2004" s="34" t="s">
        <v>10202</v>
      </c>
      <c r="B2004" s="35">
        <v>3.84106922001896</v>
      </c>
    </row>
    <row r="2005" spans="1:2" ht="13.2" x14ac:dyDescent="0.25">
      <c r="A2005" s="34" t="s">
        <v>10201</v>
      </c>
      <c r="B2005" s="35">
        <v>3.9221433293896899</v>
      </c>
    </row>
    <row r="2006" spans="1:2" ht="13.2" x14ac:dyDescent="0.25">
      <c r="A2006" s="34" t="s">
        <v>10200</v>
      </c>
      <c r="B2006" s="35">
        <v>3.8116461640098498</v>
      </c>
    </row>
    <row r="2007" spans="1:2" ht="13.2" x14ac:dyDescent="0.25">
      <c r="A2007" s="34" t="s">
        <v>10199</v>
      </c>
    </row>
    <row r="2008" spans="1:2" ht="13.2" x14ac:dyDescent="0.25">
      <c r="A2008" s="34" t="s">
        <v>10198</v>
      </c>
    </row>
    <row r="2009" spans="1:2" ht="13.2" x14ac:dyDescent="0.25">
      <c r="A2009" s="34" t="s">
        <v>10197</v>
      </c>
      <c r="B2009" s="35">
        <v>3.76470740330147</v>
      </c>
    </row>
    <row r="2010" spans="1:2" ht="13.2" x14ac:dyDescent="0.25">
      <c r="A2010" s="34" t="s">
        <v>10196</v>
      </c>
      <c r="B2010" s="35">
        <v>3.5913929448597499</v>
      </c>
    </row>
    <row r="2011" spans="1:2" ht="13.2" x14ac:dyDescent="0.25">
      <c r="A2011" s="34" t="s">
        <v>10195</v>
      </c>
      <c r="B2011" s="35">
        <v>3.4428494322660601</v>
      </c>
    </row>
    <row r="2012" spans="1:2" ht="13.2" x14ac:dyDescent="0.25">
      <c r="A2012" s="34" t="s">
        <v>10194</v>
      </c>
      <c r="B2012" s="35">
        <v>3.39320960833459</v>
      </c>
    </row>
    <row r="2013" spans="1:2" ht="13.2" x14ac:dyDescent="0.25">
      <c r="A2013" s="34" t="s">
        <v>10193</v>
      </c>
      <c r="B2013" s="35">
        <v>3.3661547634347602</v>
      </c>
    </row>
    <row r="2014" spans="1:2" ht="13.2" x14ac:dyDescent="0.25">
      <c r="A2014" s="34" t="s">
        <v>10192</v>
      </c>
    </row>
    <row r="2015" spans="1:2" ht="13.2" x14ac:dyDescent="0.25">
      <c r="A2015" s="34" t="s">
        <v>10191</v>
      </c>
    </row>
    <row r="2016" spans="1:2" ht="13.2" x14ac:dyDescent="0.25">
      <c r="A2016" s="34" t="s">
        <v>10190</v>
      </c>
      <c r="B2016" s="35">
        <v>3.4469942368142199</v>
      </c>
    </row>
    <row r="2017" spans="1:2" ht="13.2" x14ac:dyDescent="0.25">
      <c r="A2017" s="34" t="s">
        <v>10189</v>
      </c>
      <c r="B2017" s="35">
        <v>3.1738912496508398</v>
      </c>
    </row>
    <row r="2018" spans="1:2" ht="13.2" x14ac:dyDescent="0.25">
      <c r="A2018" s="34" t="s">
        <v>10188</v>
      </c>
      <c r="B2018" s="35">
        <v>2.94526392198344</v>
      </c>
    </row>
    <row r="2019" spans="1:2" ht="13.2" x14ac:dyDescent="0.25">
      <c r="A2019" s="34" t="s">
        <v>10187</v>
      </c>
      <c r="B2019" s="35">
        <v>3.6129420309300002</v>
      </c>
    </row>
    <row r="2020" spans="1:2" ht="13.2" x14ac:dyDescent="0.25">
      <c r="A2020" s="34" t="s">
        <v>10186</v>
      </c>
      <c r="B2020" s="35">
        <v>3.3886636459754902</v>
      </c>
    </row>
    <row r="2021" spans="1:2" ht="13.2" x14ac:dyDescent="0.25">
      <c r="A2021" s="34" t="s">
        <v>10185</v>
      </c>
    </row>
    <row r="2022" spans="1:2" ht="13.2" x14ac:dyDescent="0.25">
      <c r="A2022" s="34" t="s">
        <v>10184</v>
      </c>
    </row>
    <row r="2023" spans="1:2" ht="13.2" x14ac:dyDescent="0.25">
      <c r="A2023" s="34" t="s">
        <v>10183</v>
      </c>
      <c r="B2023" s="35">
        <v>3.5028416115329</v>
      </c>
    </row>
    <row r="2024" spans="1:2" ht="13.2" x14ac:dyDescent="0.25">
      <c r="A2024" s="34" t="s">
        <v>10182</v>
      </c>
      <c r="B2024" s="35">
        <v>3.6023350884357002</v>
      </c>
    </row>
    <row r="2025" spans="1:2" ht="13.2" x14ac:dyDescent="0.25">
      <c r="A2025" s="34" t="s">
        <v>10181</v>
      </c>
      <c r="B2025" s="35">
        <v>3.55393787614079</v>
      </c>
    </row>
    <row r="2026" spans="1:2" ht="13.2" x14ac:dyDescent="0.25">
      <c r="A2026" s="34" t="s">
        <v>10180</v>
      </c>
      <c r="B2026" s="35">
        <v>3.4991470479456699</v>
      </c>
    </row>
    <row r="2027" spans="1:2" ht="13.2" x14ac:dyDescent="0.25">
      <c r="A2027" s="34" t="s">
        <v>10179</v>
      </c>
      <c r="B2027" s="35">
        <v>3.5401902421026898</v>
      </c>
    </row>
    <row r="2028" spans="1:2" ht="13.2" x14ac:dyDescent="0.25">
      <c r="A2028" s="34" t="s">
        <v>10178</v>
      </c>
    </row>
    <row r="2029" spans="1:2" ht="13.2" x14ac:dyDescent="0.25">
      <c r="A2029" s="34" t="s">
        <v>10177</v>
      </c>
    </row>
    <row r="2030" spans="1:2" ht="13.2" x14ac:dyDescent="0.25">
      <c r="A2030" s="34" t="s">
        <v>10176</v>
      </c>
      <c r="B2030" s="35">
        <v>3.9772212035683498</v>
      </c>
    </row>
    <row r="2031" spans="1:2" ht="13.2" x14ac:dyDescent="0.25">
      <c r="A2031" s="34" t="s">
        <v>10175</v>
      </c>
      <c r="B2031" s="35">
        <v>3.9915041148644801</v>
      </c>
    </row>
    <row r="2032" spans="1:2" ht="13.2" x14ac:dyDescent="0.25">
      <c r="A2032" s="34" t="s">
        <v>10174</v>
      </c>
      <c r="B2032" s="35">
        <v>3.93035409038974</v>
      </c>
    </row>
    <row r="2033" spans="1:2" ht="13.2" x14ac:dyDescent="0.25">
      <c r="A2033" s="34" t="s">
        <v>10173</v>
      </c>
      <c r="B2033" s="35">
        <v>3.8567781392588998</v>
      </c>
    </row>
    <row r="2034" spans="1:2" ht="13.2" x14ac:dyDescent="0.25">
      <c r="A2034" s="34" t="s">
        <v>10172</v>
      </c>
      <c r="B2034" s="35">
        <v>3.9026212178890001</v>
      </c>
    </row>
    <row r="2035" spans="1:2" ht="13.2" x14ac:dyDescent="0.25">
      <c r="A2035" s="34" t="s">
        <v>10171</v>
      </c>
    </row>
    <row r="2036" spans="1:2" ht="13.2" x14ac:dyDescent="0.25">
      <c r="A2036" s="34" t="s">
        <v>10170</v>
      </c>
    </row>
    <row r="2037" spans="1:2" ht="13.2" x14ac:dyDescent="0.25">
      <c r="A2037" s="34" t="s">
        <v>10169</v>
      </c>
      <c r="B2037" s="35">
        <v>4.12619524937233</v>
      </c>
    </row>
    <row r="2038" spans="1:2" ht="13.2" x14ac:dyDescent="0.25">
      <c r="A2038" s="34" t="s">
        <v>10168</v>
      </c>
      <c r="B2038" s="35">
        <v>4.1004515427674004</v>
      </c>
    </row>
    <row r="2039" spans="1:2" ht="13.2" x14ac:dyDescent="0.25">
      <c r="A2039" s="34" t="s">
        <v>10167</v>
      </c>
      <c r="B2039" s="35">
        <v>4.1171471978589302</v>
      </c>
    </row>
    <row r="2040" spans="1:2" ht="13.2" x14ac:dyDescent="0.25">
      <c r="A2040" s="34" t="s">
        <v>10166</v>
      </c>
    </row>
    <row r="2041" spans="1:2" ht="13.2" x14ac:dyDescent="0.25">
      <c r="A2041" s="34" t="s">
        <v>10165</v>
      </c>
    </row>
    <row r="2042" spans="1:2" ht="13.2" x14ac:dyDescent="0.25">
      <c r="A2042" s="34" t="s">
        <v>10164</v>
      </c>
    </row>
    <row r="2043" spans="1:2" ht="13.2" x14ac:dyDescent="0.25">
      <c r="A2043" s="34" t="s">
        <v>10163</v>
      </c>
    </row>
    <row r="2044" spans="1:2" ht="13.2" x14ac:dyDescent="0.25">
      <c r="A2044" s="34" t="s">
        <v>10162</v>
      </c>
      <c r="B2044" s="35">
        <v>4.04431855234784</v>
      </c>
    </row>
    <row r="2045" spans="1:2" ht="13.2" x14ac:dyDescent="0.25">
      <c r="A2045" s="34" t="s">
        <v>10161</v>
      </c>
      <c r="B2045" s="35">
        <v>4.0368500377716598</v>
      </c>
    </row>
    <row r="2046" spans="1:2" ht="13.2" x14ac:dyDescent="0.25">
      <c r="A2046" s="34" t="s">
        <v>10160</v>
      </c>
      <c r="B2046" s="35">
        <v>4.0193146882654798</v>
      </c>
    </row>
    <row r="2047" spans="1:2" ht="13.2" x14ac:dyDescent="0.25">
      <c r="A2047" s="34" t="s">
        <v>10159</v>
      </c>
    </row>
    <row r="2048" spans="1:2" ht="13.2" x14ac:dyDescent="0.25">
      <c r="A2048" s="34" t="s">
        <v>10158</v>
      </c>
    </row>
    <row r="2049" spans="1:2" ht="13.2" x14ac:dyDescent="0.25">
      <c r="A2049" s="34" t="s">
        <v>10157</v>
      </c>
    </row>
    <row r="2050" spans="1:2" ht="13.2" x14ac:dyDescent="0.25">
      <c r="A2050" s="34" t="s">
        <v>10156</v>
      </c>
    </row>
    <row r="2051" spans="1:2" ht="13.2" x14ac:dyDescent="0.25">
      <c r="A2051" s="34" t="s">
        <v>10155</v>
      </c>
      <c r="B2051" s="35">
        <v>3.9962739660446598</v>
      </c>
    </row>
    <row r="2052" spans="1:2" ht="13.2" x14ac:dyDescent="0.25">
      <c r="A2052" s="34" t="s">
        <v>10154</v>
      </c>
      <c r="B2052" s="35">
        <v>4.0663227595414098</v>
      </c>
    </row>
    <row r="2053" spans="1:2" ht="13.2" x14ac:dyDescent="0.25">
      <c r="A2053" s="34" t="s">
        <v>10153</v>
      </c>
      <c r="B2053" s="35">
        <v>4.1544160355934503</v>
      </c>
    </row>
    <row r="2054" spans="1:2" ht="13.2" x14ac:dyDescent="0.25">
      <c r="A2054" s="34" t="s">
        <v>10152</v>
      </c>
      <c r="B2054" s="35">
        <v>3.82687248359872</v>
      </c>
    </row>
    <row r="2055" spans="1:2" ht="13.2" x14ac:dyDescent="0.25">
      <c r="A2055" s="34" t="s">
        <v>10151</v>
      </c>
      <c r="B2055" s="35">
        <v>3.8511188872759901</v>
      </c>
    </row>
    <row r="2056" spans="1:2" ht="13.2" x14ac:dyDescent="0.25">
      <c r="A2056" s="34" t="s">
        <v>10150</v>
      </c>
    </row>
    <row r="2057" spans="1:2" ht="13.2" x14ac:dyDescent="0.25">
      <c r="A2057" s="34" t="s">
        <v>10149</v>
      </c>
    </row>
    <row r="2058" spans="1:2" ht="13.2" x14ac:dyDescent="0.25">
      <c r="A2058" s="34" t="s">
        <v>10148</v>
      </c>
      <c r="B2058" s="35">
        <v>3.8543363983661298</v>
      </c>
    </row>
    <row r="2059" spans="1:2" ht="13.2" x14ac:dyDescent="0.25">
      <c r="A2059" s="34" t="s">
        <v>10147</v>
      </c>
      <c r="B2059" s="35">
        <v>4.0897721370906499</v>
      </c>
    </row>
    <row r="2060" spans="1:2" ht="13.2" x14ac:dyDescent="0.25">
      <c r="A2060" s="34" t="s">
        <v>10146</v>
      </c>
      <c r="B2060" s="35">
        <v>4.1782800808553802</v>
      </c>
    </row>
    <row r="2061" spans="1:2" ht="13.2" x14ac:dyDescent="0.25">
      <c r="A2061" s="34" t="s">
        <v>10145</v>
      </c>
      <c r="B2061" s="35">
        <v>4.6161307038155499</v>
      </c>
    </row>
    <row r="2062" spans="1:2" ht="13.2" x14ac:dyDescent="0.25">
      <c r="A2062" s="34" t="s">
        <v>10144</v>
      </c>
      <c r="B2062" s="35">
        <v>8.0940772333445192</v>
      </c>
    </row>
    <row r="2063" spans="1:2" ht="13.2" x14ac:dyDescent="0.25">
      <c r="A2063" s="34" t="s">
        <v>10143</v>
      </c>
    </row>
    <row r="2064" spans="1:2" ht="13.2" x14ac:dyDescent="0.25">
      <c r="A2064" s="34" t="s">
        <v>10142</v>
      </c>
    </row>
    <row r="2065" spans="1:2" ht="13.2" x14ac:dyDescent="0.25">
      <c r="A2065" s="34" t="s">
        <v>10141</v>
      </c>
      <c r="B2065" s="35">
        <v>7.9327077396726304</v>
      </c>
    </row>
    <row r="2066" spans="1:2" ht="13.2" x14ac:dyDescent="0.25">
      <c r="A2066" s="34" t="s">
        <v>10140</v>
      </c>
      <c r="B2066" s="35">
        <v>7.8942857255272596</v>
      </c>
    </row>
    <row r="2067" spans="1:2" ht="13.2" x14ac:dyDescent="0.25">
      <c r="A2067" s="34" t="s">
        <v>10139</v>
      </c>
      <c r="B2067" s="35">
        <v>7.8465817675290497</v>
      </c>
    </row>
    <row r="2068" spans="1:2" ht="13.2" x14ac:dyDescent="0.25">
      <c r="A2068" s="34" t="s">
        <v>10138</v>
      </c>
      <c r="B2068" s="35">
        <v>7.9351899397279899</v>
      </c>
    </row>
    <row r="2069" spans="1:2" ht="13.2" x14ac:dyDescent="0.25">
      <c r="A2069" s="34" t="s">
        <v>10137</v>
      </c>
      <c r="B2069" s="35">
        <v>7.9412995018327903</v>
      </c>
    </row>
    <row r="2070" spans="1:2" ht="13.2" x14ac:dyDescent="0.25">
      <c r="A2070" s="34" t="s">
        <v>10136</v>
      </c>
    </row>
    <row r="2071" spans="1:2" ht="13.2" x14ac:dyDescent="0.25">
      <c r="A2071" s="34" t="s">
        <v>10135</v>
      </c>
    </row>
    <row r="2072" spans="1:2" ht="13.2" x14ac:dyDescent="0.25">
      <c r="A2072" s="34" t="s">
        <v>10134</v>
      </c>
    </row>
    <row r="2073" spans="1:2" ht="13.2" x14ac:dyDescent="0.25">
      <c r="A2073" s="34" t="s">
        <v>10133</v>
      </c>
      <c r="B2073" s="35">
        <v>7.9459432358858804</v>
      </c>
    </row>
    <row r="2074" spans="1:2" ht="13.2" x14ac:dyDescent="0.25">
      <c r="A2074" s="34" t="s">
        <v>10132</v>
      </c>
      <c r="B2074" s="35">
        <v>7.9386173545393097</v>
      </c>
    </row>
    <row r="2075" spans="1:2" ht="13.2" x14ac:dyDescent="0.25">
      <c r="A2075" s="34" t="s">
        <v>10131</v>
      </c>
      <c r="B2075" s="35">
        <v>7.9741743789761097</v>
      </c>
    </row>
    <row r="2076" spans="1:2" ht="13.2" x14ac:dyDescent="0.25">
      <c r="A2076" s="34" t="s">
        <v>10130</v>
      </c>
      <c r="B2076" s="35">
        <v>7.9161244967321602</v>
      </c>
    </row>
    <row r="2077" spans="1:2" ht="13.2" x14ac:dyDescent="0.25">
      <c r="A2077" s="34" t="s">
        <v>10129</v>
      </c>
    </row>
    <row r="2078" spans="1:2" ht="13.2" x14ac:dyDescent="0.25">
      <c r="A2078" s="34" t="s">
        <v>10128</v>
      </c>
    </row>
    <row r="2079" spans="1:2" ht="13.2" x14ac:dyDescent="0.25">
      <c r="A2079" s="34" t="s">
        <v>10127</v>
      </c>
      <c r="B2079" s="35">
        <v>8.0412595924579193</v>
      </c>
    </row>
    <row r="2080" spans="1:2" ht="13.2" x14ac:dyDescent="0.25">
      <c r="A2080" s="34" t="s">
        <v>10126</v>
      </c>
      <c r="B2080" s="35">
        <v>8.0703923236604709</v>
      </c>
    </row>
    <row r="2081" spans="1:2" ht="13.2" x14ac:dyDescent="0.25">
      <c r="A2081" s="34" t="s">
        <v>10125</v>
      </c>
      <c r="B2081" s="35">
        <v>8.0759099886600207</v>
      </c>
    </row>
    <row r="2082" spans="1:2" ht="13.2" x14ac:dyDescent="0.25">
      <c r="A2082" s="34" t="s">
        <v>10124</v>
      </c>
      <c r="B2082" s="35">
        <v>8.0747235500898196</v>
      </c>
    </row>
    <row r="2083" spans="1:2" ht="13.2" x14ac:dyDescent="0.25">
      <c r="A2083" s="34" t="s">
        <v>10123</v>
      </c>
      <c r="B2083" s="35">
        <v>8.0938943521351803</v>
      </c>
    </row>
    <row r="2084" spans="1:2" ht="13.2" x14ac:dyDescent="0.25">
      <c r="A2084" s="34" t="s">
        <v>10122</v>
      </c>
    </row>
    <row r="2085" spans="1:2" ht="13.2" x14ac:dyDescent="0.25">
      <c r="A2085" s="34" t="s">
        <v>10121</v>
      </c>
    </row>
    <row r="2086" spans="1:2" ht="13.2" x14ac:dyDescent="0.25">
      <c r="A2086" s="34" t="s">
        <v>10120</v>
      </c>
      <c r="B2086" s="35">
        <v>8.0157275965047994</v>
      </c>
    </row>
    <row r="2087" spans="1:2" ht="13.2" x14ac:dyDescent="0.25">
      <c r="A2087" s="34" t="s">
        <v>10119</v>
      </c>
      <c r="B2087" s="35">
        <v>7.99929587295036</v>
      </c>
    </row>
    <row r="2088" spans="1:2" ht="13.2" x14ac:dyDescent="0.25">
      <c r="A2088" s="34" t="s">
        <v>10118</v>
      </c>
      <c r="B2088" s="35">
        <v>7.8419627151106202</v>
      </c>
    </row>
    <row r="2089" spans="1:2" ht="13.2" x14ac:dyDescent="0.25">
      <c r="A2089" s="34" t="s">
        <v>10117</v>
      </c>
      <c r="B2089" s="35">
        <v>7.5376104110539304</v>
      </c>
    </row>
    <row r="2090" spans="1:2" ht="13.2" x14ac:dyDescent="0.25">
      <c r="A2090" s="34" t="s">
        <v>10116</v>
      </c>
      <c r="B2090" s="35">
        <v>7.3808284524940602</v>
      </c>
    </row>
    <row r="2091" spans="1:2" ht="13.2" x14ac:dyDescent="0.25">
      <c r="A2091" s="34" t="s">
        <v>10115</v>
      </c>
    </row>
    <row r="2092" spans="1:2" ht="13.2" x14ac:dyDescent="0.25">
      <c r="A2092" s="34" t="s">
        <v>10114</v>
      </c>
    </row>
    <row r="2093" spans="1:2" ht="13.2" x14ac:dyDescent="0.25">
      <c r="A2093" s="34" t="s">
        <v>10113</v>
      </c>
    </row>
    <row r="2094" spans="1:2" ht="13.2" x14ac:dyDescent="0.25">
      <c r="A2094" s="34" t="s">
        <v>10112</v>
      </c>
    </row>
    <row r="2095" spans="1:2" ht="13.2" x14ac:dyDescent="0.25">
      <c r="A2095" s="34" t="s">
        <v>10111</v>
      </c>
      <c r="B2095" s="35">
        <v>6.8047143706610198</v>
      </c>
    </row>
    <row r="2096" spans="1:2" ht="13.2" x14ac:dyDescent="0.25">
      <c r="A2096" s="34" t="s">
        <v>10110</v>
      </c>
      <c r="B2096" s="35">
        <v>3.2988925469345198</v>
      </c>
    </row>
    <row r="2097" spans="1:2" ht="13.2" x14ac:dyDescent="0.25">
      <c r="A2097" s="34" t="s">
        <v>10109</v>
      </c>
      <c r="B2097" s="35">
        <v>3.1727546113773299</v>
      </c>
    </row>
    <row r="2098" spans="1:2" ht="13.2" x14ac:dyDescent="0.25">
      <c r="A2098" s="34" t="s">
        <v>10108</v>
      </c>
    </row>
    <row r="2099" spans="1:2" ht="13.2" x14ac:dyDescent="0.25">
      <c r="A2099" s="34" t="s">
        <v>10107</v>
      </c>
    </row>
    <row r="2100" spans="1:2" ht="13.2" x14ac:dyDescent="0.25">
      <c r="A2100" s="34" t="s">
        <v>10106</v>
      </c>
      <c r="B2100" s="35">
        <v>3.1183291191531302</v>
      </c>
    </row>
    <row r="2101" spans="1:2" ht="13.2" x14ac:dyDescent="0.25">
      <c r="A2101" s="34" t="s">
        <v>10105</v>
      </c>
      <c r="B2101" s="35">
        <v>3.08746012304753</v>
      </c>
    </row>
    <row r="2102" spans="1:2" ht="13.2" x14ac:dyDescent="0.25">
      <c r="A2102" s="34" t="s">
        <v>10104</v>
      </c>
      <c r="B2102" s="35">
        <v>2.8315375877786502</v>
      </c>
    </row>
    <row r="2103" spans="1:2" ht="13.2" x14ac:dyDescent="0.25">
      <c r="A2103" s="34" t="s">
        <v>10103</v>
      </c>
      <c r="B2103" s="35">
        <v>2.9123330851059399</v>
      </c>
    </row>
    <row r="2104" spans="1:2" ht="13.2" x14ac:dyDescent="0.25">
      <c r="A2104" s="34" t="s">
        <v>10102</v>
      </c>
      <c r="B2104" s="35">
        <v>2.69103487282392</v>
      </c>
    </row>
    <row r="2105" spans="1:2" ht="13.2" x14ac:dyDescent="0.25">
      <c r="A2105" s="34" t="s">
        <v>10101</v>
      </c>
    </row>
    <row r="2106" spans="1:2" ht="13.2" x14ac:dyDescent="0.25">
      <c r="A2106" s="34" t="s">
        <v>10100</v>
      </c>
    </row>
    <row r="2107" spans="1:2" ht="13.2" x14ac:dyDescent="0.25">
      <c r="A2107" s="34" t="s">
        <v>10099</v>
      </c>
      <c r="B2107" s="35">
        <v>2.7425156800503698</v>
      </c>
    </row>
    <row r="2108" spans="1:2" ht="13.2" x14ac:dyDescent="0.25">
      <c r="A2108" s="34" t="s">
        <v>10098</v>
      </c>
      <c r="B2108" s="35">
        <v>2.6956106167596698</v>
      </c>
    </row>
    <row r="2109" spans="1:2" ht="13.2" x14ac:dyDescent="0.25">
      <c r="A2109" s="34" t="s">
        <v>10097</v>
      </c>
      <c r="B2109" s="35">
        <v>2.66928523625716</v>
      </c>
    </row>
    <row r="2110" spans="1:2" ht="13.2" x14ac:dyDescent="0.25">
      <c r="A2110" s="34" t="s">
        <v>10096</v>
      </c>
      <c r="B2110" s="35">
        <v>2.1178639700963799</v>
      </c>
    </row>
    <row r="2111" spans="1:2" ht="13.2" x14ac:dyDescent="0.25">
      <c r="A2111" s="34" t="s">
        <v>10095</v>
      </c>
      <c r="B2111" s="35">
        <v>2.0700941202591099</v>
      </c>
    </row>
    <row r="2112" spans="1:2" ht="13.2" x14ac:dyDescent="0.25">
      <c r="A2112" s="34" t="s">
        <v>10094</v>
      </c>
    </row>
    <row r="2113" spans="1:2" ht="13.2" x14ac:dyDescent="0.25">
      <c r="A2113" s="34" t="s">
        <v>10093</v>
      </c>
    </row>
    <row r="2114" spans="1:2" ht="13.2" x14ac:dyDescent="0.25">
      <c r="A2114" s="34" t="s">
        <v>10092</v>
      </c>
      <c r="B2114" s="35">
        <v>2.15182907196689</v>
      </c>
    </row>
    <row r="2115" spans="1:2" ht="13.2" x14ac:dyDescent="0.25">
      <c r="A2115" s="34" t="s">
        <v>10091</v>
      </c>
      <c r="B2115" s="35">
        <v>2.2941317489344502</v>
      </c>
    </row>
    <row r="2116" spans="1:2" ht="13.2" x14ac:dyDescent="0.25">
      <c r="A2116" s="34" t="s">
        <v>10090</v>
      </c>
      <c r="B2116" s="35">
        <v>2.2547691232544902</v>
      </c>
    </row>
    <row r="2117" spans="1:2" ht="13.2" x14ac:dyDescent="0.25">
      <c r="A2117" s="34" t="s">
        <v>10089</v>
      </c>
      <c r="B2117" s="35">
        <v>2.0996976520708501</v>
      </c>
    </row>
    <row r="2118" spans="1:2" ht="13.2" x14ac:dyDescent="0.25">
      <c r="A2118" s="34" t="s">
        <v>10088</v>
      </c>
      <c r="B2118" s="35">
        <v>2.0796350331832398</v>
      </c>
    </row>
    <row r="2119" spans="1:2" ht="13.2" x14ac:dyDescent="0.25">
      <c r="A2119" s="34" t="s">
        <v>10087</v>
      </c>
    </row>
    <row r="2120" spans="1:2" ht="13.2" x14ac:dyDescent="0.25">
      <c r="A2120" s="34" t="s">
        <v>10086</v>
      </c>
    </row>
    <row r="2121" spans="1:2" ht="13.2" x14ac:dyDescent="0.25">
      <c r="A2121" s="34" t="s">
        <v>10085</v>
      </c>
      <c r="B2121" s="35">
        <v>2.69384569576258</v>
      </c>
    </row>
    <row r="2122" spans="1:2" ht="13.2" x14ac:dyDescent="0.25">
      <c r="A2122" s="34" t="s">
        <v>10084</v>
      </c>
      <c r="B2122" s="35">
        <v>2.71021910789608</v>
      </c>
    </row>
    <row r="2123" spans="1:2" ht="13.2" x14ac:dyDescent="0.25">
      <c r="A2123" s="34" t="s">
        <v>10083</v>
      </c>
      <c r="B2123" s="35">
        <v>2.7058687454811201</v>
      </c>
    </row>
    <row r="2124" spans="1:2" ht="13.2" x14ac:dyDescent="0.25">
      <c r="A2124" s="34" t="s">
        <v>10082</v>
      </c>
      <c r="B2124" s="35">
        <v>2.7239357853437598</v>
      </c>
    </row>
    <row r="2125" spans="1:2" ht="13.2" x14ac:dyDescent="0.25">
      <c r="A2125" s="34" t="s">
        <v>10081</v>
      </c>
      <c r="B2125" s="35">
        <v>2.6990366310752498</v>
      </c>
    </row>
    <row r="2126" spans="1:2" ht="13.2" x14ac:dyDescent="0.25">
      <c r="A2126" s="34" t="s">
        <v>10080</v>
      </c>
    </row>
    <row r="2127" spans="1:2" ht="13.2" x14ac:dyDescent="0.25">
      <c r="A2127" s="34" t="s">
        <v>10079</v>
      </c>
    </row>
    <row r="2128" spans="1:2" ht="13.2" x14ac:dyDescent="0.25">
      <c r="A2128" s="34" t="s">
        <v>10078</v>
      </c>
      <c r="B2128" s="35">
        <v>2.81932033628543</v>
      </c>
    </row>
    <row r="2129" spans="1:2" ht="13.2" x14ac:dyDescent="0.25">
      <c r="A2129" s="34" t="s">
        <v>10077</v>
      </c>
      <c r="B2129" s="35">
        <v>2.8462998082873101</v>
      </c>
    </row>
    <row r="2130" spans="1:2" ht="13.2" x14ac:dyDescent="0.25">
      <c r="A2130" s="34" t="s">
        <v>10076</v>
      </c>
      <c r="B2130" s="35">
        <v>2.80802521251002</v>
      </c>
    </row>
    <row r="2131" spans="1:2" ht="13.2" x14ac:dyDescent="0.25">
      <c r="A2131" s="34" t="s">
        <v>10075</v>
      </c>
      <c r="B2131" s="35">
        <v>2.9366800732901601</v>
      </c>
    </row>
    <row r="2132" spans="1:2" ht="13.2" x14ac:dyDescent="0.25">
      <c r="A2132" s="34" t="s">
        <v>10074</v>
      </c>
      <c r="B2132" s="35">
        <v>2.8090963117920902</v>
      </c>
    </row>
    <row r="2133" spans="1:2" ht="13.2" x14ac:dyDescent="0.25">
      <c r="A2133" s="34" t="s">
        <v>10073</v>
      </c>
    </row>
    <row r="2134" spans="1:2" ht="13.2" x14ac:dyDescent="0.25">
      <c r="A2134" s="34" t="s">
        <v>10072</v>
      </c>
    </row>
    <row r="2135" spans="1:2" ht="13.2" x14ac:dyDescent="0.25">
      <c r="A2135" s="34" t="s">
        <v>10071</v>
      </c>
      <c r="B2135" s="35">
        <v>2.7921466280332701</v>
      </c>
    </row>
    <row r="2136" spans="1:2" ht="13.2" x14ac:dyDescent="0.25">
      <c r="A2136" s="34" t="s">
        <v>10070</v>
      </c>
      <c r="B2136" s="35">
        <v>2.7485538016414202</v>
      </c>
    </row>
    <row r="2137" spans="1:2" ht="13.2" x14ac:dyDescent="0.25">
      <c r="A2137" s="34" t="s">
        <v>10069</v>
      </c>
      <c r="B2137" s="35">
        <v>2.8394470233470299</v>
      </c>
    </row>
    <row r="2138" spans="1:2" ht="13.2" x14ac:dyDescent="0.25">
      <c r="A2138" s="34" t="s">
        <v>10068</v>
      </c>
    </row>
    <row r="2139" spans="1:2" ht="13.2" x14ac:dyDescent="0.25">
      <c r="A2139" s="34" t="s">
        <v>10067</v>
      </c>
    </row>
    <row r="2140" spans="1:2" ht="13.2" x14ac:dyDescent="0.25">
      <c r="A2140" s="34" t="s">
        <v>10066</v>
      </c>
    </row>
    <row r="2141" spans="1:2" ht="13.2" x14ac:dyDescent="0.25">
      <c r="A2141" s="34" t="s">
        <v>10065</v>
      </c>
    </row>
    <row r="2142" spans="1:2" ht="13.2" x14ac:dyDescent="0.25">
      <c r="A2142" s="34" t="s">
        <v>10064</v>
      </c>
      <c r="B2142" s="35">
        <v>2.8804704809925998</v>
      </c>
    </row>
    <row r="2143" spans="1:2" ht="13.2" x14ac:dyDescent="0.25">
      <c r="A2143" s="34" t="s">
        <v>10063</v>
      </c>
      <c r="B2143" s="35">
        <v>2.8029876327730898</v>
      </c>
    </row>
    <row r="2144" spans="1:2" ht="13.2" x14ac:dyDescent="0.25">
      <c r="A2144" s="34" t="s">
        <v>10062</v>
      </c>
      <c r="B2144" s="35">
        <v>2.85632613156544</v>
      </c>
    </row>
    <row r="2145" spans="1:2" ht="13.2" x14ac:dyDescent="0.25">
      <c r="A2145" s="34" t="s">
        <v>10061</v>
      </c>
      <c r="B2145" s="35">
        <v>2.8191471854675298</v>
      </c>
    </row>
    <row r="2146" spans="1:2" ht="13.2" x14ac:dyDescent="0.25">
      <c r="A2146" s="34" t="s">
        <v>10060</v>
      </c>
      <c r="B2146" s="35">
        <v>2.7275819636431402</v>
      </c>
    </row>
    <row r="2147" spans="1:2" ht="13.2" x14ac:dyDescent="0.25">
      <c r="A2147" s="34" t="s">
        <v>10059</v>
      </c>
    </row>
    <row r="2148" spans="1:2" ht="13.2" x14ac:dyDescent="0.25">
      <c r="A2148" s="34" t="s">
        <v>10058</v>
      </c>
    </row>
    <row r="2149" spans="1:2" ht="13.2" x14ac:dyDescent="0.25">
      <c r="A2149" s="34" t="s">
        <v>10057</v>
      </c>
      <c r="B2149" s="35">
        <v>2.6817854648534101</v>
      </c>
    </row>
    <row r="2150" spans="1:2" ht="13.2" x14ac:dyDescent="0.25">
      <c r="A2150" s="34" t="s">
        <v>10056</v>
      </c>
      <c r="B2150" s="35">
        <v>2.6864930135814098</v>
      </c>
    </row>
    <row r="2151" spans="1:2" ht="13.2" x14ac:dyDescent="0.25">
      <c r="A2151" s="34" t="s">
        <v>10055</v>
      </c>
      <c r="B2151" s="35">
        <v>2.6546370334251201</v>
      </c>
    </row>
    <row r="2152" spans="1:2" ht="13.2" x14ac:dyDescent="0.25">
      <c r="A2152" s="34" t="s">
        <v>10054</v>
      </c>
      <c r="B2152" s="35">
        <v>2.0106027585492399</v>
      </c>
    </row>
    <row r="2153" spans="1:2" ht="13.2" x14ac:dyDescent="0.25">
      <c r="A2153" s="34" t="s">
        <v>10053</v>
      </c>
      <c r="B2153" s="35">
        <v>1.98220207627907</v>
      </c>
    </row>
    <row r="2154" spans="1:2" ht="13.2" x14ac:dyDescent="0.25">
      <c r="A2154" s="34" t="s">
        <v>10052</v>
      </c>
    </row>
    <row r="2155" spans="1:2" ht="13.2" x14ac:dyDescent="0.25">
      <c r="A2155" s="34" t="s">
        <v>10051</v>
      </c>
    </row>
    <row r="2156" spans="1:2" ht="13.2" x14ac:dyDescent="0.25">
      <c r="A2156" s="34" t="s">
        <v>10050</v>
      </c>
      <c r="B2156" s="35">
        <v>2.0469708333041701</v>
      </c>
    </row>
    <row r="2157" spans="1:2" ht="13.2" x14ac:dyDescent="0.25">
      <c r="A2157" s="34" t="s">
        <v>10049</v>
      </c>
      <c r="B2157" s="35">
        <v>2.0341462473498102</v>
      </c>
    </row>
    <row r="2158" spans="1:2" ht="13.2" x14ac:dyDescent="0.25">
      <c r="A2158" s="34" t="s">
        <v>10048</v>
      </c>
    </row>
    <row r="2159" spans="1:2" ht="13.2" x14ac:dyDescent="0.25">
      <c r="A2159" s="34" t="s">
        <v>10047</v>
      </c>
      <c r="B2159" s="35">
        <v>2.0371924628742399</v>
      </c>
    </row>
    <row r="2160" spans="1:2" ht="13.2" x14ac:dyDescent="0.25">
      <c r="A2160" s="34" t="s">
        <v>10046</v>
      </c>
      <c r="B2160" s="35">
        <v>1.9242241316614299</v>
      </c>
    </row>
    <row r="2161" spans="1:2" ht="13.2" x14ac:dyDescent="0.25">
      <c r="A2161" s="34" t="s">
        <v>10045</v>
      </c>
    </row>
    <row r="2162" spans="1:2" ht="13.2" x14ac:dyDescent="0.25">
      <c r="A2162" s="34" t="s">
        <v>10044</v>
      </c>
    </row>
    <row r="2163" spans="1:2" ht="13.2" x14ac:dyDescent="0.25">
      <c r="A2163" s="34" t="s">
        <v>10043</v>
      </c>
      <c r="B2163" s="35">
        <v>1.97454805609054</v>
      </c>
    </row>
    <row r="2164" spans="1:2" ht="13.2" x14ac:dyDescent="0.25">
      <c r="A2164" s="34" t="s">
        <v>10042</v>
      </c>
      <c r="B2164" s="35">
        <v>1.9792658544308099</v>
      </c>
    </row>
    <row r="2165" spans="1:2" ht="13.2" x14ac:dyDescent="0.25">
      <c r="A2165" s="34" t="s">
        <v>10041</v>
      </c>
      <c r="B2165" s="35">
        <v>1.7506457479292401</v>
      </c>
    </row>
    <row r="2166" spans="1:2" ht="13.2" x14ac:dyDescent="0.25">
      <c r="A2166" s="34" t="s">
        <v>10040</v>
      </c>
      <c r="B2166" s="35">
        <v>1.74573584512201</v>
      </c>
    </row>
    <row r="2167" spans="1:2" ht="13.2" x14ac:dyDescent="0.25">
      <c r="A2167" s="34" t="s">
        <v>10039</v>
      </c>
      <c r="B2167" s="35">
        <v>1.8147778556577701</v>
      </c>
    </row>
    <row r="2168" spans="1:2" ht="13.2" x14ac:dyDescent="0.25">
      <c r="A2168" s="34" t="s">
        <v>10038</v>
      </c>
    </row>
    <row r="2169" spans="1:2" ht="13.2" x14ac:dyDescent="0.25">
      <c r="A2169" s="34" t="s">
        <v>10037</v>
      </c>
    </row>
    <row r="2170" spans="1:2" ht="13.2" x14ac:dyDescent="0.25">
      <c r="A2170" s="34" t="s">
        <v>10036</v>
      </c>
      <c r="B2170" s="35">
        <v>1.79713707017026</v>
      </c>
    </row>
    <row r="2171" spans="1:2" ht="13.2" x14ac:dyDescent="0.25">
      <c r="A2171" s="34" t="s">
        <v>10035</v>
      </c>
      <c r="B2171" s="35">
        <v>1.68531115409317</v>
      </c>
    </row>
    <row r="2172" spans="1:2" ht="13.2" x14ac:dyDescent="0.25">
      <c r="A2172" s="34" t="s">
        <v>10034</v>
      </c>
      <c r="B2172" s="35">
        <v>1.6627726401537899</v>
      </c>
    </row>
    <row r="2173" spans="1:2" ht="13.2" x14ac:dyDescent="0.25">
      <c r="A2173" s="34" t="s">
        <v>10033</v>
      </c>
      <c r="B2173" s="35">
        <v>1.7401566443245</v>
      </c>
    </row>
    <row r="2174" spans="1:2" ht="13.2" x14ac:dyDescent="0.25">
      <c r="A2174" s="34" t="s">
        <v>10032</v>
      </c>
      <c r="B2174" s="35">
        <v>1.67407538983037</v>
      </c>
    </row>
    <row r="2175" spans="1:2" ht="13.2" x14ac:dyDescent="0.25">
      <c r="A2175" s="34" t="s">
        <v>10031</v>
      </c>
    </row>
    <row r="2176" spans="1:2" ht="13.2" x14ac:dyDescent="0.25">
      <c r="A2176" s="34" t="s">
        <v>10030</v>
      </c>
    </row>
    <row r="2177" spans="1:2" ht="13.2" x14ac:dyDescent="0.25">
      <c r="A2177" s="34" t="s">
        <v>10029</v>
      </c>
      <c r="B2177" s="35">
        <v>1.6811623700553699</v>
      </c>
    </row>
    <row r="2178" spans="1:2" ht="13.2" x14ac:dyDescent="0.25">
      <c r="A2178" s="34" t="s">
        <v>10028</v>
      </c>
      <c r="B2178" s="35">
        <v>1.6642839975478001</v>
      </c>
    </row>
    <row r="2179" spans="1:2" ht="13.2" x14ac:dyDescent="0.25">
      <c r="A2179" s="34" t="s">
        <v>10027</v>
      </c>
      <c r="B2179" s="35">
        <v>1.6790094788304599</v>
      </c>
    </row>
    <row r="2180" spans="1:2" ht="13.2" x14ac:dyDescent="0.25">
      <c r="A2180" s="34" t="s">
        <v>10026</v>
      </c>
      <c r="B2180" s="35">
        <v>1.72058216617749</v>
      </c>
    </row>
    <row r="2181" spans="1:2" ht="13.2" x14ac:dyDescent="0.25">
      <c r="A2181" s="34" t="s">
        <v>10025</v>
      </c>
      <c r="B2181" s="35">
        <v>1.74566090538595</v>
      </c>
    </row>
    <row r="2182" spans="1:2" ht="13.2" x14ac:dyDescent="0.25">
      <c r="A2182" s="34" t="s">
        <v>10024</v>
      </c>
    </row>
    <row r="2183" spans="1:2" ht="13.2" x14ac:dyDescent="0.25">
      <c r="A2183" s="34" t="s">
        <v>10023</v>
      </c>
    </row>
    <row r="2184" spans="1:2" ht="13.2" x14ac:dyDescent="0.25">
      <c r="A2184" s="34" t="s">
        <v>10022</v>
      </c>
      <c r="B2184" s="35">
        <v>1.7844159152983099</v>
      </c>
    </row>
    <row r="2185" spans="1:2" ht="13.2" x14ac:dyDescent="0.25">
      <c r="A2185" s="34" t="s">
        <v>10021</v>
      </c>
      <c r="B2185" s="35">
        <v>1.7671814585119701</v>
      </c>
    </row>
    <row r="2186" spans="1:2" ht="13.2" x14ac:dyDescent="0.25">
      <c r="A2186" s="34" t="s">
        <v>10020</v>
      </c>
      <c r="B2186" s="35">
        <v>1.7201826178069</v>
      </c>
    </row>
    <row r="2187" spans="1:2" ht="13.2" x14ac:dyDescent="0.25">
      <c r="A2187" s="34" t="s">
        <v>10019</v>
      </c>
      <c r="B2187" s="35">
        <v>1.64886104907944</v>
      </c>
    </row>
    <row r="2188" spans="1:2" ht="13.2" x14ac:dyDescent="0.25">
      <c r="A2188" s="34" t="s">
        <v>10018</v>
      </c>
      <c r="B2188" s="35">
        <v>1.81083576507607</v>
      </c>
    </row>
    <row r="2189" spans="1:2" ht="13.2" x14ac:dyDescent="0.25">
      <c r="A2189" s="34" t="s">
        <v>10017</v>
      </c>
    </row>
    <row r="2190" spans="1:2" ht="13.2" x14ac:dyDescent="0.25">
      <c r="A2190" s="34" t="s">
        <v>10016</v>
      </c>
    </row>
    <row r="2191" spans="1:2" ht="13.2" x14ac:dyDescent="0.25">
      <c r="A2191" s="34" t="s">
        <v>10015</v>
      </c>
      <c r="B2191" s="35">
        <v>2.1437479404048898</v>
      </c>
    </row>
    <row r="2192" spans="1:2" ht="13.2" x14ac:dyDescent="0.25">
      <c r="A2192" s="34" t="s">
        <v>10014</v>
      </c>
      <c r="B2192" s="35">
        <v>2.37768550961894</v>
      </c>
    </row>
    <row r="2193" spans="1:2" ht="13.2" x14ac:dyDescent="0.25">
      <c r="A2193" s="34" t="s">
        <v>10013</v>
      </c>
      <c r="B2193" s="35">
        <v>2.7087734357263602</v>
      </c>
    </row>
    <row r="2194" spans="1:2" ht="13.2" x14ac:dyDescent="0.25">
      <c r="A2194" s="34" t="s">
        <v>10012</v>
      </c>
      <c r="B2194" s="35">
        <v>2.7385189366358502</v>
      </c>
    </row>
    <row r="2195" spans="1:2" ht="13.2" x14ac:dyDescent="0.25">
      <c r="A2195" s="34" t="s">
        <v>10011</v>
      </c>
      <c r="B2195" s="35">
        <v>2.7376781473165801</v>
      </c>
    </row>
    <row r="2196" spans="1:2" ht="13.2" x14ac:dyDescent="0.25">
      <c r="A2196" s="34" t="s">
        <v>10010</v>
      </c>
    </row>
    <row r="2197" spans="1:2" ht="13.2" x14ac:dyDescent="0.25">
      <c r="A2197" s="34" t="s">
        <v>10009</v>
      </c>
    </row>
    <row r="2198" spans="1:2" ht="13.2" x14ac:dyDescent="0.25">
      <c r="A2198" s="34" t="s">
        <v>10008</v>
      </c>
      <c r="B2198" s="35">
        <v>2.70391613540072</v>
      </c>
    </row>
    <row r="2199" spans="1:2" ht="13.2" x14ac:dyDescent="0.25">
      <c r="A2199" s="34" t="s">
        <v>10007</v>
      </c>
      <c r="B2199" s="35">
        <v>2.6969800283835599</v>
      </c>
    </row>
    <row r="2200" spans="1:2" ht="13.2" x14ac:dyDescent="0.25">
      <c r="A2200" s="34" t="s">
        <v>10006</v>
      </c>
      <c r="B2200" s="35">
        <v>2.6812019233549398</v>
      </c>
    </row>
    <row r="2201" spans="1:2" ht="13.2" x14ac:dyDescent="0.25">
      <c r="A2201" s="34" t="s">
        <v>10005</v>
      </c>
    </row>
    <row r="2202" spans="1:2" ht="13.2" x14ac:dyDescent="0.25">
      <c r="A2202" s="34" t="s">
        <v>10004</v>
      </c>
      <c r="B2202" s="35">
        <v>2.6533618457189601</v>
      </c>
    </row>
    <row r="2203" spans="1:2" ht="13.2" x14ac:dyDescent="0.25">
      <c r="A2203" s="34" t="s">
        <v>10003</v>
      </c>
    </row>
    <row r="2204" spans="1:2" ht="13.2" x14ac:dyDescent="0.25">
      <c r="A2204" s="34" t="s">
        <v>10002</v>
      </c>
    </row>
    <row r="2205" spans="1:2" ht="13.2" x14ac:dyDescent="0.25">
      <c r="A2205" s="34" t="s">
        <v>10001</v>
      </c>
      <c r="B2205" s="35">
        <v>2.5928943430794602</v>
      </c>
    </row>
    <row r="2206" spans="1:2" ht="13.2" x14ac:dyDescent="0.25">
      <c r="A2206" s="34" t="s">
        <v>10000</v>
      </c>
      <c r="B2206" s="35">
        <v>2.48832633366793</v>
      </c>
    </row>
    <row r="2207" spans="1:2" ht="13.2" x14ac:dyDescent="0.25">
      <c r="A2207" s="34" t="s">
        <v>9999</v>
      </c>
      <c r="B2207" s="35">
        <v>2.4530989828018201</v>
      </c>
    </row>
    <row r="2208" spans="1:2" ht="13.2" x14ac:dyDescent="0.25">
      <c r="A2208" s="34" t="s">
        <v>9998</v>
      </c>
      <c r="B2208" s="35">
        <v>2.50547304285762</v>
      </c>
    </row>
    <row r="2209" spans="1:2" ht="13.2" x14ac:dyDescent="0.25">
      <c r="A2209" s="34" t="s">
        <v>9997</v>
      </c>
      <c r="B2209" s="35">
        <v>2.5063392782406102</v>
      </c>
    </row>
    <row r="2210" spans="1:2" ht="13.2" x14ac:dyDescent="0.25">
      <c r="A2210" s="34" t="s">
        <v>9996</v>
      </c>
    </row>
    <row r="2211" spans="1:2" ht="13.2" x14ac:dyDescent="0.25">
      <c r="A2211" s="34" t="s">
        <v>9995</v>
      </c>
    </row>
    <row r="2212" spans="1:2" ht="13.2" x14ac:dyDescent="0.25">
      <c r="A2212" s="34" t="s">
        <v>9994</v>
      </c>
      <c r="B2212" s="35">
        <v>2.4145998482952602</v>
      </c>
    </row>
    <row r="2213" spans="1:2" ht="13.2" x14ac:dyDescent="0.25">
      <c r="A2213" s="34" t="s">
        <v>9993</v>
      </c>
      <c r="B2213" s="35">
        <v>2.4323895734104002</v>
      </c>
    </row>
    <row r="2214" spans="1:2" ht="13.2" x14ac:dyDescent="0.25">
      <c r="A2214" s="34" t="s">
        <v>9992</v>
      </c>
      <c r="B2214" s="35">
        <v>2.60866622812744</v>
      </c>
    </row>
    <row r="2215" spans="1:2" ht="13.2" x14ac:dyDescent="0.25">
      <c r="A2215" s="34" t="s">
        <v>9991</v>
      </c>
      <c r="B2215" s="35">
        <v>2.5952218523913202</v>
      </c>
    </row>
    <row r="2216" spans="1:2" ht="13.2" x14ac:dyDescent="0.25">
      <c r="A2216" s="34" t="s">
        <v>9990</v>
      </c>
      <c r="B2216" s="35">
        <v>2.6345145424574401</v>
      </c>
    </row>
    <row r="2217" spans="1:2" ht="13.2" x14ac:dyDescent="0.25">
      <c r="A2217" s="34" t="s">
        <v>9989</v>
      </c>
    </row>
    <row r="2218" spans="1:2" ht="13.2" x14ac:dyDescent="0.25">
      <c r="A2218" s="34" t="s">
        <v>9988</v>
      </c>
    </row>
    <row r="2219" spans="1:2" ht="13.2" x14ac:dyDescent="0.25">
      <c r="A2219" s="34" t="s">
        <v>9987</v>
      </c>
      <c r="B2219" s="35">
        <v>2.6464175947602602</v>
      </c>
    </row>
    <row r="2220" spans="1:2" ht="13.2" x14ac:dyDescent="0.25">
      <c r="A2220" s="34" t="s">
        <v>9986</v>
      </c>
      <c r="B2220" s="35">
        <v>2.5574771477328699</v>
      </c>
    </row>
    <row r="2221" spans="1:2" ht="13.2" x14ac:dyDescent="0.25">
      <c r="A2221" s="34" t="s">
        <v>9985</v>
      </c>
      <c r="B2221" s="35">
        <v>2.3108971882157001</v>
      </c>
    </row>
    <row r="2222" spans="1:2" ht="13.2" x14ac:dyDescent="0.25">
      <c r="A2222" s="34" t="s">
        <v>9984</v>
      </c>
      <c r="B2222" s="35">
        <v>2.1141128282517201</v>
      </c>
    </row>
    <row r="2223" spans="1:2" ht="13.2" x14ac:dyDescent="0.25">
      <c r="A2223" s="34" t="s">
        <v>9983</v>
      </c>
      <c r="B2223" s="35">
        <v>1.7448165652625101</v>
      </c>
    </row>
    <row r="2224" spans="1:2" ht="13.2" x14ac:dyDescent="0.25">
      <c r="A2224" s="34" t="s">
        <v>9982</v>
      </c>
    </row>
    <row r="2225" spans="1:2" ht="13.2" x14ac:dyDescent="0.25">
      <c r="A2225" s="34" t="s">
        <v>9981</v>
      </c>
    </row>
    <row r="2226" spans="1:2" ht="13.2" x14ac:dyDescent="0.25">
      <c r="A2226" s="34" t="s">
        <v>9980</v>
      </c>
      <c r="B2226" s="35">
        <v>1.62660821521593</v>
      </c>
    </row>
    <row r="2227" spans="1:2" ht="13.2" x14ac:dyDescent="0.25">
      <c r="A2227" s="34" t="s">
        <v>9979</v>
      </c>
      <c r="B2227" s="35">
        <v>1.63686133312354</v>
      </c>
    </row>
    <row r="2228" spans="1:2" ht="13.2" x14ac:dyDescent="0.25">
      <c r="A2228" s="34" t="s">
        <v>9978</v>
      </c>
      <c r="B2228" s="35">
        <v>1.67077686693365</v>
      </c>
    </row>
    <row r="2229" spans="1:2" ht="13.2" x14ac:dyDescent="0.25">
      <c r="A2229" s="34" t="s">
        <v>9977</v>
      </c>
      <c r="B2229" s="35">
        <v>1.6682972859121501</v>
      </c>
    </row>
    <row r="2230" spans="1:2" ht="13.2" x14ac:dyDescent="0.25">
      <c r="A2230" s="34" t="s">
        <v>9976</v>
      </c>
      <c r="B2230" s="35">
        <v>1.6676443188257599</v>
      </c>
    </row>
    <row r="2231" spans="1:2" ht="13.2" x14ac:dyDescent="0.25">
      <c r="A2231" s="34" t="s">
        <v>9975</v>
      </c>
    </row>
    <row r="2232" spans="1:2" ht="13.2" x14ac:dyDescent="0.25">
      <c r="A2232" s="34" t="s">
        <v>9974</v>
      </c>
    </row>
    <row r="2233" spans="1:2" ht="13.2" x14ac:dyDescent="0.25">
      <c r="A2233" s="34" t="s">
        <v>9973</v>
      </c>
      <c r="B2233" s="35">
        <v>1.62183097636397</v>
      </c>
    </row>
    <row r="2234" spans="1:2" ht="13.2" x14ac:dyDescent="0.25">
      <c r="A2234" s="34" t="s">
        <v>9972</v>
      </c>
      <c r="B2234" s="35">
        <v>1.6585153632374701</v>
      </c>
    </row>
    <row r="2235" spans="1:2" ht="13.2" x14ac:dyDescent="0.25">
      <c r="A2235" s="34" t="s">
        <v>9971</v>
      </c>
      <c r="B2235" s="35">
        <v>1.65761839567438</v>
      </c>
    </row>
    <row r="2236" spans="1:2" ht="13.2" x14ac:dyDescent="0.25">
      <c r="A2236" s="34" t="s">
        <v>9970</v>
      </c>
      <c r="B2236" s="35">
        <v>1.6996931550741401</v>
      </c>
    </row>
    <row r="2237" spans="1:2" ht="13.2" x14ac:dyDescent="0.25">
      <c r="A2237" s="34" t="s">
        <v>9969</v>
      </c>
    </row>
    <row r="2238" spans="1:2" ht="13.2" x14ac:dyDescent="0.25">
      <c r="A2238" s="34" t="s">
        <v>9968</v>
      </c>
    </row>
    <row r="2239" spans="1:2" ht="13.2" x14ac:dyDescent="0.25">
      <c r="A2239" s="34" t="s">
        <v>9967</v>
      </c>
    </row>
    <row r="2240" spans="1:2" ht="13.2" x14ac:dyDescent="0.25">
      <c r="A2240" s="34" t="s">
        <v>9966</v>
      </c>
      <c r="B2240" s="35">
        <v>1.7337682164818899</v>
      </c>
    </row>
    <row r="2241" spans="1:2" ht="13.2" x14ac:dyDescent="0.25">
      <c r="A2241" s="34" t="s">
        <v>9965</v>
      </c>
      <c r="B2241" s="35">
        <v>1.7342019582766499</v>
      </c>
    </row>
    <row r="2242" spans="1:2" ht="13.2" x14ac:dyDescent="0.25">
      <c r="A2242" s="34" t="s">
        <v>9964</v>
      </c>
      <c r="B2242" s="35">
        <v>1.7343753154975301</v>
      </c>
    </row>
    <row r="2243" spans="1:2" ht="13.2" x14ac:dyDescent="0.25">
      <c r="A2243" s="34" t="s">
        <v>9963</v>
      </c>
      <c r="B2243" s="35">
        <v>1.7252435656596401</v>
      </c>
    </row>
    <row r="2244" spans="1:2" ht="13.2" x14ac:dyDescent="0.25">
      <c r="A2244" s="34" t="s">
        <v>9962</v>
      </c>
      <c r="B2244" s="35">
        <v>1.47115064036932</v>
      </c>
    </row>
    <row r="2245" spans="1:2" ht="13.2" x14ac:dyDescent="0.25">
      <c r="A2245" s="34" t="s">
        <v>9961</v>
      </c>
    </row>
    <row r="2246" spans="1:2" ht="13.2" x14ac:dyDescent="0.25">
      <c r="A2246" s="34" t="s">
        <v>9960</v>
      </c>
    </row>
    <row r="2247" spans="1:2" ht="13.2" x14ac:dyDescent="0.25">
      <c r="A2247" s="34" t="s">
        <v>9959</v>
      </c>
      <c r="B2247" s="35">
        <v>1.4750157487911399</v>
      </c>
    </row>
    <row r="2248" spans="1:2" ht="13.2" x14ac:dyDescent="0.25">
      <c r="A2248" s="34" t="s">
        <v>9958</v>
      </c>
      <c r="B2248" s="35">
        <v>1.4201017538190199</v>
      </c>
    </row>
    <row r="2249" spans="1:2" ht="13.2" x14ac:dyDescent="0.25">
      <c r="A2249" s="34" t="s">
        <v>9957</v>
      </c>
      <c r="B2249" s="35">
        <v>1.3931011719381401</v>
      </c>
    </row>
    <row r="2250" spans="1:2" ht="13.2" x14ac:dyDescent="0.25">
      <c r="A2250" s="34" t="s">
        <v>9956</v>
      </c>
      <c r="B2250" s="35">
        <v>1.39442037686239</v>
      </c>
    </row>
    <row r="2251" spans="1:2" ht="13.2" x14ac:dyDescent="0.25">
      <c r="A2251" s="34" t="s">
        <v>9955</v>
      </c>
      <c r="B2251" s="35">
        <v>1.4343103410265401</v>
      </c>
    </row>
    <row r="2252" spans="1:2" ht="13.2" x14ac:dyDescent="0.25">
      <c r="A2252" s="34" t="s">
        <v>9954</v>
      </c>
    </row>
    <row r="2253" spans="1:2" ht="13.2" x14ac:dyDescent="0.25">
      <c r="A2253" s="34" t="s">
        <v>9953</v>
      </c>
    </row>
    <row r="2254" spans="1:2" ht="13.2" x14ac:dyDescent="0.25">
      <c r="A2254" s="34" t="s">
        <v>9952</v>
      </c>
      <c r="B2254" s="35">
        <v>1.41458448664153</v>
      </c>
    </row>
    <row r="2255" spans="1:2" ht="13.2" x14ac:dyDescent="0.25">
      <c r="A2255" s="34" t="s">
        <v>9951</v>
      </c>
      <c r="B2255" s="35">
        <v>1.3813692949541001</v>
      </c>
    </row>
    <row r="2256" spans="1:2" ht="13.2" x14ac:dyDescent="0.25">
      <c r="A2256" s="34" t="s">
        <v>9950</v>
      </c>
      <c r="B2256" s="35">
        <v>1.37497140223208</v>
      </c>
    </row>
    <row r="2257" spans="1:2" ht="13.2" x14ac:dyDescent="0.25">
      <c r="A2257" s="34" t="s">
        <v>9949</v>
      </c>
      <c r="B2257" s="35">
        <v>1.35670310337183</v>
      </c>
    </row>
    <row r="2258" spans="1:2" ht="13.2" x14ac:dyDescent="0.25">
      <c r="A2258" s="34" t="s">
        <v>9948</v>
      </c>
      <c r="B2258" s="35">
        <v>1.2390315614028899</v>
      </c>
    </row>
    <row r="2259" spans="1:2" ht="13.2" x14ac:dyDescent="0.25">
      <c r="A2259" s="34" t="s">
        <v>9947</v>
      </c>
    </row>
    <row r="2260" spans="1:2" ht="13.2" x14ac:dyDescent="0.25">
      <c r="A2260" s="34" t="s">
        <v>9946</v>
      </c>
    </row>
    <row r="2261" spans="1:2" ht="13.2" x14ac:dyDescent="0.25">
      <c r="A2261" s="34" t="s">
        <v>9945</v>
      </c>
      <c r="B2261" s="35">
        <v>1.26127624815828</v>
      </c>
    </row>
    <row r="2262" spans="1:2" ht="13.2" x14ac:dyDescent="0.25">
      <c r="A2262" s="34" t="s">
        <v>9944</v>
      </c>
      <c r="B2262" s="35">
        <v>1.22816606304243</v>
      </c>
    </row>
    <row r="2263" spans="1:2" ht="13.2" x14ac:dyDescent="0.25">
      <c r="A2263" s="34" t="s">
        <v>9943</v>
      </c>
      <c r="B2263" s="35">
        <v>1.17827940907517</v>
      </c>
    </row>
    <row r="2264" spans="1:2" ht="13.2" x14ac:dyDescent="0.25">
      <c r="A2264" s="34" t="s">
        <v>9942</v>
      </c>
      <c r="B2264" s="35">
        <v>1.1477920908402</v>
      </c>
    </row>
    <row r="2265" spans="1:2" ht="13.2" x14ac:dyDescent="0.25">
      <c r="A2265" s="34" t="s">
        <v>9941</v>
      </c>
      <c r="B2265" s="35">
        <v>1.12660614828624</v>
      </c>
    </row>
    <row r="2266" spans="1:2" ht="13.2" x14ac:dyDescent="0.25">
      <c r="A2266" s="34" t="s">
        <v>9940</v>
      </c>
    </row>
    <row r="2267" spans="1:2" ht="13.2" x14ac:dyDescent="0.25">
      <c r="A2267" s="34" t="s">
        <v>9939</v>
      </c>
    </row>
    <row r="2268" spans="1:2" ht="13.2" x14ac:dyDescent="0.25">
      <c r="A2268" s="34" t="s">
        <v>9938</v>
      </c>
      <c r="B2268" s="35">
        <v>1.0887411913234899</v>
      </c>
    </row>
    <row r="2269" spans="1:2" ht="13.2" x14ac:dyDescent="0.25">
      <c r="A2269" s="34" t="s">
        <v>9937</v>
      </c>
      <c r="B2269" s="35">
        <v>1.0480617213969301</v>
      </c>
    </row>
    <row r="2270" spans="1:2" ht="13.2" x14ac:dyDescent="0.25">
      <c r="A2270" s="34" t="s">
        <v>9936</v>
      </c>
      <c r="B2270" s="35">
        <v>1.3089757864793301</v>
      </c>
    </row>
    <row r="2271" spans="1:2" ht="13.2" x14ac:dyDescent="0.25">
      <c r="A2271" s="34" t="s">
        <v>9935</v>
      </c>
      <c r="B2271" s="35">
        <v>1.29381066462094</v>
      </c>
    </row>
    <row r="2272" spans="1:2" ht="13.2" x14ac:dyDescent="0.25">
      <c r="A2272" s="34" t="s">
        <v>9934</v>
      </c>
      <c r="B2272" s="35">
        <v>1.35266812659004</v>
      </c>
    </row>
    <row r="2273" spans="1:2" ht="13.2" x14ac:dyDescent="0.25">
      <c r="A2273" s="34" t="s">
        <v>9933</v>
      </c>
    </row>
    <row r="2274" spans="1:2" ht="13.2" x14ac:dyDescent="0.25">
      <c r="A2274" s="34" t="s">
        <v>9932</v>
      </c>
    </row>
    <row r="2275" spans="1:2" ht="13.2" x14ac:dyDescent="0.25">
      <c r="A2275" s="34" t="s">
        <v>9931</v>
      </c>
      <c r="B2275" s="35">
        <v>1.3362496053645101</v>
      </c>
    </row>
    <row r="2276" spans="1:2" ht="13.2" x14ac:dyDescent="0.25">
      <c r="A2276" s="34" t="s">
        <v>9930</v>
      </c>
      <c r="B2276" s="35">
        <v>1.34883312551518</v>
      </c>
    </row>
    <row r="2277" spans="1:2" ht="13.2" x14ac:dyDescent="0.25">
      <c r="A2277" s="34" t="s">
        <v>9929</v>
      </c>
      <c r="B2277" s="35">
        <v>1.38827313743577</v>
      </c>
    </row>
    <row r="2278" spans="1:2" ht="13.2" x14ac:dyDescent="0.25">
      <c r="A2278" s="34" t="s">
        <v>9928</v>
      </c>
      <c r="B2278" s="35">
        <v>1.4441789872334601</v>
      </c>
    </row>
    <row r="2279" spans="1:2" ht="13.2" x14ac:dyDescent="0.25">
      <c r="A2279" s="34" t="s">
        <v>9927</v>
      </c>
      <c r="B2279" s="35">
        <v>1.67973348495181</v>
      </c>
    </row>
    <row r="2280" spans="1:2" ht="13.2" x14ac:dyDescent="0.25">
      <c r="A2280" s="34" t="s">
        <v>9926</v>
      </c>
    </row>
    <row r="2281" spans="1:2" ht="13.2" x14ac:dyDescent="0.25">
      <c r="A2281" s="34" t="s">
        <v>9925</v>
      </c>
    </row>
    <row r="2282" spans="1:2" ht="13.2" x14ac:dyDescent="0.25">
      <c r="A2282" s="34" t="s">
        <v>9924</v>
      </c>
      <c r="B2282" s="35">
        <v>1.63929147027258</v>
      </c>
    </row>
    <row r="2283" spans="1:2" ht="13.2" x14ac:dyDescent="0.25">
      <c r="A2283" s="34" t="s">
        <v>9923</v>
      </c>
      <c r="B2283" s="35">
        <v>1.5690696431865101</v>
      </c>
    </row>
    <row r="2284" spans="1:2" ht="13.2" x14ac:dyDescent="0.25">
      <c r="A2284" s="34" t="s">
        <v>9922</v>
      </c>
      <c r="B2284" s="35">
        <v>1.72823455151577</v>
      </c>
    </row>
    <row r="2285" spans="1:2" ht="13.2" x14ac:dyDescent="0.25">
      <c r="A2285" s="34" t="s">
        <v>9921</v>
      </c>
      <c r="B2285" s="35">
        <v>1.75438768249609</v>
      </c>
    </row>
    <row r="2286" spans="1:2" ht="13.2" x14ac:dyDescent="0.25">
      <c r="A2286" s="34" t="s">
        <v>9920</v>
      </c>
      <c r="B2286" s="35">
        <v>1.7406106795231899</v>
      </c>
    </row>
    <row r="2287" spans="1:2" ht="13.2" x14ac:dyDescent="0.25">
      <c r="A2287" s="34" t="s">
        <v>9919</v>
      </c>
    </row>
    <row r="2288" spans="1:2" ht="13.2" x14ac:dyDescent="0.25">
      <c r="A2288" s="34" t="s">
        <v>9918</v>
      </c>
    </row>
    <row r="2289" spans="1:2" ht="13.2" x14ac:dyDescent="0.25">
      <c r="A2289" s="34" t="s">
        <v>9917</v>
      </c>
      <c r="B2289" s="35">
        <v>1.72001030286507</v>
      </c>
    </row>
    <row r="2290" spans="1:2" ht="13.2" x14ac:dyDescent="0.25">
      <c r="A2290" s="34" t="s">
        <v>9916</v>
      </c>
      <c r="B2290" s="35">
        <v>1.63999248697811</v>
      </c>
    </row>
    <row r="2291" spans="1:2" ht="13.2" x14ac:dyDescent="0.25">
      <c r="A2291" s="34" t="s">
        <v>9915</v>
      </c>
      <c r="B2291" s="35">
        <v>1.7635145990440899</v>
      </c>
    </row>
    <row r="2292" spans="1:2" ht="13.2" x14ac:dyDescent="0.25">
      <c r="A2292" s="34" t="s">
        <v>9914</v>
      </c>
      <c r="B2292" s="35">
        <v>1.74590081333838</v>
      </c>
    </row>
    <row r="2293" spans="1:2" ht="13.2" x14ac:dyDescent="0.25">
      <c r="A2293" s="34" t="s">
        <v>9913</v>
      </c>
      <c r="B2293" s="35">
        <v>1.7605335742942101</v>
      </c>
    </row>
    <row r="2294" spans="1:2" ht="13.2" x14ac:dyDescent="0.25">
      <c r="A2294" s="34" t="s">
        <v>9912</v>
      </c>
    </row>
    <row r="2295" spans="1:2" ht="13.2" x14ac:dyDescent="0.25">
      <c r="A2295" s="34" t="s">
        <v>9911</v>
      </c>
    </row>
    <row r="2296" spans="1:2" ht="13.2" x14ac:dyDescent="0.25">
      <c r="A2296" s="34" t="s">
        <v>9910</v>
      </c>
      <c r="B2296" s="35">
        <v>1.70206222964729</v>
      </c>
    </row>
    <row r="2297" spans="1:2" ht="13.2" x14ac:dyDescent="0.25">
      <c r="A2297" s="34" t="s">
        <v>9909</v>
      </c>
    </row>
    <row r="2298" spans="1:2" ht="13.2" x14ac:dyDescent="0.25">
      <c r="A2298" s="34" t="s">
        <v>9908</v>
      </c>
      <c r="B2298" s="35">
        <v>1.69969446558468</v>
      </c>
    </row>
    <row r="2299" spans="1:2" ht="13.2" x14ac:dyDescent="0.25">
      <c r="A2299" s="34" t="s">
        <v>9907</v>
      </c>
      <c r="B2299" s="35">
        <v>1.6773215499494001</v>
      </c>
    </row>
    <row r="2300" spans="1:2" ht="13.2" x14ac:dyDescent="0.25">
      <c r="A2300" s="34" t="s">
        <v>9906</v>
      </c>
      <c r="B2300" s="35">
        <v>1.58736363065097</v>
      </c>
    </row>
    <row r="2301" spans="1:2" ht="13.2" x14ac:dyDescent="0.25">
      <c r="A2301" s="34" t="s">
        <v>9905</v>
      </c>
    </row>
    <row r="2302" spans="1:2" ht="13.2" x14ac:dyDescent="0.25">
      <c r="A2302" s="34" t="s">
        <v>9904</v>
      </c>
    </row>
    <row r="2303" spans="1:2" ht="13.2" x14ac:dyDescent="0.25">
      <c r="A2303" s="34" t="s">
        <v>9903</v>
      </c>
      <c r="B2303" s="35">
        <v>1.5547729363392</v>
      </c>
    </row>
    <row r="2304" spans="1:2" ht="13.2" x14ac:dyDescent="0.25">
      <c r="A2304" s="34" t="s">
        <v>9902</v>
      </c>
      <c r="B2304" s="35">
        <v>1.5554596541802399</v>
      </c>
    </row>
    <row r="2305" spans="1:2" ht="13.2" x14ac:dyDescent="0.25">
      <c r="A2305" s="34" t="s">
        <v>9901</v>
      </c>
      <c r="B2305" s="35">
        <v>1.6153691521576401</v>
      </c>
    </row>
    <row r="2306" spans="1:2" ht="13.2" x14ac:dyDescent="0.25">
      <c r="A2306" s="34" t="s">
        <v>9900</v>
      </c>
      <c r="B2306" s="35">
        <v>1.5856501507294201</v>
      </c>
    </row>
    <row r="2307" spans="1:2" ht="13.2" x14ac:dyDescent="0.25">
      <c r="A2307" s="34" t="s">
        <v>9899</v>
      </c>
      <c r="B2307" s="35">
        <v>1.4547988120042199</v>
      </c>
    </row>
    <row r="2308" spans="1:2" ht="13.2" x14ac:dyDescent="0.25">
      <c r="A2308" s="34" t="s">
        <v>9898</v>
      </c>
    </row>
    <row r="2309" spans="1:2" ht="13.2" x14ac:dyDescent="0.25">
      <c r="A2309" s="34" t="s">
        <v>9897</v>
      </c>
    </row>
    <row r="2310" spans="1:2" ht="13.2" x14ac:dyDescent="0.25">
      <c r="A2310" s="34" t="s">
        <v>9896</v>
      </c>
      <c r="B2310" s="35">
        <v>1.50595564334756</v>
      </c>
    </row>
    <row r="2311" spans="1:2" ht="13.2" x14ac:dyDescent="0.25">
      <c r="A2311" s="34" t="s">
        <v>9895</v>
      </c>
      <c r="B2311" s="35">
        <v>1.45322585082083</v>
      </c>
    </row>
    <row r="2312" spans="1:2" ht="13.2" x14ac:dyDescent="0.25">
      <c r="A2312" s="34" t="s">
        <v>9894</v>
      </c>
      <c r="B2312" s="35">
        <v>1.4527460819815401</v>
      </c>
    </row>
    <row r="2313" spans="1:2" ht="13.2" x14ac:dyDescent="0.25">
      <c r="A2313" s="34" t="s">
        <v>9893</v>
      </c>
      <c r="B2313" s="35">
        <v>1.4980608790873999</v>
      </c>
    </row>
    <row r="2314" spans="1:2" ht="13.2" x14ac:dyDescent="0.25">
      <c r="A2314" s="34" t="s">
        <v>9892</v>
      </c>
      <c r="B2314" s="35">
        <v>1.3766176917361901</v>
      </c>
    </row>
    <row r="2315" spans="1:2" ht="13.2" x14ac:dyDescent="0.25">
      <c r="A2315" s="34" t="s">
        <v>9891</v>
      </c>
    </row>
    <row r="2316" spans="1:2" ht="13.2" x14ac:dyDescent="0.25">
      <c r="A2316" s="34" t="s">
        <v>9890</v>
      </c>
    </row>
    <row r="2317" spans="1:2" ht="13.2" x14ac:dyDescent="0.25">
      <c r="A2317" s="34" t="s">
        <v>9889</v>
      </c>
      <c r="B2317" s="35">
        <v>1.31357843995097</v>
      </c>
    </row>
    <row r="2318" spans="1:2" ht="13.2" x14ac:dyDescent="0.25">
      <c r="A2318" s="34" t="s">
        <v>9888</v>
      </c>
      <c r="B2318" s="35">
        <v>1.3448742769620801</v>
      </c>
    </row>
    <row r="2319" spans="1:2" ht="13.2" x14ac:dyDescent="0.25">
      <c r="A2319" s="34" t="s">
        <v>9887</v>
      </c>
      <c r="B2319" s="35">
        <v>1.3423390036542699</v>
      </c>
    </row>
    <row r="2320" spans="1:2" ht="13.2" x14ac:dyDescent="0.25">
      <c r="A2320" s="34" t="s">
        <v>9886</v>
      </c>
      <c r="B2320" s="35">
        <v>1.5239000235632401</v>
      </c>
    </row>
    <row r="2321" spans="1:2" ht="13.2" x14ac:dyDescent="0.25">
      <c r="A2321" s="34" t="s">
        <v>9885</v>
      </c>
      <c r="B2321" s="35">
        <v>1.4055499471486601</v>
      </c>
    </row>
    <row r="2322" spans="1:2" ht="13.2" x14ac:dyDescent="0.25">
      <c r="A2322" s="34" t="s">
        <v>9884</v>
      </c>
    </row>
    <row r="2323" spans="1:2" ht="13.2" x14ac:dyDescent="0.25">
      <c r="A2323" s="34" t="s">
        <v>9883</v>
      </c>
    </row>
    <row r="2324" spans="1:2" ht="13.2" x14ac:dyDescent="0.25">
      <c r="A2324" s="34" t="s">
        <v>9882</v>
      </c>
      <c r="B2324" s="35">
        <v>1.4051391624933101</v>
      </c>
    </row>
    <row r="2325" spans="1:2" ht="13.2" x14ac:dyDescent="0.25">
      <c r="A2325" s="34" t="s">
        <v>9881</v>
      </c>
      <c r="B2325" s="35">
        <v>1.39063159137119</v>
      </c>
    </row>
    <row r="2326" spans="1:2" ht="13.2" x14ac:dyDescent="0.25">
      <c r="A2326" s="34" t="s">
        <v>9880</v>
      </c>
      <c r="B2326" s="35">
        <v>1.6282451014622901</v>
      </c>
    </row>
    <row r="2327" spans="1:2" ht="13.2" x14ac:dyDescent="0.25">
      <c r="A2327" s="34" t="s">
        <v>9879</v>
      </c>
      <c r="B2327" s="35">
        <v>1.61497722934001</v>
      </c>
    </row>
    <row r="2328" spans="1:2" ht="13.2" x14ac:dyDescent="0.25">
      <c r="A2328" s="34" t="s">
        <v>9878</v>
      </c>
      <c r="B2328" s="35">
        <v>1.5839713509251101</v>
      </c>
    </row>
    <row r="2329" spans="1:2" ht="13.2" x14ac:dyDescent="0.25">
      <c r="A2329" s="34" t="s">
        <v>9877</v>
      </c>
    </row>
    <row r="2330" spans="1:2" ht="13.2" x14ac:dyDescent="0.25">
      <c r="A2330" s="34" t="s">
        <v>9876</v>
      </c>
    </row>
    <row r="2331" spans="1:2" ht="13.2" x14ac:dyDescent="0.25">
      <c r="A2331" s="34" t="s">
        <v>9875</v>
      </c>
      <c r="B2331" s="35">
        <v>1.5790287535526</v>
      </c>
    </row>
    <row r="2332" spans="1:2" ht="13.2" x14ac:dyDescent="0.25">
      <c r="A2332" s="34" t="s">
        <v>9874</v>
      </c>
    </row>
    <row r="2333" spans="1:2" ht="13.2" x14ac:dyDescent="0.25">
      <c r="A2333" s="34" t="s">
        <v>9873</v>
      </c>
      <c r="B2333" s="35">
        <v>1.6012556928463599</v>
      </c>
    </row>
    <row r="2334" spans="1:2" ht="13.2" x14ac:dyDescent="0.25">
      <c r="A2334" s="34" t="s">
        <v>9872</v>
      </c>
      <c r="B2334" s="35">
        <v>1.60297977293514</v>
      </c>
    </row>
    <row r="2335" spans="1:2" ht="13.2" x14ac:dyDescent="0.25">
      <c r="A2335" s="34" t="s">
        <v>9871</v>
      </c>
      <c r="B2335" s="35">
        <v>1.59850566606897</v>
      </c>
    </row>
    <row r="2336" spans="1:2" ht="13.2" x14ac:dyDescent="0.25">
      <c r="A2336" s="34" t="s">
        <v>9870</v>
      </c>
    </row>
    <row r="2337" spans="1:2" ht="13.2" x14ac:dyDescent="0.25">
      <c r="A2337" s="34" t="s">
        <v>9869</v>
      </c>
    </row>
    <row r="2338" spans="1:2" ht="13.2" x14ac:dyDescent="0.25">
      <c r="A2338" s="34" t="s">
        <v>9868</v>
      </c>
      <c r="B2338" s="35">
        <v>1.59882110106335</v>
      </c>
    </row>
    <row r="2339" spans="1:2" ht="13.2" x14ac:dyDescent="0.25">
      <c r="A2339" s="34" t="s">
        <v>9867</v>
      </c>
      <c r="B2339" s="35">
        <v>1.56767312768472</v>
      </c>
    </row>
    <row r="2340" spans="1:2" ht="13.2" x14ac:dyDescent="0.25">
      <c r="A2340" s="34" t="s">
        <v>9866</v>
      </c>
      <c r="B2340" s="35">
        <v>1.49575061659429</v>
      </c>
    </row>
    <row r="2341" spans="1:2" ht="13.2" x14ac:dyDescent="0.25">
      <c r="A2341" s="34" t="s">
        <v>9865</v>
      </c>
      <c r="B2341" s="35">
        <v>1.4760970084549301</v>
      </c>
    </row>
    <row r="2342" spans="1:2" ht="13.2" x14ac:dyDescent="0.25">
      <c r="A2342" s="34" t="s">
        <v>9864</v>
      </c>
      <c r="B2342" s="35">
        <v>1.52500486567772</v>
      </c>
    </row>
    <row r="2343" spans="1:2" ht="13.2" x14ac:dyDescent="0.25">
      <c r="A2343" s="34" t="s">
        <v>9863</v>
      </c>
    </row>
    <row r="2344" spans="1:2" ht="13.2" x14ac:dyDescent="0.25">
      <c r="A2344" s="34" t="s">
        <v>9862</v>
      </c>
    </row>
    <row r="2345" spans="1:2" ht="13.2" x14ac:dyDescent="0.25">
      <c r="A2345" s="34" t="s">
        <v>9861</v>
      </c>
      <c r="B2345" s="35">
        <v>1.50416476791266</v>
      </c>
    </row>
    <row r="2346" spans="1:2" ht="13.2" x14ac:dyDescent="0.25">
      <c r="A2346" s="34" t="s">
        <v>9860</v>
      </c>
      <c r="B2346" s="35">
        <v>1.4834087289681199</v>
      </c>
    </row>
    <row r="2347" spans="1:2" ht="13.2" x14ac:dyDescent="0.25">
      <c r="A2347" s="34" t="s">
        <v>9859</v>
      </c>
      <c r="B2347" s="35">
        <v>1.4882731028121099</v>
      </c>
    </row>
    <row r="2348" spans="1:2" ht="13.2" x14ac:dyDescent="0.25">
      <c r="A2348" s="34" t="s">
        <v>9858</v>
      </c>
      <c r="B2348" s="35">
        <v>1.50702623012357</v>
      </c>
    </row>
    <row r="2349" spans="1:2" ht="13.2" x14ac:dyDescent="0.25">
      <c r="A2349" s="34" t="s">
        <v>9857</v>
      </c>
      <c r="B2349" s="35">
        <v>1.5066947796522501</v>
      </c>
    </row>
    <row r="2350" spans="1:2" ht="13.2" x14ac:dyDescent="0.25">
      <c r="A2350" s="34" t="s">
        <v>9856</v>
      </c>
    </row>
    <row r="2351" spans="1:2" ht="13.2" x14ac:dyDescent="0.25">
      <c r="A2351" s="34" t="s">
        <v>9855</v>
      </c>
    </row>
    <row r="2352" spans="1:2" ht="13.2" x14ac:dyDescent="0.25">
      <c r="A2352" s="34" t="s">
        <v>9854</v>
      </c>
      <c r="B2352" s="35">
        <v>1.3397452869125701</v>
      </c>
    </row>
    <row r="2353" spans="1:2" ht="13.2" x14ac:dyDescent="0.25">
      <c r="A2353" s="34" t="s">
        <v>9853</v>
      </c>
    </row>
    <row r="2354" spans="1:2" ht="13.2" x14ac:dyDescent="0.25">
      <c r="A2354" s="34" t="s">
        <v>9852</v>
      </c>
      <c r="B2354" s="35">
        <v>1.6192058584729101</v>
      </c>
    </row>
    <row r="2355" spans="1:2" ht="13.2" x14ac:dyDescent="0.25">
      <c r="A2355" s="34" t="s">
        <v>9851</v>
      </c>
      <c r="B2355" s="35">
        <v>1.6178733483445999</v>
      </c>
    </row>
    <row r="2356" spans="1:2" ht="13.2" x14ac:dyDescent="0.25">
      <c r="A2356" s="34" t="s">
        <v>9850</v>
      </c>
      <c r="B2356" s="35">
        <v>1.6172355718614</v>
      </c>
    </row>
    <row r="2357" spans="1:2" ht="13.2" x14ac:dyDescent="0.25">
      <c r="A2357" s="34" t="s">
        <v>9849</v>
      </c>
    </row>
    <row r="2358" spans="1:2" ht="13.2" x14ac:dyDescent="0.25">
      <c r="A2358" s="34" t="s">
        <v>9848</v>
      </c>
    </row>
    <row r="2359" spans="1:2" ht="13.2" x14ac:dyDescent="0.25">
      <c r="A2359" s="34" t="s">
        <v>9847</v>
      </c>
      <c r="B2359" s="35">
        <v>1.48680226401144</v>
      </c>
    </row>
    <row r="2360" spans="1:2" ht="13.2" x14ac:dyDescent="0.25">
      <c r="A2360" s="34" t="s">
        <v>9846</v>
      </c>
      <c r="B2360" s="35">
        <v>1.5047098407306501</v>
      </c>
    </row>
    <row r="2361" spans="1:2" ht="13.2" x14ac:dyDescent="0.25">
      <c r="A2361" s="34" t="s">
        <v>9845</v>
      </c>
      <c r="B2361" s="35">
        <v>1.5206352058629</v>
      </c>
    </row>
    <row r="2362" spans="1:2" ht="13.2" x14ac:dyDescent="0.25">
      <c r="A2362" s="34" t="s">
        <v>9844</v>
      </c>
      <c r="B2362" s="35">
        <v>1.51664841772735</v>
      </c>
    </row>
    <row r="2363" spans="1:2" ht="13.2" x14ac:dyDescent="0.25">
      <c r="A2363" s="34" t="s">
        <v>9843</v>
      </c>
      <c r="B2363" s="35">
        <v>1.4568040278115999</v>
      </c>
    </row>
    <row r="2364" spans="1:2" ht="13.2" x14ac:dyDescent="0.25">
      <c r="A2364" s="34" t="s">
        <v>9842</v>
      </c>
    </row>
    <row r="2365" spans="1:2" ht="13.2" x14ac:dyDescent="0.25">
      <c r="A2365" s="34" t="s">
        <v>9841</v>
      </c>
    </row>
    <row r="2366" spans="1:2" ht="13.2" x14ac:dyDescent="0.25">
      <c r="A2366" s="34" t="s">
        <v>9840</v>
      </c>
    </row>
    <row r="2367" spans="1:2" ht="13.2" x14ac:dyDescent="0.25">
      <c r="A2367" s="34" t="s">
        <v>9839</v>
      </c>
      <c r="B2367" s="35">
        <v>1.4598888405735899</v>
      </c>
    </row>
    <row r="2368" spans="1:2" ht="13.2" x14ac:dyDescent="0.25">
      <c r="A2368" s="34" t="s">
        <v>9838</v>
      </c>
      <c r="B2368" s="35">
        <v>1.53172377839969</v>
      </c>
    </row>
    <row r="2369" spans="1:2" ht="13.2" x14ac:dyDescent="0.25">
      <c r="A2369" s="34" t="s">
        <v>9837</v>
      </c>
      <c r="B2369" s="35">
        <v>1.4771635502852301</v>
      </c>
    </row>
    <row r="2370" spans="1:2" ht="13.2" x14ac:dyDescent="0.25">
      <c r="A2370" s="34" t="s">
        <v>9836</v>
      </c>
      <c r="B2370" s="35">
        <v>1.53973478422552</v>
      </c>
    </row>
    <row r="2371" spans="1:2" ht="13.2" x14ac:dyDescent="0.25">
      <c r="A2371" s="34" t="s">
        <v>9835</v>
      </c>
    </row>
    <row r="2372" spans="1:2" ht="13.2" x14ac:dyDescent="0.25">
      <c r="A2372" s="34" t="s">
        <v>9834</v>
      </c>
    </row>
    <row r="2373" spans="1:2" ht="13.2" x14ac:dyDescent="0.25">
      <c r="A2373" s="34" t="s">
        <v>9833</v>
      </c>
      <c r="B2373" s="35">
        <v>1.5505060585194399</v>
      </c>
    </row>
    <row r="2374" spans="1:2" ht="13.2" x14ac:dyDescent="0.25">
      <c r="A2374" s="34" t="s">
        <v>9832</v>
      </c>
      <c r="B2374" s="35">
        <v>1.5328160349128901</v>
      </c>
    </row>
    <row r="2375" spans="1:2" ht="13.2" x14ac:dyDescent="0.25">
      <c r="A2375" s="34" t="s">
        <v>9831</v>
      </c>
      <c r="B2375" s="35">
        <v>1.58668655383181</v>
      </c>
    </row>
    <row r="2376" spans="1:2" ht="13.2" x14ac:dyDescent="0.25">
      <c r="A2376" s="34" t="s">
        <v>9830</v>
      </c>
      <c r="B2376" s="35">
        <v>1.5582158405395701</v>
      </c>
    </row>
    <row r="2377" spans="1:2" ht="13.2" x14ac:dyDescent="0.25">
      <c r="A2377" s="34" t="s">
        <v>9829</v>
      </c>
      <c r="B2377" s="35">
        <v>1.6033704917128999</v>
      </c>
    </row>
    <row r="2378" spans="1:2" ht="13.2" x14ac:dyDescent="0.25">
      <c r="A2378" s="34" t="s">
        <v>9828</v>
      </c>
    </row>
    <row r="2379" spans="1:2" ht="13.2" x14ac:dyDescent="0.25">
      <c r="A2379" s="34" t="s">
        <v>9827</v>
      </c>
    </row>
    <row r="2380" spans="1:2" ht="13.2" x14ac:dyDescent="0.25">
      <c r="A2380" s="34" t="s">
        <v>9826</v>
      </c>
      <c r="B2380" s="35">
        <v>1.62115397813518</v>
      </c>
    </row>
    <row r="2381" spans="1:2" ht="13.2" x14ac:dyDescent="0.25">
      <c r="A2381" s="34" t="s">
        <v>9825</v>
      </c>
      <c r="B2381" s="35">
        <v>1.64412635779341</v>
      </c>
    </row>
    <row r="2382" spans="1:2" ht="13.2" x14ac:dyDescent="0.25">
      <c r="A2382" s="34" t="s">
        <v>9824</v>
      </c>
      <c r="B2382" s="35">
        <v>1.63466162534661</v>
      </c>
    </row>
    <row r="2383" spans="1:2" ht="13.2" x14ac:dyDescent="0.25">
      <c r="A2383" s="34" t="s">
        <v>9823</v>
      </c>
      <c r="B2383" s="35">
        <v>1.6698380528152801</v>
      </c>
    </row>
    <row r="2384" spans="1:2" ht="13.2" x14ac:dyDescent="0.25">
      <c r="A2384" s="34" t="s">
        <v>9822</v>
      </c>
      <c r="B2384" s="35">
        <v>1.41160715221586</v>
      </c>
    </row>
    <row r="2385" spans="1:2" ht="13.2" x14ac:dyDescent="0.25">
      <c r="A2385" s="34" t="s">
        <v>9821</v>
      </c>
    </row>
    <row r="2386" spans="1:2" ht="13.2" x14ac:dyDescent="0.25">
      <c r="A2386" s="34" t="s">
        <v>9820</v>
      </c>
    </row>
    <row r="2387" spans="1:2" ht="13.2" x14ac:dyDescent="0.25">
      <c r="A2387" s="34" t="s">
        <v>9819</v>
      </c>
      <c r="B2387" s="35">
        <v>1.43448537387149</v>
      </c>
    </row>
    <row r="2388" spans="1:2" ht="13.2" x14ac:dyDescent="0.25">
      <c r="A2388" s="34" t="s">
        <v>9818</v>
      </c>
      <c r="B2388" s="35">
        <v>1.39081824349315</v>
      </c>
    </row>
    <row r="2389" spans="1:2" ht="13.2" x14ac:dyDescent="0.25">
      <c r="A2389" s="34" t="s">
        <v>9817</v>
      </c>
      <c r="B2389" s="35">
        <v>1.35695955469298</v>
      </c>
    </row>
    <row r="2390" spans="1:2" ht="13.2" x14ac:dyDescent="0.25">
      <c r="A2390" s="34" t="s">
        <v>9816</v>
      </c>
      <c r="B2390" s="35">
        <v>1.33956400564828</v>
      </c>
    </row>
    <row r="2391" spans="1:2" ht="13.2" x14ac:dyDescent="0.25">
      <c r="A2391" s="34" t="s">
        <v>9815</v>
      </c>
      <c r="B2391" s="35">
        <v>1.32750495417384</v>
      </c>
    </row>
    <row r="2392" spans="1:2" ht="13.2" x14ac:dyDescent="0.25">
      <c r="A2392" s="34" t="s">
        <v>9814</v>
      </c>
    </row>
    <row r="2393" spans="1:2" ht="13.2" x14ac:dyDescent="0.25">
      <c r="A2393" s="34" t="s">
        <v>9813</v>
      </c>
    </row>
    <row r="2394" spans="1:2" ht="13.2" x14ac:dyDescent="0.25">
      <c r="A2394" s="34" t="s">
        <v>9812</v>
      </c>
      <c r="B2394" s="35">
        <v>1.3299398943396901</v>
      </c>
    </row>
    <row r="2395" spans="1:2" ht="13.2" x14ac:dyDescent="0.25">
      <c r="A2395" s="34" t="s">
        <v>9811</v>
      </c>
      <c r="B2395" s="35">
        <v>1.3595174140089901</v>
      </c>
    </row>
    <row r="2396" spans="1:2" ht="13.2" x14ac:dyDescent="0.25">
      <c r="A2396" s="34" t="s">
        <v>9810</v>
      </c>
      <c r="B2396" s="35">
        <v>1.4847238875865201</v>
      </c>
    </row>
    <row r="2397" spans="1:2" ht="13.2" x14ac:dyDescent="0.25">
      <c r="A2397" s="34" t="s">
        <v>9809</v>
      </c>
      <c r="B2397" s="35">
        <v>1.3418655174963201</v>
      </c>
    </row>
    <row r="2398" spans="1:2" ht="13.2" x14ac:dyDescent="0.25">
      <c r="A2398" s="34" t="s">
        <v>9808</v>
      </c>
      <c r="B2398" s="35">
        <v>1.3351822001170699</v>
      </c>
    </row>
    <row r="2399" spans="1:2" ht="13.2" x14ac:dyDescent="0.25">
      <c r="A2399" s="34" t="s">
        <v>9807</v>
      </c>
    </row>
    <row r="2400" spans="1:2" ht="13.2" x14ac:dyDescent="0.25">
      <c r="A2400" s="34" t="s">
        <v>9806</v>
      </c>
    </row>
    <row r="2401" spans="1:2" ht="13.2" x14ac:dyDescent="0.25">
      <c r="A2401" s="34" t="s">
        <v>9805</v>
      </c>
      <c r="B2401" s="35">
        <v>1.2848587944987799</v>
      </c>
    </row>
    <row r="2402" spans="1:2" ht="13.2" x14ac:dyDescent="0.25">
      <c r="A2402" s="34" t="s">
        <v>9804</v>
      </c>
      <c r="B2402" s="35">
        <v>1.38984975495693</v>
      </c>
    </row>
    <row r="2403" spans="1:2" ht="13.2" x14ac:dyDescent="0.25">
      <c r="A2403" s="34" t="s">
        <v>9803</v>
      </c>
      <c r="B2403" s="35">
        <v>1.42007283987471</v>
      </c>
    </row>
    <row r="2404" spans="1:2" ht="13.2" x14ac:dyDescent="0.25">
      <c r="A2404" s="34" t="s">
        <v>9802</v>
      </c>
      <c r="B2404" s="35">
        <v>1.34807174591083</v>
      </c>
    </row>
    <row r="2405" spans="1:2" ht="13.2" x14ac:dyDescent="0.25">
      <c r="A2405" s="34" t="s">
        <v>9801</v>
      </c>
    </row>
    <row r="2406" spans="1:2" ht="13.2" x14ac:dyDescent="0.25">
      <c r="A2406" s="34" t="s">
        <v>9800</v>
      </c>
    </row>
    <row r="2407" spans="1:2" ht="13.2" x14ac:dyDescent="0.25">
      <c r="A2407" s="34" t="s">
        <v>9799</v>
      </c>
    </row>
    <row r="2408" spans="1:2" ht="13.2" x14ac:dyDescent="0.25">
      <c r="A2408" s="34" t="s">
        <v>9798</v>
      </c>
      <c r="B2408" s="35">
        <v>1.35087045841331</v>
      </c>
    </row>
    <row r="2409" spans="1:2" ht="13.2" x14ac:dyDescent="0.25">
      <c r="A2409" s="34" t="s">
        <v>9797</v>
      </c>
      <c r="B2409" s="35">
        <v>1.33231653355117</v>
      </c>
    </row>
    <row r="2410" spans="1:2" ht="13.2" x14ac:dyDescent="0.25">
      <c r="A2410" s="34" t="s">
        <v>9796</v>
      </c>
      <c r="B2410" s="35">
        <v>1.3546203387229601</v>
      </c>
    </row>
    <row r="2411" spans="1:2" ht="13.2" x14ac:dyDescent="0.25">
      <c r="A2411" s="34" t="s">
        <v>9795</v>
      </c>
      <c r="B2411" s="35">
        <v>1.3272939622759801</v>
      </c>
    </row>
    <row r="2412" spans="1:2" ht="13.2" x14ac:dyDescent="0.25">
      <c r="A2412" s="34" t="s">
        <v>9794</v>
      </c>
    </row>
    <row r="2413" spans="1:2" ht="13.2" x14ac:dyDescent="0.25">
      <c r="A2413" s="34" t="s">
        <v>9793</v>
      </c>
    </row>
    <row r="2414" spans="1:2" ht="13.2" x14ac:dyDescent="0.25">
      <c r="A2414" s="34" t="s">
        <v>9792</v>
      </c>
    </row>
    <row r="2415" spans="1:2" ht="13.2" x14ac:dyDescent="0.25">
      <c r="A2415" s="34" t="s">
        <v>9791</v>
      </c>
      <c r="B2415" s="35">
        <v>1.3947259999336099</v>
      </c>
    </row>
    <row r="2416" spans="1:2" ht="13.2" x14ac:dyDescent="0.25">
      <c r="A2416" s="34" t="s">
        <v>9790</v>
      </c>
      <c r="B2416" s="35">
        <v>2.11720840009801</v>
      </c>
    </row>
    <row r="2417" spans="1:2" ht="13.2" x14ac:dyDescent="0.25">
      <c r="A2417" s="34" t="s">
        <v>9789</v>
      </c>
      <c r="B2417" s="35">
        <v>2.1519757907025201</v>
      </c>
    </row>
    <row r="2418" spans="1:2" ht="13.2" x14ac:dyDescent="0.25">
      <c r="A2418" s="34" t="s">
        <v>9788</v>
      </c>
      <c r="B2418" s="35">
        <v>2.1632585861104001</v>
      </c>
    </row>
    <row r="2419" spans="1:2" ht="13.2" x14ac:dyDescent="0.25">
      <c r="A2419" s="34" t="s">
        <v>9787</v>
      </c>
      <c r="B2419" s="35">
        <v>2.1589651187910599</v>
      </c>
    </row>
    <row r="2420" spans="1:2" ht="13.2" x14ac:dyDescent="0.25">
      <c r="A2420" s="34" t="s">
        <v>9786</v>
      </c>
    </row>
    <row r="2421" spans="1:2" ht="13.2" x14ac:dyDescent="0.25">
      <c r="A2421" s="34" t="s">
        <v>9785</v>
      </c>
    </row>
    <row r="2422" spans="1:2" ht="13.2" x14ac:dyDescent="0.25">
      <c r="A2422" s="34" t="s">
        <v>9784</v>
      </c>
      <c r="B2422" s="35">
        <v>2.3017331083072001</v>
      </c>
    </row>
    <row r="2423" spans="1:2" ht="13.2" x14ac:dyDescent="0.25">
      <c r="A2423" s="34" t="s">
        <v>9783</v>
      </c>
      <c r="B2423" s="35">
        <v>2.41966490858607</v>
      </c>
    </row>
    <row r="2424" spans="1:2" ht="13.2" x14ac:dyDescent="0.25">
      <c r="A2424" s="34" t="s">
        <v>9782</v>
      </c>
      <c r="B2424" s="35">
        <v>2.4144254886708199</v>
      </c>
    </row>
    <row r="2425" spans="1:2" ht="13.2" x14ac:dyDescent="0.25">
      <c r="A2425" s="34" t="s">
        <v>9781</v>
      </c>
      <c r="B2425" s="35">
        <v>2.52712641228575</v>
      </c>
    </row>
    <row r="2426" spans="1:2" ht="13.2" x14ac:dyDescent="0.25">
      <c r="A2426" s="34" t="s">
        <v>9780</v>
      </c>
      <c r="B2426" s="35">
        <v>2.5045156521591001</v>
      </c>
    </row>
    <row r="2427" spans="1:2" ht="13.2" x14ac:dyDescent="0.25">
      <c r="A2427" s="34" t="s">
        <v>9779</v>
      </c>
    </row>
    <row r="2428" spans="1:2" ht="13.2" x14ac:dyDescent="0.25">
      <c r="A2428" s="34" t="s">
        <v>9778</v>
      </c>
    </row>
    <row r="2429" spans="1:2" ht="13.2" x14ac:dyDescent="0.25">
      <c r="A2429" s="34" t="s">
        <v>9777</v>
      </c>
      <c r="B2429" s="35">
        <v>2.4141191221351499</v>
      </c>
    </row>
    <row r="2430" spans="1:2" ht="13.2" x14ac:dyDescent="0.25">
      <c r="A2430" s="34" t="s">
        <v>9776</v>
      </c>
      <c r="B2430" s="35">
        <v>2.45049189809688</v>
      </c>
    </row>
    <row r="2431" spans="1:2" ht="13.2" x14ac:dyDescent="0.25">
      <c r="A2431" s="34" t="s">
        <v>9775</v>
      </c>
      <c r="B2431" s="35">
        <v>2.5505324145461699</v>
      </c>
    </row>
    <row r="2432" spans="1:2" ht="13.2" x14ac:dyDescent="0.25">
      <c r="A2432" s="34" t="s">
        <v>9774</v>
      </c>
      <c r="B2432" s="35">
        <v>2.58595472108223</v>
      </c>
    </row>
    <row r="2433" spans="1:2" ht="13.2" x14ac:dyDescent="0.25">
      <c r="A2433" s="34" t="s">
        <v>9773</v>
      </c>
      <c r="B2433" s="35">
        <v>2.536573842673</v>
      </c>
    </row>
    <row r="2434" spans="1:2" ht="13.2" x14ac:dyDescent="0.25">
      <c r="A2434" s="34" t="s">
        <v>9772</v>
      </c>
    </row>
    <row r="2435" spans="1:2" ht="13.2" x14ac:dyDescent="0.25">
      <c r="A2435" s="34" t="s">
        <v>9771</v>
      </c>
    </row>
    <row r="2436" spans="1:2" ht="13.2" x14ac:dyDescent="0.25">
      <c r="A2436" s="34" t="s">
        <v>9770</v>
      </c>
      <c r="B2436" s="35">
        <v>2.5134408212617498</v>
      </c>
    </row>
    <row r="2437" spans="1:2" ht="13.2" x14ac:dyDescent="0.25">
      <c r="A2437" s="34" t="s">
        <v>9769</v>
      </c>
    </row>
    <row r="2438" spans="1:2" ht="13.2" x14ac:dyDescent="0.25">
      <c r="A2438" s="34" t="s">
        <v>9768</v>
      </c>
      <c r="B2438" s="35">
        <v>2.5154967474132501</v>
      </c>
    </row>
    <row r="2439" spans="1:2" ht="13.2" x14ac:dyDescent="0.25">
      <c r="A2439" s="34" t="s">
        <v>9767</v>
      </c>
      <c r="B2439" s="35">
        <v>2.51758810601314</v>
      </c>
    </row>
    <row r="2440" spans="1:2" ht="13.2" x14ac:dyDescent="0.25">
      <c r="A2440" s="34" t="s">
        <v>9766</v>
      </c>
      <c r="B2440" s="35">
        <v>2.5262650120093602</v>
      </c>
    </row>
    <row r="2441" spans="1:2" ht="13.2" x14ac:dyDescent="0.25">
      <c r="A2441" s="34" t="s">
        <v>9765</v>
      </c>
    </row>
    <row r="2442" spans="1:2" ht="13.2" x14ac:dyDescent="0.25">
      <c r="A2442" s="34" t="s">
        <v>9764</v>
      </c>
    </row>
    <row r="2443" spans="1:2" ht="13.2" x14ac:dyDescent="0.25">
      <c r="A2443" s="34" t="s">
        <v>9763</v>
      </c>
      <c r="B2443" s="35">
        <v>2.5125853591545901</v>
      </c>
    </row>
    <row r="2444" spans="1:2" ht="13.2" x14ac:dyDescent="0.25">
      <c r="A2444" s="34" t="s">
        <v>9762</v>
      </c>
      <c r="B2444" s="35">
        <v>2.48076943426581</v>
      </c>
    </row>
    <row r="2445" spans="1:2" ht="13.2" x14ac:dyDescent="0.25">
      <c r="A2445" s="34" t="s">
        <v>9761</v>
      </c>
      <c r="B2445" s="35">
        <v>2.52006225246397</v>
      </c>
    </row>
    <row r="2446" spans="1:2" ht="13.2" x14ac:dyDescent="0.25">
      <c r="A2446" s="34" t="s">
        <v>9760</v>
      </c>
      <c r="B2446" s="35">
        <v>2.13304358032372</v>
      </c>
    </row>
    <row r="2447" spans="1:2" ht="13.2" x14ac:dyDescent="0.25">
      <c r="A2447" s="34" t="s">
        <v>9759</v>
      </c>
      <c r="B2447" s="35">
        <v>2.1443301384722999</v>
      </c>
    </row>
    <row r="2448" spans="1:2" ht="13.2" x14ac:dyDescent="0.25">
      <c r="A2448" s="34" t="s">
        <v>9758</v>
      </c>
    </row>
    <row r="2449" spans="1:2" ht="13.2" x14ac:dyDescent="0.25">
      <c r="A2449" s="34" t="s">
        <v>9757</v>
      </c>
    </row>
    <row r="2450" spans="1:2" ht="13.2" x14ac:dyDescent="0.25">
      <c r="A2450" s="34" t="s">
        <v>9756</v>
      </c>
      <c r="B2450" s="35">
        <v>2.12603616639836</v>
      </c>
    </row>
    <row r="2451" spans="1:2" ht="13.2" x14ac:dyDescent="0.25">
      <c r="A2451" s="34" t="s">
        <v>9755</v>
      </c>
      <c r="B2451" s="35">
        <v>2.1901068395975698</v>
      </c>
    </row>
    <row r="2452" spans="1:2" ht="13.2" x14ac:dyDescent="0.25">
      <c r="A2452" s="34" t="s">
        <v>9754</v>
      </c>
      <c r="B2452" s="35">
        <v>2.0830879929911101</v>
      </c>
    </row>
    <row r="2453" spans="1:2" ht="13.2" x14ac:dyDescent="0.25">
      <c r="A2453" s="34" t="s">
        <v>9753</v>
      </c>
      <c r="B2453" s="35">
        <v>1.97147899362211</v>
      </c>
    </row>
    <row r="2454" spans="1:2" ht="13.2" x14ac:dyDescent="0.25">
      <c r="A2454" s="34" t="s">
        <v>9752</v>
      </c>
      <c r="B2454" s="35">
        <v>2.10585172531861</v>
      </c>
    </row>
    <row r="2455" spans="1:2" ht="13.2" x14ac:dyDescent="0.25">
      <c r="A2455" s="34" t="s">
        <v>9751</v>
      </c>
    </row>
    <row r="2456" spans="1:2" ht="13.2" x14ac:dyDescent="0.25">
      <c r="A2456" s="34" t="s">
        <v>9750</v>
      </c>
    </row>
    <row r="2457" spans="1:2" ht="13.2" x14ac:dyDescent="0.25">
      <c r="A2457" s="34" t="s">
        <v>9749</v>
      </c>
      <c r="B2457" s="35">
        <v>1.9711381738217</v>
      </c>
    </row>
    <row r="2458" spans="1:2" ht="13.2" x14ac:dyDescent="0.25">
      <c r="A2458" s="34" t="s">
        <v>9748</v>
      </c>
      <c r="B2458" s="35">
        <v>1.9249150025018</v>
      </c>
    </row>
    <row r="2459" spans="1:2" ht="13.2" x14ac:dyDescent="0.25">
      <c r="A2459" s="34" t="s">
        <v>9747</v>
      </c>
      <c r="B2459" s="35">
        <v>1.87662785032668</v>
      </c>
    </row>
    <row r="2460" spans="1:2" ht="13.2" x14ac:dyDescent="0.25">
      <c r="A2460" s="34" t="s">
        <v>9746</v>
      </c>
      <c r="B2460" s="35">
        <v>1.8745429455059801</v>
      </c>
    </row>
    <row r="2461" spans="1:2" ht="13.2" x14ac:dyDescent="0.25">
      <c r="A2461" s="34" t="s">
        <v>9745</v>
      </c>
      <c r="B2461" s="35">
        <v>1.84675271863875</v>
      </c>
    </row>
    <row r="2462" spans="1:2" ht="13.2" x14ac:dyDescent="0.25">
      <c r="A2462" s="34" t="s">
        <v>9744</v>
      </c>
    </row>
    <row r="2463" spans="1:2" ht="13.2" x14ac:dyDescent="0.25">
      <c r="A2463" s="34" t="s">
        <v>9743</v>
      </c>
    </row>
    <row r="2464" spans="1:2" ht="13.2" x14ac:dyDescent="0.25">
      <c r="A2464" s="34" t="s">
        <v>9742</v>
      </c>
      <c r="B2464" s="35">
        <v>1.8046913035224701</v>
      </c>
    </row>
    <row r="2465" spans="1:2" ht="13.2" x14ac:dyDescent="0.25">
      <c r="A2465" s="34" t="s">
        <v>9741</v>
      </c>
      <c r="B2465" s="35">
        <v>1.8162463792771</v>
      </c>
    </row>
    <row r="2466" spans="1:2" ht="13.2" x14ac:dyDescent="0.25">
      <c r="A2466" s="34" t="s">
        <v>9740</v>
      </c>
      <c r="B2466" s="35">
        <v>1.85473696533202</v>
      </c>
    </row>
    <row r="2467" spans="1:2" ht="13.2" x14ac:dyDescent="0.25">
      <c r="A2467" s="34" t="s">
        <v>9739</v>
      </c>
      <c r="B2467" s="35">
        <v>1.8541201259492801</v>
      </c>
    </row>
    <row r="2468" spans="1:2" ht="13.2" x14ac:dyDescent="0.25">
      <c r="A2468" s="34" t="s">
        <v>9738</v>
      </c>
      <c r="B2468" s="35">
        <v>1.8528797685626199</v>
      </c>
    </row>
    <row r="2469" spans="1:2" ht="13.2" x14ac:dyDescent="0.25">
      <c r="A2469" s="34" t="s">
        <v>9737</v>
      </c>
    </row>
    <row r="2470" spans="1:2" ht="13.2" x14ac:dyDescent="0.25">
      <c r="A2470" s="34" t="s">
        <v>9736</v>
      </c>
    </row>
    <row r="2471" spans="1:2" ht="13.2" x14ac:dyDescent="0.25">
      <c r="A2471" s="34" t="s">
        <v>9735</v>
      </c>
      <c r="B2471" s="35">
        <v>1.81766999926335</v>
      </c>
    </row>
    <row r="2472" spans="1:2" ht="13.2" x14ac:dyDescent="0.25">
      <c r="A2472" s="34" t="s">
        <v>9734</v>
      </c>
      <c r="B2472" s="35">
        <v>1.7400511311485201</v>
      </c>
    </row>
    <row r="2473" spans="1:2" ht="13.2" x14ac:dyDescent="0.25">
      <c r="A2473" s="34" t="s">
        <v>9733</v>
      </c>
      <c r="B2473" s="35">
        <v>1.7603331684355701</v>
      </c>
    </row>
    <row r="2474" spans="1:2" ht="13.2" x14ac:dyDescent="0.25">
      <c r="A2474" s="34" t="s">
        <v>9732</v>
      </c>
      <c r="B2474" s="35">
        <v>1.7179043862899299</v>
      </c>
    </row>
    <row r="2475" spans="1:2" ht="13.2" x14ac:dyDescent="0.25">
      <c r="A2475" s="34" t="s">
        <v>9731</v>
      </c>
      <c r="B2475" s="35">
        <v>1.71158810897811</v>
      </c>
    </row>
    <row r="2476" spans="1:2" ht="13.2" x14ac:dyDescent="0.25">
      <c r="A2476" s="34" t="s">
        <v>9730</v>
      </c>
    </row>
    <row r="2477" spans="1:2" ht="13.2" x14ac:dyDescent="0.25">
      <c r="A2477" s="34" t="s">
        <v>9729</v>
      </c>
    </row>
    <row r="2478" spans="1:2" ht="13.2" x14ac:dyDescent="0.25">
      <c r="A2478" s="34" t="s">
        <v>9728</v>
      </c>
    </row>
    <row r="2479" spans="1:2" ht="13.2" x14ac:dyDescent="0.25">
      <c r="A2479" s="34" t="s">
        <v>9727</v>
      </c>
    </row>
    <row r="2480" spans="1:2" ht="13.2" x14ac:dyDescent="0.25">
      <c r="A2480" s="34" t="s">
        <v>9726</v>
      </c>
      <c r="B2480" s="35">
        <v>1.68523918891831</v>
      </c>
    </row>
    <row r="2481" spans="1:2" ht="13.2" x14ac:dyDescent="0.25">
      <c r="A2481" s="34" t="s">
        <v>9725</v>
      </c>
      <c r="B2481" s="35">
        <v>1.7231492270950399</v>
      </c>
    </row>
    <row r="2482" spans="1:2" ht="13.2" x14ac:dyDescent="0.25">
      <c r="A2482" s="34" t="s">
        <v>9724</v>
      </c>
      <c r="B2482" s="35">
        <v>1.6477124846317699</v>
      </c>
    </row>
    <row r="2483" spans="1:2" ht="13.2" x14ac:dyDescent="0.25">
      <c r="A2483" s="34" t="s">
        <v>9723</v>
      </c>
    </row>
    <row r="2484" spans="1:2" ht="13.2" x14ac:dyDescent="0.25">
      <c r="A2484" s="34" t="s">
        <v>9722</v>
      </c>
    </row>
    <row r="2485" spans="1:2" ht="13.2" x14ac:dyDescent="0.25">
      <c r="A2485" s="34" t="s">
        <v>9721</v>
      </c>
      <c r="B2485" s="35">
        <v>1.80516676534934</v>
      </c>
    </row>
    <row r="2486" spans="1:2" ht="13.2" x14ac:dyDescent="0.25">
      <c r="A2486" s="34" t="s">
        <v>9720</v>
      </c>
      <c r="B2486" s="35">
        <v>1.81745233585258</v>
      </c>
    </row>
    <row r="2487" spans="1:2" ht="13.2" x14ac:dyDescent="0.25">
      <c r="A2487" s="34" t="s">
        <v>9719</v>
      </c>
      <c r="B2487" s="35">
        <v>1.74560308780966</v>
      </c>
    </row>
    <row r="2488" spans="1:2" ht="13.2" x14ac:dyDescent="0.25">
      <c r="A2488" s="34" t="s">
        <v>9718</v>
      </c>
      <c r="B2488" s="35">
        <v>1.7561459740055601</v>
      </c>
    </row>
    <row r="2489" spans="1:2" ht="13.2" x14ac:dyDescent="0.25">
      <c r="A2489" s="34" t="s">
        <v>9717</v>
      </c>
      <c r="B2489" s="35">
        <v>1.7564603198213899</v>
      </c>
    </row>
    <row r="2490" spans="1:2" ht="13.2" x14ac:dyDescent="0.25">
      <c r="A2490" s="34" t="s">
        <v>9716</v>
      </c>
    </row>
    <row r="2491" spans="1:2" ht="13.2" x14ac:dyDescent="0.25">
      <c r="A2491" s="34" t="s">
        <v>9715</v>
      </c>
    </row>
    <row r="2492" spans="1:2" ht="13.2" x14ac:dyDescent="0.25">
      <c r="A2492" s="34" t="s">
        <v>9714</v>
      </c>
      <c r="B2492" s="35">
        <v>1.7367562400788901</v>
      </c>
    </row>
    <row r="2493" spans="1:2" ht="13.2" x14ac:dyDescent="0.25">
      <c r="A2493" s="34" t="s">
        <v>9713</v>
      </c>
      <c r="B2493" s="35">
        <v>2.0108016867230698</v>
      </c>
    </row>
    <row r="2494" spans="1:2" ht="13.2" x14ac:dyDescent="0.25">
      <c r="A2494" s="34" t="s">
        <v>9712</v>
      </c>
      <c r="B2494" s="35">
        <v>1.9548402230555999</v>
      </c>
    </row>
    <row r="2495" spans="1:2" ht="13.2" x14ac:dyDescent="0.25">
      <c r="A2495" s="34" t="s">
        <v>9711</v>
      </c>
      <c r="B2495" s="35">
        <v>1.95412711681513</v>
      </c>
    </row>
    <row r="2496" spans="1:2" ht="13.2" x14ac:dyDescent="0.25">
      <c r="A2496" s="34" t="s">
        <v>9710</v>
      </c>
      <c r="B2496" s="35">
        <v>1.9611851731402199</v>
      </c>
    </row>
    <row r="2497" spans="1:2" ht="13.2" x14ac:dyDescent="0.25">
      <c r="A2497" s="34" t="s">
        <v>9709</v>
      </c>
    </row>
    <row r="2498" spans="1:2" ht="13.2" x14ac:dyDescent="0.25">
      <c r="A2498" s="34" t="s">
        <v>9708</v>
      </c>
    </row>
    <row r="2499" spans="1:2" ht="13.2" x14ac:dyDescent="0.25">
      <c r="A2499" s="34" t="s">
        <v>9707</v>
      </c>
      <c r="B2499" s="35">
        <v>1.94386974559005</v>
      </c>
    </row>
    <row r="2500" spans="1:2" ht="13.2" x14ac:dyDescent="0.25">
      <c r="A2500" s="34" t="s">
        <v>9706</v>
      </c>
      <c r="B2500" s="35">
        <v>2.0926203002475701</v>
      </c>
    </row>
    <row r="2501" spans="1:2" ht="13.2" x14ac:dyDescent="0.25">
      <c r="A2501" s="34" t="s">
        <v>9705</v>
      </c>
      <c r="B2501" s="35">
        <v>2.1258793008030201</v>
      </c>
    </row>
    <row r="2502" spans="1:2" ht="13.2" x14ac:dyDescent="0.25">
      <c r="A2502" s="34" t="s">
        <v>9704</v>
      </c>
      <c r="B2502" s="35">
        <v>2.1649646634890898</v>
      </c>
    </row>
    <row r="2503" spans="1:2" ht="13.2" x14ac:dyDescent="0.25">
      <c r="A2503" s="34" t="s">
        <v>9703</v>
      </c>
      <c r="B2503" s="35">
        <v>2.1705899171798699</v>
      </c>
    </row>
    <row r="2504" spans="1:2" ht="13.2" x14ac:dyDescent="0.25">
      <c r="A2504" s="34" t="s">
        <v>9702</v>
      </c>
    </row>
    <row r="2505" spans="1:2" ht="13.2" x14ac:dyDescent="0.25">
      <c r="A2505" s="34" t="s">
        <v>9701</v>
      </c>
    </row>
    <row r="2506" spans="1:2" ht="13.2" x14ac:dyDescent="0.25">
      <c r="A2506" s="34" t="s">
        <v>9700</v>
      </c>
      <c r="B2506" s="35">
        <v>2.2533002706723302</v>
      </c>
    </row>
    <row r="2507" spans="1:2" ht="13.2" x14ac:dyDescent="0.25">
      <c r="A2507" s="34" t="s">
        <v>9699</v>
      </c>
      <c r="B2507" s="35">
        <v>2.3227851852942001</v>
      </c>
    </row>
    <row r="2508" spans="1:2" ht="13.2" x14ac:dyDescent="0.25">
      <c r="A2508" s="34" t="s">
        <v>9698</v>
      </c>
      <c r="B2508" s="35">
        <v>2.16272793718398</v>
      </c>
    </row>
    <row r="2509" spans="1:2" ht="13.2" x14ac:dyDescent="0.25">
      <c r="A2509" s="34" t="s">
        <v>9697</v>
      </c>
      <c r="B2509" s="35">
        <v>2.23764115202597</v>
      </c>
    </row>
    <row r="2510" spans="1:2" ht="13.2" x14ac:dyDescent="0.25">
      <c r="A2510" s="34" t="s">
        <v>9696</v>
      </c>
      <c r="B2510" s="35">
        <v>2.24480166262537</v>
      </c>
    </row>
    <row r="2511" spans="1:2" ht="13.2" x14ac:dyDescent="0.25">
      <c r="A2511" s="34" t="s">
        <v>9695</v>
      </c>
    </row>
    <row r="2512" spans="1:2" ht="13.2" x14ac:dyDescent="0.25">
      <c r="A2512" s="34" t="s">
        <v>9694</v>
      </c>
    </row>
    <row r="2513" spans="1:2" ht="13.2" x14ac:dyDescent="0.25">
      <c r="A2513" s="34" t="s">
        <v>9693</v>
      </c>
      <c r="B2513" s="35">
        <v>2.3806340623790301</v>
      </c>
    </row>
    <row r="2514" spans="1:2" ht="13.2" x14ac:dyDescent="0.25">
      <c r="A2514" s="34" t="s">
        <v>9692</v>
      </c>
      <c r="B2514" s="35">
        <v>2.26449096581818</v>
      </c>
    </row>
    <row r="2515" spans="1:2" ht="13.2" x14ac:dyDescent="0.25">
      <c r="A2515" s="34" t="s">
        <v>9691</v>
      </c>
      <c r="B2515" s="35">
        <v>2.2377537851096898</v>
      </c>
    </row>
    <row r="2516" spans="1:2" ht="13.2" x14ac:dyDescent="0.25">
      <c r="A2516" s="34" t="s">
        <v>9690</v>
      </c>
      <c r="B2516" s="35">
        <v>2.4608595060057699</v>
      </c>
    </row>
    <row r="2517" spans="1:2" ht="13.2" x14ac:dyDescent="0.25">
      <c r="A2517" s="34" t="s">
        <v>9689</v>
      </c>
      <c r="B2517" s="35">
        <v>2.5709018640975998</v>
      </c>
    </row>
    <row r="2518" spans="1:2" ht="13.2" x14ac:dyDescent="0.25">
      <c r="A2518" s="34" t="s">
        <v>9688</v>
      </c>
    </row>
    <row r="2519" spans="1:2" ht="13.2" x14ac:dyDescent="0.25">
      <c r="A2519" s="34" t="s">
        <v>9687</v>
      </c>
    </row>
    <row r="2520" spans="1:2" ht="13.2" x14ac:dyDescent="0.25">
      <c r="A2520" s="34" t="s">
        <v>9686</v>
      </c>
      <c r="B2520" s="35">
        <v>2.5799045516794901</v>
      </c>
    </row>
    <row r="2521" spans="1:2" ht="13.2" x14ac:dyDescent="0.25">
      <c r="A2521" s="34" t="s">
        <v>9685</v>
      </c>
      <c r="B2521" s="35">
        <v>2.7736361626623198</v>
      </c>
    </row>
    <row r="2522" spans="1:2" ht="13.2" x14ac:dyDescent="0.25">
      <c r="A2522" s="34" t="s">
        <v>9684</v>
      </c>
      <c r="B2522" s="35">
        <v>2.5579932771109202</v>
      </c>
    </row>
    <row r="2523" spans="1:2" ht="13.2" x14ac:dyDescent="0.25">
      <c r="A2523" s="34" t="s">
        <v>9683</v>
      </c>
      <c r="B2523" s="35">
        <v>2.6263434126002099</v>
      </c>
    </row>
    <row r="2524" spans="1:2" ht="13.2" x14ac:dyDescent="0.25">
      <c r="A2524" s="34" t="s">
        <v>9682</v>
      </c>
    </row>
    <row r="2525" spans="1:2" ht="13.2" x14ac:dyDescent="0.25">
      <c r="A2525" s="34" t="s">
        <v>9681</v>
      </c>
    </row>
    <row r="2526" spans="1:2" ht="13.2" x14ac:dyDescent="0.25">
      <c r="A2526" s="34" t="s">
        <v>9680</v>
      </c>
    </row>
    <row r="2527" spans="1:2" ht="13.2" x14ac:dyDescent="0.25">
      <c r="A2527" s="34" t="s">
        <v>9679</v>
      </c>
      <c r="B2527" s="35">
        <v>2.6457850299744599</v>
      </c>
    </row>
    <row r="2528" spans="1:2" ht="13.2" x14ac:dyDescent="0.25">
      <c r="A2528" s="34" t="s">
        <v>9678</v>
      </c>
      <c r="B2528" s="35">
        <v>2.80095636038924</v>
      </c>
    </row>
    <row r="2529" spans="1:2" ht="13.2" x14ac:dyDescent="0.25">
      <c r="A2529" s="34" t="s">
        <v>9677</v>
      </c>
      <c r="B2529" s="35">
        <v>2.7623946739126302</v>
      </c>
    </row>
    <row r="2530" spans="1:2" ht="13.2" x14ac:dyDescent="0.25">
      <c r="A2530" s="34" t="s">
        <v>9676</v>
      </c>
      <c r="B2530" s="35">
        <v>2.7169100927016498</v>
      </c>
    </row>
    <row r="2531" spans="1:2" ht="13.2" x14ac:dyDescent="0.25">
      <c r="A2531" s="34" t="s">
        <v>9675</v>
      </c>
      <c r="B2531" s="35">
        <v>2.7290213590413299</v>
      </c>
    </row>
    <row r="2532" spans="1:2" ht="13.2" x14ac:dyDescent="0.25">
      <c r="A2532" s="34" t="s">
        <v>9674</v>
      </c>
    </row>
    <row r="2533" spans="1:2" ht="13.2" x14ac:dyDescent="0.25">
      <c r="A2533" s="34" t="s">
        <v>9673</v>
      </c>
    </row>
    <row r="2534" spans="1:2" ht="13.2" x14ac:dyDescent="0.25">
      <c r="A2534" s="34" t="s">
        <v>9672</v>
      </c>
    </row>
    <row r="2535" spans="1:2" ht="13.2" x14ac:dyDescent="0.25">
      <c r="A2535" s="34" t="s">
        <v>9671</v>
      </c>
      <c r="B2535" s="35">
        <v>2.7081299079644601</v>
      </c>
    </row>
    <row r="2536" spans="1:2" ht="13.2" x14ac:dyDescent="0.25">
      <c r="A2536" s="34" t="s">
        <v>9670</v>
      </c>
      <c r="B2536" s="35">
        <v>2.7195997662292402</v>
      </c>
    </row>
    <row r="2537" spans="1:2" ht="13.2" x14ac:dyDescent="0.25">
      <c r="A2537" s="34" t="s">
        <v>9669</v>
      </c>
      <c r="B2537" s="35">
        <v>2.6595022099581702</v>
      </c>
    </row>
    <row r="2538" spans="1:2" ht="13.2" x14ac:dyDescent="0.25">
      <c r="A2538" s="34" t="s">
        <v>9668</v>
      </c>
      <c r="B2538" s="35">
        <v>2.65573435058166</v>
      </c>
    </row>
    <row r="2539" spans="1:2" ht="13.2" x14ac:dyDescent="0.25">
      <c r="A2539" s="34" t="s">
        <v>9667</v>
      </c>
    </row>
    <row r="2540" spans="1:2" ht="13.2" x14ac:dyDescent="0.25">
      <c r="A2540" s="34" t="s">
        <v>9666</v>
      </c>
    </row>
    <row r="2541" spans="1:2" ht="13.2" x14ac:dyDescent="0.25">
      <c r="A2541" s="34" t="s">
        <v>9665</v>
      </c>
      <c r="B2541" s="35">
        <v>2.6812437829071798</v>
      </c>
    </row>
    <row r="2542" spans="1:2" ht="13.2" x14ac:dyDescent="0.25">
      <c r="A2542" s="34" t="s">
        <v>9664</v>
      </c>
      <c r="B2542" s="35">
        <v>2.6031171177649601</v>
      </c>
    </row>
    <row r="2543" spans="1:2" ht="13.2" x14ac:dyDescent="0.25">
      <c r="A2543" s="34" t="s">
        <v>9663</v>
      </c>
      <c r="B2543" s="35">
        <v>2.51729336262057</v>
      </c>
    </row>
    <row r="2544" spans="1:2" ht="13.2" x14ac:dyDescent="0.25">
      <c r="A2544" s="34" t="s">
        <v>9662</v>
      </c>
      <c r="B2544" s="35">
        <v>2.4123013235165098</v>
      </c>
    </row>
    <row r="2545" spans="1:2" ht="13.2" x14ac:dyDescent="0.25">
      <c r="A2545" s="34" t="s">
        <v>9661</v>
      </c>
      <c r="B2545" s="35">
        <v>2.4073190716850101</v>
      </c>
    </row>
    <row r="2546" spans="1:2" ht="13.2" x14ac:dyDescent="0.25">
      <c r="A2546" s="34" t="s">
        <v>9660</v>
      </c>
    </row>
    <row r="2547" spans="1:2" ht="13.2" x14ac:dyDescent="0.25">
      <c r="A2547" s="34" t="s">
        <v>9659</v>
      </c>
    </row>
    <row r="2548" spans="1:2" ht="13.2" x14ac:dyDescent="0.25">
      <c r="A2548" s="34" t="s">
        <v>9658</v>
      </c>
      <c r="B2548" s="35">
        <v>2.6080510827089598</v>
      </c>
    </row>
    <row r="2549" spans="1:2" ht="13.2" x14ac:dyDescent="0.25">
      <c r="A2549" s="34" t="s">
        <v>9657</v>
      </c>
      <c r="B2549" s="35">
        <v>2.4125209302155302</v>
      </c>
    </row>
    <row r="2550" spans="1:2" ht="13.2" x14ac:dyDescent="0.25">
      <c r="A2550" s="34" t="s">
        <v>9656</v>
      </c>
      <c r="B2550" s="35">
        <v>2.29245311029932</v>
      </c>
    </row>
    <row r="2551" spans="1:2" ht="13.2" x14ac:dyDescent="0.25">
      <c r="A2551" s="34" t="s">
        <v>9655</v>
      </c>
      <c r="B2551" s="35">
        <v>2.3211644093672001</v>
      </c>
    </row>
    <row r="2552" spans="1:2" ht="13.2" x14ac:dyDescent="0.25">
      <c r="A2552" s="34" t="s">
        <v>9654</v>
      </c>
      <c r="B2552" s="35">
        <v>2.1709374618819202</v>
      </c>
    </row>
    <row r="2553" spans="1:2" ht="13.2" x14ac:dyDescent="0.25">
      <c r="A2553" s="34" t="s">
        <v>9653</v>
      </c>
    </row>
    <row r="2554" spans="1:2" ht="13.2" x14ac:dyDescent="0.25">
      <c r="A2554" s="34" t="s">
        <v>9652</v>
      </c>
    </row>
    <row r="2555" spans="1:2" ht="13.2" x14ac:dyDescent="0.25">
      <c r="A2555" s="34" t="s">
        <v>9651</v>
      </c>
      <c r="B2555" s="35">
        <v>2.1652915400713102</v>
      </c>
    </row>
    <row r="2556" spans="1:2" ht="13.2" x14ac:dyDescent="0.25">
      <c r="A2556" s="34" t="s">
        <v>9650</v>
      </c>
      <c r="B2556" s="35">
        <v>2.1416141939395699</v>
      </c>
    </row>
    <row r="2557" spans="1:2" ht="13.2" x14ac:dyDescent="0.25">
      <c r="A2557" s="34" t="s">
        <v>9649</v>
      </c>
      <c r="B2557" s="35">
        <v>2.3111250613333798</v>
      </c>
    </row>
    <row r="2558" spans="1:2" ht="13.2" x14ac:dyDescent="0.25">
      <c r="A2558" s="34" t="s">
        <v>9648</v>
      </c>
      <c r="B2558" s="35">
        <v>2.1018692920948099</v>
      </c>
    </row>
    <row r="2559" spans="1:2" ht="13.2" x14ac:dyDescent="0.25">
      <c r="A2559" s="34" t="s">
        <v>9647</v>
      </c>
      <c r="B2559" s="35">
        <v>2.1897362000477498</v>
      </c>
    </row>
    <row r="2560" spans="1:2" ht="13.2" x14ac:dyDescent="0.25">
      <c r="A2560" s="34" t="s">
        <v>9646</v>
      </c>
    </row>
    <row r="2561" spans="1:2" ht="13.2" x14ac:dyDescent="0.25">
      <c r="A2561" s="34" t="s">
        <v>9645</v>
      </c>
    </row>
    <row r="2562" spans="1:2" ht="13.2" x14ac:dyDescent="0.25">
      <c r="A2562" s="34" t="s">
        <v>9644</v>
      </c>
      <c r="B2562" s="35">
        <v>2.2269325251159202</v>
      </c>
    </row>
    <row r="2563" spans="1:2" ht="13.2" x14ac:dyDescent="0.25">
      <c r="A2563" s="34" t="s">
        <v>9643</v>
      </c>
      <c r="B2563" s="35">
        <v>2.3409614437631401</v>
      </c>
    </row>
    <row r="2564" spans="1:2" ht="13.2" x14ac:dyDescent="0.25">
      <c r="A2564" s="34" t="s">
        <v>9642</v>
      </c>
      <c r="B2564" s="35">
        <v>2.37529704605139</v>
      </c>
    </row>
    <row r="2565" spans="1:2" ht="13.2" x14ac:dyDescent="0.25">
      <c r="A2565" s="34" t="s">
        <v>9641</v>
      </c>
      <c r="B2565" s="35">
        <v>2.4128539591949698</v>
      </c>
    </row>
    <row r="2566" spans="1:2" ht="13.2" x14ac:dyDescent="0.25">
      <c r="A2566" s="34" t="s">
        <v>9640</v>
      </c>
      <c r="B2566" s="35">
        <v>2.6126895774721501</v>
      </c>
    </row>
    <row r="2567" spans="1:2" ht="13.2" x14ac:dyDescent="0.25">
      <c r="A2567" s="34" t="s">
        <v>9639</v>
      </c>
    </row>
    <row r="2568" spans="1:2" ht="13.2" x14ac:dyDescent="0.25">
      <c r="A2568" s="34" t="s">
        <v>9638</v>
      </c>
    </row>
    <row r="2569" spans="1:2" ht="13.2" x14ac:dyDescent="0.25">
      <c r="A2569" s="34" t="s">
        <v>9637</v>
      </c>
      <c r="B2569" s="35">
        <v>2.6187171838059</v>
      </c>
    </row>
    <row r="2570" spans="1:2" ht="13.2" x14ac:dyDescent="0.25">
      <c r="A2570" s="34" t="s">
        <v>9636</v>
      </c>
      <c r="B2570" s="35">
        <v>2.5660394081472</v>
      </c>
    </row>
    <row r="2571" spans="1:2" ht="13.2" x14ac:dyDescent="0.25">
      <c r="A2571" s="34" t="s">
        <v>9635</v>
      </c>
      <c r="B2571" s="35">
        <v>2.5285732593610901</v>
      </c>
    </row>
    <row r="2572" spans="1:2" ht="13.2" x14ac:dyDescent="0.25">
      <c r="A2572" s="34" t="s">
        <v>9634</v>
      </c>
      <c r="B2572" s="35">
        <v>2.5040587619756298</v>
      </c>
    </row>
    <row r="2573" spans="1:2" ht="13.2" x14ac:dyDescent="0.25">
      <c r="A2573" s="34" t="s">
        <v>9633</v>
      </c>
      <c r="B2573" s="35">
        <v>2.5126149976243402</v>
      </c>
    </row>
    <row r="2574" spans="1:2" ht="13.2" x14ac:dyDescent="0.25">
      <c r="A2574" s="34" t="s">
        <v>9632</v>
      </c>
    </row>
    <row r="2575" spans="1:2" ht="13.2" x14ac:dyDescent="0.25">
      <c r="A2575" s="34" t="s">
        <v>9631</v>
      </c>
    </row>
    <row r="2576" spans="1:2" ht="13.2" x14ac:dyDescent="0.25">
      <c r="A2576" s="34" t="s">
        <v>9630</v>
      </c>
      <c r="B2576" s="35">
        <v>2.5475891104102599</v>
      </c>
    </row>
    <row r="2577" spans="1:2" ht="13.2" x14ac:dyDescent="0.25">
      <c r="A2577" s="34" t="s">
        <v>9629</v>
      </c>
      <c r="B2577" s="35">
        <v>2.4307515073653398</v>
      </c>
    </row>
    <row r="2578" spans="1:2" ht="13.2" x14ac:dyDescent="0.25">
      <c r="A2578" s="34" t="s">
        <v>9628</v>
      </c>
      <c r="B2578" s="35">
        <v>2.4033353338800101</v>
      </c>
    </row>
    <row r="2579" spans="1:2" ht="13.2" x14ac:dyDescent="0.25">
      <c r="A2579" s="34" t="s">
        <v>9627</v>
      </c>
      <c r="B2579" s="35">
        <v>2.2677642423246902</v>
      </c>
    </row>
    <row r="2580" spans="1:2" ht="13.2" x14ac:dyDescent="0.25">
      <c r="A2580" s="34" t="s">
        <v>9626</v>
      </c>
      <c r="B2580" s="35">
        <v>2.23511335432406</v>
      </c>
    </row>
    <row r="2581" spans="1:2" ht="13.2" x14ac:dyDescent="0.25">
      <c r="A2581" s="34" t="s">
        <v>9625</v>
      </c>
    </row>
    <row r="2582" spans="1:2" ht="13.2" x14ac:dyDescent="0.25">
      <c r="A2582" s="34" t="s">
        <v>9624</v>
      </c>
    </row>
    <row r="2583" spans="1:2" ht="13.2" x14ac:dyDescent="0.25">
      <c r="A2583" s="34" t="s">
        <v>9623</v>
      </c>
      <c r="B2583" s="35">
        <v>2.19109394265441</v>
      </c>
    </row>
    <row r="2584" spans="1:2" ht="13.2" x14ac:dyDescent="0.25">
      <c r="A2584" s="34" t="s">
        <v>9622</v>
      </c>
      <c r="B2584" s="35">
        <v>2.01624092456598</v>
      </c>
    </row>
    <row r="2585" spans="1:2" ht="13.2" x14ac:dyDescent="0.25">
      <c r="A2585" s="34" t="s">
        <v>9621</v>
      </c>
      <c r="B2585" s="35">
        <v>1.9065626670620599</v>
      </c>
    </row>
    <row r="2586" spans="1:2" ht="13.2" x14ac:dyDescent="0.25">
      <c r="A2586" s="34" t="s">
        <v>9620</v>
      </c>
    </row>
    <row r="2587" spans="1:2" ht="13.2" x14ac:dyDescent="0.25">
      <c r="A2587" s="34" t="s">
        <v>9619</v>
      </c>
      <c r="B2587" s="35">
        <v>1.8639429414628099</v>
      </c>
    </row>
    <row r="2588" spans="1:2" ht="13.2" x14ac:dyDescent="0.25">
      <c r="A2588" s="34" t="s">
        <v>9618</v>
      </c>
    </row>
    <row r="2589" spans="1:2" ht="13.2" x14ac:dyDescent="0.25">
      <c r="A2589" s="34" t="s">
        <v>9617</v>
      </c>
    </row>
    <row r="2590" spans="1:2" ht="13.2" x14ac:dyDescent="0.25">
      <c r="A2590" s="34" t="s">
        <v>9616</v>
      </c>
      <c r="B2590" s="35">
        <v>1.9217807006485099</v>
      </c>
    </row>
    <row r="2591" spans="1:2" ht="13.2" x14ac:dyDescent="0.25">
      <c r="A2591" s="34" t="s">
        <v>9615</v>
      </c>
      <c r="B2591" s="35">
        <v>1.9377341822167</v>
      </c>
    </row>
    <row r="2592" spans="1:2" ht="13.2" x14ac:dyDescent="0.25">
      <c r="A2592" s="34" t="s">
        <v>9614</v>
      </c>
      <c r="B2592" s="35">
        <v>1.9497835415159199</v>
      </c>
    </row>
    <row r="2593" spans="1:2" ht="13.2" x14ac:dyDescent="0.25">
      <c r="A2593" s="34" t="s">
        <v>9613</v>
      </c>
      <c r="B2593" s="35">
        <v>1.98057692636462</v>
      </c>
    </row>
    <row r="2594" spans="1:2" ht="13.2" x14ac:dyDescent="0.25">
      <c r="A2594" s="34" t="s">
        <v>9612</v>
      </c>
      <c r="B2594" s="35">
        <v>1.9372363880012</v>
      </c>
    </row>
    <row r="2595" spans="1:2" ht="13.2" x14ac:dyDescent="0.25">
      <c r="A2595" s="34" t="s">
        <v>9611</v>
      </c>
    </row>
    <row r="2596" spans="1:2" ht="13.2" x14ac:dyDescent="0.25">
      <c r="A2596" s="34" t="s">
        <v>9610</v>
      </c>
    </row>
    <row r="2597" spans="1:2" ht="13.2" x14ac:dyDescent="0.25">
      <c r="A2597" s="34" t="s">
        <v>9609</v>
      </c>
      <c r="B2597" s="35">
        <v>1.8737907841436501</v>
      </c>
    </row>
    <row r="2598" spans="1:2" ht="13.2" x14ac:dyDescent="0.25">
      <c r="A2598" s="34" t="s">
        <v>9608</v>
      </c>
      <c r="B2598" s="35">
        <v>1.59080373050531</v>
      </c>
    </row>
    <row r="2599" spans="1:2" ht="13.2" x14ac:dyDescent="0.25">
      <c r="A2599" s="34" t="s">
        <v>9607</v>
      </c>
      <c r="B2599" s="35">
        <v>1.57390434855691</v>
      </c>
    </row>
    <row r="2600" spans="1:2" ht="13.2" x14ac:dyDescent="0.25">
      <c r="A2600" s="34" t="s">
        <v>9606</v>
      </c>
      <c r="B2600" s="35">
        <v>1.5749764020997301</v>
      </c>
    </row>
    <row r="2601" spans="1:2" ht="13.2" x14ac:dyDescent="0.25">
      <c r="A2601" s="34" t="s">
        <v>9605</v>
      </c>
      <c r="B2601" s="35">
        <v>1.5500651454140699</v>
      </c>
    </row>
    <row r="2602" spans="1:2" ht="13.2" x14ac:dyDescent="0.25">
      <c r="A2602" s="34" t="s">
        <v>9604</v>
      </c>
    </row>
    <row r="2603" spans="1:2" ht="13.2" x14ac:dyDescent="0.25">
      <c r="A2603" s="34" t="s">
        <v>9603</v>
      </c>
    </row>
    <row r="2604" spans="1:2" ht="13.2" x14ac:dyDescent="0.25">
      <c r="A2604" s="34" t="s">
        <v>9602</v>
      </c>
      <c r="B2604" s="35">
        <v>1.5650554804577701</v>
      </c>
    </row>
    <row r="2605" spans="1:2" ht="13.2" x14ac:dyDescent="0.25">
      <c r="A2605" s="34" t="s">
        <v>9601</v>
      </c>
      <c r="B2605" s="35">
        <v>1.76237345845183</v>
      </c>
    </row>
    <row r="2606" spans="1:2" ht="13.2" x14ac:dyDescent="0.25">
      <c r="A2606" s="34" t="s">
        <v>9600</v>
      </c>
      <c r="B2606" s="35">
        <v>1.7288945764624</v>
      </c>
    </row>
    <row r="2607" spans="1:2" ht="13.2" x14ac:dyDescent="0.25">
      <c r="A2607" s="34" t="s">
        <v>9599</v>
      </c>
      <c r="B2607" s="35">
        <v>1.8982589085991199</v>
      </c>
    </row>
    <row r="2608" spans="1:2" ht="13.2" x14ac:dyDescent="0.25">
      <c r="A2608" s="34" t="s">
        <v>9598</v>
      </c>
      <c r="B2608" s="35">
        <v>1.9811449052774399</v>
      </c>
    </row>
    <row r="2609" spans="1:2" ht="13.2" x14ac:dyDescent="0.25">
      <c r="A2609" s="34" t="s">
        <v>9597</v>
      </c>
    </row>
    <row r="2610" spans="1:2" ht="13.2" x14ac:dyDescent="0.25">
      <c r="A2610" s="34" t="s">
        <v>9596</v>
      </c>
    </row>
    <row r="2611" spans="1:2" ht="13.2" x14ac:dyDescent="0.25">
      <c r="A2611" s="34" t="s">
        <v>9595</v>
      </c>
      <c r="B2611" s="35">
        <v>2.0637192804937201</v>
      </c>
    </row>
    <row r="2612" spans="1:2" ht="13.2" x14ac:dyDescent="0.25">
      <c r="A2612" s="34" t="s">
        <v>9594</v>
      </c>
      <c r="B2612" s="35">
        <v>2.0512730927036</v>
      </c>
    </row>
    <row r="2613" spans="1:2" ht="13.2" x14ac:dyDescent="0.25">
      <c r="A2613" s="34" t="s">
        <v>9593</v>
      </c>
      <c r="B2613" s="35">
        <v>2.0702589412518302</v>
      </c>
    </row>
    <row r="2614" spans="1:2" ht="13.2" x14ac:dyDescent="0.25">
      <c r="A2614" s="34" t="s">
        <v>9592</v>
      </c>
      <c r="B2614" s="35">
        <v>2.0991782386481401</v>
      </c>
    </row>
    <row r="2615" spans="1:2" ht="13.2" x14ac:dyDescent="0.25">
      <c r="A2615" s="34" t="s">
        <v>9591</v>
      </c>
      <c r="B2615" s="35">
        <v>2.0370300907794001</v>
      </c>
    </row>
    <row r="2616" spans="1:2" ht="13.2" x14ac:dyDescent="0.25">
      <c r="A2616" s="34" t="s">
        <v>9590</v>
      </c>
    </row>
    <row r="2617" spans="1:2" ht="13.2" x14ac:dyDescent="0.25">
      <c r="A2617" s="34" t="s">
        <v>9589</v>
      </c>
    </row>
    <row r="2618" spans="1:2" ht="13.2" x14ac:dyDescent="0.25">
      <c r="A2618" s="34" t="s">
        <v>9588</v>
      </c>
      <c r="B2618" s="35">
        <v>2.0032559062868698</v>
      </c>
    </row>
    <row r="2619" spans="1:2" ht="13.2" x14ac:dyDescent="0.25">
      <c r="A2619" s="34" t="s">
        <v>9587</v>
      </c>
      <c r="B2619" s="35">
        <v>2.0287237149176298</v>
      </c>
    </row>
    <row r="2620" spans="1:2" ht="13.2" x14ac:dyDescent="0.25">
      <c r="A2620" s="34" t="s">
        <v>9586</v>
      </c>
      <c r="B2620" s="35">
        <v>2.00072534261664</v>
      </c>
    </row>
    <row r="2621" spans="1:2" ht="13.2" x14ac:dyDescent="0.25">
      <c r="A2621" s="34" t="s">
        <v>9585</v>
      </c>
      <c r="B2621" s="35">
        <v>1.9718934620573401</v>
      </c>
    </row>
    <row r="2622" spans="1:2" ht="13.2" x14ac:dyDescent="0.25">
      <c r="A2622" s="34" t="s">
        <v>9584</v>
      </c>
      <c r="B2622" s="35">
        <v>1.98241406005055</v>
      </c>
    </row>
    <row r="2623" spans="1:2" ht="13.2" x14ac:dyDescent="0.25">
      <c r="A2623" s="34" t="s">
        <v>9583</v>
      </c>
    </row>
    <row r="2624" spans="1:2" ht="13.2" x14ac:dyDescent="0.25">
      <c r="A2624" s="34" t="s">
        <v>9582</v>
      </c>
    </row>
    <row r="2625" spans="1:2" ht="13.2" x14ac:dyDescent="0.25">
      <c r="A2625" s="34" t="s">
        <v>9581</v>
      </c>
      <c r="B2625" s="35">
        <v>1.9334236669431499</v>
      </c>
    </row>
    <row r="2626" spans="1:2" ht="13.2" x14ac:dyDescent="0.25">
      <c r="A2626" s="34" t="s">
        <v>9580</v>
      </c>
      <c r="B2626" s="35">
        <v>1.87425502122638</v>
      </c>
    </row>
    <row r="2627" spans="1:2" ht="13.2" x14ac:dyDescent="0.25">
      <c r="A2627" s="34" t="s">
        <v>9579</v>
      </c>
      <c r="B2627" s="35">
        <v>1.8516873205514901</v>
      </c>
    </row>
    <row r="2628" spans="1:2" ht="13.2" x14ac:dyDescent="0.25">
      <c r="A2628" s="34" t="s">
        <v>9578</v>
      </c>
      <c r="B2628" s="35">
        <v>1.9395173758712201</v>
      </c>
    </row>
    <row r="2629" spans="1:2" ht="13.2" x14ac:dyDescent="0.25">
      <c r="A2629" s="34" t="s">
        <v>9577</v>
      </c>
      <c r="B2629" s="35">
        <v>1.9168466183872299</v>
      </c>
    </row>
    <row r="2630" spans="1:2" ht="13.2" x14ac:dyDescent="0.25">
      <c r="A2630" s="34" t="s">
        <v>9576</v>
      </c>
    </row>
    <row r="2631" spans="1:2" ht="13.2" x14ac:dyDescent="0.25">
      <c r="A2631" s="34" t="s">
        <v>9575</v>
      </c>
    </row>
    <row r="2632" spans="1:2" ht="13.2" x14ac:dyDescent="0.25">
      <c r="A2632" s="34" t="s">
        <v>9574</v>
      </c>
      <c r="B2632" s="35">
        <v>1.9150265144990299</v>
      </c>
    </row>
    <row r="2633" spans="1:2" ht="13.2" x14ac:dyDescent="0.25">
      <c r="A2633" s="34" t="s">
        <v>9573</v>
      </c>
      <c r="B2633" s="35">
        <v>1.9140796543179399</v>
      </c>
    </row>
    <row r="2634" spans="1:2" ht="13.2" x14ac:dyDescent="0.25">
      <c r="A2634" s="34" t="s">
        <v>9572</v>
      </c>
      <c r="B2634" s="35">
        <v>1.81929230854875</v>
      </c>
    </row>
    <row r="2635" spans="1:2" ht="13.2" x14ac:dyDescent="0.25">
      <c r="A2635" s="34" t="s">
        <v>9571</v>
      </c>
      <c r="B2635" s="35">
        <v>1.85135434676666</v>
      </c>
    </row>
    <row r="2636" spans="1:2" ht="13.2" x14ac:dyDescent="0.25">
      <c r="A2636" s="34" t="s">
        <v>9570</v>
      </c>
      <c r="B2636" s="35">
        <v>1.7973201258413301</v>
      </c>
    </row>
    <row r="2637" spans="1:2" ht="13.2" x14ac:dyDescent="0.25">
      <c r="A2637" s="34" t="s">
        <v>9569</v>
      </c>
    </row>
    <row r="2638" spans="1:2" ht="13.2" x14ac:dyDescent="0.25">
      <c r="A2638" s="34" t="s">
        <v>9568</v>
      </c>
    </row>
    <row r="2639" spans="1:2" ht="13.2" x14ac:dyDescent="0.25">
      <c r="A2639" s="34" t="s">
        <v>9567</v>
      </c>
      <c r="B2639" s="35">
        <v>1.7811400444722401</v>
      </c>
    </row>
    <row r="2640" spans="1:2" ht="13.2" x14ac:dyDescent="0.25">
      <c r="A2640" s="34" t="s">
        <v>9566</v>
      </c>
      <c r="B2640" s="35">
        <v>1.6734470600949201</v>
      </c>
    </row>
    <row r="2641" spans="1:2" ht="13.2" x14ac:dyDescent="0.25">
      <c r="A2641" s="34" t="s">
        <v>9565</v>
      </c>
      <c r="B2641" s="35">
        <v>1.7569317201357399</v>
      </c>
    </row>
    <row r="2642" spans="1:2" ht="13.2" x14ac:dyDescent="0.25">
      <c r="A2642" s="34" t="s">
        <v>9564</v>
      </c>
      <c r="B2642" s="35">
        <v>1.7128970433910899</v>
      </c>
    </row>
    <row r="2643" spans="1:2" ht="13.2" x14ac:dyDescent="0.25">
      <c r="A2643" s="34" t="s">
        <v>9563</v>
      </c>
      <c r="B2643" s="35">
        <v>1.75977718814304</v>
      </c>
    </row>
    <row r="2644" spans="1:2" ht="13.2" x14ac:dyDescent="0.25">
      <c r="A2644" s="34" t="s">
        <v>9562</v>
      </c>
    </row>
    <row r="2645" spans="1:2" ht="13.2" x14ac:dyDescent="0.25">
      <c r="A2645" s="34" t="s">
        <v>9561</v>
      </c>
    </row>
    <row r="2646" spans="1:2" ht="13.2" x14ac:dyDescent="0.25">
      <c r="A2646" s="34" t="s">
        <v>9560</v>
      </c>
      <c r="B2646" s="35">
        <v>1.77812618762541</v>
      </c>
    </row>
    <row r="2647" spans="1:2" ht="13.2" x14ac:dyDescent="0.25">
      <c r="A2647" s="34" t="s">
        <v>9559</v>
      </c>
      <c r="B2647" s="35">
        <v>1.7861118549558499</v>
      </c>
    </row>
    <row r="2648" spans="1:2" ht="13.2" x14ac:dyDescent="0.25">
      <c r="A2648" s="34" t="s">
        <v>9558</v>
      </c>
      <c r="B2648" s="35">
        <v>1.7529447857442499</v>
      </c>
    </row>
    <row r="2649" spans="1:2" ht="13.2" x14ac:dyDescent="0.25">
      <c r="A2649" s="34" t="s">
        <v>9557</v>
      </c>
      <c r="B2649" s="35">
        <v>1.7623518521586501</v>
      </c>
    </row>
    <row r="2650" spans="1:2" ht="13.2" x14ac:dyDescent="0.25">
      <c r="A2650" s="34" t="s">
        <v>9556</v>
      </c>
      <c r="B2650" s="35">
        <v>1.7888288132855401</v>
      </c>
    </row>
    <row r="2651" spans="1:2" ht="13.2" x14ac:dyDescent="0.25">
      <c r="A2651" s="34" t="s">
        <v>9555</v>
      </c>
    </row>
    <row r="2652" spans="1:2" ht="13.2" x14ac:dyDescent="0.25">
      <c r="A2652" s="34" t="s">
        <v>9554</v>
      </c>
    </row>
    <row r="2653" spans="1:2" ht="13.2" x14ac:dyDescent="0.25">
      <c r="A2653" s="34" t="s">
        <v>9553</v>
      </c>
      <c r="B2653" s="35">
        <v>1.68243549021567</v>
      </c>
    </row>
    <row r="2654" spans="1:2" ht="13.2" x14ac:dyDescent="0.25">
      <c r="A2654" s="34" t="s">
        <v>9552</v>
      </c>
      <c r="B2654" s="35">
        <v>1.6905450829681601</v>
      </c>
    </row>
    <row r="2655" spans="1:2" ht="13.2" x14ac:dyDescent="0.25">
      <c r="A2655" s="34" t="s">
        <v>9551</v>
      </c>
      <c r="B2655" s="35">
        <v>1.6656639787398699</v>
      </c>
    </row>
    <row r="2656" spans="1:2" ht="13.2" x14ac:dyDescent="0.25">
      <c r="A2656" s="34" t="s">
        <v>9550</v>
      </c>
      <c r="B2656" s="35">
        <v>1.6724332610855399</v>
      </c>
    </row>
    <row r="2657" spans="1:2" ht="13.2" x14ac:dyDescent="0.25">
      <c r="A2657" s="34" t="s">
        <v>9549</v>
      </c>
      <c r="B2657" s="35">
        <v>1.61572655904924</v>
      </c>
    </row>
    <row r="2658" spans="1:2" ht="13.2" x14ac:dyDescent="0.25">
      <c r="A2658" s="34" t="s">
        <v>9548</v>
      </c>
    </row>
    <row r="2659" spans="1:2" ht="13.2" x14ac:dyDescent="0.25">
      <c r="A2659" s="34" t="s">
        <v>9547</v>
      </c>
    </row>
    <row r="2660" spans="1:2" ht="13.2" x14ac:dyDescent="0.25">
      <c r="A2660" s="34" t="s">
        <v>9546</v>
      </c>
      <c r="B2660" s="35">
        <v>1.61574266012138</v>
      </c>
    </row>
    <row r="2661" spans="1:2" ht="13.2" x14ac:dyDescent="0.25">
      <c r="A2661" s="34" t="s">
        <v>9545</v>
      </c>
      <c r="B2661" s="35">
        <v>1.61710075675475</v>
      </c>
    </row>
    <row r="2662" spans="1:2" ht="13.2" x14ac:dyDescent="0.25">
      <c r="A2662" s="34" t="s">
        <v>9544</v>
      </c>
      <c r="B2662" s="35">
        <v>1.6164518472946801</v>
      </c>
    </row>
    <row r="2663" spans="1:2" ht="13.2" x14ac:dyDescent="0.25">
      <c r="A2663" s="34" t="s">
        <v>9543</v>
      </c>
    </row>
    <row r="2664" spans="1:2" ht="13.2" x14ac:dyDescent="0.25">
      <c r="A2664" s="34" t="s">
        <v>9542</v>
      </c>
      <c r="B2664" s="35">
        <v>1.55098625934604</v>
      </c>
    </row>
    <row r="2665" spans="1:2" ht="13.2" x14ac:dyDescent="0.25">
      <c r="A2665" s="34" t="s">
        <v>9541</v>
      </c>
    </row>
    <row r="2666" spans="1:2" ht="13.2" x14ac:dyDescent="0.25">
      <c r="A2666" s="34" t="s">
        <v>9540</v>
      </c>
    </row>
    <row r="2667" spans="1:2" ht="13.2" x14ac:dyDescent="0.25">
      <c r="A2667" s="34" t="s">
        <v>9539</v>
      </c>
      <c r="B2667" s="35">
        <v>1.5256655384026601</v>
      </c>
    </row>
    <row r="2668" spans="1:2" ht="13.2" x14ac:dyDescent="0.25">
      <c r="A2668" s="34" t="s">
        <v>9538</v>
      </c>
      <c r="B2668" s="35">
        <v>1.4383236209880901</v>
      </c>
    </row>
    <row r="2669" spans="1:2" ht="13.2" x14ac:dyDescent="0.25">
      <c r="A2669" s="34" t="s">
        <v>9537</v>
      </c>
      <c r="B2669" s="35">
        <v>1.3350499884798801</v>
      </c>
    </row>
    <row r="2670" spans="1:2" ht="13.2" x14ac:dyDescent="0.25">
      <c r="A2670" s="34" t="s">
        <v>9536</v>
      </c>
      <c r="B2670" s="35">
        <v>1.3578796029809499</v>
      </c>
    </row>
    <row r="2671" spans="1:2" ht="13.2" x14ac:dyDescent="0.25">
      <c r="A2671" s="34" t="s">
        <v>9535</v>
      </c>
      <c r="B2671" s="35">
        <v>1.2923030557620701</v>
      </c>
    </row>
    <row r="2672" spans="1:2" ht="13.2" x14ac:dyDescent="0.25">
      <c r="A2672" s="34" t="s">
        <v>9534</v>
      </c>
    </row>
    <row r="2673" spans="1:2" ht="13.2" x14ac:dyDescent="0.25">
      <c r="A2673" s="34" t="s">
        <v>9533</v>
      </c>
    </row>
    <row r="2674" spans="1:2" ht="13.2" x14ac:dyDescent="0.25">
      <c r="A2674" s="34" t="s">
        <v>9532</v>
      </c>
      <c r="B2674" s="35">
        <v>1.4227780121879301</v>
      </c>
    </row>
    <row r="2675" spans="1:2" ht="13.2" x14ac:dyDescent="0.25">
      <c r="A2675" s="34" t="s">
        <v>9531</v>
      </c>
      <c r="B2675" s="35">
        <v>1.4446906661397301</v>
      </c>
    </row>
    <row r="2676" spans="1:2" ht="13.2" x14ac:dyDescent="0.25">
      <c r="A2676" s="34" t="s">
        <v>9530</v>
      </c>
      <c r="B2676" s="35">
        <v>1.4283932884633901</v>
      </c>
    </row>
    <row r="2677" spans="1:2" ht="13.2" x14ac:dyDescent="0.25">
      <c r="A2677" s="34" t="s">
        <v>9529</v>
      </c>
      <c r="B2677" s="35">
        <v>1.4154509937380699</v>
      </c>
    </row>
    <row r="2678" spans="1:2" ht="13.2" x14ac:dyDescent="0.25">
      <c r="A2678" s="34" t="s">
        <v>9528</v>
      </c>
      <c r="B2678" s="35">
        <v>1.4137750740356201</v>
      </c>
    </row>
    <row r="2679" spans="1:2" ht="13.2" x14ac:dyDescent="0.25">
      <c r="A2679" s="34" t="s">
        <v>9527</v>
      </c>
    </row>
    <row r="2680" spans="1:2" ht="13.2" x14ac:dyDescent="0.25">
      <c r="A2680" s="34" t="s">
        <v>9526</v>
      </c>
    </row>
    <row r="2681" spans="1:2" ht="13.2" x14ac:dyDescent="0.25">
      <c r="A2681" s="34" t="s">
        <v>9525</v>
      </c>
      <c r="B2681" s="35">
        <v>1.4093985542521801</v>
      </c>
    </row>
    <row r="2682" spans="1:2" ht="13.2" x14ac:dyDescent="0.25">
      <c r="A2682" s="34" t="s">
        <v>9524</v>
      </c>
      <c r="B2682" s="35">
        <v>1.3178550551067301</v>
      </c>
    </row>
    <row r="2683" spans="1:2" ht="13.2" x14ac:dyDescent="0.25">
      <c r="A2683" s="34" t="s">
        <v>9523</v>
      </c>
      <c r="B2683" s="35">
        <v>1.39295208205592</v>
      </c>
    </row>
    <row r="2684" spans="1:2" ht="13.2" x14ac:dyDescent="0.25">
      <c r="A2684" s="34" t="s">
        <v>9522</v>
      </c>
      <c r="B2684" s="35">
        <v>1.4303347466665</v>
      </c>
    </row>
    <row r="2685" spans="1:2" ht="13.2" x14ac:dyDescent="0.25">
      <c r="A2685" s="34" t="s">
        <v>9521</v>
      </c>
      <c r="B2685" s="35">
        <v>1.42096612539291</v>
      </c>
    </row>
    <row r="2686" spans="1:2" ht="13.2" x14ac:dyDescent="0.25">
      <c r="A2686" s="34" t="s">
        <v>9520</v>
      </c>
    </row>
    <row r="2687" spans="1:2" ht="13.2" x14ac:dyDescent="0.25">
      <c r="A2687" s="34" t="s">
        <v>9519</v>
      </c>
    </row>
    <row r="2688" spans="1:2" ht="13.2" x14ac:dyDescent="0.25">
      <c r="A2688" s="34" t="s">
        <v>9518</v>
      </c>
      <c r="B2688" s="35">
        <v>1.4812494524763899</v>
      </c>
    </row>
    <row r="2689" spans="1:2" ht="13.2" x14ac:dyDescent="0.25">
      <c r="A2689" s="34" t="s">
        <v>9517</v>
      </c>
      <c r="B2689" s="35">
        <v>1.4398849035923</v>
      </c>
    </row>
    <row r="2690" spans="1:2" ht="13.2" x14ac:dyDescent="0.25">
      <c r="A2690" s="34" t="s">
        <v>9516</v>
      </c>
      <c r="B2690" s="35">
        <v>1.50350923634331</v>
      </c>
    </row>
    <row r="2691" spans="1:2" ht="13.2" x14ac:dyDescent="0.25">
      <c r="A2691" s="34" t="s">
        <v>9515</v>
      </c>
      <c r="B2691" s="35">
        <v>1.67925741776937</v>
      </c>
    </row>
    <row r="2692" spans="1:2" ht="13.2" x14ac:dyDescent="0.25">
      <c r="A2692" s="34" t="s">
        <v>9514</v>
      </c>
      <c r="B2692" s="35">
        <v>1.72401019097257</v>
      </c>
    </row>
    <row r="2693" spans="1:2" ht="13.2" x14ac:dyDescent="0.25">
      <c r="A2693" s="34" t="s">
        <v>9513</v>
      </c>
    </row>
    <row r="2694" spans="1:2" ht="13.2" x14ac:dyDescent="0.25">
      <c r="A2694" s="34" t="s">
        <v>9512</v>
      </c>
    </row>
    <row r="2695" spans="1:2" ht="13.2" x14ac:dyDescent="0.25">
      <c r="A2695" s="34" t="s">
        <v>9511</v>
      </c>
      <c r="B2695" s="35">
        <v>1.72142306359065</v>
      </c>
    </row>
    <row r="2696" spans="1:2" ht="13.2" x14ac:dyDescent="0.25">
      <c r="A2696" s="34" t="s">
        <v>9510</v>
      </c>
      <c r="B2696" s="35">
        <v>1.7200511435755701</v>
      </c>
    </row>
    <row r="2697" spans="1:2" ht="13.2" x14ac:dyDescent="0.25">
      <c r="A2697" s="34" t="s">
        <v>9509</v>
      </c>
      <c r="B2697" s="35">
        <v>1.6786475355402</v>
      </c>
    </row>
    <row r="2698" spans="1:2" ht="13.2" x14ac:dyDescent="0.25">
      <c r="A2698" s="34" t="s">
        <v>9508</v>
      </c>
    </row>
    <row r="2699" spans="1:2" ht="13.2" x14ac:dyDescent="0.25">
      <c r="A2699" s="34" t="s">
        <v>9507</v>
      </c>
      <c r="B2699" s="35">
        <v>1.6631999989805799</v>
      </c>
    </row>
    <row r="2700" spans="1:2" ht="13.2" x14ac:dyDescent="0.25">
      <c r="A2700" s="34" t="s">
        <v>9506</v>
      </c>
    </row>
    <row r="2701" spans="1:2" ht="13.2" x14ac:dyDescent="0.25">
      <c r="A2701" s="34" t="s">
        <v>9505</v>
      </c>
    </row>
    <row r="2702" spans="1:2" ht="13.2" x14ac:dyDescent="0.25">
      <c r="A2702" s="34" t="s">
        <v>9504</v>
      </c>
      <c r="B2702" s="35">
        <v>1.6543772836897701</v>
      </c>
    </row>
    <row r="2703" spans="1:2" ht="13.2" x14ac:dyDescent="0.25">
      <c r="A2703" s="34" t="s">
        <v>9503</v>
      </c>
      <c r="B2703" s="35">
        <v>1.7047188316783299</v>
      </c>
    </row>
    <row r="2704" spans="1:2" ht="13.2" x14ac:dyDescent="0.25">
      <c r="A2704" s="34" t="s">
        <v>9502</v>
      </c>
      <c r="B2704" s="35">
        <v>1.61886932465016</v>
      </c>
    </row>
    <row r="2705" spans="1:2" ht="13.2" x14ac:dyDescent="0.25">
      <c r="A2705" s="34" t="s">
        <v>9501</v>
      </c>
      <c r="B2705" s="35">
        <v>1.71638882391503</v>
      </c>
    </row>
    <row r="2706" spans="1:2" ht="13.2" x14ac:dyDescent="0.25">
      <c r="A2706" s="34" t="s">
        <v>9500</v>
      </c>
      <c r="B2706" s="35">
        <v>1.75740255589994</v>
      </c>
    </row>
    <row r="2707" spans="1:2" ht="13.2" x14ac:dyDescent="0.25">
      <c r="A2707" s="34" t="s">
        <v>9499</v>
      </c>
    </row>
    <row r="2708" spans="1:2" ht="13.2" x14ac:dyDescent="0.25">
      <c r="A2708" s="34" t="s">
        <v>9498</v>
      </c>
    </row>
    <row r="2709" spans="1:2" ht="13.2" x14ac:dyDescent="0.25">
      <c r="A2709" s="34" t="s">
        <v>9497</v>
      </c>
      <c r="B2709" s="35">
        <v>1.8839711151257199</v>
      </c>
    </row>
    <row r="2710" spans="1:2" ht="13.2" x14ac:dyDescent="0.25">
      <c r="A2710" s="34" t="s">
        <v>9496</v>
      </c>
      <c r="B2710" s="35">
        <v>1.8344531594203299</v>
      </c>
    </row>
    <row r="2711" spans="1:2" ht="13.2" x14ac:dyDescent="0.25">
      <c r="A2711" s="34" t="s">
        <v>9495</v>
      </c>
      <c r="B2711" s="35">
        <v>1.8295304917172599</v>
      </c>
    </row>
    <row r="2712" spans="1:2" ht="13.2" x14ac:dyDescent="0.25">
      <c r="A2712" s="34" t="s">
        <v>9494</v>
      </c>
      <c r="B2712" s="35">
        <v>2.1132563064416701</v>
      </c>
    </row>
    <row r="2713" spans="1:2" ht="13.2" x14ac:dyDescent="0.25">
      <c r="A2713" s="34" t="s">
        <v>9493</v>
      </c>
      <c r="B2713" s="35">
        <v>2.22679885136897</v>
      </c>
    </row>
    <row r="2714" spans="1:2" ht="13.2" x14ac:dyDescent="0.25">
      <c r="A2714" s="34" t="s">
        <v>9492</v>
      </c>
    </row>
    <row r="2715" spans="1:2" ht="13.2" x14ac:dyDescent="0.25">
      <c r="A2715" s="34" t="s">
        <v>9491</v>
      </c>
    </row>
    <row r="2716" spans="1:2" ht="13.2" x14ac:dyDescent="0.25">
      <c r="A2716" s="34" t="s">
        <v>9490</v>
      </c>
      <c r="B2716" s="35">
        <v>2.2373133310850899</v>
      </c>
    </row>
    <row r="2717" spans="1:2" ht="13.2" x14ac:dyDescent="0.25">
      <c r="A2717" s="34" t="s">
        <v>9489</v>
      </c>
      <c r="B2717" s="35">
        <v>2.2372067075309601</v>
      </c>
    </row>
    <row r="2718" spans="1:2" ht="13.2" x14ac:dyDescent="0.25">
      <c r="A2718" s="34" t="s">
        <v>9488</v>
      </c>
      <c r="B2718" s="35">
        <v>2.1898992328154998</v>
      </c>
    </row>
    <row r="2719" spans="1:2" ht="13.2" x14ac:dyDescent="0.25">
      <c r="A2719" s="34" t="s">
        <v>9487</v>
      </c>
    </row>
    <row r="2720" spans="1:2" ht="13.2" x14ac:dyDescent="0.25">
      <c r="A2720" s="34" t="s">
        <v>9486</v>
      </c>
      <c r="B2720" s="35">
        <v>2.2073784743895901</v>
      </c>
    </row>
    <row r="2721" spans="1:2" ht="13.2" x14ac:dyDescent="0.25">
      <c r="A2721" s="34" t="s">
        <v>9485</v>
      </c>
    </row>
    <row r="2722" spans="1:2" ht="13.2" x14ac:dyDescent="0.25">
      <c r="A2722" s="34" t="s">
        <v>9484</v>
      </c>
    </row>
    <row r="2723" spans="1:2" ht="13.2" x14ac:dyDescent="0.25">
      <c r="A2723" s="34" t="s">
        <v>9483</v>
      </c>
      <c r="B2723" s="35">
        <v>2.2200720263827298</v>
      </c>
    </row>
    <row r="2724" spans="1:2" ht="13.2" x14ac:dyDescent="0.25">
      <c r="A2724" s="34" t="s">
        <v>9482</v>
      </c>
      <c r="B2724" s="35">
        <v>2.1133731838956602</v>
      </c>
    </row>
    <row r="2725" spans="1:2" ht="13.2" x14ac:dyDescent="0.25">
      <c r="A2725" s="34" t="s">
        <v>9481</v>
      </c>
      <c r="B2725" s="35">
        <v>2.0921449940177799</v>
      </c>
    </row>
    <row r="2726" spans="1:2" ht="13.2" x14ac:dyDescent="0.25">
      <c r="A2726" s="34" t="s">
        <v>9480</v>
      </c>
      <c r="B2726" s="35">
        <v>2.0947563601768602</v>
      </c>
    </row>
    <row r="2727" spans="1:2" ht="13.2" x14ac:dyDescent="0.25">
      <c r="A2727" s="34" t="s">
        <v>9479</v>
      </c>
      <c r="B2727" s="35">
        <v>2.1076850944305301</v>
      </c>
    </row>
    <row r="2728" spans="1:2" ht="13.2" x14ac:dyDescent="0.25">
      <c r="A2728" s="34" t="s">
        <v>9478</v>
      </c>
    </row>
    <row r="2729" spans="1:2" ht="13.2" x14ac:dyDescent="0.25">
      <c r="A2729" s="34" t="s">
        <v>9477</v>
      </c>
    </row>
    <row r="2730" spans="1:2" ht="13.2" x14ac:dyDescent="0.25">
      <c r="A2730" s="34" t="s">
        <v>9476</v>
      </c>
      <c r="B2730" s="35">
        <v>2.1174826804307099</v>
      </c>
    </row>
    <row r="2731" spans="1:2" ht="13.2" x14ac:dyDescent="0.25">
      <c r="A2731" s="34" t="s">
        <v>9475</v>
      </c>
      <c r="B2731" s="35">
        <v>2.1390880497767202</v>
      </c>
    </row>
    <row r="2732" spans="1:2" ht="13.2" x14ac:dyDescent="0.25">
      <c r="A2732" s="34" t="s">
        <v>9474</v>
      </c>
    </row>
    <row r="2733" spans="1:2" ht="13.2" x14ac:dyDescent="0.25">
      <c r="A2733" s="34" t="s">
        <v>9473</v>
      </c>
      <c r="B2733" s="35">
        <v>2.1337890848810201</v>
      </c>
    </row>
    <row r="2734" spans="1:2" ht="13.2" x14ac:dyDescent="0.25">
      <c r="A2734" s="34" t="s">
        <v>9472</v>
      </c>
      <c r="B2734" s="35">
        <v>2.0838625811372902</v>
      </c>
    </row>
    <row r="2735" spans="1:2" ht="13.2" x14ac:dyDescent="0.25">
      <c r="A2735" s="34" t="s">
        <v>9471</v>
      </c>
    </row>
    <row r="2736" spans="1:2" ht="13.2" x14ac:dyDescent="0.25">
      <c r="A2736" s="34" t="s">
        <v>9470</v>
      </c>
    </row>
    <row r="2737" spans="1:2" ht="13.2" x14ac:dyDescent="0.25">
      <c r="A2737" s="34" t="s">
        <v>9469</v>
      </c>
      <c r="B2737" s="35">
        <v>1.99514785161893</v>
      </c>
    </row>
    <row r="2738" spans="1:2" ht="13.2" x14ac:dyDescent="0.25">
      <c r="A2738" s="34" t="s">
        <v>9468</v>
      </c>
      <c r="B2738" s="35">
        <v>1.9362824047234499</v>
      </c>
    </row>
    <row r="2739" spans="1:2" ht="13.2" x14ac:dyDescent="0.25">
      <c r="A2739" s="34" t="s">
        <v>9467</v>
      </c>
      <c r="B2739" s="35">
        <v>1.9019117540605499</v>
      </c>
    </row>
    <row r="2740" spans="1:2" ht="13.2" x14ac:dyDescent="0.25">
      <c r="A2740" s="34" t="s">
        <v>9466</v>
      </c>
      <c r="B2740" s="35">
        <v>1.7482063488620301</v>
      </c>
    </row>
    <row r="2741" spans="1:2" ht="13.2" x14ac:dyDescent="0.25">
      <c r="A2741" s="34" t="s">
        <v>9465</v>
      </c>
      <c r="B2741" s="35">
        <v>1.71484602180375</v>
      </c>
    </row>
    <row r="2742" spans="1:2" ht="13.2" x14ac:dyDescent="0.25">
      <c r="A2742" s="34" t="s">
        <v>9464</v>
      </c>
    </row>
    <row r="2743" spans="1:2" ht="13.2" x14ac:dyDescent="0.25">
      <c r="A2743" s="34" t="s">
        <v>9463</v>
      </c>
    </row>
    <row r="2744" spans="1:2" ht="13.2" x14ac:dyDescent="0.25">
      <c r="A2744" s="34" t="s">
        <v>9462</v>
      </c>
      <c r="B2744" s="35">
        <v>1.7835376530511899</v>
      </c>
    </row>
    <row r="2745" spans="1:2" ht="13.2" x14ac:dyDescent="0.25">
      <c r="A2745" s="34" t="s">
        <v>9461</v>
      </c>
      <c r="B2745" s="35">
        <v>1.55110192574473</v>
      </c>
    </row>
    <row r="2746" spans="1:2" ht="13.2" x14ac:dyDescent="0.25">
      <c r="A2746" s="34" t="s">
        <v>9460</v>
      </c>
      <c r="B2746" s="35">
        <v>1.3551734615997</v>
      </c>
    </row>
    <row r="2747" spans="1:2" ht="13.2" x14ac:dyDescent="0.25">
      <c r="A2747" s="34" t="s">
        <v>9459</v>
      </c>
      <c r="B2747" s="35">
        <v>1.4891959349899799</v>
      </c>
    </row>
    <row r="2748" spans="1:2" ht="13.2" x14ac:dyDescent="0.25">
      <c r="A2748" s="34" t="s">
        <v>9458</v>
      </c>
      <c r="B2748" s="35">
        <v>1.5313947275940101</v>
      </c>
    </row>
    <row r="2749" spans="1:2" ht="13.2" x14ac:dyDescent="0.25">
      <c r="A2749" s="34" t="s">
        <v>9457</v>
      </c>
    </row>
    <row r="2750" spans="1:2" ht="13.2" x14ac:dyDescent="0.25">
      <c r="A2750" s="34" t="s">
        <v>9456</v>
      </c>
    </row>
    <row r="2751" spans="1:2" ht="13.2" x14ac:dyDescent="0.25">
      <c r="A2751" s="34" t="s">
        <v>9455</v>
      </c>
      <c r="B2751" s="35">
        <v>1.54752748152105</v>
      </c>
    </row>
    <row r="2752" spans="1:2" ht="13.2" x14ac:dyDescent="0.25">
      <c r="A2752" s="34" t="s">
        <v>9454</v>
      </c>
      <c r="B2752" s="35">
        <v>1.8975065233664601</v>
      </c>
    </row>
    <row r="2753" spans="1:2" ht="13.2" x14ac:dyDescent="0.25">
      <c r="A2753" s="34" t="s">
        <v>9453</v>
      </c>
      <c r="B2753" s="35">
        <v>1.8726059179812</v>
      </c>
    </row>
    <row r="2754" spans="1:2" ht="13.2" x14ac:dyDescent="0.25">
      <c r="A2754" s="34" t="s">
        <v>9452</v>
      </c>
      <c r="B2754" s="35">
        <v>2.03876082839649</v>
      </c>
    </row>
    <row r="2755" spans="1:2" ht="13.2" x14ac:dyDescent="0.25">
      <c r="A2755" s="34" t="s">
        <v>9451</v>
      </c>
      <c r="B2755" s="35">
        <v>2.1404127705866101</v>
      </c>
    </row>
    <row r="2756" spans="1:2" ht="13.2" x14ac:dyDescent="0.25">
      <c r="A2756" s="34" t="s">
        <v>9450</v>
      </c>
    </row>
    <row r="2757" spans="1:2" ht="13.2" x14ac:dyDescent="0.25">
      <c r="A2757" s="34" t="s">
        <v>9449</v>
      </c>
    </row>
    <row r="2758" spans="1:2" ht="13.2" x14ac:dyDescent="0.25">
      <c r="A2758" s="34" t="s">
        <v>9448</v>
      </c>
      <c r="B2758" s="35">
        <v>2.1440123097486699</v>
      </c>
    </row>
    <row r="2759" spans="1:2" ht="13.2" x14ac:dyDescent="0.25">
      <c r="A2759" s="34" t="s">
        <v>9447</v>
      </c>
      <c r="B2759" s="35">
        <v>2.1879093054955301</v>
      </c>
    </row>
    <row r="2760" spans="1:2" ht="13.2" x14ac:dyDescent="0.25">
      <c r="A2760" s="34" t="s">
        <v>9446</v>
      </c>
      <c r="B2760" s="35">
        <v>2.20810352406134</v>
      </c>
    </row>
    <row r="2761" spans="1:2" ht="13.2" x14ac:dyDescent="0.25">
      <c r="A2761" s="34" t="s">
        <v>9445</v>
      </c>
      <c r="B2761" s="35">
        <v>2.2014518234582199</v>
      </c>
    </row>
    <row r="2762" spans="1:2" ht="13.2" x14ac:dyDescent="0.25">
      <c r="A2762" s="34" t="s">
        <v>9444</v>
      </c>
      <c r="B2762" s="35">
        <v>2.24260864856234</v>
      </c>
    </row>
    <row r="2763" spans="1:2" ht="13.2" x14ac:dyDescent="0.25">
      <c r="A2763" s="34" t="s">
        <v>9443</v>
      </c>
    </row>
    <row r="2764" spans="1:2" ht="13.2" x14ac:dyDescent="0.25">
      <c r="A2764" s="34" t="s">
        <v>9442</v>
      </c>
    </row>
    <row r="2765" spans="1:2" ht="13.2" x14ac:dyDescent="0.25">
      <c r="A2765" s="34" t="s">
        <v>9441</v>
      </c>
      <c r="B2765" s="35">
        <v>2.2238723903934101</v>
      </c>
    </row>
    <row r="2766" spans="1:2" ht="13.2" x14ac:dyDescent="0.25">
      <c r="A2766" s="34" t="s">
        <v>9440</v>
      </c>
      <c r="B2766" s="35">
        <v>2.2354807342013601</v>
      </c>
    </row>
    <row r="2767" spans="1:2" ht="13.2" x14ac:dyDescent="0.25">
      <c r="A2767" s="34" t="s">
        <v>9439</v>
      </c>
      <c r="B2767" s="35">
        <v>2.4530929883054902</v>
      </c>
    </row>
    <row r="2768" spans="1:2" ht="13.2" x14ac:dyDescent="0.25">
      <c r="A2768" s="34" t="s">
        <v>9438</v>
      </c>
      <c r="B2768" s="35">
        <v>2.4398422328810199</v>
      </c>
    </row>
    <row r="2769" spans="1:2" ht="13.2" x14ac:dyDescent="0.25">
      <c r="A2769" s="34" t="s">
        <v>9437</v>
      </c>
      <c r="B2769" s="35">
        <v>2.4136150616002898</v>
      </c>
    </row>
    <row r="2770" spans="1:2" ht="13.2" x14ac:dyDescent="0.25">
      <c r="A2770" s="34" t="s">
        <v>9436</v>
      </c>
    </row>
    <row r="2771" spans="1:2" ht="13.2" x14ac:dyDescent="0.25">
      <c r="A2771" s="34" t="s">
        <v>9435</v>
      </c>
    </row>
    <row r="2772" spans="1:2" ht="13.2" x14ac:dyDescent="0.25">
      <c r="A2772" s="34" t="s">
        <v>9434</v>
      </c>
    </row>
    <row r="2773" spans="1:2" ht="13.2" x14ac:dyDescent="0.25">
      <c r="A2773" s="34" t="s">
        <v>9433</v>
      </c>
      <c r="B2773" s="35">
        <v>2.4209182068172499</v>
      </c>
    </row>
    <row r="2774" spans="1:2" ht="13.2" x14ac:dyDescent="0.25">
      <c r="A2774" s="34" t="s">
        <v>9432</v>
      </c>
      <c r="B2774" s="35">
        <v>2.4086537312278802</v>
      </c>
    </row>
    <row r="2775" spans="1:2" ht="13.2" x14ac:dyDescent="0.25">
      <c r="A2775" s="34" t="s">
        <v>9431</v>
      </c>
      <c r="B2775" s="35">
        <v>2.3964457253990901</v>
      </c>
    </row>
    <row r="2776" spans="1:2" ht="13.2" x14ac:dyDescent="0.25">
      <c r="A2776" s="34" t="s">
        <v>9430</v>
      </c>
    </row>
    <row r="2777" spans="1:2" ht="13.2" x14ac:dyDescent="0.25">
      <c r="A2777" s="34" t="s">
        <v>9429</v>
      </c>
    </row>
    <row r="2778" spans="1:2" ht="13.2" x14ac:dyDescent="0.25">
      <c r="A2778" s="34" t="s">
        <v>9428</v>
      </c>
    </row>
    <row r="2779" spans="1:2" ht="13.2" x14ac:dyDescent="0.25">
      <c r="A2779" s="34" t="s">
        <v>9427</v>
      </c>
    </row>
    <row r="2780" spans="1:2" ht="13.2" x14ac:dyDescent="0.25">
      <c r="A2780" s="34" t="s">
        <v>9426</v>
      </c>
      <c r="B2780" s="35">
        <v>2.3797379245763102</v>
      </c>
    </row>
    <row r="2781" spans="1:2" ht="13.2" x14ac:dyDescent="0.25">
      <c r="A2781" s="34" t="s">
        <v>9425</v>
      </c>
      <c r="B2781" s="35">
        <v>2.6055479200164902</v>
      </c>
    </row>
    <row r="2782" spans="1:2" ht="13.2" x14ac:dyDescent="0.25">
      <c r="A2782" s="34" t="s">
        <v>9424</v>
      </c>
      <c r="B2782" s="35">
        <v>2.60879406331251</v>
      </c>
    </row>
    <row r="2783" spans="1:2" ht="13.2" x14ac:dyDescent="0.25">
      <c r="A2783" s="34" t="s">
        <v>9423</v>
      </c>
      <c r="B2783" s="35">
        <v>2.6700001033714198</v>
      </c>
    </row>
    <row r="2784" spans="1:2" ht="13.2" x14ac:dyDescent="0.25">
      <c r="A2784" s="34" t="s">
        <v>9422</v>
      </c>
    </row>
    <row r="2785" spans="1:2" ht="13.2" x14ac:dyDescent="0.25">
      <c r="A2785" s="34" t="s">
        <v>9421</v>
      </c>
    </row>
    <row r="2786" spans="1:2" ht="13.2" x14ac:dyDescent="0.25">
      <c r="A2786" s="34" t="s">
        <v>9420</v>
      </c>
      <c r="B2786" s="35">
        <v>2.5140589743027402</v>
      </c>
    </row>
    <row r="2787" spans="1:2" ht="13.2" x14ac:dyDescent="0.25">
      <c r="A2787" s="34" t="s">
        <v>9419</v>
      </c>
      <c r="B2787" s="35">
        <v>2.4769530250313601</v>
      </c>
    </row>
    <row r="2788" spans="1:2" ht="13.2" x14ac:dyDescent="0.25">
      <c r="A2788" s="34" t="s">
        <v>9418</v>
      </c>
      <c r="B2788" s="35">
        <v>2.41187225058792</v>
      </c>
    </row>
    <row r="2789" spans="1:2" ht="13.2" x14ac:dyDescent="0.25">
      <c r="A2789" s="34" t="s">
        <v>9417</v>
      </c>
      <c r="B2789" s="35">
        <v>2.32465511780436</v>
      </c>
    </row>
    <row r="2790" spans="1:2" ht="13.2" x14ac:dyDescent="0.25">
      <c r="A2790" s="34" t="s">
        <v>9416</v>
      </c>
      <c r="B2790" s="35">
        <v>2.3443585865743399</v>
      </c>
    </row>
    <row r="2791" spans="1:2" ht="13.2" x14ac:dyDescent="0.25">
      <c r="A2791" s="34" t="s">
        <v>9415</v>
      </c>
    </row>
    <row r="2792" spans="1:2" ht="13.2" x14ac:dyDescent="0.25">
      <c r="A2792" s="34" t="s">
        <v>9414</v>
      </c>
    </row>
    <row r="2793" spans="1:2" ht="13.2" x14ac:dyDescent="0.25">
      <c r="A2793" s="34" t="s">
        <v>9413</v>
      </c>
      <c r="B2793" s="35">
        <v>2.28070254029257</v>
      </c>
    </row>
    <row r="2794" spans="1:2" ht="13.2" x14ac:dyDescent="0.25">
      <c r="A2794" s="34" t="s">
        <v>9412</v>
      </c>
      <c r="B2794" s="35">
        <v>2.2775599460482399</v>
      </c>
    </row>
    <row r="2795" spans="1:2" ht="13.2" x14ac:dyDescent="0.25">
      <c r="A2795" s="34" t="s">
        <v>9411</v>
      </c>
      <c r="B2795" s="35">
        <v>2.32834792175343</v>
      </c>
    </row>
    <row r="2796" spans="1:2" ht="13.2" x14ac:dyDescent="0.25">
      <c r="A2796" s="34" t="s">
        <v>9410</v>
      </c>
      <c r="B2796" s="35">
        <v>2.2801899620986501</v>
      </c>
    </row>
    <row r="2797" spans="1:2" ht="13.2" x14ac:dyDescent="0.25">
      <c r="A2797" s="34" t="s">
        <v>9409</v>
      </c>
      <c r="B2797" s="35">
        <v>2.2851254049193401</v>
      </c>
    </row>
    <row r="2798" spans="1:2" ht="13.2" x14ac:dyDescent="0.25">
      <c r="A2798" s="34" t="s">
        <v>9408</v>
      </c>
    </row>
    <row r="2799" spans="1:2" ht="13.2" x14ac:dyDescent="0.25">
      <c r="A2799" s="34" t="s">
        <v>9407</v>
      </c>
    </row>
    <row r="2800" spans="1:2" ht="13.2" x14ac:dyDescent="0.25">
      <c r="A2800" s="34" t="s">
        <v>9406</v>
      </c>
      <c r="B2800" s="35">
        <v>2.2969571770097699</v>
      </c>
    </row>
    <row r="2801" spans="1:2" ht="13.2" x14ac:dyDescent="0.25">
      <c r="A2801" s="34" t="s">
        <v>9405</v>
      </c>
      <c r="B2801" s="35">
        <v>1.97246913803655</v>
      </c>
    </row>
    <row r="2802" spans="1:2" ht="13.2" x14ac:dyDescent="0.25">
      <c r="A2802" s="34" t="s">
        <v>9404</v>
      </c>
      <c r="B2802" s="35">
        <v>1.95434189156627</v>
      </c>
    </row>
    <row r="2803" spans="1:2" ht="13.2" x14ac:dyDescent="0.25">
      <c r="A2803" s="34" t="s">
        <v>9403</v>
      </c>
    </row>
    <row r="2804" spans="1:2" ht="13.2" x14ac:dyDescent="0.25">
      <c r="A2804" s="34" t="s">
        <v>9402</v>
      </c>
      <c r="B2804" s="35">
        <v>1.95548257199523</v>
      </c>
    </row>
    <row r="2805" spans="1:2" ht="13.2" x14ac:dyDescent="0.25">
      <c r="A2805" s="34" t="s">
        <v>9401</v>
      </c>
    </row>
    <row r="2806" spans="1:2" ht="13.2" x14ac:dyDescent="0.25">
      <c r="A2806" s="34" t="s">
        <v>9400</v>
      </c>
    </row>
    <row r="2807" spans="1:2" ht="13.2" x14ac:dyDescent="0.25">
      <c r="A2807" s="34" t="s">
        <v>9399</v>
      </c>
      <c r="B2807" s="35">
        <v>1.9672076786447801</v>
      </c>
    </row>
    <row r="2808" spans="1:2" ht="13.2" x14ac:dyDescent="0.25">
      <c r="A2808" s="34" t="s">
        <v>9398</v>
      </c>
      <c r="B2808" s="35">
        <v>1.96402276492693</v>
      </c>
    </row>
    <row r="2809" spans="1:2" ht="13.2" x14ac:dyDescent="0.25">
      <c r="A2809" s="34" t="s">
        <v>9397</v>
      </c>
      <c r="B2809" s="35">
        <v>1.9759953775738399</v>
      </c>
    </row>
    <row r="2810" spans="1:2" ht="13.2" x14ac:dyDescent="0.25">
      <c r="A2810" s="34" t="s">
        <v>9396</v>
      </c>
      <c r="B2810" s="35">
        <v>2.1888687541751102</v>
      </c>
    </row>
    <row r="2811" spans="1:2" ht="13.2" x14ac:dyDescent="0.25">
      <c r="A2811" s="34" t="s">
        <v>9395</v>
      </c>
      <c r="B2811" s="35">
        <v>1.53454330984007</v>
      </c>
    </row>
    <row r="2812" spans="1:2" ht="13.2" x14ac:dyDescent="0.25">
      <c r="A2812" s="34" t="s">
        <v>9394</v>
      </c>
    </row>
    <row r="2813" spans="1:2" ht="13.2" x14ac:dyDescent="0.25">
      <c r="A2813" s="34" t="s">
        <v>9393</v>
      </c>
    </row>
    <row r="2814" spans="1:2" ht="13.2" x14ac:dyDescent="0.25">
      <c r="A2814" s="34" t="s">
        <v>9392</v>
      </c>
      <c r="B2814" s="35">
        <v>1.5531914805637601</v>
      </c>
    </row>
    <row r="2815" spans="1:2" ht="13.2" x14ac:dyDescent="0.25">
      <c r="A2815" s="34" t="s">
        <v>9391</v>
      </c>
      <c r="B2815" s="35">
        <v>1.54525286957648</v>
      </c>
    </row>
    <row r="2816" spans="1:2" ht="13.2" x14ac:dyDescent="0.25">
      <c r="A2816" s="34" t="s">
        <v>9390</v>
      </c>
      <c r="B2816" s="35">
        <v>1.5610431199308701</v>
      </c>
    </row>
    <row r="2817" spans="1:2" ht="13.2" x14ac:dyDescent="0.25">
      <c r="A2817" s="34" t="s">
        <v>9389</v>
      </c>
      <c r="B2817" s="35">
        <v>1.5658845233012799</v>
      </c>
    </row>
    <row r="2818" spans="1:2" ht="13.2" x14ac:dyDescent="0.25">
      <c r="A2818" s="34" t="s">
        <v>9388</v>
      </c>
      <c r="B2818" s="35">
        <v>1.57062177048347</v>
      </c>
    </row>
    <row r="2819" spans="1:2" ht="13.2" x14ac:dyDescent="0.25">
      <c r="A2819" s="34" t="s">
        <v>9387</v>
      </c>
    </row>
    <row r="2820" spans="1:2" ht="13.2" x14ac:dyDescent="0.25">
      <c r="A2820" s="34" t="s">
        <v>9386</v>
      </c>
    </row>
    <row r="2821" spans="1:2" ht="13.2" x14ac:dyDescent="0.25">
      <c r="A2821" s="34" t="s">
        <v>9385</v>
      </c>
      <c r="B2821" s="35">
        <v>1.59214805717243</v>
      </c>
    </row>
    <row r="2822" spans="1:2" ht="13.2" x14ac:dyDescent="0.25">
      <c r="A2822" s="34" t="s">
        <v>9384</v>
      </c>
      <c r="B2822" s="35">
        <v>1.59169758600884</v>
      </c>
    </row>
    <row r="2823" spans="1:2" ht="13.2" x14ac:dyDescent="0.25">
      <c r="A2823" s="34" t="s">
        <v>9383</v>
      </c>
      <c r="B2823" s="35">
        <v>1.5859158703046701</v>
      </c>
    </row>
    <row r="2824" spans="1:2" ht="13.2" x14ac:dyDescent="0.25">
      <c r="A2824" s="34" t="s">
        <v>9382</v>
      </c>
      <c r="B2824" s="35">
        <v>1.5709038989070301</v>
      </c>
    </row>
    <row r="2825" spans="1:2" ht="13.2" x14ac:dyDescent="0.25">
      <c r="A2825" s="34" t="s">
        <v>9381</v>
      </c>
      <c r="B2825" s="35">
        <v>1.68760085883358</v>
      </c>
    </row>
    <row r="2826" spans="1:2" ht="13.2" x14ac:dyDescent="0.25">
      <c r="A2826" s="34" t="s">
        <v>9380</v>
      </c>
    </row>
    <row r="2827" spans="1:2" ht="13.2" x14ac:dyDescent="0.25">
      <c r="A2827" s="34" t="s">
        <v>9379</v>
      </c>
    </row>
    <row r="2828" spans="1:2" ht="13.2" x14ac:dyDescent="0.25">
      <c r="A2828" s="34" t="s">
        <v>9378</v>
      </c>
      <c r="B2828" s="35">
        <v>1.6235837430653399</v>
      </c>
    </row>
    <row r="2829" spans="1:2" ht="13.2" x14ac:dyDescent="0.25">
      <c r="A2829" s="34" t="s">
        <v>9377</v>
      </c>
      <c r="B2829" s="35">
        <v>1.62375465806882</v>
      </c>
    </row>
    <row r="2830" spans="1:2" ht="13.2" x14ac:dyDescent="0.25">
      <c r="A2830" s="34" t="s">
        <v>9376</v>
      </c>
      <c r="B2830" s="35">
        <v>1.6576776594747999</v>
      </c>
    </row>
    <row r="2831" spans="1:2" ht="13.2" x14ac:dyDescent="0.25">
      <c r="A2831" s="34" t="s">
        <v>9375</v>
      </c>
      <c r="B2831" s="35">
        <v>1.6158173659672701</v>
      </c>
    </row>
    <row r="2832" spans="1:2" ht="13.2" x14ac:dyDescent="0.25">
      <c r="A2832" s="34" t="s">
        <v>9374</v>
      </c>
      <c r="B2832" s="35">
        <v>1.6788871883174601</v>
      </c>
    </row>
    <row r="2833" spans="1:2" ht="13.2" x14ac:dyDescent="0.25">
      <c r="A2833" s="34" t="s">
        <v>9373</v>
      </c>
    </row>
    <row r="2834" spans="1:2" ht="13.2" x14ac:dyDescent="0.25">
      <c r="A2834" s="34" t="s">
        <v>9372</v>
      </c>
    </row>
    <row r="2835" spans="1:2" ht="13.2" x14ac:dyDescent="0.25">
      <c r="A2835" s="34" t="s">
        <v>9371</v>
      </c>
    </row>
    <row r="2836" spans="1:2" ht="13.2" x14ac:dyDescent="0.25">
      <c r="A2836" s="34" t="s">
        <v>9370</v>
      </c>
    </row>
    <row r="2837" spans="1:2" ht="13.2" x14ac:dyDescent="0.25">
      <c r="A2837" s="34" t="s">
        <v>9369</v>
      </c>
      <c r="B2837" s="35">
        <v>1.67863516526892</v>
      </c>
    </row>
    <row r="2838" spans="1:2" ht="13.2" x14ac:dyDescent="0.25">
      <c r="A2838" s="34" t="s">
        <v>9368</v>
      </c>
      <c r="B2838" s="35">
        <v>1.87290026209691</v>
      </c>
    </row>
    <row r="2839" spans="1:2" ht="13.2" x14ac:dyDescent="0.25">
      <c r="A2839" s="34" t="s">
        <v>9367</v>
      </c>
      <c r="B2839" s="35">
        <v>1.89349777569339</v>
      </c>
    </row>
    <row r="2840" spans="1:2" ht="13.2" x14ac:dyDescent="0.25">
      <c r="A2840" s="34" t="s">
        <v>9366</v>
      </c>
    </row>
    <row r="2841" spans="1:2" ht="13.2" x14ac:dyDescent="0.25">
      <c r="A2841" s="34" t="s">
        <v>9365</v>
      </c>
    </row>
    <row r="2842" spans="1:2" ht="13.2" x14ac:dyDescent="0.25">
      <c r="A2842" s="34" t="s">
        <v>9364</v>
      </c>
      <c r="B2842" s="35">
        <v>1.89351669891949</v>
      </c>
    </row>
    <row r="2843" spans="1:2" ht="13.2" x14ac:dyDescent="0.25">
      <c r="A2843" s="34" t="s">
        <v>9363</v>
      </c>
      <c r="B2843" s="35">
        <v>1.75026810467077</v>
      </c>
    </row>
    <row r="2844" spans="1:2" ht="13.2" x14ac:dyDescent="0.25">
      <c r="A2844" s="34" t="s">
        <v>9362</v>
      </c>
      <c r="B2844" s="35">
        <v>1.7512062008360401</v>
      </c>
    </row>
    <row r="2845" spans="1:2" ht="13.2" x14ac:dyDescent="0.25">
      <c r="A2845" s="34" t="s">
        <v>9361</v>
      </c>
      <c r="B2845" s="35">
        <v>1.74954016089838</v>
      </c>
    </row>
    <row r="2846" spans="1:2" ht="13.2" x14ac:dyDescent="0.25">
      <c r="A2846" s="34" t="s">
        <v>9360</v>
      </c>
      <c r="B2846" s="35">
        <v>1.7035680752504001</v>
      </c>
    </row>
    <row r="2847" spans="1:2" ht="13.2" x14ac:dyDescent="0.25">
      <c r="A2847" s="34" t="s">
        <v>9359</v>
      </c>
    </row>
    <row r="2848" spans="1:2" ht="13.2" x14ac:dyDescent="0.25">
      <c r="A2848" s="34" t="s">
        <v>9358</v>
      </c>
    </row>
    <row r="2849" spans="1:2" ht="13.2" x14ac:dyDescent="0.25">
      <c r="A2849" s="34" t="s">
        <v>9357</v>
      </c>
      <c r="B2849" s="35">
        <v>1.86073561518122</v>
      </c>
    </row>
    <row r="2850" spans="1:2" ht="13.2" x14ac:dyDescent="0.25">
      <c r="A2850" s="34" t="s">
        <v>9356</v>
      </c>
      <c r="B2850" s="35">
        <v>1.7480099527311701</v>
      </c>
    </row>
    <row r="2851" spans="1:2" ht="13.2" x14ac:dyDescent="0.25">
      <c r="A2851" s="34" t="s">
        <v>9355</v>
      </c>
      <c r="B2851" s="35">
        <v>1.7877931371750699</v>
      </c>
    </row>
    <row r="2852" spans="1:2" ht="13.2" x14ac:dyDescent="0.25">
      <c r="A2852" s="34" t="s">
        <v>9354</v>
      </c>
      <c r="B2852" s="35">
        <v>1.7861535700856499</v>
      </c>
    </row>
    <row r="2853" spans="1:2" ht="13.2" x14ac:dyDescent="0.25">
      <c r="A2853" s="34" t="s">
        <v>9353</v>
      </c>
      <c r="B2853" s="35">
        <v>1.7912171878860299</v>
      </c>
    </row>
    <row r="2854" spans="1:2" ht="13.2" x14ac:dyDescent="0.25">
      <c r="A2854" s="34" t="s">
        <v>9352</v>
      </c>
    </row>
    <row r="2855" spans="1:2" ht="13.2" x14ac:dyDescent="0.25">
      <c r="A2855" s="34" t="s">
        <v>9351</v>
      </c>
    </row>
    <row r="2856" spans="1:2" ht="13.2" x14ac:dyDescent="0.25">
      <c r="A2856" s="34" t="s">
        <v>9350</v>
      </c>
      <c r="B2856" s="35">
        <v>1.84132184486687</v>
      </c>
    </row>
    <row r="2857" spans="1:2" ht="13.2" x14ac:dyDescent="0.25">
      <c r="A2857" s="34" t="s">
        <v>9349</v>
      </c>
      <c r="B2857" s="35">
        <v>1.85508317830681</v>
      </c>
    </row>
    <row r="2858" spans="1:2" ht="13.2" x14ac:dyDescent="0.25">
      <c r="A2858" s="34" t="s">
        <v>9348</v>
      </c>
      <c r="B2858" s="35">
        <v>1.6755317903498399</v>
      </c>
    </row>
    <row r="2859" spans="1:2" ht="13.2" x14ac:dyDescent="0.25">
      <c r="A2859" s="34" t="s">
        <v>9347</v>
      </c>
      <c r="B2859" s="35">
        <v>1.99669053231357</v>
      </c>
    </row>
    <row r="2860" spans="1:2" ht="13.2" x14ac:dyDescent="0.25">
      <c r="A2860" s="34" t="s">
        <v>9346</v>
      </c>
      <c r="B2860" s="35">
        <v>2.1139838586681301</v>
      </c>
    </row>
    <row r="2861" spans="1:2" ht="13.2" x14ac:dyDescent="0.25">
      <c r="A2861" s="34" t="s">
        <v>9345</v>
      </c>
    </row>
    <row r="2862" spans="1:2" ht="13.2" x14ac:dyDescent="0.25">
      <c r="A2862" s="34" t="s">
        <v>9344</v>
      </c>
    </row>
    <row r="2863" spans="1:2" ht="13.2" x14ac:dyDescent="0.25">
      <c r="A2863" s="34" t="s">
        <v>9343</v>
      </c>
      <c r="B2863" s="35">
        <v>2.1429024445390099</v>
      </c>
    </row>
    <row r="2864" spans="1:2" ht="13.2" x14ac:dyDescent="0.25">
      <c r="A2864" s="34" t="s">
        <v>9342</v>
      </c>
      <c r="B2864" s="35">
        <v>2.09514647756043</v>
      </c>
    </row>
    <row r="2865" spans="1:2" ht="13.2" x14ac:dyDescent="0.25">
      <c r="A2865" s="34" t="s">
        <v>9341</v>
      </c>
      <c r="B2865" s="35">
        <v>2.0608605796835402</v>
      </c>
    </row>
    <row r="2866" spans="1:2" ht="13.2" x14ac:dyDescent="0.25">
      <c r="A2866" s="34" t="s">
        <v>9340</v>
      </c>
      <c r="B2866" s="35">
        <v>2.0891139148124598</v>
      </c>
    </row>
    <row r="2867" spans="1:2" ht="13.2" x14ac:dyDescent="0.25">
      <c r="A2867" s="34" t="s">
        <v>9339</v>
      </c>
      <c r="B2867" s="35">
        <v>1.94207501730763</v>
      </c>
    </row>
    <row r="2868" spans="1:2" ht="13.2" x14ac:dyDescent="0.25">
      <c r="A2868" s="34" t="s">
        <v>9338</v>
      </c>
    </row>
    <row r="2869" spans="1:2" ht="13.2" x14ac:dyDescent="0.25">
      <c r="A2869" s="34" t="s">
        <v>9337</v>
      </c>
    </row>
    <row r="2870" spans="1:2" ht="13.2" x14ac:dyDescent="0.25">
      <c r="A2870" s="34" t="s">
        <v>9336</v>
      </c>
      <c r="B2870" s="35">
        <v>1.98488543742526</v>
      </c>
    </row>
    <row r="2871" spans="1:2" ht="13.2" x14ac:dyDescent="0.25">
      <c r="A2871" s="34" t="s">
        <v>9335</v>
      </c>
      <c r="B2871" s="35">
        <v>1.9911042622386199</v>
      </c>
    </row>
    <row r="2872" spans="1:2" ht="13.2" x14ac:dyDescent="0.25">
      <c r="A2872" s="34" t="s">
        <v>9334</v>
      </c>
      <c r="B2872" s="35">
        <v>2.02388148971411</v>
      </c>
    </row>
    <row r="2873" spans="1:2" ht="13.2" x14ac:dyDescent="0.25">
      <c r="A2873" s="34" t="s">
        <v>9333</v>
      </c>
      <c r="B2873" s="35">
        <v>2.28213499937387</v>
      </c>
    </row>
    <row r="2874" spans="1:2" ht="13.2" x14ac:dyDescent="0.25">
      <c r="A2874" s="34" t="s">
        <v>9332</v>
      </c>
      <c r="B2874" s="35">
        <v>2.2879827851395702</v>
      </c>
    </row>
    <row r="2875" spans="1:2" ht="13.2" x14ac:dyDescent="0.25">
      <c r="A2875" s="34" t="s">
        <v>9331</v>
      </c>
    </row>
    <row r="2876" spans="1:2" ht="13.2" x14ac:dyDescent="0.25">
      <c r="A2876" s="34" t="s">
        <v>9330</v>
      </c>
    </row>
    <row r="2877" spans="1:2" ht="13.2" x14ac:dyDescent="0.25">
      <c r="A2877" s="34" t="s">
        <v>9329</v>
      </c>
      <c r="B2877" s="35">
        <v>2.3349583698747298</v>
      </c>
    </row>
    <row r="2878" spans="1:2" ht="13.2" x14ac:dyDescent="0.25">
      <c r="A2878" s="34" t="s">
        <v>9328</v>
      </c>
      <c r="B2878" s="35">
        <v>2.2718369214728198</v>
      </c>
    </row>
    <row r="2879" spans="1:2" ht="13.2" x14ac:dyDescent="0.25">
      <c r="A2879" s="34" t="s">
        <v>9327</v>
      </c>
      <c r="B2879" s="35">
        <v>2.2880483639423499</v>
      </c>
    </row>
    <row r="2880" spans="1:2" ht="13.2" x14ac:dyDescent="0.25">
      <c r="A2880" s="34" t="s">
        <v>9326</v>
      </c>
      <c r="B2880" s="35">
        <v>2.25752215074372</v>
      </c>
    </row>
    <row r="2881" spans="1:2" ht="13.2" x14ac:dyDescent="0.25">
      <c r="A2881" s="34" t="s">
        <v>9325</v>
      </c>
    </row>
    <row r="2882" spans="1:2" ht="13.2" x14ac:dyDescent="0.25">
      <c r="A2882" s="34" t="s">
        <v>9324</v>
      </c>
    </row>
    <row r="2883" spans="1:2" ht="13.2" x14ac:dyDescent="0.25">
      <c r="A2883" s="34" t="s">
        <v>9323</v>
      </c>
    </row>
    <row r="2884" spans="1:2" ht="13.2" x14ac:dyDescent="0.25">
      <c r="A2884" s="34" t="s">
        <v>9322</v>
      </c>
      <c r="B2884" s="35">
        <v>2.3714897752120701</v>
      </c>
    </row>
    <row r="2885" spans="1:2" ht="13.2" x14ac:dyDescent="0.25">
      <c r="A2885" s="34" t="s">
        <v>9321</v>
      </c>
      <c r="B2885" s="35">
        <v>2.3532744386390201</v>
      </c>
    </row>
    <row r="2886" spans="1:2" ht="13.2" x14ac:dyDescent="0.25">
      <c r="A2886" s="34" t="s">
        <v>9320</v>
      </c>
      <c r="B2886" s="35">
        <v>2.4818339586875098</v>
      </c>
    </row>
    <row r="2887" spans="1:2" ht="13.2" x14ac:dyDescent="0.25">
      <c r="A2887" s="34" t="s">
        <v>9319</v>
      </c>
      <c r="B2887" s="35">
        <v>2.6004373210295002</v>
      </c>
    </row>
    <row r="2888" spans="1:2" ht="13.2" x14ac:dyDescent="0.25">
      <c r="A2888" s="34" t="s">
        <v>9318</v>
      </c>
      <c r="B2888" s="35">
        <v>2.8268403699109101</v>
      </c>
    </row>
    <row r="2889" spans="1:2" ht="13.2" x14ac:dyDescent="0.25">
      <c r="A2889" s="34" t="s">
        <v>9317</v>
      </c>
    </row>
    <row r="2890" spans="1:2" ht="13.2" x14ac:dyDescent="0.25">
      <c r="A2890" s="34" t="s">
        <v>9316</v>
      </c>
    </row>
    <row r="2891" spans="1:2" ht="13.2" x14ac:dyDescent="0.25">
      <c r="A2891" s="34" t="s">
        <v>9315</v>
      </c>
      <c r="B2891" s="35">
        <v>2.60150862418224</v>
      </c>
    </row>
    <row r="2892" spans="1:2" ht="13.2" x14ac:dyDescent="0.25">
      <c r="A2892" s="34" t="s">
        <v>9314</v>
      </c>
      <c r="B2892" s="35">
        <v>2.5496363417609702</v>
      </c>
    </row>
    <row r="2893" spans="1:2" ht="13.2" x14ac:dyDescent="0.25">
      <c r="A2893" s="34" t="s">
        <v>9313</v>
      </c>
      <c r="B2893" s="35">
        <v>2.5147569009712099</v>
      </c>
    </row>
    <row r="2894" spans="1:2" ht="13.2" x14ac:dyDescent="0.25">
      <c r="A2894" s="34" t="s">
        <v>9312</v>
      </c>
      <c r="B2894" s="35">
        <v>2.6771422270881802</v>
      </c>
    </row>
    <row r="2895" spans="1:2" ht="13.2" x14ac:dyDescent="0.25">
      <c r="A2895" s="34" t="s">
        <v>9311</v>
      </c>
      <c r="B2895" s="35">
        <v>2.6701401524899402</v>
      </c>
    </row>
    <row r="2896" spans="1:2" ht="13.2" x14ac:dyDescent="0.25">
      <c r="A2896" s="34" t="s">
        <v>9310</v>
      </c>
    </row>
    <row r="2897" spans="1:2" ht="13.2" x14ac:dyDescent="0.25">
      <c r="A2897" s="34" t="s">
        <v>9309</v>
      </c>
    </row>
    <row r="2898" spans="1:2" ht="13.2" x14ac:dyDescent="0.25">
      <c r="A2898" s="34" t="s">
        <v>9308</v>
      </c>
      <c r="B2898" s="35">
        <v>2.6079002120535901</v>
      </c>
    </row>
    <row r="2899" spans="1:2" ht="13.2" x14ac:dyDescent="0.25">
      <c r="A2899" s="34" t="s">
        <v>9307</v>
      </c>
    </row>
    <row r="2900" spans="1:2" ht="13.2" x14ac:dyDescent="0.25">
      <c r="A2900" s="34" t="s">
        <v>9306</v>
      </c>
      <c r="B2900" s="35">
        <v>2.6009617347807898</v>
      </c>
    </row>
    <row r="2901" spans="1:2" ht="13.2" x14ac:dyDescent="0.25">
      <c r="A2901" s="34" t="s">
        <v>9305</v>
      </c>
      <c r="B2901" s="35">
        <v>2.5005160218887701</v>
      </c>
    </row>
    <row r="2902" spans="1:2" ht="13.2" x14ac:dyDescent="0.25">
      <c r="A2902" s="34" t="s">
        <v>9304</v>
      </c>
      <c r="B2902" s="35">
        <v>2.4583245583548901</v>
      </c>
    </row>
    <row r="2903" spans="1:2" ht="13.2" x14ac:dyDescent="0.25">
      <c r="A2903" s="34" t="s">
        <v>9303</v>
      </c>
    </row>
    <row r="2904" spans="1:2" ht="13.2" x14ac:dyDescent="0.25">
      <c r="A2904" s="34" t="s">
        <v>9302</v>
      </c>
    </row>
    <row r="2905" spans="1:2" ht="13.2" x14ac:dyDescent="0.25">
      <c r="A2905" s="34" t="s">
        <v>9301</v>
      </c>
      <c r="B2905" s="35">
        <v>2.4906773724777</v>
      </c>
    </row>
    <row r="2906" spans="1:2" ht="13.2" x14ac:dyDescent="0.25">
      <c r="A2906" s="34" t="s">
        <v>9300</v>
      </c>
      <c r="B2906" s="35">
        <v>2.3424052609738499</v>
      </c>
    </row>
    <row r="2907" spans="1:2" ht="13.2" x14ac:dyDescent="0.25">
      <c r="A2907" s="34" t="s">
        <v>9299</v>
      </c>
      <c r="B2907" s="35">
        <v>2.3421599012841998</v>
      </c>
    </row>
    <row r="2908" spans="1:2" ht="13.2" x14ac:dyDescent="0.25">
      <c r="A2908" s="34" t="s">
        <v>9298</v>
      </c>
      <c r="B2908" s="35">
        <v>2.3371252684870698</v>
      </c>
    </row>
    <row r="2909" spans="1:2" ht="13.2" x14ac:dyDescent="0.25">
      <c r="A2909" s="34" t="s">
        <v>9297</v>
      </c>
      <c r="B2909" s="35">
        <v>2.4015616037095699</v>
      </c>
    </row>
    <row r="2910" spans="1:2" ht="13.2" x14ac:dyDescent="0.25">
      <c r="A2910" s="34" t="s">
        <v>9296</v>
      </c>
    </row>
    <row r="2911" spans="1:2" ht="13.2" x14ac:dyDescent="0.25">
      <c r="A2911" s="34" t="s">
        <v>9295</v>
      </c>
    </row>
    <row r="2912" spans="1:2" ht="13.2" x14ac:dyDescent="0.25">
      <c r="A2912" s="34" t="s">
        <v>9294</v>
      </c>
      <c r="B2912" s="35">
        <v>2.4091751424590502</v>
      </c>
    </row>
    <row r="2913" spans="1:2" ht="13.2" x14ac:dyDescent="0.25">
      <c r="A2913" s="34" t="s">
        <v>9293</v>
      </c>
      <c r="B2913" s="35">
        <v>2.3937875713663002</v>
      </c>
    </row>
    <row r="2914" spans="1:2" ht="13.2" x14ac:dyDescent="0.25">
      <c r="A2914" s="34" t="s">
        <v>9292</v>
      </c>
      <c r="B2914" s="35">
        <v>2.3911838025743299</v>
      </c>
    </row>
    <row r="2915" spans="1:2" ht="13.2" x14ac:dyDescent="0.25">
      <c r="A2915" s="34" t="s">
        <v>9291</v>
      </c>
      <c r="B2915" s="35">
        <v>2.3851547821514001</v>
      </c>
    </row>
    <row r="2916" spans="1:2" ht="13.2" x14ac:dyDescent="0.25">
      <c r="A2916" s="34" t="s">
        <v>9290</v>
      </c>
      <c r="B2916" s="35">
        <v>2.1999435191911898</v>
      </c>
    </row>
    <row r="2917" spans="1:2" ht="13.2" x14ac:dyDescent="0.25">
      <c r="A2917" s="34" t="s">
        <v>9289</v>
      </c>
    </row>
    <row r="2918" spans="1:2" ht="13.2" x14ac:dyDescent="0.25">
      <c r="A2918" s="34" t="s">
        <v>9288</v>
      </c>
    </row>
    <row r="2919" spans="1:2" ht="13.2" x14ac:dyDescent="0.25">
      <c r="A2919" s="34" t="s">
        <v>9287</v>
      </c>
      <c r="B2919" s="35">
        <v>2.0696500573464101</v>
      </c>
    </row>
    <row r="2920" spans="1:2" ht="13.2" x14ac:dyDescent="0.25">
      <c r="A2920" s="34" t="s">
        <v>9286</v>
      </c>
      <c r="B2920" s="35">
        <v>1.7375090608027499</v>
      </c>
    </row>
    <row r="2921" spans="1:2" ht="13.2" x14ac:dyDescent="0.25">
      <c r="A2921" s="34" t="s">
        <v>9285</v>
      </c>
      <c r="B2921" s="35">
        <v>1.7424108836336301</v>
      </c>
    </row>
    <row r="2922" spans="1:2" ht="13.2" x14ac:dyDescent="0.25">
      <c r="A2922" s="34" t="s">
        <v>9284</v>
      </c>
      <c r="B2922" s="35">
        <v>1.75353979198827</v>
      </c>
    </row>
    <row r="2923" spans="1:2" ht="13.2" x14ac:dyDescent="0.25">
      <c r="A2923" s="34" t="s">
        <v>9283</v>
      </c>
      <c r="B2923" s="35">
        <v>1.7840935182664299</v>
      </c>
    </row>
    <row r="2924" spans="1:2" ht="13.2" x14ac:dyDescent="0.25">
      <c r="A2924" s="34" t="s">
        <v>9282</v>
      </c>
    </row>
    <row r="2925" spans="1:2" ht="13.2" x14ac:dyDescent="0.25">
      <c r="A2925" s="34" t="s">
        <v>9281</v>
      </c>
    </row>
    <row r="2926" spans="1:2" ht="13.2" x14ac:dyDescent="0.25">
      <c r="A2926" s="34" t="s">
        <v>9280</v>
      </c>
      <c r="B2926" s="35">
        <v>1.5226157496694299</v>
      </c>
    </row>
    <row r="2927" spans="1:2" ht="13.2" x14ac:dyDescent="0.25">
      <c r="A2927" s="34" t="s">
        <v>9279</v>
      </c>
      <c r="B2927" s="35">
        <v>1.5186952407290899</v>
      </c>
    </row>
    <row r="2928" spans="1:2" ht="13.2" x14ac:dyDescent="0.25">
      <c r="A2928" s="34" t="s">
        <v>9278</v>
      </c>
      <c r="B2928" s="35">
        <v>1.52107005749385</v>
      </c>
    </row>
    <row r="2929" spans="1:2" ht="13.2" x14ac:dyDescent="0.25">
      <c r="A2929" s="34" t="s">
        <v>9277</v>
      </c>
      <c r="B2929" s="35">
        <v>1.5451004676300399</v>
      </c>
    </row>
    <row r="2930" spans="1:2" ht="13.2" x14ac:dyDescent="0.25">
      <c r="A2930" s="34" t="s">
        <v>9276</v>
      </c>
      <c r="B2930" s="35">
        <v>1.51474267796159</v>
      </c>
    </row>
    <row r="2931" spans="1:2" ht="13.2" x14ac:dyDescent="0.25">
      <c r="A2931" s="34" t="s">
        <v>9275</v>
      </c>
    </row>
    <row r="2932" spans="1:2" ht="13.2" x14ac:dyDescent="0.25">
      <c r="A2932" s="34" t="s">
        <v>9274</v>
      </c>
    </row>
    <row r="2933" spans="1:2" ht="13.2" x14ac:dyDescent="0.25">
      <c r="A2933" s="34" t="s">
        <v>9273</v>
      </c>
      <c r="B2933" s="35">
        <v>1.58746484793744</v>
      </c>
    </row>
    <row r="2934" spans="1:2" ht="13.2" x14ac:dyDescent="0.25">
      <c r="A2934" s="34" t="s">
        <v>9272</v>
      </c>
      <c r="B2934" s="35">
        <v>1.6025578349756</v>
      </c>
    </row>
    <row r="2935" spans="1:2" ht="13.2" x14ac:dyDescent="0.25">
      <c r="A2935" s="34" t="s">
        <v>9271</v>
      </c>
      <c r="B2935" s="35">
        <v>1.59138795656083</v>
      </c>
    </row>
    <row r="2936" spans="1:2" ht="13.2" x14ac:dyDescent="0.25">
      <c r="A2936" s="34" t="s">
        <v>9270</v>
      </c>
      <c r="B2936" s="35">
        <v>1.5985631575088299</v>
      </c>
    </row>
    <row r="2937" spans="1:2" ht="13.2" x14ac:dyDescent="0.25">
      <c r="A2937" s="34" t="s">
        <v>9269</v>
      </c>
      <c r="B2937" s="35">
        <v>1.5832792504266799</v>
      </c>
    </row>
    <row r="2938" spans="1:2" ht="13.2" x14ac:dyDescent="0.25">
      <c r="A2938" s="34" t="s">
        <v>9268</v>
      </c>
    </row>
    <row r="2939" spans="1:2" ht="13.2" x14ac:dyDescent="0.25">
      <c r="A2939" s="34" t="s">
        <v>9267</v>
      </c>
    </row>
    <row r="2940" spans="1:2" ht="13.2" x14ac:dyDescent="0.25">
      <c r="A2940" s="34" t="s">
        <v>9266</v>
      </c>
      <c r="B2940" s="35">
        <v>1.38974593866778</v>
      </c>
    </row>
    <row r="2941" spans="1:2" ht="13.2" x14ac:dyDescent="0.25">
      <c r="A2941" s="34" t="s">
        <v>9265</v>
      </c>
      <c r="B2941" s="35">
        <v>1.31884057641164</v>
      </c>
    </row>
    <row r="2942" spans="1:2" ht="13.2" x14ac:dyDescent="0.25">
      <c r="A2942" s="34" t="s">
        <v>9264</v>
      </c>
      <c r="B2942" s="35">
        <v>1.3410058978116299</v>
      </c>
    </row>
    <row r="2943" spans="1:2" ht="13.2" x14ac:dyDescent="0.25">
      <c r="A2943" s="34" t="s">
        <v>9263</v>
      </c>
    </row>
    <row r="2944" spans="1:2" ht="13.2" x14ac:dyDescent="0.25">
      <c r="A2944" s="34" t="s">
        <v>9262</v>
      </c>
      <c r="B2944" s="35">
        <v>1.3230616808559901</v>
      </c>
    </row>
    <row r="2945" spans="1:2" ht="13.2" x14ac:dyDescent="0.25">
      <c r="A2945" s="34" t="s">
        <v>9261</v>
      </c>
    </row>
    <row r="2946" spans="1:2" ht="13.2" x14ac:dyDescent="0.25">
      <c r="A2946" s="34" t="s">
        <v>9260</v>
      </c>
    </row>
    <row r="2947" spans="1:2" ht="13.2" x14ac:dyDescent="0.25">
      <c r="A2947" s="34" t="s">
        <v>9259</v>
      </c>
      <c r="B2947" s="35">
        <v>1.62620036871019</v>
      </c>
    </row>
    <row r="2948" spans="1:2" ht="13.2" x14ac:dyDescent="0.25">
      <c r="A2948" s="34" t="s">
        <v>9258</v>
      </c>
      <c r="B2948" s="35">
        <v>1.6207857153424801</v>
      </c>
    </row>
    <row r="2949" spans="1:2" ht="13.2" x14ac:dyDescent="0.25">
      <c r="A2949" s="34" t="s">
        <v>9257</v>
      </c>
      <c r="B2949" s="35">
        <v>1.5987527992066199</v>
      </c>
    </row>
    <row r="2950" spans="1:2" ht="13.2" x14ac:dyDescent="0.25">
      <c r="A2950" s="34" t="s">
        <v>9256</v>
      </c>
      <c r="B2950" s="35">
        <v>1.5928800986171601</v>
      </c>
    </row>
    <row r="2951" spans="1:2" ht="13.2" x14ac:dyDescent="0.25">
      <c r="A2951" s="34" t="s">
        <v>9255</v>
      </c>
      <c r="B2951" s="35">
        <v>1.5936942608167299</v>
      </c>
    </row>
    <row r="2952" spans="1:2" ht="13.2" x14ac:dyDescent="0.25">
      <c r="A2952" s="34" t="s">
        <v>9254</v>
      </c>
    </row>
    <row r="2953" spans="1:2" ht="13.2" x14ac:dyDescent="0.25">
      <c r="A2953" s="34" t="s">
        <v>9253</v>
      </c>
    </row>
    <row r="2954" spans="1:2" ht="13.2" x14ac:dyDescent="0.25">
      <c r="A2954" s="34" t="s">
        <v>9252</v>
      </c>
      <c r="B2954" s="35">
        <v>1.58749494924568</v>
      </c>
    </row>
    <row r="2955" spans="1:2" ht="13.2" x14ac:dyDescent="0.25">
      <c r="A2955" s="34" t="s">
        <v>9251</v>
      </c>
      <c r="B2955" s="35">
        <v>1.55680875985673</v>
      </c>
    </row>
    <row r="2956" spans="1:2" ht="13.2" x14ac:dyDescent="0.25">
      <c r="A2956" s="34" t="s">
        <v>9250</v>
      </c>
      <c r="B2956" s="35">
        <v>1.5754100510079101</v>
      </c>
    </row>
    <row r="2957" spans="1:2" ht="13.2" x14ac:dyDescent="0.25">
      <c r="A2957" s="34" t="s">
        <v>9249</v>
      </c>
      <c r="B2957" s="35">
        <v>1.5627903251949</v>
      </c>
    </row>
    <row r="2958" spans="1:2" ht="13.2" x14ac:dyDescent="0.25">
      <c r="A2958" s="34" t="s">
        <v>9248</v>
      </c>
      <c r="B2958" s="35">
        <v>1.58348585847134</v>
      </c>
    </row>
    <row r="2959" spans="1:2" ht="13.2" x14ac:dyDescent="0.25">
      <c r="A2959" s="34" t="s">
        <v>9247</v>
      </c>
    </row>
    <row r="2960" spans="1:2" ht="13.2" x14ac:dyDescent="0.25">
      <c r="A2960" s="34" t="s">
        <v>9246</v>
      </c>
    </row>
    <row r="2961" spans="1:2" ht="13.2" x14ac:dyDescent="0.25">
      <c r="A2961" s="34" t="s">
        <v>9245</v>
      </c>
      <c r="B2961" s="35">
        <v>1.5639660585783199</v>
      </c>
    </row>
    <row r="2962" spans="1:2" ht="13.2" x14ac:dyDescent="0.25">
      <c r="A2962" s="34" t="s">
        <v>9244</v>
      </c>
      <c r="B2962" s="35">
        <v>1.57369657873354</v>
      </c>
    </row>
    <row r="2963" spans="1:2" ht="13.2" x14ac:dyDescent="0.25">
      <c r="A2963" s="34" t="s">
        <v>9243</v>
      </c>
      <c r="B2963" s="35">
        <v>1.5413545279028</v>
      </c>
    </row>
    <row r="2964" spans="1:2" ht="13.2" x14ac:dyDescent="0.25">
      <c r="A2964" s="34" t="s">
        <v>9242</v>
      </c>
      <c r="B2964" s="35">
        <v>1.45511526195925</v>
      </c>
    </row>
    <row r="2965" spans="1:2" ht="13.2" x14ac:dyDescent="0.25">
      <c r="A2965" s="34" t="s">
        <v>9241</v>
      </c>
      <c r="B2965" s="35">
        <v>1.4604665302739701</v>
      </c>
    </row>
    <row r="2966" spans="1:2" ht="13.2" x14ac:dyDescent="0.25">
      <c r="A2966" s="34" t="s">
        <v>9240</v>
      </c>
    </row>
    <row r="2967" spans="1:2" ht="13.2" x14ac:dyDescent="0.25">
      <c r="A2967" s="34" t="s">
        <v>9239</v>
      </c>
    </row>
    <row r="2968" spans="1:2" ht="13.2" x14ac:dyDescent="0.25">
      <c r="A2968" s="34" t="s">
        <v>9238</v>
      </c>
    </row>
    <row r="2969" spans="1:2" ht="13.2" x14ac:dyDescent="0.25">
      <c r="A2969" s="34" t="s">
        <v>9237</v>
      </c>
      <c r="B2969" s="35">
        <v>1.4881631430012301</v>
      </c>
    </row>
    <row r="2970" spans="1:2" ht="13.2" x14ac:dyDescent="0.25">
      <c r="A2970" s="34" t="s">
        <v>9236</v>
      </c>
      <c r="B2970" s="35">
        <v>1.57683923406606</v>
      </c>
    </row>
    <row r="2971" spans="1:2" ht="13.2" x14ac:dyDescent="0.25">
      <c r="A2971" s="34" t="s">
        <v>9235</v>
      </c>
      <c r="B2971" s="35">
        <v>1.5968639492439101</v>
      </c>
    </row>
    <row r="2972" spans="1:2" ht="13.2" x14ac:dyDescent="0.25">
      <c r="A2972" s="34" t="s">
        <v>9234</v>
      </c>
      <c r="B2972" s="35">
        <v>1.6339775633037901</v>
      </c>
    </row>
    <row r="2973" spans="1:2" ht="13.2" x14ac:dyDescent="0.25">
      <c r="A2973" s="34" t="s">
        <v>9233</v>
      </c>
    </row>
    <row r="2974" spans="1:2" ht="13.2" x14ac:dyDescent="0.25">
      <c r="A2974" s="34" t="s">
        <v>9232</v>
      </c>
    </row>
    <row r="2975" spans="1:2" ht="13.2" x14ac:dyDescent="0.25">
      <c r="A2975" s="34" t="s">
        <v>9231</v>
      </c>
      <c r="B2975" s="35">
        <v>1.60942044769807</v>
      </c>
    </row>
    <row r="2976" spans="1:2" ht="13.2" x14ac:dyDescent="0.25">
      <c r="A2976" s="34" t="s">
        <v>9230</v>
      </c>
      <c r="B2976" s="35">
        <v>1.65769438427502</v>
      </c>
    </row>
    <row r="2977" spans="1:2" ht="13.2" x14ac:dyDescent="0.25">
      <c r="A2977" s="34" t="s">
        <v>9229</v>
      </c>
      <c r="B2977" s="35">
        <v>1.49248948004319</v>
      </c>
    </row>
    <row r="2978" spans="1:2" ht="13.2" x14ac:dyDescent="0.25">
      <c r="A2978" s="34" t="s">
        <v>9228</v>
      </c>
      <c r="B2978" s="35">
        <v>1.48789393015565</v>
      </c>
    </row>
    <row r="2979" spans="1:2" ht="13.2" x14ac:dyDescent="0.25">
      <c r="A2979" s="34" t="s">
        <v>9227</v>
      </c>
      <c r="B2979" s="35">
        <v>1.5646604067747201</v>
      </c>
    </row>
    <row r="2980" spans="1:2" ht="13.2" x14ac:dyDescent="0.25">
      <c r="A2980" s="34" t="s">
        <v>9226</v>
      </c>
    </row>
    <row r="2981" spans="1:2" ht="13.2" x14ac:dyDescent="0.25">
      <c r="A2981" s="34" t="s">
        <v>9225</v>
      </c>
    </row>
    <row r="2982" spans="1:2" ht="13.2" x14ac:dyDescent="0.25">
      <c r="A2982" s="34" t="s">
        <v>9224</v>
      </c>
      <c r="B2982" s="35">
        <v>1.5047065483288</v>
      </c>
    </row>
    <row r="2983" spans="1:2" ht="13.2" x14ac:dyDescent="0.25">
      <c r="A2983" s="34" t="s">
        <v>9223</v>
      </c>
      <c r="B2983" s="35">
        <v>1.5684719337441</v>
      </c>
    </row>
    <row r="2984" spans="1:2" ht="13.2" x14ac:dyDescent="0.25">
      <c r="A2984" s="34" t="s">
        <v>9222</v>
      </c>
      <c r="B2984" s="35">
        <v>1.6130569340743499</v>
      </c>
    </row>
    <row r="2985" spans="1:2" ht="13.2" x14ac:dyDescent="0.25">
      <c r="A2985" s="34" t="s">
        <v>9221</v>
      </c>
      <c r="B2985" s="35">
        <v>1.62224456326281</v>
      </c>
    </row>
    <row r="2986" spans="1:2" ht="13.2" x14ac:dyDescent="0.25">
      <c r="A2986" s="34" t="s">
        <v>9220</v>
      </c>
      <c r="B2986" s="35">
        <v>1.6227409668413399</v>
      </c>
    </row>
    <row r="2987" spans="1:2" ht="13.2" x14ac:dyDescent="0.25">
      <c r="A2987" s="34" t="s">
        <v>9219</v>
      </c>
    </row>
    <row r="2988" spans="1:2" ht="13.2" x14ac:dyDescent="0.25">
      <c r="A2988" s="34" t="s">
        <v>9218</v>
      </c>
    </row>
    <row r="2989" spans="1:2" ht="13.2" x14ac:dyDescent="0.25">
      <c r="A2989" s="34" t="s">
        <v>9217</v>
      </c>
      <c r="B2989" s="35">
        <v>1.6400751195863399</v>
      </c>
    </row>
    <row r="2990" spans="1:2" ht="13.2" x14ac:dyDescent="0.25">
      <c r="A2990" s="34" t="s">
        <v>9216</v>
      </c>
      <c r="B2990" s="35">
        <v>1.6149542138308399</v>
      </c>
    </row>
    <row r="2991" spans="1:2" ht="13.2" x14ac:dyDescent="0.25">
      <c r="A2991" s="34" t="s">
        <v>9215</v>
      </c>
      <c r="B2991" s="35">
        <v>1.6146501029928999</v>
      </c>
    </row>
    <row r="2992" spans="1:2" ht="13.2" x14ac:dyDescent="0.25">
      <c r="A2992" s="34" t="s">
        <v>9214</v>
      </c>
      <c r="B2992" s="35">
        <v>1.6034448518094</v>
      </c>
    </row>
    <row r="2993" spans="1:2" ht="13.2" x14ac:dyDescent="0.25">
      <c r="A2993" s="34" t="s">
        <v>9213</v>
      </c>
      <c r="B2993" s="35">
        <v>1.5430184336725801</v>
      </c>
    </row>
    <row r="2994" spans="1:2" ht="13.2" x14ac:dyDescent="0.25">
      <c r="A2994" s="34" t="s">
        <v>9212</v>
      </c>
    </row>
    <row r="2995" spans="1:2" ht="13.2" x14ac:dyDescent="0.25">
      <c r="A2995" s="34" t="s">
        <v>9211</v>
      </c>
    </row>
    <row r="2996" spans="1:2" ht="13.2" x14ac:dyDescent="0.25">
      <c r="A2996" s="34" t="s">
        <v>9210</v>
      </c>
      <c r="B2996" s="35">
        <v>1.5807964169194</v>
      </c>
    </row>
    <row r="2997" spans="1:2" ht="13.2" x14ac:dyDescent="0.25">
      <c r="A2997" s="34" t="s">
        <v>9209</v>
      </c>
      <c r="B2997" s="35">
        <v>1.56406949532146</v>
      </c>
    </row>
    <row r="2998" spans="1:2" ht="13.2" x14ac:dyDescent="0.25">
      <c r="A2998" s="34" t="s">
        <v>9208</v>
      </c>
      <c r="B2998" s="35">
        <v>1.47212198744303</v>
      </c>
    </row>
    <row r="2999" spans="1:2" ht="13.2" x14ac:dyDescent="0.25">
      <c r="A2999" s="34" t="s">
        <v>9207</v>
      </c>
      <c r="B2999" s="35">
        <v>1.4300246896509401</v>
      </c>
    </row>
    <row r="3000" spans="1:2" ht="13.2" x14ac:dyDescent="0.25">
      <c r="A3000" s="34" t="s">
        <v>9206</v>
      </c>
      <c r="B3000" s="35">
        <v>1.4261613570595499</v>
      </c>
    </row>
    <row r="3001" spans="1:2" ht="13.2" x14ac:dyDescent="0.25">
      <c r="A3001" s="34" t="s">
        <v>9205</v>
      </c>
    </row>
    <row r="3002" spans="1:2" ht="13.2" x14ac:dyDescent="0.25">
      <c r="A3002" s="34" t="s">
        <v>9204</v>
      </c>
    </row>
    <row r="3003" spans="1:2" ht="13.2" x14ac:dyDescent="0.25">
      <c r="A3003" s="34" t="s">
        <v>9203</v>
      </c>
      <c r="B3003" s="35">
        <v>1.4175641966746499</v>
      </c>
    </row>
    <row r="3004" spans="1:2" ht="13.2" x14ac:dyDescent="0.25">
      <c r="A3004" s="34" t="s">
        <v>9202</v>
      </c>
      <c r="B3004" s="35">
        <v>1.3588720301031101</v>
      </c>
    </row>
    <row r="3005" spans="1:2" ht="13.2" x14ac:dyDescent="0.25">
      <c r="A3005" s="34" t="s">
        <v>9201</v>
      </c>
      <c r="B3005" s="35">
        <v>1.2504497518491899</v>
      </c>
    </row>
    <row r="3006" spans="1:2" ht="13.2" x14ac:dyDescent="0.25">
      <c r="A3006" s="34" t="s">
        <v>9200</v>
      </c>
      <c r="B3006" s="35">
        <v>1.1317408164722</v>
      </c>
    </row>
    <row r="3007" spans="1:2" ht="13.2" x14ac:dyDescent="0.25">
      <c r="A3007" s="34" t="s">
        <v>9199</v>
      </c>
      <c r="B3007" s="35">
        <v>1.35421572274809</v>
      </c>
    </row>
    <row r="3008" spans="1:2" ht="13.2" x14ac:dyDescent="0.25">
      <c r="A3008" s="34" t="s">
        <v>9198</v>
      </c>
    </row>
    <row r="3009" spans="1:2" ht="13.2" x14ac:dyDescent="0.25">
      <c r="A3009" s="34" t="s">
        <v>9197</v>
      </c>
    </row>
    <row r="3010" spans="1:2" ht="13.2" x14ac:dyDescent="0.25">
      <c r="A3010" s="34" t="s">
        <v>9196</v>
      </c>
      <c r="B3010" s="35">
        <v>1.2301725810958499</v>
      </c>
    </row>
    <row r="3011" spans="1:2" ht="13.2" x14ac:dyDescent="0.25">
      <c r="A3011" s="34" t="s">
        <v>9195</v>
      </c>
      <c r="B3011" s="35">
        <v>1.2650701531067701</v>
      </c>
    </row>
    <row r="3012" spans="1:2" ht="13.2" x14ac:dyDescent="0.25">
      <c r="A3012" s="34" t="s">
        <v>9194</v>
      </c>
      <c r="B3012" s="35">
        <v>1.1950973756791301</v>
      </c>
    </row>
    <row r="3013" spans="1:2" ht="13.2" x14ac:dyDescent="0.25">
      <c r="A3013" s="34" t="s">
        <v>9193</v>
      </c>
      <c r="B3013" s="35">
        <v>1.14679394513255</v>
      </c>
    </row>
    <row r="3014" spans="1:2" ht="13.2" x14ac:dyDescent="0.25">
      <c r="A3014" s="34" t="s">
        <v>9192</v>
      </c>
      <c r="B3014" s="35">
        <v>1.24728432653361</v>
      </c>
    </row>
    <row r="3015" spans="1:2" ht="13.2" x14ac:dyDescent="0.25">
      <c r="A3015" s="34" t="s">
        <v>9191</v>
      </c>
    </row>
    <row r="3016" spans="1:2" ht="13.2" x14ac:dyDescent="0.25">
      <c r="A3016" s="34" t="s">
        <v>9190</v>
      </c>
    </row>
    <row r="3017" spans="1:2" ht="13.2" x14ac:dyDescent="0.25">
      <c r="A3017" s="34" t="s">
        <v>9189</v>
      </c>
      <c r="B3017" s="35">
        <v>1.22741294122681</v>
      </c>
    </row>
    <row r="3018" spans="1:2" ht="13.2" x14ac:dyDescent="0.25">
      <c r="A3018" s="34" t="s">
        <v>9188</v>
      </c>
      <c r="B3018" s="35">
        <v>1.2016070155309799</v>
      </c>
    </row>
    <row r="3019" spans="1:2" ht="13.2" x14ac:dyDescent="0.25">
      <c r="A3019" s="34" t="s">
        <v>9187</v>
      </c>
      <c r="B3019" s="35">
        <v>1.2039872114755299</v>
      </c>
    </row>
    <row r="3020" spans="1:2" ht="13.2" x14ac:dyDescent="0.25">
      <c r="A3020" s="34" t="s">
        <v>9186</v>
      </c>
      <c r="B3020" s="35">
        <v>1.23050361806802</v>
      </c>
    </row>
    <row r="3021" spans="1:2" ht="13.2" x14ac:dyDescent="0.25">
      <c r="A3021" s="34" t="s">
        <v>9185</v>
      </c>
      <c r="B3021" s="35">
        <v>1.21373188357602</v>
      </c>
    </row>
    <row r="3022" spans="1:2" ht="13.2" x14ac:dyDescent="0.25">
      <c r="A3022" s="34" t="s">
        <v>9184</v>
      </c>
    </row>
    <row r="3023" spans="1:2" ht="13.2" x14ac:dyDescent="0.25">
      <c r="A3023" s="34" t="s">
        <v>9183</v>
      </c>
    </row>
    <row r="3024" spans="1:2" ht="13.2" x14ac:dyDescent="0.25">
      <c r="A3024" s="34" t="s">
        <v>9182</v>
      </c>
      <c r="B3024" s="35">
        <v>1.2092171136686301</v>
      </c>
    </row>
    <row r="3025" spans="1:2" ht="13.2" x14ac:dyDescent="0.25">
      <c r="A3025" s="34" t="s">
        <v>9181</v>
      </c>
      <c r="B3025" s="35">
        <v>1.1316295276236901</v>
      </c>
    </row>
    <row r="3026" spans="1:2" ht="13.2" x14ac:dyDescent="0.25">
      <c r="A3026" s="34" t="s">
        <v>9180</v>
      </c>
      <c r="B3026" s="35">
        <v>1.14583940443414</v>
      </c>
    </row>
    <row r="3027" spans="1:2" ht="13.2" x14ac:dyDescent="0.25">
      <c r="A3027" s="34" t="s">
        <v>9179</v>
      </c>
      <c r="B3027" s="35">
        <v>1.2404772479703601</v>
      </c>
    </row>
    <row r="3028" spans="1:2" ht="13.2" x14ac:dyDescent="0.25">
      <c r="A3028" s="34" t="s">
        <v>9178</v>
      </c>
    </row>
    <row r="3029" spans="1:2" ht="13.2" x14ac:dyDescent="0.25">
      <c r="A3029" s="34" t="s">
        <v>9177</v>
      </c>
    </row>
    <row r="3030" spans="1:2" ht="13.2" x14ac:dyDescent="0.25">
      <c r="A3030" s="34" t="s">
        <v>9176</v>
      </c>
    </row>
    <row r="3031" spans="1:2" ht="13.2" x14ac:dyDescent="0.25">
      <c r="A3031" s="34" t="s">
        <v>9175</v>
      </c>
      <c r="B3031" s="35">
        <v>1.3261492748788599</v>
      </c>
    </row>
    <row r="3032" spans="1:2" ht="13.2" x14ac:dyDescent="0.25">
      <c r="A3032" s="34" t="s">
        <v>9174</v>
      </c>
      <c r="B3032" s="35">
        <v>2.3243798956359498</v>
      </c>
    </row>
    <row r="3033" spans="1:2" ht="13.2" x14ac:dyDescent="0.25">
      <c r="A3033" s="34" t="s">
        <v>9173</v>
      </c>
      <c r="B3033" s="35">
        <v>2.4676536222454799</v>
      </c>
    </row>
    <row r="3034" spans="1:2" ht="13.2" x14ac:dyDescent="0.25">
      <c r="A3034" s="34" t="s">
        <v>9172</v>
      </c>
      <c r="B3034" s="35">
        <v>2.8211063932366902</v>
      </c>
    </row>
    <row r="3035" spans="1:2" ht="13.2" x14ac:dyDescent="0.25">
      <c r="A3035" s="34" t="s">
        <v>9171</v>
      </c>
      <c r="B3035" s="35">
        <v>2.8343611607567998</v>
      </c>
    </row>
    <row r="3036" spans="1:2" ht="13.2" x14ac:dyDescent="0.25">
      <c r="A3036" s="34" t="s">
        <v>9170</v>
      </c>
    </row>
    <row r="3037" spans="1:2" ht="13.2" x14ac:dyDescent="0.25">
      <c r="A3037" s="34" t="s">
        <v>9169</v>
      </c>
    </row>
    <row r="3038" spans="1:2" ht="13.2" x14ac:dyDescent="0.25">
      <c r="A3038" s="34" t="s">
        <v>9168</v>
      </c>
      <c r="B3038" s="35">
        <v>3.1685151094569401</v>
      </c>
    </row>
    <row r="3039" spans="1:2" ht="13.2" x14ac:dyDescent="0.25">
      <c r="A3039" s="34" t="s">
        <v>9167</v>
      </c>
      <c r="B3039" s="35">
        <v>3.1325830345051999</v>
      </c>
    </row>
    <row r="3040" spans="1:2" ht="13.2" x14ac:dyDescent="0.25">
      <c r="A3040" s="34" t="s">
        <v>9166</v>
      </c>
      <c r="B3040" s="35">
        <v>3.1751566136632299</v>
      </c>
    </row>
    <row r="3041" spans="1:2" ht="13.2" x14ac:dyDescent="0.25">
      <c r="A3041" s="34" t="s">
        <v>9165</v>
      </c>
      <c r="B3041" s="35">
        <v>3.1776118945790999</v>
      </c>
    </row>
    <row r="3042" spans="1:2" ht="13.2" x14ac:dyDescent="0.25">
      <c r="A3042" s="34" t="s">
        <v>9164</v>
      </c>
      <c r="B3042" s="35">
        <v>3.16103877899956</v>
      </c>
    </row>
    <row r="3043" spans="1:2" ht="13.2" x14ac:dyDescent="0.25">
      <c r="A3043" s="34" t="s">
        <v>9163</v>
      </c>
    </row>
    <row r="3044" spans="1:2" ht="13.2" x14ac:dyDescent="0.25">
      <c r="A3044" s="34" t="s">
        <v>9162</v>
      </c>
    </row>
    <row r="3045" spans="1:2" ht="13.2" x14ac:dyDescent="0.25">
      <c r="A3045" s="34" t="s">
        <v>9161</v>
      </c>
      <c r="B3045" s="35">
        <v>3.1917337028228201</v>
      </c>
    </row>
    <row r="3046" spans="1:2" ht="13.2" x14ac:dyDescent="0.25">
      <c r="A3046" s="34" t="s">
        <v>9160</v>
      </c>
      <c r="B3046" s="35">
        <v>3.1508480601669699</v>
      </c>
    </row>
    <row r="3047" spans="1:2" ht="13.2" x14ac:dyDescent="0.25">
      <c r="A3047" s="34" t="s">
        <v>9159</v>
      </c>
      <c r="B3047" s="35">
        <v>3.1483678747505701</v>
      </c>
    </row>
    <row r="3048" spans="1:2" ht="13.2" x14ac:dyDescent="0.25">
      <c r="A3048" s="34" t="s">
        <v>9158</v>
      </c>
      <c r="B3048" s="35">
        <v>3.3328218913496701</v>
      </c>
    </row>
    <row r="3049" spans="1:2" ht="13.2" x14ac:dyDescent="0.25">
      <c r="A3049" s="34" t="s">
        <v>9157</v>
      </c>
      <c r="B3049" s="35">
        <v>3.3937206451817201</v>
      </c>
    </row>
    <row r="3050" spans="1:2" ht="13.2" x14ac:dyDescent="0.25">
      <c r="A3050" s="34" t="s">
        <v>9156</v>
      </c>
    </row>
    <row r="3051" spans="1:2" ht="13.2" x14ac:dyDescent="0.25">
      <c r="A3051" s="34" t="s">
        <v>9155</v>
      </c>
    </row>
    <row r="3052" spans="1:2" ht="13.2" x14ac:dyDescent="0.25">
      <c r="A3052" s="34" t="s">
        <v>9154</v>
      </c>
      <c r="B3052" s="35">
        <v>3.3929154010512401</v>
      </c>
    </row>
    <row r="3053" spans="1:2" ht="13.2" x14ac:dyDescent="0.25">
      <c r="A3053" s="34" t="s">
        <v>9153</v>
      </c>
      <c r="B3053" s="35">
        <v>3.3916232951326299</v>
      </c>
    </row>
    <row r="3054" spans="1:2" ht="13.2" x14ac:dyDescent="0.25">
      <c r="A3054" s="34" t="s">
        <v>9152</v>
      </c>
      <c r="B3054" s="35">
        <v>3.3878064261667502</v>
      </c>
    </row>
    <row r="3055" spans="1:2" ht="13.2" x14ac:dyDescent="0.25">
      <c r="A3055" s="34" t="s">
        <v>9151</v>
      </c>
      <c r="B3055" s="35">
        <v>3.3851061834867</v>
      </c>
    </row>
    <row r="3056" spans="1:2" ht="13.2" x14ac:dyDescent="0.25">
      <c r="A3056" s="34" t="s">
        <v>9150</v>
      </c>
      <c r="B3056" s="35">
        <v>3.4267007666429699</v>
      </c>
    </row>
    <row r="3057" spans="1:2" ht="13.2" x14ac:dyDescent="0.25">
      <c r="A3057" s="34" t="s">
        <v>9149</v>
      </c>
    </row>
    <row r="3058" spans="1:2" ht="13.2" x14ac:dyDescent="0.25">
      <c r="A3058" s="34" t="s">
        <v>9148</v>
      </c>
    </row>
    <row r="3059" spans="1:2" ht="13.2" x14ac:dyDescent="0.25">
      <c r="A3059" s="34" t="s">
        <v>9147</v>
      </c>
      <c r="B3059" s="35">
        <v>3.4045264583228998</v>
      </c>
    </row>
    <row r="3060" spans="1:2" ht="13.2" x14ac:dyDescent="0.25">
      <c r="A3060" s="34" t="s">
        <v>9146</v>
      </c>
      <c r="B3060" s="35">
        <v>3.4290519919236302</v>
      </c>
    </row>
    <row r="3061" spans="1:2" ht="13.2" x14ac:dyDescent="0.25">
      <c r="A3061" s="34" t="s">
        <v>9145</v>
      </c>
      <c r="B3061" s="35">
        <v>2.7866083422716201</v>
      </c>
    </row>
    <row r="3062" spans="1:2" ht="13.2" x14ac:dyDescent="0.25">
      <c r="A3062" s="34" t="s">
        <v>9144</v>
      </c>
      <c r="B3062" s="35">
        <v>2.8100998452922799</v>
      </c>
    </row>
    <row r="3063" spans="1:2" ht="13.2" x14ac:dyDescent="0.25">
      <c r="A3063" s="34" t="s">
        <v>9143</v>
      </c>
    </row>
    <row r="3064" spans="1:2" ht="13.2" x14ac:dyDescent="0.25">
      <c r="A3064" s="34" t="s">
        <v>9142</v>
      </c>
    </row>
    <row r="3065" spans="1:2" ht="13.2" x14ac:dyDescent="0.25">
      <c r="A3065" s="34" t="s">
        <v>9141</v>
      </c>
    </row>
    <row r="3066" spans="1:2" ht="13.2" x14ac:dyDescent="0.25">
      <c r="A3066" s="34" t="s">
        <v>9140</v>
      </c>
      <c r="B3066" s="35">
        <v>2.4645061274872102</v>
      </c>
    </row>
    <row r="3067" spans="1:2" ht="13.2" x14ac:dyDescent="0.25">
      <c r="A3067" s="34" t="s">
        <v>9139</v>
      </c>
      <c r="B3067" s="35">
        <v>2.37353746293038</v>
      </c>
    </row>
    <row r="3068" spans="1:2" ht="13.2" x14ac:dyDescent="0.25">
      <c r="A3068" s="34" t="s">
        <v>9138</v>
      </c>
      <c r="B3068" s="35">
        <v>2.1420513738019999</v>
      </c>
    </row>
    <row r="3069" spans="1:2" ht="13.2" x14ac:dyDescent="0.25">
      <c r="A3069" s="34" t="s">
        <v>9137</v>
      </c>
      <c r="B3069" s="35">
        <v>2.22706032097159</v>
      </c>
    </row>
    <row r="3070" spans="1:2" ht="13.2" x14ac:dyDescent="0.25">
      <c r="A3070" s="34" t="s">
        <v>9136</v>
      </c>
      <c r="B3070" s="35">
        <v>2.28630893570435</v>
      </c>
    </row>
    <row r="3071" spans="1:2" ht="13.2" x14ac:dyDescent="0.25">
      <c r="A3071" s="34" t="s">
        <v>9135</v>
      </c>
    </row>
    <row r="3072" spans="1:2" ht="13.2" x14ac:dyDescent="0.25">
      <c r="A3072" s="34" t="s">
        <v>9134</v>
      </c>
    </row>
    <row r="3073" spans="1:2" ht="13.2" x14ac:dyDescent="0.25">
      <c r="A3073" s="34" t="s">
        <v>9133</v>
      </c>
      <c r="B3073" s="35">
        <v>2.3166773000459799</v>
      </c>
    </row>
    <row r="3074" spans="1:2" ht="13.2" x14ac:dyDescent="0.25">
      <c r="A3074" s="34" t="s">
        <v>9132</v>
      </c>
      <c r="B3074" s="35">
        <v>2.3027701587623901</v>
      </c>
    </row>
    <row r="3075" spans="1:2" ht="13.2" x14ac:dyDescent="0.25">
      <c r="A3075" s="34" t="s">
        <v>9131</v>
      </c>
      <c r="B3075" s="35">
        <v>2.33034770912109</v>
      </c>
    </row>
    <row r="3076" spans="1:2" ht="13.2" x14ac:dyDescent="0.25">
      <c r="A3076" s="34" t="s">
        <v>9130</v>
      </c>
      <c r="B3076" s="35">
        <v>2.2303699167028999</v>
      </c>
    </row>
    <row r="3077" spans="1:2" ht="13.2" x14ac:dyDescent="0.25">
      <c r="A3077" s="34" t="s">
        <v>9129</v>
      </c>
      <c r="B3077" s="35">
        <v>2.1334212044765599</v>
      </c>
    </row>
    <row r="3078" spans="1:2" ht="13.2" x14ac:dyDescent="0.25">
      <c r="A3078" s="34" t="s">
        <v>9128</v>
      </c>
    </row>
    <row r="3079" spans="1:2" ht="13.2" x14ac:dyDescent="0.25">
      <c r="A3079" s="34" t="s">
        <v>9127</v>
      </c>
    </row>
    <row r="3080" spans="1:2" ht="13.2" x14ac:dyDescent="0.25">
      <c r="A3080" s="34" t="s">
        <v>9126</v>
      </c>
      <c r="B3080" s="35">
        <v>2.2001992779813802</v>
      </c>
    </row>
    <row r="3081" spans="1:2" ht="13.2" x14ac:dyDescent="0.25">
      <c r="A3081" s="34" t="s">
        <v>9125</v>
      </c>
      <c r="B3081" s="35">
        <v>2.2925658836486398</v>
      </c>
    </row>
    <row r="3082" spans="1:2" ht="13.2" x14ac:dyDescent="0.25">
      <c r="A3082" s="34" t="s">
        <v>9124</v>
      </c>
      <c r="B3082" s="35">
        <v>2.3494694328099701</v>
      </c>
    </row>
    <row r="3083" spans="1:2" ht="13.2" x14ac:dyDescent="0.25">
      <c r="A3083" s="34" t="s">
        <v>9123</v>
      </c>
      <c r="B3083" s="35">
        <v>2.3130842811158598</v>
      </c>
    </row>
    <row r="3084" spans="1:2" ht="13.2" x14ac:dyDescent="0.25">
      <c r="A3084" s="34" t="s">
        <v>9122</v>
      </c>
    </row>
    <row r="3085" spans="1:2" ht="13.2" x14ac:dyDescent="0.25">
      <c r="A3085" s="34" t="s">
        <v>9121</v>
      </c>
    </row>
    <row r="3086" spans="1:2" ht="13.2" x14ac:dyDescent="0.25">
      <c r="A3086" s="34" t="s">
        <v>9120</v>
      </c>
    </row>
    <row r="3087" spans="1:2" ht="13.2" x14ac:dyDescent="0.25">
      <c r="A3087" s="34" t="s">
        <v>9119</v>
      </c>
      <c r="B3087" s="35">
        <v>2.63964349475249</v>
      </c>
    </row>
    <row r="3088" spans="1:2" ht="13.2" x14ac:dyDescent="0.25">
      <c r="A3088" s="34" t="s">
        <v>9118</v>
      </c>
      <c r="B3088" s="35">
        <v>2.5873185330305599</v>
      </c>
    </row>
    <row r="3089" spans="1:2" ht="13.2" x14ac:dyDescent="0.25">
      <c r="A3089" s="34" t="s">
        <v>9117</v>
      </c>
      <c r="B3089" s="35">
        <v>2.5896650263024101</v>
      </c>
    </row>
    <row r="3090" spans="1:2" ht="13.2" x14ac:dyDescent="0.25">
      <c r="A3090" s="34" t="s">
        <v>9116</v>
      </c>
      <c r="B3090" s="35">
        <v>2.5720362924688498</v>
      </c>
    </row>
    <row r="3091" spans="1:2" ht="13.2" x14ac:dyDescent="0.25">
      <c r="A3091" s="34" t="s">
        <v>9115</v>
      </c>
      <c r="B3091" s="35">
        <v>2.56672361638147</v>
      </c>
    </row>
    <row r="3092" spans="1:2" ht="13.2" x14ac:dyDescent="0.25">
      <c r="A3092" s="34" t="s">
        <v>9114</v>
      </c>
    </row>
    <row r="3093" spans="1:2" ht="13.2" x14ac:dyDescent="0.25">
      <c r="A3093" s="34" t="s">
        <v>9113</v>
      </c>
    </row>
    <row r="3094" spans="1:2" ht="13.2" x14ac:dyDescent="0.25">
      <c r="A3094" s="34" t="s">
        <v>9112</v>
      </c>
      <c r="B3094" s="35">
        <v>2.6094992318030399</v>
      </c>
    </row>
    <row r="3095" spans="1:2" ht="13.2" x14ac:dyDescent="0.25">
      <c r="A3095" s="34" t="s">
        <v>9111</v>
      </c>
      <c r="B3095" s="35">
        <v>2.5983454494776601</v>
      </c>
    </row>
    <row r="3096" spans="1:2" ht="13.2" x14ac:dyDescent="0.25">
      <c r="A3096" s="34" t="s">
        <v>9110</v>
      </c>
      <c r="B3096" s="35">
        <v>2.44434832713522</v>
      </c>
    </row>
    <row r="3097" spans="1:2" ht="13.2" x14ac:dyDescent="0.25">
      <c r="A3097" s="34" t="s">
        <v>9109</v>
      </c>
    </row>
    <row r="3098" spans="1:2" ht="13.2" x14ac:dyDescent="0.25">
      <c r="A3098" s="34" t="s">
        <v>9108</v>
      </c>
      <c r="B3098" s="35">
        <v>2.4287466840363701</v>
      </c>
    </row>
    <row r="3099" spans="1:2" ht="13.2" x14ac:dyDescent="0.25">
      <c r="A3099" s="34" t="s">
        <v>9107</v>
      </c>
    </row>
    <row r="3100" spans="1:2" ht="13.2" x14ac:dyDescent="0.25">
      <c r="A3100" s="34" t="s">
        <v>9106</v>
      </c>
    </row>
    <row r="3101" spans="1:2" ht="13.2" x14ac:dyDescent="0.25">
      <c r="A3101" s="34" t="s">
        <v>9105</v>
      </c>
      <c r="B3101" s="35">
        <v>2.4259278311651999</v>
      </c>
    </row>
    <row r="3102" spans="1:2" ht="13.2" x14ac:dyDescent="0.25">
      <c r="A3102" s="34" t="s">
        <v>9104</v>
      </c>
      <c r="B3102" s="35">
        <v>2.4423760554329199</v>
      </c>
    </row>
    <row r="3103" spans="1:2" ht="13.2" x14ac:dyDescent="0.25">
      <c r="A3103" s="34" t="s">
        <v>9103</v>
      </c>
      <c r="B3103" s="35">
        <v>2.3866177010622498</v>
      </c>
    </row>
    <row r="3104" spans="1:2" ht="13.2" x14ac:dyDescent="0.25">
      <c r="A3104" s="34" t="s">
        <v>9102</v>
      </c>
      <c r="B3104" s="35">
        <v>2.3272621021845401</v>
      </c>
    </row>
    <row r="3105" spans="1:2" ht="13.2" x14ac:dyDescent="0.25">
      <c r="A3105" s="34" t="s">
        <v>9101</v>
      </c>
      <c r="B3105" s="35">
        <v>2.3725880971757398</v>
      </c>
    </row>
    <row r="3106" spans="1:2" ht="13.2" x14ac:dyDescent="0.25">
      <c r="A3106" s="34" t="s">
        <v>9100</v>
      </c>
    </row>
    <row r="3107" spans="1:2" ht="13.2" x14ac:dyDescent="0.25">
      <c r="A3107" s="34" t="s">
        <v>9099</v>
      </c>
    </row>
    <row r="3108" spans="1:2" ht="13.2" x14ac:dyDescent="0.25">
      <c r="A3108" s="34" t="s">
        <v>9098</v>
      </c>
      <c r="B3108" s="35">
        <v>2.3591120303698698</v>
      </c>
    </row>
    <row r="3109" spans="1:2" ht="13.2" x14ac:dyDescent="0.25">
      <c r="A3109" s="34" t="s">
        <v>9097</v>
      </c>
      <c r="B3109" s="35">
        <v>2.3773642670364898</v>
      </c>
    </row>
    <row r="3110" spans="1:2" ht="13.2" x14ac:dyDescent="0.25">
      <c r="A3110" s="34" t="s">
        <v>9096</v>
      </c>
      <c r="B3110" s="35">
        <v>2.6251206203738202</v>
      </c>
    </row>
    <row r="3111" spans="1:2" ht="13.2" x14ac:dyDescent="0.25">
      <c r="A3111" s="34" t="s">
        <v>9095</v>
      </c>
      <c r="B3111" s="35">
        <v>2.5413611869955202</v>
      </c>
    </row>
    <row r="3112" spans="1:2" ht="13.2" x14ac:dyDescent="0.25">
      <c r="A3112" s="34" t="s">
        <v>9094</v>
      </c>
      <c r="B3112" s="35">
        <v>2.4030938056708799</v>
      </c>
    </row>
    <row r="3113" spans="1:2" ht="13.2" x14ac:dyDescent="0.25">
      <c r="A3113" s="34" t="s">
        <v>9093</v>
      </c>
    </row>
    <row r="3114" spans="1:2" ht="13.2" x14ac:dyDescent="0.25">
      <c r="A3114" s="34" t="s">
        <v>9092</v>
      </c>
    </row>
    <row r="3115" spans="1:2" ht="13.2" x14ac:dyDescent="0.25">
      <c r="A3115" s="34" t="s">
        <v>9091</v>
      </c>
      <c r="B3115" s="35">
        <v>2.4045223334856001</v>
      </c>
    </row>
    <row r="3116" spans="1:2" ht="13.2" x14ac:dyDescent="0.25">
      <c r="A3116" s="34" t="s">
        <v>9090</v>
      </c>
      <c r="B3116" s="35">
        <v>2.4493525406872498</v>
      </c>
    </row>
    <row r="3117" spans="1:2" ht="13.2" x14ac:dyDescent="0.25">
      <c r="A3117" s="34" t="s">
        <v>9089</v>
      </c>
      <c r="B3117" s="35">
        <v>2.0622403131593501</v>
      </c>
    </row>
    <row r="3118" spans="1:2" ht="13.2" x14ac:dyDescent="0.25">
      <c r="A3118" s="34" t="s">
        <v>9088</v>
      </c>
      <c r="B3118" s="35">
        <v>2.0372166805288399</v>
      </c>
    </row>
    <row r="3119" spans="1:2" ht="13.2" x14ac:dyDescent="0.25">
      <c r="A3119" s="34" t="s">
        <v>9087</v>
      </c>
      <c r="B3119" s="35">
        <v>2.0724019347710199</v>
      </c>
    </row>
    <row r="3120" spans="1:2" ht="13.2" x14ac:dyDescent="0.25">
      <c r="A3120" s="34" t="s">
        <v>9086</v>
      </c>
    </row>
    <row r="3121" spans="1:2" ht="13.2" x14ac:dyDescent="0.25">
      <c r="A3121" s="34" t="s">
        <v>9085</v>
      </c>
    </row>
    <row r="3122" spans="1:2" ht="13.2" x14ac:dyDescent="0.25">
      <c r="A3122" s="34" t="s">
        <v>9084</v>
      </c>
      <c r="B3122" s="35">
        <v>2.07295303232923</v>
      </c>
    </row>
    <row r="3123" spans="1:2" ht="13.2" x14ac:dyDescent="0.25">
      <c r="A3123" s="34" t="s">
        <v>9083</v>
      </c>
      <c r="B3123" s="35">
        <v>2.0699606610446502</v>
      </c>
    </row>
    <row r="3124" spans="1:2" ht="13.2" x14ac:dyDescent="0.25">
      <c r="A3124" s="34" t="s">
        <v>9082</v>
      </c>
      <c r="B3124" s="35">
        <v>2.0598952207741301</v>
      </c>
    </row>
    <row r="3125" spans="1:2" ht="13.2" x14ac:dyDescent="0.25">
      <c r="A3125" s="34" t="s">
        <v>9081</v>
      </c>
      <c r="B3125" s="35">
        <v>2.11605417327358</v>
      </c>
    </row>
    <row r="3126" spans="1:2" ht="13.2" x14ac:dyDescent="0.25">
      <c r="A3126" s="34" t="s">
        <v>9080</v>
      </c>
      <c r="B3126" s="35">
        <v>2.1358481474817799</v>
      </c>
    </row>
    <row r="3127" spans="1:2" ht="13.2" x14ac:dyDescent="0.25">
      <c r="A3127" s="34" t="s">
        <v>9079</v>
      </c>
    </row>
    <row r="3128" spans="1:2" ht="13.2" x14ac:dyDescent="0.25">
      <c r="A3128" s="34" t="s">
        <v>9078</v>
      </c>
    </row>
    <row r="3129" spans="1:2" ht="13.2" x14ac:dyDescent="0.25">
      <c r="A3129" s="34" t="s">
        <v>9077</v>
      </c>
      <c r="B3129" s="35">
        <v>2.1356568970837402</v>
      </c>
    </row>
    <row r="3130" spans="1:2" ht="13.2" x14ac:dyDescent="0.25">
      <c r="A3130" s="34" t="s">
        <v>9076</v>
      </c>
      <c r="B3130" s="35">
        <v>2.2772045173184301</v>
      </c>
    </row>
    <row r="3131" spans="1:2" ht="13.2" x14ac:dyDescent="0.25">
      <c r="A3131" s="34" t="s">
        <v>9075</v>
      </c>
      <c r="B3131" s="35">
        <v>2.1930656242665099</v>
      </c>
    </row>
    <row r="3132" spans="1:2" ht="13.2" x14ac:dyDescent="0.25">
      <c r="A3132" s="34" t="s">
        <v>9074</v>
      </c>
      <c r="B3132" s="35">
        <v>2.2793240908009098</v>
      </c>
    </row>
    <row r="3133" spans="1:2" ht="13.2" x14ac:dyDescent="0.25">
      <c r="A3133" s="34" t="s">
        <v>9073</v>
      </c>
      <c r="B3133" s="35">
        <v>2.3701557104504198</v>
      </c>
    </row>
    <row r="3134" spans="1:2" ht="13.2" x14ac:dyDescent="0.25">
      <c r="A3134" s="34" t="s">
        <v>9072</v>
      </c>
    </row>
    <row r="3135" spans="1:2" ht="13.2" x14ac:dyDescent="0.25">
      <c r="A3135" s="34" t="s">
        <v>9071</v>
      </c>
    </row>
    <row r="3136" spans="1:2" ht="13.2" x14ac:dyDescent="0.25">
      <c r="A3136" s="34" t="s">
        <v>9070</v>
      </c>
    </row>
    <row r="3137" spans="1:2" ht="13.2" x14ac:dyDescent="0.25">
      <c r="A3137" s="34" t="s">
        <v>9069</v>
      </c>
    </row>
    <row r="3138" spans="1:2" ht="13.2" x14ac:dyDescent="0.25">
      <c r="A3138" s="34" t="s">
        <v>9068</v>
      </c>
      <c r="B3138" s="35">
        <v>2.2726469675416898</v>
      </c>
    </row>
    <row r="3139" spans="1:2" ht="13.2" x14ac:dyDescent="0.25">
      <c r="A3139" s="34" t="s">
        <v>9067</v>
      </c>
      <c r="B3139" s="35">
        <v>2.3001986716307901</v>
      </c>
    </row>
    <row r="3140" spans="1:2" ht="13.2" x14ac:dyDescent="0.25">
      <c r="A3140" s="34" t="s">
        <v>9066</v>
      </c>
      <c r="B3140" s="35">
        <v>2.3043020054191001</v>
      </c>
    </row>
    <row r="3141" spans="1:2" ht="13.2" x14ac:dyDescent="0.25">
      <c r="A3141" s="34" t="s">
        <v>9065</v>
      </c>
    </row>
    <row r="3142" spans="1:2" ht="13.2" x14ac:dyDescent="0.25">
      <c r="A3142" s="34" t="s">
        <v>9064</v>
      </c>
    </row>
    <row r="3143" spans="1:2" ht="13.2" x14ac:dyDescent="0.25">
      <c r="A3143" s="34" t="s">
        <v>9063</v>
      </c>
    </row>
    <row r="3144" spans="1:2" ht="13.2" x14ac:dyDescent="0.25">
      <c r="A3144" s="34" t="s">
        <v>9062</v>
      </c>
    </row>
    <row r="3145" spans="1:2" ht="13.2" x14ac:dyDescent="0.25">
      <c r="A3145" s="34" t="s">
        <v>9061</v>
      </c>
      <c r="B3145" s="35">
        <v>2.11676338027539</v>
      </c>
    </row>
    <row r="3146" spans="1:2" ht="13.2" x14ac:dyDescent="0.25">
      <c r="A3146" s="34" t="s">
        <v>9060</v>
      </c>
      <c r="B3146" s="35">
        <v>2.1022023948409001</v>
      </c>
    </row>
    <row r="3147" spans="1:2" ht="13.2" x14ac:dyDescent="0.25">
      <c r="A3147" s="34" t="s">
        <v>9059</v>
      </c>
      <c r="B3147" s="35">
        <v>2.0899997999351898</v>
      </c>
    </row>
    <row r="3148" spans="1:2" ht="13.2" x14ac:dyDescent="0.25">
      <c r="A3148" s="34" t="s">
        <v>9058</v>
      </c>
    </row>
    <row r="3149" spans="1:2" ht="13.2" x14ac:dyDescent="0.25">
      <c r="A3149" s="34" t="s">
        <v>9057</v>
      </c>
    </row>
    <row r="3150" spans="1:2" ht="13.2" x14ac:dyDescent="0.25">
      <c r="A3150" s="34" t="s">
        <v>9056</v>
      </c>
      <c r="B3150" s="35">
        <v>2.00420994665228</v>
      </c>
    </row>
    <row r="3151" spans="1:2" ht="13.2" x14ac:dyDescent="0.25">
      <c r="A3151" s="34" t="s">
        <v>9055</v>
      </c>
      <c r="B3151" s="35">
        <v>2.0065088753093501</v>
      </c>
    </row>
    <row r="3152" spans="1:2" ht="13.2" x14ac:dyDescent="0.25">
      <c r="A3152" s="34" t="s">
        <v>9054</v>
      </c>
      <c r="B3152" s="35">
        <v>2.0012258783065699</v>
      </c>
    </row>
    <row r="3153" spans="1:2" ht="13.2" x14ac:dyDescent="0.25">
      <c r="A3153" s="34" t="s">
        <v>9053</v>
      </c>
      <c r="B3153" s="35">
        <v>2.1267428865105402</v>
      </c>
    </row>
    <row r="3154" spans="1:2" ht="13.2" x14ac:dyDescent="0.25">
      <c r="A3154" s="34" t="s">
        <v>9052</v>
      </c>
      <c r="B3154" s="35">
        <v>2.0864007166612599</v>
      </c>
    </row>
    <row r="3155" spans="1:2" ht="13.2" x14ac:dyDescent="0.25">
      <c r="A3155" s="34" t="s">
        <v>9051</v>
      </c>
    </row>
    <row r="3156" spans="1:2" ht="13.2" x14ac:dyDescent="0.25">
      <c r="A3156" s="34" t="s">
        <v>9050</v>
      </c>
    </row>
    <row r="3157" spans="1:2" ht="13.2" x14ac:dyDescent="0.25">
      <c r="A3157" s="34" t="s">
        <v>9049</v>
      </c>
      <c r="B3157" s="35">
        <v>2.2126318275003101</v>
      </c>
    </row>
    <row r="3158" spans="1:2" ht="13.2" x14ac:dyDescent="0.25">
      <c r="A3158" s="34" t="s">
        <v>9048</v>
      </c>
      <c r="B3158" s="35">
        <v>2.2144217243017201</v>
      </c>
    </row>
    <row r="3159" spans="1:2" ht="13.2" x14ac:dyDescent="0.25">
      <c r="A3159" s="34" t="s">
        <v>9047</v>
      </c>
      <c r="B3159" s="35">
        <v>2.1855068983669499</v>
      </c>
    </row>
    <row r="3160" spans="1:2" ht="13.2" x14ac:dyDescent="0.25">
      <c r="A3160" s="34" t="s">
        <v>9046</v>
      </c>
      <c r="B3160" s="35">
        <v>2.1220077699006201</v>
      </c>
    </row>
    <row r="3161" spans="1:2" ht="13.2" x14ac:dyDescent="0.25">
      <c r="A3161" s="34" t="s">
        <v>9045</v>
      </c>
      <c r="B3161" s="35">
        <v>2.0935691455818799</v>
      </c>
    </row>
    <row r="3162" spans="1:2" ht="13.2" x14ac:dyDescent="0.25">
      <c r="A3162" s="34" t="s">
        <v>9044</v>
      </c>
    </row>
    <row r="3163" spans="1:2" ht="13.2" x14ac:dyDescent="0.25">
      <c r="A3163" s="34" t="s">
        <v>9043</v>
      </c>
    </row>
    <row r="3164" spans="1:2" ht="13.2" x14ac:dyDescent="0.25">
      <c r="A3164" s="34" t="s">
        <v>9042</v>
      </c>
      <c r="B3164" s="35">
        <v>2.1276203286952202</v>
      </c>
    </row>
    <row r="3165" spans="1:2" ht="13.2" x14ac:dyDescent="0.25">
      <c r="A3165" s="34" t="s">
        <v>9041</v>
      </c>
      <c r="B3165" s="35">
        <v>1.9750307566620799</v>
      </c>
    </row>
    <row r="3166" spans="1:2" ht="13.2" x14ac:dyDescent="0.25">
      <c r="A3166" s="34" t="s">
        <v>9040</v>
      </c>
      <c r="B3166" s="35">
        <v>2.0100492539347599</v>
      </c>
    </row>
    <row r="3167" spans="1:2" ht="13.2" x14ac:dyDescent="0.25">
      <c r="A3167" s="34" t="s">
        <v>9039</v>
      </c>
      <c r="B3167" s="35">
        <v>1.9087909435566199</v>
      </c>
    </row>
    <row r="3168" spans="1:2" ht="13.2" x14ac:dyDescent="0.25">
      <c r="A3168" s="34" t="s">
        <v>9038</v>
      </c>
    </row>
    <row r="3169" spans="1:2" ht="13.2" x14ac:dyDescent="0.25">
      <c r="A3169" s="34" t="s">
        <v>9037</v>
      </c>
    </row>
    <row r="3170" spans="1:2" ht="13.2" x14ac:dyDescent="0.25">
      <c r="A3170" s="34" t="s">
        <v>9036</v>
      </c>
    </row>
    <row r="3171" spans="1:2" ht="13.2" x14ac:dyDescent="0.25">
      <c r="A3171" s="34" t="s">
        <v>9035</v>
      </c>
      <c r="B3171" s="35">
        <v>1.7661658466375101</v>
      </c>
    </row>
    <row r="3172" spans="1:2" ht="13.2" x14ac:dyDescent="0.25">
      <c r="A3172" s="34" t="s">
        <v>9034</v>
      </c>
      <c r="B3172" s="35">
        <v>1.9505898905141099</v>
      </c>
    </row>
    <row r="3173" spans="1:2" ht="13.2" x14ac:dyDescent="0.25">
      <c r="A3173" s="34" t="s">
        <v>9033</v>
      </c>
      <c r="B3173" s="35">
        <v>1.8096367285885</v>
      </c>
    </row>
    <row r="3174" spans="1:2" ht="13.2" x14ac:dyDescent="0.25">
      <c r="A3174" s="34" t="s">
        <v>9032</v>
      </c>
      <c r="B3174" s="35">
        <v>1.8459595466716101</v>
      </c>
    </row>
    <row r="3175" spans="1:2" ht="13.2" x14ac:dyDescent="0.25">
      <c r="A3175" s="34" t="s">
        <v>9031</v>
      </c>
      <c r="B3175" s="35">
        <v>1.75838220022056</v>
      </c>
    </row>
    <row r="3176" spans="1:2" ht="13.2" x14ac:dyDescent="0.25">
      <c r="A3176" s="34" t="s">
        <v>9030</v>
      </c>
    </row>
    <row r="3177" spans="1:2" ht="13.2" x14ac:dyDescent="0.25">
      <c r="A3177" s="34" t="s">
        <v>9029</v>
      </c>
    </row>
    <row r="3178" spans="1:2" ht="13.2" x14ac:dyDescent="0.25">
      <c r="A3178" s="34" t="s">
        <v>9028</v>
      </c>
      <c r="B3178" s="35">
        <v>1.59983507272436</v>
      </c>
    </row>
    <row r="3179" spans="1:2" ht="13.2" x14ac:dyDescent="0.25">
      <c r="A3179" s="34" t="s">
        <v>9027</v>
      </c>
      <c r="B3179" s="35">
        <v>1.67446751439928</v>
      </c>
    </row>
    <row r="3180" spans="1:2" ht="13.2" x14ac:dyDescent="0.25">
      <c r="A3180" s="34" t="s">
        <v>9026</v>
      </c>
      <c r="B3180" s="35">
        <v>1.66773569996208</v>
      </c>
    </row>
    <row r="3181" spans="1:2" ht="13.2" x14ac:dyDescent="0.25">
      <c r="A3181" s="34" t="s">
        <v>9025</v>
      </c>
      <c r="B3181" s="35">
        <v>1.6547623767574999</v>
      </c>
    </row>
    <row r="3182" spans="1:2" ht="13.2" x14ac:dyDescent="0.25">
      <c r="A3182" s="34" t="s">
        <v>9024</v>
      </c>
      <c r="B3182" s="35">
        <v>1.6509952360699101</v>
      </c>
    </row>
    <row r="3183" spans="1:2" ht="13.2" x14ac:dyDescent="0.25">
      <c r="A3183" s="34" t="s">
        <v>9023</v>
      </c>
    </row>
    <row r="3184" spans="1:2" ht="13.2" x14ac:dyDescent="0.25">
      <c r="A3184" s="34" t="s">
        <v>9022</v>
      </c>
    </row>
    <row r="3185" spans="1:2" ht="13.2" x14ac:dyDescent="0.25">
      <c r="A3185" s="34" t="s">
        <v>9021</v>
      </c>
    </row>
    <row r="3186" spans="1:2" ht="13.2" x14ac:dyDescent="0.25">
      <c r="A3186" s="34" t="s">
        <v>9020</v>
      </c>
    </row>
    <row r="3187" spans="1:2" ht="13.2" x14ac:dyDescent="0.25">
      <c r="A3187" s="34" t="s">
        <v>9019</v>
      </c>
      <c r="B3187" s="35">
        <v>1.67847376425539</v>
      </c>
    </row>
    <row r="3188" spans="1:2" ht="13.2" x14ac:dyDescent="0.25">
      <c r="A3188" s="34" t="s">
        <v>9018</v>
      </c>
      <c r="B3188" s="35">
        <v>1.75673664824084</v>
      </c>
    </row>
    <row r="3189" spans="1:2" ht="13.2" x14ac:dyDescent="0.25">
      <c r="A3189" s="34" t="s">
        <v>9017</v>
      </c>
      <c r="B3189" s="35">
        <v>1.5809908678846301</v>
      </c>
    </row>
    <row r="3190" spans="1:2" ht="13.2" x14ac:dyDescent="0.25">
      <c r="A3190" s="34" t="s">
        <v>9016</v>
      </c>
    </row>
    <row r="3191" spans="1:2" ht="13.2" x14ac:dyDescent="0.25">
      <c r="A3191" s="34" t="s">
        <v>9015</v>
      </c>
    </row>
    <row r="3192" spans="1:2" ht="13.2" x14ac:dyDescent="0.25">
      <c r="A3192" s="34" t="s">
        <v>9014</v>
      </c>
      <c r="B3192" s="35">
        <v>1.59900760836335</v>
      </c>
    </row>
    <row r="3193" spans="1:2" ht="13.2" x14ac:dyDescent="0.25">
      <c r="A3193" s="34" t="s">
        <v>9013</v>
      </c>
      <c r="B3193" s="35">
        <v>1.6097426841604501</v>
      </c>
    </row>
    <row r="3194" spans="1:2" ht="13.2" x14ac:dyDescent="0.25">
      <c r="A3194" s="34" t="s">
        <v>9012</v>
      </c>
      <c r="B3194" s="35">
        <v>1.6397256496202399</v>
      </c>
    </row>
    <row r="3195" spans="1:2" ht="13.2" x14ac:dyDescent="0.25">
      <c r="A3195" s="34" t="s">
        <v>9011</v>
      </c>
      <c r="B3195" s="35">
        <v>1.68080920736371</v>
      </c>
    </row>
    <row r="3196" spans="1:2" ht="13.2" x14ac:dyDescent="0.25">
      <c r="A3196" s="34" t="s">
        <v>9010</v>
      </c>
      <c r="B3196" s="35">
        <v>1.6352522214171099</v>
      </c>
    </row>
    <row r="3197" spans="1:2" ht="13.2" x14ac:dyDescent="0.25">
      <c r="A3197" s="34" t="s">
        <v>9009</v>
      </c>
    </row>
    <row r="3198" spans="1:2" ht="13.2" x14ac:dyDescent="0.25">
      <c r="A3198" s="34" t="s">
        <v>9008</v>
      </c>
    </row>
    <row r="3199" spans="1:2" ht="13.2" x14ac:dyDescent="0.25">
      <c r="A3199" s="34" t="s">
        <v>9007</v>
      </c>
      <c r="B3199" s="35">
        <v>1.72034701346541</v>
      </c>
    </row>
    <row r="3200" spans="1:2" ht="13.2" x14ac:dyDescent="0.25">
      <c r="A3200" s="34" t="s">
        <v>9006</v>
      </c>
      <c r="B3200" s="35">
        <v>1.69240219271635</v>
      </c>
    </row>
    <row r="3201" spans="1:2" ht="13.2" x14ac:dyDescent="0.25">
      <c r="A3201" s="34" t="s">
        <v>9005</v>
      </c>
      <c r="B3201" s="35">
        <v>1.7128564202858001</v>
      </c>
    </row>
    <row r="3202" spans="1:2" ht="13.2" x14ac:dyDescent="0.25">
      <c r="A3202" s="34" t="s">
        <v>9004</v>
      </c>
      <c r="B3202" s="35">
        <v>1.7149427917639699</v>
      </c>
    </row>
    <row r="3203" spans="1:2" ht="13.2" x14ac:dyDescent="0.25">
      <c r="A3203" s="34" t="s">
        <v>9003</v>
      </c>
      <c r="B3203" s="35">
        <v>1.44793478406313</v>
      </c>
    </row>
    <row r="3204" spans="1:2" ht="13.2" x14ac:dyDescent="0.25">
      <c r="A3204" s="34" t="s">
        <v>9002</v>
      </c>
    </row>
    <row r="3205" spans="1:2" ht="13.2" x14ac:dyDescent="0.25">
      <c r="A3205" s="34" t="s">
        <v>9001</v>
      </c>
    </row>
    <row r="3206" spans="1:2" ht="13.2" x14ac:dyDescent="0.25">
      <c r="A3206" s="34" t="s">
        <v>9000</v>
      </c>
      <c r="B3206" s="35">
        <v>1.44568200682897</v>
      </c>
    </row>
    <row r="3207" spans="1:2" ht="13.2" x14ac:dyDescent="0.25">
      <c r="A3207" s="34" t="s">
        <v>8999</v>
      </c>
      <c r="B3207" s="35">
        <v>1.6644432795255699</v>
      </c>
    </row>
    <row r="3208" spans="1:2" ht="13.2" x14ac:dyDescent="0.25">
      <c r="A3208" s="34" t="s">
        <v>8998</v>
      </c>
      <c r="B3208" s="35">
        <v>1.6934391817691501</v>
      </c>
    </row>
    <row r="3209" spans="1:2" ht="13.2" x14ac:dyDescent="0.25">
      <c r="A3209" s="34" t="s">
        <v>8997</v>
      </c>
      <c r="B3209" s="35">
        <v>1.6790926295361901</v>
      </c>
    </row>
    <row r="3210" spans="1:2" ht="13.2" x14ac:dyDescent="0.25">
      <c r="A3210" s="34" t="s">
        <v>8996</v>
      </c>
      <c r="B3210" s="35">
        <v>1.67283404975282</v>
      </c>
    </row>
    <row r="3211" spans="1:2" ht="13.2" x14ac:dyDescent="0.25">
      <c r="A3211" s="34" t="s">
        <v>8995</v>
      </c>
    </row>
    <row r="3212" spans="1:2" ht="13.2" x14ac:dyDescent="0.25">
      <c r="A3212" s="34" t="s">
        <v>8994</v>
      </c>
    </row>
    <row r="3213" spans="1:2" ht="13.2" x14ac:dyDescent="0.25">
      <c r="A3213" s="34" t="s">
        <v>8993</v>
      </c>
      <c r="B3213" s="35">
        <v>1.7489035384609499</v>
      </c>
    </row>
    <row r="3214" spans="1:2" ht="13.2" x14ac:dyDescent="0.25">
      <c r="A3214" s="34" t="s">
        <v>8992</v>
      </c>
      <c r="B3214" s="35">
        <v>1.86430829616967</v>
      </c>
    </row>
    <row r="3215" spans="1:2" ht="13.2" x14ac:dyDescent="0.25">
      <c r="A3215" s="34" t="s">
        <v>8991</v>
      </c>
      <c r="B3215" s="35">
        <v>1.8438087834705901</v>
      </c>
    </row>
    <row r="3216" spans="1:2" ht="13.2" x14ac:dyDescent="0.25">
      <c r="A3216" s="34" t="s">
        <v>8990</v>
      </c>
      <c r="B3216" s="35">
        <v>1.79485520403895</v>
      </c>
    </row>
    <row r="3217" spans="1:2" ht="13.2" x14ac:dyDescent="0.25">
      <c r="A3217" s="34" t="s">
        <v>8989</v>
      </c>
      <c r="B3217" s="35">
        <v>1.77627050330374</v>
      </c>
    </row>
    <row r="3218" spans="1:2" ht="13.2" x14ac:dyDescent="0.25">
      <c r="A3218" s="34" t="s">
        <v>8988</v>
      </c>
    </row>
    <row r="3219" spans="1:2" ht="13.2" x14ac:dyDescent="0.25">
      <c r="A3219" s="34" t="s">
        <v>8987</v>
      </c>
    </row>
    <row r="3220" spans="1:2" ht="13.2" x14ac:dyDescent="0.25">
      <c r="A3220" s="34" t="s">
        <v>8986</v>
      </c>
      <c r="B3220" s="35">
        <v>1.7962296366392101</v>
      </c>
    </row>
    <row r="3221" spans="1:2" ht="13.2" x14ac:dyDescent="0.25">
      <c r="A3221" s="34" t="s">
        <v>8985</v>
      </c>
      <c r="B3221" s="35">
        <v>1.7777831945589899</v>
      </c>
    </row>
    <row r="3222" spans="1:2" ht="13.2" x14ac:dyDescent="0.25">
      <c r="A3222" s="34" t="s">
        <v>8984</v>
      </c>
      <c r="B3222" s="35">
        <v>1.75602831301892</v>
      </c>
    </row>
    <row r="3223" spans="1:2" ht="13.2" x14ac:dyDescent="0.25">
      <c r="A3223" s="34" t="s">
        <v>8983</v>
      </c>
      <c r="B3223" s="35">
        <v>1.81606866452241</v>
      </c>
    </row>
    <row r="3224" spans="1:2" ht="13.2" x14ac:dyDescent="0.25">
      <c r="A3224" s="34" t="s">
        <v>8982</v>
      </c>
      <c r="B3224" s="35">
        <v>1.90266818187864</v>
      </c>
    </row>
    <row r="3225" spans="1:2" ht="13.2" x14ac:dyDescent="0.25">
      <c r="A3225" s="34" t="s">
        <v>8981</v>
      </c>
    </row>
    <row r="3226" spans="1:2" ht="13.2" x14ac:dyDescent="0.25">
      <c r="A3226" s="34" t="s">
        <v>8980</v>
      </c>
    </row>
    <row r="3227" spans="1:2" ht="13.2" x14ac:dyDescent="0.25">
      <c r="A3227" s="34" t="s">
        <v>8979</v>
      </c>
      <c r="B3227" s="35">
        <v>1.90157644414593</v>
      </c>
    </row>
    <row r="3228" spans="1:2" ht="13.2" x14ac:dyDescent="0.25">
      <c r="A3228" s="34" t="s">
        <v>8978</v>
      </c>
      <c r="B3228" s="35">
        <v>1.8407194716420801</v>
      </c>
    </row>
    <row r="3229" spans="1:2" ht="13.2" x14ac:dyDescent="0.25">
      <c r="A3229" s="34" t="s">
        <v>8977</v>
      </c>
      <c r="B3229" s="35">
        <v>1.85187759850692</v>
      </c>
    </row>
    <row r="3230" spans="1:2" ht="13.2" x14ac:dyDescent="0.25">
      <c r="A3230" s="34" t="s">
        <v>8976</v>
      </c>
      <c r="B3230" s="35">
        <v>1.81021715092109</v>
      </c>
    </row>
    <row r="3231" spans="1:2" ht="13.2" x14ac:dyDescent="0.25">
      <c r="A3231" s="34" t="s">
        <v>8975</v>
      </c>
    </row>
    <row r="3232" spans="1:2" ht="13.2" x14ac:dyDescent="0.25">
      <c r="A3232" s="34" t="s">
        <v>8974</v>
      </c>
    </row>
    <row r="3233" spans="1:2" ht="13.2" x14ac:dyDescent="0.25">
      <c r="A3233" s="34" t="s">
        <v>8973</v>
      </c>
    </row>
    <row r="3234" spans="1:2" ht="13.2" x14ac:dyDescent="0.25">
      <c r="A3234" s="34" t="s">
        <v>8972</v>
      </c>
      <c r="B3234" s="35">
        <v>1.8433118815038301</v>
      </c>
    </row>
    <row r="3235" spans="1:2" ht="13.2" x14ac:dyDescent="0.25">
      <c r="A3235" s="34" t="s">
        <v>8971</v>
      </c>
      <c r="B3235" s="35">
        <v>1.78509482069262</v>
      </c>
    </row>
    <row r="3236" spans="1:2" ht="13.2" x14ac:dyDescent="0.25">
      <c r="A3236" s="34" t="s">
        <v>8970</v>
      </c>
      <c r="B3236" s="35">
        <v>1.76935721870437</v>
      </c>
    </row>
    <row r="3237" spans="1:2" ht="13.2" x14ac:dyDescent="0.25">
      <c r="A3237" s="34" t="s">
        <v>8969</v>
      </c>
      <c r="B3237" s="35">
        <v>1.73568263646826</v>
      </c>
    </row>
    <row r="3238" spans="1:2" ht="13.2" x14ac:dyDescent="0.25">
      <c r="A3238" s="34" t="s">
        <v>8968</v>
      </c>
      <c r="B3238" s="35">
        <v>1.7230854974482099</v>
      </c>
    </row>
    <row r="3239" spans="1:2" ht="13.2" x14ac:dyDescent="0.25">
      <c r="A3239" s="34" t="s">
        <v>8967</v>
      </c>
    </row>
    <row r="3240" spans="1:2" ht="13.2" x14ac:dyDescent="0.25">
      <c r="A3240" s="34" t="s">
        <v>8966</v>
      </c>
    </row>
    <row r="3241" spans="1:2" ht="13.2" x14ac:dyDescent="0.25">
      <c r="A3241" s="34" t="s">
        <v>8965</v>
      </c>
      <c r="B3241" s="35">
        <v>1.7241730043263801</v>
      </c>
    </row>
    <row r="3242" spans="1:2" ht="13.2" x14ac:dyDescent="0.25">
      <c r="A3242" s="34" t="s">
        <v>8964</v>
      </c>
      <c r="B3242" s="35">
        <v>1.6724836325533401</v>
      </c>
    </row>
    <row r="3243" spans="1:2" ht="13.2" x14ac:dyDescent="0.25">
      <c r="A3243" s="34" t="s">
        <v>8963</v>
      </c>
      <c r="B3243" s="35">
        <v>1.67809315286338</v>
      </c>
    </row>
    <row r="3244" spans="1:2" ht="13.2" x14ac:dyDescent="0.25">
      <c r="A3244" s="34" t="s">
        <v>8962</v>
      </c>
      <c r="B3244" s="35">
        <v>1.4651019488643799</v>
      </c>
    </row>
    <row r="3245" spans="1:2" ht="13.2" x14ac:dyDescent="0.25">
      <c r="A3245" s="34" t="s">
        <v>8961</v>
      </c>
      <c r="B3245" s="35">
        <v>1.5794851934640599</v>
      </c>
    </row>
    <row r="3246" spans="1:2" ht="13.2" x14ac:dyDescent="0.25">
      <c r="A3246" s="34" t="s">
        <v>8960</v>
      </c>
    </row>
    <row r="3247" spans="1:2" ht="13.2" x14ac:dyDescent="0.25">
      <c r="A3247" s="34" t="s">
        <v>8959</v>
      </c>
    </row>
    <row r="3248" spans="1:2" ht="13.2" x14ac:dyDescent="0.25">
      <c r="A3248" s="34" t="s">
        <v>8958</v>
      </c>
      <c r="B3248" s="35">
        <v>1.6254913987650601</v>
      </c>
    </row>
    <row r="3249" spans="1:2" ht="13.2" x14ac:dyDescent="0.25">
      <c r="A3249" s="34" t="s">
        <v>8957</v>
      </c>
      <c r="B3249" s="35">
        <v>1.5930484753191601</v>
      </c>
    </row>
    <row r="3250" spans="1:2" ht="13.2" x14ac:dyDescent="0.25">
      <c r="A3250" s="34" t="s">
        <v>8956</v>
      </c>
      <c r="B3250" s="35">
        <v>1.6029080303798999</v>
      </c>
    </row>
    <row r="3251" spans="1:2" ht="13.2" x14ac:dyDescent="0.25">
      <c r="A3251" s="34" t="s">
        <v>8955</v>
      </c>
      <c r="B3251" s="35">
        <v>1.61001898881252</v>
      </c>
    </row>
    <row r="3252" spans="1:2" ht="13.2" x14ac:dyDescent="0.25">
      <c r="A3252" s="34" t="s">
        <v>8954</v>
      </c>
      <c r="B3252" s="35">
        <v>1.61394155612372</v>
      </c>
    </row>
    <row r="3253" spans="1:2" ht="13.2" x14ac:dyDescent="0.25">
      <c r="A3253" s="34" t="s">
        <v>8953</v>
      </c>
    </row>
    <row r="3254" spans="1:2" ht="13.2" x14ac:dyDescent="0.25">
      <c r="A3254" s="34" t="s">
        <v>8952</v>
      </c>
    </row>
    <row r="3255" spans="1:2" ht="13.2" x14ac:dyDescent="0.25">
      <c r="A3255" s="34" t="s">
        <v>8951</v>
      </c>
      <c r="B3255" s="35">
        <v>1.5623488569897599</v>
      </c>
    </row>
    <row r="3256" spans="1:2" ht="13.2" x14ac:dyDescent="0.25">
      <c r="A3256" s="34" t="s">
        <v>8950</v>
      </c>
      <c r="B3256" s="35">
        <v>1.4231517678790599</v>
      </c>
    </row>
    <row r="3257" spans="1:2" ht="13.2" x14ac:dyDescent="0.25">
      <c r="A3257" s="34" t="s">
        <v>8949</v>
      </c>
      <c r="B3257" s="35">
        <v>1.4588669217516499</v>
      </c>
    </row>
    <row r="3258" spans="1:2" ht="13.2" x14ac:dyDescent="0.25">
      <c r="A3258" s="34" t="s">
        <v>8948</v>
      </c>
      <c r="B3258" s="35">
        <v>1.38358074866782</v>
      </c>
    </row>
    <row r="3259" spans="1:2" ht="13.2" x14ac:dyDescent="0.25">
      <c r="A3259" s="34" t="s">
        <v>8947</v>
      </c>
      <c r="B3259" s="35">
        <v>1.40126174530674</v>
      </c>
    </row>
    <row r="3260" spans="1:2" ht="13.2" x14ac:dyDescent="0.25">
      <c r="A3260" s="34" t="s">
        <v>8946</v>
      </c>
    </row>
    <row r="3261" spans="1:2" ht="13.2" x14ac:dyDescent="0.25">
      <c r="A3261" s="34" t="s">
        <v>8945</v>
      </c>
    </row>
    <row r="3262" spans="1:2" ht="13.2" x14ac:dyDescent="0.25">
      <c r="A3262" s="34" t="s">
        <v>8944</v>
      </c>
      <c r="B3262" s="35">
        <v>1.37683987678648</v>
      </c>
    </row>
    <row r="3263" spans="1:2" ht="13.2" x14ac:dyDescent="0.25">
      <c r="A3263" s="34" t="s">
        <v>8943</v>
      </c>
      <c r="B3263" s="35">
        <v>1.3243467460290901</v>
      </c>
    </row>
    <row r="3264" spans="1:2" ht="13.2" x14ac:dyDescent="0.25">
      <c r="A3264" s="34" t="s">
        <v>8942</v>
      </c>
    </row>
    <row r="3265" spans="1:2" ht="13.2" x14ac:dyDescent="0.25">
      <c r="A3265" s="34" t="s">
        <v>8941</v>
      </c>
      <c r="B3265" s="35">
        <v>1.5733933202258199</v>
      </c>
    </row>
    <row r="3266" spans="1:2" ht="13.2" x14ac:dyDescent="0.25">
      <c r="A3266" s="34" t="s">
        <v>8940</v>
      </c>
      <c r="B3266" s="35">
        <v>1.56754574505238</v>
      </c>
    </row>
    <row r="3267" spans="1:2" ht="13.2" x14ac:dyDescent="0.25">
      <c r="A3267" s="34" t="s">
        <v>8939</v>
      </c>
    </row>
    <row r="3268" spans="1:2" ht="13.2" x14ac:dyDescent="0.25">
      <c r="A3268" s="34" t="s">
        <v>8938</v>
      </c>
    </row>
    <row r="3269" spans="1:2" ht="13.2" x14ac:dyDescent="0.25">
      <c r="A3269" s="34" t="s">
        <v>8937</v>
      </c>
      <c r="B3269" s="35">
        <v>1.50095408720584</v>
      </c>
    </row>
    <row r="3270" spans="1:2" ht="13.2" x14ac:dyDescent="0.25">
      <c r="A3270" s="34" t="s">
        <v>8936</v>
      </c>
      <c r="B3270" s="35">
        <v>1.5018176326378601</v>
      </c>
    </row>
    <row r="3271" spans="1:2" ht="13.2" x14ac:dyDescent="0.25">
      <c r="A3271" s="34" t="s">
        <v>8935</v>
      </c>
      <c r="B3271" s="35">
        <v>1.59505336716032</v>
      </c>
    </row>
    <row r="3272" spans="1:2" ht="13.2" x14ac:dyDescent="0.25">
      <c r="A3272" s="34" t="s">
        <v>8934</v>
      </c>
      <c r="B3272" s="35">
        <v>1.80922779686598</v>
      </c>
    </row>
    <row r="3273" spans="1:2" ht="13.2" x14ac:dyDescent="0.25">
      <c r="A3273" s="34" t="s">
        <v>8933</v>
      </c>
      <c r="B3273" s="35">
        <v>1.7533636932338901</v>
      </c>
    </row>
    <row r="3274" spans="1:2" ht="13.2" x14ac:dyDescent="0.25">
      <c r="A3274" s="34" t="s">
        <v>8932</v>
      </c>
    </row>
    <row r="3275" spans="1:2" ht="13.2" x14ac:dyDescent="0.25">
      <c r="A3275" s="34" t="s">
        <v>8931</v>
      </c>
    </row>
    <row r="3276" spans="1:2" ht="13.2" x14ac:dyDescent="0.25">
      <c r="A3276" s="34" t="s">
        <v>8930</v>
      </c>
      <c r="B3276" s="35">
        <v>1.7546722806989199</v>
      </c>
    </row>
    <row r="3277" spans="1:2" ht="13.2" x14ac:dyDescent="0.25">
      <c r="A3277" s="34" t="s">
        <v>8929</v>
      </c>
      <c r="B3277" s="35">
        <v>1.6908518821407501</v>
      </c>
    </row>
    <row r="3278" spans="1:2" ht="13.2" x14ac:dyDescent="0.25">
      <c r="A3278" s="34" t="s">
        <v>8928</v>
      </c>
      <c r="B3278" s="35">
        <v>1.6966761801075101</v>
      </c>
    </row>
    <row r="3279" spans="1:2" ht="13.2" x14ac:dyDescent="0.25">
      <c r="A3279" s="34" t="s">
        <v>8927</v>
      </c>
      <c r="B3279" s="35">
        <v>1.78212447013016</v>
      </c>
    </row>
    <row r="3280" spans="1:2" ht="13.2" x14ac:dyDescent="0.25">
      <c r="A3280" s="34" t="s">
        <v>8926</v>
      </c>
      <c r="B3280" s="35">
        <v>1.7695449211140799</v>
      </c>
    </row>
    <row r="3281" spans="1:2" ht="13.2" x14ac:dyDescent="0.25">
      <c r="A3281" s="34" t="s">
        <v>8925</v>
      </c>
    </row>
    <row r="3282" spans="1:2" ht="13.2" x14ac:dyDescent="0.25">
      <c r="A3282" s="34" t="s">
        <v>8924</v>
      </c>
    </row>
    <row r="3283" spans="1:2" ht="13.2" x14ac:dyDescent="0.25">
      <c r="A3283" s="34" t="s">
        <v>8923</v>
      </c>
      <c r="B3283" s="35">
        <v>1.7603155833378601</v>
      </c>
    </row>
    <row r="3284" spans="1:2" ht="13.2" x14ac:dyDescent="0.25">
      <c r="A3284" s="34" t="s">
        <v>8922</v>
      </c>
      <c r="B3284" s="35">
        <v>1.76262594010548</v>
      </c>
    </row>
    <row r="3285" spans="1:2" ht="13.2" x14ac:dyDescent="0.25">
      <c r="A3285" s="34" t="s">
        <v>8921</v>
      </c>
      <c r="B3285" s="35">
        <v>1.80447257954645</v>
      </c>
    </row>
    <row r="3286" spans="1:2" ht="13.2" x14ac:dyDescent="0.25">
      <c r="A3286" s="34" t="s">
        <v>8920</v>
      </c>
      <c r="B3286" s="35">
        <v>1.8480826982306</v>
      </c>
    </row>
    <row r="3287" spans="1:2" ht="13.2" x14ac:dyDescent="0.25">
      <c r="A3287" s="34" t="s">
        <v>8919</v>
      </c>
      <c r="B3287" s="35">
        <v>1.8100246672550999</v>
      </c>
    </row>
    <row r="3288" spans="1:2" ht="13.2" x14ac:dyDescent="0.25">
      <c r="A3288" s="34" t="s">
        <v>8918</v>
      </c>
    </row>
    <row r="3289" spans="1:2" ht="13.2" x14ac:dyDescent="0.25">
      <c r="A3289" s="34" t="s">
        <v>8917</v>
      </c>
    </row>
    <row r="3290" spans="1:2" ht="13.2" x14ac:dyDescent="0.25">
      <c r="A3290" s="34" t="s">
        <v>8916</v>
      </c>
      <c r="B3290" s="35">
        <v>1.82672734170319</v>
      </c>
    </row>
    <row r="3291" spans="1:2" ht="13.2" x14ac:dyDescent="0.25">
      <c r="A3291" s="34" t="s">
        <v>8915</v>
      </c>
      <c r="B3291" s="35">
        <v>1.8047964613488101</v>
      </c>
    </row>
    <row r="3292" spans="1:2" ht="13.2" x14ac:dyDescent="0.25">
      <c r="A3292" s="34" t="s">
        <v>8914</v>
      </c>
      <c r="B3292" s="35">
        <v>1.8634131268901899</v>
      </c>
    </row>
    <row r="3293" spans="1:2" ht="13.2" x14ac:dyDescent="0.25">
      <c r="A3293" s="34" t="s">
        <v>8913</v>
      </c>
    </row>
    <row r="3294" spans="1:2" ht="13.2" x14ac:dyDescent="0.25">
      <c r="A3294" s="34" t="s">
        <v>8912</v>
      </c>
      <c r="B3294" s="35">
        <v>1.8742242558384901</v>
      </c>
    </row>
    <row r="3295" spans="1:2" ht="13.2" x14ac:dyDescent="0.25">
      <c r="A3295" s="34" t="s">
        <v>8911</v>
      </c>
    </row>
    <row r="3296" spans="1:2" ht="13.2" x14ac:dyDescent="0.25">
      <c r="A3296" s="34" t="s">
        <v>8910</v>
      </c>
    </row>
    <row r="3297" spans="1:2" ht="13.2" x14ac:dyDescent="0.25">
      <c r="A3297" s="34" t="s">
        <v>8909</v>
      </c>
      <c r="B3297" s="35">
        <v>1.65262770158496</v>
      </c>
    </row>
    <row r="3298" spans="1:2" ht="13.2" x14ac:dyDescent="0.25">
      <c r="A3298" s="34" t="s">
        <v>8908</v>
      </c>
      <c r="B3298" s="35">
        <v>1.6516287092451101</v>
      </c>
    </row>
    <row r="3299" spans="1:2" ht="13.2" x14ac:dyDescent="0.25">
      <c r="A3299" s="34" t="s">
        <v>8907</v>
      </c>
      <c r="B3299" s="35">
        <v>1.61893797467453</v>
      </c>
    </row>
    <row r="3300" spans="1:2" ht="13.2" x14ac:dyDescent="0.25">
      <c r="A3300" s="34" t="s">
        <v>8906</v>
      </c>
      <c r="B3300" s="35">
        <v>1.8267881672469799</v>
      </c>
    </row>
    <row r="3301" spans="1:2" ht="13.2" x14ac:dyDescent="0.25">
      <c r="A3301" s="34" t="s">
        <v>8905</v>
      </c>
      <c r="B3301" s="35">
        <v>1.7840046245994401</v>
      </c>
    </row>
    <row r="3302" spans="1:2" ht="13.2" x14ac:dyDescent="0.25">
      <c r="A3302" s="34" t="s">
        <v>8904</v>
      </c>
    </row>
    <row r="3303" spans="1:2" ht="13.2" x14ac:dyDescent="0.25">
      <c r="A3303" s="34" t="s">
        <v>8903</v>
      </c>
    </row>
    <row r="3304" spans="1:2" ht="13.2" x14ac:dyDescent="0.25">
      <c r="A3304" s="34" t="s">
        <v>8902</v>
      </c>
      <c r="B3304" s="35">
        <v>1.6178212007480199</v>
      </c>
    </row>
    <row r="3305" spans="1:2" ht="13.2" x14ac:dyDescent="0.25">
      <c r="A3305" s="34" t="s">
        <v>8901</v>
      </c>
      <c r="B3305" s="35">
        <v>1.7738798991901601</v>
      </c>
    </row>
    <row r="3306" spans="1:2" ht="13.2" x14ac:dyDescent="0.25">
      <c r="A3306" s="34" t="s">
        <v>8900</v>
      </c>
      <c r="B3306" s="35">
        <v>1.7631263331757101</v>
      </c>
    </row>
    <row r="3307" spans="1:2" ht="13.2" x14ac:dyDescent="0.25">
      <c r="A3307" s="34" t="s">
        <v>8899</v>
      </c>
      <c r="B3307" s="35">
        <v>1.7502339445570601</v>
      </c>
    </row>
    <row r="3308" spans="1:2" ht="13.2" x14ac:dyDescent="0.25">
      <c r="A3308" s="34" t="s">
        <v>8898</v>
      </c>
      <c r="B3308" s="35">
        <v>1.7831031406397599</v>
      </c>
    </row>
    <row r="3309" spans="1:2" ht="13.2" x14ac:dyDescent="0.25">
      <c r="A3309" s="34" t="s">
        <v>8897</v>
      </c>
    </row>
    <row r="3310" spans="1:2" ht="13.2" x14ac:dyDescent="0.25">
      <c r="A3310" s="34" t="s">
        <v>8896</v>
      </c>
    </row>
    <row r="3311" spans="1:2" ht="13.2" x14ac:dyDescent="0.25">
      <c r="A3311" s="34" t="s">
        <v>8895</v>
      </c>
      <c r="B3311" s="35">
        <v>1.74998253326257</v>
      </c>
    </row>
    <row r="3312" spans="1:2" ht="13.2" x14ac:dyDescent="0.25">
      <c r="A3312" s="34" t="s">
        <v>8894</v>
      </c>
      <c r="B3312" s="35">
        <v>1.7508581918387101</v>
      </c>
    </row>
    <row r="3313" spans="1:2" ht="13.2" x14ac:dyDescent="0.25">
      <c r="A3313" s="34" t="s">
        <v>8893</v>
      </c>
      <c r="B3313" s="35">
        <v>1.8316787660974601</v>
      </c>
    </row>
    <row r="3314" spans="1:2" ht="13.2" x14ac:dyDescent="0.25">
      <c r="A3314" s="34" t="s">
        <v>8892</v>
      </c>
      <c r="B3314" s="35">
        <v>2.0943521722212002</v>
      </c>
    </row>
    <row r="3315" spans="1:2" ht="13.2" x14ac:dyDescent="0.25">
      <c r="A3315" s="34" t="s">
        <v>8891</v>
      </c>
      <c r="B3315" s="35">
        <v>2.2401367770682601</v>
      </c>
    </row>
    <row r="3316" spans="1:2" ht="13.2" x14ac:dyDescent="0.25">
      <c r="A3316" s="34" t="s">
        <v>8890</v>
      </c>
    </row>
    <row r="3317" spans="1:2" ht="13.2" x14ac:dyDescent="0.25">
      <c r="A3317" s="34" t="s">
        <v>8889</v>
      </c>
    </row>
    <row r="3318" spans="1:2" ht="13.2" x14ac:dyDescent="0.25">
      <c r="A3318" s="34" t="s">
        <v>8888</v>
      </c>
      <c r="B3318" s="35">
        <v>2.3739233379442202</v>
      </c>
    </row>
    <row r="3319" spans="1:2" ht="13.2" x14ac:dyDescent="0.25">
      <c r="A3319" s="34" t="s">
        <v>8887</v>
      </c>
      <c r="B3319" s="35">
        <v>2.3661899906417698</v>
      </c>
    </row>
    <row r="3320" spans="1:2" ht="13.2" x14ac:dyDescent="0.25">
      <c r="A3320" s="34" t="s">
        <v>8886</v>
      </c>
      <c r="B3320" s="35">
        <v>2.33726345819561</v>
      </c>
    </row>
    <row r="3321" spans="1:2" ht="13.2" x14ac:dyDescent="0.25">
      <c r="A3321" s="34" t="s">
        <v>8885</v>
      </c>
      <c r="B3321" s="35">
        <v>2.4710932390159299</v>
      </c>
    </row>
    <row r="3322" spans="1:2" ht="13.2" x14ac:dyDescent="0.25">
      <c r="A3322" s="34" t="s">
        <v>8884</v>
      </c>
      <c r="B3322" s="35">
        <v>2.4310618947843001</v>
      </c>
    </row>
    <row r="3323" spans="1:2" ht="13.2" x14ac:dyDescent="0.25">
      <c r="A3323" s="34" t="s">
        <v>8883</v>
      </c>
    </row>
    <row r="3324" spans="1:2" ht="13.2" x14ac:dyDescent="0.25">
      <c r="A3324" s="34" t="s">
        <v>8882</v>
      </c>
    </row>
    <row r="3325" spans="1:2" ht="13.2" x14ac:dyDescent="0.25">
      <c r="A3325" s="34" t="s">
        <v>8881</v>
      </c>
      <c r="B3325" s="35">
        <v>2.4531305187082402</v>
      </c>
    </row>
    <row r="3326" spans="1:2" ht="13.2" x14ac:dyDescent="0.25">
      <c r="A3326" s="34" t="s">
        <v>8880</v>
      </c>
      <c r="B3326" s="35">
        <v>2.4474622159455799</v>
      </c>
    </row>
    <row r="3327" spans="1:2" ht="13.2" x14ac:dyDescent="0.25">
      <c r="A3327" s="34" t="s">
        <v>8879</v>
      </c>
      <c r="B3327" s="35">
        <v>2.4607921433289901</v>
      </c>
    </row>
    <row r="3328" spans="1:2" ht="13.2" x14ac:dyDescent="0.25">
      <c r="A3328" s="34" t="s">
        <v>8878</v>
      </c>
      <c r="B3328" s="35">
        <v>2.4652435172225902</v>
      </c>
    </row>
    <row r="3329" spans="1:2" ht="13.2" x14ac:dyDescent="0.25">
      <c r="A3329" s="34" t="s">
        <v>8877</v>
      </c>
      <c r="B3329" s="35">
        <v>2.3664864293841501</v>
      </c>
    </row>
    <row r="3330" spans="1:2" ht="13.2" x14ac:dyDescent="0.25">
      <c r="A3330" s="34" t="s">
        <v>8876</v>
      </c>
    </row>
    <row r="3331" spans="1:2" ht="13.2" x14ac:dyDescent="0.25">
      <c r="A3331" s="34" t="s">
        <v>8875</v>
      </c>
    </row>
    <row r="3332" spans="1:2" ht="13.2" x14ac:dyDescent="0.25">
      <c r="A3332" s="34" t="s">
        <v>8874</v>
      </c>
      <c r="B3332" s="35">
        <v>2.3729301931073099</v>
      </c>
    </row>
    <row r="3333" spans="1:2" ht="13.2" x14ac:dyDescent="0.25">
      <c r="A3333" s="34" t="s">
        <v>8873</v>
      </c>
    </row>
    <row r="3334" spans="1:2" ht="13.2" x14ac:dyDescent="0.25">
      <c r="A3334" s="34" t="s">
        <v>8872</v>
      </c>
      <c r="B3334" s="35">
        <v>2.2577748144425298</v>
      </c>
    </row>
    <row r="3335" spans="1:2" ht="13.2" x14ac:dyDescent="0.25">
      <c r="A3335" s="34" t="s">
        <v>8871</v>
      </c>
      <c r="B3335" s="35">
        <v>2.2951869014884299</v>
      </c>
    </row>
    <row r="3336" spans="1:2" ht="13.2" x14ac:dyDescent="0.25">
      <c r="A3336" s="34" t="s">
        <v>8870</v>
      </c>
      <c r="B3336" s="35">
        <v>2.3386839182637398</v>
      </c>
    </row>
    <row r="3337" spans="1:2" ht="13.2" x14ac:dyDescent="0.25">
      <c r="A3337" s="34" t="s">
        <v>8869</v>
      </c>
    </row>
    <row r="3338" spans="1:2" ht="13.2" x14ac:dyDescent="0.25">
      <c r="A3338" s="34" t="s">
        <v>8868</v>
      </c>
    </row>
    <row r="3339" spans="1:2" ht="13.2" x14ac:dyDescent="0.25">
      <c r="A3339" s="34" t="s">
        <v>8867</v>
      </c>
      <c r="B3339" s="35">
        <v>2.39995985895251</v>
      </c>
    </row>
    <row r="3340" spans="1:2" ht="13.2" x14ac:dyDescent="0.25">
      <c r="A3340" s="34" t="s">
        <v>8866</v>
      </c>
      <c r="B3340" s="35">
        <v>2.36955909379268</v>
      </c>
    </row>
    <row r="3341" spans="1:2" ht="13.2" x14ac:dyDescent="0.25">
      <c r="A3341" s="34" t="s">
        <v>8865</v>
      </c>
      <c r="B3341" s="35">
        <v>2.3521044251613201</v>
      </c>
    </row>
    <row r="3342" spans="1:2" ht="13.2" x14ac:dyDescent="0.25">
      <c r="A3342" s="34" t="s">
        <v>8864</v>
      </c>
      <c r="B3342" s="35">
        <v>2.35985414631143</v>
      </c>
    </row>
    <row r="3343" spans="1:2" ht="13.2" x14ac:dyDescent="0.25">
      <c r="A3343" s="34" t="s">
        <v>8863</v>
      </c>
      <c r="B3343" s="35">
        <v>2.3305052752953799</v>
      </c>
    </row>
    <row r="3344" spans="1:2" ht="13.2" x14ac:dyDescent="0.25">
      <c r="A3344" s="34" t="s">
        <v>8862</v>
      </c>
    </row>
    <row r="3345" spans="1:2" ht="13.2" x14ac:dyDescent="0.25">
      <c r="A3345" s="34" t="s">
        <v>8861</v>
      </c>
    </row>
    <row r="3346" spans="1:2" ht="13.2" x14ac:dyDescent="0.25">
      <c r="A3346" s="34" t="s">
        <v>8860</v>
      </c>
      <c r="B3346" s="35">
        <v>2.5070065509564401</v>
      </c>
    </row>
    <row r="3347" spans="1:2" ht="13.2" x14ac:dyDescent="0.25">
      <c r="A3347" s="34" t="s">
        <v>8859</v>
      </c>
      <c r="B3347" s="35">
        <v>2.3179790056045699</v>
      </c>
    </row>
    <row r="3348" spans="1:2" ht="13.2" x14ac:dyDescent="0.25">
      <c r="A3348" s="34" t="s">
        <v>8858</v>
      </c>
      <c r="B3348" s="35">
        <v>2.2200030565851798</v>
      </c>
    </row>
    <row r="3349" spans="1:2" ht="13.2" x14ac:dyDescent="0.25">
      <c r="A3349" s="34" t="s">
        <v>8857</v>
      </c>
      <c r="B3349" s="35">
        <v>2.28040737638073</v>
      </c>
    </row>
    <row r="3350" spans="1:2" ht="13.2" x14ac:dyDescent="0.25">
      <c r="A3350" s="34" t="s">
        <v>8856</v>
      </c>
      <c r="B3350" s="35">
        <v>2.46071385048955</v>
      </c>
    </row>
    <row r="3351" spans="1:2" ht="13.2" x14ac:dyDescent="0.25">
      <c r="A3351" s="34" t="s">
        <v>8855</v>
      </c>
    </row>
    <row r="3352" spans="1:2" ht="13.2" x14ac:dyDescent="0.25">
      <c r="A3352" s="34" t="s">
        <v>8854</v>
      </c>
    </row>
    <row r="3353" spans="1:2" ht="13.2" x14ac:dyDescent="0.25">
      <c r="A3353" s="34" t="s">
        <v>8853</v>
      </c>
      <c r="B3353" s="35">
        <v>2.32558078060157</v>
      </c>
    </row>
    <row r="3354" spans="1:2" ht="13.2" x14ac:dyDescent="0.25">
      <c r="A3354" s="34" t="s">
        <v>8852</v>
      </c>
      <c r="B3354" s="35">
        <v>2.3239093739244501</v>
      </c>
    </row>
    <row r="3355" spans="1:2" ht="13.2" x14ac:dyDescent="0.25">
      <c r="A3355" s="34" t="s">
        <v>8851</v>
      </c>
      <c r="B3355" s="35">
        <v>2.5636845273709099</v>
      </c>
    </row>
    <row r="3356" spans="1:2" ht="13.2" x14ac:dyDescent="0.25">
      <c r="A3356" s="34" t="s">
        <v>8850</v>
      </c>
      <c r="B3356" s="35">
        <v>2.56586343430501</v>
      </c>
    </row>
    <row r="3357" spans="1:2" ht="13.2" x14ac:dyDescent="0.25">
      <c r="A3357" s="34" t="s">
        <v>8849</v>
      </c>
      <c r="B3357" s="35">
        <v>2.56163236534187</v>
      </c>
    </row>
    <row r="3358" spans="1:2" ht="13.2" x14ac:dyDescent="0.25">
      <c r="A3358" s="34" t="s">
        <v>8848</v>
      </c>
    </row>
    <row r="3359" spans="1:2" ht="13.2" x14ac:dyDescent="0.25">
      <c r="A3359" s="34" t="s">
        <v>8847</v>
      </c>
    </row>
    <row r="3360" spans="1:2" ht="13.2" x14ac:dyDescent="0.25">
      <c r="A3360" s="34" t="s">
        <v>8846</v>
      </c>
      <c r="B3360" s="35">
        <v>2.6741211697502401</v>
      </c>
    </row>
    <row r="3361" spans="1:2" ht="13.2" x14ac:dyDescent="0.25">
      <c r="A3361" s="34" t="s">
        <v>8845</v>
      </c>
      <c r="B3361" s="35">
        <v>2.7763064330075902</v>
      </c>
    </row>
    <row r="3362" spans="1:2" ht="13.2" x14ac:dyDescent="0.25">
      <c r="A3362" s="34" t="s">
        <v>8844</v>
      </c>
      <c r="B3362" s="35">
        <v>2.7649478672440799</v>
      </c>
    </row>
    <row r="3363" spans="1:2" ht="13.2" x14ac:dyDescent="0.25">
      <c r="A3363" s="34" t="s">
        <v>8843</v>
      </c>
      <c r="B3363" s="35">
        <v>2.9467824067234498</v>
      </c>
    </row>
    <row r="3364" spans="1:2" ht="13.2" x14ac:dyDescent="0.25">
      <c r="A3364" s="34" t="s">
        <v>8842</v>
      </c>
      <c r="B3364" s="35">
        <v>2.96688438251749</v>
      </c>
    </row>
    <row r="3365" spans="1:2" ht="13.2" x14ac:dyDescent="0.25">
      <c r="A3365" s="34" t="s">
        <v>8841</v>
      </c>
    </row>
    <row r="3366" spans="1:2" ht="13.2" x14ac:dyDescent="0.25">
      <c r="A3366" s="34" t="s">
        <v>8840</v>
      </c>
    </row>
    <row r="3367" spans="1:2" ht="13.2" x14ac:dyDescent="0.25">
      <c r="A3367" s="34" t="s">
        <v>8839</v>
      </c>
      <c r="B3367" s="35">
        <v>2.9749328220206199</v>
      </c>
    </row>
    <row r="3368" spans="1:2" ht="13.2" x14ac:dyDescent="0.25">
      <c r="A3368" s="34" t="s">
        <v>8838</v>
      </c>
      <c r="B3368" s="35">
        <v>2.9679122352404401</v>
      </c>
    </row>
    <row r="3369" spans="1:2" ht="13.2" x14ac:dyDescent="0.25">
      <c r="A3369" s="34" t="s">
        <v>8837</v>
      </c>
      <c r="B3369" s="35">
        <v>2.9699649573920199</v>
      </c>
    </row>
    <row r="3370" spans="1:2" ht="13.2" x14ac:dyDescent="0.25">
      <c r="A3370" s="34" t="s">
        <v>8836</v>
      </c>
      <c r="B3370" s="35">
        <v>2.9333698991879298</v>
      </c>
    </row>
    <row r="3371" spans="1:2" ht="13.2" x14ac:dyDescent="0.25">
      <c r="A3371" s="34" t="s">
        <v>8835</v>
      </c>
      <c r="B3371" s="35">
        <v>3.0781040863986502</v>
      </c>
    </row>
    <row r="3372" spans="1:2" ht="13.2" x14ac:dyDescent="0.25">
      <c r="A3372" s="34" t="s">
        <v>8834</v>
      </c>
    </row>
    <row r="3373" spans="1:2" ht="13.2" x14ac:dyDescent="0.25">
      <c r="A3373" s="34" t="s">
        <v>8833</v>
      </c>
    </row>
    <row r="3374" spans="1:2" ht="13.2" x14ac:dyDescent="0.25">
      <c r="A3374" s="34" t="s">
        <v>8832</v>
      </c>
      <c r="B3374" s="35">
        <v>3.0606756554378198</v>
      </c>
    </row>
    <row r="3375" spans="1:2" ht="13.2" x14ac:dyDescent="0.25">
      <c r="A3375" s="34" t="s">
        <v>8831</v>
      </c>
      <c r="B3375" s="35">
        <v>2.7286797126711599</v>
      </c>
    </row>
    <row r="3376" spans="1:2" ht="13.2" x14ac:dyDescent="0.25">
      <c r="A3376" s="34" t="s">
        <v>8830</v>
      </c>
      <c r="B3376" s="35">
        <v>2.75472417512839</v>
      </c>
    </row>
    <row r="3377" spans="1:2" ht="13.2" x14ac:dyDescent="0.25">
      <c r="A3377" s="34" t="s">
        <v>8829</v>
      </c>
      <c r="B3377" s="35">
        <v>2.7918801244270899</v>
      </c>
    </row>
    <row r="3378" spans="1:2" ht="13.2" x14ac:dyDescent="0.25">
      <c r="A3378" s="34" t="s">
        <v>8828</v>
      </c>
      <c r="B3378" s="35">
        <v>2.7257466288041399</v>
      </c>
    </row>
    <row r="3379" spans="1:2" ht="13.2" x14ac:dyDescent="0.25">
      <c r="A3379" s="34" t="s">
        <v>8827</v>
      </c>
    </row>
    <row r="3380" spans="1:2" ht="13.2" x14ac:dyDescent="0.25">
      <c r="A3380" s="34" t="s">
        <v>8826</v>
      </c>
    </row>
    <row r="3381" spans="1:2" ht="13.2" x14ac:dyDescent="0.25">
      <c r="A3381" s="34" t="s">
        <v>8825</v>
      </c>
      <c r="B3381" s="35">
        <v>2.6478779837356599</v>
      </c>
    </row>
    <row r="3382" spans="1:2" ht="13.2" x14ac:dyDescent="0.25">
      <c r="A3382" s="34" t="s">
        <v>8824</v>
      </c>
      <c r="B3382" s="35">
        <v>2.6920162864060999</v>
      </c>
    </row>
    <row r="3383" spans="1:2" ht="13.2" x14ac:dyDescent="0.25">
      <c r="A3383" s="34" t="s">
        <v>8823</v>
      </c>
      <c r="B3383" s="35">
        <v>2.69085093985607</v>
      </c>
    </row>
    <row r="3384" spans="1:2" ht="13.2" x14ac:dyDescent="0.25">
      <c r="A3384" s="34" t="s">
        <v>8822</v>
      </c>
      <c r="B3384" s="35">
        <v>2.5392416598259802</v>
      </c>
    </row>
    <row r="3385" spans="1:2" ht="13.2" x14ac:dyDescent="0.25">
      <c r="A3385" s="34" t="s">
        <v>8821</v>
      </c>
      <c r="B3385" s="35">
        <v>2.5481418257811899</v>
      </c>
    </row>
    <row r="3386" spans="1:2" ht="13.2" x14ac:dyDescent="0.25">
      <c r="A3386" s="34" t="s">
        <v>8820</v>
      </c>
    </row>
    <row r="3387" spans="1:2" ht="13.2" x14ac:dyDescent="0.25">
      <c r="A3387" s="34" t="s">
        <v>8819</v>
      </c>
    </row>
    <row r="3388" spans="1:2" ht="13.2" x14ac:dyDescent="0.25">
      <c r="A3388" s="34" t="s">
        <v>8818</v>
      </c>
      <c r="B3388" s="35">
        <v>2.5447108291018599</v>
      </c>
    </row>
    <row r="3389" spans="1:2" ht="13.2" x14ac:dyDescent="0.25">
      <c r="A3389" s="34" t="s">
        <v>8817</v>
      </c>
      <c r="B3389" s="35">
        <v>2.4344234038145198</v>
      </c>
    </row>
    <row r="3390" spans="1:2" ht="13.2" x14ac:dyDescent="0.25">
      <c r="A3390" s="34" t="s">
        <v>8816</v>
      </c>
      <c r="B3390" s="35">
        <v>2.3828225190054702</v>
      </c>
    </row>
    <row r="3391" spans="1:2" ht="13.2" x14ac:dyDescent="0.25">
      <c r="A3391" s="34" t="s">
        <v>8815</v>
      </c>
      <c r="B3391" s="35">
        <v>2.45036059477831</v>
      </c>
    </row>
    <row r="3392" spans="1:2" ht="13.2" x14ac:dyDescent="0.25">
      <c r="A3392" s="34" t="s">
        <v>8814</v>
      </c>
      <c r="B3392" s="35">
        <v>2.2244025681775499</v>
      </c>
    </row>
    <row r="3393" spans="1:2" ht="13.2" x14ac:dyDescent="0.25">
      <c r="A3393" s="34" t="s">
        <v>8813</v>
      </c>
    </row>
    <row r="3394" spans="1:2" ht="13.2" x14ac:dyDescent="0.25">
      <c r="A3394" s="34" t="s">
        <v>8812</v>
      </c>
    </row>
    <row r="3395" spans="1:2" ht="13.2" x14ac:dyDescent="0.25">
      <c r="A3395" s="34" t="s">
        <v>8811</v>
      </c>
      <c r="B3395" s="35">
        <v>2.1896921218359102</v>
      </c>
    </row>
    <row r="3396" spans="1:2" ht="13.2" x14ac:dyDescent="0.25">
      <c r="A3396" s="34" t="s">
        <v>8810</v>
      </c>
      <c r="B3396" s="35">
        <v>2.1042935173394599</v>
      </c>
    </row>
    <row r="3397" spans="1:2" ht="13.2" x14ac:dyDescent="0.25">
      <c r="A3397" s="34" t="s">
        <v>8809</v>
      </c>
      <c r="B3397" s="35">
        <v>2.0305410877165699</v>
      </c>
    </row>
    <row r="3398" spans="1:2" ht="13.2" x14ac:dyDescent="0.25">
      <c r="A3398" s="34" t="s">
        <v>8808</v>
      </c>
      <c r="B3398" s="35">
        <v>2.0069898675573299</v>
      </c>
    </row>
    <row r="3399" spans="1:2" ht="13.2" x14ac:dyDescent="0.25">
      <c r="A3399" s="34" t="s">
        <v>8807</v>
      </c>
      <c r="B3399" s="35">
        <v>1.94889027962067</v>
      </c>
    </row>
    <row r="3400" spans="1:2" ht="13.2" x14ac:dyDescent="0.25">
      <c r="A3400" s="34" t="s">
        <v>8806</v>
      </c>
    </row>
    <row r="3401" spans="1:2" ht="13.2" x14ac:dyDescent="0.25">
      <c r="A3401" s="34" t="s">
        <v>8805</v>
      </c>
    </row>
    <row r="3402" spans="1:2" ht="13.2" x14ac:dyDescent="0.25">
      <c r="A3402" s="34" t="s">
        <v>8804</v>
      </c>
      <c r="B3402" s="35">
        <v>1.9918488761612301</v>
      </c>
    </row>
    <row r="3403" spans="1:2" ht="13.2" x14ac:dyDescent="0.25">
      <c r="A3403" s="34" t="s">
        <v>8803</v>
      </c>
      <c r="B3403" s="35">
        <v>2.0207240126975501</v>
      </c>
    </row>
    <row r="3404" spans="1:2" ht="13.2" x14ac:dyDescent="0.25">
      <c r="A3404" s="34" t="s">
        <v>8802</v>
      </c>
      <c r="B3404" s="35">
        <v>2.01503958821226</v>
      </c>
    </row>
    <row r="3405" spans="1:2" ht="13.2" x14ac:dyDescent="0.25">
      <c r="A3405" s="34" t="s">
        <v>8801</v>
      </c>
      <c r="B3405" s="35">
        <v>1.9997965474093999</v>
      </c>
    </row>
    <row r="3406" spans="1:2" ht="13.2" x14ac:dyDescent="0.25">
      <c r="A3406" s="34" t="s">
        <v>8800</v>
      </c>
      <c r="B3406" s="35">
        <v>1.96619236459737</v>
      </c>
    </row>
    <row r="3407" spans="1:2" ht="13.2" x14ac:dyDescent="0.25">
      <c r="A3407" s="34" t="s">
        <v>8799</v>
      </c>
    </row>
    <row r="3408" spans="1:2" ht="13.2" x14ac:dyDescent="0.25">
      <c r="A3408" s="34" t="s">
        <v>8798</v>
      </c>
    </row>
    <row r="3409" spans="1:2" ht="13.2" x14ac:dyDescent="0.25">
      <c r="A3409" s="34" t="s">
        <v>8797</v>
      </c>
      <c r="B3409" s="35">
        <v>2.0977784304444498</v>
      </c>
    </row>
    <row r="3410" spans="1:2" ht="13.2" x14ac:dyDescent="0.25">
      <c r="A3410" s="34" t="s">
        <v>8796</v>
      </c>
      <c r="B3410" s="35">
        <v>1.8388993081304399</v>
      </c>
    </row>
    <row r="3411" spans="1:2" ht="13.2" x14ac:dyDescent="0.25">
      <c r="A3411" s="34" t="s">
        <v>8795</v>
      </c>
      <c r="B3411" s="35">
        <v>1.7228779552824101</v>
      </c>
    </row>
    <row r="3412" spans="1:2" ht="13.2" x14ac:dyDescent="0.25">
      <c r="A3412" s="34" t="s">
        <v>8794</v>
      </c>
      <c r="B3412" s="35">
        <v>1.71778691327427</v>
      </c>
    </row>
    <row r="3413" spans="1:2" ht="13.2" x14ac:dyDescent="0.25">
      <c r="A3413" s="34" t="s">
        <v>8793</v>
      </c>
      <c r="B3413" s="35">
        <v>1.9846220700303701</v>
      </c>
    </row>
    <row r="3414" spans="1:2" ht="13.2" x14ac:dyDescent="0.25">
      <c r="A3414" s="34" t="s">
        <v>8792</v>
      </c>
    </row>
    <row r="3415" spans="1:2" ht="13.2" x14ac:dyDescent="0.25">
      <c r="A3415" s="34" t="s">
        <v>8791</v>
      </c>
    </row>
    <row r="3416" spans="1:2" ht="13.2" x14ac:dyDescent="0.25">
      <c r="A3416" s="34" t="s">
        <v>8790</v>
      </c>
      <c r="B3416" s="35">
        <v>1.9847304642180801</v>
      </c>
    </row>
    <row r="3417" spans="1:2" ht="13.2" x14ac:dyDescent="0.25">
      <c r="A3417" s="34" t="s">
        <v>8789</v>
      </c>
      <c r="B3417" s="35">
        <v>2.27616816097775</v>
      </c>
    </row>
    <row r="3418" spans="1:2" ht="13.2" x14ac:dyDescent="0.25">
      <c r="A3418" s="34" t="s">
        <v>8788</v>
      </c>
      <c r="B3418" s="35">
        <v>2.2641646327662799</v>
      </c>
    </row>
    <row r="3419" spans="1:2" ht="13.2" x14ac:dyDescent="0.25">
      <c r="A3419" s="34" t="s">
        <v>8787</v>
      </c>
      <c r="B3419" s="35">
        <v>2.4362683058118799</v>
      </c>
    </row>
    <row r="3420" spans="1:2" ht="13.2" x14ac:dyDescent="0.25">
      <c r="A3420" s="34" t="s">
        <v>8786</v>
      </c>
      <c r="B3420" s="35">
        <v>2.40184936727292</v>
      </c>
    </row>
    <row r="3421" spans="1:2" ht="13.2" x14ac:dyDescent="0.25">
      <c r="A3421" s="34" t="s">
        <v>8785</v>
      </c>
    </row>
    <row r="3422" spans="1:2" ht="13.2" x14ac:dyDescent="0.25">
      <c r="A3422" s="34" t="s">
        <v>8784</v>
      </c>
    </row>
    <row r="3423" spans="1:2" ht="13.2" x14ac:dyDescent="0.25">
      <c r="A3423" s="34" t="s">
        <v>8783</v>
      </c>
      <c r="B3423" s="35">
        <v>2.5659154087537002</v>
      </c>
    </row>
    <row r="3424" spans="1:2" ht="13.2" x14ac:dyDescent="0.25">
      <c r="A3424" s="34" t="s">
        <v>8782</v>
      </c>
      <c r="B3424" s="35">
        <v>2.48309391345756</v>
      </c>
    </row>
    <row r="3425" spans="1:2" ht="13.2" x14ac:dyDescent="0.25">
      <c r="A3425" s="34" t="s">
        <v>8781</v>
      </c>
      <c r="B3425" s="35">
        <v>2.48695931030282</v>
      </c>
    </row>
    <row r="3426" spans="1:2" ht="13.2" x14ac:dyDescent="0.25">
      <c r="A3426" s="34" t="s">
        <v>8780</v>
      </c>
      <c r="B3426" s="35">
        <v>2.4613055405179498</v>
      </c>
    </row>
    <row r="3427" spans="1:2" ht="13.2" x14ac:dyDescent="0.25">
      <c r="A3427" s="34" t="s">
        <v>8779</v>
      </c>
      <c r="B3427" s="35">
        <v>2.4609038426548202</v>
      </c>
    </row>
    <row r="3428" spans="1:2" ht="13.2" x14ac:dyDescent="0.25">
      <c r="A3428" s="34" t="s">
        <v>8778</v>
      </c>
    </row>
    <row r="3429" spans="1:2" ht="13.2" x14ac:dyDescent="0.25">
      <c r="A3429" s="34" t="s">
        <v>8777</v>
      </c>
    </row>
    <row r="3430" spans="1:2" ht="13.2" x14ac:dyDescent="0.25">
      <c r="A3430" s="34" t="s">
        <v>8776</v>
      </c>
      <c r="B3430" s="35">
        <v>2.6035824893146202</v>
      </c>
    </row>
    <row r="3431" spans="1:2" ht="13.2" x14ac:dyDescent="0.25">
      <c r="A3431" s="34" t="s">
        <v>8775</v>
      </c>
      <c r="B3431" s="35">
        <v>2.5526846254311502</v>
      </c>
    </row>
    <row r="3432" spans="1:2" ht="13.2" x14ac:dyDescent="0.25">
      <c r="A3432" s="34" t="s">
        <v>8774</v>
      </c>
      <c r="B3432" s="35">
        <v>2.54759667425831</v>
      </c>
    </row>
    <row r="3433" spans="1:2" ht="13.2" x14ac:dyDescent="0.25">
      <c r="A3433" s="34" t="s">
        <v>8773</v>
      </c>
      <c r="B3433" s="35">
        <v>2.94040646538325</v>
      </c>
    </row>
    <row r="3434" spans="1:2" ht="13.2" x14ac:dyDescent="0.25">
      <c r="A3434" s="34" t="s">
        <v>8772</v>
      </c>
      <c r="B3434" s="35">
        <v>2.9502782880627501</v>
      </c>
    </row>
    <row r="3435" spans="1:2" ht="13.2" x14ac:dyDescent="0.25">
      <c r="A3435" s="34" t="s">
        <v>8771</v>
      </c>
    </row>
    <row r="3436" spans="1:2" ht="13.2" x14ac:dyDescent="0.25">
      <c r="A3436" s="34" t="s">
        <v>8770</v>
      </c>
    </row>
    <row r="3437" spans="1:2" ht="13.2" x14ac:dyDescent="0.25">
      <c r="A3437" s="34" t="s">
        <v>8769</v>
      </c>
      <c r="B3437" s="35">
        <v>2.9150492451955898</v>
      </c>
    </row>
    <row r="3438" spans="1:2" ht="13.2" x14ac:dyDescent="0.25">
      <c r="A3438" s="34" t="s">
        <v>8768</v>
      </c>
      <c r="B3438" s="35">
        <v>2.8661546557670601</v>
      </c>
    </row>
    <row r="3439" spans="1:2" ht="13.2" x14ac:dyDescent="0.25">
      <c r="A3439" s="34" t="s">
        <v>8767</v>
      </c>
      <c r="B3439" s="35">
        <v>3.0693011176404301</v>
      </c>
    </row>
    <row r="3440" spans="1:2" ht="13.2" x14ac:dyDescent="0.25">
      <c r="A3440" s="34" t="s">
        <v>8766</v>
      </c>
      <c r="B3440" s="35">
        <v>3.0711889165155899</v>
      </c>
    </row>
    <row r="3441" spans="1:2" ht="13.2" x14ac:dyDescent="0.25">
      <c r="A3441" s="34" t="s">
        <v>8765</v>
      </c>
      <c r="B3441" s="35">
        <v>3.0949619990389201</v>
      </c>
    </row>
    <row r="3442" spans="1:2" ht="13.2" x14ac:dyDescent="0.25">
      <c r="A3442" s="34" t="s">
        <v>8764</v>
      </c>
    </row>
    <row r="3443" spans="1:2" ht="13.2" x14ac:dyDescent="0.25">
      <c r="A3443" s="34" t="s">
        <v>8763</v>
      </c>
    </row>
    <row r="3444" spans="1:2" ht="13.2" x14ac:dyDescent="0.25">
      <c r="A3444" s="34" t="s">
        <v>8762</v>
      </c>
      <c r="B3444" s="35">
        <v>3.0166869439511501</v>
      </c>
    </row>
    <row r="3445" spans="1:2" ht="13.2" x14ac:dyDescent="0.25">
      <c r="A3445" s="34" t="s">
        <v>8761</v>
      </c>
      <c r="B3445" s="35">
        <v>2.9969829985228502</v>
      </c>
    </row>
    <row r="3446" spans="1:2" ht="13.2" x14ac:dyDescent="0.25">
      <c r="A3446" s="34" t="s">
        <v>8760</v>
      </c>
      <c r="B3446" s="35">
        <v>3.0302026975426299</v>
      </c>
    </row>
    <row r="3447" spans="1:2" ht="13.2" x14ac:dyDescent="0.25">
      <c r="A3447" s="34" t="s">
        <v>8759</v>
      </c>
      <c r="B3447" s="35">
        <v>2.97487728711247</v>
      </c>
    </row>
    <row r="3448" spans="1:2" ht="13.2" x14ac:dyDescent="0.25">
      <c r="A3448" s="34" t="s">
        <v>8758</v>
      </c>
      <c r="B3448" s="35">
        <v>2.9057844064621299</v>
      </c>
    </row>
    <row r="3449" spans="1:2" ht="13.2" x14ac:dyDescent="0.25">
      <c r="A3449" s="34" t="s">
        <v>8757</v>
      </c>
    </row>
    <row r="3450" spans="1:2" ht="13.2" x14ac:dyDescent="0.25">
      <c r="A3450" s="34" t="s">
        <v>8756</v>
      </c>
    </row>
    <row r="3451" spans="1:2" ht="13.2" x14ac:dyDescent="0.25">
      <c r="A3451" s="34" t="s">
        <v>8755</v>
      </c>
      <c r="B3451" s="35">
        <v>2.9598873822430298</v>
      </c>
    </row>
    <row r="3452" spans="1:2" ht="13.2" x14ac:dyDescent="0.25">
      <c r="A3452" s="34" t="s">
        <v>8754</v>
      </c>
      <c r="B3452" s="35">
        <v>2.7666227594524901</v>
      </c>
    </row>
    <row r="3453" spans="1:2" ht="13.2" x14ac:dyDescent="0.25">
      <c r="A3453" s="34" t="s">
        <v>8753</v>
      </c>
      <c r="B3453" s="35">
        <v>2.8019655648820301</v>
      </c>
    </row>
    <row r="3454" spans="1:2" ht="13.2" x14ac:dyDescent="0.25">
      <c r="A3454" s="34" t="s">
        <v>8752</v>
      </c>
      <c r="B3454" s="35">
        <v>2.76809245654221</v>
      </c>
    </row>
    <row r="3455" spans="1:2" ht="13.2" x14ac:dyDescent="0.25">
      <c r="A3455" s="34" t="s">
        <v>8751</v>
      </c>
      <c r="B3455" s="35">
        <v>2.7554375963794802</v>
      </c>
    </row>
    <row r="3456" spans="1:2" ht="13.2" x14ac:dyDescent="0.25">
      <c r="A3456" s="34" t="s">
        <v>8750</v>
      </c>
    </row>
    <row r="3457" spans="1:2" ht="13.2" x14ac:dyDescent="0.25">
      <c r="A3457" s="34" t="s">
        <v>8749</v>
      </c>
    </row>
    <row r="3458" spans="1:2" ht="13.2" x14ac:dyDescent="0.25">
      <c r="A3458" s="34" t="s">
        <v>8748</v>
      </c>
      <c r="B3458" s="35">
        <v>2.7523023544998</v>
      </c>
    </row>
    <row r="3459" spans="1:2" ht="13.2" x14ac:dyDescent="0.25">
      <c r="A3459" s="34" t="s">
        <v>8747</v>
      </c>
      <c r="B3459" s="35">
        <v>2.5394108125582302</v>
      </c>
    </row>
    <row r="3460" spans="1:2" ht="13.2" x14ac:dyDescent="0.25">
      <c r="A3460" s="34" t="s">
        <v>8746</v>
      </c>
      <c r="B3460" s="35">
        <v>2.5398876882529899</v>
      </c>
    </row>
    <row r="3461" spans="1:2" ht="13.2" x14ac:dyDescent="0.25">
      <c r="A3461" s="34" t="s">
        <v>8745</v>
      </c>
      <c r="B3461" s="35">
        <v>2.48811920584104</v>
      </c>
    </row>
    <row r="3462" spans="1:2" ht="13.2" x14ac:dyDescent="0.25">
      <c r="A3462" s="34" t="s">
        <v>8744</v>
      </c>
    </row>
    <row r="3463" spans="1:2" ht="13.2" x14ac:dyDescent="0.25">
      <c r="A3463" s="34" t="s">
        <v>8743</v>
      </c>
    </row>
    <row r="3464" spans="1:2" ht="13.2" x14ac:dyDescent="0.25">
      <c r="A3464" s="34" t="s">
        <v>8742</v>
      </c>
    </row>
    <row r="3465" spans="1:2" ht="13.2" x14ac:dyDescent="0.25">
      <c r="A3465" s="34" t="s">
        <v>8741</v>
      </c>
      <c r="B3465" s="35">
        <v>2.1653818115601799</v>
      </c>
    </row>
    <row r="3466" spans="1:2" ht="13.2" x14ac:dyDescent="0.25">
      <c r="A3466" s="34" t="s">
        <v>8740</v>
      </c>
      <c r="B3466" s="35">
        <v>2.1603870071109501</v>
      </c>
    </row>
    <row r="3467" spans="1:2" ht="13.2" x14ac:dyDescent="0.25">
      <c r="A3467" s="34" t="s">
        <v>8739</v>
      </c>
      <c r="B3467" s="35">
        <v>2.1603632474474401</v>
      </c>
    </row>
    <row r="3468" spans="1:2" ht="13.2" x14ac:dyDescent="0.25">
      <c r="A3468" s="34" t="s">
        <v>8738</v>
      </c>
      <c r="B3468" s="35">
        <v>2.1518714466537299</v>
      </c>
    </row>
    <row r="3469" spans="1:2" ht="13.2" x14ac:dyDescent="0.25">
      <c r="A3469" s="34" t="s">
        <v>8737</v>
      </c>
      <c r="B3469" s="35">
        <v>1.85344586531852</v>
      </c>
    </row>
    <row r="3470" spans="1:2" ht="13.2" x14ac:dyDescent="0.25">
      <c r="A3470" s="34" t="s">
        <v>8736</v>
      </c>
    </row>
    <row r="3471" spans="1:2" ht="13.2" x14ac:dyDescent="0.25">
      <c r="A3471" s="34" t="s">
        <v>8735</v>
      </c>
    </row>
    <row r="3472" spans="1:2" ht="13.2" x14ac:dyDescent="0.25">
      <c r="A3472" s="34" t="s">
        <v>8734</v>
      </c>
      <c r="B3472" s="35">
        <v>1.8895025340581899</v>
      </c>
    </row>
    <row r="3473" spans="1:2" ht="13.2" x14ac:dyDescent="0.25">
      <c r="A3473" s="34" t="s">
        <v>8733</v>
      </c>
      <c r="B3473" s="35">
        <v>1.8545289503321101</v>
      </c>
    </row>
    <row r="3474" spans="1:2" ht="13.2" x14ac:dyDescent="0.25">
      <c r="A3474" s="34" t="s">
        <v>8732</v>
      </c>
      <c r="B3474" s="35">
        <v>1.5387673459754201</v>
      </c>
    </row>
    <row r="3475" spans="1:2" ht="13.2" x14ac:dyDescent="0.25">
      <c r="A3475" s="34" t="s">
        <v>8731</v>
      </c>
      <c r="B3475" s="35">
        <v>1.5392982078895801</v>
      </c>
    </row>
    <row r="3476" spans="1:2" ht="13.2" x14ac:dyDescent="0.25">
      <c r="A3476" s="34" t="s">
        <v>8730</v>
      </c>
      <c r="B3476" s="35">
        <v>1.27693601109345</v>
      </c>
    </row>
    <row r="3477" spans="1:2" ht="13.2" x14ac:dyDescent="0.25">
      <c r="A3477" s="34" t="s">
        <v>8729</v>
      </c>
    </row>
    <row r="3478" spans="1:2" ht="13.2" x14ac:dyDescent="0.25">
      <c r="A3478" s="34" t="s">
        <v>8728</v>
      </c>
    </row>
    <row r="3479" spans="1:2" ht="13.2" x14ac:dyDescent="0.25">
      <c r="A3479" s="34" t="s">
        <v>8727</v>
      </c>
      <c r="B3479" s="35">
        <v>1.3005574031702201</v>
      </c>
    </row>
    <row r="3480" spans="1:2" ht="13.2" x14ac:dyDescent="0.25">
      <c r="A3480" s="34" t="s">
        <v>8726</v>
      </c>
      <c r="B3480" s="35">
        <v>1.29773474383803</v>
      </c>
    </row>
    <row r="3481" spans="1:2" ht="13.2" x14ac:dyDescent="0.25">
      <c r="A3481" s="34" t="s">
        <v>8725</v>
      </c>
      <c r="B3481" s="35">
        <v>1.17094044599103</v>
      </c>
    </row>
    <row r="3482" spans="1:2" ht="13.2" x14ac:dyDescent="0.25">
      <c r="A3482" s="34" t="s">
        <v>8724</v>
      </c>
      <c r="B3482" s="35">
        <v>1.28001112617341</v>
      </c>
    </row>
    <row r="3483" spans="1:2" ht="13.2" x14ac:dyDescent="0.25">
      <c r="A3483" s="34" t="s">
        <v>8723</v>
      </c>
      <c r="B3483" s="35">
        <v>1.23091870758181</v>
      </c>
    </row>
    <row r="3484" spans="1:2" ht="13.2" x14ac:dyDescent="0.25">
      <c r="A3484" s="34" t="s">
        <v>8722</v>
      </c>
    </row>
    <row r="3485" spans="1:2" ht="13.2" x14ac:dyDescent="0.25">
      <c r="A3485" s="34" t="s">
        <v>8721</v>
      </c>
    </row>
    <row r="3486" spans="1:2" ht="13.2" x14ac:dyDescent="0.25">
      <c r="A3486" s="34" t="s">
        <v>8720</v>
      </c>
      <c r="B3486" s="35">
        <v>1.3469378072190099</v>
      </c>
    </row>
    <row r="3487" spans="1:2" ht="13.2" x14ac:dyDescent="0.25">
      <c r="A3487" s="34" t="s">
        <v>8719</v>
      </c>
      <c r="B3487" s="35">
        <v>1.34608859425723</v>
      </c>
    </row>
    <row r="3488" spans="1:2" ht="13.2" x14ac:dyDescent="0.25">
      <c r="A3488" s="34" t="s">
        <v>8718</v>
      </c>
      <c r="B3488" s="35">
        <v>1.4509628042885001</v>
      </c>
    </row>
    <row r="3489" spans="1:2" ht="13.2" x14ac:dyDescent="0.25">
      <c r="A3489" s="34" t="s">
        <v>8717</v>
      </c>
      <c r="B3489" s="35">
        <v>1.3833672086044699</v>
      </c>
    </row>
    <row r="3490" spans="1:2" ht="13.2" x14ac:dyDescent="0.25">
      <c r="A3490" s="34" t="s">
        <v>8716</v>
      </c>
      <c r="B3490" s="35">
        <v>1.3899891913020299</v>
      </c>
    </row>
    <row r="3491" spans="1:2" ht="13.2" x14ac:dyDescent="0.25">
      <c r="A3491" s="34" t="s">
        <v>8715</v>
      </c>
    </row>
    <row r="3492" spans="1:2" ht="13.2" x14ac:dyDescent="0.25">
      <c r="A3492" s="34" t="s">
        <v>8714</v>
      </c>
    </row>
    <row r="3493" spans="1:2" ht="13.2" x14ac:dyDescent="0.25">
      <c r="A3493" s="34" t="s">
        <v>8713</v>
      </c>
      <c r="B3493" s="35">
        <v>1.4204065250532401</v>
      </c>
    </row>
    <row r="3494" spans="1:2" ht="13.2" x14ac:dyDescent="0.25">
      <c r="A3494" s="34" t="s">
        <v>8712</v>
      </c>
      <c r="B3494" s="35">
        <v>1.4169628451818901</v>
      </c>
    </row>
    <row r="3495" spans="1:2" ht="13.2" x14ac:dyDescent="0.25">
      <c r="A3495" s="34" t="s">
        <v>8711</v>
      </c>
      <c r="B3495" s="35">
        <v>1.4301116183620499</v>
      </c>
    </row>
    <row r="3496" spans="1:2" ht="13.2" x14ac:dyDescent="0.25">
      <c r="A3496" s="34" t="s">
        <v>8710</v>
      </c>
      <c r="B3496" s="35">
        <v>1.4623762418008299</v>
      </c>
    </row>
    <row r="3497" spans="1:2" ht="13.2" x14ac:dyDescent="0.25">
      <c r="A3497" s="34" t="s">
        <v>8709</v>
      </c>
      <c r="B3497" s="35">
        <v>1.4921059561157399</v>
      </c>
    </row>
    <row r="3498" spans="1:2" ht="13.2" x14ac:dyDescent="0.25">
      <c r="A3498" s="34" t="s">
        <v>8708</v>
      </c>
    </row>
    <row r="3499" spans="1:2" ht="13.2" x14ac:dyDescent="0.25">
      <c r="A3499" s="34" t="s">
        <v>8707</v>
      </c>
    </row>
    <row r="3500" spans="1:2" ht="13.2" x14ac:dyDescent="0.25">
      <c r="A3500" s="34" t="s">
        <v>8706</v>
      </c>
      <c r="B3500" s="35">
        <v>1.4932459120743</v>
      </c>
    </row>
    <row r="3501" spans="1:2" ht="13.2" x14ac:dyDescent="0.25">
      <c r="A3501" s="34" t="s">
        <v>8705</v>
      </c>
      <c r="B3501" s="35">
        <v>1.42689710379472</v>
      </c>
    </row>
    <row r="3502" spans="1:2" ht="13.2" x14ac:dyDescent="0.25">
      <c r="A3502" s="34" t="s">
        <v>8704</v>
      </c>
    </row>
    <row r="3503" spans="1:2" ht="13.2" x14ac:dyDescent="0.25">
      <c r="A3503" s="34" t="s">
        <v>8703</v>
      </c>
      <c r="B3503" s="35">
        <v>1.4400975390919299</v>
      </c>
    </row>
    <row r="3504" spans="1:2" ht="13.2" x14ac:dyDescent="0.25">
      <c r="A3504" s="34" t="s">
        <v>8702</v>
      </c>
      <c r="B3504" s="35">
        <v>1.46297865508072</v>
      </c>
    </row>
    <row r="3505" spans="1:2" ht="13.2" x14ac:dyDescent="0.25">
      <c r="A3505" s="34" t="s">
        <v>8701</v>
      </c>
    </row>
    <row r="3506" spans="1:2" ht="13.2" x14ac:dyDescent="0.25">
      <c r="A3506" s="34" t="s">
        <v>8700</v>
      </c>
    </row>
    <row r="3507" spans="1:2" ht="13.2" x14ac:dyDescent="0.25">
      <c r="A3507" s="34" t="s">
        <v>8699</v>
      </c>
      <c r="B3507" s="35">
        <v>1.46155793753151</v>
      </c>
    </row>
    <row r="3508" spans="1:2" ht="13.2" x14ac:dyDescent="0.25">
      <c r="A3508" s="34" t="s">
        <v>8698</v>
      </c>
    </row>
    <row r="3509" spans="1:2" ht="13.2" x14ac:dyDescent="0.25">
      <c r="A3509" s="34" t="s">
        <v>8697</v>
      </c>
    </row>
    <row r="3510" spans="1:2" ht="13.2" x14ac:dyDescent="0.25">
      <c r="A3510" s="34" t="s">
        <v>8696</v>
      </c>
      <c r="B3510" s="35">
        <v>1.4870820957311699</v>
      </c>
    </row>
    <row r="3511" spans="1:2" ht="13.2" x14ac:dyDescent="0.25">
      <c r="A3511" s="34" t="s">
        <v>8695</v>
      </c>
      <c r="B3511" s="35">
        <v>1.4692890908869201</v>
      </c>
    </row>
    <row r="3512" spans="1:2" ht="13.2" x14ac:dyDescent="0.25">
      <c r="A3512" s="34" t="s">
        <v>8694</v>
      </c>
    </row>
    <row r="3513" spans="1:2" ht="13.2" x14ac:dyDescent="0.25">
      <c r="A3513" s="34" t="s">
        <v>8693</v>
      </c>
    </row>
    <row r="3514" spans="1:2" ht="13.2" x14ac:dyDescent="0.25">
      <c r="A3514" s="34" t="s">
        <v>8692</v>
      </c>
      <c r="B3514" s="35">
        <v>1.6167562095347801</v>
      </c>
    </row>
    <row r="3515" spans="1:2" ht="13.2" x14ac:dyDescent="0.25">
      <c r="A3515" s="34" t="s">
        <v>8691</v>
      </c>
      <c r="B3515" s="35">
        <v>1.6547817496735999</v>
      </c>
    </row>
    <row r="3516" spans="1:2" ht="13.2" x14ac:dyDescent="0.25">
      <c r="A3516" s="34" t="s">
        <v>8690</v>
      </c>
      <c r="B3516" s="35">
        <v>1.5674871629796501</v>
      </c>
    </row>
    <row r="3517" spans="1:2" ht="13.2" x14ac:dyDescent="0.25">
      <c r="A3517" s="34" t="s">
        <v>8689</v>
      </c>
      <c r="B3517" s="35">
        <v>1.5580607055787199</v>
      </c>
    </row>
    <row r="3518" spans="1:2" ht="13.2" x14ac:dyDescent="0.25">
      <c r="A3518" s="34" t="s">
        <v>8688</v>
      </c>
      <c r="B3518" s="35">
        <v>1.4904796467988499</v>
      </c>
    </row>
    <row r="3519" spans="1:2" ht="13.2" x14ac:dyDescent="0.25">
      <c r="A3519" s="34" t="s">
        <v>8687</v>
      </c>
    </row>
    <row r="3520" spans="1:2" ht="13.2" x14ac:dyDescent="0.25">
      <c r="A3520" s="34" t="s">
        <v>8686</v>
      </c>
    </row>
    <row r="3521" spans="1:2" ht="13.2" x14ac:dyDescent="0.25">
      <c r="A3521" s="34" t="s">
        <v>8685</v>
      </c>
      <c r="B3521" s="35">
        <v>1.53626802012067</v>
      </c>
    </row>
    <row r="3522" spans="1:2" ht="13.2" x14ac:dyDescent="0.25">
      <c r="A3522" s="34" t="s">
        <v>8684</v>
      </c>
      <c r="B3522" s="35">
        <v>1.4703942798235301</v>
      </c>
    </row>
    <row r="3523" spans="1:2" ht="13.2" x14ac:dyDescent="0.25">
      <c r="A3523" s="34" t="s">
        <v>8683</v>
      </c>
      <c r="B3523" s="35">
        <v>1.5461051994221799</v>
      </c>
    </row>
    <row r="3524" spans="1:2" ht="13.2" x14ac:dyDescent="0.25">
      <c r="A3524" s="34" t="s">
        <v>8682</v>
      </c>
      <c r="B3524" s="35">
        <v>1.5446355279733801</v>
      </c>
    </row>
    <row r="3525" spans="1:2" ht="13.2" x14ac:dyDescent="0.25">
      <c r="A3525" s="34" t="s">
        <v>8681</v>
      </c>
      <c r="B3525" s="35">
        <v>1.63657999041422</v>
      </c>
    </row>
    <row r="3526" spans="1:2" ht="13.2" x14ac:dyDescent="0.25">
      <c r="A3526" s="34" t="s">
        <v>8680</v>
      </c>
    </row>
    <row r="3527" spans="1:2" ht="13.2" x14ac:dyDescent="0.25">
      <c r="A3527" s="34" t="s">
        <v>8679</v>
      </c>
    </row>
    <row r="3528" spans="1:2" ht="13.2" x14ac:dyDescent="0.25">
      <c r="A3528" s="34" t="s">
        <v>8678</v>
      </c>
      <c r="B3528" s="35">
        <v>1.6414936368011099</v>
      </c>
    </row>
    <row r="3529" spans="1:2" ht="13.2" x14ac:dyDescent="0.25">
      <c r="A3529" s="34" t="s">
        <v>8677</v>
      </c>
      <c r="B3529" s="35">
        <v>1.6895661432087701</v>
      </c>
    </row>
    <row r="3530" spans="1:2" ht="13.2" x14ac:dyDescent="0.25">
      <c r="A3530" s="34" t="s">
        <v>8676</v>
      </c>
      <c r="B3530" s="35">
        <v>1.7398618486823301</v>
      </c>
    </row>
    <row r="3531" spans="1:2" ht="13.2" x14ac:dyDescent="0.25">
      <c r="A3531" s="34" t="s">
        <v>8675</v>
      </c>
      <c r="B3531" s="35">
        <v>1.6434242286015801</v>
      </c>
    </row>
    <row r="3532" spans="1:2" ht="13.2" x14ac:dyDescent="0.25">
      <c r="A3532" s="34" t="s">
        <v>8674</v>
      </c>
      <c r="B3532" s="35">
        <v>1.79504792865229</v>
      </c>
    </row>
    <row r="3533" spans="1:2" ht="13.2" x14ac:dyDescent="0.25">
      <c r="A3533" s="34" t="s">
        <v>8673</v>
      </c>
    </row>
    <row r="3534" spans="1:2" ht="13.2" x14ac:dyDescent="0.25">
      <c r="A3534" s="34" t="s">
        <v>8672</v>
      </c>
    </row>
    <row r="3535" spans="1:2" ht="13.2" x14ac:dyDescent="0.25">
      <c r="A3535" s="34" t="s">
        <v>8671</v>
      </c>
      <c r="B3535" s="35">
        <v>1.85006265024238</v>
      </c>
    </row>
    <row r="3536" spans="1:2" ht="13.2" x14ac:dyDescent="0.25">
      <c r="A3536" s="34" t="s">
        <v>8670</v>
      </c>
      <c r="B3536" s="35">
        <v>1.8385619523885699</v>
      </c>
    </row>
    <row r="3537" spans="1:2" ht="13.2" x14ac:dyDescent="0.25">
      <c r="A3537" s="34" t="s">
        <v>8669</v>
      </c>
      <c r="B3537" s="35">
        <v>1.99446332313629</v>
      </c>
    </row>
    <row r="3538" spans="1:2" ht="13.2" x14ac:dyDescent="0.25">
      <c r="A3538" s="34" t="s">
        <v>8668</v>
      </c>
      <c r="B3538" s="35">
        <v>2.0003373330354299</v>
      </c>
    </row>
    <row r="3539" spans="1:2" ht="13.2" x14ac:dyDescent="0.25">
      <c r="A3539" s="34" t="s">
        <v>8667</v>
      </c>
      <c r="B3539" s="35">
        <v>1.9224979573435701</v>
      </c>
    </row>
    <row r="3540" spans="1:2" ht="13.2" x14ac:dyDescent="0.25">
      <c r="A3540" s="34" t="s">
        <v>8666</v>
      </c>
    </row>
    <row r="3541" spans="1:2" ht="13.2" x14ac:dyDescent="0.25">
      <c r="A3541" s="34" t="s">
        <v>8665</v>
      </c>
    </row>
    <row r="3542" spans="1:2" ht="13.2" x14ac:dyDescent="0.25">
      <c r="A3542" s="34" t="s">
        <v>8664</v>
      </c>
      <c r="B3542" s="35">
        <v>1.92161857238795</v>
      </c>
    </row>
    <row r="3543" spans="1:2" ht="13.2" x14ac:dyDescent="0.25">
      <c r="A3543" s="34" t="s">
        <v>8663</v>
      </c>
      <c r="B3543" s="35">
        <v>1.80018672117976</v>
      </c>
    </row>
    <row r="3544" spans="1:2" ht="13.2" x14ac:dyDescent="0.25">
      <c r="A3544" s="34" t="s">
        <v>8662</v>
      </c>
      <c r="B3544" s="35">
        <v>1.8018758012953999</v>
      </c>
    </row>
    <row r="3545" spans="1:2" ht="13.2" x14ac:dyDescent="0.25">
      <c r="A3545" s="34" t="s">
        <v>8661</v>
      </c>
      <c r="B3545" s="35">
        <v>1.8022952204258</v>
      </c>
    </row>
    <row r="3546" spans="1:2" ht="13.2" x14ac:dyDescent="0.25">
      <c r="A3546" s="34" t="s">
        <v>8660</v>
      </c>
      <c r="B3546" s="35">
        <v>1.78365539017319</v>
      </c>
    </row>
    <row r="3547" spans="1:2" ht="13.2" x14ac:dyDescent="0.25">
      <c r="A3547" s="34" t="s">
        <v>8659</v>
      </c>
    </row>
    <row r="3548" spans="1:2" ht="13.2" x14ac:dyDescent="0.25">
      <c r="A3548" s="34" t="s">
        <v>8658</v>
      </c>
    </row>
    <row r="3549" spans="1:2" ht="13.2" x14ac:dyDescent="0.25">
      <c r="A3549" s="34" t="s">
        <v>8657</v>
      </c>
      <c r="B3549" s="35">
        <v>1.6510169820932299</v>
      </c>
    </row>
    <row r="3550" spans="1:2" ht="13.2" x14ac:dyDescent="0.25">
      <c r="A3550" s="34" t="s">
        <v>8656</v>
      </c>
      <c r="B3550" s="35">
        <v>1.6633986289299401</v>
      </c>
    </row>
    <row r="3551" spans="1:2" ht="13.2" x14ac:dyDescent="0.25">
      <c r="A3551" s="34" t="s">
        <v>8655</v>
      </c>
      <c r="B3551" s="35">
        <v>1.6481534387279499</v>
      </c>
    </row>
    <row r="3552" spans="1:2" ht="13.2" x14ac:dyDescent="0.25">
      <c r="A3552" s="34" t="s">
        <v>8654</v>
      </c>
      <c r="B3552" s="35">
        <v>1.7798135968447399</v>
      </c>
    </row>
    <row r="3553" spans="1:2" ht="13.2" x14ac:dyDescent="0.25">
      <c r="A3553" s="34" t="s">
        <v>8653</v>
      </c>
      <c r="B3553" s="35">
        <v>1.7779970483790599</v>
      </c>
    </row>
    <row r="3554" spans="1:2" ht="13.2" x14ac:dyDescent="0.25">
      <c r="A3554" s="34" t="s">
        <v>8652</v>
      </c>
    </row>
    <row r="3555" spans="1:2" ht="13.2" x14ac:dyDescent="0.25">
      <c r="A3555" s="34" t="s">
        <v>8651</v>
      </c>
    </row>
    <row r="3556" spans="1:2" ht="13.2" x14ac:dyDescent="0.25">
      <c r="A3556" s="34" t="s">
        <v>8650</v>
      </c>
      <c r="B3556" s="35">
        <v>1.7870005850941599</v>
      </c>
    </row>
    <row r="3557" spans="1:2" ht="13.2" x14ac:dyDescent="0.25">
      <c r="A3557" s="34" t="s">
        <v>8649</v>
      </c>
      <c r="B3557" s="35">
        <v>1.9161822782323501</v>
      </c>
    </row>
    <row r="3558" spans="1:2" ht="13.2" x14ac:dyDescent="0.25">
      <c r="A3558" s="34" t="s">
        <v>8648</v>
      </c>
      <c r="B3558" s="35">
        <v>1.91857230878163</v>
      </c>
    </row>
    <row r="3559" spans="1:2" ht="13.2" x14ac:dyDescent="0.25">
      <c r="A3559" s="34" t="s">
        <v>8647</v>
      </c>
      <c r="B3559" s="35">
        <v>1.8587600896629299</v>
      </c>
    </row>
    <row r="3560" spans="1:2" ht="13.2" x14ac:dyDescent="0.25">
      <c r="A3560" s="34" t="s">
        <v>8646</v>
      </c>
      <c r="B3560" s="35">
        <v>1.88448267364781</v>
      </c>
    </row>
    <row r="3561" spans="1:2" ht="13.2" x14ac:dyDescent="0.25">
      <c r="A3561" s="34" t="s">
        <v>8645</v>
      </c>
    </row>
    <row r="3562" spans="1:2" ht="13.2" x14ac:dyDescent="0.25">
      <c r="A3562" s="34" t="s">
        <v>8644</v>
      </c>
    </row>
    <row r="3563" spans="1:2" ht="13.2" x14ac:dyDescent="0.25">
      <c r="A3563" s="34" t="s">
        <v>8643</v>
      </c>
      <c r="B3563" s="35">
        <v>1.7515265820201</v>
      </c>
    </row>
    <row r="3564" spans="1:2" ht="13.2" x14ac:dyDescent="0.25">
      <c r="A3564" s="34" t="s">
        <v>8642</v>
      </c>
      <c r="B3564" s="35">
        <v>1.68442978850602</v>
      </c>
    </row>
    <row r="3565" spans="1:2" ht="13.2" x14ac:dyDescent="0.25">
      <c r="A3565" s="34" t="s">
        <v>8641</v>
      </c>
      <c r="B3565" s="35">
        <v>1.7293516079309801</v>
      </c>
    </row>
    <row r="3566" spans="1:2" ht="13.2" x14ac:dyDescent="0.25">
      <c r="A3566" s="34" t="s">
        <v>8640</v>
      </c>
      <c r="B3566" s="35">
        <v>1.5797866340868401</v>
      </c>
    </row>
    <row r="3567" spans="1:2" ht="13.2" x14ac:dyDescent="0.25">
      <c r="A3567" s="34" t="s">
        <v>8639</v>
      </c>
      <c r="B3567" s="35">
        <v>1.62091136974245</v>
      </c>
    </row>
    <row r="3568" spans="1:2" ht="13.2" x14ac:dyDescent="0.25">
      <c r="A3568" s="34" t="s">
        <v>8638</v>
      </c>
    </row>
    <row r="3569" spans="1:2" ht="13.2" x14ac:dyDescent="0.25">
      <c r="A3569" s="34" t="s">
        <v>8637</v>
      </c>
    </row>
    <row r="3570" spans="1:2" ht="13.2" x14ac:dyDescent="0.25">
      <c r="A3570" s="34" t="s">
        <v>8636</v>
      </c>
    </row>
    <row r="3571" spans="1:2" ht="13.2" x14ac:dyDescent="0.25">
      <c r="A3571" s="34" t="s">
        <v>8635</v>
      </c>
    </row>
    <row r="3572" spans="1:2" ht="13.2" x14ac:dyDescent="0.25">
      <c r="A3572" s="34" t="s">
        <v>8634</v>
      </c>
      <c r="B3572" s="35">
        <v>1.5618301878447001</v>
      </c>
    </row>
    <row r="3573" spans="1:2" ht="13.2" x14ac:dyDescent="0.25">
      <c r="A3573" s="34" t="s">
        <v>8633</v>
      </c>
      <c r="B3573" s="35">
        <v>1.7143150100871301</v>
      </c>
    </row>
    <row r="3574" spans="1:2" ht="13.2" x14ac:dyDescent="0.25">
      <c r="A3574" s="34" t="s">
        <v>8632</v>
      </c>
      <c r="B3574" s="35">
        <v>1.5887033154678301</v>
      </c>
    </row>
    <row r="3575" spans="1:2" ht="13.2" x14ac:dyDescent="0.25">
      <c r="A3575" s="34" t="s">
        <v>8631</v>
      </c>
    </row>
    <row r="3576" spans="1:2" ht="13.2" x14ac:dyDescent="0.25">
      <c r="A3576" s="34" t="s">
        <v>8630</v>
      </c>
    </row>
    <row r="3577" spans="1:2" ht="13.2" x14ac:dyDescent="0.25">
      <c r="A3577" s="34" t="s">
        <v>8629</v>
      </c>
      <c r="B3577" s="35">
        <v>1.8135232153723699</v>
      </c>
    </row>
    <row r="3578" spans="1:2" ht="13.2" x14ac:dyDescent="0.25">
      <c r="A3578" s="34" t="s">
        <v>8628</v>
      </c>
      <c r="B3578" s="35">
        <v>1.8156777622389499</v>
      </c>
    </row>
    <row r="3579" spans="1:2" ht="13.2" x14ac:dyDescent="0.25">
      <c r="A3579" s="34" t="s">
        <v>8627</v>
      </c>
      <c r="B3579" s="35">
        <v>1.8439790146905699</v>
      </c>
    </row>
    <row r="3580" spans="1:2" ht="13.2" x14ac:dyDescent="0.25">
      <c r="A3580" s="34" t="s">
        <v>8626</v>
      </c>
      <c r="B3580" s="35">
        <v>1.87889196940548</v>
      </c>
    </row>
    <row r="3581" spans="1:2" ht="13.2" x14ac:dyDescent="0.25">
      <c r="A3581" s="34" t="s">
        <v>8625</v>
      </c>
      <c r="B3581" s="35">
        <v>1.87905471122606</v>
      </c>
    </row>
    <row r="3582" spans="1:2" ht="13.2" x14ac:dyDescent="0.25">
      <c r="A3582" s="34" t="s">
        <v>8624</v>
      </c>
    </row>
    <row r="3583" spans="1:2" ht="13.2" x14ac:dyDescent="0.25">
      <c r="A3583" s="34" t="s">
        <v>8623</v>
      </c>
    </row>
    <row r="3584" spans="1:2" ht="13.2" x14ac:dyDescent="0.25">
      <c r="A3584" s="34" t="s">
        <v>8622</v>
      </c>
      <c r="B3584" s="35">
        <v>1.88076009987696</v>
      </c>
    </row>
    <row r="3585" spans="1:2" ht="13.2" x14ac:dyDescent="0.25">
      <c r="A3585" s="34" t="s">
        <v>8621</v>
      </c>
      <c r="B3585" s="35">
        <v>1.69969569725127</v>
      </c>
    </row>
    <row r="3586" spans="1:2" ht="13.2" x14ac:dyDescent="0.25">
      <c r="A3586" s="34" t="s">
        <v>8620</v>
      </c>
      <c r="B3586" s="35">
        <v>1.7369974863251101</v>
      </c>
    </row>
    <row r="3587" spans="1:2" ht="13.2" x14ac:dyDescent="0.25">
      <c r="A3587" s="34" t="s">
        <v>8619</v>
      </c>
      <c r="B3587" s="35">
        <v>1.7442132096470899</v>
      </c>
    </row>
    <row r="3588" spans="1:2" ht="13.2" x14ac:dyDescent="0.25">
      <c r="A3588" s="34" t="s">
        <v>8618</v>
      </c>
      <c r="B3588" s="35">
        <v>1.7130301564593</v>
      </c>
    </row>
    <row r="3589" spans="1:2" ht="13.2" x14ac:dyDescent="0.25">
      <c r="A3589" s="34" t="s">
        <v>8617</v>
      </c>
    </row>
    <row r="3590" spans="1:2" ht="13.2" x14ac:dyDescent="0.25">
      <c r="A3590" s="34" t="s">
        <v>8616</v>
      </c>
    </row>
    <row r="3591" spans="1:2" ht="13.2" x14ac:dyDescent="0.25">
      <c r="A3591" s="34" t="s">
        <v>8615</v>
      </c>
      <c r="B3591" s="35">
        <v>1.79056500302025</v>
      </c>
    </row>
    <row r="3592" spans="1:2" ht="13.2" x14ac:dyDescent="0.25">
      <c r="A3592" s="34" t="s">
        <v>8614</v>
      </c>
      <c r="B3592" s="35">
        <v>1.8029078030832499</v>
      </c>
    </row>
    <row r="3593" spans="1:2" ht="13.2" x14ac:dyDescent="0.25">
      <c r="A3593" s="34" t="s">
        <v>8613</v>
      </c>
      <c r="B3593" s="35">
        <v>1.80216930593096</v>
      </c>
    </row>
    <row r="3594" spans="1:2" ht="13.2" x14ac:dyDescent="0.25">
      <c r="A3594" s="34" t="s">
        <v>8612</v>
      </c>
      <c r="B3594" s="35">
        <v>1.7838492235577099</v>
      </c>
    </row>
    <row r="3595" spans="1:2" ht="13.2" x14ac:dyDescent="0.25">
      <c r="A3595" s="34" t="s">
        <v>8611</v>
      </c>
      <c r="B3595" s="35">
        <v>1.7800649581616801</v>
      </c>
    </row>
    <row r="3596" spans="1:2" ht="13.2" x14ac:dyDescent="0.25">
      <c r="A3596" s="34" t="s">
        <v>8610</v>
      </c>
    </row>
    <row r="3597" spans="1:2" ht="13.2" x14ac:dyDescent="0.25">
      <c r="A3597" s="34" t="s">
        <v>8609</v>
      </c>
    </row>
    <row r="3598" spans="1:2" ht="13.2" x14ac:dyDescent="0.25">
      <c r="A3598" s="34" t="s">
        <v>8608</v>
      </c>
      <c r="B3598" s="35">
        <v>1.72849654769817</v>
      </c>
    </row>
    <row r="3599" spans="1:2" ht="13.2" x14ac:dyDescent="0.25">
      <c r="A3599" s="34" t="s">
        <v>8607</v>
      </c>
      <c r="B3599" s="35">
        <v>1.7887826252115899</v>
      </c>
    </row>
    <row r="3600" spans="1:2" ht="13.2" x14ac:dyDescent="0.25">
      <c r="A3600" s="34" t="s">
        <v>8606</v>
      </c>
      <c r="B3600" s="35">
        <v>1.8197612429315899</v>
      </c>
    </row>
    <row r="3601" spans="1:2" ht="13.2" x14ac:dyDescent="0.25">
      <c r="A3601" s="34" t="s">
        <v>8605</v>
      </c>
      <c r="B3601" s="35">
        <v>1.8191937384951999</v>
      </c>
    </row>
    <row r="3602" spans="1:2" ht="13.2" x14ac:dyDescent="0.25">
      <c r="A3602" s="34" t="s">
        <v>8604</v>
      </c>
      <c r="B3602" s="35">
        <v>1.7463426971373699</v>
      </c>
    </row>
    <row r="3603" spans="1:2" ht="13.2" x14ac:dyDescent="0.25">
      <c r="A3603" s="34" t="s">
        <v>8603</v>
      </c>
    </row>
    <row r="3604" spans="1:2" ht="13.2" x14ac:dyDescent="0.25">
      <c r="A3604" s="34" t="s">
        <v>8602</v>
      </c>
    </row>
    <row r="3605" spans="1:2" ht="13.2" x14ac:dyDescent="0.25">
      <c r="A3605" s="34" t="s">
        <v>8601</v>
      </c>
      <c r="B3605" s="35">
        <v>1.74379720123702</v>
      </c>
    </row>
    <row r="3606" spans="1:2" ht="13.2" x14ac:dyDescent="0.25">
      <c r="A3606" s="34" t="s">
        <v>8600</v>
      </c>
      <c r="B3606" s="35">
        <v>1.6275633562209899</v>
      </c>
    </row>
    <row r="3607" spans="1:2" ht="13.2" x14ac:dyDescent="0.25">
      <c r="A3607" s="34" t="s">
        <v>8599</v>
      </c>
      <c r="B3607" s="35">
        <v>1.6356095891834399</v>
      </c>
    </row>
    <row r="3608" spans="1:2" ht="13.2" x14ac:dyDescent="0.25">
      <c r="A3608" s="34" t="s">
        <v>8598</v>
      </c>
      <c r="B3608" s="35">
        <v>1.64808450406059</v>
      </c>
    </row>
    <row r="3609" spans="1:2" ht="13.2" x14ac:dyDescent="0.25">
      <c r="A3609" s="34" t="s">
        <v>8597</v>
      </c>
      <c r="B3609" s="35">
        <v>1.6201932588966099</v>
      </c>
    </row>
    <row r="3610" spans="1:2" ht="13.2" x14ac:dyDescent="0.25">
      <c r="A3610" s="34" t="s">
        <v>8596</v>
      </c>
    </row>
    <row r="3611" spans="1:2" ht="13.2" x14ac:dyDescent="0.25">
      <c r="A3611" s="34" t="s">
        <v>8595</v>
      </c>
    </row>
    <row r="3612" spans="1:2" ht="13.2" x14ac:dyDescent="0.25">
      <c r="A3612" s="34" t="s">
        <v>8594</v>
      </c>
      <c r="B3612" s="35">
        <v>1.6323034702989101</v>
      </c>
    </row>
    <row r="3613" spans="1:2" ht="13.2" x14ac:dyDescent="0.25">
      <c r="A3613" s="34" t="s">
        <v>8593</v>
      </c>
      <c r="B3613" s="35">
        <v>1.66448028938215</v>
      </c>
    </row>
    <row r="3614" spans="1:2" ht="13.2" x14ac:dyDescent="0.25">
      <c r="A3614" s="34" t="s">
        <v>8592</v>
      </c>
      <c r="B3614" s="35">
        <v>1.61332943320984</v>
      </c>
    </row>
    <row r="3615" spans="1:2" ht="13.2" x14ac:dyDescent="0.25">
      <c r="A3615" s="34" t="s">
        <v>8591</v>
      </c>
      <c r="B3615" s="35">
        <v>1.6543397299497</v>
      </c>
    </row>
    <row r="3616" spans="1:2" ht="13.2" x14ac:dyDescent="0.25">
      <c r="A3616" s="34" t="s">
        <v>8590</v>
      </c>
    </row>
    <row r="3617" spans="1:2" ht="13.2" x14ac:dyDescent="0.25">
      <c r="A3617" s="34" t="s">
        <v>8589</v>
      </c>
    </row>
    <row r="3618" spans="1:2" ht="13.2" x14ac:dyDescent="0.25">
      <c r="A3618" s="34" t="s">
        <v>8588</v>
      </c>
    </row>
    <row r="3619" spans="1:2" ht="13.2" x14ac:dyDescent="0.25">
      <c r="A3619" s="34" t="s">
        <v>8587</v>
      </c>
    </row>
    <row r="3620" spans="1:2" ht="13.2" x14ac:dyDescent="0.25">
      <c r="A3620" s="34" t="s">
        <v>8586</v>
      </c>
      <c r="B3620" s="35">
        <v>1.64384044917676</v>
      </c>
    </row>
    <row r="3621" spans="1:2" ht="13.2" x14ac:dyDescent="0.25">
      <c r="A3621" s="34" t="s">
        <v>8585</v>
      </c>
      <c r="B3621" s="35">
        <v>1.6240681782786801</v>
      </c>
    </row>
    <row r="3622" spans="1:2" ht="13.2" x14ac:dyDescent="0.25">
      <c r="A3622" s="34" t="s">
        <v>8584</v>
      </c>
      <c r="B3622" s="35">
        <v>1.56283219566417</v>
      </c>
    </row>
    <row r="3623" spans="1:2" ht="13.2" x14ac:dyDescent="0.25">
      <c r="A3623" s="34" t="s">
        <v>8583</v>
      </c>
      <c r="B3623" s="35">
        <v>1.5414538468219801</v>
      </c>
    </row>
    <row r="3624" spans="1:2" ht="13.2" x14ac:dyDescent="0.25">
      <c r="A3624" s="34" t="s">
        <v>8582</v>
      </c>
    </row>
    <row r="3625" spans="1:2" ht="13.2" x14ac:dyDescent="0.25">
      <c r="A3625" s="34" t="s">
        <v>8581</v>
      </c>
    </row>
    <row r="3626" spans="1:2" ht="13.2" x14ac:dyDescent="0.25">
      <c r="A3626" s="34" t="s">
        <v>8580</v>
      </c>
      <c r="B3626" s="35">
        <v>1.6179790746012701</v>
      </c>
    </row>
    <row r="3627" spans="1:2" ht="13.2" x14ac:dyDescent="0.25">
      <c r="A3627" s="34" t="s">
        <v>8579</v>
      </c>
      <c r="B3627" s="35">
        <v>1.6378803912935</v>
      </c>
    </row>
    <row r="3628" spans="1:2" ht="13.2" x14ac:dyDescent="0.25">
      <c r="A3628" s="34" t="s">
        <v>8578</v>
      </c>
      <c r="B3628" s="35">
        <v>1.65814068701772</v>
      </c>
    </row>
    <row r="3629" spans="1:2" ht="13.2" x14ac:dyDescent="0.25">
      <c r="A3629" s="34" t="s">
        <v>8577</v>
      </c>
    </row>
    <row r="3630" spans="1:2" ht="13.2" x14ac:dyDescent="0.25">
      <c r="A3630" s="34" t="s">
        <v>8576</v>
      </c>
      <c r="B3630" s="35">
        <v>1.65109952139157</v>
      </c>
    </row>
    <row r="3631" spans="1:2" ht="13.2" x14ac:dyDescent="0.25">
      <c r="A3631" s="34" t="s">
        <v>8575</v>
      </c>
    </row>
    <row r="3632" spans="1:2" ht="13.2" x14ac:dyDescent="0.25">
      <c r="A3632" s="34" t="s">
        <v>8574</v>
      </c>
    </row>
    <row r="3633" spans="1:2" ht="13.2" x14ac:dyDescent="0.25">
      <c r="A3633" s="34" t="s">
        <v>8573</v>
      </c>
      <c r="B3633" s="35">
        <v>1.57576121510081</v>
      </c>
    </row>
    <row r="3634" spans="1:2" ht="13.2" x14ac:dyDescent="0.25">
      <c r="A3634" s="34" t="s">
        <v>8572</v>
      </c>
      <c r="B3634" s="35">
        <v>1.56845406832707</v>
      </c>
    </row>
    <row r="3635" spans="1:2" ht="13.2" x14ac:dyDescent="0.25">
      <c r="A3635" s="34" t="s">
        <v>8571</v>
      </c>
      <c r="B3635" s="35">
        <v>1.6280616585471199</v>
      </c>
    </row>
    <row r="3636" spans="1:2" ht="13.2" x14ac:dyDescent="0.25">
      <c r="A3636" s="34" t="s">
        <v>8570</v>
      </c>
      <c r="B3636" s="35">
        <v>1.6334922753968399</v>
      </c>
    </row>
    <row r="3637" spans="1:2" ht="13.2" x14ac:dyDescent="0.25">
      <c r="A3637" s="34" t="s">
        <v>8569</v>
      </c>
      <c r="B3637" s="35">
        <v>1.68586085555761</v>
      </c>
    </row>
    <row r="3638" spans="1:2" ht="13.2" x14ac:dyDescent="0.25">
      <c r="A3638" s="34" t="s">
        <v>8568</v>
      </c>
    </row>
    <row r="3639" spans="1:2" ht="13.2" x14ac:dyDescent="0.25">
      <c r="A3639" s="34" t="s">
        <v>8567</v>
      </c>
    </row>
    <row r="3640" spans="1:2" ht="13.2" x14ac:dyDescent="0.25">
      <c r="A3640" s="34" t="s">
        <v>8566</v>
      </c>
      <c r="B3640" s="35">
        <v>1.4969354604937399</v>
      </c>
    </row>
    <row r="3641" spans="1:2" ht="13.2" x14ac:dyDescent="0.25">
      <c r="A3641" s="34" t="s">
        <v>8565</v>
      </c>
      <c r="B3641" s="35">
        <v>1.4871748192982199</v>
      </c>
    </row>
    <row r="3642" spans="1:2" ht="13.2" x14ac:dyDescent="0.25">
      <c r="A3642" s="34" t="s">
        <v>8564</v>
      </c>
      <c r="B3642" s="35">
        <v>1.41304762195539</v>
      </c>
    </row>
    <row r="3643" spans="1:2" ht="13.2" x14ac:dyDescent="0.25">
      <c r="A3643" s="34" t="s">
        <v>8563</v>
      </c>
      <c r="B3643" s="35">
        <v>1.57050004235828</v>
      </c>
    </row>
    <row r="3644" spans="1:2" ht="13.2" x14ac:dyDescent="0.25">
      <c r="A3644" s="34" t="s">
        <v>8562</v>
      </c>
      <c r="B3644" s="35">
        <v>1.5612174269219601</v>
      </c>
    </row>
    <row r="3645" spans="1:2" ht="13.2" x14ac:dyDescent="0.25">
      <c r="A3645" s="34" t="s">
        <v>8561</v>
      </c>
    </row>
    <row r="3646" spans="1:2" ht="13.2" x14ac:dyDescent="0.25">
      <c r="A3646" s="34" t="s">
        <v>8560</v>
      </c>
    </row>
    <row r="3647" spans="1:2" ht="13.2" x14ac:dyDescent="0.25">
      <c r="A3647" s="34" t="s">
        <v>8559</v>
      </c>
      <c r="B3647" s="35">
        <v>1.7731214286202099</v>
      </c>
    </row>
    <row r="3648" spans="1:2" ht="13.2" x14ac:dyDescent="0.25">
      <c r="A3648" s="34" t="s">
        <v>8558</v>
      </c>
      <c r="B3648" s="35">
        <v>1.7655353023252101</v>
      </c>
    </row>
    <row r="3649" spans="1:2" ht="13.2" x14ac:dyDescent="0.25">
      <c r="A3649" s="34" t="s">
        <v>8557</v>
      </c>
      <c r="B3649" s="35">
        <v>1.7232988936384299</v>
      </c>
    </row>
    <row r="3650" spans="1:2" ht="13.2" x14ac:dyDescent="0.25">
      <c r="A3650" s="34" t="s">
        <v>8556</v>
      </c>
      <c r="B3650" s="35">
        <v>1.72368227470447</v>
      </c>
    </row>
    <row r="3651" spans="1:2" ht="13.2" x14ac:dyDescent="0.25">
      <c r="A3651" s="34" t="s">
        <v>8555</v>
      </c>
      <c r="B3651" s="35">
        <v>1.7160391296867299</v>
      </c>
    </row>
    <row r="3652" spans="1:2" ht="13.2" x14ac:dyDescent="0.25">
      <c r="A3652" s="34" t="s">
        <v>8554</v>
      </c>
    </row>
    <row r="3653" spans="1:2" ht="13.2" x14ac:dyDescent="0.25">
      <c r="A3653" s="34" t="s">
        <v>8553</v>
      </c>
    </row>
    <row r="3654" spans="1:2" ht="13.2" x14ac:dyDescent="0.25">
      <c r="A3654" s="34" t="s">
        <v>8552</v>
      </c>
      <c r="B3654" s="35">
        <v>1.7162910026157701</v>
      </c>
    </row>
    <row r="3655" spans="1:2" ht="13.2" x14ac:dyDescent="0.25">
      <c r="A3655" s="34" t="s">
        <v>8551</v>
      </c>
      <c r="B3655" s="35">
        <v>1.81589986876515</v>
      </c>
    </row>
    <row r="3656" spans="1:2" ht="13.2" x14ac:dyDescent="0.25">
      <c r="A3656" s="34" t="s">
        <v>8550</v>
      </c>
      <c r="B3656" s="35">
        <v>1.73691878640798</v>
      </c>
    </row>
    <row r="3657" spans="1:2" ht="13.2" x14ac:dyDescent="0.25">
      <c r="A3657" s="34" t="s">
        <v>8549</v>
      </c>
      <c r="B3657" s="35">
        <v>1.7114995191309501</v>
      </c>
    </row>
    <row r="3658" spans="1:2" ht="13.2" x14ac:dyDescent="0.25">
      <c r="A3658" s="34" t="s">
        <v>8548</v>
      </c>
      <c r="B3658" s="35">
        <v>1.6889094568527501</v>
      </c>
    </row>
    <row r="3659" spans="1:2" ht="13.2" x14ac:dyDescent="0.25">
      <c r="A3659" s="34" t="s">
        <v>8547</v>
      </c>
    </row>
    <row r="3660" spans="1:2" ht="13.2" x14ac:dyDescent="0.25">
      <c r="A3660" s="34" t="s">
        <v>8546</v>
      </c>
    </row>
    <row r="3661" spans="1:2" ht="13.2" x14ac:dyDescent="0.25">
      <c r="A3661" s="34" t="s">
        <v>8545</v>
      </c>
      <c r="B3661" s="35">
        <v>1.68503552989634</v>
      </c>
    </row>
    <row r="3662" spans="1:2" ht="13.2" x14ac:dyDescent="0.25">
      <c r="A3662" s="34" t="s">
        <v>8544</v>
      </c>
      <c r="B3662" s="35">
        <v>1.6931356344866599</v>
      </c>
    </row>
    <row r="3663" spans="1:2" ht="13.2" x14ac:dyDescent="0.25">
      <c r="A3663" s="34" t="s">
        <v>8543</v>
      </c>
      <c r="B3663" s="35">
        <v>1.7335640149481299</v>
      </c>
    </row>
    <row r="3664" spans="1:2" ht="13.2" x14ac:dyDescent="0.25">
      <c r="A3664" s="34" t="s">
        <v>8542</v>
      </c>
      <c r="B3664" s="35">
        <v>1.66914386339355</v>
      </c>
    </row>
    <row r="3665" spans="1:2" ht="13.2" x14ac:dyDescent="0.25">
      <c r="A3665" s="34" t="s">
        <v>8541</v>
      </c>
      <c r="B3665" s="35">
        <v>1.6713398230940699</v>
      </c>
    </row>
    <row r="3666" spans="1:2" ht="13.2" x14ac:dyDescent="0.25">
      <c r="A3666" s="34" t="s">
        <v>8540</v>
      </c>
    </row>
    <row r="3667" spans="1:2" ht="13.2" x14ac:dyDescent="0.25">
      <c r="A3667" s="34" t="s">
        <v>8539</v>
      </c>
    </row>
    <row r="3668" spans="1:2" ht="13.2" x14ac:dyDescent="0.25">
      <c r="A3668" s="34" t="s">
        <v>8538</v>
      </c>
      <c r="B3668" s="35">
        <v>1.6242560574313001</v>
      </c>
    </row>
    <row r="3669" spans="1:2" ht="13.2" x14ac:dyDescent="0.25">
      <c r="A3669" s="34" t="s">
        <v>8537</v>
      </c>
      <c r="B3669" s="35">
        <v>1.61921747770734</v>
      </c>
    </row>
    <row r="3670" spans="1:2" ht="13.2" x14ac:dyDescent="0.25">
      <c r="A3670" s="34" t="s">
        <v>8536</v>
      </c>
      <c r="B3670" s="35">
        <v>1.61551379798894</v>
      </c>
    </row>
    <row r="3671" spans="1:2" ht="13.2" x14ac:dyDescent="0.25">
      <c r="A3671" s="34" t="s">
        <v>8535</v>
      </c>
      <c r="B3671" s="35">
        <v>1.6207057109621701</v>
      </c>
    </row>
    <row r="3672" spans="1:2" ht="13.2" x14ac:dyDescent="0.25">
      <c r="A3672" s="34" t="s">
        <v>8534</v>
      </c>
      <c r="B3672" s="35">
        <v>1.5711272262279301</v>
      </c>
    </row>
    <row r="3673" spans="1:2" ht="13.2" x14ac:dyDescent="0.25">
      <c r="A3673" s="34" t="s">
        <v>8533</v>
      </c>
    </row>
    <row r="3674" spans="1:2" ht="13.2" x14ac:dyDescent="0.25">
      <c r="A3674" s="34" t="s">
        <v>8532</v>
      </c>
    </row>
    <row r="3675" spans="1:2" ht="13.2" x14ac:dyDescent="0.25">
      <c r="A3675" s="34" t="s">
        <v>8531</v>
      </c>
      <c r="B3675" s="35">
        <v>1.5710841809398799</v>
      </c>
    </row>
    <row r="3676" spans="1:2" ht="13.2" x14ac:dyDescent="0.25">
      <c r="A3676" s="34" t="s">
        <v>8530</v>
      </c>
      <c r="B3676" s="35">
        <v>1.3038761831998</v>
      </c>
    </row>
    <row r="3677" spans="1:2" ht="13.2" x14ac:dyDescent="0.25">
      <c r="A3677" s="34" t="s">
        <v>8529</v>
      </c>
      <c r="B3677" s="35">
        <v>1.39752986198477</v>
      </c>
    </row>
    <row r="3678" spans="1:2" ht="13.2" x14ac:dyDescent="0.25">
      <c r="A3678" s="34" t="s">
        <v>8528</v>
      </c>
    </row>
    <row r="3679" spans="1:2" ht="13.2" x14ac:dyDescent="0.25">
      <c r="A3679" s="34" t="s">
        <v>8527</v>
      </c>
      <c r="B3679" s="35">
        <v>1.4793379172048899</v>
      </c>
    </row>
    <row r="3680" spans="1:2" ht="13.2" x14ac:dyDescent="0.25">
      <c r="A3680" s="34" t="s">
        <v>8526</v>
      </c>
    </row>
    <row r="3681" spans="1:2" ht="13.2" x14ac:dyDescent="0.25">
      <c r="A3681" s="34" t="s">
        <v>8525</v>
      </c>
    </row>
    <row r="3682" spans="1:2" ht="13.2" x14ac:dyDescent="0.25">
      <c r="A3682" s="34" t="s">
        <v>8524</v>
      </c>
      <c r="B3682" s="35">
        <v>1.4941089263123799</v>
      </c>
    </row>
    <row r="3683" spans="1:2" ht="13.2" x14ac:dyDescent="0.25">
      <c r="A3683" s="34" t="s">
        <v>8523</v>
      </c>
      <c r="B3683" s="35">
        <v>1.50630555581086</v>
      </c>
    </row>
    <row r="3684" spans="1:2" ht="13.2" x14ac:dyDescent="0.25">
      <c r="A3684" s="34" t="s">
        <v>8522</v>
      </c>
      <c r="B3684" s="35">
        <v>1.4261336419816499</v>
      </c>
    </row>
    <row r="3685" spans="1:2" ht="13.2" x14ac:dyDescent="0.25">
      <c r="A3685" s="34" t="s">
        <v>8521</v>
      </c>
      <c r="B3685" s="35">
        <v>1.2654834163336</v>
      </c>
    </row>
    <row r="3686" spans="1:2" ht="13.2" x14ac:dyDescent="0.25">
      <c r="A3686" s="34" t="s">
        <v>8520</v>
      </c>
      <c r="B3686" s="35">
        <v>1.26886440103126</v>
      </c>
    </row>
    <row r="3687" spans="1:2" ht="13.2" x14ac:dyDescent="0.25">
      <c r="A3687" s="34" t="s">
        <v>8519</v>
      </c>
    </row>
    <row r="3688" spans="1:2" ht="13.2" x14ac:dyDescent="0.25">
      <c r="A3688" s="34" t="s">
        <v>8518</v>
      </c>
    </row>
    <row r="3689" spans="1:2" ht="13.2" x14ac:dyDescent="0.25">
      <c r="A3689" s="34" t="s">
        <v>8517</v>
      </c>
      <c r="B3689" s="35">
        <v>1.2520464086513099</v>
      </c>
    </row>
    <row r="3690" spans="1:2" ht="13.2" x14ac:dyDescent="0.25">
      <c r="A3690" s="34" t="s">
        <v>8516</v>
      </c>
      <c r="B3690" s="35">
        <v>1.3723349540734899</v>
      </c>
    </row>
    <row r="3691" spans="1:2" ht="13.2" x14ac:dyDescent="0.25">
      <c r="A3691" s="34" t="s">
        <v>8515</v>
      </c>
      <c r="B3691" s="35">
        <v>1.3344800886814401</v>
      </c>
    </row>
    <row r="3692" spans="1:2" ht="13.2" x14ac:dyDescent="0.25">
      <c r="A3692" s="34" t="s">
        <v>8514</v>
      </c>
      <c r="B3692" s="35">
        <v>1.35001274979012</v>
      </c>
    </row>
    <row r="3693" spans="1:2" ht="13.2" x14ac:dyDescent="0.25">
      <c r="A3693" s="34" t="s">
        <v>8513</v>
      </c>
      <c r="B3693" s="35">
        <v>1.2231681645557999</v>
      </c>
    </row>
    <row r="3694" spans="1:2" ht="13.2" x14ac:dyDescent="0.25">
      <c r="A3694" s="34" t="s">
        <v>8512</v>
      </c>
    </row>
    <row r="3695" spans="1:2" ht="13.2" x14ac:dyDescent="0.25">
      <c r="A3695" s="34" t="s">
        <v>8511</v>
      </c>
    </row>
    <row r="3696" spans="1:2" ht="13.2" x14ac:dyDescent="0.25">
      <c r="A3696" s="34" t="s">
        <v>8510</v>
      </c>
      <c r="B3696" s="35">
        <v>1.2384004864918301</v>
      </c>
    </row>
    <row r="3697" spans="1:2" ht="13.2" x14ac:dyDescent="0.25">
      <c r="A3697" s="34" t="s">
        <v>8509</v>
      </c>
      <c r="B3697" s="35">
        <v>1.2712801768067099</v>
      </c>
    </row>
    <row r="3698" spans="1:2" ht="13.2" x14ac:dyDescent="0.25">
      <c r="A3698" s="34" t="s">
        <v>8508</v>
      </c>
    </row>
    <row r="3699" spans="1:2" ht="13.2" x14ac:dyDescent="0.25">
      <c r="A3699" s="34" t="s">
        <v>8507</v>
      </c>
      <c r="B3699" s="35">
        <v>1.2787038926332199</v>
      </c>
    </row>
    <row r="3700" spans="1:2" ht="13.2" x14ac:dyDescent="0.25">
      <c r="A3700" s="34" t="s">
        <v>8506</v>
      </c>
      <c r="B3700" s="35">
        <v>1.3008069956325401</v>
      </c>
    </row>
    <row r="3701" spans="1:2" ht="13.2" x14ac:dyDescent="0.25">
      <c r="A3701" s="34" t="s">
        <v>8505</v>
      </c>
    </row>
    <row r="3702" spans="1:2" ht="13.2" x14ac:dyDescent="0.25">
      <c r="A3702" s="34" t="s">
        <v>8504</v>
      </c>
    </row>
    <row r="3703" spans="1:2" ht="13.2" x14ac:dyDescent="0.25">
      <c r="A3703" s="34" t="s">
        <v>8503</v>
      </c>
      <c r="B3703" s="35">
        <v>1.3856236294014399</v>
      </c>
    </row>
    <row r="3704" spans="1:2" ht="13.2" x14ac:dyDescent="0.25">
      <c r="A3704" s="34" t="s">
        <v>8502</v>
      </c>
      <c r="B3704" s="35">
        <v>1.37344252074234</v>
      </c>
    </row>
    <row r="3705" spans="1:2" ht="13.2" x14ac:dyDescent="0.25">
      <c r="A3705" s="34" t="s">
        <v>8501</v>
      </c>
      <c r="B3705" s="35">
        <v>1.3334285949440201</v>
      </c>
    </row>
    <row r="3706" spans="1:2" ht="13.2" x14ac:dyDescent="0.25">
      <c r="A3706" s="34" t="s">
        <v>8500</v>
      </c>
      <c r="B3706" s="35">
        <v>1.3431505921986699</v>
      </c>
    </row>
    <row r="3707" spans="1:2" ht="13.2" x14ac:dyDescent="0.25">
      <c r="A3707" s="34" t="s">
        <v>8499</v>
      </c>
      <c r="B3707" s="35">
        <v>1.3711804930226099</v>
      </c>
    </row>
    <row r="3708" spans="1:2" ht="13.2" x14ac:dyDescent="0.25">
      <c r="A3708" s="34" t="s">
        <v>8498</v>
      </c>
    </row>
    <row r="3709" spans="1:2" ht="13.2" x14ac:dyDescent="0.25">
      <c r="A3709" s="34" t="s">
        <v>8497</v>
      </c>
    </row>
    <row r="3710" spans="1:2" ht="13.2" x14ac:dyDescent="0.25">
      <c r="A3710" s="34" t="s">
        <v>8496</v>
      </c>
      <c r="B3710" s="35">
        <v>1.31282697648802</v>
      </c>
    </row>
    <row r="3711" spans="1:2" ht="13.2" x14ac:dyDescent="0.25">
      <c r="A3711" s="34" t="s">
        <v>8495</v>
      </c>
      <c r="B3711" s="35">
        <v>1.14976338000863</v>
      </c>
    </row>
    <row r="3712" spans="1:2" ht="13.2" x14ac:dyDescent="0.25">
      <c r="A3712" s="34" t="s">
        <v>8494</v>
      </c>
      <c r="B3712" s="35">
        <v>1.1163135503566799</v>
      </c>
    </row>
    <row r="3713" spans="1:2" ht="13.2" x14ac:dyDescent="0.25">
      <c r="A3713" s="34" t="s">
        <v>8493</v>
      </c>
      <c r="B3713" s="35">
        <v>1.1136324170532901</v>
      </c>
    </row>
    <row r="3714" spans="1:2" ht="13.2" x14ac:dyDescent="0.25">
      <c r="A3714" s="34" t="s">
        <v>8492</v>
      </c>
      <c r="B3714" s="35">
        <v>1.0988250338565799</v>
      </c>
    </row>
    <row r="3715" spans="1:2" ht="13.2" x14ac:dyDescent="0.25">
      <c r="A3715" s="34" t="s">
        <v>8491</v>
      </c>
    </row>
    <row r="3716" spans="1:2" ht="13.2" x14ac:dyDescent="0.25">
      <c r="A3716" s="34" t="s">
        <v>8490</v>
      </c>
    </row>
    <row r="3717" spans="1:2" ht="13.2" x14ac:dyDescent="0.25">
      <c r="A3717" s="34" t="s">
        <v>8489</v>
      </c>
      <c r="B3717" s="35">
        <v>1.1173276887324901</v>
      </c>
    </row>
    <row r="3718" spans="1:2" ht="13.2" x14ac:dyDescent="0.25">
      <c r="A3718" s="34" t="s">
        <v>8488</v>
      </c>
      <c r="B3718" s="35">
        <v>1.1028174476383199</v>
      </c>
    </row>
    <row r="3719" spans="1:2" ht="13.2" x14ac:dyDescent="0.25">
      <c r="A3719" s="34" t="s">
        <v>8487</v>
      </c>
      <c r="B3719" s="35">
        <v>1.1322506643332</v>
      </c>
    </row>
    <row r="3720" spans="1:2" ht="13.2" x14ac:dyDescent="0.25">
      <c r="A3720" s="34" t="s">
        <v>8486</v>
      </c>
      <c r="B3720" s="35">
        <v>1.01901188508091</v>
      </c>
    </row>
    <row r="3721" spans="1:2" ht="13.2" x14ac:dyDescent="0.25">
      <c r="A3721" s="34" t="s">
        <v>8485</v>
      </c>
      <c r="B3721" s="35">
        <v>1.2615390675860101</v>
      </c>
    </row>
    <row r="3722" spans="1:2" ht="13.2" x14ac:dyDescent="0.25">
      <c r="A3722" s="34" t="s">
        <v>8484</v>
      </c>
    </row>
    <row r="3723" spans="1:2" ht="13.2" x14ac:dyDescent="0.25">
      <c r="A3723" s="34" t="s">
        <v>8483</v>
      </c>
    </row>
    <row r="3724" spans="1:2" ht="13.2" x14ac:dyDescent="0.25">
      <c r="A3724" s="34" t="s">
        <v>8482</v>
      </c>
      <c r="B3724" s="35">
        <v>1.2685963994740701</v>
      </c>
    </row>
    <row r="3725" spans="1:2" ht="13.2" x14ac:dyDescent="0.25">
      <c r="A3725" s="34" t="s">
        <v>8481</v>
      </c>
      <c r="B3725" s="35">
        <v>1.2603845284183</v>
      </c>
    </row>
    <row r="3726" spans="1:2" ht="13.2" x14ac:dyDescent="0.25">
      <c r="A3726" s="34" t="s">
        <v>8480</v>
      </c>
      <c r="B3726" s="35">
        <v>1.26675217175762</v>
      </c>
    </row>
    <row r="3727" spans="1:2" ht="13.2" x14ac:dyDescent="0.25">
      <c r="A3727" s="34" t="s">
        <v>8479</v>
      </c>
      <c r="B3727" s="35">
        <v>1.4368235905676401</v>
      </c>
    </row>
    <row r="3728" spans="1:2" ht="13.2" x14ac:dyDescent="0.25">
      <c r="A3728" s="34" t="s">
        <v>8478</v>
      </c>
      <c r="B3728" s="35">
        <v>1.45599289795423</v>
      </c>
    </row>
    <row r="3729" spans="1:2" ht="13.2" x14ac:dyDescent="0.25">
      <c r="A3729" s="34" t="s">
        <v>8477</v>
      </c>
    </row>
    <row r="3730" spans="1:2" ht="13.2" x14ac:dyDescent="0.25">
      <c r="A3730" s="34" t="s">
        <v>8476</v>
      </c>
    </row>
    <row r="3731" spans="1:2" ht="13.2" x14ac:dyDescent="0.25">
      <c r="A3731" s="34" t="s">
        <v>8475</v>
      </c>
      <c r="B3731" s="35">
        <v>1.4255328656083599</v>
      </c>
    </row>
    <row r="3732" spans="1:2" ht="13.2" x14ac:dyDescent="0.25">
      <c r="A3732" s="34" t="s">
        <v>8474</v>
      </c>
      <c r="B3732" s="35">
        <v>1.3592319371628101</v>
      </c>
    </row>
    <row r="3733" spans="1:2" ht="13.2" x14ac:dyDescent="0.25">
      <c r="A3733" s="34" t="s">
        <v>8473</v>
      </c>
      <c r="B3733" s="35">
        <v>1.3646659895166799</v>
      </c>
    </row>
    <row r="3734" spans="1:2" ht="13.2" x14ac:dyDescent="0.25">
      <c r="A3734" s="34" t="s">
        <v>8472</v>
      </c>
      <c r="B3734" s="35">
        <v>1.36021979554469</v>
      </c>
    </row>
    <row r="3735" spans="1:2" ht="13.2" x14ac:dyDescent="0.25">
      <c r="A3735" s="34" t="s">
        <v>8471</v>
      </c>
      <c r="B3735" s="35">
        <v>1.34941337671307</v>
      </c>
    </row>
    <row r="3736" spans="1:2" ht="13.2" x14ac:dyDescent="0.25">
      <c r="A3736" s="34" t="s">
        <v>8470</v>
      </c>
    </row>
    <row r="3737" spans="1:2" ht="13.2" x14ac:dyDescent="0.25">
      <c r="A3737" s="34" t="s">
        <v>8469</v>
      </c>
    </row>
    <row r="3738" spans="1:2" ht="13.2" x14ac:dyDescent="0.25">
      <c r="A3738" s="34" t="s">
        <v>8468</v>
      </c>
      <c r="B3738" s="35">
        <v>1.3794489538030901</v>
      </c>
    </row>
    <row r="3739" spans="1:2" ht="13.2" x14ac:dyDescent="0.25">
      <c r="A3739" s="34" t="s">
        <v>8467</v>
      </c>
      <c r="B3739" s="35">
        <v>1.3612077729252099</v>
      </c>
    </row>
    <row r="3740" spans="1:2" ht="13.2" x14ac:dyDescent="0.25">
      <c r="A3740" s="34" t="s">
        <v>8466</v>
      </c>
      <c r="B3740" s="35">
        <v>1.4142878768764799</v>
      </c>
    </row>
    <row r="3741" spans="1:2" ht="13.2" x14ac:dyDescent="0.25">
      <c r="A3741" s="34" t="s">
        <v>8465</v>
      </c>
      <c r="B3741" s="35">
        <v>1.43255176002247</v>
      </c>
    </row>
    <row r="3742" spans="1:2" ht="13.2" x14ac:dyDescent="0.25">
      <c r="A3742" s="34" t="s">
        <v>8464</v>
      </c>
      <c r="B3742" s="35">
        <v>1.4350118267107199</v>
      </c>
    </row>
    <row r="3743" spans="1:2" ht="13.2" x14ac:dyDescent="0.25">
      <c r="A3743" s="34" t="s">
        <v>8463</v>
      </c>
    </row>
    <row r="3744" spans="1:2" ht="13.2" x14ac:dyDescent="0.25">
      <c r="A3744" s="34" t="s">
        <v>8462</v>
      </c>
    </row>
    <row r="3745" spans="1:2" ht="13.2" x14ac:dyDescent="0.25">
      <c r="A3745" s="34" t="s">
        <v>8461</v>
      </c>
      <c r="B3745" s="35">
        <v>1.45899673373894</v>
      </c>
    </row>
    <row r="3746" spans="1:2" ht="13.2" x14ac:dyDescent="0.25">
      <c r="A3746" s="34" t="s">
        <v>8460</v>
      </c>
      <c r="B3746" s="35">
        <v>1.53711841174926</v>
      </c>
    </row>
    <row r="3747" spans="1:2" ht="13.2" x14ac:dyDescent="0.25">
      <c r="A3747" s="34" t="s">
        <v>8459</v>
      </c>
      <c r="B3747" s="35">
        <v>1.5588104294484</v>
      </c>
    </row>
    <row r="3748" spans="1:2" ht="13.2" x14ac:dyDescent="0.25">
      <c r="A3748" s="34" t="s">
        <v>8458</v>
      </c>
      <c r="B3748" s="35">
        <v>1.5341983123257199</v>
      </c>
    </row>
    <row r="3749" spans="1:2" ht="13.2" x14ac:dyDescent="0.25">
      <c r="A3749" s="34" t="s">
        <v>8457</v>
      </c>
      <c r="B3749" s="35">
        <v>1.5342206822017601</v>
      </c>
    </row>
    <row r="3750" spans="1:2" ht="13.2" x14ac:dyDescent="0.25">
      <c r="A3750" s="34" t="s">
        <v>8456</v>
      </c>
    </row>
    <row r="3751" spans="1:2" ht="13.2" x14ac:dyDescent="0.25">
      <c r="A3751" s="34" t="s">
        <v>8455</v>
      </c>
    </row>
    <row r="3752" spans="1:2" ht="13.2" x14ac:dyDescent="0.25">
      <c r="A3752" s="34" t="s">
        <v>8454</v>
      </c>
      <c r="B3752" s="35">
        <v>1.26021017105384</v>
      </c>
    </row>
    <row r="3753" spans="1:2" ht="13.2" x14ac:dyDescent="0.25">
      <c r="A3753" s="34" t="s">
        <v>8453</v>
      </c>
      <c r="B3753" s="35">
        <v>1.1547786314559101</v>
      </c>
    </row>
    <row r="3754" spans="1:2" ht="13.2" x14ac:dyDescent="0.25">
      <c r="A3754" s="34" t="s">
        <v>8452</v>
      </c>
      <c r="B3754" s="35">
        <v>1.1567007733146999</v>
      </c>
    </row>
    <row r="3755" spans="1:2" ht="13.2" x14ac:dyDescent="0.25">
      <c r="A3755" s="34" t="s">
        <v>8451</v>
      </c>
      <c r="B3755" s="35">
        <v>1.0498058231660801</v>
      </c>
    </row>
    <row r="3756" spans="1:2" ht="13.2" x14ac:dyDescent="0.25">
      <c r="A3756" s="34" t="s">
        <v>8450</v>
      </c>
      <c r="B3756" s="35">
        <v>0.89658395134420199</v>
      </c>
    </row>
    <row r="3757" spans="1:2" ht="13.2" x14ac:dyDescent="0.25">
      <c r="A3757" s="34" t="s">
        <v>8449</v>
      </c>
    </row>
    <row r="3758" spans="1:2" ht="13.2" x14ac:dyDescent="0.25">
      <c r="A3758" s="34" t="s">
        <v>8448</v>
      </c>
    </row>
    <row r="3759" spans="1:2" ht="13.2" x14ac:dyDescent="0.25">
      <c r="A3759" s="34" t="s">
        <v>8447</v>
      </c>
      <c r="B3759" s="35">
        <v>0.89123554669037597</v>
      </c>
    </row>
    <row r="3760" spans="1:2" ht="13.2" x14ac:dyDescent="0.25">
      <c r="A3760" s="34" t="s">
        <v>8446</v>
      </c>
      <c r="B3760" s="35">
        <v>1.0937948330996401</v>
      </c>
    </row>
    <row r="3761" spans="1:2" ht="13.2" x14ac:dyDescent="0.25">
      <c r="A3761" s="34" t="s">
        <v>8445</v>
      </c>
      <c r="B3761" s="35">
        <v>1.1095584053466501</v>
      </c>
    </row>
    <row r="3762" spans="1:2" ht="13.2" x14ac:dyDescent="0.25">
      <c r="A3762" s="34" t="s">
        <v>8444</v>
      </c>
      <c r="B3762" s="35">
        <v>1.13622844313617</v>
      </c>
    </row>
    <row r="3763" spans="1:2" ht="13.2" x14ac:dyDescent="0.25">
      <c r="A3763" s="34" t="s">
        <v>8443</v>
      </c>
      <c r="B3763" s="35">
        <v>1.1359554194941801</v>
      </c>
    </row>
    <row r="3764" spans="1:2" ht="13.2" x14ac:dyDescent="0.25">
      <c r="A3764" s="34" t="s">
        <v>8442</v>
      </c>
    </row>
    <row r="3765" spans="1:2" ht="13.2" x14ac:dyDescent="0.25">
      <c r="A3765" s="34" t="s">
        <v>8441</v>
      </c>
    </row>
    <row r="3766" spans="1:2" ht="13.2" x14ac:dyDescent="0.25">
      <c r="A3766" s="34" t="s">
        <v>8440</v>
      </c>
      <c r="B3766" s="35">
        <v>1.1703404012060401</v>
      </c>
    </row>
    <row r="3767" spans="1:2" ht="13.2" x14ac:dyDescent="0.25">
      <c r="A3767" s="34" t="s">
        <v>8439</v>
      </c>
      <c r="B3767" s="35">
        <v>1.17302929412702</v>
      </c>
    </row>
    <row r="3768" spans="1:2" ht="13.2" x14ac:dyDescent="0.25">
      <c r="A3768" s="34" t="s">
        <v>8438</v>
      </c>
      <c r="B3768" s="35">
        <v>1.1743079480549099</v>
      </c>
    </row>
    <row r="3769" spans="1:2" ht="13.2" x14ac:dyDescent="0.25">
      <c r="A3769" s="34" t="s">
        <v>8437</v>
      </c>
      <c r="B3769" s="35">
        <v>1.18859712885216</v>
      </c>
    </row>
    <row r="3770" spans="1:2" ht="13.2" x14ac:dyDescent="0.25">
      <c r="A3770" s="34" t="s">
        <v>8436</v>
      </c>
      <c r="B3770" s="35">
        <v>1.1963664344268301</v>
      </c>
    </row>
    <row r="3771" spans="1:2" ht="13.2" x14ac:dyDescent="0.25">
      <c r="A3771" s="34" t="s">
        <v>8435</v>
      </c>
    </row>
    <row r="3772" spans="1:2" ht="13.2" x14ac:dyDescent="0.25">
      <c r="A3772" s="34" t="s">
        <v>8434</v>
      </c>
    </row>
    <row r="3773" spans="1:2" ht="13.2" x14ac:dyDescent="0.25">
      <c r="A3773" s="34" t="s">
        <v>8433</v>
      </c>
      <c r="B3773" s="35">
        <v>1.3321439900704499</v>
      </c>
    </row>
    <row r="3774" spans="1:2" ht="13.2" x14ac:dyDescent="0.25">
      <c r="A3774" s="34" t="s">
        <v>8432</v>
      </c>
      <c r="B3774" s="35">
        <v>1.29988339296329</v>
      </c>
    </row>
    <row r="3775" spans="1:2" ht="13.2" x14ac:dyDescent="0.25">
      <c r="A3775" s="34" t="s">
        <v>8431</v>
      </c>
      <c r="B3775" s="35">
        <v>1.3566096784127599</v>
      </c>
    </row>
    <row r="3776" spans="1:2" ht="13.2" x14ac:dyDescent="0.25">
      <c r="A3776" s="34" t="s">
        <v>8430</v>
      </c>
      <c r="B3776" s="35">
        <v>1.3800795088536</v>
      </c>
    </row>
    <row r="3777" spans="1:2" ht="13.2" x14ac:dyDescent="0.25">
      <c r="A3777" s="34" t="s">
        <v>8429</v>
      </c>
      <c r="B3777" s="35">
        <v>1.3709254835589499</v>
      </c>
    </row>
    <row r="3778" spans="1:2" ht="13.2" x14ac:dyDescent="0.25">
      <c r="A3778" s="34" t="s">
        <v>8428</v>
      </c>
    </row>
    <row r="3779" spans="1:2" ht="13.2" x14ac:dyDescent="0.25">
      <c r="A3779" s="34" t="s">
        <v>8427</v>
      </c>
    </row>
    <row r="3780" spans="1:2" ht="13.2" x14ac:dyDescent="0.25">
      <c r="A3780" s="34" t="s">
        <v>8426</v>
      </c>
      <c r="B3780" s="35">
        <v>1.41360008104563</v>
      </c>
    </row>
    <row r="3781" spans="1:2" ht="13.2" x14ac:dyDescent="0.25">
      <c r="A3781" s="34" t="s">
        <v>8425</v>
      </c>
      <c r="B3781" s="35">
        <v>1.4113633639958101</v>
      </c>
    </row>
    <row r="3782" spans="1:2" ht="13.2" x14ac:dyDescent="0.25">
      <c r="A3782" s="34" t="s">
        <v>8424</v>
      </c>
      <c r="B3782" s="35">
        <v>1.5818202418468501</v>
      </c>
    </row>
    <row r="3783" spans="1:2" ht="13.2" x14ac:dyDescent="0.25">
      <c r="A3783" s="34" t="s">
        <v>8423</v>
      </c>
      <c r="B3783" s="35">
        <v>1.60833875744037</v>
      </c>
    </row>
    <row r="3784" spans="1:2" ht="13.2" x14ac:dyDescent="0.25">
      <c r="A3784" s="34" t="s">
        <v>8422</v>
      </c>
      <c r="B3784" s="35">
        <v>1.61726897914741</v>
      </c>
    </row>
    <row r="3785" spans="1:2" ht="13.2" x14ac:dyDescent="0.25">
      <c r="A3785" s="34" t="s">
        <v>8421</v>
      </c>
    </row>
    <row r="3786" spans="1:2" ht="13.2" x14ac:dyDescent="0.25">
      <c r="A3786" s="34" t="s">
        <v>8420</v>
      </c>
    </row>
    <row r="3787" spans="1:2" ht="13.2" x14ac:dyDescent="0.25">
      <c r="A3787" s="34" t="s">
        <v>8419</v>
      </c>
      <c r="B3787" s="35">
        <v>1.6134630038636499</v>
      </c>
    </row>
    <row r="3788" spans="1:2" ht="13.2" x14ac:dyDescent="0.25">
      <c r="A3788" s="34" t="s">
        <v>8418</v>
      </c>
      <c r="B3788" s="35">
        <v>1.6173121041040901</v>
      </c>
    </row>
    <row r="3789" spans="1:2" ht="13.2" x14ac:dyDescent="0.25">
      <c r="A3789" s="34" t="s">
        <v>8417</v>
      </c>
      <c r="B3789" s="35">
        <v>1.5422956992087999</v>
      </c>
    </row>
    <row r="3790" spans="1:2" ht="13.2" x14ac:dyDescent="0.25">
      <c r="A3790" s="34" t="s">
        <v>8416</v>
      </c>
      <c r="B3790" s="35">
        <v>1.5407164667791</v>
      </c>
    </row>
    <row r="3791" spans="1:2" ht="13.2" x14ac:dyDescent="0.25">
      <c r="A3791" s="34" t="s">
        <v>8415</v>
      </c>
      <c r="B3791" s="35">
        <v>1.51126926553111</v>
      </c>
    </row>
    <row r="3792" spans="1:2" ht="13.2" x14ac:dyDescent="0.25">
      <c r="A3792" s="34" t="s">
        <v>8414</v>
      </c>
    </row>
    <row r="3793" spans="1:2" ht="13.2" x14ac:dyDescent="0.25">
      <c r="A3793" s="34" t="s">
        <v>8413</v>
      </c>
    </row>
    <row r="3794" spans="1:2" ht="13.2" x14ac:dyDescent="0.25">
      <c r="A3794" s="34" t="s">
        <v>8412</v>
      </c>
      <c r="B3794" s="35">
        <v>1.5583442830216001</v>
      </c>
    </row>
    <row r="3795" spans="1:2" ht="13.2" x14ac:dyDescent="0.25">
      <c r="A3795" s="34" t="s">
        <v>8411</v>
      </c>
      <c r="B3795" s="35">
        <v>1.5438233253171401</v>
      </c>
    </row>
    <row r="3796" spans="1:2" ht="13.2" x14ac:dyDescent="0.25">
      <c r="A3796" s="34" t="s">
        <v>8410</v>
      </c>
      <c r="B3796" s="35">
        <v>1.58148993415829</v>
      </c>
    </row>
    <row r="3797" spans="1:2" ht="13.2" x14ac:dyDescent="0.25">
      <c r="A3797" s="34" t="s">
        <v>8409</v>
      </c>
      <c r="B3797" s="35">
        <v>1.5701513773329101</v>
      </c>
    </row>
    <row r="3798" spans="1:2" ht="13.2" x14ac:dyDescent="0.25">
      <c r="A3798" s="34" t="s">
        <v>8408</v>
      </c>
      <c r="B3798" s="35">
        <v>1.52712194476133</v>
      </c>
    </row>
    <row r="3799" spans="1:2" ht="13.2" x14ac:dyDescent="0.25">
      <c r="A3799" s="34" t="s">
        <v>8407</v>
      </c>
    </row>
    <row r="3800" spans="1:2" ht="13.2" x14ac:dyDescent="0.25">
      <c r="A3800" s="34" t="s">
        <v>8406</v>
      </c>
    </row>
    <row r="3801" spans="1:2" ht="13.2" x14ac:dyDescent="0.25">
      <c r="A3801" s="34" t="s">
        <v>8405</v>
      </c>
      <c r="B3801" s="35">
        <v>1.6521186619880599</v>
      </c>
    </row>
    <row r="3802" spans="1:2" ht="13.2" x14ac:dyDescent="0.25">
      <c r="A3802" s="34" t="s">
        <v>8404</v>
      </c>
      <c r="B3802" s="35">
        <v>1.5410914028184699</v>
      </c>
    </row>
    <row r="3803" spans="1:2" ht="13.2" x14ac:dyDescent="0.25">
      <c r="A3803" s="34" t="s">
        <v>8403</v>
      </c>
      <c r="B3803" s="35">
        <v>1.5769056966505299</v>
      </c>
    </row>
    <row r="3804" spans="1:2" ht="13.2" x14ac:dyDescent="0.25">
      <c r="A3804" s="34" t="s">
        <v>8402</v>
      </c>
      <c r="B3804" s="35">
        <v>1.6420362448427701</v>
      </c>
    </row>
    <row r="3805" spans="1:2" ht="13.2" x14ac:dyDescent="0.25">
      <c r="A3805" s="34" t="s">
        <v>8401</v>
      </c>
      <c r="B3805" s="35">
        <v>1.5741983180144401</v>
      </c>
    </row>
    <row r="3806" spans="1:2" ht="13.2" x14ac:dyDescent="0.25">
      <c r="A3806" s="34" t="s">
        <v>8400</v>
      </c>
    </row>
    <row r="3807" spans="1:2" ht="13.2" x14ac:dyDescent="0.25">
      <c r="A3807" s="34" t="s">
        <v>8399</v>
      </c>
    </row>
    <row r="3808" spans="1:2" ht="13.2" x14ac:dyDescent="0.25">
      <c r="A3808" s="34" t="s">
        <v>8398</v>
      </c>
      <c r="B3808" s="35">
        <v>1.58318055125984</v>
      </c>
    </row>
    <row r="3809" spans="1:2" ht="13.2" x14ac:dyDescent="0.25">
      <c r="A3809" s="34" t="s">
        <v>8397</v>
      </c>
      <c r="B3809" s="35">
        <v>1.6248680513996001</v>
      </c>
    </row>
    <row r="3810" spans="1:2" ht="13.2" x14ac:dyDescent="0.25">
      <c r="A3810" s="34" t="s">
        <v>8396</v>
      </c>
      <c r="B3810" s="35">
        <v>1.6727224065836299</v>
      </c>
    </row>
    <row r="3811" spans="1:2" ht="13.2" x14ac:dyDescent="0.25">
      <c r="A3811" s="34" t="s">
        <v>8395</v>
      </c>
      <c r="B3811" s="35">
        <v>1.5336599756006399</v>
      </c>
    </row>
    <row r="3812" spans="1:2" ht="13.2" x14ac:dyDescent="0.25">
      <c r="A3812" s="34" t="s">
        <v>8394</v>
      </c>
      <c r="B3812" s="35">
        <v>1.5111491189456701</v>
      </c>
    </row>
    <row r="3813" spans="1:2" ht="13.2" x14ac:dyDescent="0.25">
      <c r="A3813" s="34" t="s">
        <v>8393</v>
      </c>
    </row>
    <row r="3814" spans="1:2" ht="13.2" x14ac:dyDescent="0.25">
      <c r="A3814" s="34" t="s">
        <v>8392</v>
      </c>
    </row>
    <row r="3815" spans="1:2" ht="13.2" x14ac:dyDescent="0.25">
      <c r="A3815" s="34" t="s">
        <v>8391</v>
      </c>
      <c r="B3815" s="35">
        <v>1.60837938620835</v>
      </c>
    </row>
    <row r="3816" spans="1:2" ht="13.2" x14ac:dyDescent="0.25">
      <c r="A3816" s="34" t="s">
        <v>8390</v>
      </c>
      <c r="B3816" s="35">
        <v>1.6013254402094299</v>
      </c>
    </row>
    <row r="3817" spans="1:2" ht="13.2" x14ac:dyDescent="0.25">
      <c r="A3817" s="34" t="s">
        <v>8389</v>
      </c>
      <c r="B3817" s="35">
        <v>1.62724771976852</v>
      </c>
    </row>
    <row r="3818" spans="1:2" ht="13.2" x14ac:dyDescent="0.25">
      <c r="A3818" s="34" t="s">
        <v>8388</v>
      </c>
      <c r="B3818" s="35">
        <v>1.61560764332294</v>
      </c>
    </row>
    <row r="3819" spans="1:2" ht="13.2" x14ac:dyDescent="0.25">
      <c r="A3819" s="34" t="s">
        <v>8387</v>
      </c>
      <c r="B3819" s="35">
        <v>1.60632166234201</v>
      </c>
    </row>
    <row r="3820" spans="1:2" ht="13.2" x14ac:dyDescent="0.25">
      <c r="A3820" s="34" t="s">
        <v>8386</v>
      </c>
    </row>
    <row r="3821" spans="1:2" ht="13.2" x14ac:dyDescent="0.25">
      <c r="A3821" s="34" t="s">
        <v>8385</v>
      </c>
    </row>
    <row r="3822" spans="1:2" ht="13.2" x14ac:dyDescent="0.25">
      <c r="A3822" s="34" t="s">
        <v>8384</v>
      </c>
      <c r="B3822" s="35">
        <v>1.61299085043345</v>
      </c>
    </row>
    <row r="3823" spans="1:2" ht="13.2" x14ac:dyDescent="0.25">
      <c r="A3823" s="34" t="s">
        <v>8383</v>
      </c>
      <c r="B3823" s="35">
        <v>1.56743560811667</v>
      </c>
    </row>
    <row r="3824" spans="1:2" ht="13.2" x14ac:dyDescent="0.25">
      <c r="A3824" s="34" t="s">
        <v>8382</v>
      </c>
      <c r="B3824" s="35">
        <v>1.62257373663882</v>
      </c>
    </row>
    <row r="3825" spans="1:2" ht="13.2" x14ac:dyDescent="0.25">
      <c r="A3825" s="34" t="s">
        <v>8381</v>
      </c>
      <c r="B3825" s="35">
        <v>1.5903468576175199</v>
      </c>
    </row>
    <row r="3826" spans="1:2" ht="13.2" x14ac:dyDescent="0.25">
      <c r="A3826" s="34" t="s">
        <v>8380</v>
      </c>
      <c r="B3826" s="35">
        <v>1.6051183612958999</v>
      </c>
    </row>
    <row r="3827" spans="1:2" ht="13.2" x14ac:dyDescent="0.25">
      <c r="A3827" s="34" t="s">
        <v>8379</v>
      </c>
    </row>
    <row r="3828" spans="1:2" ht="13.2" x14ac:dyDescent="0.25">
      <c r="A3828" s="34" t="s">
        <v>8378</v>
      </c>
    </row>
    <row r="3829" spans="1:2" ht="13.2" x14ac:dyDescent="0.25">
      <c r="A3829" s="34" t="s">
        <v>8377</v>
      </c>
      <c r="B3829" s="35">
        <v>1.64165429364284</v>
      </c>
    </row>
    <row r="3830" spans="1:2" ht="13.2" x14ac:dyDescent="0.25">
      <c r="A3830" s="34" t="s">
        <v>8376</v>
      </c>
      <c r="B3830" s="35">
        <v>1.50114647816937</v>
      </c>
    </row>
    <row r="3831" spans="1:2" ht="13.2" x14ac:dyDescent="0.25">
      <c r="A3831" s="34" t="s">
        <v>8375</v>
      </c>
      <c r="B3831" s="35">
        <v>1.49966977477006</v>
      </c>
    </row>
    <row r="3832" spans="1:2" ht="13.2" x14ac:dyDescent="0.25">
      <c r="A3832" s="34" t="s">
        <v>8374</v>
      </c>
      <c r="B3832" s="35">
        <v>1.52948778480104</v>
      </c>
    </row>
    <row r="3833" spans="1:2" ht="13.2" x14ac:dyDescent="0.25">
      <c r="A3833" s="34" t="s">
        <v>8373</v>
      </c>
      <c r="B3833" s="35">
        <v>1.3325820900692</v>
      </c>
    </row>
    <row r="3834" spans="1:2" ht="13.2" x14ac:dyDescent="0.25">
      <c r="A3834" s="34" t="s">
        <v>8372</v>
      </c>
    </row>
    <row r="3835" spans="1:2" ht="13.2" x14ac:dyDescent="0.25">
      <c r="A3835" s="34" t="s">
        <v>8371</v>
      </c>
    </row>
    <row r="3836" spans="1:2" ht="13.2" x14ac:dyDescent="0.25">
      <c r="A3836" s="34" t="s">
        <v>8370</v>
      </c>
      <c r="B3836" s="35">
        <v>1.3931828841926399</v>
      </c>
    </row>
    <row r="3837" spans="1:2" ht="13.2" x14ac:dyDescent="0.25">
      <c r="A3837" s="34" t="s">
        <v>8369</v>
      </c>
      <c r="B3837" s="35">
        <v>1.38004214598901</v>
      </c>
    </row>
    <row r="3838" spans="1:2" ht="13.2" x14ac:dyDescent="0.25">
      <c r="A3838" s="34" t="s">
        <v>8368</v>
      </c>
      <c r="B3838" s="35">
        <v>1.30873584257694</v>
      </c>
    </row>
    <row r="3839" spans="1:2" ht="13.2" x14ac:dyDescent="0.25">
      <c r="A3839" s="34" t="s">
        <v>8367</v>
      </c>
      <c r="B3839" s="35">
        <v>1.24624312523512</v>
      </c>
    </row>
    <row r="3840" spans="1:2" ht="13.2" x14ac:dyDescent="0.25">
      <c r="A3840" s="34" t="s">
        <v>8366</v>
      </c>
      <c r="B3840" s="35">
        <v>1.25142054529589</v>
      </c>
    </row>
    <row r="3841" spans="1:2" ht="13.2" x14ac:dyDescent="0.25">
      <c r="A3841" s="34" t="s">
        <v>8365</v>
      </c>
    </row>
    <row r="3842" spans="1:2" ht="13.2" x14ac:dyDescent="0.25">
      <c r="A3842" s="34" t="s">
        <v>8364</v>
      </c>
    </row>
    <row r="3843" spans="1:2" ht="13.2" x14ac:dyDescent="0.25">
      <c r="A3843" s="34" t="s">
        <v>8363</v>
      </c>
      <c r="B3843" s="35">
        <v>1.24620074605832</v>
      </c>
    </row>
    <row r="3844" spans="1:2" ht="13.2" x14ac:dyDescent="0.25">
      <c r="A3844" s="34" t="s">
        <v>8362</v>
      </c>
      <c r="B3844" s="35">
        <v>1.1431183108523899</v>
      </c>
    </row>
    <row r="3845" spans="1:2" ht="13.2" x14ac:dyDescent="0.25">
      <c r="A3845" s="34" t="s">
        <v>8361</v>
      </c>
      <c r="B3845" s="35">
        <v>1.1405556442049101</v>
      </c>
    </row>
    <row r="3846" spans="1:2" ht="13.2" x14ac:dyDescent="0.25">
      <c r="A3846" s="34" t="s">
        <v>8360</v>
      </c>
      <c r="B3846" s="35">
        <v>1.0982692323969601</v>
      </c>
    </row>
    <row r="3847" spans="1:2" ht="13.2" x14ac:dyDescent="0.25">
      <c r="A3847" s="34" t="s">
        <v>8359</v>
      </c>
      <c r="B3847" s="35">
        <v>1.1364735827508901</v>
      </c>
    </row>
    <row r="3848" spans="1:2" ht="13.2" x14ac:dyDescent="0.25">
      <c r="A3848" s="34" t="s">
        <v>8358</v>
      </c>
    </row>
    <row r="3849" spans="1:2" ht="13.2" x14ac:dyDescent="0.25">
      <c r="A3849" s="34" t="s">
        <v>8357</v>
      </c>
    </row>
    <row r="3850" spans="1:2" ht="13.2" x14ac:dyDescent="0.25">
      <c r="A3850" s="34" t="s">
        <v>8356</v>
      </c>
      <c r="B3850" s="35">
        <v>1.14080733300707</v>
      </c>
    </row>
    <row r="3851" spans="1:2" ht="13.2" x14ac:dyDescent="0.25">
      <c r="A3851" s="34" t="s">
        <v>8355</v>
      </c>
      <c r="B3851" s="35">
        <v>1.14309655950505</v>
      </c>
    </row>
    <row r="3852" spans="1:2" ht="13.2" x14ac:dyDescent="0.25">
      <c r="A3852" s="34" t="s">
        <v>8354</v>
      </c>
      <c r="B3852" s="35">
        <v>1.1791427927959699</v>
      </c>
    </row>
    <row r="3853" spans="1:2" ht="13.2" x14ac:dyDescent="0.25">
      <c r="A3853" s="34" t="s">
        <v>8353</v>
      </c>
      <c r="B3853" s="35">
        <v>1.15147214837099</v>
      </c>
    </row>
    <row r="3854" spans="1:2" ht="13.2" x14ac:dyDescent="0.25">
      <c r="A3854" s="34" t="s">
        <v>8352</v>
      </c>
      <c r="B3854" s="35">
        <v>1.2304403385104099</v>
      </c>
    </row>
    <row r="3855" spans="1:2" ht="13.2" x14ac:dyDescent="0.25">
      <c r="A3855" s="34" t="s">
        <v>8351</v>
      </c>
    </row>
    <row r="3856" spans="1:2" ht="13.2" x14ac:dyDescent="0.25">
      <c r="A3856" s="34" t="s">
        <v>8350</v>
      </c>
    </row>
    <row r="3857" spans="1:2" ht="13.2" x14ac:dyDescent="0.25">
      <c r="A3857" s="34" t="s">
        <v>8349</v>
      </c>
      <c r="B3857" s="35">
        <v>1.2795095039377</v>
      </c>
    </row>
    <row r="3858" spans="1:2" ht="13.2" x14ac:dyDescent="0.25">
      <c r="A3858" s="34" t="s">
        <v>8348</v>
      </c>
      <c r="B3858" s="35">
        <v>1.1873553399799499</v>
      </c>
    </row>
    <row r="3859" spans="1:2" ht="13.2" x14ac:dyDescent="0.25">
      <c r="A3859" s="34" t="s">
        <v>8347</v>
      </c>
      <c r="B3859" s="35">
        <v>1.2361717314188001</v>
      </c>
    </row>
    <row r="3860" spans="1:2" ht="13.2" x14ac:dyDescent="0.25">
      <c r="A3860" s="34" t="s">
        <v>8346</v>
      </c>
      <c r="B3860" s="35">
        <v>1.23963730028599</v>
      </c>
    </row>
    <row r="3861" spans="1:2" ht="13.2" x14ac:dyDescent="0.25">
      <c r="A3861" s="34" t="s">
        <v>8345</v>
      </c>
      <c r="B3861" s="35">
        <v>1.2171772983011999</v>
      </c>
    </row>
    <row r="3862" spans="1:2" ht="13.2" x14ac:dyDescent="0.25">
      <c r="A3862" s="34" t="s">
        <v>8344</v>
      </c>
    </row>
    <row r="3863" spans="1:2" ht="13.2" x14ac:dyDescent="0.25">
      <c r="A3863" s="34" t="s">
        <v>8343</v>
      </c>
    </row>
    <row r="3864" spans="1:2" ht="13.2" x14ac:dyDescent="0.25">
      <c r="A3864" s="34" t="s">
        <v>8342</v>
      </c>
      <c r="B3864" s="35">
        <v>1.2229460452124401</v>
      </c>
    </row>
    <row r="3865" spans="1:2" ht="13.2" x14ac:dyDescent="0.25">
      <c r="A3865" s="34" t="s">
        <v>8341</v>
      </c>
      <c r="B3865" s="35">
        <v>1.1585532029764101</v>
      </c>
    </row>
    <row r="3866" spans="1:2" ht="13.2" x14ac:dyDescent="0.25">
      <c r="A3866" s="34" t="s">
        <v>8340</v>
      </c>
    </row>
    <row r="3867" spans="1:2" ht="13.2" x14ac:dyDescent="0.25">
      <c r="A3867" s="34" t="s">
        <v>8339</v>
      </c>
    </row>
    <row r="3868" spans="1:2" ht="13.2" x14ac:dyDescent="0.25">
      <c r="A3868" s="34" t="s">
        <v>8338</v>
      </c>
      <c r="B3868" s="35">
        <v>1.1582757473532801</v>
      </c>
    </row>
    <row r="3869" spans="1:2" ht="13.2" x14ac:dyDescent="0.25">
      <c r="A3869" s="34" t="s">
        <v>8337</v>
      </c>
    </row>
    <row r="3870" spans="1:2" ht="13.2" x14ac:dyDescent="0.25">
      <c r="A3870" s="34" t="s">
        <v>8336</v>
      </c>
    </row>
    <row r="3871" spans="1:2" ht="13.2" x14ac:dyDescent="0.25">
      <c r="A3871" s="34" t="s">
        <v>8335</v>
      </c>
      <c r="B3871" s="35">
        <v>1.1404708746815799</v>
      </c>
    </row>
    <row r="3872" spans="1:2" ht="13.2" x14ac:dyDescent="0.25">
      <c r="A3872" s="34" t="s">
        <v>8334</v>
      </c>
      <c r="B3872" s="35">
        <v>1.1282970843778199</v>
      </c>
    </row>
    <row r="3873" spans="1:2" ht="13.2" x14ac:dyDescent="0.25">
      <c r="A3873" s="34" t="s">
        <v>8333</v>
      </c>
    </row>
    <row r="3874" spans="1:2" ht="13.2" x14ac:dyDescent="0.25">
      <c r="A3874" s="34" t="s">
        <v>8332</v>
      </c>
    </row>
    <row r="3875" spans="1:2" ht="13.2" x14ac:dyDescent="0.25">
      <c r="A3875" s="34" t="s">
        <v>8331</v>
      </c>
      <c r="B3875" s="35">
        <v>1.1242976171549799</v>
      </c>
    </row>
    <row r="3876" spans="1:2" ht="13.2" x14ac:dyDescent="0.25">
      <c r="A3876" s="34" t="s">
        <v>8330</v>
      </c>
    </row>
    <row r="3877" spans="1:2" ht="13.2" x14ac:dyDescent="0.25">
      <c r="A3877" s="34" t="s">
        <v>8329</v>
      </c>
    </row>
    <row r="3878" spans="1:2" ht="13.2" x14ac:dyDescent="0.25">
      <c r="A3878" s="34" t="s">
        <v>8328</v>
      </c>
      <c r="B3878" s="35">
        <v>1.4378432332961399</v>
      </c>
    </row>
    <row r="3879" spans="1:2" ht="13.2" x14ac:dyDescent="0.25">
      <c r="A3879" s="34" t="s">
        <v>8327</v>
      </c>
      <c r="B3879" s="35">
        <v>1.4253434594980201</v>
      </c>
    </row>
    <row r="3880" spans="1:2" ht="13.2" x14ac:dyDescent="0.25">
      <c r="A3880" s="34" t="s">
        <v>8326</v>
      </c>
      <c r="B3880" s="35">
        <v>1.47603398026611</v>
      </c>
    </row>
    <row r="3881" spans="1:2" ht="13.2" x14ac:dyDescent="0.25">
      <c r="A3881" s="34" t="s">
        <v>8325</v>
      </c>
      <c r="B3881" s="35">
        <v>1.4664106180680501</v>
      </c>
    </row>
    <row r="3882" spans="1:2" ht="13.2" x14ac:dyDescent="0.25">
      <c r="A3882" s="34" t="s">
        <v>8324</v>
      </c>
      <c r="B3882" s="35">
        <v>1.4238446294843501</v>
      </c>
    </row>
    <row r="3883" spans="1:2" ht="13.2" x14ac:dyDescent="0.25">
      <c r="A3883" s="34" t="s">
        <v>8323</v>
      </c>
    </row>
    <row r="3884" spans="1:2" ht="13.2" x14ac:dyDescent="0.25">
      <c r="A3884" s="34" t="s">
        <v>8322</v>
      </c>
    </row>
    <row r="3885" spans="1:2" ht="13.2" x14ac:dyDescent="0.25">
      <c r="A3885" s="34" t="s">
        <v>8321</v>
      </c>
      <c r="B3885" s="35">
        <v>1.4242427272453999</v>
      </c>
    </row>
    <row r="3886" spans="1:2" ht="13.2" x14ac:dyDescent="0.25">
      <c r="A3886" s="34" t="s">
        <v>8320</v>
      </c>
      <c r="B3886" s="35">
        <v>1.4629027205046701</v>
      </c>
    </row>
    <row r="3887" spans="1:2" ht="13.2" x14ac:dyDescent="0.25">
      <c r="A3887" s="34" t="s">
        <v>8319</v>
      </c>
      <c r="B3887" s="35">
        <v>1.53599856814992</v>
      </c>
    </row>
    <row r="3888" spans="1:2" ht="13.2" x14ac:dyDescent="0.25">
      <c r="A3888" s="34" t="s">
        <v>8318</v>
      </c>
      <c r="B3888" s="35">
        <v>1.6032443686060001</v>
      </c>
    </row>
    <row r="3889" spans="1:2" ht="13.2" x14ac:dyDescent="0.25">
      <c r="A3889" s="34" t="s">
        <v>8317</v>
      </c>
      <c r="B3889" s="35">
        <v>1.5464227954044201</v>
      </c>
    </row>
    <row r="3890" spans="1:2" ht="13.2" x14ac:dyDescent="0.25">
      <c r="A3890" s="34" t="s">
        <v>8316</v>
      </c>
    </row>
    <row r="3891" spans="1:2" ht="13.2" x14ac:dyDescent="0.25">
      <c r="A3891" s="34" t="s">
        <v>8315</v>
      </c>
    </row>
    <row r="3892" spans="1:2" ht="13.2" x14ac:dyDescent="0.25">
      <c r="A3892" s="34" t="s">
        <v>8314</v>
      </c>
      <c r="B3892" s="35">
        <v>1.49723207363998</v>
      </c>
    </row>
    <row r="3893" spans="1:2" ht="13.2" x14ac:dyDescent="0.25">
      <c r="A3893" s="34" t="s">
        <v>8313</v>
      </c>
      <c r="B3893" s="35">
        <v>1.50203199244421</v>
      </c>
    </row>
    <row r="3894" spans="1:2" ht="13.2" x14ac:dyDescent="0.25">
      <c r="A3894" s="34" t="s">
        <v>8312</v>
      </c>
      <c r="B3894" s="35">
        <v>1.5378668857943201</v>
      </c>
    </row>
    <row r="3895" spans="1:2" ht="13.2" x14ac:dyDescent="0.25">
      <c r="A3895" s="34" t="s">
        <v>8311</v>
      </c>
      <c r="B3895" s="35">
        <v>1.5759774066794301</v>
      </c>
    </row>
    <row r="3896" spans="1:2" ht="13.2" x14ac:dyDescent="0.25">
      <c r="A3896" s="34" t="s">
        <v>8310</v>
      </c>
      <c r="B3896" s="35">
        <v>1.61413821407586</v>
      </c>
    </row>
    <row r="3897" spans="1:2" ht="13.2" x14ac:dyDescent="0.25">
      <c r="A3897" s="34" t="s">
        <v>8309</v>
      </c>
    </row>
    <row r="3898" spans="1:2" ht="13.2" x14ac:dyDescent="0.25">
      <c r="A3898" s="34" t="s">
        <v>8308</v>
      </c>
    </row>
    <row r="3899" spans="1:2" ht="13.2" x14ac:dyDescent="0.25">
      <c r="A3899" s="34" t="s">
        <v>8307</v>
      </c>
      <c r="B3899" s="35">
        <v>1.7575452960373501</v>
      </c>
    </row>
    <row r="3900" spans="1:2" ht="13.2" x14ac:dyDescent="0.25">
      <c r="A3900" s="34" t="s">
        <v>8306</v>
      </c>
      <c r="B3900" s="35">
        <v>1.7722505125580199</v>
      </c>
    </row>
    <row r="3901" spans="1:2" ht="13.2" x14ac:dyDescent="0.25">
      <c r="A3901" s="34" t="s">
        <v>8305</v>
      </c>
      <c r="B3901" s="35">
        <v>1.8295433648047399</v>
      </c>
    </row>
    <row r="3902" spans="1:2" ht="13.2" x14ac:dyDescent="0.25">
      <c r="A3902" s="34" t="s">
        <v>8304</v>
      </c>
      <c r="B3902" s="35">
        <v>2.3421868395412799</v>
      </c>
    </row>
    <row r="3903" spans="1:2" ht="13.2" x14ac:dyDescent="0.25">
      <c r="A3903" s="34" t="s">
        <v>8303</v>
      </c>
      <c r="B3903" s="35">
        <v>2.39573182571438</v>
      </c>
    </row>
    <row r="3904" spans="1:2" ht="13.2" x14ac:dyDescent="0.25">
      <c r="A3904" s="34" t="s">
        <v>8302</v>
      </c>
    </row>
    <row r="3905" spans="1:2" ht="13.2" x14ac:dyDescent="0.25">
      <c r="A3905" s="34" t="s">
        <v>8301</v>
      </c>
    </row>
    <row r="3906" spans="1:2" ht="13.2" x14ac:dyDescent="0.25">
      <c r="A3906" s="34" t="s">
        <v>8300</v>
      </c>
      <c r="B3906" s="35">
        <v>2.3845872641882702</v>
      </c>
    </row>
    <row r="3907" spans="1:2" ht="13.2" x14ac:dyDescent="0.25">
      <c r="A3907" s="34" t="s">
        <v>8299</v>
      </c>
      <c r="B3907" s="35">
        <v>2.18387345852606</v>
      </c>
    </row>
    <row r="3908" spans="1:2" ht="13.2" x14ac:dyDescent="0.25">
      <c r="A3908" s="34" t="s">
        <v>8298</v>
      </c>
      <c r="B3908" s="35">
        <v>2.2449370591182598</v>
      </c>
    </row>
    <row r="3909" spans="1:2" ht="13.2" x14ac:dyDescent="0.25">
      <c r="A3909" s="34" t="s">
        <v>8297</v>
      </c>
      <c r="B3909" s="35">
        <v>2.3001922065359302</v>
      </c>
    </row>
    <row r="3910" spans="1:2" ht="13.2" x14ac:dyDescent="0.25">
      <c r="A3910" s="34" t="s">
        <v>8296</v>
      </c>
      <c r="B3910" s="35">
        <v>2.4655121240193898</v>
      </c>
    </row>
    <row r="3911" spans="1:2" ht="13.2" x14ac:dyDescent="0.25">
      <c r="A3911" s="34" t="s">
        <v>8295</v>
      </c>
    </row>
    <row r="3912" spans="1:2" ht="13.2" x14ac:dyDescent="0.25">
      <c r="A3912" s="34" t="s">
        <v>8294</v>
      </c>
    </row>
    <row r="3913" spans="1:2" ht="13.2" x14ac:dyDescent="0.25">
      <c r="A3913" s="34" t="s">
        <v>8293</v>
      </c>
      <c r="B3913" s="35">
        <v>2.4515214568919901</v>
      </c>
    </row>
    <row r="3914" spans="1:2" ht="13.2" x14ac:dyDescent="0.25">
      <c r="A3914" s="34" t="s">
        <v>8292</v>
      </c>
      <c r="B3914" s="35">
        <v>2.4393914273611901</v>
      </c>
    </row>
    <row r="3915" spans="1:2" ht="13.2" x14ac:dyDescent="0.25">
      <c r="A3915" s="34" t="s">
        <v>8291</v>
      </c>
      <c r="B3915" s="35">
        <v>2.6576649799485002</v>
      </c>
    </row>
    <row r="3916" spans="1:2" ht="13.2" x14ac:dyDescent="0.25">
      <c r="A3916" s="34" t="s">
        <v>8290</v>
      </c>
      <c r="B3916" s="35">
        <v>2.6148460153177702</v>
      </c>
    </row>
    <row r="3917" spans="1:2" ht="13.2" x14ac:dyDescent="0.25">
      <c r="A3917" s="34" t="s">
        <v>8289</v>
      </c>
      <c r="B3917" s="35">
        <v>2.63238611998919</v>
      </c>
    </row>
    <row r="3918" spans="1:2" ht="13.2" x14ac:dyDescent="0.25">
      <c r="A3918" s="34" t="s">
        <v>8288</v>
      </c>
    </row>
    <row r="3919" spans="1:2" ht="13.2" x14ac:dyDescent="0.25">
      <c r="A3919" s="34" t="s">
        <v>8287</v>
      </c>
    </row>
    <row r="3920" spans="1:2" ht="13.2" x14ac:dyDescent="0.25">
      <c r="A3920" s="34" t="s">
        <v>8286</v>
      </c>
      <c r="B3920" s="35">
        <v>2.6412264564325998</v>
      </c>
    </row>
    <row r="3921" spans="1:2" ht="13.2" x14ac:dyDescent="0.25">
      <c r="A3921" s="34" t="s">
        <v>8285</v>
      </c>
      <c r="B3921" s="35">
        <v>2.6429448165099001</v>
      </c>
    </row>
    <row r="3922" spans="1:2" ht="13.2" x14ac:dyDescent="0.25">
      <c r="A3922" s="34" t="s">
        <v>8284</v>
      </c>
      <c r="B3922" s="35">
        <v>2.6465033019536102</v>
      </c>
    </row>
    <row r="3923" spans="1:2" ht="13.2" x14ac:dyDescent="0.25">
      <c r="A3923" s="34" t="s">
        <v>8283</v>
      </c>
      <c r="B3923" s="35">
        <v>2.8156926732022698</v>
      </c>
    </row>
    <row r="3924" spans="1:2" ht="13.2" x14ac:dyDescent="0.25">
      <c r="A3924" s="34" t="s">
        <v>8282</v>
      </c>
      <c r="B3924" s="35">
        <v>2.8515177275010801</v>
      </c>
    </row>
    <row r="3925" spans="1:2" ht="13.2" x14ac:dyDescent="0.25">
      <c r="A3925" s="34" t="s">
        <v>8281</v>
      </c>
    </row>
    <row r="3926" spans="1:2" ht="13.2" x14ac:dyDescent="0.25">
      <c r="A3926" s="34" t="s">
        <v>8280</v>
      </c>
    </row>
    <row r="3927" spans="1:2" ht="13.2" x14ac:dyDescent="0.25">
      <c r="A3927" s="34" t="s">
        <v>8279</v>
      </c>
    </row>
    <row r="3928" spans="1:2" ht="13.2" x14ac:dyDescent="0.25">
      <c r="A3928" s="34" t="s">
        <v>8278</v>
      </c>
    </row>
    <row r="3929" spans="1:2" ht="13.2" x14ac:dyDescent="0.25">
      <c r="A3929" s="34" t="s">
        <v>8277</v>
      </c>
      <c r="B3929" s="35">
        <v>2.8185701427934098</v>
      </c>
    </row>
    <row r="3930" spans="1:2" ht="13.2" x14ac:dyDescent="0.25">
      <c r="A3930" s="34" t="s">
        <v>8276</v>
      </c>
      <c r="B3930" s="35">
        <v>2.6599883145554202</v>
      </c>
    </row>
    <row r="3931" spans="1:2" ht="13.2" x14ac:dyDescent="0.25">
      <c r="A3931" s="34" t="s">
        <v>8275</v>
      </c>
      <c r="B3931" s="35">
        <v>2.6961942966604102</v>
      </c>
    </row>
    <row r="3932" spans="1:2" ht="13.2" x14ac:dyDescent="0.25">
      <c r="A3932" s="34" t="s">
        <v>8274</v>
      </c>
    </row>
    <row r="3933" spans="1:2" ht="13.2" x14ac:dyDescent="0.25">
      <c r="A3933" s="34" t="s">
        <v>8273</v>
      </c>
    </row>
    <row r="3934" spans="1:2" ht="13.2" x14ac:dyDescent="0.25">
      <c r="A3934" s="34" t="s">
        <v>8272</v>
      </c>
      <c r="B3934" s="35">
        <v>2.8121531076472399</v>
      </c>
    </row>
    <row r="3935" spans="1:2" ht="13.2" x14ac:dyDescent="0.25">
      <c r="A3935" s="34" t="s">
        <v>8271</v>
      </c>
      <c r="B3935" s="35">
        <v>2.4455349124832799</v>
      </c>
    </row>
    <row r="3936" spans="1:2" ht="13.2" x14ac:dyDescent="0.25">
      <c r="A3936" s="34" t="s">
        <v>8270</v>
      </c>
      <c r="B3936" s="35">
        <v>2.3824673122100601</v>
      </c>
    </row>
    <row r="3937" spans="1:2" ht="13.2" x14ac:dyDescent="0.25">
      <c r="A3937" s="34" t="s">
        <v>8269</v>
      </c>
      <c r="B3937" s="35">
        <v>2.38787394423233</v>
      </c>
    </row>
    <row r="3938" spans="1:2" ht="13.2" x14ac:dyDescent="0.25">
      <c r="A3938" s="34" t="s">
        <v>8268</v>
      </c>
      <c r="B3938" s="35">
        <v>2.3826559565493901</v>
      </c>
    </row>
    <row r="3939" spans="1:2" ht="13.2" x14ac:dyDescent="0.25">
      <c r="A3939" s="34" t="s">
        <v>8267</v>
      </c>
    </row>
    <row r="3940" spans="1:2" ht="13.2" x14ac:dyDescent="0.25">
      <c r="A3940" s="34" t="s">
        <v>8266</v>
      </c>
    </row>
    <row r="3941" spans="1:2" ht="13.2" x14ac:dyDescent="0.25">
      <c r="A3941" s="34" t="s">
        <v>8265</v>
      </c>
      <c r="B3941" s="35">
        <v>2.29300370379441</v>
      </c>
    </row>
    <row r="3942" spans="1:2" ht="13.2" x14ac:dyDescent="0.25">
      <c r="A3942" s="34" t="s">
        <v>8264</v>
      </c>
      <c r="B3942" s="35">
        <v>2.2199541309846298</v>
      </c>
    </row>
    <row r="3943" spans="1:2" ht="13.2" x14ac:dyDescent="0.25">
      <c r="A3943" s="34" t="s">
        <v>8263</v>
      </c>
      <c r="B3943" s="35">
        <v>2.2899894784186401</v>
      </c>
    </row>
    <row r="3944" spans="1:2" ht="13.2" x14ac:dyDescent="0.25">
      <c r="A3944" s="34" t="s">
        <v>8262</v>
      </c>
      <c r="B3944" s="35">
        <v>2.4672814013759301</v>
      </c>
    </row>
    <row r="3945" spans="1:2" ht="13.2" x14ac:dyDescent="0.25">
      <c r="A3945" s="34" t="s">
        <v>8261</v>
      </c>
      <c r="B3945" s="35">
        <v>2.6915723225683701</v>
      </c>
    </row>
    <row r="3946" spans="1:2" ht="13.2" x14ac:dyDescent="0.25">
      <c r="A3946" s="34" t="s">
        <v>8260</v>
      </c>
    </row>
    <row r="3947" spans="1:2" ht="13.2" x14ac:dyDescent="0.25">
      <c r="A3947" s="34" t="s">
        <v>8259</v>
      </c>
    </row>
    <row r="3948" spans="1:2" ht="13.2" x14ac:dyDescent="0.25">
      <c r="A3948" s="34" t="s">
        <v>8258</v>
      </c>
      <c r="B3948" s="35">
        <v>2.5220078065315099</v>
      </c>
    </row>
    <row r="3949" spans="1:2" ht="13.2" x14ac:dyDescent="0.25">
      <c r="A3949" s="34" t="s">
        <v>8257</v>
      </c>
      <c r="B3949" s="35">
        <v>2.5663168913703598</v>
      </c>
    </row>
    <row r="3950" spans="1:2" ht="13.2" x14ac:dyDescent="0.25">
      <c r="A3950" s="34" t="s">
        <v>8256</v>
      </c>
      <c r="B3950" s="35">
        <v>2.5458875723196099</v>
      </c>
    </row>
    <row r="3951" spans="1:2" ht="13.2" x14ac:dyDescent="0.25">
      <c r="A3951" s="34" t="s">
        <v>8255</v>
      </c>
      <c r="B3951" s="35">
        <v>2.5704551608364401</v>
      </c>
    </row>
    <row r="3952" spans="1:2" ht="13.2" x14ac:dyDescent="0.25">
      <c r="A3952" s="34" t="s">
        <v>8254</v>
      </c>
      <c r="B3952" s="35">
        <v>2.5618360153816702</v>
      </c>
    </row>
    <row r="3953" spans="1:2" ht="13.2" x14ac:dyDescent="0.25">
      <c r="A3953" s="34" t="s">
        <v>8253</v>
      </c>
    </row>
    <row r="3954" spans="1:2" ht="13.2" x14ac:dyDescent="0.25">
      <c r="A3954" s="34" t="s">
        <v>8252</v>
      </c>
    </row>
    <row r="3955" spans="1:2" ht="13.2" x14ac:dyDescent="0.25">
      <c r="A3955" s="34" t="s">
        <v>8251</v>
      </c>
      <c r="B3955" s="35">
        <v>2.59720449693123</v>
      </c>
    </row>
    <row r="3956" spans="1:2" ht="13.2" x14ac:dyDescent="0.25">
      <c r="A3956" s="34" t="s">
        <v>8250</v>
      </c>
      <c r="B3956" s="35">
        <v>2.4046913707934898</v>
      </c>
    </row>
    <row r="3957" spans="1:2" ht="13.2" x14ac:dyDescent="0.25">
      <c r="A3957" s="34" t="s">
        <v>8249</v>
      </c>
      <c r="B3957" s="35">
        <v>2.3805770299911302</v>
      </c>
    </row>
    <row r="3958" spans="1:2" ht="13.2" x14ac:dyDescent="0.25">
      <c r="A3958" s="34" t="s">
        <v>8248</v>
      </c>
      <c r="B3958" s="35">
        <v>2.3609962086473102</v>
      </c>
    </row>
    <row r="3959" spans="1:2" ht="13.2" x14ac:dyDescent="0.25">
      <c r="A3959" s="34" t="s">
        <v>8247</v>
      </c>
      <c r="B3959" s="35">
        <v>2.4268394962325099</v>
      </c>
    </row>
    <row r="3960" spans="1:2" ht="13.2" x14ac:dyDescent="0.25">
      <c r="A3960" s="34" t="s">
        <v>8246</v>
      </c>
    </row>
    <row r="3961" spans="1:2" ht="13.2" x14ac:dyDescent="0.25">
      <c r="A3961" s="34" t="s">
        <v>8245</v>
      </c>
    </row>
    <row r="3962" spans="1:2" ht="13.2" x14ac:dyDescent="0.25">
      <c r="A3962" s="34" t="s">
        <v>8244</v>
      </c>
      <c r="B3962" s="35">
        <v>2.40579744118698</v>
      </c>
    </row>
    <row r="3963" spans="1:2" ht="13.2" x14ac:dyDescent="0.25">
      <c r="A3963" s="34" t="s">
        <v>8243</v>
      </c>
      <c r="B3963" s="35">
        <v>2.3433288158004499</v>
      </c>
    </row>
    <row r="3964" spans="1:2" ht="13.2" x14ac:dyDescent="0.25">
      <c r="A3964" s="34" t="s">
        <v>8242</v>
      </c>
      <c r="B3964" s="35">
        <v>2.3459929803779902</v>
      </c>
    </row>
    <row r="3965" spans="1:2" ht="13.2" x14ac:dyDescent="0.25">
      <c r="A3965" s="34" t="s">
        <v>8241</v>
      </c>
      <c r="B3965" s="35">
        <v>2.3979802753406099</v>
      </c>
    </row>
    <row r="3966" spans="1:2" ht="13.2" x14ac:dyDescent="0.25">
      <c r="A3966" s="34" t="s">
        <v>8240</v>
      </c>
      <c r="B3966" s="35">
        <v>2.4082691983666802</v>
      </c>
    </row>
    <row r="3967" spans="1:2" ht="13.2" x14ac:dyDescent="0.25">
      <c r="A3967" s="34" t="s">
        <v>8239</v>
      </c>
    </row>
    <row r="3968" spans="1:2" ht="13.2" x14ac:dyDescent="0.25">
      <c r="A3968" s="34" t="s">
        <v>8238</v>
      </c>
    </row>
    <row r="3969" spans="1:2" ht="13.2" x14ac:dyDescent="0.25">
      <c r="A3969" s="34" t="s">
        <v>8237</v>
      </c>
      <c r="B3969" s="35">
        <v>2.37115072236316</v>
      </c>
    </row>
    <row r="3970" spans="1:2" ht="13.2" x14ac:dyDescent="0.25">
      <c r="A3970" s="34" t="s">
        <v>8236</v>
      </c>
      <c r="B3970" s="35">
        <v>2.3699924475310499</v>
      </c>
    </row>
    <row r="3971" spans="1:2" ht="13.2" x14ac:dyDescent="0.25">
      <c r="A3971" s="34" t="s">
        <v>8235</v>
      </c>
      <c r="B3971" s="35">
        <v>2.4287994245995002</v>
      </c>
    </row>
    <row r="3972" spans="1:2" ht="13.2" x14ac:dyDescent="0.25">
      <c r="A3972" s="34" t="s">
        <v>8234</v>
      </c>
      <c r="B3972" s="35">
        <v>2.2136226502179102</v>
      </c>
    </row>
    <row r="3973" spans="1:2" ht="13.2" x14ac:dyDescent="0.25">
      <c r="A3973" s="34" t="s">
        <v>8233</v>
      </c>
    </row>
    <row r="3974" spans="1:2" ht="13.2" x14ac:dyDescent="0.25">
      <c r="A3974" s="34" t="s">
        <v>8232</v>
      </c>
    </row>
    <row r="3975" spans="1:2" ht="13.2" x14ac:dyDescent="0.25">
      <c r="A3975" s="34" t="s">
        <v>8231</v>
      </c>
    </row>
    <row r="3976" spans="1:2" ht="13.2" x14ac:dyDescent="0.25">
      <c r="A3976" s="34" t="s">
        <v>8230</v>
      </c>
      <c r="B3976" s="35">
        <v>1.9591206219212201</v>
      </c>
    </row>
    <row r="3977" spans="1:2" ht="13.2" x14ac:dyDescent="0.25">
      <c r="A3977" s="34" t="s">
        <v>8229</v>
      </c>
      <c r="B3977" s="35">
        <v>1.7025349391762301</v>
      </c>
    </row>
    <row r="3978" spans="1:2" ht="13.2" x14ac:dyDescent="0.25">
      <c r="A3978" s="34" t="s">
        <v>8228</v>
      </c>
      <c r="B3978" s="35">
        <v>1.62819033575234</v>
      </c>
    </row>
    <row r="3979" spans="1:2" ht="13.2" x14ac:dyDescent="0.25">
      <c r="A3979" s="34" t="s">
        <v>8227</v>
      </c>
      <c r="B3979" s="35">
        <v>1.70015669647045</v>
      </c>
    </row>
    <row r="3980" spans="1:2" ht="13.2" x14ac:dyDescent="0.25">
      <c r="A3980" s="34" t="s">
        <v>8226</v>
      </c>
      <c r="B3980" s="35">
        <v>1.67445658021782</v>
      </c>
    </row>
    <row r="3981" spans="1:2" ht="13.2" x14ac:dyDescent="0.25">
      <c r="A3981" s="34" t="s">
        <v>8225</v>
      </c>
    </row>
    <row r="3982" spans="1:2" ht="13.2" x14ac:dyDescent="0.25">
      <c r="A3982" s="34" t="s">
        <v>8224</v>
      </c>
    </row>
    <row r="3983" spans="1:2" ht="13.2" x14ac:dyDescent="0.25">
      <c r="A3983" s="34" t="s">
        <v>8223</v>
      </c>
      <c r="B3983" s="35">
        <v>1.6045086089954099</v>
      </c>
    </row>
    <row r="3984" spans="1:2" ht="13.2" x14ac:dyDescent="0.25">
      <c r="A3984" s="34" t="s">
        <v>8222</v>
      </c>
      <c r="B3984" s="35">
        <v>1.6879748695371499</v>
      </c>
    </row>
    <row r="3985" spans="1:2" ht="13.2" x14ac:dyDescent="0.25">
      <c r="A3985" s="34" t="s">
        <v>8221</v>
      </c>
    </row>
    <row r="3986" spans="1:2" ht="13.2" x14ac:dyDescent="0.25">
      <c r="A3986" s="34" t="s">
        <v>8220</v>
      </c>
      <c r="B3986" s="35">
        <v>1.5937346787250899</v>
      </c>
    </row>
    <row r="3987" spans="1:2" ht="13.2" x14ac:dyDescent="0.25">
      <c r="A3987" s="34" t="s">
        <v>8219</v>
      </c>
      <c r="B3987" s="35">
        <v>1.59308604658785</v>
      </c>
    </row>
    <row r="3988" spans="1:2" ht="13.2" x14ac:dyDescent="0.25">
      <c r="A3988" s="34" t="s">
        <v>8218</v>
      </c>
    </row>
    <row r="3989" spans="1:2" ht="13.2" x14ac:dyDescent="0.25">
      <c r="A3989" s="34" t="s">
        <v>8217</v>
      </c>
    </row>
    <row r="3990" spans="1:2" ht="13.2" x14ac:dyDescent="0.25">
      <c r="A3990" s="34" t="s">
        <v>8216</v>
      </c>
      <c r="B3990" s="35">
        <v>1.6006178046210799</v>
      </c>
    </row>
    <row r="3991" spans="1:2" ht="13.2" x14ac:dyDescent="0.25">
      <c r="A3991" s="34" t="s">
        <v>8215</v>
      </c>
      <c r="B3991" s="35">
        <v>1.6007953943839499</v>
      </c>
    </row>
    <row r="3992" spans="1:2" ht="13.2" x14ac:dyDescent="0.25">
      <c r="A3992" s="34" t="s">
        <v>8214</v>
      </c>
      <c r="B3992" s="35">
        <v>1.7311785596762701</v>
      </c>
    </row>
    <row r="3993" spans="1:2" ht="13.2" x14ac:dyDescent="0.25">
      <c r="A3993" s="34" t="s">
        <v>8213</v>
      </c>
      <c r="B3993" s="35">
        <v>1.8329780731518399</v>
      </c>
    </row>
    <row r="3994" spans="1:2" ht="13.2" x14ac:dyDescent="0.25">
      <c r="A3994" s="34" t="s">
        <v>8212</v>
      </c>
      <c r="B3994" s="35">
        <v>1.73118195776373</v>
      </c>
    </row>
    <row r="3995" spans="1:2" ht="13.2" x14ac:dyDescent="0.25">
      <c r="A3995" s="34" t="s">
        <v>8211</v>
      </c>
    </row>
    <row r="3996" spans="1:2" ht="13.2" x14ac:dyDescent="0.25">
      <c r="A3996" s="34" t="s">
        <v>8210</v>
      </c>
    </row>
    <row r="3997" spans="1:2" ht="13.2" x14ac:dyDescent="0.25">
      <c r="A3997" s="34" t="s">
        <v>8209</v>
      </c>
      <c r="B3997" s="35">
        <v>1.73330492836885</v>
      </c>
    </row>
    <row r="3998" spans="1:2" ht="13.2" x14ac:dyDescent="0.25">
      <c r="A3998" s="34" t="s">
        <v>8208</v>
      </c>
      <c r="B3998" s="35">
        <v>1.6733388576129999</v>
      </c>
    </row>
    <row r="3999" spans="1:2" ht="13.2" x14ac:dyDescent="0.25">
      <c r="A3999" s="34" t="s">
        <v>8207</v>
      </c>
      <c r="B3999" s="35">
        <v>1.62590614103889</v>
      </c>
    </row>
    <row r="4000" spans="1:2" ht="13.2" x14ac:dyDescent="0.25">
      <c r="A4000" s="34" t="s">
        <v>8206</v>
      </c>
      <c r="B4000" s="35">
        <v>1.76683847498986</v>
      </c>
    </row>
    <row r="4001" spans="1:2" ht="13.2" x14ac:dyDescent="0.25">
      <c r="A4001" s="34" t="s">
        <v>8205</v>
      </c>
      <c r="B4001" s="35">
        <v>1.8202620889336301</v>
      </c>
    </row>
    <row r="4002" spans="1:2" ht="13.2" x14ac:dyDescent="0.25">
      <c r="A4002" s="34" t="s">
        <v>8204</v>
      </c>
    </row>
    <row r="4003" spans="1:2" ht="13.2" x14ac:dyDescent="0.25">
      <c r="A4003" s="34" t="s">
        <v>8203</v>
      </c>
    </row>
    <row r="4004" spans="1:2" ht="13.2" x14ac:dyDescent="0.25">
      <c r="A4004" s="34" t="s">
        <v>8202</v>
      </c>
      <c r="B4004" s="35">
        <v>2.0483123239560399</v>
      </c>
    </row>
    <row r="4005" spans="1:2" ht="13.2" x14ac:dyDescent="0.25">
      <c r="A4005" s="34" t="s">
        <v>8201</v>
      </c>
      <c r="B4005" s="35">
        <v>2.4222735739816899</v>
      </c>
    </row>
    <row r="4006" spans="1:2" ht="13.2" x14ac:dyDescent="0.25">
      <c r="A4006" s="34" t="s">
        <v>8200</v>
      </c>
      <c r="B4006" s="35">
        <v>2.4064386478282098</v>
      </c>
    </row>
    <row r="4007" spans="1:2" ht="13.2" x14ac:dyDescent="0.25">
      <c r="A4007" s="34" t="s">
        <v>8199</v>
      </c>
      <c r="B4007" s="35">
        <v>2.4264354714568599</v>
      </c>
    </row>
    <row r="4008" spans="1:2" ht="13.2" x14ac:dyDescent="0.25">
      <c r="A4008" s="34" t="s">
        <v>8198</v>
      </c>
      <c r="B4008" s="35">
        <v>2.4674303353833</v>
      </c>
    </row>
    <row r="4009" spans="1:2" ht="13.2" x14ac:dyDescent="0.25">
      <c r="A4009" s="34" t="s">
        <v>8197</v>
      </c>
    </row>
    <row r="4010" spans="1:2" ht="13.2" x14ac:dyDescent="0.25">
      <c r="A4010" s="34" t="s">
        <v>8196</v>
      </c>
    </row>
    <row r="4011" spans="1:2" ht="13.2" x14ac:dyDescent="0.25">
      <c r="A4011" s="34" t="s">
        <v>8195</v>
      </c>
      <c r="B4011" s="35">
        <v>2.4696113203249102</v>
      </c>
    </row>
    <row r="4012" spans="1:2" ht="13.2" x14ac:dyDescent="0.25">
      <c r="A4012" s="34" t="s">
        <v>8194</v>
      </c>
      <c r="B4012" s="35">
        <v>2.5611310612926599</v>
      </c>
    </row>
    <row r="4013" spans="1:2" ht="13.2" x14ac:dyDescent="0.25">
      <c r="A4013" s="34" t="s">
        <v>8193</v>
      </c>
      <c r="B4013" s="35">
        <v>2.5811520256799101</v>
      </c>
    </row>
    <row r="4014" spans="1:2" ht="13.2" x14ac:dyDescent="0.25">
      <c r="A4014" s="34" t="s">
        <v>8192</v>
      </c>
      <c r="B4014" s="35">
        <v>2.5760788559908701</v>
      </c>
    </row>
    <row r="4015" spans="1:2" ht="13.2" x14ac:dyDescent="0.25">
      <c r="A4015" s="34" t="s">
        <v>8191</v>
      </c>
      <c r="B4015" s="35">
        <v>2.5750156307478602</v>
      </c>
    </row>
    <row r="4016" spans="1:2" ht="13.2" x14ac:dyDescent="0.25">
      <c r="A4016" s="34" t="s">
        <v>8190</v>
      </c>
    </row>
    <row r="4017" spans="1:2" ht="13.2" x14ac:dyDescent="0.25">
      <c r="A4017" s="34" t="s">
        <v>8189</v>
      </c>
    </row>
    <row r="4018" spans="1:2" ht="13.2" x14ac:dyDescent="0.25">
      <c r="A4018" s="34" t="s">
        <v>8188</v>
      </c>
      <c r="B4018" s="35">
        <v>2.57401530639499</v>
      </c>
    </row>
    <row r="4019" spans="1:2" ht="13.2" x14ac:dyDescent="0.25">
      <c r="A4019" s="34" t="s">
        <v>8187</v>
      </c>
      <c r="B4019" s="35">
        <v>2.5970475376767999</v>
      </c>
    </row>
    <row r="4020" spans="1:2" ht="13.2" x14ac:dyDescent="0.25">
      <c r="A4020" s="34" t="s">
        <v>8186</v>
      </c>
      <c r="B4020" s="35">
        <v>2.62080571811555</v>
      </c>
    </row>
    <row r="4021" spans="1:2" ht="13.2" x14ac:dyDescent="0.25">
      <c r="A4021" s="34" t="s">
        <v>8185</v>
      </c>
      <c r="B4021" s="35">
        <v>2.6278415263537802</v>
      </c>
    </row>
    <row r="4022" spans="1:2" ht="13.2" x14ac:dyDescent="0.25">
      <c r="A4022" s="34" t="s">
        <v>8184</v>
      </c>
      <c r="B4022" s="35">
        <v>2.5466252106770302</v>
      </c>
    </row>
    <row r="4023" spans="1:2" ht="13.2" x14ac:dyDescent="0.25">
      <c r="A4023" s="34" t="s">
        <v>8183</v>
      </c>
    </row>
    <row r="4024" spans="1:2" ht="13.2" x14ac:dyDescent="0.25">
      <c r="A4024" s="34" t="s">
        <v>8182</v>
      </c>
    </row>
    <row r="4025" spans="1:2" ht="13.2" x14ac:dyDescent="0.25">
      <c r="A4025" s="34" t="s">
        <v>8181</v>
      </c>
      <c r="B4025" s="35">
        <v>2.53404072870382</v>
      </c>
    </row>
    <row r="4026" spans="1:2" ht="13.2" x14ac:dyDescent="0.25">
      <c r="A4026" s="34" t="s">
        <v>8180</v>
      </c>
      <c r="B4026" s="35">
        <v>2.5311062683792001</v>
      </c>
    </row>
    <row r="4027" spans="1:2" ht="13.2" x14ac:dyDescent="0.25">
      <c r="A4027" s="34" t="s">
        <v>8179</v>
      </c>
      <c r="B4027" s="35">
        <v>2.5185006428516901</v>
      </c>
    </row>
    <row r="4028" spans="1:2" ht="13.2" x14ac:dyDescent="0.25">
      <c r="A4028" s="34" t="s">
        <v>8178</v>
      </c>
      <c r="B4028" s="35">
        <v>2.5402394316867598</v>
      </c>
    </row>
    <row r="4029" spans="1:2" ht="13.2" x14ac:dyDescent="0.25">
      <c r="A4029" s="34" t="s">
        <v>8177</v>
      </c>
      <c r="B4029" s="35">
        <v>2.40232910051453</v>
      </c>
    </row>
    <row r="4030" spans="1:2" ht="13.2" x14ac:dyDescent="0.25">
      <c r="A4030" s="34" t="s">
        <v>8176</v>
      </c>
    </row>
    <row r="4031" spans="1:2" ht="13.2" x14ac:dyDescent="0.25">
      <c r="A4031" s="34" t="s">
        <v>8175</v>
      </c>
    </row>
    <row r="4032" spans="1:2" ht="13.2" x14ac:dyDescent="0.25">
      <c r="A4032" s="34" t="s">
        <v>8174</v>
      </c>
      <c r="B4032" s="35">
        <v>2.3705108328083</v>
      </c>
    </row>
    <row r="4033" spans="1:2" ht="13.2" x14ac:dyDescent="0.25">
      <c r="A4033" s="34" t="s">
        <v>8173</v>
      </c>
      <c r="B4033" s="35">
        <v>1.9513230722745001</v>
      </c>
    </row>
    <row r="4034" spans="1:2" ht="13.2" x14ac:dyDescent="0.25">
      <c r="A4034" s="34" t="s">
        <v>8172</v>
      </c>
      <c r="B4034" s="35">
        <v>1.74818510903395</v>
      </c>
    </row>
    <row r="4035" spans="1:2" ht="13.2" x14ac:dyDescent="0.25">
      <c r="A4035" s="34" t="s">
        <v>8171</v>
      </c>
    </row>
    <row r="4036" spans="1:2" ht="13.2" x14ac:dyDescent="0.25">
      <c r="A4036" s="34" t="s">
        <v>8170</v>
      </c>
      <c r="B4036" s="35">
        <v>1.7195765091787001</v>
      </c>
    </row>
    <row r="4037" spans="1:2" ht="13.2" x14ac:dyDescent="0.25">
      <c r="A4037" s="34" t="s">
        <v>8169</v>
      </c>
    </row>
    <row r="4038" spans="1:2" ht="13.2" x14ac:dyDescent="0.25">
      <c r="A4038" s="34" t="s">
        <v>8168</v>
      </c>
    </row>
    <row r="4039" spans="1:2" ht="13.2" x14ac:dyDescent="0.25">
      <c r="A4039" s="34" t="s">
        <v>8167</v>
      </c>
      <c r="B4039" s="35">
        <v>1.7815275525688099</v>
      </c>
    </row>
    <row r="4040" spans="1:2" ht="13.2" x14ac:dyDescent="0.25">
      <c r="A4040" s="34" t="s">
        <v>8166</v>
      </c>
      <c r="B4040" s="35">
        <v>1.85922376804096</v>
      </c>
    </row>
    <row r="4041" spans="1:2" ht="13.2" x14ac:dyDescent="0.25">
      <c r="A4041" s="34" t="s">
        <v>8165</v>
      </c>
      <c r="B4041" s="35">
        <v>1.75815461059652</v>
      </c>
    </row>
    <row r="4042" spans="1:2" ht="13.2" x14ac:dyDescent="0.25">
      <c r="A4042" s="34" t="s">
        <v>8164</v>
      </c>
      <c r="B4042" s="35">
        <v>1.7265169796206501</v>
      </c>
    </row>
    <row r="4043" spans="1:2" ht="13.2" x14ac:dyDescent="0.25">
      <c r="A4043" s="34" t="s">
        <v>8163</v>
      </c>
      <c r="B4043" s="35">
        <v>1.72795953692059</v>
      </c>
    </row>
    <row r="4044" spans="1:2" ht="13.2" x14ac:dyDescent="0.25">
      <c r="A4044" s="34" t="s">
        <v>8162</v>
      </c>
    </row>
    <row r="4045" spans="1:2" ht="13.2" x14ac:dyDescent="0.25">
      <c r="A4045" s="34" t="s">
        <v>8161</v>
      </c>
    </row>
    <row r="4046" spans="1:2" ht="13.2" x14ac:dyDescent="0.25">
      <c r="A4046" s="34" t="s">
        <v>8160</v>
      </c>
      <c r="B4046" s="35">
        <v>1.60996705140721</v>
      </c>
    </row>
    <row r="4047" spans="1:2" ht="13.2" x14ac:dyDescent="0.25">
      <c r="A4047" s="34" t="s">
        <v>8159</v>
      </c>
      <c r="B4047" s="35">
        <v>1.62315435380713</v>
      </c>
    </row>
    <row r="4048" spans="1:2" ht="13.2" x14ac:dyDescent="0.25">
      <c r="A4048" s="34" t="s">
        <v>8158</v>
      </c>
      <c r="B4048" s="35">
        <v>1.6880481402282299</v>
      </c>
    </row>
    <row r="4049" spans="1:2" ht="13.2" x14ac:dyDescent="0.25">
      <c r="A4049" s="34" t="s">
        <v>8157</v>
      </c>
      <c r="B4049" s="35">
        <v>1.7017003773427399</v>
      </c>
    </row>
    <row r="4050" spans="1:2" ht="13.2" x14ac:dyDescent="0.25">
      <c r="A4050" s="34" t="s">
        <v>8156</v>
      </c>
      <c r="B4050" s="35">
        <v>1.6956473357683399</v>
      </c>
    </row>
    <row r="4051" spans="1:2" ht="13.2" x14ac:dyDescent="0.25">
      <c r="A4051" s="34" t="s">
        <v>8155</v>
      </c>
    </row>
    <row r="4052" spans="1:2" ht="13.2" x14ac:dyDescent="0.25">
      <c r="A4052" s="34" t="s">
        <v>8154</v>
      </c>
    </row>
    <row r="4053" spans="1:2" ht="13.2" x14ac:dyDescent="0.25">
      <c r="A4053" s="34" t="s">
        <v>8153</v>
      </c>
      <c r="B4053" s="35">
        <v>1.61973897269997</v>
      </c>
    </row>
    <row r="4054" spans="1:2" ht="13.2" x14ac:dyDescent="0.25">
      <c r="A4054" s="34" t="s">
        <v>8152</v>
      </c>
      <c r="B4054" s="35">
        <v>1.6747194991331</v>
      </c>
    </row>
    <row r="4055" spans="1:2" ht="13.2" x14ac:dyDescent="0.25">
      <c r="A4055" s="34" t="s">
        <v>8151</v>
      </c>
      <c r="B4055" s="35">
        <v>1.68809673348622</v>
      </c>
    </row>
    <row r="4056" spans="1:2" ht="13.2" x14ac:dyDescent="0.25">
      <c r="A4056" s="34" t="s">
        <v>8150</v>
      </c>
      <c r="B4056" s="35">
        <v>1.69018320004683</v>
      </c>
    </row>
    <row r="4057" spans="1:2" ht="13.2" x14ac:dyDescent="0.25">
      <c r="A4057" s="34" t="s">
        <v>8149</v>
      </c>
      <c r="B4057" s="35">
        <v>1.69249108970924</v>
      </c>
    </row>
    <row r="4058" spans="1:2" ht="13.2" x14ac:dyDescent="0.25">
      <c r="A4058" s="34" t="s">
        <v>8148</v>
      </c>
    </row>
    <row r="4059" spans="1:2" ht="13.2" x14ac:dyDescent="0.25">
      <c r="A4059" s="34" t="s">
        <v>8147</v>
      </c>
    </row>
    <row r="4060" spans="1:2" ht="13.2" x14ac:dyDescent="0.25">
      <c r="A4060" s="34" t="s">
        <v>8146</v>
      </c>
      <c r="B4060" s="35">
        <v>1.62618069812744</v>
      </c>
    </row>
    <row r="4061" spans="1:2" ht="13.2" x14ac:dyDescent="0.25">
      <c r="A4061" s="34" t="s">
        <v>8145</v>
      </c>
      <c r="B4061" s="35">
        <v>1.6895176657926301</v>
      </c>
    </row>
    <row r="4062" spans="1:2" ht="13.2" x14ac:dyDescent="0.25">
      <c r="A4062" s="34" t="s">
        <v>8144</v>
      </c>
      <c r="B4062" s="35">
        <v>1.56384830287928</v>
      </c>
    </row>
    <row r="4063" spans="1:2" ht="13.2" x14ac:dyDescent="0.25">
      <c r="A4063" s="34" t="s">
        <v>8143</v>
      </c>
      <c r="B4063" s="35">
        <v>1.5853024972352401</v>
      </c>
    </row>
    <row r="4064" spans="1:2" ht="13.2" x14ac:dyDescent="0.25">
      <c r="A4064" s="34" t="s">
        <v>8142</v>
      </c>
    </row>
    <row r="4065" spans="1:2" ht="13.2" x14ac:dyDescent="0.25">
      <c r="A4065" s="34" t="s">
        <v>8141</v>
      </c>
    </row>
    <row r="4066" spans="1:2" ht="13.2" x14ac:dyDescent="0.25">
      <c r="A4066" s="34" t="s">
        <v>8140</v>
      </c>
    </row>
    <row r="4067" spans="1:2" ht="13.2" x14ac:dyDescent="0.25">
      <c r="A4067" s="34" t="s">
        <v>8139</v>
      </c>
      <c r="B4067" s="35">
        <v>1.6197705205613999</v>
      </c>
    </row>
    <row r="4068" spans="1:2" ht="13.2" x14ac:dyDescent="0.25">
      <c r="A4068" s="34" t="s">
        <v>8138</v>
      </c>
      <c r="B4068" s="35">
        <v>1.61603950696358</v>
      </c>
    </row>
    <row r="4069" spans="1:2" ht="13.2" x14ac:dyDescent="0.25">
      <c r="A4069" s="34" t="s">
        <v>8137</v>
      </c>
      <c r="B4069" s="35">
        <v>1.5413761246925399</v>
      </c>
    </row>
    <row r="4070" spans="1:2" ht="13.2" x14ac:dyDescent="0.25">
      <c r="A4070" s="34" t="s">
        <v>8136</v>
      </c>
      <c r="B4070" s="35">
        <v>1.47866556836117</v>
      </c>
    </row>
    <row r="4071" spans="1:2" ht="13.2" x14ac:dyDescent="0.25">
      <c r="A4071" s="34" t="s">
        <v>8135</v>
      </c>
      <c r="B4071" s="35">
        <v>1.4629873345451501</v>
      </c>
    </row>
    <row r="4072" spans="1:2" ht="13.2" x14ac:dyDescent="0.25">
      <c r="A4072" s="34" t="s">
        <v>8134</v>
      </c>
    </row>
    <row r="4073" spans="1:2" ht="13.2" x14ac:dyDescent="0.25">
      <c r="A4073" s="34" t="s">
        <v>8133</v>
      </c>
    </row>
    <row r="4074" spans="1:2" ht="13.2" x14ac:dyDescent="0.25">
      <c r="A4074" s="34" t="s">
        <v>8132</v>
      </c>
      <c r="B4074" s="35">
        <v>1.5102101678151401</v>
      </c>
    </row>
    <row r="4075" spans="1:2" ht="13.2" x14ac:dyDescent="0.25">
      <c r="A4075" s="34" t="s">
        <v>8131</v>
      </c>
      <c r="B4075" s="35">
        <v>1.51614353835854</v>
      </c>
    </row>
    <row r="4076" spans="1:2" ht="13.2" x14ac:dyDescent="0.25">
      <c r="A4076" s="34" t="s">
        <v>8130</v>
      </c>
      <c r="B4076" s="35">
        <v>1.64300467605847</v>
      </c>
    </row>
    <row r="4077" spans="1:2" ht="13.2" x14ac:dyDescent="0.25">
      <c r="A4077" s="34" t="s">
        <v>8129</v>
      </c>
      <c r="B4077" s="35">
        <v>1.64075966960971</v>
      </c>
    </row>
    <row r="4078" spans="1:2" ht="13.2" x14ac:dyDescent="0.25">
      <c r="A4078" s="34" t="s">
        <v>8128</v>
      </c>
      <c r="B4078" s="35">
        <v>1.5256421489969301</v>
      </c>
    </row>
    <row r="4079" spans="1:2" ht="13.2" x14ac:dyDescent="0.25">
      <c r="A4079" s="34" t="s">
        <v>8127</v>
      </c>
    </row>
    <row r="4080" spans="1:2" ht="13.2" x14ac:dyDescent="0.25">
      <c r="A4080" s="34" t="s">
        <v>8126</v>
      </c>
    </row>
    <row r="4081" spans="1:2" ht="13.2" x14ac:dyDescent="0.25">
      <c r="A4081" s="34" t="s">
        <v>8125</v>
      </c>
      <c r="B4081" s="35">
        <v>1.5490822406789699</v>
      </c>
    </row>
    <row r="4082" spans="1:2" ht="13.2" x14ac:dyDescent="0.25">
      <c r="A4082" s="34" t="s">
        <v>8124</v>
      </c>
      <c r="B4082" s="35">
        <v>1.59864982141753</v>
      </c>
    </row>
    <row r="4083" spans="1:2" ht="13.2" x14ac:dyDescent="0.25">
      <c r="A4083" s="34" t="s">
        <v>8123</v>
      </c>
      <c r="B4083" s="35">
        <v>1.56115771785996</v>
      </c>
    </row>
    <row r="4084" spans="1:2" ht="13.2" x14ac:dyDescent="0.25">
      <c r="A4084" s="34" t="s">
        <v>8122</v>
      </c>
      <c r="B4084" s="35">
        <v>1.50698615592045</v>
      </c>
    </row>
    <row r="4085" spans="1:2" ht="13.2" x14ac:dyDescent="0.25">
      <c r="A4085" s="34" t="s">
        <v>8121</v>
      </c>
      <c r="B4085" s="35">
        <v>1.47615700870139</v>
      </c>
    </row>
    <row r="4086" spans="1:2" ht="13.2" x14ac:dyDescent="0.25">
      <c r="A4086" s="34" t="s">
        <v>8120</v>
      </c>
    </row>
    <row r="4087" spans="1:2" ht="13.2" x14ac:dyDescent="0.25">
      <c r="A4087" s="34" t="s">
        <v>8119</v>
      </c>
    </row>
    <row r="4088" spans="1:2" ht="13.2" x14ac:dyDescent="0.25">
      <c r="A4088" s="34" t="s">
        <v>8118</v>
      </c>
      <c r="B4088" s="35">
        <v>1.4690650586731</v>
      </c>
    </row>
    <row r="4089" spans="1:2" ht="13.2" x14ac:dyDescent="0.25">
      <c r="A4089" s="34" t="s">
        <v>8117</v>
      </c>
      <c r="B4089" s="35">
        <v>1.46276938184399</v>
      </c>
    </row>
    <row r="4090" spans="1:2" ht="13.2" x14ac:dyDescent="0.25">
      <c r="A4090" s="34" t="s">
        <v>8116</v>
      </c>
      <c r="B4090" s="35">
        <v>1.47853573649779</v>
      </c>
    </row>
    <row r="4091" spans="1:2" ht="13.2" x14ac:dyDescent="0.25">
      <c r="A4091" s="34" t="s">
        <v>8115</v>
      </c>
      <c r="B4091" s="35">
        <v>1.64461803743604</v>
      </c>
    </row>
    <row r="4092" spans="1:2" ht="13.2" x14ac:dyDescent="0.25">
      <c r="A4092" s="34" t="s">
        <v>8114</v>
      </c>
      <c r="B4092" s="35">
        <v>1.6752269068780701</v>
      </c>
    </row>
    <row r="4093" spans="1:2" ht="13.2" x14ac:dyDescent="0.25">
      <c r="A4093" s="34" t="s">
        <v>8113</v>
      </c>
    </row>
    <row r="4094" spans="1:2" ht="13.2" x14ac:dyDescent="0.25">
      <c r="A4094" s="34" t="s">
        <v>8112</v>
      </c>
    </row>
    <row r="4095" spans="1:2" ht="13.2" x14ac:dyDescent="0.25">
      <c r="A4095" s="34" t="s">
        <v>8111</v>
      </c>
      <c r="B4095" s="35">
        <v>1.69901257827763</v>
      </c>
    </row>
    <row r="4096" spans="1:2" ht="13.2" x14ac:dyDescent="0.25">
      <c r="A4096" s="34" t="s">
        <v>8110</v>
      </c>
      <c r="B4096" s="35">
        <v>1.6354341486430199</v>
      </c>
    </row>
    <row r="4097" spans="1:2" ht="13.2" x14ac:dyDescent="0.25">
      <c r="A4097" s="34" t="s">
        <v>8109</v>
      </c>
      <c r="B4097" s="35">
        <v>1.63811405164566</v>
      </c>
    </row>
    <row r="4098" spans="1:2" ht="13.2" x14ac:dyDescent="0.25">
      <c r="A4098" s="34" t="s">
        <v>8108</v>
      </c>
      <c r="B4098" s="35">
        <v>1.6381218794970001</v>
      </c>
    </row>
    <row r="4099" spans="1:2" ht="13.2" x14ac:dyDescent="0.25">
      <c r="A4099" s="34" t="s">
        <v>8107</v>
      </c>
      <c r="B4099" s="35">
        <v>1.59123550501139</v>
      </c>
    </row>
    <row r="4100" spans="1:2" ht="13.2" x14ac:dyDescent="0.25">
      <c r="A4100" s="34" t="s">
        <v>8106</v>
      </c>
    </row>
    <row r="4101" spans="1:2" ht="13.2" x14ac:dyDescent="0.25">
      <c r="A4101" s="34" t="s">
        <v>8105</v>
      </c>
    </row>
    <row r="4102" spans="1:2" ht="13.2" x14ac:dyDescent="0.25">
      <c r="A4102" s="34" t="s">
        <v>8104</v>
      </c>
      <c r="B4102" s="35">
        <v>1.58923502024869</v>
      </c>
    </row>
    <row r="4103" spans="1:2" ht="13.2" x14ac:dyDescent="0.25">
      <c r="A4103" s="34" t="s">
        <v>8103</v>
      </c>
      <c r="B4103" s="35">
        <v>1.58752117806199</v>
      </c>
    </row>
    <row r="4104" spans="1:2" ht="13.2" x14ac:dyDescent="0.25">
      <c r="A4104" s="34" t="s">
        <v>8102</v>
      </c>
      <c r="B4104" s="35">
        <v>1.7196399127027</v>
      </c>
    </row>
    <row r="4105" spans="1:2" ht="13.2" x14ac:dyDescent="0.25">
      <c r="A4105" s="34" t="s">
        <v>8101</v>
      </c>
      <c r="B4105" s="35">
        <v>1.6177588446792299</v>
      </c>
    </row>
    <row r="4106" spans="1:2" ht="13.2" x14ac:dyDescent="0.25">
      <c r="A4106" s="34" t="s">
        <v>8100</v>
      </c>
      <c r="B4106" s="35">
        <v>1.6227018866738201</v>
      </c>
    </row>
    <row r="4107" spans="1:2" ht="13.2" x14ac:dyDescent="0.25">
      <c r="A4107" s="34" t="s">
        <v>8099</v>
      </c>
    </row>
    <row r="4108" spans="1:2" ht="13.2" x14ac:dyDescent="0.25">
      <c r="A4108" s="34" t="s">
        <v>8098</v>
      </c>
    </row>
    <row r="4109" spans="1:2" ht="13.2" x14ac:dyDescent="0.25">
      <c r="A4109" s="34" t="s">
        <v>8097</v>
      </c>
      <c r="B4109" s="35">
        <v>1.6579990134092399</v>
      </c>
    </row>
    <row r="4110" spans="1:2" ht="13.2" x14ac:dyDescent="0.25">
      <c r="A4110" s="34" t="s">
        <v>8096</v>
      </c>
      <c r="B4110" s="35">
        <v>1.6209382871499201</v>
      </c>
    </row>
    <row r="4111" spans="1:2" ht="13.2" x14ac:dyDescent="0.25">
      <c r="A4111" s="34" t="s">
        <v>8095</v>
      </c>
      <c r="B4111" s="35">
        <v>1.5831100420717401</v>
      </c>
    </row>
    <row r="4112" spans="1:2" ht="13.2" x14ac:dyDescent="0.25">
      <c r="A4112" s="34" t="s">
        <v>8094</v>
      </c>
      <c r="B4112" s="35">
        <v>1.61424126522694</v>
      </c>
    </row>
    <row r="4113" spans="1:2" ht="13.2" x14ac:dyDescent="0.25">
      <c r="A4113" s="34" t="s">
        <v>8093</v>
      </c>
      <c r="B4113" s="35">
        <v>1.6137037828120799</v>
      </c>
    </row>
    <row r="4114" spans="1:2" ht="13.2" x14ac:dyDescent="0.25">
      <c r="A4114" s="34" t="s">
        <v>8092</v>
      </c>
    </row>
    <row r="4115" spans="1:2" ht="13.2" x14ac:dyDescent="0.25">
      <c r="A4115" s="34" t="s">
        <v>8091</v>
      </c>
    </row>
    <row r="4116" spans="1:2" ht="13.2" x14ac:dyDescent="0.25">
      <c r="A4116" s="34" t="s">
        <v>8090</v>
      </c>
      <c r="B4116" s="35">
        <v>1.6300063025476601</v>
      </c>
    </row>
    <row r="4117" spans="1:2" ht="13.2" x14ac:dyDescent="0.25">
      <c r="A4117" s="34" t="s">
        <v>8089</v>
      </c>
      <c r="B4117" s="35">
        <v>1.6297669774588499</v>
      </c>
    </row>
    <row r="4118" spans="1:2" ht="13.2" x14ac:dyDescent="0.25">
      <c r="A4118" s="34" t="s">
        <v>8088</v>
      </c>
      <c r="B4118" s="35">
        <v>1.65450452430317</v>
      </c>
    </row>
    <row r="4119" spans="1:2" ht="13.2" x14ac:dyDescent="0.25">
      <c r="A4119" s="34" t="s">
        <v>8087</v>
      </c>
      <c r="B4119" s="35">
        <v>1.6485346930190901</v>
      </c>
    </row>
    <row r="4120" spans="1:2" ht="13.2" x14ac:dyDescent="0.25">
      <c r="A4120" s="34" t="s">
        <v>8086</v>
      </c>
      <c r="B4120" s="35">
        <v>1.4087835512853599</v>
      </c>
    </row>
    <row r="4121" spans="1:2" ht="13.2" x14ac:dyDescent="0.25">
      <c r="A4121" s="34" t="s">
        <v>8085</v>
      </c>
    </row>
    <row r="4122" spans="1:2" ht="13.2" x14ac:dyDescent="0.25">
      <c r="A4122" s="34" t="s">
        <v>8084</v>
      </c>
    </row>
    <row r="4123" spans="1:2" ht="13.2" x14ac:dyDescent="0.25">
      <c r="A4123" s="34" t="s">
        <v>8083</v>
      </c>
      <c r="B4123" s="35">
        <v>1.3793569680159401</v>
      </c>
    </row>
    <row r="4124" spans="1:2" ht="13.2" x14ac:dyDescent="0.25">
      <c r="A4124" s="34" t="s">
        <v>8082</v>
      </c>
    </row>
    <row r="4125" spans="1:2" ht="13.2" x14ac:dyDescent="0.25">
      <c r="A4125" s="34" t="s">
        <v>8081</v>
      </c>
      <c r="B4125" s="35">
        <v>1.3005584933213701</v>
      </c>
    </row>
    <row r="4126" spans="1:2" ht="13.2" x14ac:dyDescent="0.25">
      <c r="A4126" s="34" t="s">
        <v>8080</v>
      </c>
      <c r="B4126" s="35">
        <v>1.2542983821870299</v>
      </c>
    </row>
    <row r="4127" spans="1:2" ht="13.2" x14ac:dyDescent="0.25">
      <c r="A4127" s="34" t="s">
        <v>8079</v>
      </c>
      <c r="B4127" s="35">
        <v>1.28594413491759</v>
      </c>
    </row>
    <row r="4128" spans="1:2" ht="13.2" x14ac:dyDescent="0.25">
      <c r="A4128" s="34" t="s">
        <v>8078</v>
      </c>
    </row>
    <row r="4129" spans="1:2" ht="13.2" x14ac:dyDescent="0.25">
      <c r="A4129" s="34" t="s">
        <v>8077</v>
      </c>
    </row>
    <row r="4130" spans="1:2" ht="13.2" x14ac:dyDescent="0.25">
      <c r="A4130" s="34" t="s">
        <v>8076</v>
      </c>
      <c r="B4130" s="35">
        <v>1.29811559150918</v>
      </c>
    </row>
    <row r="4131" spans="1:2" ht="13.2" x14ac:dyDescent="0.25">
      <c r="A4131" s="34" t="s">
        <v>8075</v>
      </c>
      <c r="B4131" s="35">
        <v>1.3685235097405799</v>
      </c>
    </row>
    <row r="4132" spans="1:2" ht="13.2" x14ac:dyDescent="0.25">
      <c r="A4132" s="34" t="s">
        <v>8074</v>
      </c>
      <c r="B4132" s="35">
        <v>1.32562306564482</v>
      </c>
    </row>
    <row r="4133" spans="1:2" ht="13.2" x14ac:dyDescent="0.25">
      <c r="A4133" s="34" t="s">
        <v>8073</v>
      </c>
      <c r="B4133" s="35">
        <v>1.3883073914056601</v>
      </c>
    </row>
    <row r="4134" spans="1:2" ht="13.2" x14ac:dyDescent="0.25">
      <c r="A4134" s="34" t="s">
        <v>8072</v>
      </c>
      <c r="B4134" s="35">
        <v>1.2161569687293401</v>
      </c>
    </row>
    <row r="4135" spans="1:2" ht="13.2" x14ac:dyDescent="0.25">
      <c r="A4135" s="34" t="s">
        <v>8071</v>
      </c>
    </row>
    <row r="4136" spans="1:2" ht="13.2" x14ac:dyDescent="0.25">
      <c r="A4136" s="34" t="s">
        <v>8070</v>
      </c>
    </row>
    <row r="4137" spans="1:2" ht="13.2" x14ac:dyDescent="0.25">
      <c r="A4137" s="34" t="s">
        <v>8069</v>
      </c>
      <c r="B4137" s="35">
        <v>1.2078014233154999</v>
      </c>
    </row>
    <row r="4138" spans="1:2" ht="13.2" x14ac:dyDescent="0.25">
      <c r="A4138" s="34" t="s">
        <v>8068</v>
      </c>
      <c r="B4138" s="35">
        <v>1.18154841644484</v>
      </c>
    </row>
    <row r="4139" spans="1:2" ht="13.2" x14ac:dyDescent="0.25">
      <c r="A4139" s="34" t="s">
        <v>8067</v>
      </c>
      <c r="B4139" s="35">
        <v>1.1855550885797801</v>
      </c>
    </row>
    <row r="4140" spans="1:2" ht="13.2" x14ac:dyDescent="0.25">
      <c r="A4140" s="34" t="s">
        <v>8066</v>
      </c>
      <c r="B4140" s="35">
        <v>1.2007888158729301</v>
      </c>
    </row>
    <row r="4141" spans="1:2" ht="13.2" x14ac:dyDescent="0.25">
      <c r="A4141" s="34" t="s">
        <v>8065</v>
      </c>
      <c r="B4141" s="35">
        <v>1.1870307128123501</v>
      </c>
    </row>
    <row r="4142" spans="1:2" ht="13.2" x14ac:dyDescent="0.25">
      <c r="A4142" s="34" t="s">
        <v>8064</v>
      </c>
    </row>
    <row r="4143" spans="1:2" ht="13.2" x14ac:dyDescent="0.25">
      <c r="A4143" s="34" t="s">
        <v>8063</v>
      </c>
    </row>
    <row r="4144" spans="1:2" ht="13.2" x14ac:dyDescent="0.25">
      <c r="A4144" s="34" t="s">
        <v>8062</v>
      </c>
      <c r="B4144" s="35">
        <v>1.09865029024968</v>
      </c>
    </row>
    <row r="4145" spans="1:2" ht="13.2" x14ac:dyDescent="0.25">
      <c r="A4145" s="34" t="s">
        <v>8061</v>
      </c>
      <c r="B4145" s="35">
        <v>1.1576141312089001</v>
      </c>
    </row>
    <row r="4146" spans="1:2" ht="13.2" x14ac:dyDescent="0.25">
      <c r="A4146" s="34" t="s">
        <v>8060</v>
      </c>
      <c r="B4146" s="35">
        <v>1.1322779814460899</v>
      </c>
    </row>
    <row r="4147" spans="1:2" ht="13.2" x14ac:dyDescent="0.25">
      <c r="A4147" s="34" t="s">
        <v>8059</v>
      </c>
      <c r="B4147" s="35">
        <v>1.1293917748842299</v>
      </c>
    </row>
    <row r="4148" spans="1:2" ht="13.2" x14ac:dyDescent="0.25">
      <c r="A4148" s="34" t="s">
        <v>8058</v>
      </c>
      <c r="B4148" s="35">
        <v>1.1778678809507299</v>
      </c>
    </row>
    <row r="4149" spans="1:2" ht="13.2" x14ac:dyDescent="0.25">
      <c r="A4149" s="34" t="s">
        <v>8057</v>
      </c>
    </row>
    <row r="4150" spans="1:2" ht="13.2" x14ac:dyDescent="0.25">
      <c r="A4150" s="34" t="s">
        <v>8056</v>
      </c>
    </row>
    <row r="4151" spans="1:2" ht="13.2" x14ac:dyDescent="0.25">
      <c r="A4151" s="34" t="s">
        <v>8055</v>
      </c>
      <c r="B4151" s="35">
        <v>1.2069523161379601</v>
      </c>
    </row>
    <row r="4152" spans="1:2" ht="13.2" x14ac:dyDescent="0.25">
      <c r="A4152" s="34" t="s">
        <v>8054</v>
      </c>
      <c r="B4152" s="35">
        <v>1.1568745057165399</v>
      </c>
    </row>
    <row r="4153" spans="1:2" ht="13.2" x14ac:dyDescent="0.25">
      <c r="A4153" s="34" t="s">
        <v>8053</v>
      </c>
      <c r="B4153" s="35">
        <v>1.1816324300384899</v>
      </c>
    </row>
    <row r="4154" spans="1:2" ht="13.2" x14ac:dyDescent="0.25">
      <c r="A4154" s="34" t="s">
        <v>8052</v>
      </c>
      <c r="B4154" s="35">
        <v>1.18098913069199</v>
      </c>
    </row>
    <row r="4155" spans="1:2" ht="13.2" x14ac:dyDescent="0.25">
      <c r="A4155" s="34" t="s">
        <v>8051</v>
      </c>
      <c r="B4155" s="35">
        <v>1.16124095742421</v>
      </c>
    </row>
    <row r="4156" spans="1:2" ht="13.2" x14ac:dyDescent="0.25">
      <c r="A4156" s="34" t="s">
        <v>8050</v>
      </c>
    </row>
    <row r="4157" spans="1:2" ht="13.2" x14ac:dyDescent="0.25">
      <c r="A4157" s="34" t="s">
        <v>8049</v>
      </c>
    </row>
    <row r="4158" spans="1:2" ht="13.2" x14ac:dyDescent="0.25">
      <c r="A4158" s="34" t="s">
        <v>8048</v>
      </c>
      <c r="B4158" s="35">
        <v>1.0898083625115</v>
      </c>
    </row>
    <row r="4159" spans="1:2" ht="13.2" x14ac:dyDescent="0.25">
      <c r="A4159" s="34" t="s">
        <v>8047</v>
      </c>
    </row>
    <row r="4160" spans="1:2" ht="13.2" x14ac:dyDescent="0.25">
      <c r="A4160" s="34" t="s">
        <v>8046</v>
      </c>
      <c r="B4160" s="35">
        <v>1.2780189536300099</v>
      </c>
    </row>
    <row r="4161" spans="1:2" ht="13.2" x14ac:dyDescent="0.25">
      <c r="A4161" s="34" t="s">
        <v>8045</v>
      </c>
      <c r="B4161" s="35">
        <v>1.24950509290554</v>
      </c>
    </row>
    <row r="4162" spans="1:2" ht="13.2" x14ac:dyDescent="0.25">
      <c r="A4162" s="34" t="s">
        <v>8044</v>
      </c>
      <c r="B4162" s="35">
        <v>1.2991382043375299</v>
      </c>
    </row>
    <row r="4163" spans="1:2" ht="13.2" x14ac:dyDescent="0.25">
      <c r="A4163" s="34" t="s">
        <v>8043</v>
      </c>
    </row>
    <row r="4164" spans="1:2" ht="13.2" x14ac:dyDescent="0.25">
      <c r="A4164" s="34" t="s">
        <v>8042</v>
      </c>
    </row>
    <row r="4165" spans="1:2" ht="13.2" x14ac:dyDescent="0.25">
      <c r="A4165" s="34" t="s">
        <v>8041</v>
      </c>
      <c r="B4165" s="35">
        <v>1.20320024540379</v>
      </c>
    </row>
    <row r="4166" spans="1:2" ht="13.2" x14ac:dyDescent="0.25">
      <c r="A4166" s="34" t="s">
        <v>8040</v>
      </c>
      <c r="B4166" s="35">
        <v>1.2931042969508</v>
      </c>
    </row>
    <row r="4167" spans="1:2" ht="13.2" x14ac:dyDescent="0.25">
      <c r="A4167" s="34" t="s">
        <v>8039</v>
      </c>
      <c r="B4167" s="35">
        <v>1.2930842045013899</v>
      </c>
    </row>
    <row r="4168" spans="1:2" ht="13.2" x14ac:dyDescent="0.25">
      <c r="A4168" s="34" t="s">
        <v>8038</v>
      </c>
      <c r="B4168" s="35">
        <v>1.3061106942735401</v>
      </c>
    </row>
    <row r="4169" spans="1:2" ht="13.2" x14ac:dyDescent="0.25">
      <c r="A4169" s="34" t="s">
        <v>8037</v>
      </c>
      <c r="B4169" s="35">
        <v>1.29803848147426</v>
      </c>
    </row>
    <row r="4170" spans="1:2" ht="13.2" x14ac:dyDescent="0.25">
      <c r="A4170" s="34" t="s">
        <v>8036</v>
      </c>
    </row>
    <row r="4171" spans="1:2" ht="13.2" x14ac:dyDescent="0.25">
      <c r="A4171" s="34" t="s">
        <v>8035</v>
      </c>
    </row>
    <row r="4172" spans="1:2" ht="13.2" x14ac:dyDescent="0.25">
      <c r="A4172" s="34" t="s">
        <v>8034</v>
      </c>
      <c r="B4172" s="35">
        <v>1.288449589554</v>
      </c>
    </row>
    <row r="4173" spans="1:2" ht="13.2" x14ac:dyDescent="0.25">
      <c r="A4173" s="34" t="s">
        <v>8033</v>
      </c>
      <c r="B4173" s="35">
        <v>1.3124778082628099</v>
      </c>
    </row>
    <row r="4174" spans="1:2" ht="13.2" x14ac:dyDescent="0.25">
      <c r="A4174" s="34" t="s">
        <v>8032</v>
      </c>
      <c r="B4174" s="35">
        <v>1.3408723837948799</v>
      </c>
    </row>
    <row r="4175" spans="1:2" ht="13.2" x14ac:dyDescent="0.25">
      <c r="A4175" s="34" t="s">
        <v>8031</v>
      </c>
      <c r="B4175" s="35">
        <v>1.3059599140859599</v>
      </c>
    </row>
    <row r="4176" spans="1:2" ht="13.2" x14ac:dyDescent="0.25">
      <c r="A4176" s="34" t="s">
        <v>8030</v>
      </c>
      <c r="B4176" s="35">
        <v>1.3123817378111</v>
      </c>
    </row>
    <row r="4177" spans="1:2" ht="13.2" x14ac:dyDescent="0.25">
      <c r="A4177" s="34" t="s">
        <v>8029</v>
      </c>
    </row>
    <row r="4178" spans="1:2" ht="13.2" x14ac:dyDescent="0.25">
      <c r="A4178" s="34" t="s">
        <v>8028</v>
      </c>
    </row>
    <row r="4179" spans="1:2" ht="13.2" x14ac:dyDescent="0.25">
      <c r="A4179" s="34" t="s">
        <v>8027</v>
      </c>
      <c r="B4179" s="35">
        <v>1.3295278432531199</v>
      </c>
    </row>
    <row r="4180" spans="1:2" ht="13.2" x14ac:dyDescent="0.25">
      <c r="A4180" s="34" t="s">
        <v>8026</v>
      </c>
    </row>
    <row r="4181" spans="1:2" ht="13.2" x14ac:dyDescent="0.25">
      <c r="A4181" s="34" t="s">
        <v>8025</v>
      </c>
      <c r="B4181" s="35">
        <v>1.2833797352357099</v>
      </c>
    </row>
    <row r="4182" spans="1:2" ht="13.2" x14ac:dyDescent="0.25">
      <c r="A4182" s="34" t="s">
        <v>8024</v>
      </c>
      <c r="B4182" s="35">
        <v>1.2515270373496501</v>
      </c>
    </row>
    <row r="4183" spans="1:2" ht="13.2" x14ac:dyDescent="0.25">
      <c r="A4183" s="34" t="s">
        <v>8023</v>
      </c>
      <c r="B4183" s="35">
        <v>1.28451644191904</v>
      </c>
    </row>
    <row r="4184" spans="1:2" ht="13.2" x14ac:dyDescent="0.25">
      <c r="A4184" s="34" t="s">
        <v>8022</v>
      </c>
    </row>
    <row r="4185" spans="1:2" ht="13.2" x14ac:dyDescent="0.25">
      <c r="A4185" s="34" t="s">
        <v>8021</v>
      </c>
    </row>
    <row r="4186" spans="1:2" ht="13.2" x14ac:dyDescent="0.25">
      <c r="A4186" s="34" t="s">
        <v>8020</v>
      </c>
      <c r="B4186" s="35">
        <v>1.30858497562878</v>
      </c>
    </row>
    <row r="4187" spans="1:2" ht="13.2" x14ac:dyDescent="0.25">
      <c r="A4187" s="34" t="s">
        <v>8019</v>
      </c>
      <c r="B4187" s="35">
        <v>1.3046447282848099</v>
      </c>
    </row>
    <row r="4188" spans="1:2" ht="13.2" x14ac:dyDescent="0.25">
      <c r="A4188" s="34" t="s">
        <v>8018</v>
      </c>
      <c r="B4188" s="35">
        <v>1.3234356336795201</v>
      </c>
    </row>
    <row r="4189" spans="1:2" ht="13.2" x14ac:dyDescent="0.25">
      <c r="A4189" s="34" t="s">
        <v>8017</v>
      </c>
      <c r="B4189" s="35">
        <v>1.32526314075247</v>
      </c>
    </row>
    <row r="4190" spans="1:2" ht="13.2" x14ac:dyDescent="0.25">
      <c r="A4190" s="34" t="s">
        <v>8016</v>
      </c>
      <c r="B4190" s="35">
        <v>1.25614638000037</v>
      </c>
    </row>
    <row r="4191" spans="1:2" ht="13.2" x14ac:dyDescent="0.25">
      <c r="A4191" s="34" t="s">
        <v>8015</v>
      </c>
    </row>
    <row r="4192" spans="1:2" ht="13.2" x14ac:dyDescent="0.25">
      <c r="A4192" s="34" t="s">
        <v>8014</v>
      </c>
    </row>
    <row r="4193" spans="1:2" ht="13.2" x14ac:dyDescent="0.25">
      <c r="A4193" s="34" t="s">
        <v>8013</v>
      </c>
    </row>
    <row r="4194" spans="1:2" ht="13.2" x14ac:dyDescent="0.25">
      <c r="A4194" s="34" t="s">
        <v>8012</v>
      </c>
      <c r="B4194" s="35">
        <v>1.2375132331029499</v>
      </c>
    </row>
    <row r="4195" spans="1:2" ht="13.2" x14ac:dyDescent="0.25">
      <c r="A4195" s="34" t="s">
        <v>8011</v>
      </c>
      <c r="B4195" s="35">
        <v>1.23089679925388</v>
      </c>
    </row>
    <row r="4196" spans="1:2" ht="13.2" x14ac:dyDescent="0.25">
      <c r="A4196" s="34" t="s">
        <v>8010</v>
      </c>
      <c r="B4196" s="35">
        <v>1.2323083124201699</v>
      </c>
    </row>
    <row r="4197" spans="1:2" ht="13.2" x14ac:dyDescent="0.25">
      <c r="A4197" s="34" t="s">
        <v>8009</v>
      </c>
      <c r="B4197" s="35">
        <v>1.11568338559682</v>
      </c>
    </row>
    <row r="4198" spans="1:2" ht="13.2" x14ac:dyDescent="0.25">
      <c r="A4198" s="34" t="s">
        <v>8008</v>
      </c>
    </row>
    <row r="4199" spans="1:2" ht="13.2" x14ac:dyDescent="0.25">
      <c r="A4199" s="34" t="s">
        <v>8007</v>
      </c>
    </row>
    <row r="4200" spans="1:2" ht="13.2" x14ac:dyDescent="0.25">
      <c r="A4200" s="34" t="s">
        <v>8006</v>
      </c>
      <c r="B4200" s="35">
        <v>1.1572630132624</v>
      </c>
    </row>
    <row r="4201" spans="1:2" ht="13.2" x14ac:dyDescent="0.25">
      <c r="A4201" s="34" t="s">
        <v>8005</v>
      </c>
      <c r="B4201" s="35">
        <v>1.16246383755176</v>
      </c>
    </row>
    <row r="4202" spans="1:2" ht="13.2" x14ac:dyDescent="0.25">
      <c r="A4202" s="34" t="s">
        <v>8004</v>
      </c>
      <c r="B4202" s="35">
        <v>1.09858966865709</v>
      </c>
    </row>
    <row r="4203" spans="1:2" ht="13.2" x14ac:dyDescent="0.25">
      <c r="A4203" s="34" t="s">
        <v>8003</v>
      </c>
      <c r="B4203" s="35">
        <v>1.1371003019728601</v>
      </c>
    </row>
    <row r="4204" spans="1:2" ht="13.2" x14ac:dyDescent="0.25">
      <c r="A4204" s="34" t="s">
        <v>8002</v>
      </c>
      <c r="B4204" s="35">
        <v>1.1281826412559299</v>
      </c>
    </row>
    <row r="4205" spans="1:2" ht="13.2" x14ac:dyDescent="0.25">
      <c r="A4205" s="34" t="s">
        <v>8001</v>
      </c>
    </row>
    <row r="4206" spans="1:2" ht="13.2" x14ac:dyDescent="0.25">
      <c r="A4206" s="34" t="s">
        <v>8000</v>
      </c>
    </row>
    <row r="4207" spans="1:2" ht="13.2" x14ac:dyDescent="0.25">
      <c r="A4207" s="34" t="s">
        <v>7999</v>
      </c>
      <c r="B4207" s="35">
        <v>1.1253982979244299</v>
      </c>
    </row>
    <row r="4208" spans="1:2" ht="13.2" x14ac:dyDescent="0.25">
      <c r="A4208" s="34" t="s">
        <v>7998</v>
      </c>
      <c r="B4208" s="35">
        <v>1.0902176399637999</v>
      </c>
    </row>
    <row r="4209" spans="1:2" ht="13.2" x14ac:dyDescent="0.25">
      <c r="A4209" s="34" t="s">
        <v>7997</v>
      </c>
      <c r="B4209" s="35">
        <v>1.08998291460826</v>
      </c>
    </row>
    <row r="4210" spans="1:2" ht="13.2" x14ac:dyDescent="0.25">
      <c r="A4210" s="34" t="s">
        <v>7996</v>
      </c>
      <c r="B4210" s="35">
        <v>1.08984054889343</v>
      </c>
    </row>
    <row r="4211" spans="1:2" ht="13.2" x14ac:dyDescent="0.25">
      <c r="A4211" s="34" t="s">
        <v>7995</v>
      </c>
      <c r="B4211" s="35">
        <v>1.0626769738725499</v>
      </c>
    </row>
    <row r="4212" spans="1:2" ht="13.2" x14ac:dyDescent="0.25">
      <c r="A4212" s="34" t="s">
        <v>7994</v>
      </c>
    </row>
    <row r="4213" spans="1:2" ht="13.2" x14ac:dyDescent="0.25">
      <c r="A4213" s="34" t="s">
        <v>7993</v>
      </c>
    </row>
    <row r="4214" spans="1:2" ht="13.2" x14ac:dyDescent="0.25">
      <c r="A4214" s="34" t="s">
        <v>7992</v>
      </c>
      <c r="B4214" s="35">
        <v>1.0568472494332299</v>
      </c>
    </row>
    <row r="4215" spans="1:2" ht="13.2" x14ac:dyDescent="0.25">
      <c r="A4215" s="34" t="s">
        <v>7991</v>
      </c>
      <c r="B4215" s="35">
        <v>1.17209449801211</v>
      </c>
    </row>
    <row r="4216" spans="1:2" ht="13.2" x14ac:dyDescent="0.25">
      <c r="A4216" s="34" t="s">
        <v>7990</v>
      </c>
      <c r="B4216" s="35">
        <v>1.1102307964674101</v>
      </c>
    </row>
    <row r="4217" spans="1:2" ht="13.2" x14ac:dyDescent="0.25">
      <c r="A4217" s="34" t="s">
        <v>7989</v>
      </c>
      <c r="B4217" s="35">
        <v>1.2029091151598801</v>
      </c>
    </row>
    <row r="4218" spans="1:2" ht="13.2" x14ac:dyDescent="0.25">
      <c r="A4218" s="34" t="s">
        <v>7988</v>
      </c>
      <c r="B4218" s="35">
        <v>1.2299642332037799</v>
      </c>
    </row>
    <row r="4219" spans="1:2" ht="13.2" x14ac:dyDescent="0.25">
      <c r="A4219" s="34" t="s">
        <v>7987</v>
      </c>
    </row>
    <row r="4220" spans="1:2" ht="13.2" x14ac:dyDescent="0.25">
      <c r="A4220" s="34" t="s">
        <v>7986</v>
      </c>
    </row>
    <row r="4221" spans="1:2" ht="13.2" x14ac:dyDescent="0.25">
      <c r="A4221" s="34" t="s">
        <v>7985</v>
      </c>
      <c r="B4221" s="35">
        <v>1.24462259421249</v>
      </c>
    </row>
    <row r="4222" spans="1:2" ht="13.2" x14ac:dyDescent="0.25">
      <c r="A4222" s="34" t="s">
        <v>7984</v>
      </c>
      <c r="B4222" s="35">
        <v>1.19584109626596</v>
      </c>
    </row>
    <row r="4223" spans="1:2" ht="13.2" x14ac:dyDescent="0.25">
      <c r="A4223" s="34" t="s">
        <v>7983</v>
      </c>
      <c r="B4223" s="35">
        <v>1.15442441438665</v>
      </c>
    </row>
    <row r="4224" spans="1:2" ht="13.2" x14ac:dyDescent="0.25">
      <c r="A4224" s="34" t="s">
        <v>7982</v>
      </c>
      <c r="B4224" s="35">
        <v>1.1252907497301501</v>
      </c>
    </row>
    <row r="4225" spans="1:2" ht="13.2" x14ac:dyDescent="0.25">
      <c r="A4225" s="34" t="s">
        <v>7981</v>
      </c>
      <c r="B4225" s="35">
        <v>1.14229693149858</v>
      </c>
    </row>
    <row r="4226" spans="1:2" ht="13.2" x14ac:dyDescent="0.25">
      <c r="A4226" s="34" t="s">
        <v>7980</v>
      </c>
    </row>
    <row r="4227" spans="1:2" ht="13.2" x14ac:dyDescent="0.25">
      <c r="A4227" s="34" t="s">
        <v>7979</v>
      </c>
    </row>
    <row r="4228" spans="1:2" ht="13.2" x14ac:dyDescent="0.25">
      <c r="A4228" s="34" t="s">
        <v>7978</v>
      </c>
      <c r="B4228" s="35">
        <v>1.1430920763672301</v>
      </c>
    </row>
    <row r="4229" spans="1:2" ht="13.2" x14ac:dyDescent="0.25">
      <c r="A4229" s="34" t="s">
        <v>7977</v>
      </c>
      <c r="B4229" s="35">
        <v>1.12526140703696</v>
      </c>
    </row>
    <row r="4230" spans="1:2" ht="13.2" x14ac:dyDescent="0.25">
      <c r="A4230" s="34" t="s">
        <v>7976</v>
      </c>
      <c r="B4230" s="35">
        <v>1.13300513352833</v>
      </c>
    </row>
    <row r="4231" spans="1:2" ht="13.2" x14ac:dyDescent="0.25">
      <c r="A4231" s="34" t="s">
        <v>7975</v>
      </c>
      <c r="B4231" s="35">
        <v>1.13478606302194</v>
      </c>
    </row>
    <row r="4232" spans="1:2" ht="13.2" x14ac:dyDescent="0.25">
      <c r="A4232" s="34" t="s">
        <v>7974</v>
      </c>
      <c r="B4232" s="35">
        <v>1.0632673681343801</v>
      </c>
    </row>
    <row r="4233" spans="1:2" ht="13.2" x14ac:dyDescent="0.25">
      <c r="A4233" s="34" t="s">
        <v>7973</v>
      </c>
    </row>
    <row r="4234" spans="1:2" ht="13.2" x14ac:dyDescent="0.25">
      <c r="A4234" s="34" t="s">
        <v>7972</v>
      </c>
    </row>
    <row r="4235" spans="1:2" ht="13.2" x14ac:dyDescent="0.25">
      <c r="A4235" s="34" t="s">
        <v>7971</v>
      </c>
      <c r="B4235" s="35">
        <v>1.06054962335397</v>
      </c>
    </row>
    <row r="4236" spans="1:2" ht="13.2" x14ac:dyDescent="0.25">
      <c r="A4236" s="34" t="s">
        <v>7970</v>
      </c>
      <c r="B4236" s="35">
        <v>1.05175819349995</v>
      </c>
    </row>
    <row r="4237" spans="1:2" ht="13.2" x14ac:dyDescent="0.25">
      <c r="A4237" s="34" t="s">
        <v>7969</v>
      </c>
      <c r="B4237" s="35">
        <v>1.03329927817404</v>
      </c>
    </row>
    <row r="4238" spans="1:2" ht="13.2" x14ac:dyDescent="0.25">
      <c r="A4238" s="34" t="s">
        <v>7968</v>
      </c>
      <c r="B4238" s="35">
        <v>1.0319682011265401</v>
      </c>
    </row>
    <row r="4239" spans="1:2" ht="13.2" x14ac:dyDescent="0.25">
      <c r="A4239" s="34" t="s">
        <v>7967</v>
      </c>
    </row>
    <row r="4240" spans="1:2" ht="13.2" x14ac:dyDescent="0.25">
      <c r="A4240" s="34" t="s">
        <v>7966</v>
      </c>
    </row>
    <row r="4241" spans="1:2" ht="13.2" x14ac:dyDescent="0.25">
      <c r="A4241" s="34" t="s">
        <v>7965</v>
      </c>
    </row>
    <row r="4242" spans="1:2" ht="13.2" x14ac:dyDescent="0.25">
      <c r="A4242" s="34" t="s">
        <v>7964</v>
      </c>
      <c r="B4242" s="35">
        <v>1.1198038640849901</v>
      </c>
    </row>
    <row r="4243" spans="1:2" ht="13.2" x14ac:dyDescent="0.25">
      <c r="A4243" s="34" t="s">
        <v>7963</v>
      </c>
      <c r="B4243" s="35">
        <v>1.3383099585020799</v>
      </c>
    </row>
    <row r="4244" spans="1:2" ht="13.2" x14ac:dyDescent="0.25">
      <c r="A4244" s="34" t="s">
        <v>7962</v>
      </c>
      <c r="B4244" s="35">
        <v>1.3308680641177399</v>
      </c>
    </row>
    <row r="4245" spans="1:2" ht="13.2" x14ac:dyDescent="0.25">
      <c r="A4245" s="34" t="s">
        <v>7961</v>
      </c>
      <c r="B4245" s="35">
        <v>1.2463721861517301</v>
      </c>
    </row>
    <row r="4246" spans="1:2" ht="13.2" x14ac:dyDescent="0.25">
      <c r="A4246" s="34" t="s">
        <v>7960</v>
      </c>
      <c r="B4246" s="35">
        <v>1.29848589187104</v>
      </c>
    </row>
    <row r="4247" spans="1:2" ht="13.2" x14ac:dyDescent="0.25">
      <c r="A4247" s="34" t="s">
        <v>7959</v>
      </c>
    </row>
    <row r="4248" spans="1:2" ht="13.2" x14ac:dyDescent="0.25">
      <c r="A4248" s="34" t="s">
        <v>7958</v>
      </c>
    </row>
    <row r="4249" spans="1:2" ht="13.2" x14ac:dyDescent="0.25">
      <c r="A4249" s="34" t="s">
        <v>7957</v>
      </c>
      <c r="B4249" s="35">
        <v>1.3032392016782799</v>
      </c>
    </row>
    <row r="4250" spans="1:2" ht="13.2" x14ac:dyDescent="0.25">
      <c r="A4250" s="34" t="s">
        <v>7956</v>
      </c>
      <c r="B4250" s="35">
        <v>1.24815824483469</v>
      </c>
    </row>
    <row r="4251" spans="1:2" ht="13.2" x14ac:dyDescent="0.25">
      <c r="A4251" s="34" t="s">
        <v>7955</v>
      </c>
      <c r="B4251" s="35">
        <v>1.2244411322857001</v>
      </c>
    </row>
    <row r="4252" spans="1:2" ht="13.2" x14ac:dyDescent="0.25">
      <c r="A4252" s="34" t="s">
        <v>7954</v>
      </c>
      <c r="B4252" s="35">
        <v>1.21692060100972</v>
      </c>
    </row>
    <row r="4253" spans="1:2" ht="13.2" x14ac:dyDescent="0.25">
      <c r="A4253" s="34" t="s">
        <v>7953</v>
      </c>
      <c r="B4253" s="35">
        <v>1.2237912062527501</v>
      </c>
    </row>
    <row r="4254" spans="1:2" ht="13.2" x14ac:dyDescent="0.25">
      <c r="A4254" s="34" t="s">
        <v>7952</v>
      </c>
    </row>
    <row r="4255" spans="1:2" ht="13.2" x14ac:dyDescent="0.25">
      <c r="A4255" s="34" t="s">
        <v>7951</v>
      </c>
    </row>
    <row r="4256" spans="1:2" ht="13.2" x14ac:dyDescent="0.25">
      <c r="A4256" s="34" t="s">
        <v>7950</v>
      </c>
      <c r="B4256" s="35">
        <v>1.23940056994543</v>
      </c>
    </row>
    <row r="4257" spans="1:2" ht="13.2" x14ac:dyDescent="0.25">
      <c r="A4257" s="34" t="s">
        <v>7949</v>
      </c>
      <c r="B4257" s="35">
        <v>1.27969848680263</v>
      </c>
    </row>
    <row r="4258" spans="1:2" ht="13.2" x14ac:dyDescent="0.25">
      <c r="A4258" s="34" t="s">
        <v>7948</v>
      </c>
      <c r="B4258" s="35">
        <v>1.2992152392015399</v>
      </c>
    </row>
    <row r="4259" spans="1:2" ht="13.2" x14ac:dyDescent="0.25">
      <c r="A4259" s="34" t="s">
        <v>7947</v>
      </c>
      <c r="B4259" s="35">
        <v>1.35430697149997</v>
      </c>
    </row>
    <row r="4260" spans="1:2" ht="13.2" x14ac:dyDescent="0.25">
      <c r="A4260" s="34" t="s">
        <v>7946</v>
      </c>
      <c r="B4260" s="35">
        <v>1.3831328236085501</v>
      </c>
    </row>
    <row r="4261" spans="1:2" ht="13.2" x14ac:dyDescent="0.25">
      <c r="A4261" s="34" t="s">
        <v>7945</v>
      </c>
    </row>
    <row r="4262" spans="1:2" ht="13.2" x14ac:dyDescent="0.25">
      <c r="A4262" s="34" t="s">
        <v>7944</v>
      </c>
    </row>
    <row r="4263" spans="1:2" ht="13.2" x14ac:dyDescent="0.25">
      <c r="A4263" s="34" t="s">
        <v>7943</v>
      </c>
      <c r="B4263" s="35">
        <v>1.4331664850988699</v>
      </c>
    </row>
    <row r="4264" spans="1:2" ht="13.2" x14ac:dyDescent="0.25">
      <c r="A4264" s="34" t="s">
        <v>7942</v>
      </c>
    </row>
    <row r="4265" spans="1:2" ht="13.2" x14ac:dyDescent="0.25">
      <c r="A4265" s="34" t="s">
        <v>7941</v>
      </c>
      <c r="B4265" s="35">
        <v>1.47849482227005</v>
      </c>
    </row>
    <row r="4266" spans="1:2" ht="13.2" x14ac:dyDescent="0.25">
      <c r="A4266" s="34" t="s">
        <v>7940</v>
      </c>
      <c r="B4266" s="35">
        <v>1.5246930270221399</v>
      </c>
    </row>
    <row r="4267" spans="1:2" ht="13.2" x14ac:dyDescent="0.25">
      <c r="A4267" s="34" t="s">
        <v>7939</v>
      </c>
      <c r="B4267" s="35">
        <v>1.5057946470102099</v>
      </c>
    </row>
    <row r="4268" spans="1:2" ht="13.2" x14ac:dyDescent="0.25">
      <c r="A4268" s="34" t="s">
        <v>7938</v>
      </c>
    </row>
    <row r="4269" spans="1:2" ht="13.2" x14ac:dyDescent="0.25">
      <c r="A4269" s="34" t="s">
        <v>7937</v>
      </c>
    </row>
    <row r="4270" spans="1:2" ht="13.2" x14ac:dyDescent="0.25">
      <c r="A4270" s="34" t="s">
        <v>7936</v>
      </c>
      <c r="B4270" s="35">
        <v>1.5635931190838299</v>
      </c>
    </row>
    <row r="4271" spans="1:2" ht="13.2" x14ac:dyDescent="0.25">
      <c r="A4271" s="34" t="s">
        <v>7935</v>
      </c>
      <c r="B4271" s="35">
        <v>1.5631361193247</v>
      </c>
    </row>
    <row r="4272" spans="1:2" ht="13.2" x14ac:dyDescent="0.25">
      <c r="A4272" s="34" t="s">
        <v>7934</v>
      </c>
      <c r="B4272" s="35">
        <v>1.60073093903298</v>
      </c>
    </row>
    <row r="4273" spans="1:2" ht="13.2" x14ac:dyDescent="0.25">
      <c r="A4273" s="34" t="s">
        <v>7933</v>
      </c>
      <c r="B4273" s="35">
        <v>1.4390407821298401</v>
      </c>
    </row>
    <row r="4274" spans="1:2" ht="13.2" x14ac:dyDescent="0.25">
      <c r="A4274" s="34" t="s">
        <v>7932</v>
      </c>
      <c r="B4274" s="35">
        <v>1.6079577367069</v>
      </c>
    </row>
    <row r="4275" spans="1:2" ht="13.2" x14ac:dyDescent="0.25">
      <c r="A4275" s="34" t="s">
        <v>7931</v>
      </c>
    </row>
    <row r="4276" spans="1:2" ht="13.2" x14ac:dyDescent="0.25">
      <c r="A4276" s="34" t="s">
        <v>7930</v>
      </c>
    </row>
    <row r="4277" spans="1:2" ht="13.2" x14ac:dyDescent="0.25">
      <c r="A4277" s="34" t="s">
        <v>7929</v>
      </c>
    </row>
    <row r="4278" spans="1:2" ht="13.2" x14ac:dyDescent="0.25">
      <c r="A4278" s="34" t="s">
        <v>7928</v>
      </c>
    </row>
    <row r="4279" spans="1:2" ht="13.2" x14ac:dyDescent="0.25">
      <c r="A4279" s="34" t="s">
        <v>7927</v>
      </c>
      <c r="B4279" s="35">
        <v>1.6271743681842601</v>
      </c>
    </row>
    <row r="4280" spans="1:2" ht="13.2" x14ac:dyDescent="0.25">
      <c r="A4280" s="34" t="s">
        <v>7926</v>
      </c>
      <c r="B4280" s="35">
        <v>1.60459532902962</v>
      </c>
    </row>
    <row r="4281" spans="1:2" ht="13.2" x14ac:dyDescent="0.25">
      <c r="A4281" s="34" t="s">
        <v>7925</v>
      </c>
      <c r="B4281" s="35">
        <v>1.5304480039958499</v>
      </c>
    </row>
    <row r="4282" spans="1:2" ht="13.2" x14ac:dyDescent="0.25">
      <c r="A4282" s="34" t="s">
        <v>7924</v>
      </c>
    </row>
    <row r="4283" spans="1:2" ht="13.2" x14ac:dyDescent="0.25">
      <c r="A4283" s="34" t="s">
        <v>7923</v>
      </c>
    </row>
    <row r="4284" spans="1:2" ht="13.2" x14ac:dyDescent="0.25">
      <c r="A4284" s="34" t="s">
        <v>7922</v>
      </c>
      <c r="B4284" s="35">
        <v>1.54486310604687</v>
      </c>
    </row>
    <row r="4285" spans="1:2" ht="13.2" x14ac:dyDescent="0.25">
      <c r="A4285" s="34" t="s">
        <v>7921</v>
      </c>
      <c r="B4285" s="35">
        <v>1.5445459225298499</v>
      </c>
    </row>
    <row r="4286" spans="1:2" ht="13.2" x14ac:dyDescent="0.25">
      <c r="A4286" s="34" t="s">
        <v>7920</v>
      </c>
      <c r="B4286" s="35">
        <v>1.5557268366756301</v>
      </c>
    </row>
    <row r="4287" spans="1:2" ht="13.2" x14ac:dyDescent="0.25">
      <c r="A4287" s="34" t="s">
        <v>7919</v>
      </c>
      <c r="B4287" s="35">
        <v>1.63820953970641</v>
      </c>
    </row>
    <row r="4288" spans="1:2" ht="13.2" x14ac:dyDescent="0.25">
      <c r="A4288" s="34" t="s">
        <v>7918</v>
      </c>
      <c r="B4288" s="35">
        <v>1.6147960849448999</v>
      </c>
    </row>
    <row r="4289" spans="1:2" ht="13.2" x14ac:dyDescent="0.25">
      <c r="A4289" s="34" t="s">
        <v>7917</v>
      </c>
    </row>
    <row r="4290" spans="1:2" ht="13.2" x14ac:dyDescent="0.25">
      <c r="A4290" s="34" t="s">
        <v>7916</v>
      </c>
    </row>
    <row r="4291" spans="1:2" ht="13.2" x14ac:dyDescent="0.25">
      <c r="A4291" s="34" t="s">
        <v>7915</v>
      </c>
      <c r="B4291" s="35">
        <v>1.5367901728348901</v>
      </c>
    </row>
    <row r="4292" spans="1:2" ht="13.2" x14ac:dyDescent="0.25">
      <c r="A4292" s="34" t="s">
        <v>7914</v>
      </c>
      <c r="B4292" s="35">
        <v>1.54911251499997</v>
      </c>
    </row>
    <row r="4293" spans="1:2" ht="13.2" x14ac:dyDescent="0.25">
      <c r="A4293" s="34" t="s">
        <v>7913</v>
      </c>
      <c r="B4293" s="35">
        <v>1.38190959326454</v>
      </c>
    </row>
    <row r="4294" spans="1:2" ht="13.2" x14ac:dyDescent="0.25">
      <c r="A4294" s="34" t="s">
        <v>7912</v>
      </c>
      <c r="B4294" s="35">
        <v>1.60956235542978</v>
      </c>
    </row>
    <row r="4295" spans="1:2" ht="13.2" x14ac:dyDescent="0.25">
      <c r="A4295" s="34" t="s">
        <v>7911</v>
      </c>
      <c r="B4295" s="35">
        <v>1.61123363082302</v>
      </c>
    </row>
    <row r="4296" spans="1:2" ht="13.2" x14ac:dyDescent="0.25">
      <c r="A4296" s="34" t="s">
        <v>7910</v>
      </c>
    </row>
    <row r="4297" spans="1:2" ht="13.2" x14ac:dyDescent="0.25">
      <c r="A4297" s="34" t="s">
        <v>7909</v>
      </c>
    </row>
    <row r="4298" spans="1:2" ht="13.2" x14ac:dyDescent="0.25">
      <c r="A4298" s="34" t="s">
        <v>7908</v>
      </c>
      <c r="B4298" s="35">
        <v>1.6501340772270301</v>
      </c>
    </row>
    <row r="4299" spans="1:2" ht="13.2" x14ac:dyDescent="0.25">
      <c r="A4299" s="34" t="s">
        <v>7907</v>
      </c>
      <c r="B4299" s="35">
        <v>1.60571827736115</v>
      </c>
    </row>
    <row r="4300" spans="1:2" ht="13.2" x14ac:dyDescent="0.25">
      <c r="A4300" s="34" t="s">
        <v>7906</v>
      </c>
      <c r="B4300" s="35">
        <v>1.6046948045616101</v>
      </c>
    </row>
    <row r="4301" spans="1:2" ht="13.2" x14ac:dyDescent="0.25">
      <c r="A4301" s="34" t="s">
        <v>7905</v>
      </c>
      <c r="B4301" s="35">
        <v>1.60628053684431</v>
      </c>
    </row>
    <row r="4302" spans="1:2" ht="13.2" x14ac:dyDescent="0.25">
      <c r="A4302" s="34" t="s">
        <v>7904</v>
      </c>
      <c r="B4302" s="35">
        <v>1.5776235336017801</v>
      </c>
    </row>
    <row r="4303" spans="1:2" ht="13.2" x14ac:dyDescent="0.25">
      <c r="A4303" s="34" t="s">
        <v>7903</v>
      </c>
    </row>
    <row r="4304" spans="1:2" ht="13.2" x14ac:dyDescent="0.25">
      <c r="A4304" s="34" t="s">
        <v>7902</v>
      </c>
    </row>
    <row r="4305" spans="1:2" ht="13.2" x14ac:dyDescent="0.25">
      <c r="A4305" s="34" t="s">
        <v>7901</v>
      </c>
      <c r="B4305" s="35">
        <v>1.5620041470656201</v>
      </c>
    </row>
    <row r="4306" spans="1:2" ht="13.2" x14ac:dyDescent="0.25">
      <c r="A4306" s="34" t="s">
        <v>7900</v>
      </c>
      <c r="B4306" s="35">
        <v>1.64179635925858</v>
      </c>
    </row>
    <row r="4307" spans="1:2" ht="13.2" x14ac:dyDescent="0.25">
      <c r="A4307" s="34" t="s">
        <v>7899</v>
      </c>
      <c r="B4307" s="35">
        <v>1.6096477194244401</v>
      </c>
    </row>
    <row r="4308" spans="1:2" ht="13.2" x14ac:dyDescent="0.25">
      <c r="A4308" s="34" t="s">
        <v>7898</v>
      </c>
      <c r="B4308" s="35">
        <v>1.5597500401214199</v>
      </c>
    </row>
    <row r="4309" spans="1:2" ht="13.2" x14ac:dyDescent="0.25">
      <c r="A4309" s="34" t="s">
        <v>7897</v>
      </c>
      <c r="B4309" s="35">
        <v>1.62745039809235</v>
      </c>
    </row>
    <row r="4310" spans="1:2" ht="13.2" x14ac:dyDescent="0.25">
      <c r="A4310" s="34" t="s">
        <v>7896</v>
      </c>
    </row>
    <row r="4311" spans="1:2" ht="13.2" x14ac:dyDescent="0.25">
      <c r="A4311" s="34" t="s">
        <v>7895</v>
      </c>
    </row>
    <row r="4312" spans="1:2" ht="13.2" x14ac:dyDescent="0.25">
      <c r="A4312" s="34" t="s">
        <v>7894</v>
      </c>
      <c r="B4312" s="35">
        <v>1.62060956562187</v>
      </c>
    </row>
    <row r="4313" spans="1:2" ht="13.2" x14ac:dyDescent="0.25">
      <c r="A4313" s="34" t="s">
        <v>7893</v>
      </c>
      <c r="B4313" s="35">
        <v>1.67619911673595</v>
      </c>
    </row>
    <row r="4314" spans="1:2" ht="13.2" x14ac:dyDescent="0.25">
      <c r="A4314" s="34" t="s">
        <v>7892</v>
      </c>
      <c r="B4314" s="35">
        <v>1.6826143324535301</v>
      </c>
    </row>
    <row r="4315" spans="1:2" ht="13.2" x14ac:dyDescent="0.25">
      <c r="A4315" s="34" t="s">
        <v>7891</v>
      </c>
      <c r="B4315" s="35">
        <v>1.67101792455451</v>
      </c>
    </row>
    <row r="4316" spans="1:2" ht="13.2" x14ac:dyDescent="0.25">
      <c r="A4316" s="34" t="s">
        <v>7890</v>
      </c>
      <c r="B4316" s="35">
        <v>1.63844118109156</v>
      </c>
    </row>
    <row r="4317" spans="1:2" ht="13.2" x14ac:dyDescent="0.25">
      <c r="A4317" s="34" t="s">
        <v>7889</v>
      </c>
    </row>
    <row r="4318" spans="1:2" ht="13.2" x14ac:dyDescent="0.25">
      <c r="A4318" s="34" t="s">
        <v>7888</v>
      </c>
    </row>
    <row r="4319" spans="1:2" ht="13.2" x14ac:dyDescent="0.25">
      <c r="A4319" s="34" t="s">
        <v>7887</v>
      </c>
      <c r="B4319" s="35">
        <v>1.619590652541</v>
      </c>
    </row>
    <row r="4320" spans="1:2" ht="13.2" x14ac:dyDescent="0.25">
      <c r="A4320" s="34" t="s">
        <v>7886</v>
      </c>
      <c r="B4320" s="35">
        <v>1.7491489539212499</v>
      </c>
    </row>
    <row r="4321" spans="1:2" ht="13.2" x14ac:dyDescent="0.25">
      <c r="A4321" s="34" t="s">
        <v>7885</v>
      </c>
      <c r="B4321" s="35">
        <v>1.7726334296132</v>
      </c>
    </row>
    <row r="4322" spans="1:2" ht="13.2" x14ac:dyDescent="0.25">
      <c r="A4322" s="34" t="s">
        <v>7884</v>
      </c>
      <c r="B4322" s="35">
        <v>1.77347253008784</v>
      </c>
    </row>
    <row r="4323" spans="1:2" ht="13.2" x14ac:dyDescent="0.25">
      <c r="A4323" s="34" t="s">
        <v>7883</v>
      </c>
    </row>
    <row r="4324" spans="1:2" ht="13.2" x14ac:dyDescent="0.25">
      <c r="A4324" s="34" t="s">
        <v>7882</v>
      </c>
    </row>
    <row r="4325" spans="1:2" ht="13.2" x14ac:dyDescent="0.25">
      <c r="A4325" s="34" t="s">
        <v>7881</v>
      </c>
    </row>
    <row r="4326" spans="1:2" ht="13.2" x14ac:dyDescent="0.25">
      <c r="A4326" s="34" t="s">
        <v>7880</v>
      </c>
      <c r="B4326" s="35">
        <v>1.4671325711371599</v>
      </c>
    </row>
    <row r="4327" spans="1:2" ht="13.2" x14ac:dyDescent="0.25">
      <c r="A4327" s="34" t="s">
        <v>7879</v>
      </c>
      <c r="B4327" s="35">
        <v>1.4881344352419601</v>
      </c>
    </row>
    <row r="4328" spans="1:2" ht="13.2" x14ac:dyDescent="0.25">
      <c r="A4328" s="34" t="s">
        <v>7878</v>
      </c>
      <c r="B4328" s="35">
        <v>1.6058501083349701</v>
      </c>
    </row>
    <row r="4329" spans="1:2" ht="13.2" x14ac:dyDescent="0.25">
      <c r="A4329" s="34" t="s">
        <v>7877</v>
      </c>
      <c r="B4329" s="35">
        <v>1.5919475869442301</v>
      </c>
    </row>
    <row r="4330" spans="1:2" ht="13.2" x14ac:dyDescent="0.25">
      <c r="A4330" s="34" t="s">
        <v>7876</v>
      </c>
      <c r="B4330" s="35">
        <v>1.5453116829643201</v>
      </c>
    </row>
    <row r="4331" spans="1:2" ht="13.2" x14ac:dyDescent="0.25">
      <c r="A4331" s="34" t="s">
        <v>7875</v>
      </c>
    </row>
    <row r="4332" spans="1:2" ht="13.2" x14ac:dyDescent="0.25">
      <c r="A4332" s="34" t="s">
        <v>7874</v>
      </c>
    </row>
    <row r="4333" spans="1:2" ht="13.2" x14ac:dyDescent="0.25">
      <c r="A4333" s="34" t="s">
        <v>7873</v>
      </c>
      <c r="B4333" s="35">
        <v>1.5003997078095701</v>
      </c>
    </row>
    <row r="4334" spans="1:2" ht="13.2" x14ac:dyDescent="0.25">
      <c r="A4334" s="34" t="s">
        <v>7872</v>
      </c>
      <c r="B4334" s="35">
        <v>1.42532250546093</v>
      </c>
    </row>
    <row r="4335" spans="1:2" ht="13.2" x14ac:dyDescent="0.25">
      <c r="A4335" s="34" t="s">
        <v>7871</v>
      </c>
      <c r="B4335" s="35">
        <v>1.39603057729294</v>
      </c>
    </row>
    <row r="4336" spans="1:2" ht="13.2" x14ac:dyDescent="0.25">
      <c r="A4336" s="34" t="s">
        <v>7870</v>
      </c>
      <c r="B4336" s="35">
        <v>1.5268823798198501</v>
      </c>
    </row>
    <row r="4337" spans="1:2" ht="13.2" x14ac:dyDescent="0.25">
      <c r="A4337" s="34" t="s">
        <v>7869</v>
      </c>
      <c r="B4337" s="35">
        <v>1.52118268927193</v>
      </c>
    </row>
    <row r="4338" spans="1:2" ht="13.2" x14ac:dyDescent="0.25">
      <c r="A4338" s="34" t="s">
        <v>7868</v>
      </c>
    </row>
    <row r="4339" spans="1:2" ht="13.2" x14ac:dyDescent="0.25">
      <c r="A4339" s="34" t="s">
        <v>7867</v>
      </c>
    </row>
    <row r="4340" spans="1:2" ht="13.2" x14ac:dyDescent="0.25">
      <c r="A4340" s="34" t="s">
        <v>7866</v>
      </c>
      <c r="B4340" s="35">
        <v>1.51872185638278</v>
      </c>
    </row>
    <row r="4341" spans="1:2" ht="13.2" x14ac:dyDescent="0.25">
      <c r="A4341" s="34" t="s">
        <v>7865</v>
      </c>
      <c r="B4341" s="35">
        <v>1.52980334076413</v>
      </c>
    </row>
    <row r="4342" spans="1:2" ht="13.2" x14ac:dyDescent="0.25">
      <c r="A4342" s="34" t="s">
        <v>7864</v>
      </c>
      <c r="B4342" s="35">
        <v>1.52741141025785</v>
      </c>
    </row>
    <row r="4343" spans="1:2" ht="13.2" x14ac:dyDescent="0.25">
      <c r="A4343" s="34" t="s">
        <v>7863</v>
      </c>
      <c r="B4343" s="35">
        <v>1.7214924493713799</v>
      </c>
    </row>
    <row r="4344" spans="1:2" ht="13.2" x14ac:dyDescent="0.25">
      <c r="A4344" s="34" t="s">
        <v>7862</v>
      </c>
      <c r="B4344" s="35">
        <v>1.7026981814012701</v>
      </c>
    </row>
    <row r="4345" spans="1:2" ht="13.2" x14ac:dyDescent="0.25">
      <c r="A4345" s="34" t="s">
        <v>7861</v>
      </c>
    </row>
    <row r="4346" spans="1:2" ht="13.2" x14ac:dyDescent="0.25">
      <c r="A4346" s="34" t="s">
        <v>7860</v>
      </c>
    </row>
    <row r="4347" spans="1:2" ht="13.2" x14ac:dyDescent="0.25">
      <c r="A4347" s="34" t="s">
        <v>7859</v>
      </c>
      <c r="B4347" s="35">
        <v>1.7012089454470001</v>
      </c>
    </row>
    <row r="4348" spans="1:2" ht="13.2" x14ac:dyDescent="0.25">
      <c r="A4348" s="34" t="s">
        <v>7858</v>
      </c>
      <c r="B4348" s="35">
        <v>1.82273568281479</v>
      </c>
    </row>
    <row r="4349" spans="1:2" ht="13.2" x14ac:dyDescent="0.25">
      <c r="A4349" s="34" t="s">
        <v>7857</v>
      </c>
      <c r="B4349" s="35">
        <v>1.8563890290784</v>
      </c>
    </row>
    <row r="4350" spans="1:2" ht="13.2" x14ac:dyDescent="0.25">
      <c r="A4350" s="34" t="s">
        <v>7856</v>
      </c>
    </row>
    <row r="4351" spans="1:2" ht="13.2" x14ac:dyDescent="0.25">
      <c r="A4351" s="34" t="s">
        <v>7855</v>
      </c>
      <c r="B4351" s="35">
        <v>1.7756112813009</v>
      </c>
    </row>
    <row r="4352" spans="1:2" ht="13.2" x14ac:dyDescent="0.25">
      <c r="A4352" s="34" t="s">
        <v>7854</v>
      </c>
    </row>
    <row r="4353" spans="1:2" ht="13.2" x14ac:dyDescent="0.25">
      <c r="A4353" s="34" t="s">
        <v>7853</v>
      </c>
    </row>
    <row r="4354" spans="1:2" ht="13.2" x14ac:dyDescent="0.25">
      <c r="A4354" s="34" t="s">
        <v>7852</v>
      </c>
      <c r="B4354" s="35">
        <v>1.8205506289717901</v>
      </c>
    </row>
    <row r="4355" spans="1:2" ht="13.2" x14ac:dyDescent="0.25">
      <c r="A4355" s="34" t="s">
        <v>7851</v>
      </c>
      <c r="B4355" s="35">
        <v>1.7719739667000101</v>
      </c>
    </row>
    <row r="4356" spans="1:2" ht="13.2" x14ac:dyDescent="0.25">
      <c r="A4356" s="34" t="s">
        <v>7850</v>
      </c>
      <c r="B4356" s="35">
        <v>1.7417026466362</v>
      </c>
    </row>
    <row r="4357" spans="1:2" ht="13.2" x14ac:dyDescent="0.25">
      <c r="A4357" s="34" t="s">
        <v>7849</v>
      </c>
      <c r="B4357" s="35">
        <v>1.84141434708768</v>
      </c>
    </row>
    <row r="4358" spans="1:2" ht="13.2" x14ac:dyDescent="0.25">
      <c r="A4358" s="34" t="s">
        <v>7848</v>
      </c>
      <c r="B4358" s="35">
        <v>1.7931353857769901</v>
      </c>
    </row>
    <row r="4359" spans="1:2" ht="13.2" x14ac:dyDescent="0.25">
      <c r="A4359" s="34" t="s">
        <v>7847</v>
      </c>
    </row>
    <row r="4360" spans="1:2" ht="13.2" x14ac:dyDescent="0.25">
      <c r="A4360" s="34" t="s">
        <v>7846</v>
      </c>
    </row>
    <row r="4361" spans="1:2" ht="13.2" x14ac:dyDescent="0.25">
      <c r="A4361" s="34" t="s">
        <v>7845</v>
      </c>
      <c r="B4361" s="35">
        <v>1.7835765699211401</v>
      </c>
    </row>
    <row r="4362" spans="1:2" ht="13.2" x14ac:dyDescent="0.25">
      <c r="A4362" s="34" t="s">
        <v>7844</v>
      </c>
      <c r="B4362" s="35">
        <v>1.7725123833588401</v>
      </c>
    </row>
    <row r="4363" spans="1:2" ht="13.2" x14ac:dyDescent="0.25">
      <c r="A4363" s="34" t="s">
        <v>7843</v>
      </c>
      <c r="B4363" s="35">
        <v>1.9037586658788199</v>
      </c>
    </row>
    <row r="4364" spans="1:2" ht="13.2" x14ac:dyDescent="0.25">
      <c r="A4364" s="34" t="s">
        <v>7842</v>
      </c>
      <c r="B4364" s="35">
        <v>1.8825988711549499</v>
      </c>
    </row>
    <row r="4365" spans="1:2" ht="13.2" x14ac:dyDescent="0.25">
      <c r="A4365" s="34" t="s">
        <v>7841</v>
      </c>
      <c r="B4365" s="35">
        <v>1.86731362918649</v>
      </c>
    </row>
    <row r="4366" spans="1:2" ht="13.2" x14ac:dyDescent="0.25">
      <c r="A4366" s="34" t="s">
        <v>7840</v>
      </c>
    </row>
    <row r="4367" spans="1:2" ht="13.2" x14ac:dyDescent="0.25">
      <c r="A4367" s="34" t="s">
        <v>7839</v>
      </c>
    </row>
    <row r="4368" spans="1:2" ht="13.2" x14ac:dyDescent="0.25">
      <c r="A4368" s="34" t="s">
        <v>7838</v>
      </c>
      <c r="B4368" s="35">
        <v>1.7877028810468401</v>
      </c>
    </row>
    <row r="4369" spans="1:2" ht="13.2" x14ac:dyDescent="0.25">
      <c r="A4369" s="34" t="s">
        <v>7837</v>
      </c>
      <c r="B4369" s="35">
        <v>1.8530333905841201</v>
      </c>
    </row>
    <row r="4370" spans="1:2" ht="13.2" x14ac:dyDescent="0.25">
      <c r="A4370" s="34" t="s">
        <v>7836</v>
      </c>
      <c r="B4370" s="35">
        <v>1.85202359797937</v>
      </c>
    </row>
    <row r="4371" spans="1:2" ht="13.2" x14ac:dyDescent="0.25">
      <c r="A4371" s="34" t="s">
        <v>7835</v>
      </c>
      <c r="B4371" s="35">
        <v>1.8800780969539099</v>
      </c>
    </row>
    <row r="4372" spans="1:2" ht="13.2" x14ac:dyDescent="0.25">
      <c r="A4372" s="34" t="s">
        <v>7834</v>
      </c>
      <c r="B4372" s="35">
        <v>1.8839102594747601</v>
      </c>
    </row>
    <row r="4373" spans="1:2" ht="13.2" x14ac:dyDescent="0.25">
      <c r="A4373" s="34" t="s">
        <v>7833</v>
      </c>
    </row>
    <row r="4374" spans="1:2" ht="13.2" x14ac:dyDescent="0.25">
      <c r="A4374" s="34" t="s">
        <v>7832</v>
      </c>
    </row>
    <row r="4375" spans="1:2" ht="13.2" x14ac:dyDescent="0.25">
      <c r="A4375" s="34" t="s">
        <v>7831</v>
      </c>
      <c r="B4375" s="35">
        <v>1.7393594601661</v>
      </c>
    </row>
    <row r="4376" spans="1:2" ht="13.2" x14ac:dyDescent="0.25">
      <c r="A4376" s="34" t="s">
        <v>7830</v>
      </c>
      <c r="B4376" s="35">
        <v>1.71784504852644</v>
      </c>
    </row>
    <row r="4377" spans="1:2" ht="13.2" x14ac:dyDescent="0.25">
      <c r="A4377" s="34" t="s">
        <v>7829</v>
      </c>
      <c r="B4377" s="35">
        <v>1.7626640952657</v>
      </c>
    </row>
    <row r="4378" spans="1:2" ht="13.2" x14ac:dyDescent="0.25">
      <c r="A4378" s="34" t="s">
        <v>7828</v>
      </c>
      <c r="B4378" s="35">
        <v>1.6484230301788301</v>
      </c>
    </row>
    <row r="4379" spans="1:2" ht="13.2" x14ac:dyDescent="0.25">
      <c r="A4379" s="34" t="s">
        <v>7827</v>
      </c>
      <c r="B4379" s="35">
        <v>1.61417327457186</v>
      </c>
    </row>
    <row r="4380" spans="1:2" ht="13.2" x14ac:dyDescent="0.25">
      <c r="A4380" s="34" t="s">
        <v>7826</v>
      </c>
    </row>
    <row r="4381" spans="1:2" ht="13.2" x14ac:dyDescent="0.25">
      <c r="A4381" s="34" t="s">
        <v>7825</v>
      </c>
    </row>
    <row r="4382" spans="1:2" ht="13.2" x14ac:dyDescent="0.25">
      <c r="A4382" s="34" t="s">
        <v>7824</v>
      </c>
      <c r="B4382" s="35">
        <v>1.61679164569217</v>
      </c>
    </row>
    <row r="4383" spans="1:2" ht="13.2" x14ac:dyDescent="0.25">
      <c r="A4383" s="34" t="s">
        <v>7823</v>
      </c>
      <c r="B4383" s="35">
        <v>1.58952234308259</v>
      </c>
    </row>
    <row r="4384" spans="1:2" ht="13.2" x14ac:dyDescent="0.25">
      <c r="A4384" s="34" t="s">
        <v>7822</v>
      </c>
      <c r="B4384" s="35">
        <v>1.5868209071253401</v>
      </c>
    </row>
    <row r="4385" spans="1:2" ht="13.2" x14ac:dyDescent="0.25">
      <c r="A4385" s="34" t="s">
        <v>7821</v>
      </c>
    </row>
    <row r="4386" spans="1:2" ht="13.2" x14ac:dyDescent="0.25">
      <c r="A4386" s="34" t="s">
        <v>7820</v>
      </c>
      <c r="B4386" s="35">
        <v>1.7405277543527899</v>
      </c>
    </row>
    <row r="4387" spans="1:2" ht="13.2" x14ac:dyDescent="0.25">
      <c r="A4387" s="34" t="s">
        <v>7819</v>
      </c>
    </row>
    <row r="4388" spans="1:2" ht="13.2" x14ac:dyDescent="0.25">
      <c r="A4388" s="34" t="s">
        <v>7818</v>
      </c>
    </row>
    <row r="4389" spans="1:2" ht="13.2" x14ac:dyDescent="0.25">
      <c r="A4389" s="34" t="s">
        <v>7817</v>
      </c>
      <c r="B4389" s="35">
        <v>1.57902658325601</v>
      </c>
    </row>
    <row r="4390" spans="1:2" ht="13.2" x14ac:dyDescent="0.25">
      <c r="A4390" s="34" t="s">
        <v>7816</v>
      </c>
      <c r="B4390" s="35">
        <v>1.55812403194307</v>
      </c>
    </row>
    <row r="4391" spans="1:2" ht="13.2" x14ac:dyDescent="0.25">
      <c r="A4391" s="34" t="s">
        <v>7815</v>
      </c>
      <c r="B4391" s="35">
        <v>1.66744871603088</v>
      </c>
    </row>
    <row r="4392" spans="1:2" ht="13.2" x14ac:dyDescent="0.25">
      <c r="A4392" s="34" t="s">
        <v>7814</v>
      </c>
      <c r="B4392" s="35">
        <v>1.74622261170215</v>
      </c>
    </row>
    <row r="4393" spans="1:2" ht="13.2" x14ac:dyDescent="0.25">
      <c r="A4393" s="34" t="s">
        <v>7813</v>
      </c>
      <c r="B4393" s="35">
        <v>1.65894022247174</v>
      </c>
    </row>
    <row r="4394" spans="1:2" ht="13.2" x14ac:dyDescent="0.25">
      <c r="A4394" s="34" t="s">
        <v>7812</v>
      </c>
    </row>
    <row r="4395" spans="1:2" ht="13.2" x14ac:dyDescent="0.25">
      <c r="A4395" s="34" t="s">
        <v>7811</v>
      </c>
    </row>
    <row r="4396" spans="1:2" ht="13.2" x14ac:dyDescent="0.25">
      <c r="A4396" s="34" t="s">
        <v>7810</v>
      </c>
      <c r="B4396" s="35">
        <v>1.8070592644319901</v>
      </c>
    </row>
    <row r="4397" spans="1:2" ht="13.2" x14ac:dyDescent="0.25">
      <c r="A4397" s="34" t="s">
        <v>7809</v>
      </c>
      <c r="B4397" s="35">
        <v>1.85898315108961</v>
      </c>
    </row>
    <row r="4398" spans="1:2" ht="13.2" x14ac:dyDescent="0.25">
      <c r="A4398" s="34" t="s">
        <v>7808</v>
      </c>
      <c r="B4398" s="35">
        <v>1.87581317283277</v>
      </c>
    </row>
    <row r="4399" spans="1:2" ht="13.2" x14ac:dyDescent="0.25">
      <c r="A4399" s="34" t="s">
        <v>7807</v>
      </c>
      <c r="B4399" s="35">
        <v>1.7849979249501899</v>
      </c>
    </row>
    <row r="4400" spans="1:2" ht="13.2" x14ac:dyDescent="0.25">
      <c r="A4400" s="34" t="s">
        <v>7806</v>
      </c>
      <c r="B4400" s="35">
        <v>1.8335662475993599</v>
      </c>
    </row>
    <row r="4401" spans="1:2" ht="13.2" x14ac:dyDescent="0.25">
      <c r="A4401" s="34" t="s">
        <v>7805</v>
      </c>
    </row>
    <row r="4402" spans="1:2" ht="13.2" x14ac:dyDescent="0.25">
      <c r="A4402" s="34" t="s">
        <v>7804</v>
      </c>
    </row>
    <row r="4403" spans="1:2" ht="13.2" x14ac:dyDescent="0.25">
      <c r="A4403" s="34" t="s">
        <v>7803</v>
      </c>
      <c r="B4403" s="35">
        <v>1.74860286604708</v>
      </c>
    </row>
    <row r="4404" spans="1:2" ht="13.2" x14ac:dyDescent="0.25">
      <c r="A4404" s="34" t="s">
        <v>7802</v>
      </c>
      <c r="B4404" s="35">
        <v>1.8589160969098799</v>
      </c>
    </row>
    <row r="4405" spans="1:2" ht="13.2" x14ac:dyDescent="0.25">
      <c r="A4405" s="34" t="s">
        <v>7801</v>
      </c>
      <c r="B4405" s="35">
        <v>1.84048279915406</v>
      </c>
    </row>
    <row r="4406" spans="1:2" ht="13.2" x14ac:dyDescent="0.25">
      <c r="A4406" s="34" t="s">
        <v>7800</v>
      </c>
      <c r="B4406" s="35">
        <v>1.84951540608594</v>
      </c>
    </row>
    <row r="4407" spans="1:2" ht="13.2" x14ac:dyDescent="0.25">
      <c r="A4407" s="34" t="s">
        <v>7799</v>
      </c>
      <c r="B4407" s="35">
        <v>1.8247508590883501</v>
      </c>
    </row>
    <row r="4408" spans="1:2" ht="13.2" x14ac:dyDescent="0.25">
      <c r="A4408" s="34" t="s">
        <v>7798</v>
      </c>
    </row>
    <row r="4409" spans="1:2" ht="13.2" x14ac:dyDescent="0.25">
      <c r="A4409" s="34" t="s">
        <v>7797</v>
      </c>
    </row>
    <row r="4410" spans="1:2" ht="13.2" x14ac:dyDescent="0.25">
      <c r="A4410" s="34" t="s">
        <v>7796</v>
      </c>
      <c r="B4410" s="35">
        <v>1.8235397292788</v>
      </c>
    </row>
    <row r="4411" spans="1:2" ht="13.2" x14ac:dyDescent="0.25">
      <c r="A4411" s="34" t="s">
        <v>7795</v>
      </c>
      <c r="B4411" s="35">
        <v>1.8238467930840701</v>
      </c>
    </row>
    <row r="4412" spans="1:2" ht="13.2" x14ac:dyDescent="0.25">
      <c r="A4412" s="34" t="s">
        <v>7794</v>
      </c>
      <c r="B4412" s="35">
        <v>1.79469614273152</v>
      </c>
    </row>
    <row r="4413" spans="1:2" ht="13.2" x14ac:dyDescent="0.25">
      <c r="A4413" s="34" t="s">
        <v>7793</v>
      </c>
      <c r="B4413" s="35">
        <v>1.9471421442420001</v>
      </c>
    </row>
    <row r="4414" spans="1:2" ht="13.2" x14ac:dyDescent="0.25">
      <c r="A4414" s="34" t="s">
        <v>7792</v>
      </c>
      <c r="B4414" s="35">
        <v>1.94710632983411</v>
      </c>
    </row>
    <row r="4415" spans="1:2" ht="13.2" x14ac:dyDescent="0.25">
      <c r="A4415" s="34" t="s">
        <v>7791</v>
      </c>
    </row>
    <row r="4416" spans="1:2" ht="13.2" x14ac:dyDescent="0.25">
      <c r="A4416" s="34" t="s">
        <v>7790</v>
      </c>
    </row>
    <row r="4417" spans="1:2" ht="13.2" x14ac:dyDescent="0.25">
      <c r="A4417" s="34" t="s">
        <v>7789</v>
      </c>
      <c r="B4417" s="35">
        <v>1.84021842849756</v>
      </c>
    </row>
    <row r="4418" spans="1:2" ht="13.2" x14ac:dyDescent="0.25">
      <c r="A4418" s="34" t="s">
        <v>7788</v>
      </c>
      <c r="B4418" s="35">
        <v>1.83416757329526</v>
      </c>
    </row>
    <row r="4419" spans="1:2" ht="13.2" x14ac:dyDescent="0.25">
      <c r="A4419" s="34" t="s">
        <v>7787</v>
      </c>
      <c r="B4419" s="35">
        <v>1.8282580397677499</v>
      </c>
    </row>
    <row r="4420" spans="1:2" ht="13.2" x14ac:dyDescent="0.25">
      <c r="A4420" s="34" t="s">
        <v>7786</v>
      </c>
      <c r="B4420" s="35">
        <v>1.7020223724417101</v>
      </c>
    </row>
    <row r="4421" spans="1:2" ht="13.2" x14ac:dyDescent="0.25">
      <c r="A4421" s="34" t="s">
        <v>7785</v>
      </c>
      <c r="B4421" s="35">
        <v>1.6037539036298001</v>
      </c>
    </row>
    <row r="4422" spans="1:2" ht="13.2" x14ac:dyDescent="0.25">
      <c r="A4422" s="34" t="s">
        <v>7784</v>
      </c>
    </row>
    <row r="4423" spans="1:2" ht="13.2" x14ac:dyDescent="0.25">
      <c r="A4423" s="34" t="s">
        <v>7783</v>
      </c>
    </row>
    <row r="4424" spans="1:2" ht="13.2" x14ac:dyDescent="0.25">
      <c r="A4424" s="34" t="s">
        <v>7782</v>
      </c>
      <c r="B4424" s="35">
        <v>1.6043189767022299</v>
      </c>
    </row>
    <row r="4425" spans="1:2" ht="13.2" x14ac:dyDescent="0.25">
      <c r="A4425" s="34" t="s">
        <v>7781</v>
      </c>
      <c r="B4425" s="35">
        <v>1.4937821340386499</v>
      </c>
    </row>
    <row r="4426" spans="1:2" ht="13.2" x14ac:dyDescent="0.25">
      <c r="A4426" s="34" t="s">
        <v>7780</v>
      </c>
      <c r="B4426" s="35">
        <v>1.4323661079872401</v>
      </c>
    </row>
    <row r="4427" spans="1:2" ht="13.2" x14ac:dyDescent="0.25">
      <c r="A4427" s="34" t="s">
        <v>7779</v>
      </c>
      <c r="B4427" s="35">
        <v>1.40643610187139</v>
      </c>
    </row>
    <row r="4428" spans="1:2" ht="13.2" x14ac:dyDescent="0.25">
      <c r="A4428" s="34" t="s">
        <v>7778</v>
      </c>
      <c r="B4428" s="35">
        <v>1.39346319520032</v>
      </c>
    </row>
    <row r="4429" spans="1:2" ht="13.2" x14ac:dyDescent="0.25">
      <c r="A4429" s="34" t="s">
        <v>7777</v>
      </c>
    </row>
    <row r="4430" spans="1:2" ht="13.2" x14ac:dyDescent="0.25">
      <c r="A4430" s="34" t="s">
        <v>7776</v>
      </c>
    </row>
    <row r="4431" spans="1:2" ht="13.2" x14ac:dyDescent="0.25">
      <c r="A4431" s="34" t="s">
        <v>7775</v>
      </c>
      <c r="B4431" s="35">
        <v>1.43213176988252</v>
      </c>
    </row>
    <row r="4432" spans="1:2" ht="13.2" x14ac:dyDescent="0.25">
      <c r="A4432" s="34" t="s">
        <v>7774</v>
      </c>
      <c r="B4432" s="35">
        <v>1.49860520319875</v>
      </c>
    </row>
    <row r="4433" spans="1:2" ht="13.2" x14ac:dyDescent="0.25">
      <c r="A4433" s="34" t="s">
        <v>7773</v>
      </c>
      <c r="B4433" s="35">
        <v>1.3360636288455801</v>
      </c>
    </row>
    <row r="4434" spans="1:2" ht="13.2" x14ac:dyDescent="0.25">
      <c r="A4434" s="34" t="s">
        <v>7772</v>
      </c>
      <c r="B4434" s="35">
        <v>1.31487720233939</v>
      </c>
    </row>
    <row r="4435" spans="1:2" ht="13.2" x14ac:dyDescent="0.25">
      <c r="A4435" s="34" t="s">
        <v>7771</v>
      </c>
      <c r="B4435" s="35">
        <v>1.4292089749716199</v>
      </c>
    </row>
    <row r="4436" spans="1:2" ht="13.2" x14ac:dyDescent="0.25">
      <c r="A4436" s="34" t="s">
        <v>7770</v>
      </c>
    </row>
    <row r="4437" spans="1:2" ht="13.2" x14ac:dyDescent="0.25">
      <c r="A4437" s="34" t="s">
        <v>7769</v>
      </c>
    </row>
    <row r="4438" spans="1:2" ht="13.2" x14ac:dyDescent="0.25">
      <c r="A4438" s="34" t="s">
        <v>7768</v>
      </c>
      <c r="B4438" s="35">
        <v>1.3971607949754501</v>
      </c>
    </row>
    <row r="4439" spans="1:2" ht="13.2" x14ac:dyDescent="0.25">
      <c r="A4439" s="34" t="s">
        <v>7767</v>
      </c>
      <c r="B4439" s="35">
        <v>1.39718911064761</v>
      </c>
    </row>
    <row r="4440" spans="1:2" ht="13.2" x14ac:dyDescent="0.25">
      <c r="A4440" s="34" t="s">
        <v>7766</v>
      </c>
      <c r="B4440" s="35">
        <v>1.4284552232510901</v>
      </c>
    </row>
    <row r="4441" spans="1:2" ht="13.2" x14ac:dyDescent="0.25">
      <c r="A4441" s="34" t="s">
        <v>7765</v>
      </c>
      <c r="B4441" s="35">
        <v>1.4325472549882701</v>
      </c>
    </row>
    <row r="4442" spans="1:2" ht="13.2" x14ac:dyDescent="0.25">
      <c r="A4442" s="34" t="s">
        <v>7764</v>
      </c>
      <c r="B4442" s="35">
        <v>1.2699136072997099</v>
      </c>
    </row>
    <row r="4443" spans="1:2" ht="13.2" x14ac:dyDescent="0.25">
      <c r="A4443" s="34" t="s">
        <v>7763</v>
      </c>
    </row>
    <row r="4444" spans="1:2" ht="13.2" x14ac:dyDescent="0.25">
      <c r="A4444" s="34" t="s">
        <v>7762</v>
      </c>
    </row>
    <row r="4445" spans="1:2" ht="13.2" x14ac:dyDescent="0.25">
      <c r="A4445" s="34" t="s">
        <v>7761</v>
      </c>
      <c r="B4445" s="35">
        <v>1.4848463519225801</v>
      </c>
    </row>
    <row r="4446" spans="1:2" ht="13.2" x14ac:dyDescent="0.25">
      <c r="A4446" s="34" t="s">
        <v>7760</v>
      </c>
      <c r="B4446" s="35">
        <v>1.4909187428320101</v>
      </c>
    </row>
    <row r="4447" spans="1:2" ht="13.2" x14ac:dyDescent="0.25">
      <c r="A4447" s="34" t="s">
        <v>7759</v>
      </c>
      <c r="B4447" s="35">
        <v>1.54977555696168</v>
      </c>
    </row>
    <row r="4448" spans="1:2" ht="13.2" x14ac:dyDescent="0.25">
      <c r="A4448" s="34" t="s">
        <v>7758</v>
      </c>
      <c r="B4448" s="35">
        <v>1.66095977542394</v>
      </c>
    </row>
    <row r="4449" spans="1:2" ht="13.2" x14ac:dyDescent="0.25">
      <c r="A4449" s="34" t="s">
        <v>7757</v>
      </c>
      <c r="B4449" s="35">
        <v>1.6586838432895401</v>
      </c>
    </row>
    <row r="4450" spans="1:2" ht="13.2" x14ac:dyDescent="0.25">
      <c r="A4450" s="34" t="s">
        <v>7756</v>
      </c>
    </row>
    <row r="4451" spans="1:2" ht="13.2" x14ac:dyDescent="0.25">
      <c r="A4451" s="34" t="s">
        <v>7755</v>
      </c>
    </row>
    <row r="4452" spans="1:2" ht="13.2" x14ac:dyDescent="0.25">
      <c r="A4452" s="34" t="s">
        <v>7754</v>
      </c>
      <c r="B4452" s="35">
        <v>1.6573377725621199</v>
      </c>
    </row>
    <row r="4453" spans="1:2" ht="13.2" x14ac:dyDescent="0.25">
      <c r="A4453" s="34" t="s">
        <v>7753</v>
      </c>
      <c r="B4453" s="35">
        <v>1.67003093760666</v>
      </c>
    </row>
    <row r="4454" spans="1:2" ht="13.2" x14ac:dyDescent="0.25">
      <c r="A4454" s="34" t="s">
        <v>7752</v>
      </c>
      <c r="B4454" s="35">
        <v>1.6247997737186399</v>
      </c>
    </row>
    <row r="4455" spans="1:2" ht="13.2" x14ac:dyDescent="0.25">
      <c r="A4455" s="34" t="s">
        <v>7751</v>
      </c>
      <c r="B4455" s="35">
        <v>1.6345222464564</v>
      </c>
    </row>
    <row r="4456" spans="1:2" ht="13.2" x14ac:dyDescent="0.25">
      <c r="A4456" s="34" t="s">
        <v>7750</v>
      </c>
      <c r="B4456" s="35">
        <v>1.62863965834165</v>
      </c>
    </row>
    <row r="4457" spans="1:2" ht="13.2" x14ac:dyDescent="0.25">
      <c r="A4457" s="34" t="s">
        <v>7749</v>
      </c>
    </row>
    <row r="4458" spans="1:2" ht="13.2" x14ac:dyDescent="0.25">
      <c r="A4458" s="34" t="s">
        <v>7748</v>
      </c>
    </row>
    <row r="4459" spans="1:2" ht="13.2" x14ac:dyDescent="0.25">
      <c r="A4459" s="34" t="s">
        <v>7747</v>
      </c>
      <c r="B4459" s="35">
        <v>1.6260928761889999</v>
      </c>
    </row>
    <row r="4460" spans="1:2" ht="13.2" x14ac:dyDescent="0.25">
      <c r="A4460" s="34" t="s">
        <v>7746</v>
      </c>
      <c r="B4460" s="35">
        <v>1.61173404931953</v>
      </c>
    </row>
    <row r="4461" spans="1:2" ht="13.2" x14ac:dyDescent="0.25">
      <c r="A4461" s="34" t="s">
        <v>7745</v>
      </c>
      <c r="B4461" s="35">
        <v>1.58144619144337</v>
      </c>
    </row>
    <row r="4462" spans="1:2" ht="13.2" x14ac:dyDescent="0.25">
      <c r="A4462" s="34" t="s">
        <v>7744</v>
      </c>
      <c r="B4462" s="35">
        <v>1.6280817673824901</v>
      </c>
    </row>
    <row r="4463" spans="1:2" ht="13.2" x14ac:dyDescent="0.25">
      <c r="A4463" s="34" t="s">
        <v>7743</v>
      </c>
      <c r="B4463" s="35">
        <v>1.6439839878567599</v>
      </c>
    </row>
    <row r="4464" spans="1:2" ht="13.2" x14ac:dyDescent="0.25">
      <c r="A4464" s="34" t="s">
        <v>7742</v>
      </c>
    </row>
    <row r="4465" spans="1:2" ht="13.2" x14ac:dyDescent="0.25">
      <c r="A4465" s="34" t="s">
        <v>7741</v>
      </c>
    </row>
    <row r="4466" spans="1:2" ht="13.2" x14ac:dyDescent="0.25">
      <c r="A4466" s="34" t="s">
        <v>7740</v>
      </c>
      <c r="B4466" s="35">
        <v>1.52590488755956</v>
      </c>
    </row>
    <row r="4467" spans="1:2" ht="13.2" x14ac:dyDescent="0.25">
      <c r="A4467" s="34" t="s">
        <v>7739</v>
      </c>
      <c r="B4467" s="35">
        <v>1.5594132790900299</v>
      </c>
    </row>
    <row r="4468" spans="1:2" ht="13.2" x14ac:dyDescent="0.25">
      <c r="A4468" s="34" t="s">
        <v>7738</v>
      </c>
      <c r="B4468" s="35">
        <v>1.56691223783002</v>
      </c>
    </row>
    <row r="4469" spans="1:2" ht="13.2" x14ac:dyDescent="0.25">
      <c r="A4469" s="34" t="s">
        <v>7737</v>
      </c>
      <c r="B4469" s="35">
        <v>1.61233145934559</v>
      </c>
    </row>
    <row r="4470" spans="1:2" ht="13.2" x14ac:dyDescent="0.25">
      <c r="A4470" s="34" t="s">
        <v>7736</v>
      </c>
      <c r="B4470" s="35">
        <v>1.6303763791320001</v>
      </c>
    </row>
    <row r="4471" spans="1:2" ht="13.2" x14ac:dyDescent="0.25">
      <c r="A4471" s="34" t="s">
        <v>7735</v>
      </c>
    </row>
    <row r="4472" spans="1:2" ht="13.2" x14ac:dyDescent="0.25">
      <c r="A4472" s="34" t="s">
        <v>7734</v>
      </c>
    </row>
    <row r="4473" spans="1:2" ht="13.2" x14ac:dyDescent="0.25">
      <c r="A4473" s="34" t="s">
        <v>7733</v>
      </c>
      <c r="B4473" s="35">
        <v>1.6331532540090401</v>
      </c>
    </row>
    <row r="4474" spans="1:2" ht="13.2" x14ac:dyDescent="0.25">
      <c r="A4474" s="34" t="s">
        <v>7732</v>
      </c>
      <c r="B4474" s="35">
        <v>1.4758516265534201</v>
      </c>
    </row>
    <row r="4475" spans="1:2" ht="13.2" x14ac:dyDescent="0.25">
      <c r="A4475" s="34" t="s">
        <v>7731</v>
      </c>
      <c r="B4475" s="35">
        <v>1.4652608835382199</v>
      </c>
    </row>
    <row r="4476" spans="1:2" ht="13.2" x14ac:dyDescent="0.25">
      <c r="A4476" s="34" t="s">
        <v>7730</v>
      </c>
      <c r="B4476" s="35">
        <v>1.5075552596324999</v>
      </c>
    </row>
    <row r="4477" spans="1:2" ht="13.2" x14ac:dyDescent="0.25">
      <c r="A4477" s="34" t="s">
        <v>7729</v>
      </c>
      <c r="B4477" s="35">
        <v>1.42943488984977</v>
      </c>
    </row>
    <row r="4478" spans="1:2" ht="13.2" x14ac:dyDescent="0.25">
      <c r="A4478" s="34" t="s">
        <v>7728</v>
      </c>
    </row>
    <row r="4479" spans="1:2" ht="13.2" x14ac:dyDescent="0.25">
      <c r="A4479" s="34" t="s">
        <v>7727</v>
      </c>
    </row>
    <row r="4480" spans="1:2" ht="13.2" x14ac:dyDescent="0.25">
      <c r="A4480" s="34" t="s">
        <v>7726</v>
      </c>
      <c r="B4480" s="35">
        <v>1.44041777060958</v>
      </c>
    </row>
    <row r="4481" spans="1:2" ht="13.2" x14ac:dyDescent="0.25">
      <c r="A4481" s="34" t="s">
        <v>7725</v>
      </c>
      <c r="B4481" s="35">
        <v>1.43629799754233</v>
      </c>
    </row>
    <row r="4482" spans="1:2" ht="13.2" x14ac:dyDescent="0.25">
      <c r="A4482" s="34" t="s">
        <v>7724</v>
      </c>
      <c r="B4482" s="35">
        <v>1.4224653750630101</v>
      </c>
    </row>
    <row r="4483" spans="1:2" ht="13.2" x14ac:dyDescent="0.25">
      <c r="A4483" s="34" t="s">
        <v>7723</v>
      </c>
      <c r="B4483" s="35">
        <v>1.42275061855595</v>
      </c>
    </row>
    <row r="4484" spans="1:2" ht="13.2" x14ac:dyDescent="0.25">
      <c r="A4484" s="34" t="s">
        <v>7722</v>
      </c>
      <c r="B4484" s="35">
        <v>1.4155149084313201</v>
      </c>
    </row>
    <row r="4485" spans="1:2" ht="13.2" x14ac:dyDescent="0.25">
      <c r="A4485" s="34" t="s">
        <v>7721</v>
      </c>
    </row>
    <row r="4486" spans="1:2" ht="13.2" x14ac:dyDescent="0.25">
      <c r="A4486" s="34" t="s">
        <v>7720</v>
      </c>
    </row>
    <row r="4487" spans="1:2" ht="13.2" x14ac:dyDescent="0.25">
      <c r="A4487" s="34" t="s">
        <v>7719</v>
      </c>
      <c r="B4487" s="35">
        <v>1.4176506477570401</v>
      </c>
    </row>
    <row r="4488" spans="1:2" ht="13.2" x14ac:dyDescent="0.25">
      <c r="A4488" s="34" t="s">
        <v>7718</v>
      </c>
      <c r="B4488" s="35">
        <v>1.4266200153953399</v>
      </c>
    </row>
    <row r="4489" spans="1:2" ht="13.2" x14ac:dyDescent="0.25">
      <c r="A4489" s="34" t="s">
        <v>7717</v>
      </c>
    </row>
    <row r="4490" spans="1:2" ht="13.2" x14ac:dyDescent="0.25">
      <c r="A4490" s="34" t="s">
        <v>7716</v>
      </c>
      <c r="B4490" s="35">
        <v>1.36945595613292</v>
      </c>
    </row>
    <row r="4491" spans="1:2" ht="13.2" x14ac:dyDescent="0.25">
      <c r="A4491" s="34" t="s">
        <v>7715</v>
      </c>
      <c r="B4491" s="35">
        <v>1.38529116913088</v>
      </c>
    </row>
    <row r="4492" spans="1:2" ht="13.2" x14ac:dyDescent="0.25">
      <c r="A4492" s="34" t="s">
        <v>7714</v>
      </c>
    </row>
    <row r="4493" spans="1:2" ht="13.2" x14ac:dyDescent="0.25">
      <c r="A4493" s="34" t="s">
        <v>7713</v>
      </c>
    </row>
    <row r="4494" spans="1:2" ht="13.2" x14ac:dyDescent="0.25">
      <c r="A4494" s="34" t="s">
        <v>7712</v>
      </c>
      <c r="B4494" s="35">
        <v>1.3208638053972299</v>
      </c>
    </row>
    <row r="4495" spans="1:2" ht="13.2" x14ac:dyDescent="0.25">
      <c r="A4495" s="34" t="s">
        <v>7711</v>
      </c>
      <c r="B4495" s="35">
        <v>1.3315752279476301</v>
      </c>
    </row>
    <row r="4496" spans="1:2" ht="13.2" x14ac:dyDescent="0.25">
      <c r="A4496" s="34" t="s">
        <v>7710</v>
      </c>
      <c r="B4496" s="35">
        <v>1.3034357089750299</v>
      </c>
    </row>
    <row r="4497" spans="1:2" ht="13.2" x14ac:dyDescent="0.25">
      <c r="A4497" s="34" t="s">
        <v>7709</v>
      </c>
      <c r="B4497" s="35">
        <v>1.2752935531757299</v>
      </c>
    </row>
    <row r="4498" spans="1:2" ht="13.2" x14ac:dyDescent="0.25">
      <c r="A4498" s="34" t="s">
        <v>7708</v>
      </c>
      <c r="B4498" s="35">
        <v>1.28634427247647</v>
      </c>
    </row>
    <row r="4499" spans="1:2" ht="13.2" x14ac:dyDescent="0.25">
      <c r="A4499" s="34" t="s">
        <v>7707</v>
      </c>
    </row>
    <row r="4500" spans="1:2" ht="13.2" x14ac:dyDescent="0.25">
      <c r="A4500" s="34" t="s">
        <v>7706</v>
      </c>
    </row>
    <row r="4501" spans="1:2" ht="13.2" x14ac:dyDescent="0.25">
      <c r="A4501" s="34" t="s">
        <v>7705</v>
      </c>
      <c r="B4501" s="35">
        <v>1.1760075414481199</v>
      </c>
    </row>
    <row r="4502" spans="1:2" ht="13.2" x14ac:dyDescent="0.25">
      <c r="A4502" s="34" t="s">
        <v>7704</v>
      </c>
      <c r="B4502" s="35">
        <v>1.1347664317258399</v>
      </c>
    </row>
    <row r="4503" spans="1:2" ht="13.2" x14ac:dyDescent="0.25">
      <c r="A4503" s="34" t="s">
        <v>7703</v>
      </c>
      <c r="B4503" s="35">
        <v>1.1561507887201401</v>
      </c>
    </row>
    <row r="4504" spans="1:2" ht="13.2" x14ac:dyDescent="0.25">
      <c r="A4504" s="34" t="s">
        <v>7702</v>
      </c>
      <c r="B4504" s="35">
        <v>1.0505191750128999</v>
      </c>
    </row>
    <row r="4505" spans="1:2" ht="13.2" x14ac:dyDescent="0.25">
      <c r="A4505" s="34" t="s">
        <v>7701</v>
      </c>
      <c r="B4505" s="35">
        <v>1.0698271932302399</v>
      </c>
    </row>
    <row r="4506" spans="1:2" ht="13.2" x14ac:dyDescent="0.25">
      <c r="A4506" s="34" t="s">
        <v>7700</v>
      </c>
    </row>
    <row r="4507" spans="1:2" ht="13.2" x14ac:dyDescent="0.25">
      <c r="A4507" s="34" t="s">
        <v>7699</v>
      </c>
    </row>
    <row r="4508" spans="1:2" ht="13.2" x14ac:dyDescent="0.25">
      <c r="A4508" s="34" t="s">
        <v>7698</v>
      </c>
      <c r="B4508" s="35">
        <v>1.01908586823936</v>
      </c>
    </row>
    <row r="4509" spans="1:2" ht="13.2" x14ac:dyDescent="0.25">
      <c r="A4509" s="34" t="s">
        <v>7697</v>
      </c>
      <c r="B4509" s="35">
        <v>0.99765451061464105</v>
      </c>
    </row>
    <row r="4510" spans="1:2" ht="13.2" x14ac:dyDescent="0.25">
      <c r="A4510" s="34" t="s">
        <v>7696</v>
      </c>
      <c r="B4510" s="35">
        <v>1.0085503701834899</v>
      </c>
    </row>
    <row r="4511" spans="1:2" ht="13.2" x14ac:dyDescent="0.25">
      <c r="A4511" s="34" t="s">
        <v>7695</v>
      </c>
      <c r="B4511" s="35">
        <v>1.0301808352945701</v>
      </c>
    </row>
    <row r="4512" spans="1:2" ht="13.2" x14ac:dyDescent="0.25">
      <c r="A4512" s="34" t="s">
        <v>7694</v>
      </c>
      <c r="B4512" s="35">
        <v>1.01462436422381</v>
      </c>
    </row>
    <row r="4513" spans="1:2" ht="13.2" x14ac:dyDescent="0.25">
      <c r="A4513" s="34" t="s">
        <v>7693</v>
      </c>
    </row>
    <row r="4514" spans="1:2" ht="13.2" x14ac:dyDescent="0.25">
      <c r="A4514" s="34" t="s">
        <v>7692</v>
      </c>
    </row>
    <row r="4515" spans="1:2" ht="13.2" x14ac:dyDescent="0.25">
      <c r="A4515" s="34" t="s">
        <v>7691</v>
      </c>
      <c r="B4515" s="35">
        <v>0.99667753223786404</v>
      </c>
    </row>
    <row r="4516" spans="1:2" ht="13.2" x14ac:dyDescent="0.25">
      <c r="A4516" s="34" t="s">
        <v>7690</v>
      </c>
      <c r="B4516" s="35">
        <v>1.1161106493137301</v>
      </c>
    </row>
    <row r="4517" spans="1:2" ht="13.2" x14ac:dyDescent="0.25">
      <c r="A4517" s="34" t="s">
        <v>7689</v>
      </c>
      <c r="B4517" s="35">
        <v>1.43047088593267</v>
      </c>
    </row>
    <row r="4518" spans="1:2" ht="13.2" x14ac:dyDescent="0.25">
      <c r="A4518" s="34" t="s">
        <v>7688</v>
      </c>
      <c r="B4518" s="35">
        <v>1.5960782201527699</v>
      </c>
    </row>
    <row r="4519" spans="1:2" ht="13.2" x14ac:dyDescent="0.25">
      <c r="A4519" s="34" t="s">
        <v>7687</v>
      </c>
      <c r="B4519" s="35">
        <v>1.68298392125965</v>
      </c>
    </row>
    <row r="4520" spans="1:2" ht="13.2" x14ac:dyDescent="0.25">
      <c r="A4520" s="34" t="s">
        <v>7686</v>
      </c>
    </row>
    <row r="4521" spans="1:2" ht="13.2" x14ac:dyDescent="0.25">
      <c r="A4521" s="34" t="s">
        <v>7685</v>
      </c>
    </row>
    <row r="4522" spans="1:2" ht="13.2" x14ac:dyDescent="0.25">
      <c r="A4522" s="34" t="s">
        <v>7684</v>
      </c>
      <c r="B4522" s="35">
        <v>1.66070353011375</v>
      </c>
    </row>
    <row r="4523" spans="1:2" ht="13.2" x14ac:dyDescent="0.25">
      <c r="A4523" s="34" t="s">
        <v>7683</v>
      </c>
      <c r="B4523" s="35">
        <v>1.6592368394086601</v>
      </c>
    </row>
    <row r="4524" spans="1:2" ht="13.2" x14ac:dyDescent="0.25">
      <c r="A4524" s="34" t="s">
        <v>7682</v>
      </c>
    </row>
    <row r="4525" spans="1:2" ht="13.2" x14ac:dyDescent="0.25">
      <c r="A4525" s="34" t="s">
        <v>7681</v>
      </c>
      <c r="B4525" s="35">
        <v>1.74784379884491</v>
      </c>
    </row>
    <row r="4526" spans="1:2" ht="13.2" x14ac:dyDescent="0.25">
      <c r="A4526" s="34" t="s">
        <v>7680</v>
      </c>
      <c r="B4526" s="35">
        <v>1.74836927755551</v>
      </c>
    </row>
    <row r="4527" spans="1:2" ht="13.2" x14ac:dyDescent="0.25">
      <c r="A4527" s="34" t="s">
        <v>7679</v>
      </c>
    </row>
    <row r="4528" spans="1:2" ht="13.2" x14ac:dyDescent="0.25">
      <c r="A4528" s="34" t="s">
        <v>7678</v>
      </c>
    </row>
    <row r="4529" spans="1:2" ht="13.2" x14ac:dyDescent="0.25">
      <c r="A4529" s="34" t="s">
        <v>7677</v>
      </c>
      <c r="B4529" s="35">
        <v>1.76513265394647</v>
      </c>
    </row>
    <row r="4530" spans="1:2" ht="13.2" x14ac:dyDescent="0.25">
      <c r="A4530" s="34" t="s">
        <v>7676</v>
      </c>
      <c r="B4530" s="35">
        <v>1.9465592686645701</v>
      </c>
    </row>
    <row r="4531" spans="1:2" ht="13.2" x14ac:dyDescent="0.25">
      <c r="A4531" s="34" t="s">
        <v>7675</v>
      </c>
      <c r="B4531" s="35">
        <v>1.9445214626935701</v>
      </c>
    </row>
    <row r="4532" spans="1:2" ht="13.2" x14ac:dyDescent="0.25">
      <c r="A4532" s="34" t="s">
        <v>7674</v>
      </c>
      <c r="B4532" s="35">
        <v>2.0644694174489802</v>
      </c>
    </row>
    <row r="4533" spans="1:2" ht="13.2" x14ac:dyDescent="0.25">
      <c r="A4533" s="34" t="s">
        <v>7673</v>
      </c>
      <c r="B4533" s="35">
        <v>2.0888355756747101</v>
      </c>
    </row>
    <row r="4534" spans="1:2" ht="13.2" x14ac:dyDescent="0.25">
      <c r="A4534" s="34" t="s">
        <v>7672</v>
      </c>
    </row>
    <row r="4535" spans="1:2" ht="13.2" x14ac:dyDescent="0.25">
      <c r="A4535" s="34" t="s">
        <v>7671</v>
      </c>
    </row>
    <row r="4536" spans="1:2" ht="13.2" x14ac:dyDescent="0.25">
      <c r="A4536" s="34" t="s">
        <v>7670</v>
      </c>
      <c r="B4536" s="35">
        <v>2.1572720884441301</v>
      </c>
    </row>
    <row r="4537" spans="1:2" ht="13.2" x14ac:dyDescent="0.25">
      <c r="A4537" s="34" t="s">
        <v>7669</v>
      </c>
      <c r="B4537" s="35">
        <v>2.11093286828571</v>
      </c>
    </row>
    <row r="4538" spans="1:2" ht="13.2" x14ac:dyDescent="0.25">
      <c r="A4538" s="34" t="s">
        <v>7668</v>
      </c>
      <c r="B4538" s="35">
        <v>2.1228979649526698</v>
      </c>
    </row>
    <row r="4539" spans="1:2" ht="13.2" x14ac:dyDescent="0.25">
      <c r="A4539" s="34" t="s">
        <v>7667</v>
      </c>
      <c r="B4539" s="35">
        <v>2.1555814553244002</v>
      </c>
    </row>
    <row r="4540" spans="1:2" ht="13.2" x14ac:dyDescent="0.25">
      <c r="A4540" s="34" t="s">
        <v>7666</v>
      </c>
      <c r="B4540" s="35">
        <v>2.1312578421054802</v>
      </c>
    </row>
    <row r="4541" spans="1:2" ht="13.2" x14ac:dyDescent="0.25">
      <c r="A4541" s="34" t="s">
        <v>7665</v>
      </c>
    </row>
    <row r="4542" spans="1:2" ht="13.2" x14ac:dyDescent="0.25">
      <c r="A4542" s="34" t="s">
        <v>7664</v>
      </c>
    </row>
    <row r="4543" spans="1:2" ht="13.2" x14ac:dyDescent="0.25">
      <c r="A4543" s="34" t="s">
        <v>7663</v>
      </c>
      <c r="B4543" s="35">
        <v>2.2466095759777001</v>
      </c>
    </row>
    <row r="4544" spans="1:2" ht="13.2" x14ac:dyDescent="0.25">
      <c r="A4544" s="34" t="s">
        <v>7662</v>
      </c>
      <c r="B4544" s="35">
        <v>2.29295489935856</v>
      </c>
    </row>
    <row r="4545" spans="1:2" ht="13.2" x14ac:dyDescent="0.25">
      <c r="A4545" s="34" t="s">
        <v>7661</v>
      </c>
    </row>
    <row r="4546" spans="1:2" ht="13.2" x14ac:dyDescent="0.25">
      <c r="A4546" s="34" t="s">
        <v>7660</v>
      </c>
      <c r="B4546" s="35">
        <v>2.28896629125606</v>
      </c>
    </row>
    <row r="4547" spans="1:2" ht="13.2" x14ac:dyDescent="0.25">
      <c r="A4547" s="34" t="s">
        <v>7659</v>
      </c>
      <c r="B4547" s="35">
        <v>2.2601952125663902</v>
      </c>
    </row>
    <row r="4548" spans="1:2" ht="13.2" x14ac:dyDescent="0.25">
      <c r="A4548" s="34" t="s">
        <v>7658</v>
      </c>
    </row>
    <row r="4549" spans="1:2" ht="13.2" x14ac:dyDescent="0.25">
      <c r="A4549" s="34" t="s">
        <v>7657</v>
      </c>
    </row>
    <row r="4550" spans="1:2" ht="13.2" x14ac:dyDescent="0.25">
      <c r="A4550" s="34" t="s">
        <v>7656</v>
      </c>
      <c r="B4550" s="35">
        <v>2.1057243052836001</v>
      </c>
    </row>
    <row r="4551" spans="1:2" ht="13.2" x14ac:dyDescent="0.25">
      <c r="A4551" s="34" t="s">
        <v>7655</v>
      </c>
      <c r="B4551" s="35">
        <v>1.9677956636730201</v>
      </c>
    </row>
    <row r="4552" spans="1:2" ht="13.2" x14ac:dyDescent="0.25">
      <c r="A4552" s="34" t="s">
        <v>7654</v>
      </c>
      <c r="B4552" s="35">
        <v>1.9160144062842299</v>
      </c>
    </row>
    <row r="4553" spans="1:2" ht="13.2" x14ac:dyDescent="0.25">
      <c r="A4553" s="34" t="s">
        <v>7653</v>
      </c>
      <c r="B4553" s="35">
        <v>1.9050835857653501</v>
      </c>
    </row>
    <row r="4554" spans="1:2" ht="13.2" x14ac:dyDescent="0.25">
      <c r="A4554" s="34" t="s">
        <v>7652</v>
      </c>
      <c r="B4554" s="35">
        <v>1.8966743011073699</v>
      </c>
    </row>
    <row r="4555" spans="1:2" ht="13.2" x14ac:dyDescent="0.25">
      <c r="A4555" s="34" t="s">
        <v>7651</v>
      </c>
    </row>
    <row r="4556" spans="1:2" ht="13.2" x14ac:dyDescent="0.25">
      <c r="A4556" s="34" t="s">
        <v>7650</v>
      </c>
    </row>
    <row r="4557" spans="1:2" ht="13.2" x14ac:dyDescent="0.25">
      <c r="A4557" s="34" t="s">
        <v>7649</v>
      </c>
      <c r="B4557" s="35">
        <v>1.8293118422605199</v>
      </c>
    </row>
    <row r="4558" spans="1:2" ht="13.2" x14ac:dyDescent="0.25">
      <c r="A4558" s="34" t="s">
        <v>7648</v>
      </c>
    </row>
    <row r="4559" spans="1:2" ht="13.2" x14ac:dyDescent="0.25">
      <c r="A4559" s="34" t="s">
        <v>7647</v>
      </c>
      <c r="B4559" s="35">
        <v>1.83489932124614</v>
      </c>
    </row>
    <row r="4560" spans="1:2" ht="13.2" x14ac:dyDescent="0.25">
      <c r="A4560" s="34" t="s">
        <v>7646</v>
      </c>
      <c r="B4560" s="35">
        <v>1.8524246711797301</v>
      </c>
    </row>
    <row r="4561" spans="1:2" ht="13.2" x14ac:dyDescent="0.25">
      <c r="A4561" s="34" t="s">
        <v>7645</v>
      </c>
      <c r="B4561" s="35">
        <v>1.59903974779531</v>
      </c>
    </row>
    <row r="4562" spans="1:2" ht="13.2" x14ac:dyDescent="0.25">
      <c r="A4562" s="34" t="s">
        <v>7644</v>
      </c>
    </row>
    <row r="4563" spans="1:2" ht="13.2" x14ac:dyDescent="0.25">
      <c r="A4563" s="34" t="s">
        <v>7643</v>
      </c>
    </row>
    <row r="4564" spans="1:2" ht="13.2" x14ac:dyDescent="0.25">
      <c r="A4564" s="34" t="s">
        <v>7642</v>
      </c>
      <c r="B4564" s="35">
        <v>1.59663559609337</v>
      </c>
    </row>
    <row r="4565" spans="1:2" ht="13.2" x14ac:dyDescent="0.25">
      <c r="A4565" s="34" t="s">
        <v>7641</v>
      </c>
      <c r="B4565" s="35">
        <v>1.37767169697363</v>
      </c>
    </row>
    <row r="4566" spans="1:2" ht="13.2" x14ac:dyDescent="0.25">
      <c r="A4566" s="34" t="s">
        <v>7640</v>
      </c>
      <c r="B4566" s="35">
        <v>1.28455519885044</v>
      </c>
    </row>
    <row r="4567" spans="1:2" ht="13.2" x14ac:dyDescent="0.25">
      <c r="A4567" s="34" t="s">
        <v>7639</v>
      </c>
      <c r="B4567" s="35">
        <v>1.2185766999054699</v>
      </c>
    </row>
    <row r="4568" spans="1:2" ht="13.2" x14ac:dyDescent="0.25">
      <c r="A4568" s="34" t="s">
        <v>7638</v>
      </c>
      <c r="B4568" s="35">
        <v>1.17627952452353</v>
      </c>
    </row>
    <row r="4569" spans="1:2" ht="13.2" x14ac:dyDescent="0.25">
      <c r="A4569" s="34" t="s">
        <v>7637</v>
      </c>
    </row>
    <row r="4570" spans="1:2" ht="13.2" x14ac:dyDescent="0.25">
      <c r="A4570" s="34" t="s">
        <v>7636</v>
      </c>
    </row>
    <row r="4571" spans="1:2" ht="13.2" x14ac:dyDescent="0.25">
      <c r="A4571" s="34" t="s">
        <v>7635</v>
      </c>
      <c r="B4571" s="35">
        <v>1.2614674431684101</v>
      </c>
    </row>
    <row r="4572" spans="1:2" ht="13.2" x14ac:dyDescent="0.25">
      <c r="A4572" s="34" t="s">
        <v>7634</v>
      </c>
      <c r="B4572" s="35">
        <v>1.1545676296614</v>
      </c>
    </row>
    <row r="4573" spans="1:2" ht="13.2" x14ac:dyDescent="0.25">
      <c r="A4573" s="34" t="s">
        <v>7633</v>
      </c>
      <c r="B4573" s="35">
        <v>1.1574648088275501</v>
      </c>
    </row>
    <row r="4574" spans="1:2" ht="13.2" x14ac:dyDescent="0.25">
      <c r="A4574" s="34" t="s">
        <v>7632</v>
      </c>
      <c r="B4574" s="35">
        <v>1.08238563654191</v>
      </c>
    </row>
    <row r="4575" spans="1:2" ht="13.2" x14ac:dyDescent="0.25">
      <c r="A4575" s="34" t="s">
        <v>7631</v>
      </c>
      <c r="B4575" s="35">
        <v>0.99011535601423795</v>
      </c>
    </row>
    <row r="4576" spans="1:2" ht="13.2" x14ac:dyDescent="0.25">
      <c r="A4576" s="34" t="s">
        <v>7630</v>
      </c>
    </row>
    <row r="4577" spans="1:2" ht="13.2" x14ac:dyDescent="0.25">
      <c r="A4577" s="34" t="s">
        <v>7629</v>
      </c>
    </row>
    <row r="4578" spans="1:2" ht="13.2" x14ac:dyDescent="0.25">
      <c r="A4578" s="34" t="s">
        <v>7628</v>
      </c>
      <c r="B4578" s="35">
        <v>0.99754045885057796</v>
      </c>
    </row>
    <row r="4579" spans="1:2" ht="13.2" x14ac:dyDescent="0.25">
      <c r="A4579" s="34" t="s">
        <v>7627</v>
      </c>
      <c r="B4579" s="35">
        <v>1.0152070070024699</v>
      </c>
    </row>
    <row r="4580" spans="1:2" ht="13.2" x14ac:dyDescent="0.25">
      <c r="A4580" s="34" t="s">
        <v>7626</v>
      </c>
      <c r="B4580" s="35">
        <v>1.0854622513899901</v>
      </c>
    </row>
    <row r="4581" spans="1:2" ht="13.2" x14ac:dyDescent="0.25">
      <c r="A4581" s="34" t="s">
        <v>7625</v>
      </c>
      <c r="B4581" s="35">
        <v>1.11207054750847</v>
      </c>
    </row>
    <row r="4582" spans="1:2" ht="13.2" x14ac:dyDescent="0.25">
      <c r="A4582" s="34" t="s">
        <v>7624</v>
      </c>
      <c r="B4582" s="35">
        <v>1.10135607698214</v>
      </c>
    </row>
    <row r="4583" spans="1:2" ht="13.2" x14ac:dyDescent="0.25">
      <c r="A4583" s="34" t="s">
        <v>7623</v>
      </c>
    </row>
    <row r="4584" spans="1:2" ht="13.2" x14ac:dyDescent="0.25">
      <c r="A4584" s="34" t="s">
        <v>7622</v>
      </c>
    </row>
    <row r="4585" spans="1:2" ht="13.2" x14ac:dyDescent="0.25">
      <c r="A4585" s="34" t="s">
        <v>7621</v>
      </c>
      <c r="B4585" s="35">
        <v>1.1016847770688201</v>
      </c>
    </row>
    <row r="4586" spans="1:2" ht="13.2" x14ac:dyDescent="0.25">
      <c r="A4586" s="34" t="s">
        <v>7620</v>
      </c>
      <c r="B4586" s="35">
        <v>1.0962739780500701</v>
      </c>
    </row>
    <row r="4587" spans="1:2" ht="13.2" x14ac:dyDescent="0.25">
      <c r="A4587" s="34" t="s">
        <v>7619</v>
      </c>
      <c r="B4587" s="35">
        <v>1.0489485214072001</v>
      </c>
    </row>
    <row r="4588" spans="1:2" ht="13.2" x14ac:dyDescent="0.25">
      <c r="A4588" s="34" t="s">
        <v>7618</v>
      </c>
      <c r="B4588" s="35">
        <v>1.11679371876009</v>
      </c>
    </row>
    <row r="4589" spans="1:2" ht="13.2" x14ac:dyDescent="0.25">
      <c r="A4589" s="34" t="s">
        <v>7617</v>
      </c>
      <c r="B4589" s="35">
        <v>1.05809762725385</v>
      </c>
    </row>
    <row r="4590" spans="1:2" ht="13.2" x14ac:dyDescent="0.25">
      <c r="A4590" s="34" t="s">
        <v>7616</v>
      </c>
    </row>
    <row r="4591" spans="1:2" ht="13.2" x14ac:dyDescent="0.25">
      <c r="A4591" s="34" t="s">
        <v>7615</v>
      </c>
    </row>
    <row r="4592" spans="1:2" ht="13.2" x14ac:dyDescent="0.25">
      <c r="A4592" s="34" t="s">
        <v>7614</v>
      </c>
      <c r="B4592" s="35">
        <v>1.0884729058812499</v>
      </c>
    </row>
    <row r="4593" spans="1:2" ht="13.2" x14ac:dyDescent="0.25">
      <c r="A4593" s="34" t="s">
        <v>7613</v>
      </c>
      <c r="B4593" s="35">
        <v>1.0871332941935301</v>
      </c>
    </row>
    <row r="4594" spans="1:2" ht="13.2" x14ac:dyDescent="0.25">
      <c r="A4594" s="34" t="s">
        <v>7612</v>
      </c>
      <c r="B4594" s="35">
        <v>1.0935089873279</v>
      </c>
    </row>
    <row r="4595" spans="1:2" ht="13.2" x14ac:dyDescent="0.25">
      <c r="A4595" s="34" t="s">
        <v>7611</v>
      </c>
      <c r="B4595" s="35">
        <v>1.0636032464940499</v>
      </c>
    </row>
    <row r="4596" spans="1:2" ht="13.2" x14ac:dyDescent="0.25">
      <c r="A4596" s="34" t="s">
        <v>7610</v>
      </c>
      <c r="B4596" s="35">
        <v>1.0760758813878699</v>
      </c>
    </row>
    <row r="4597" spans="1:2" ht="13.2" x14ac:dyDescent="0.25">
      <c r="A4597" s="34" t="s">
        <v>7609</v>
      </c>
    </row>
    <row r="4598" spans="1:2" ht="13.2" x14ac:dyDescent="0.25">
      <c r="A4598" s="34" t="s">
        <v>7608</v>
      </c>
    </row>
    <row r="4599" spans="1:2" ht="13.2" x14ac:dyDescent="0.25">
      <c r="A4599" s="34" t="s">
        <v>7607</v>
      </c>
      <c r="B4599" s="35">
        <v>1.07635607437282</v>
      </c>
    </row>
    <row r="4600" spans="1:2" ht="13.2" x14ac:dyDescent="0.25">
      <c r="A4600" s="34" t="s">
        <v>7606</v>
      </c>
      <c r="B4600" s="35">
        <v>0.97649096266195001</v>
      </c>
    </row>
    <row r="4601" spans="1:2" ht="13.2" x14ac:dyDescent="0.25">
      <c r="A4601" s="34" t="s">
        <v>7605</v>
      </c>
      <c r="B4601" s="35">
        <v>0.98822547286926898</v>
      </c>
    </row>
    <row r="4602" spans="1:2" ht="13.2" x14ac:dyDescent="0.25">
      <c r="A4602" s="34" t="s">
        <v>7604</v>
      </c>
      <c r="B4602" s="35">
        <v>0.99234759657392002</v>
      </c>
    </row>
    <row r="4603" spans="1:2" ht="13.2" x14ac:dyDescent="0.25">
      <c r="A4603" s="34" t="s">
        <v>7603</v>
      </c>
    </row>
    <row r="4604" spans="1:2" ht="13.2" x14ac:dyDescent="0.25">
      <c r="A4604" s="34" t="s">
        <v>7602</v>
      </c>
    </row>
    <row r="4605" spans="1:2" ht="13.2" x14ac:dyDescent="0.25">
      <c r="A4605" s="34" t="s">
        <v>7601</v>
      </c>
    </row>
    <row r="4606" spans="1:2" ht="13.2" x14ac:dyDescent="0.25">
      <c r="A4606" s="34" t="s">
        <v>7600</v>
      </c>
      <c r="B4606" s="35">
        <v>0.88663833884685905</v>
      </c>
    </row>
    <row r="4607" spans="1:2" ht="13.2" x14ac:dyDescent="0.25">
      <c r="A4607" s="34" t="s">
        <v>7599</v>
      </c>
      <c r="B4607" s="35">
        <v>1.0873592182084899</v>
      </c>
    </row>
    <row r="4608" spans="1:2" ht="13.2" x14ac:dyDescent="0.25">
      <c r="A4608" s="34" t="s">
        <v>7598</v>
      </c>
      <c r="B4608" s="35">
        <v>1.10157201107978</v>
      </c>
    </row>
    <row r="4609" spans="1:2" ht="13.2" x14ac:dyDescent="0.25">
      <c r="A4609" s="34" t="s">
        <v>7597</v>
      </c>
      <c r="B4609" s="35">
        <v>1.06759220504223</v>
      </c>
    </row>
    <row r="4610" spans="1:2" ht="13.2" x14ac:dyDescent="0.25">
      <c r="A4610" s="34" t="s">
        <v>7596</v>
      </c>
      <c r="B4610" s="35">
        <v>1.03251470093914</v>
      </c>
    </row>
    <row r="4611" spans="1:2" ht="13.2" x14ac:dyDescent="0.25">
      <c r="A4611" s="34" t="s">
        <v>7595</v>
      </c>
    </row>
    <row r="4612" spans="1:2" ht="13.2" x14ac:dyDescent="0.25">
      <c r="A4612" s="34" t="s">
        <v>7594</v>
      </c>
    </row>
    <row r="4613" spans="1:2" ht="13.2" x14ac:dyDescent="0.25">
      <c r="A4613" s="34" t="s">
        <v>7593</v>
      </c>
      <c r="B4613" s="35">
        <v>1.0097928511629899</v>
      </c>
    </row>
    <row r="4614" spans="1:2" ht="13.2" x14ac:dyDescent="0.25">
      <c r="A4614" s="34" t="s">
        <v>7592</v>
      </c>
      <c r="B4614" s="35">
        <v>1.01868634428311</v>
      </c>
    </row>
    <row r="4615" spans="1:2" ht="13.2" x14ac:dyDescent="0.25">
      <c r="A4615" s="34" t="s">
        <v>7591</v>
      </c>
      <c r="B4615" s="35">
        <v>1.1292002226739699</v>
      </c>
    </row>
    <row r="4616" spans="1:2" ht="13.2" x14ac:dyDescent="0.25">
      <c r="A4616" s="34" t="s">
        <v>7590</v>
      </c>
      <c r="B4616" s="35">
        <v>1.1237722625997399</v>
      </c>
    </row>
    <row r="4617" spans="1:2" ht="13.2" x14ac:dyDescent="0.25">
      <c r="A4617" s="34" t="s">
        <v>7589</v>
      </c>
      <c r="B4617" s="35">
        <v>1.12169513190347</v>
      </c>
    </row>
    <row r="4618" spans="1:2" ht="13.2" x14ac:dyDescent="0.25">
      <c r="A4618" s="34" t="s">
        <v>7588</v>
      </c>
    </row>
    <row r="4619" spans="1:2" ht="13.2" x14ac:dyDescent="0.25">
      <c r="A4619" s="34" t="s">
        <v>7587</v>
      </c>
    </row>
    <row r="4620" spans="1:2" ht="13.2" x14ac:dyDescent="0.25">
      <c r="A4620" s="34" t="s">
        <v>7586</v>
      </c>
      <c r="B4620" s="35">
        <v>1.10007921406836</v>
      </c>
    </row>
    <row r="4621" spans="1:2" ht="13.2" x14ac:dyDescent="0.25">
      <c r="A4621" s="34" t="s">
        <v>7585</v>
      </c>
      <c r="B4621" s="35">
        <v>1.15405028922297</v>
      </c>
    </row>
    <row r="4622" spans="1:2" ht="13.2" x14ac:dyDescent="0.25">
      <c r="A4622" s="34" t="s">
        <v>7584</v>
      </c>
      <c r="B4622" s="35">
        <v>1.1544502599844699</v>
      </c>
    </row>
    <row r="4623" spans="1:2" ht="13.2" x14ac:dyDescent="0.25">
      <c r="A4623" s="34" t="s">
        <v>7583</v>
      </c>
      <c r="B4623" s="35">
        <v>1.2761084147109001</v>
      </c>
    </row>
    <row r="4624" spans="1:2" ht="13.2" x14ac:dyDescent="0.25">
      <c r="A4624" s="34" t="s">
        <v>7582</v>
      </c>
      <c r="B4624" s="35">
        <v>1.27750486325954</v>
      </c>
    </row>
    <row r="4625" spans="1:2" ht="13.2" x14ac:dyDescent="0.25">
      <c r="A4625" s="34" t="s">
        <v>7581</v>
      </c>
    </row>
    <row r="4626" spans="1:2" ht="13.2" x14ac:dyDescent="0.25">
      <c r="A4626" s="34" t="s">
        <v>7580</v>
      </c>
    </row>
    <row r="4627" spans="1:2" ht="13.2" x14ac:dyDescent="0.25">
      <c r="A4627" s="34" t="s">
        <v>7579</v>
      </c>
      <c r="B4627" s="35">
        <v>1.2807515512791701</v>
      </c>
    </row>
    <row r="4628" spans="1:2" ht="13.2" x14ac:dyDescent="0.25">
      <c r="A4628" s="34" t="s">
        <v>7578</v>
      </c>
      <c r="B4628" s="35">
        <v>1.30897406354002</v>
      </c>
    </row>
    <row r="4629" spans="1:2" ht="13.2" x14ac:dyDescent="0.25">
      <c r="A4629" s="34" t="s">
        <v>7577</v>
      </c>
    </row>
    <row r="4630" spans="1:2" ht="13.2" x14ac:dyDescent="0.25">
      <c r="A4630" s="34" t="s">
        <v>7576</v>
      </c>
      <c r="B4630" s="35">
        <v>1.3204736817104501</v>
      </c>
    </row>
    <row r="4631" spans="1:2" ht="13.2" x14ac:dyDescent="0.25">
      <c r="A4631" s="34" t="s">
        <v>7575</v>
      </c>
      <c r="B4631" s="35">
        <v>1.3411082464377</v>
      </c>
    </row>
    <row r="4632" spans="1:2" ht="13.2" x14ac:dyDescent="0.25">
      <c r="A4632" s="34" t="s">
        <v>7574</v>
      </c>
    </row>
    <row r="4633" spans="1:2" ht="13.2" x14ac:dyDescent="0.25">
      <c r="A4633" s="34" t="s">
        <v>7573</v>
      </c>
    </row>
    <row r="4634" spans="1:2" ht="13.2" x14ac:dyDescent="0.25">
      <c r="A4634" s="34" t="s">
        <v>7572</v>
      </c>
      <c r="B4634" s="35">
        <v>1.31134697766915</v>
      </c>
    </row>
    <row r="4635" spans="1:2" ht="13.2" x14ac:dyDescent="0.25">
      <c r="A4635" s="34" t="s">
        <v>7571</v>
      </c>
      <c r="B4635" s="35">
        <v>1.3114957341803699</v>
      </c>
    </row>
    <row r="4636" spans="1:2" ht="13.2" x14ac:dyDescent="0.25">
      <c r="A4636" s="34" t="s">
        <v>7570</v>
      </c>
      <c r="B4636" s="35">
        <v>1.3095629677177001</v>
      </c>
    </row>
    <row r="4637" spans="1:2" ht="13.2" x14ac:dyDescent="0.25">
      <c r="A4637" s="34" t="s">
        <v>7569</v>
      </c>
      <c r="B4637" s="35">
        <v>1.4334008244557199</v>
      </c>
    </row>
    <row r="4638" spans="1:2" ht="13.2" x14ac:dyDescent="0.25">
      <c r="A4638" s="34" t="s">
        <v>7568</v>
      </c>
      <c r="B4638" s="35">
        <v>1.4195662031980001</v>
      </c>
    </row>
    <row r="4639" spans="1:2" ht="13.2" x14ac:dyDescent="0.25">
      <c r="A4639" s="34" t="s">
        <v>7567</v>
      </c>
    </row>
    <row r="4640" spans="1:2" ht="13.2" x14ac:dyDescent="0.25">
      <c r="A4640" s="34" t="s">
        <v>7566</v>
      </c>
    </row>
    <row r="4641" spans="1:2" ht="13.2" x14ac:dyDescent="0.25">
      <c r="A4641" s="34" t="s">
        <v>7565</v>
      </c>
      <c r="B4641" s="35">
        <v>1.41563227399248</v>
      </c>
    </row>
    <row r="4642" spans="1:2" ht="13.2" x14ac:dyDescent="0.25">
      <c r="A4642" s="34" t="s">
        <v>7564</v>
      </c>
      <c r="B4642" s="35">
        <v>1.4764961726978101</v>
      </c>
    </row>
    <row r="4643" spans="1:2" ht="13.2" x14ac:dyDescent="0.25">
      <c r="A4643" s="34" t="s">
        <v>7563</v>
      </c>
      <c r="B4643" s="35">
        <v>1.4733284258680399</v>
      </c>
    </row>
    <row r="4644" spans="1:2" ht="13.2" x14ac:dyDescent="0.25">
      <c r="A4644" s="34" t="s">
        <v>7562</v>
      </c>
      <c r="B4644" s="35">
        <v>1.46790598256539</v>
      </c>
    </row>
    <row r="4645" spans="1:2" ht="13.2" x14ac:dyDescent="0.25">
      <c r="A4645" s="34" t="s">
        <v>7561</v>
      </c>
      <c r="B4645" s="35">
        <v>1.37022297271219</v>
      </c>
    </row>
    <row r="4646" spans="1:2" ht="13.2" x14ac:dyDescent="0.25">
      <c r="A4646" s="34" t="s">
        <v>7560</v>
      </c>
    </row>
    <row r="4647" spans="1:2" ht="13.2" x14ac:dyDescent="0.25">
      <c r="A4647" s="34" t="s">
        <v>7559</v>
      </c>
    </row>
    <row r="4648" spans="1:2" ht="13.2" x14ac:dyDescent="0.25">
      <c r="A4648" s="34" t="s">
        <v>7558</v>
      </c>
      <c r="B4648" s="35">
        <v>1.4697355765670701</v>
      </c>
    </row>
    <row r="4649" spans="1:2" ht="13.2" x14ac:dyDescent="0.25">
      <c r="A4649" s="34" t="s">
        <v>7557</v>
      </c>
      <c r="B4649" s="35">
        <v>1.4988651102316499</v>
      </c>
    </row>
    <row r="4650" spans="1:2" ht="13.2" x14ac:dyDescent="0.25">
      <c r="A4650" s="34" t="s">
        <v>7556</v>
      </c>
      <c r="B4650" s="35">
        <v>1.4933683851122099</v>
      </c>
    </row>
    <row r="4651" spans="1:2" ht="13.2" x14ac:dyDescent="0.25">
      <c r="A4651" s="34" t="s">
        <v>7555</v>
      </c>
      <c r="B4651" s="35">
        <v>1.5677707740717499</v>
      </c>
    </row>
    <row r="4652" spans="1:2" ht="13.2" x14ac:dyDescent="0.25">
      <c r="A4652" s="34" t="s">
        <v>7554</v>
      </c>
      <c r="B4652" s="35">
        <v>1.5457509397845299</v>
      </c>
    </row>
    <row r="4653" spans="1:2" ht="13.2" x14ac:dyDescent="0.25">
      <c r="A4653" s="34" t="s">
        <v>7553</v>
      </c>
    </row>
    <row r="4654" spans="1:2" ht="13.2" x14ac:dyDescent="0.25">
      <c r="A4654" s="34" t="s">
        <v>7552</v>
      </c>
    </row>
    <row r="4655" spans="1:2" ht="13.2" x14ac:dyDescent="0.25">
      <c r="A4655" s="34" t="s">
        <v>7551</v>
      </c>
      <c r="B4655" s="35">
        <v>1.4300436508880201</v>
      </c>
    </row>
    <row r="4656" spans="1:2" ht="13.2" x14ac:dyDescent="0.25">
      <c r="A4656" s="34" t="s">
        <v>7550</v>
      </c>
      <c r="B4656" s="35">
        <v>1.4467451328391401</v>
      </c>
    </row>
    <row r="4657" spans="1:2" ht="13.2" x14ac:dyDescent="0.25">
      <c r="A4657" s="34" t="s">
        <v>7549</v>
      </c>
      <c r="B4657" s="35">
        <v>1.44440513252255</v>
      </c>
    </row>
    <row r="4658" spans="1:2" ht="13.2" x14ac:dyDescent="0.25">
      <c r="A4658" s="34" t="s">
        <v>7548</v>
      </c>
      <c r="B4658" s="35">
        <v>1.3810079269198801</v>
      </c>
    </row>
    <row r="4659" spans="1:2" ht="13.2" x14ac:dyDescent="0.25">
      <c r="A4659" s="34" t="s">
        <v>7547</v>
      </c>
      <c r="B4659" s="35">
        <v>1.3415482538188299</v>
      </c>
    </row>
    <row r="4660" spans="1:2" ht="13.2" x14ac:dyDescent="0.25">
      <c r="A4660" s="34" t="s">
        <v>7546</v>
      </c>
    </row>
    <row r="4661" spans="1:2" ht="13.2" x14ac:dyDescent="0.25">
      <c r="A4661" s="34" t="s">
        <v>7545</v>
      </c>
    </row>
    <row r="4662" spans="1:2" ht="13.2" x14ac:dyDescent="0.25">
      <c r="A4662" s="34" t="s">
        <v>7544</v>
      </c>
    </row>
    <row r="4663" spans="1:2" ht="13.2" x14ac:dyDescent="0.25">
      <c r="A4663" s="34" t="s">
        <v>7543</v>
      </c>
    </row>
    <row r="4664" spans="1:2" ht="13.2" x14ac:dyDescent="0.25">
      <c r="A4664" s="34" t="s">
        <v>7542</v>
      </c>
      <c r="B4664" s="35">
        <v>1.3674031561926601</v>
      </c>
    </row>
    <row r="4665" spans="1:2" ht="13.2" x14ac:dyDescent="0.25">
      <c r="A4665" s="34" t="s">
        <v>7541</v>
      </c>
      <c r="B4665" s="35">
        <v>1.3515923597961299</v>
      </c>
    </row>
    <row r="4666" spans="1:2" ht="13.2" x14ac:dyDescent="0.25">
      <c r="A4666" s="34" t="s">
        <v>7540</v>
      </c>
      <c r="B4666" s="35">
        <v>1.3509577400775199</v>
      </c>
    </row>
    <row r="4667" spans="1:2" ht="13.2" x14ac:dyDescent="0.25">
      <c r="A4667" s="34" t="s">
        <v>7539</v>
      </c>
    </row>
    <row r="4668" spans="1:2" ht="13.2" x14ac:dyDescent="0.25">
      <c r="A4668" s="34" t="s">
        <v>7538</v>
      </c>
    </row>
    <row r="4669" spans="1:2" ht="13.2" x14ac:dyDescent="0.25">
      <c r="A4669" s="34" t="s">
        <v>7537</v>
      </c>
      <c r="B4669" s="35">
        <v>1.44695578256044</v>
      </c>
    </row>
    <row r="4670" spans="1:2" ht="13.2" x14ac:dyDescent="0.25">
      <c r="A4670" s="34" t="s">
        <v>7536</v>
      </c>
      <c r="B4670" s="35">
        <v>1.3819981145165501</v>
      </c>
    </row>
    <row r="4671" spans="1:2" ht="13.2" x14ac:dyDescent="0.25">
      <c r="A4671" s="34" t="s">
        <v>7535</v>
      </c>
      <c r="B4671" s="35">
        <v>1.38417736494415</v>
      </c>
    </row>
    <row r="4672" spans="1:2" ht="13.2" x14ac:dyDescent="0.25">
      <c r="A4672" s="34" t="s">
        <v>7534</v>
      </c>
      <c r="B4672" s="35">
        <v>1.4997588359465699</v>
      </c>
    </row>
    <row r="4673" spans="1:2" ht="13.2" x14ac:dyDescent="0.25">
      <c r="A4673" s="34" t="s">
        <v>7533</v>
      </c>
      <c r="B4673" s="35">
        <v>1.4762430472280901</v>
      </c>
    </row>
    <row r="4674" spans="1:2" ht="13.2" x14ac:dyDescent="0.25">
      <c r="A4674" s="34" t="s">
        <v>7532</v>
      </c>
    </row>
    <row r="4675" spans="1:2" ht="13.2" x14ac:dyDescent="0.25">
      <c r="A4675" s="34" t="s">
        <v>7531</v>
      </c>
    </row>
    <row r="4676" spans="1:2" ht="13.2" x14ac:dyDescent="0.25">
      <c r="A4676" s="34" t="s">
        <v>7530</v>
      </c>
      <c r="B4676" s="35">
        <v>1.4770654885638199</v>
      </c>
    </row>
    <row r="4677" spans="1:2" ht="13.2" x14ac:dyDescent="0.25">
      <c r="A4677" s="34" t="s">
        <v>7529</v>
      </c>
      <c r="B4677" s="35">
        <v>1.52441215770556</v>
      </c>
    </row>
    <row r="4678" spans="1:2" ht="13.2" x14ac:dyDescent="0.25">
      <c r="A4678" s="34" t="s">
        <v>7528</v>
      </c>
      <c r="B4678" s="35">
        <v>1.57261701615437</v>
      </c>
    </row>
    <row r="4679" spans="1:2" ht="13.2" x14ac:dyDescent="0.25">
      <c r="A4679" s="34" t="s">
        <v>7527</v>
      </c>
      <c r="B4679" s="35">
        <v>1.4673652996739099</v>
      </c>
    </row>
    <row r="4680" spans="1:2" ht="13.2" x14ac:dyDescent="0.25">
      <c r="A4680" s="34" t="s">
        <v>7526</v>
      </c>
      <c r="B4680" s="35">
        <v>1.4475005210663401</v>
      </c>
    </row>
    <row r="4681" spans="1:2" ht="13.2" x14ac:dyDescent="0.25">
      <c r="A4681" s="34" t="s">
        <v>7525</v>
      </c>
    </row>
    <row r="4682" spans="1:2" ht="13.2" x14ac:dyDescent="0.25">
      <c r="A4682" s="34" t="s">
        <v>7524</v>
      </c>
    </row>
    <row r="4683" spans="1:2" ht="13.2" x14ac:dyDescent="0.25">
      <c r="A4683" s="34" t="s">
        <v>7523</v>
      </c>
      <c r="B4683" s="35">
        <v>1.4089649946190399</v>
      </c>
    </row>
    <row r="4684" spans="1:2" ht="13.2" x14ac:dyDescent="0.25">
      <c r="A4684" s="34" t="s">
        <v>7522</v>
      </c>
      <c r="B4684" s="35">
        <v>1.36120025710411</v>
      </c>
    </row>
    <row r="4685" spans="1:2" ht="13.2" x14ac:dyDescent="0.25">
      <c r="A4685" s="34" t="s">
        <v>7521</v>
      </c>
      <c r="B4685" s="35">
        <v>1.38668248882301</v>
      </c>
    </row>
    <row r="4686" spans="1:2" ht="13.2" x14ac:dyDescent="0.25">
      <c r="A4686" s="34" t="s">
        <v>7520</v>
      </c>
      <c r="B4686" s="35">
        <v>1.39821542279794</v>
      </c>
    </row>
    <row r="4687" spans="1:2" ht="13.2" x14ac:dyDescent="0.25">
      <c r="A4687" s="34" t="s">
        <v>7519</v>
      </c>
      <c r="B4687" s="35">
        <v>1.38723382445495</v>
      </c>
    </row>
    <row r="4688" spans="1:2" ht="13.2" x14ac:dyDescent="0.25">
      <c r="A4688" s="34" t="s">
        <v>7518</v>
      </c>
    </row>
    <row r="4689" spans="1:2" ht="13.2" x14ac:dyDescent="0.25">
      <c r="A4689" s="34" t="s">
        <v>7517</v>
      </c>
    </row>
    <row r="4690" spans="1:2" ht="13.2" x14ac:dyDescent="0.25">
      <c r="A4690" s="34" t="s">
        <v>7516</v>
      </c>
      <c r="B4690" s="35">
        <v>1.3868594917610899</v>
      </c>
    </row>
    <row r="4691" spans="1:2" ht="13.2" x14ac:dyDescent="0.25">
      <c r="A4691" s="34" t="s">
        <v>7515</v>
      </c>
      <c r="B4691" s="35">
        <v>1.48447988138412</v>
      </c>
    </row>
    <row r="4692" spans="1:2" ht="13.2" x14ac:dyDescent="0.25">
      <c r="A4692" s="34" t="s">
        <v>7514</v>
      </c>
      <c r="B4692" s="35">
        <v>1.5676866859040299</v>
      </c>
    </row>
    <row r="4693" spans="1:2" ht="13.2" x14ac:dyDescent="0.25">
      <c r="A4693" s="34" t="s">
        <v>7513</v>
      </c>
      <c r="B4693" s="35">
        <v>1.53904557141997</v>
      </c>
    </row>
    <row r="4694" spans="1:2" ht="13.2" x14ac:dyDescent="0.25">
      <c r="A4694" s="34" t="s">
        <v>7512</v>
      </c>
      <c r="B4694" s="35">
        <v>1.5452941705159</v>
      </c>
    </row>
    <row r="4695" spans="1:2" ht="13.2" x14ac:dyDescent="0.25">
      <c r="A4695" s="34" t="s">
        <v>7511</v>
      </c>
    </row>
    <row r="4696" spans="1:2" ht="13.2" x14ac:dyDescent="0.25">
      <c r="A4696" s="34" t="s">
        <v>7510</v>
      </c>
    </row>
    <row r="4697" spans="1:2" ht="13.2" x14ac:dyDescent="0.25">
      <c r="A4697" s="34" t="s">
        <v>7509</v>
      </c>
      <c r="B4697" s="35">
        <v>1.6126517107157701</v>
      </c>
    </row>
    <row r="4698" spans="1:2" ht="13.2" x14ac:dyDescent="0.25">
      <c r="A4698" s="34" t="s">
        <v>7508</v>
      </c>
      <c r="B4698" s="35">
        <v>1.53079818175561</v>
      </c>
    </row>
    <row r="4699" spans="1:2" ht="13.2" x14ac:dyDescent="0.25">
      <c r="A4699" s="34" t="s">
        <v>7507</v>
      </c>
      <c r="B4699" s="35">
        <v>1.42201947099277</v>
      </c>
    </row>
    <row r="4700" spans="1:2" ht="13.2" x14ac:dyDescent="0.25">
      <c r="A4700" s="34" t="s">
        <v>7506</v>
      </c>
      <c r="B4700" s="35">
        <v>1.4183744471970601</v>
      </c>
    </row>
    <row r="4701" spans="1:2" ht="13.2" x14ac:dyDescent="0.25">
      <c r="A4701" s="34" t="s">
        <v>7505</v>
      </c>
      <c r="B4701" s="35">
        <v>1.28497376218657</v>
      </c>
    </row>
    <row r="4702" spans="1:2" ht="13.2" x14ac:dyDescent="0.25">
      <c r="A4702" s="34" t="s">
        <v>7504</v>
      </c>
    </row>
    <row r="4703" spans="1:2" ht="13.2" x14ac:dyDescent="0.25">
      <c r="A4703" s="34" t="s">
        <v>7503</v>
      </c>
    </row>
    <row r="4704" spans="1:2" ht="13.2" x14ac:dyDescent="0.25">
      <c r="A4704" s="34" t="s">
        <v>7502</v>
      </c>
      <c r="B4704" s="35">
        <v>1.2910874810472699</v>
      </c>
    </row>
    <row r="4705" spans="1:2" ht="13.2" x14ac:dyDescent="0.25">
      <c r="A4705" s="34" t="s">
        <v>7501</v>
      </c>
      <c r="B4705" s="35">
        <v>1.3406938026047399</v>
      </c>
    </row>
    <row r="4706" spans="1:2" ht="13.2" x14ac:dyDescent="0.25">
      <c r="A4706" s="34" t="s">
        <v>7500</v>
      </c>
      <c r="B4706" s="35">
        <v>1.3030418658773599</v>
      </c>
    </row>
    <row r="4707" spans="1:2" ht="13.2" x14ac:dyDescent="0.25">
      <c r="A4707" s="34" t="s">
        <v>7499</v>
      </c>
      <c r="B4707" s="35">
        <v>1.2565846823612401</v>
      </c>
    </row>
    <row r="4708" spans="1:2" ht="13.2" x14ac:dyDescent="0.25">
      <c r="A4708" s="34" t="s">
        <v>7498</v>
      </c>
    </row>
    <row r="4709" spans="1:2" ht="13.2" x14ac:dyDescent="0.25">
      <c r="A4709" s="34" t="s">
        <v>7497</v>
      </c>
    </row>
    <row r="4710" spans="1:2" ht="13.2" x14ac:dyDescent="0.25">
      <c r="A4710" s="34" t="s">
        <v>7496</v>
      </c>
    </row>
    <row r="4711" spans="1:2" ht="13.2" x14ac:dyDescent="0.25">
      <c r="A4711" s="34" t="s">
        <v>7495</v>
      </c>
      <c r="B4711" s="35">
        <v>1.27460744750215</v>
      </c>
    </row>
    <row r="4712" spans="1:2" ht="13.2" x14ac:dyDescent="0.25">
      <c r="A4712" s="34" t="s">
        <v>7494</v>
      </c>
      <c r="B4712" s="35">
        <v>1.4107349911064599</v>
      </c>
    </row>
    <row r="4713" spans="1:2" ht="13.2" x14ac:dyDescent="0.25">
      <c r="A4713" s="34" t="s">
        <v>7493</v>
      </c>
      <c r="B4713" s="35">
        <v>1.41917278803838</v>
      </c>
    </row>
    <row r="4714" spans="1:2" ht="13.2" x14ac:dyDescent="0.25">
      <c r="A4714" s="34" t="s">
        <v>7492</v>
      </c>
      <c r="B4714" s="35">
        <v>1.3234733143303601</v>
      </c>
    </row>
    <row r="4715" spans="1:2" ht="13.2" x14ac:dyDescent="0.25">
      <c r="A4715" s="34" t="s">
        <v>7491</v>
      </c>
    </row>
    <row r="4716" spans="1:2" ht="13.2" x14ac:dyDescent="0.25">
      <c r="A4716" s="34" t="s">
        <v>7490</v>
      </c>
    </row>
    <row r="4717" spans="1:2" ht="13.2" x14ac:dyDescent="0.25">
      <c r="A4717" s="34" t="s">
        <v>7489</v>
      </c>
    </row>
    <row r="4718" spans="1:2" ht="13.2" x14ac:dyDescent="0.25">
      <c r="A4718" s="34" t="s">
        <v>7488</v>
      </c>
      <c r="B4718" s="35">
        <v>1.3086541849917901</v>
      </c>
    </row>
    <row r="4719" spans="1:2" ht="13.2" x14ac:dyDescent="0.25">
      <c r="A4719" s="34" t="s">
        <v>7487</v>
      </c>
      <c r="B4719" s="35">
        <v>1.2797316989418599</v>
      </c>
    </row>
    <row r="4720" spans="1:2" ht="13.2" x14ac:dyDescent="0.25">
      <c r="A4720" s="34" t="s">
        <v>7486</v>
      </c>
      <c r="B4720" s="35">
        <v>1.3155582169175599</v>
      </c>
    </row>
    <row r="4721" spans="1:2" ht="13.2" x14ac:dyDescent="0.25">
      <c r="A4721" s="34" t="s">
        <v>7485</v>
      </c>
      <c r="B4721" s="35">
        <v>1.3854174596384801</v>
      </c>
    </row>
    <row r="4722" spans="1:2" ht="13.2" x14ac:dyDescent="0.25">
      <c r="A4722" s="34" t="s">
        <v>7484</v>
      </c>
      <c r="B4722" s="35">
        <v>1.2474685949277</v>
      </c>
    </row>
    <row r="4723" spans="1:2" ht="13.2" x14ac:dyDescent="0.25">
      <c r="A4723" s="34" t="s">
        <v>7483</v>
      </c>
    </row>
    <row r="4724" spans="1:2" ht="13.2" x14ac:dyDescent="0.25">
      <c r="A4724" s="34" t="s">
        <v>7482</v>
      </c>
    </row>
    <row r="4725" spans="1:2" ht="13.2" x14ac:dyDescent="0.25">
      <c r="A4725" s="34" t="s">
        <v>7481</v>
      </c>
    </row>
    <row r="4726" spans="1:2" ht="13.2" x14ac:dyDescent="0.25">
      <c r="A4726" s="34" t="s">
        <v>7480</v>
      </c>
      <c r="B4726" s="35">
        <v>1.2133842685109999</v>
      </c>
    </row>
    <row r="4727" spans="1:2" ht="13.2" x14ac:dyDescent="0.25">
      <c r="A4727" s="34" t="s">
        <v>7479</v>
      </c>
      <c r="B4727" s="35">
        <v>1.2192674050755401</v>
      </c>
    </row>
    <row r="4728" spans="1:2" ht="13.2" x14ac:dyDescent="0.25">
      <c r="A4728" s="34" t="s">
        <v>7478</v>
      </c>
      <c r="B4728" s="35">
        <v>1.2202458394684399</v>
      </c>
    </row>
    <row r="4729" spans="1:2" ht="13.2" x14ac:dyDescent="0.25">
      <c r="A4729" s="34" t="s">
        <v>7477</v>
      </c>
      <c r="B4729" s="35">
        <v>1.17426650630158</v>
      </c>
    </row>
    <row r="4730" spans="1:2" ht="13.2" x14ac:dyDescent="0.25">
      <c r="A4730" s="34" t="s">
        <v>7476</v>
      </c>
    </row>
    <row r="4731" spans="1:2" ht="13.2" x14ac:dyDescent="0.25">
      <c r="A4731" s="34" t="s">
        <v>7475</v>
      </c>
    </row>
    <row r="4732" spans="1:2" ht="13.2" x14ac:dyDescent="0.25">
      <c r="A4732" s="34" t="s">
        <v>7474</v>
      </c>
      <c r="B4732" s="35">
        <v>1.1741986044235599</v>
      </c>
    </row>
    <row r="4733" spans="1:2" ht="13.2" x14ac:dyDescent="0.25">
      <c r="A4733" s="34" t="s">
        <v>7473</v>
      </c>
      <c r="B4733" s="35">
        <v>1.18498328191993</v>
      </c>
    </row>
    <row r="4734" spans="1:2" ht="13.2" x14ac:dyDescent="0.25">
      <c r="A4734" s="34" t="s">
        <v>7472</v>
      </c>
      <c r="B4734" s="35">
        <v>1.19887947493392</v>
      </c>
    </row>
    <row r="4735" spans="1:2" ht="13.2" x14ac:dyDescent="0.25">
      <c r="A4735" s="34" t="s">
        <v>7471</v>
      </c>
      <c r="B4735" s="35">
        <v>1.2916475251128099</v>
      </c>
    </row>
    <row r="4736" spans="1:2" ht="13.2" x14ac:dyDescent="0.25">
      <c r="A4736" s="34" t="s">
        <v>7470</v>
      </c>
      <c r="B4736" s="35">
        <v>1.3142259918239101</v>
      </c>
    </row>
    <row r="4737" spans="1:2" ht="13.2" x14ac:dyDescent="0.25">
      <c r="A4737" s="34" t="s">
        <v>7469</v>
      </c>
    </row>
    <row r="4738" spans="1:2" ht="13.2" x14ac:dyDescent="0.25">
      <c r="A4738" s="34" t="s">
        <v>7468</v>
      </c>
    </row>
    <row r="4739" spans="1:2" ht="13.2" x14ac:dyDescent="0.25">
      <c r="A4739" s="34" t="s">
        <v>7467</v>
      </c>
      <c r="B4739" s="35">
        <v>1.3849427748971299</v>
      </c>
    </row>
    <row r="4740" spans="1:2" ht="13.2" x14ac:dyDescent="0.25">
      <c r="A4740" s="34" t="s">
        <v>7466</v>
      </c>
      <c r="B4740" s="35">
        <v>1.3581312935710499</v>
      </c>
    </row>
    <row r="4741" spans="1:2" ht="13.2" x14ac:dyDescent="0.25">
      <c r="A4741" s="34" t="s">
        <v>7465</v>
      </c>
      <c r="B4741" s="35">
        <v>1.4959167370009401</v>
      </c>
    </row>
    <row r="4742" spans="1:2" ht="13.2" x14ac:dyDescent="0.25">
      <c r="A4742" s="34" t="s">
        <v>7464</v>
      </c>
      <c r="B4742" s="35">
        <v>1.50435032341546</v>
      </c>
    </row>
    <row r="4743" spans="1:2" ht="13.2" x14ac:dyDescent="0.25">
      <c r="A4743" s="34" t="s">
        <v>7463</v>
      </c>
      <c r="B4743" s="35">
        <v>1.3466127042181699</v>
      </c>
    </row>
    <row r="4744" spans="1:2" ht="13.2" x14ac:dyDescent="0.25">
      <c r="A4744" s="34" t="s">
        <v>7462</v>
      </c>
    </row>
    <row r="4745" spans="1:2" ht="13.2" x14ac:dyDescent="0.25">
      <c r="A4745" s="34" t="s">
        <v>7461</v>
      </c>
    </row>
    <row r="4746" spans="1:2" ht="13.2" x14ac:dyDescent="0.25">
      <c r="A4746" s="34" t="s">
        <v>7460</v>
      </c>
      <c r="B4746" s="35">
        <v>1.4785924465990601</v>
      </c>
    </row>
    <row r="4747" spans="1:2" ht="13.2" x14ac:dyDescent="0.25">
      <c r="A4747" s="34" t="s">
        <v>7459</v>
      </c>
      <c r="B4747" s="35">
        <v>1.4850841742515799</v>
      </c>
    </row>
    <row r="4748" spans="1:2" ht="13.2" x14ac:dyDescent="0.25">
      <c r="A4748" s="34" t="s">
        <v>7458</v>
      </c>
      <c r="B4748" s="35">
        <v>1.4848760312427101</v>
      </c>
    </row>
    <row r="4749" spans="1:2" ht="13.2" x14ac:dyDescent="0.25">
      <c r="A4749" s="34" t="s">
        <v>7457</v>
      </c>
      <c r="B4749" s="35">
        <v>1.8883278206813201</v>
      </c>
    </row>
    <row r="4750" spans="1:2" ht="13.2" x14ac:dyDescent="0.25">
      <c r="A4750" s="34" t="s">
        <v>7456</v>
      </c>
      <c r="B4750" s="35">
        <v>1.93601737692475</v>
      </c>
    </row>
    <row r="4751" spans="1:2" ht="13.2" x14ac:dyDescent="0.25">
      <c r="A4751" s="34" t="s">
        <v>7455</v>
      </c>
    </row>
    <row r="4752" spans="1:2" ht="13.2" x14ac:dyDescent="0.25">
      <c r="A4752" s="34" t="s">
        <v>7454</v>
      </c>
    </row>
    <row r="4753" spans="1:2" ht="13.2" x14ac:dyDescent="0.25">
      <c r="A4753" s="34" t="s">
        <v>7453</v>
      </c>
      <c r="B4753" s="35">
        <v>1.9163291569649099</v>
      </c>
    </row>
    <row r="4754" spans="1:2" ht="13.2" x14ac:dyDescent="0.25">
      <c r="A4754" s="34" t="s">
        <v>7452</v>
      </c>
      <c r="B4754" s="35">
        <v>2.1031492142024302</v>
      </c>
    </row>
    <row r="4755" spans="1:2" ht="13.2" x14ac:dyDescent="0.25">
      <c r="A4755" s="34" t="s">
        <v>7451</v>
      </c>
      <c r="B4755" s="35">
        <v>2.0572254672707602</v>
      </c>
    </row>
    <row r="4756" spans="1:2" ht="13.2" x14ac:dyDescent="0.25">
      <c r="A4756" s="34" t="s">
        <v>7450</v>
      </c>
      <c r="B4756" s="35">
        <v>2.2207680039728501</v>
      </c>
    </row>
    <row r="4757" spans="1:2" ht="13.2" x14ac:dyDescent="0.25">
      <c r="A4757" s="34" t="s">
        <v>7449</v>
      </c>
      <c r="B4757" s="35">
        <v>2.2266834574921002</v>
      </c>
    </row>
    <row r="4758" spans="1:2" ht="13.2" x14ac:dyDescent="0.25">
      <c r="A4758" s="34" t="s">
        <v>7448</v>
      </c>
    </row>
    <row r="4759" spans="1:2" ht="13.2" x14ac:dyDescent="0.25">
      <c r="A4759" s="34" t="s">
        <v>7447</v>
      </c>
    </row>
    <row r="4760" spans="1:2" ht="13.2" x14ac:dyDescent="0.25">
      <c r="A4760" s="34" t="s">
        <v>7446</v>
      </c>
      <c r="B4760" s="35">
        <v>2.2843042539727501</v>
      </c>
    </row>
    <row r="4761" spans="1:2" ht="13.2" x14ac:dyDescent="0.25">
      <c r="A4761" s="34" t="s">
        <v>7445</v>
      </c>
      <c r="B4761" s="35">
        <v>2.2769460674765298</v>
      </c>
    </row>
    <row r="4762" spans="1:2" ht="13.2" x14ac:dyDescent="0.25">
      <c r="A4762" s="34" t="s">
        <v>7444</v>
      </c>
      <c r="B4762" s="35">
        <v>2.3310129983301802</v>
      </c>
    </row>
    <row r="4763" spans="1:2" ht="13.2" x14ac:dyDescent="0.25">
      <c r="A4763" s="34" t="s">
        <v>7443</v>
      </c>
      <c r="B4763" s="35">
        <v>2.3482648747290602</v>
      </c>
    </row>
    <row r="4764" spans="1:2" ht="13.2" x14ac:dyDescent="0.25">
      <c r="A4764" s="34" t="s">
        <v>7442</v>
      </c>
      <c r="B4764" s="35">
        <v>2.3269587931020501</v>
      </c>
    </row>
    <row r="4765" spans="1:2" ht="13.2" x14ac:dyDescent="0.25">
      <c r="A4765" s="34" t="s">
        <v>7441</v>
      </c>
    </row>
    <row r="4766" spans="1:2" ht="13.2" x14ac:dyDescent="0.25">
      <c r="A4766" s="34" t="s">
        <v>7440</v>
      </c>
    </row>
    <row r="4767" spans="1:2" ht="13.2" x14ac:dyDescent="0.25">
      <c r="A4767" s="34" t="s">
        <v>7439</v>
      </c>
      <c r="B4767" s="35">
        <v>2.4592674791226399</v>
      </c>
    </row>
    <row r="4768" spans="1:2" ht="13.2" x14ac:dyDescent="0.25">
      <c r="A4768" s="34" t="s">
        <v>7438</v>
      </c>
      <c r="B4768" s="35">
        <v>2.4516608812060299</v>
      </c>
    </row>
    <row r="4769" spans="1:2" ht="13.2" x14ac:dyDescent="0.25">
      <c r="A4769" s="34" t="s">
        <v>7437</v>
      </c>
      <c r="B4769" s="35">
        <v>2.4495978255469599</v>
      </c>
    </row>
    <row r="4770" spans="1:2" ht="13.2" x14ac:dyDescent="0.25">
      <c r="A4770" s="34" t="s">
        <v>7436</v>
      </c>
    </row>
    <row r="4771" spans="1:2" ht="13.2" x14ac:dyDescent="0.25">
      <c r="A4771" s="34" t="s">
        <v>7435</v>
      </c>
      <c r="B4771" s="35">
        <v>2.6480808896451302</v>
      </c>
    </row>
    <row r="4772" spans="1:2" ht="13.2" x14ac:dyDescent="0.25">
      <c r="A4772" s="34" t="s">
        <v>7434</v>
      </c>
    </row>
    <row r="4773" spans="1:2" ht="13.2" x14ac:dyDescent="0.25">
      <c r="A4773" s="34" t="s">
        <v>7433</v>
      </c>
    </row>
    <row r="4774" spans="1:2" ht="13.2" x14ac:dyDescent="0.25">
      <c r="A4774" s="34" t="s">
        <v>7432</v>
      </c>
      <c r="B4774" s="35">
        <v>2.6512795638303399</v>
      </c>
    </row>
    <row r="4775" spans="1:2" ht="13.2" x14ac:dyDescent="0.25">
      <c r="A4775" s="34" t="s">
        <v>7431</v>
      </c>
      <c r="B4775" s="35">
        <v>2.6507965955059398</v>
      </c>
    </row>
    <row r="4776" spans="1:2" ht="13.2" x14ac:dyDescent="0.25">
      <c r="A4776" s="34" t="s">
        <v>7430</v>
      </c>
      <c r="B4776" s="35">
        <v>2.6600346817648202</v>
      </c>
    </row>
    <row r="4777" spans="1:2" ht="13.2" x14ac:dyDescent="0.25">
      <c r="A4777" s="34" t="s">
        <v>7429</v>
      </c>
      <c r="B4777" s="35">
        <v>2.65542932191256</v>
      </c>
    </row>
    <row r="4778" spans="1:2" ht="13.2" x14ac:dyDescent="0.25">
      <c r="A4778" s="34" t="s">
        <v>7428</v>
      </c>
      <c r="B4778" s="35">
        <v>2.66442031830687</v>
      </c>
    </row>
    <row r="4779" spans="1:2" ht="13.2" x14ac:dyDescent="0.25">
      <c r="A4779" s="34" t="s">
        <v>7427</v>
      </c>
    </row>
    <row r="4780" spans="1:2" ht="13.2" x14ac:dyDescent="0.25">
      <c r="A4780" s="34" t="s">
        <v>7426</v>
      </c>
    </row>
    <row r="4781" spans="1:2" ht="13.2" x14ac:dyDescent="0.25">
      <c r="A4781" s="34" t="s">
        <v>7425</v>
      </c>
      <c r="B4781" s="35">
        <v>2.4067084034703998</v>
      </c>
    </row>
    <row r="4782" spans="1:2" ht="13.2" x14ac:dyDescent="0.25">
      <c r="A4782" s="34" t="s">
        <v>7424</v>
      </c>
      <c r="B4782" s="35">
        <v>2.3167900631320402</v>
      </c>
    </row>
    <row r="4783" spans="1:2" ht="13.2" x14ac:dyDescent="0.25">
      <c r="A4783" s="34" t="s">
        <v>7423</v>
      </c>
      <c r="B4783" s="35">
        <v>2.3497701186053601</v>
      </c>
    </row>
    <row r="4784" spans="1:2" ht="13.2" x14ac:dyDescent="0.25">
      <c r="A4784" s="34" t="s">
        <v>7422</v>
      </c>
      <c r="B4784" s="35">
        <v>2.3898153808686899</v>
      </c>
    </row>
    <row r="4785" spans="1:2" ht="13.2" x14ac:dyDescent="0.25">
      <c r="A4785" s="34" t="s">
        <v>7421</v>
      </c>
      <c r="B4785" s="35">
        <v>2.3903442922110298</v>
      </c>
    </row>
    <row r="4786" spans="1:2" ht="13.2" x14ac:dyDescent="0.25">
      <c r="A4786" s="34" t="s">
        <v>7420</v>
      </c>
    </row>
    <row r="4787" spans="1:2" ht="13.2" x14ac:dyDescent="0.25">
      <c r="A4787" s="34" t="s">
        <v>7419</v>
      </c>
    </row>
    <row r="4788" spans="1:2" ht="13.2" x14ac:dyDescent="0.25">
      <c r="A4788" s="34" t="s">
        <v>7418</v>
      </c>
      <c r="B4788" s="35">
        <v>2.3164734111340901</v>
      </c>
    </row>
    <row r="4789" spans="1:2" ht="13.2" x14ac:dyDescent="0.25">
      <c r="A4789" s="34" t="s">
        <v>7417</v>
      </c>
      <c r="B4789" s="35">
        <v>2.31300130184747</v>
      </c>
    </row>
    <row r="4790" spans="1:2" ht="13.2" x14ac:dyDescent="0.25">
      <c r="A4790" s="34" t="s">
        <v>7416</v>
      </c>
      <c r="B4790" s="35">
        <v>2.2792034428061601</v>
      </c>
    </row>
    <row r="4791" spans="1:2" ht="13.2" x14ac:dyDescent="0.25">
      <c r="A4791" s="34" t="s">
        <v>7415</v>
      </c>
      <c r="B4791" s="35">
        <v>2.2789909241844799</v>
      </c>
    </row>
    <row r="4792" spans="1:2" ht="13.2" x14ac:dyDescent="0.25">
      <c r="A4792" s="34" t="s">
        <v>7414</v>
      </c>
      <c r="B4792" s="35">
        <v>2.1451692362853301</v>
      </c>
    </row>
    <row r="4793" spans="1:2" ht="13.2" x14ac:dyDescent="0.25">
      <c r="A4793" s="34" t="s">
        <v>7413</v>
      </c>
    </row>
    <row r="4794" spans="1:2" ht="13.2" x14ac:dyDescent="0.25">
      <c r="A4794" s="34" t="s">
        <v>7412</v>
      </c>
    </row>
    <row r="4795" spans="1:2" ht="13.2" x14ac:dyDescent="0.25">
      <c r="A4795" s="34" t="s">
        <v>7411</v>
      </c>
      <c r="B4795" s="35">
        <v>2.1434006069981302</v>
      </c>
    </row>
    <row r="4796" spans="1:2" ht="13.2" x14ac:dyDescent="0.25">
      <c r="A4796" s="34" t="s">
        <v>7410</v>
      </c>
      <c r="B4796" s="35">
        <v>2.1387585797616002</v>
      </c>
    </row>
    <row r="4797" spans="1:2" ht="13.2" x14ac:dyDescent="0.25">
      <c r="A4797" s="34" t="s">
        <v>7409</v>
      </c>
      <c r="B4797" s="35">
        <v>1.87965298670861</v>
      </c>
    </row>
    <row r="4798" spans="1:2" ht="13.2" x14ac:dyDescent="0.25">
      <c r="A4798" s="34" t="s">
        <v>7408</v>
      </c>
      <c r="B4798" s="35">
        <v>1.9019122242894899</v>
      </c>
    </row>
    <row r="4799" spans="1:2" ht="13.2" x14ac:dyDescent="0.25">
      <c r="A4799" s="34" t="s">
        <v>7407</v>
      </c>
      <c r="B4799" s="35">
        <v>1.90351471128775</v>
      </c>
    </row>
    <row r="4800" spans="1:2" ht="13.2" x14ac:dyDescent="0.25">
      <c r="A4800" s="34" t="s">
        <v>7406</v>
      </c>
    </row>
    <row r="4801" spans="1:2" ht="13.2" x14ac:dyDescent="0.25">
      <c r="A4801" s="34" t="s">
        <v>7405</v>
      </c>
    </row>
    <row r="4802" spans="1:2" ht="13.2" x14ac:dyDescent="0.25">
      <c r="A4802" s="34" t="s">
        <v>7404</v>
      </c>
      <c r="B4802" s="35">
        <v>1.7014187196960699</v>
      </c>
    </row>
    <row r="4803" spans="1:2" ht="13.2" x14ac:dyDescent="0.25">
      <c r="A4803" s="34" t="s">
        <v>7403</v>
      </c>
      <c r="B4803" s="35">
        <v>1.6700755422276601</v>
      </c>
    </row>
    <row r="4804" spans="1:2" ht="13.2" x14ac:dyDescent="0.25">
      <c r="A4804" s="34" t="s">
        <v>7402</v>
      </c>
      <c r="B4804" s="35">
        <v>1.9123662255482301</v>
      </c>
    </row>
    <row r="4805" spans="1:2" ht="13.2" x14ac:dyDescent="0.25">
      <c r="A4805" s="34" t="s">
        <v>7401</v>
      </c>
      <c r="B4805" s="35">
        <v>1.9465843471262101</v>
      </c>
    </row>
    <row r="4806" spans="1:2" ht="13.2" x14ac:dyDescent="0.25">
      <c r="A4806" s="34" t="s">
        <v>7400</v>
      </c>
      <c r="B4806" s="35">
        <v>1.9535025372863499</v>
      </c>
    </row>
    <row r="4807" spans="1:2" ht="13.2" x14ac:dyDescent="0.25">
      <c r="A4807" s="34" t="s">
        <v>7399</v>
      </c>
    </row>
    <row r="4808" spans="1:2" ht="13.2" x14ac:dyDescent="0.25">
      <c r="A4808" s="34" t="s">
        <v>7398</v>
      </c>
    </row>
    <row r="4809" spans="1:2" ht="13.2" x14ac:dyDescent="0.25">
      <c r="A4809" s="34" t="s">
        <v>7397</v>
      </c>
      <c r="B4809" s="35">
        <v>1.98647181932493</v>
      </c>
    </row>
    <row r="4810" spans="1:2" ht="13.2" x14ac:dyDescent="0.25">
      <c r="A4810" s="34" t="s">
        <v>7396</v>
      </c>
      <c r="B4810" s="35">
        <v>1.99796305295234</v>
      </c>
    </row>
    <row r="4811" spans="1:2" ht="13.2" x14ac:dyDescent="0.25">
      <c r="A4811" s="34" t="s">
        <v>7395</v>
      </c>
      <c r="B4811" s="35">
        <v>1.98822277514511</v>
      </c>
    </row>
    <row r="4812" spans="1:2" ht="13.2" x14ac:dyDescent="0.25">
      <c r="A4812" s="34" t="s">
        <v>7394</v>
      </c>
      <c r="B4812" s="35">
        <v>1.97789965535794</v>
      </c>
    </row>
    <row r="4813" spans="1:2" ht="13.2" x14ac:dyDescent="0.25">
      <c r="A4813" s="34" t="s">
        <v>7393</v>
      </c>
      <c r="B4813" s="35">
        <v>1.7294356120530401</v>
      </c>
    </row>
    <row r="4814" spans="1:2" ht="13.2" x14ac:dyDescent="0.25">
      <c r="A4814" s="34" t="s">
        <v>7392</v>
      </c>
    </row>
    <row r="4815" spans="1:2" ht="13.2" x14ac:dyDescent="0.25">
      <c r="A4815" s="34" t="s">
        <v>7391</v>
      </c>
    </row>
    <row r="4816" spans="1:2" ht="13.2" x14ac:dyDescent="0.25">
      <c r="A4816" s="34" t="s">
        <v>7390</v>
      </c>
      <c r="B4816" s="35">
        <v>1.7398258681255401</v>
      </c>
    </row>
    <row r="4817" spans="1:2" ht="13.2" x14ac:dyDescent="0.25">
      <c r="A4817" s="34" t="s">
        <v>7389</v>
      </c>
      <c r="B4817" s="35">
        <v>1.68937722017708</v>
      </c>
    </row>
    <row r="4818" spans="1:2" ht="13.2" x14ac:dyDescent="0.25">
      <c r="A4818" s="34" t="s">
        <v>7388</v>
      </c>
      <c r="B4818" s="35">
        <v>1.7122720534723299</v>
      </c>
    </row>
    <row r="4819" spans="1:2" ht="13.2" x14ac:dyDescent="0.25">
      <c r="A4819" s="34" t="s">
        <v>7387</v>
      </c>
      <c r="B4819" s="35">
        <v>1.6005056709364101</v>
      </c>
    </row>
    <row r="4820" spans="1:2" ht="13.2" x14ac:dyDescent="0.25">
      <c r="A4820" s="34" t="s">
        <v>7386</v>
      </c>
      <c r="B4820" s="35">
        <v>1.6119929794080401</v>
      </c>
    </row>
    <row r="4821" spans="1:2" ht="13.2" x14ac:dyDescent="0.25">
      <c r="A4821" s="34" t="s">
        <v>7385</v>
      </c>
    </row>
    <row r="4822" spans="1:2" ht="13.2" x14ac:dyDescent="0.25">
      <c r="A4822" s="34" t="s">
        <v>7384</v>
      </c>
    </row>
    <row r="4823" spans="1:2" ht="13.2" x14ac:dyDescent="0.25">
      <c r="A4823" s="34" t="s">
        <v>7383</v>
      </c>
      <c r="B4823" s="35">
        <v>1.5878297123520899</v>
      </c>
    </row>
    <row r="4824" spans="1:2" ht="13.2" x14ac:dyDescent="0.25">
      <c r="A4824" s="34" t="s">
        <v>7382</v>
      </c>
      <c r="B4824" s="35">
        <v>1.5909969568804501</v>
      </c>
    </row>
    <row r="4825" spans="1:2" ht="13.2" x14ac:dyDescent="0.25">
      <c r="A4825" s="34" t="s">
        <v>7381</v>
      </c>
      <c r="B4825" s="35">
        <v>1.5930793553347899</v>
      </c>
    </row>
    <row r="4826" spans="1:2" ht="13.2" x14ac:dyDescent="0.25">
      <c r="A4826" s="34" t="s">
        <v>7380</v>
      </c>
      <c r="B4826" s="35">
        <v>1.5773891791560899</v>
      </c>
    </row>
    <row r="4827" spans="1:2" ht="13.2" x14ac:dyDescent="0.25">
      <c r="A4827" s="34" t="s">
        <v>7379</v>
      </c>
      <c r="B4827" s="35">
        <v>1.49186874301747</v>
      </c>
    </row>
    <row r="4828" spans="1:2" ht="13.2" x14ac:dyDescent="0.25">
      <c r="A4828" s="34" t="s">
        <v>7378</v>
      </c>
    </row>
    <row r="4829" spans="1:2" ht="13.2" x14ac:dyDescent="0.25">
      <c r="A4829" s="34" t="s">
        <v>7377</v>
      </c>
    </row>
    <row r="4830" spans="1:2" ht="13.2" x14ac:dyDescent="0.25">
      <c r="A4830" s="34" t="s">
        <v>7376</v>
      </c>
      <c r="B4830" s="35">
        <v>1.51669092028264</v>
      </c>
    </row>
    <row r="4831" spans="1:2" ht="13.2" x14ac:dyDescent="0.25">
      <c r="A4831" s="34" t="s">
        <v>7375</v>
      </c>
      <c r="B4831" s="35">
        <v>1.52458209675398</v>
      </c>
    </row>
    <row r="4832" spans="1:2" ht="13.2" x14ac:dyDescent="0.25">
      <c r="A4832" s="34" t="s">
        <v>7374</v>
      </c>
      <c r="B4832" s="35">
        <v>1.5294318074769999</v>
      </c>
    </row>
    <row r="4833" spans="1:2" ht="13.2" x14ac:dyDescent="0.25">
      <c r="A4833" s="34" t="s">
        <v>7373</v>
      </c>
      <c r="B4833" s="35">
        <v>1.1793988029662299</v>
      </c>
    </row>
    <row r="4834" spans="1:2" ht="13.2" x14ac:dyDescent="0.25">
      <c r="A4834" s="34" t="s">
        <v>7372</v>
      </c>
      <c r="B4834" s="35">
        <v>1.0081232553052899</v>
      </c>
    </row>
    <row r="4835" spans="1:2" ht="13.2" x14ac:dyDescent="0.25">
      <c r="A4835" s="34" t="s">
        <v>7371</v>
      </c>
    </row>
    <row r="4836" spans="1:2" ht="13.2" x14ac:dyDescent="0.25">
      <c r="A4836" s="34" t="s">
        <v>7370</v>
      </c>
    </row>
    <row r="4837" spans="1:2" ht="13.2" x14ac:dyDescent="0.25">
      <c r="A4837" s="34" t="s">
        <v>7369</v>
      </c>
      <c r="B4837" s="35">
        <v>1.0142561308243501</v>
      </c>
    </row>
    <row r="4838" spans="1:2" ht="13.2" x14ac:dyDescent="0.25">
      <c r="A4838" s="34" t="s">
        <v>7368</v>
      </c>
      <c r="B4838" s="35">
        <v>0.98062176521852695</v>
      </c>
    </row>
    <row r="4839" spans="1:2" ht="13.2" x14ac:dyDescent="0.25">
      <c r="A4839" s="34" t="s">
        <v>7367</v>
      </c>
      <c r="B4839" s="35">
        <v>1.17626589584512</v>
      </c>
    </row>
    <row r="4840" spans="1:2" ht="13.2" x14ac:dyDescent="0.25">
      <c r="A4840" s="34" t="s">
        <v>7366</v>
      </c>
      <c r="B4840" s="35">
        <v>1.1942196738344799</v>
      </c>
    </row>
    <row r="4841" spans="1:2" ht="13.2" x14ac:dyDescent="0.25">
      <c r="A4841" s="34" t="s">
        <v>7365</v>
      </c>
      <c r="B4841" s="35">
        <v>1.1833148801621001</v>
      </c>
    </row>
    <row r="4842" spans="1:2" ht="13.2" x14ac:dyDescent="0.25">
      <c r="A4842" s="34" t="s">
        <v>7364</v>
      </c>
    </row>
    <row r="4843" spans="1:2" ht="13.2" x14ac:dyDescent="0.25">
      <c r="A4843" s="34" t="s">
        <v>7363</v>
      </c>
    </row>
    <row r="4844" spans="1:2" ht="13.2" x14ac:dyDescent="0.25">
      <c r="A4844" s="34" t="s">
        <v>7362</v>
      </c>
      <c r="B4844" s="35">
        <v>1.17319257127493</v>
      </c>
    </row>
    <row r="4845" spans="1:2" ht="13.2" x14ac:dyDescent="0.25">
      <c r="A4845" s="34" t="s">
        <v>7361</v>
      </c>
      <c r="B4845" s="35">
        <v>1.16279879070187</v>
      </c>
    </row>
    <row r="4846" spans="1:2" ht="13.2" x14ac:dyDescent="0.25">
      <c r="A4846" s="34" t="s">
        <v>7360</v>
      </c>
      <c r="B4846" s="35">
        <v>1.15630496750536</v>
      </c>
    </row>
    <row r="4847" spans="1:2" ht="13.2" x14ac:dyDescent="0.25">
      <c r="A4847" s="34" t="s">
        <v>7359</v>
      </c>
      <c r="B4847" s="35">
        <v>1.1186720970566</v>
      </c>
    </row>
    <row r="4848" spans="1:2" ht="13.2" x14ac:dyDescent="0.25">
      <c r="A4848" s="34" t="s">
        <v>7358</v>
      </c>
      <c r="B4848" s="35">
        <v>1.3062008967896701</v>
      </c>
    </row>
    <row r="4849" spans="1:2" ht="13.2" x14ac:dyDescent="0.25">
      <c r="A4849" s="34" t="s">
        <v>7357</v>
      </c>
    </row>
    <row r="4850" spans="1:2" ht="13.2" x14ac:dyDescent="0.25">
      <c r="A4850" s="34" t="s">
        <v>7356</v>
      </c>
    </row>
    <row r="4851" spans="1:2" ht="13.2" x14ac:dyDescent="0.25">
      <c r="A4851" s="34" t="s">
        <v>7355</v>
      </c>
      <c r="B4851" s="35">
        <v>1.30288160574286</v>
      </c>
    </row>
    <row r="4852" spans="1:2" ht="13.2" x14ac:dyDescent="0.25">
      <c r="A4852" s="34" t="s">
        <v>7354</v>
      </c>
      <c r="B4852" s="35">
        <v>1.3136479977939799</v>
      </c>
    </row>
    <row r="4853" spans="1:2" ht="13.2" x14ac:dyDescent="0.25">
      <c r="A4853" s="34" t="s">
        <v>7353</v>
      </c>
      <c r="B4853" s="35">
        <v>1.36684603528756</v>
      </c>
    </row>
    <row r="4854" spans="1:2" ht="13.2" x14ac:dyDescent="0.25">
      <c r="A4854" s="34" t="s">
        <v>7352</v>
      </c>
    </row>
    <row r="4855" spans="1:2" ht="13.2" x14ac:dyDescent="0.25">
      <c r="A4855" s="34" t="s">
        <v>7351</v>
      </c>
      <c r="B4855" s="35">
        <v>1.3563042959432801</v>
      </c>
    </row>
    <row r="4856" spans="1:2" ht="13.2" x14ac:dyDescent="0.25">
      <c r="A4856" s="34" t="s">
        <v>7350</v>
      </c>
    </row>
    <row r="4857" spans="1:2" ht="13.2" x14ac:dyDescent="0.25">
      <c r="A4857" s="34" t="s">
        <v>7349</v>
      </c>
    </row>
    <row r="4858" spans="1:2" ht="13.2" x14ac:dyDescent="0.25">
      <c r="A4858" s="34" t="s">
        <v>7348</v>
      </c>
      <c r="B4858" s="35">
        <v>1.42693397919389</v>
      </c>
    </row>
    <row r="4859" spans="1:2" ht="13.2" x14ac:dyDescent="0.25">
      <c r="A4859" s="34" t="s">
        <v>7347</v>
      </c>
      <c r="B4859" s="35">
        <v>1.4362713079012699</v>
      </c>
    </row>
    <row r="4860" spans="1:2" ht="13.2" x14ac:dyDescent="0.25">
      <c r="A4860" s="34" t="s">
        <v>7346</v>
      </c>
      <c r="B4860" s="35">
        <v>1.44229545923019</v>
      </c>
    </row>
    <row r="4861" spans="1:2" ht="13.2" x14ac:dyDescent="0.25">
      <c r="A4861" s="34" t="s">
        <v>7345</v>
      </c>
      <c r="B4861" s="35">
        <v>1.3842895918387501</v>
      </c>
    </row>
    <row r="4862" spans="1:2" ht="13.2" x14ac:dyDescent="0.25">
      <c r="A4862" s="34" t="s">
        <v>7344</v>
      </c>
      <c r="B4862" s="35">
        <v>1.35931483221988</v>
      </c>
    </row>
    <row r="4863" spans="1:2" ht="13.2" x14ac:dyDescent="0.25">
      <c r="A4863" s="34" t="s">
        <v>7343</v>
      </c>
    </row>
    <row r="4864" spans="1:2" ht="13.2" x14ac:dyDescent="0.25">
      <c r="A4864" s="34" t="s">
        <v>7342</v>
      </c>
    </row>
    <row r="4865" spans="1:2" ht="13.2" x14ac:dyDescent="0.25">
      <c r="A4865" s="34" t="s">
        <v>7341</v>
      </c>
      <c r="B4865" s="35">
        <v>1.37820993614694</v>
      </c>
    </row>
    <row r="4866" spans="1:2" ht="13.2" x14ac:dyDescent="0.25">
      <c r="A4866" s="34" t="s">
        <v>7340</v>
      </c>
      <c r="B4866" s="35">
        <v>1.4165597375100301</v>
      </c>
    </row>
    <row r="4867" spans="1:2" ht="13.2" x14ac:dyDescent="0.25">
      <c r="A4867" s="34" t="s">
        <v>7339</v>
      </c>
      <c r="B4867" s="35">
        <v>1.45554517597777</v>
      </c>
    </row>
    <row r="4868" spans="1:2" ht="13.2" x14ac:dyDescent="0.25">
      <c r="A4868" s="34" t="s">
        <v>7338</v>
      </c>
      <c r="B4868" s="35">
        <v>1.4472494582108599</v>
      </c>
    </row>
    <row r="4869" spans="1:2" ht="13.2" x14ac:dyDescent="0.25">
      <c r="A4869" s="34" t="s">
        <v>7337</v>
      </c>
      <c r="B4869" s="35">
        <v>1.27550582047338</v>
      </c>
    </row>
    <row r="4870" spans="1:2" ht="13.2" x14ac:dyDescent="0.25">
      <c r="A4870" s="34" t="s">
        <v>7336</v>
      </c>
    </row>
    <row r="4871" spans="1:2" ht="13.2" x14ac:dyDescent="0.25">
      <c r="A4871" s="34" t="s">
        <v>7335</v>
      </c>
    </row>
    <row r="4872" spans="1:2" ht="13.2" x14ac:dyDescent="0.25">
      <c r="A4872" s="34" t="s">
        <v>7334</v>
      </c>
      <c r="B4872" s="35">
        <v>1.26660495289676</v>
      </c>
    </row>
    <row r="4873" spans="1:2" ht="13.2" x14ac:dyDescent="0.25">
      <c r="A4873" s="34" t="s">
        <v>7333</v>
      </c>
      <c r="B4873" s="35">
        <v>1.37565646874662</v>
      </c>
    </row>
    <row r="4874" spans="1:2" ht="13.2" x14ac:dyDescent="0.25">
      <c r="A4874" s="34" t="s">
        <v>7332</v>
      </c>
      <c r="B4874" s="35">
        <v>1.3626624241815799</v>
      </c>
    </row>
    <row r="4875" spans="1:2" ht="13.2" x14ac:dyDescent="0.25">
      <c r="A4875" s="34" t="s">
        <v>7331</v>
      </c>
      <c r="B4875" s="35">
        <v>1.3821948349406801</v>
      </c>
    </row>
    <row r="4876" spans="1:2" ht="13.2" x14ac:dyDescent="0.25">
      <c r="A4876" s="34" t="s">
        <v>7330</v>
      </c>
      <c r="B4876" s="35">
        <v>1.3824649117977501</v>
      </c>
    </row>
    <row r="4877" spans="1:2" ht="13.2" x14ac:dyDescent="0.25">
      <c r="A4877" s="34" t="s">
        <v>7329</v>
      </c>
    </row>
    <row r="4878" spans="1:2" ht="13.2" x14ac:dyDescent="0.25">
      <c r="A4878" s="34" t="s">
        <v>7328</v>
      </c>
    </row>
    <row r="4879" spans="1:2" ht="13.2" x14ac:dyDescent="0.25">
      <c r="A4879" s="34" t="s">
        <v>7327</v>
      </c>
      <c r="B4879" s="35">
        <v>1.4262667068413999</v>
      </c>
    </row>
    <row r="4880" spans="1:2" ht="13.2" x14ac:dyDescent="0.25">
      <c r="A4880" s="34" t="s">
        <v>7326</v>
      </c>
      <c r="B4880" s="35">
        <v>1.3152655902007599</v>
      </c>
    </row>
    <row r="4881" spans="1:2" ht="13.2" x14ac:dyDescent="0.25">
      <c r="A4881" s="34" t="s">
        <v>7325</v>
      </c>
      <c r="B4881" s="35">
        <v>1.52360828848748</v>
      </c>
    </row>
    <row r="4882" spans="1:2" ht="13.2" x14ac:dyDescent="0.25">
      <c r="A4882" s="34" t="s">
        <v>7324</v>
      </c>
      <c r="B4882" s="35">
        <v>1.51520557219633</v>
      </c>
    </row>
    <row r="4883" spans="1:2" ht="13.2" x14ac:dyDescent="0.25">
      <c r="A4883" s="34" t="s">
        <v>7323</v>
      </c>
      <c r="B4883" s="35">
        <v>1.4556365365444399</v>
      </c>
    </row>
    <row r="4884" spans="1:2" ht="13.2" x14ac:dyDescent="0.25">
      <c r="A4884" s="34" t="s">
        <v>7322</v>
      </c>
    </row>
    <row r="4885" spans="1:2" ht="13.2" x14ac:dyDescent="0.25">
      <c r="A4885" s="34" t="s">
        <v>7321</v>
      </c>
    </row>
    <row r="4886" spans="1:2" ht="13.2" x14ac:dyDescent="0.25">
      <c r="A4886" s="34" t="s">
        <v>7320</v>
      </c>
      <c r="B4886" s="35">
        <v>1.4672232784462</v>
      </c>
    </row>
    <row r="4887" spans="1:2" ht="13.2" x14ac:dyDescent="0.25">
      <c r="A4887" s="34" t="s">
        <v>7319</v>
      </c>
      <c r="B4887" s="35">
        <v>1.3609868978718</v>
      </c>
    </row>
    <row r="4888" spans="1:2" ht="13.2" x14ac:dyDescent="0.25">
      <c r="A4888" s="34" t="s">
        <v>7318</v>
      </c>
      <c r="B4888" s="35">
        <v>1.37735057513596</v>
      </c>
    </row>
    <row r="4889" spans="1:2" ht="13.2" x14ac:dyDescent="0.25">
      <c r="A4889" s="34" t="s">
        <v>7317</v>
      </c>
    </row>
    <row r="4890" spans="1:2" ht="13.2" x14ac:dyDescent="0.25">
      <c r="A4890" s="34" t="s">
        <v>7316</v>
      </c>
      <c r="B4890" s="35">
        <v>1.3863155162752001</v>
      </c>
    </row>
    <row r="4891" spans="1:2" ht="13.2" x14ac:dyDescent="0.25">
      <c r="A4891" s="34" t="s">
        <v>7315</v>
      </c>
    </row>
    <row r="4892" spans="1:2" ht="13.2" x14ac:dyDescent="0.25">
      <c r="A4892" s="34" t="s">
        <v>7314</v>
      </c>
    </row>
    <row r="4893" spans="1:2" ht="13.2" x14ac:dyDescent="0.25">
      <c r="A4893" s="34" t="s">
        <v>7313</v>
      </c>
      <c r="B4893" s="35">
        <v>1.3563498050292699</v>
      </c>
    </row>
    <row r="4894" spans="1:2" ht="13.2" x14ac:dyDescent="0.25">
      <c r="A4894" s="34" t="s">
        <v>7312</v>
      </c>
      <c r="B4894" s="35">
        <v>1.38139441323921</v>
      </c>
    </row>
    <row r="4895" spans="1:2" ht="13.2" x14ac:dyDescent="0.25">
      <c r="A4895" s="34" t="s">
        <v>7311</v>
      </c>
      <c r="B4895" s="35">
        <v>1.38928008959442</v>
      </c>
    </row>
    <row r="4896" spans="1:2" ht="13.2" x14ac:dyDescent="0.25">
      <c r="A4896" s="34" t="s">
        <v>7310</v>
      </c>
      <c r="B4896" s="35">
        <v>1.31802280284867</v>
      </c>
    </row>
    <row r="4897" spans="1:2" ht="13.2" x14ac:dyDescent="0.25">
      <c r="A4897" s="34" t="s">
        <v>7309</v>
      </c>
      <c r="B4897" s="35">
        <v>1.2344582607069601</v>
      </c>
    </row>
    <row r="4898" spans="1:2" ht="13.2" x14ac:dyDescent="0.25">
      <c r="A4898" s="34" t="s">
        <v>7308</v>
      </c>
    </row>
    <row r="4899" spans="1:2" ht="13.2" x14ac:dyDescent="0.25">
      <c r="A4899" s="34" t="s">
        <v>7307</v>
      </c>
    </row>
    <row r="4900" spans="1:2" ht="13.2" x14ac:dyDescent="0.25">
      <c r="A4900" s="34" t="s">
        <v>7306</v>
      </c>
      <c r="B4900" s="35">
        <v>1.20525975703317</v>
      </c>
    </row>
    <row r="4901" spans="1:2" ht="13.2" x14ac:dyDescent="0.25">
      <c r="A4901" s="34" t="s">
        <v>7305</v>
      </c>
      <c r="B4901" s="35">
        <v>1.19604340976265</v>
      </c>
    </row>
    <row r="4902" spans="1:2" ht="13.2" x14ac:dyDescent="0.25">
      <c r="A4902" s="34" t="s">
        <v>7304</v>
      </c>
      <c r="B4902" s="35">
        <v>1.19976833813137</v>
      </c>
    </row>
    <row r="4903" spans="1:2" ht="13.2" x14ac:dyDescent="0.25">
      <c r="A4903" s="34" t="s">
        <v>7303</v>
      </c>
      <c r="B4903" s="35">
        <v>1.12817767182144</v>
      </c>
    </row>
    <row r="4904" spans="1:2" ht="13.2" x14ac:dyDescent="0.25">
      <c r="A4904" s="34" t="s">
        <v>7302</v>
      </c>
      <c r="B4904" s="35">
        <v>1.1594948507334899</v>
      </c>
    </row>
    <row r="4905" spans="1:2" ht="13.2" x14ac:dyDescent="0.25">
      <c r="A4905" s="34" t="s">
        <v>7301</v>
      </c>
    </row>
    <row r="4906" spans="1:2" ht="13.2" x14ac:dyDescent="0.25">
      <c r="A4906" s="34" t="s">
        <v>7300</v>
      </c>
    </row>
    <row r="4907" spans="1:2" ht="13.2" x14ac:dyDescent="0.25">
      <c r="A4907" s="34" t="s">
        <v>7299</v>
      </c>
      <c r="B4907" s="35">
        <v>1.1940394134140699</v>
      </c>
    </row>
    <row r="4908" spans="1:2" ht="13.2" x14ac:dyDescent="0.25">
      <c r="A4908" s="34" t="s">
        <v>7298</v>
      </c>
      <c r="B4908" s="35">
        <v>1.19766149573447</v>
      </c>
    </row>
    <row r="4909" spans="1:2" ht="13.2" x14ac:dyDescent="0.25">
      <c r="A4909" s="34" t="s">
        <v>7297</v>
      </c>
      <c r="B4909" s="35">
        <v>1.1991718935259501</v>
      </c>
    </row>
    <row r="4910" spans="1:2" ht="13.2" x14ac:dyDescent="0.25">
      <c r="A4910" s="34" t="s">
        <v>7296</v>
      </c>
    </row>
    <row r="4911" spans="1:2" ht="13.2" x14ac:dyDescent="0.25">
      <c r="A4911" s="34" t="s">
        <v>7295</v>
      </c>
      <c r="B4911" s="35">
        <v>1.1177549881204001</v>
      </c>
    </row>
    <row r="4912" spans="1:2" ht="13.2" x14ac:dyDescent="0.25">
      <c r="A4912" s="34" t="s">
        <v>7294</v>
      </c>
    </row>
    <row r="4913" spans="1:2" ht="13.2" x14ac:dyDescent="0.25">
      <c r="A4913" s="34" t="s">
        <v>7293</v>
      </c>
    </row>
    <row r="4914" spans="1:2" ht="13.2" x14ac:dyDescent="0.25">
      <c r="A4914" s="34" t="s">
        <v>7292</v>
      </c>
      <c r="B4914" s="35">
        <v>0.94514012890912402</v>
      </c>
    </row>
    <row r="4915" spans="1:2" ht="13.2" x14ac:dyDescent="0.25">
      <c r="A4915" s="34" t="s">
        <v>7291</v>
      </c>
      <c r="B4915" s="35">
        <v>0.96429632159244105</v>
      </c>
    </row>
    <row r="4916" spans="1:2" ht="13.2" x14ac:dyDescent="0.25">
      <c r="A4916" s="34" t="s">
        <v>7290</v>
      </c>
      <c r="B4916" s="35">
        <v>0.96056459011582396</v>
      </c>
    </row>
    <row r="4917" spans="1:2" ht="13.2" x14ac:dyDescent="0.25">
      <c r="A4917" s="34" t="s">
        <v>7289</v>
      </c>
      <c r="B4917" s="35">
        <v>1.00730656435434</v>
      </c>
    </row>
    <row r="4918" spans="1:2" ht="13.2" x14ac:dyDescent="0.25">
      <c r="A4918" s="34" t="s">
        <v>7288</v>
      </c>
      <c r="B4918" s="35">
        <v>1.0100155580156001</v>
      </c>
    </row>
    <row r="4919" spans="1:2" ht="13.2" x14ac:dyDescent="0.25">
      <c r="A4919" s="34" t="s">
        <v>7287</v>
      </c>
    </row>
    <row r="4920" spans="1:2" ht="13.2" x14ac:dyDescent="0.25">
      <c r="A4920" s="34" t="s">
        <v>7286</v>
      </c>
    </row>
    <row r="4921" spans="1:2" ht="13.2" x14ac:dyDescent="0.25">
      <c r="A4921" s="34" t="s">
        <v>7285</v>
      </c>
      <c r="B4921" s="35">
        <v>0.98555798754139101</v>
      </c>
    </row>
    <row r="4922" spans="1:2" ht="13.2" x14ac:dyDescent="0.25">
      <c r="A4922" s="34" t="s">
        <v>7284</v>
      </c>
      <c r="B4922" s="35">
        <v>1.0044949608062399</v>
      </c>
    </row>
    <row r="4923" spans="1:2" ht="13.2" x14ac:dyDescent="0.25">
      <c r="A4923" s="34" t="s">
        <v>7283</v>
      </c>
    </row>
    <row r="4924" spans="1:2" ht="13.2" x14ac:dyDescent="0.25">
      <c r="A4924" s="34" t="s">
        <v>7282</v>
      </c>
      <c r="B4924" s="35">
        <v>1.0000538809894799</v>
      </c>
    </row>
    <row r="4925" spans="1:2" ht="13.2" x14ac:dyDescent="0.25">
      <c r="A4925" s="34" t="s">
        <v>7281</v>
      </c>
      <c r="B4925" s="35">
        <v>0.97816003507327498</v>
      </c>
    </row>
    <row r="4926" spans="1:2" ht="13.2" x14ac:dyDescent="0.25">
      <c r="A4926" s="34" t="s">
        <v>7280</v>
      </c>
    </row>
    <row r="4927" spans="1:2" ht="13.2" x14ac:dyDescent="0.25">
      <c r="A4927" s="34" t="s">
        <v>7279</v>
      </c>
    </row>
    <row r="4928" spans="1:2" ht="13.2" x14ac:dyDescent="0.25">
      <c r="A4928" s="34" t="s">
        <v>7278</v>
      </c>
      <c r="B4928" s="35">
        <v>0.96293454202832396</v>
      </c>
    </row>
    <row r="4929" spans="1:2" ht="13.2" x14ac:dyDescent="0.25">
      <c r="A4929" s="34" t="s">
        <v>7277</v>
      </c>
      <c r="B4929" s="35">
        <v>0.98679675945772305</v>
      </c>
    </row>
    <row r="4930" spans="1:2" ht="13.2" x14ac:dyDescent="0.25">
      <c r="A4930" s="34" t="s">
        <v>7276</v>
      </c>
      <c r="B4930" s="35">
        <v>0.96344421934209701</v>
      </c>
    </row>
    <row r="4931" spans="1:2" ht="13.2" x14ac:dyDescent="0.25">
      <c r="A4931" s="34" t="s">
        <v>7275</v>
      </c>
      <c r="B4931" s="35">
        <v>0.92911706487711698</v>
      </c>
    </row>
    <row r="4932" spans="1:2" ht="13.2" x14ac:dyDescent="0.25">
      <c r="A4932" s="34" t="s">
        <v>7274</v>
      </c>
      <c r="B4932" s="35">
        <v>0.95394415497556495</v>
      </c>
    </row>
    <row r="4933" spans="1:2" ht="13.2" x14ac:dyDescent="0.25">
      <c r="A4933" s="34" t="s">
        <v>7273</v>
      </c>
    </row>
    <row r="4934" spans="1:2" ht="13.2" x14ac:dyDescent="0.25">
      <c r="A4934" s="34" t="s">
        <v>7272</v>
      </c>
    </row>
    <row r="4935" spans="1:2" ht="13.2" x14ac:dyDescent="0.25">
      <c r="A4935" s="34" t="s">
        <v>7271</v>
      </c>
      <c r="B4935" s="35">
        <v>1.0786214674523</v>
      </c>
    </row>
    <row r="4936" spans="1:2" ht="13.2" x14ac:dyDescent="0.25">
      <c r="A4936" s="34" t="s">
        <v>7270</v>
      </c>
      <c r="B4936" s="35">
        <v>1.0790957648701001</v>
      </c>
    </row>
    <row r="4937" spans="1:2" ht="13.2" x14ac:dyDescent="0.25">
      <c r="A4937" s="34" t="s">
        <v>7269</v>
      </c>
      <c r="B4937" s="35">
        <v>1.14437182649169</v>
      </c>
    </row>
    <row r="4938" spans="1:2" ht="13.2" x14ac:dyDescent="0.25">
      <c r="A4938" s="34" t="s">
        <v>7268</v>
      </c>
      <c r="B4938" s="35">
        <v>1.1030208933429</v>
      </c>
    </row>
    <row r="4939" spans="1:2" ht="13.2" x14ac:dyDescent="0.25">
      <c r="A4939" s="34" t="s">
        <v>7267</v>
      </c>
      <c r="B4939" s="35">
        <v>1.1622193917124199</v>
      </c>
    </row>
    <row r="4940" spans="1:2" ht="13.2" x14ac:dyDescent="0.25">
      <c r="A4940" s="34" t="s">
        <v>7266</v>
      </c>
    </row>
    <row r="4941" spans="1:2" ht="13.2" x14ac:dyDescent="0.25">
      <c r="A4941" s="34" t="s">
        <v>7265</v>
      </c>
    </row>
    <row r="4942" spans="1:2" ht="13.2" x14ac:dyDescent="0.25">
      <c r="A4942" s="34" t="s">
        <v>7264</v>
      </c>
      <c r="B4942" s="35">
        <v>1.2911677319689101</v>
      </c>
    </row>
    <row r="4943" spans="1:2" ht="13.2" x14ac:dyDescent="0.25">
      <c r="A4943" s="34" t="s">
        <v>7263</v>
      </c>
      <c r="B4943" s="35">
        <v>1.28821434311768</v>
      </c>
    </row>
    <row r="4944" spans="1:2" ht="13.2" x14ac:dyDescent="0.25">
      <c r="A4944" s="34" t="s">
        <v>7262</v>
      </c>
      <c r="B4944" s="35">
        <v>1.2321153545968</v>
      </c>
    </row>
    <row r="4945" spans="1:2" ht="13.2" x14ac:dyDescent="0.25">
      <c r="A4945" s="34" t="s">
        <v>7261</v>
      </c>
      <c r="B4945" s="35">
        <v>1.2307902328796601</v>
      </c>
    </row>
    <row r="4946" spans="1:2" ht="13.2" x14ac:dyDescent="0.25">
      <c r="A4946" s="34" t="s">
        <v>7260</v>
      </c>
      <c r="B4946" s="35">
        <v>1.22581413576757</v>
      </c>
    </row>
    <row r="4947" spans="1:2" ht="13.2" x14ac:dyDescent="0.25">
      <c r="A4947" s="34" t="s">
        <v>7259</v>
      </c>
    </row>
    <row r="4948" spans="1:2" ht="13.2" x14ac:dyDescent="0.25">
      <c r="A4948" s="34" t="s">
        <v>7258</v>
      </c>
    </row>
    <row r="4949" spans="1:2" ht="13.2" x14ac:dyDescent="0.25">
      <c r="A4949" s="34" t="s">
        <v>7257</v>
      </c>
      <c r="B4949" s="35">
        <v>1.1846418708472299</v>
      </c>
    </row>
    <row r="4950" spans="1:2" ht="13.2" x14ac:dyDescent="0.25">
      <c r="A4950" s="34" t="s">
        <v>7256</v>
      </c>
      <c r="B4950" s="35">
        <v>1.1969849333438001</v>
      </c>
    </row>
    <row r="4951" spans="1:2" ht="13.2" x14ac:dyDescent="0.25">
      <c r="A4951" s="34" t="s">
        <v>7255</v>
      </c>
      <c r="B4951" s="35">
        <v>1.1927095767310001</v>
      </c>
    </row>
    <row r="4952" spans="1:2" ht="13.2" x14ac:dyDescent="0.25">
      <c r="A4952" s="34" t="s">
        <v>7254</v>
      </c>
      <c r="B4952" s="35">
        <v>1.1653967596775501</v>
      </c>
    </row>
    <row r="4953" spans="1:2" ht="13.2" x14ac:dyDescent="0.25">
      <c r="A4953" s="34" t="s">
        <v>7253</v>
      </c>
      <c r="B4953" s="35">
        <v>1.1667416339154799</v>
      </c>
    </row>
    <row r="4954" spans="1:2" ht="13.2" x14ac:dyDescent="0.25">
      <c r="A4954" s="34" t="s">
        <v>7252</v>
      </c>
    </row>
    <row r="4955" spans="1:2" ht="13.2" x14ac:dyDescent="0.25">
      <c r="A4955" s="34" t="s">
        <v>7251</v>
      </c>
    </row>
    <row r="4956" spans="1:2" ht="13.2" x14ac:dyDescent="0.25">
      <c r="A4956" s="34" t="s">
        <v>7250</v>
      </c>
      <c r="B4956" s="35">
        <v>1.16388088546309</v>
      </c>
    </row>
    <row r="4957" spans="1:2" ht="13.2" x14ac:dyDescent="0.25">
      <c r="A4957" s="34" t="s">
        <v>7249</v>
      </c>
      <c r="B4957" s="35">
        <v>1.1623675030353999</v>
      </c>
    </row>
    <row r="4958" spans="1:2" ht="13.2" x14ac:dyDescent="0.25">
      <c r="A4958" s="34" t="s">
        <v>7248</v>
      </c>
      <c r="B4958" s="35">
        <v>1.1426285365411799</v>
      </c>
    </row>
    <row r="4959" spans="1:2" ht="13.2" x14ac:dyDescent="0.25">
      <c r="A4959" s="34" t="s">
        <v>7247</v>
      </c>
      <c r="B4959" s="35">
        <v>1.1385219975994001</v>
      </c>
    </row>
    <row r="4960" spans="1:2" ht="13.2" x14ac:dyDescent="0.25">
      <c r="A4960" s="34" t="s">
        <v>7246</v>
      </c>
      <c r="B4960" s="35">
        <v>1.13852908307849</v>
      </c>
    </row>
    <row r="4961" spans="1:2" ht="13.2" x14ac:dyDescent="0.25">
      <c r="A4961" s="34" t="s">
        <v>7245</v>
      </c>
    </row>
    <row r="4962" spans="1:2" ht="13.2" x14ac:dyDescent="0.25">
      <c r="A4962" s="34" t="s">
        <v>7244</v>
      </c>
    </row>
    <row r="4963" spans="1:2" ht="13.2" x14ac:dyDescent="0.25">
      <c r="A4963" s="34" t="s">
        <v>7243</v>
      </c>
    </row>
    <row r="4964" spans="1:2" ht="13.2" x14ac:dyDescent="0.25">
      <c r="A4964" s="34" t="s">
        <v>7242</v>
      </c>
      <c r="B4964" s="35">
        <v>1.1232805792012199</v>
      </c>
    </row>
    <row r="4965" spans="1:2" ht="13.2" x14ac:dyDescent="0.25">
      <c r="A4965" s="34" t="s">
        <v>7241</v>
      </c>
      <c r="B4965" s="35">
        <v>1.0711595648580601</v>
      </c>
    </row>
    <row r="4966" spans="1:2" ht="13.2" x14ac:dyDescent="0.25">
      <c r="A4966" s="34" t="s">
        <v>7240</v>
      </c>
      <c r="B4966" s="35">
        <v>1.07704914047588</v>
      </c>
    </row>
    <row r="4967" spans="1:2" ht="13.2" x14ac:dyDescent="0.25">
      <c r="A4967" s="34" t="s">
        <v>7239</v>
      </c>
      <c r="B4967" s="35">
        <v>0.99203925264639403</v>
      </c>
    </row>
    <row r="4968" spans="1:2" ht="13.2" x14ac:dyDescent="0.25">
      <c r="A4968" s="34" t="s">
        <v>7238</v>
      </c>
    </row>
    <row r="4969" spans="1:2" ht="13.2" x14ac:dyDescent="0.25">
      <c r="A4969" s="34" t="s">
        <v>7237</v>
      </c>
    </row>
    <row r="4970" spans="1:2" ht="13.2" x14ac:dyDescent="0.25">
      <c r="A4970" s="34" t="s">
        <v>7236</v>
      </c>
    </row>
    <row r="4971" spans="1:2" ht="13.2" x14ac:dyDescent="0.25">
      <c r="A4971" s="34" t="s">
        <v>7235</v>
      </c>
      <c r="B4971" s="35">
        <v>1.05809168903866</v>
      </c>
    </row>
    <row r="4972" spans="1:2" ht="13.2" x14ac:dyDescent="0.25">
      <c r="A4972" s="34" t="s">
        <v>7234</v>
      </c>
      <c r="B4972" s="35">
        <v>1.1202705649943001</v>
      </c>
    </row>
    <row r="4973" spans="1:2" ht="13.2" x14ac:dyDescent="0.25">
      <c r="A4973" s="34" t="s">
        <v>7233</v>
      </c>
      <c r="B4973" s="35">
        <v>0.95080758041338997</v>
      </c>
    </row>
    <row r="4974" spans="1:2" ht="13.2" x14ac:dyDescent="0.25">
      <c r="A4974" s="34" t="s">
        <v>7232</v>
      </c>
      <c r="B4974" s="35">
        <v>1.3019620937360199</v>
      </c>
    </row>
    <row r="4975" spans="1:2" ht="13.2" x14ac:dyDescent="0.25">
      <c r="A4975" s="34" t="s">
        <v>7231</v>
      </c>
    </row>
    <row r="4976" spans="1:2" ht="13.2" x14ac:dyDescent="0.25">
      <c r="A4976" s="34" t="s">
        <v>7230</v>
      </c>
    </row>
    <row r="4977" spans="1:2" ht="13.2" x14ac:dyDescent="0.25">
      <c r="A4977" s="34" t="s">
        <v>7229</v>
      </c>
      <c r="B4977" s="35">
        <v>1.3411277142381499</v>
      </c>
    </row>
    <row r="4978" spans="1:2" ht="13.2" x14ac:dyDescent="0.25">
      <c r="A4978" s="34" t="s">
        <v>7228</v>
      </c>
      <c r="B4978" s="35">
        <v>1.40269856637201</v>
      </c>
    </row>
    <row r="4979" spans="1:2" ht="13.2" x14ac:dyDescent="0.25">
      <c r="A4979" s="34" t="s">
        <v>7227</v>
      </c>
      <c r="B4979" s="35">
        <v>1.41494087835134</v>
      </c>
    </row>
    <row r="4980" spans="1:2" ht="13.2" x14ac:dyDescent="0.25">
      <c r="A4980" s="34" t="s">
        <v>7226</v>
      </c>
      <c r="B4980" s="35">
        <v>1.41630441512269</v>
      </c>
    </row>
    <row r="4981" spans="1:2" ht="13.2" x14ac:dyDescent="0.25">
      <c r="A4981" s="34" t="s">
        <v>7225</v>
      </c>
      <c r="B4981" s="35">
        <v>1.4279793283690201</v>
      </c>
    </row>
    <row r="4982" spans="1:2" ht="13.2" x14ac:dyDescent="0.25">
      <c r="A4982" s="34" t="s">
        <v>7224</v>
      </c>
    </row>
    <row r="4983" spans="1:2" ht="13.2" x14ac:dyDescent="0.25">
      <c r="A4983" s="34" t="s">
        <v>7223</v>
      </c>
    </row>
    <row r="4984" spans="1:2" ht="13.2" x14ac:dyDescent="0.25">
      <c r="A4984" s="34" t="s">
        <v>7222</v>
      </c>
      <c r="B4984" s="35">
        <v>1.4236275139222301</v>
      </c>
    </row>
    <row r="4985" spans="1:2" ht="13.2" x14ac:dyDescent="0.25">
      <c r="A4985" s="34" t="s">
        <v>7221</v>
      </c>
      <c r="B4985" s="35">
        <v>1.4062613133149899</v>
      </c>
    </row>
    <row r="4986" spans="1:2" ht="13.2" x14ac:dyDescent="0.25">
      <c r="A4986" s="34" t="s">
        <v>7220</v>
      </c>
      <c r="B4986" s="35">
        <v>1.40754472627584</v>
      </c>
    </row>
    <row r="4987" spans="1:2" ht="13.2" x14ac:dyDescent="0.25">
      <c r="A4987" s="34" t="s">
        <v>7219</v>
      </c>
      <c r="B4987" s="35">
        <v>1.41179305235351</v>
      </c>
    </row>
    <row r="4988" spans="1:2" ht="13.2" x14ac:dyDescent="0.25">
      <c r="A4988" s="34" t="s">
        <v>7218</v>
      </c>
      <c r="B4988" s="35">
        <v>1.49979937394331</v>
      </c>
    </row>
    <row r="4989" spans="1:2" ht="13.2" x14ac:dyDescent="0.25">
      <c r="A4989" s="34" t="s">
        <v>7217</v>
      </c>
    </row>
    <row r="4990" spans="1:2" ht="13.2" x14ac:dyDescent="0.25">
      <c r="A4990" s="34" t="s">
        <v>7216</v>
      </c>
    </row>
    <row r="4991" spans="1:2" ht="13.2" x14ac:dyDescent="0.25">
      <c r="A4991" s="34" t="s">
        <v>7215</v>
      </c>
      <c r="B4991" s="35">
        <v>1.50059459209039</v>
      </c>
    </row>
    <row r="4992" spans="1:2" ht="13.2" x14ac:dyDescent="0.25">
      <c r="A4992" s="34" t="s">
        <v>7214</v>
      </c>
      <c r="B4992" s="35">
        <v>1.5302233586112399</v>
      </c>
    </row>
    <row r="4993" spans="1:2" ht="13.2" x14ac:dyDescent="0.25">
      <c r="A4993" s="34" t="s">
        <v>7213</v>
      </c>
      <c r="B4993" s="35">
        <v>1.54701614629868</v>
      </c>
    </row>
    <row r="4994" spans="1:2" ht="13.2" x14ac:dyDescent="0.25">
      <c r="A4994" s="34" t="s">
        <v>7212</v>
      </c>
    </row>
    <row r="4995" spans="1:2" ht="13.2" x14ac:dyDescent="0.25">
      <c r="A4995" s="34" t="s">
        <v>7211</v>
      </c>
      <c r="B4995" s="35">
        <v>1.5523846030962001</v>
      </c>
    </row>
    <row r="4996" spans="1:2" ht="13.2" x14ac:dyDescent="0.25">
      <c r="A4996" s="34" t="s">
        <v>7210</v>
      </c>
    </row>
    <row r="4997" spans="1:2" ht="13.2" x14ac:dyDescent="0.25">
      <c r="A4997" s="34" t="s">
        <v>7209</v>
      </c>
    </row>
    <row r="4998" spans="1:2" ht="13.2" x14ac:dyDescent="0.25">
      <c r="A4998" s="34" t="s">
        <v>7208</v>
      </c>
      <c r="B4998" s="35">
        <v>1.5392449054926201</v>
      </c>
    </row>
    <row r="4999" spans="1:2" ht="13.2" x14ac:dyDescent="0.25">
      <c r="A4999" s="34" t="s">
        <v>7207</v>
      </c>
      <c r="B4999" s="35">
        <v>1.5605404977200601</v>
      </c>
    </row>
    <row r="5000" spans="1:2" ht="13.2" x14ac:dyDescent="0.25">
      <c r="A5000" s="34" t="s">
        <v>7206</v>
      </c>
      <c r="B5000" s="35">
        <v>1.59000954219415</v>
      </c>
    </row>
    <row r="5001" spans="1:2" ht="13.2" x14ac:dyDescent="0.25">
      <c r="A5001" s="34" t="s">
        <v>7205</v>
      </c>
      <c r="B5001" s="35">
        <v>1.52556784822955</v>
      </c>
    </row>
    <row r="5002" spans="1:2" ht="13.2" x14ac:dyDescent="0.25">
      <c r="A5002" s="34" t="s">
        <v>7204</v>
      </c>
      <c r="B5002" s="35">
        <v>1.45523288983218</v>
      </c>
    </row>
    <row r="5003" spans="1:2" ht="13.2" x14ac:dyDescent="0.25">
      <c r="A5003" s="34" t="s">
        <v>7203</v>
      </c>
    </row>
    <row r="5004" spans="1:2" ht="13.2" x14ac:dyDescent="0.25">
      <c r="A5004" s="34" t="s">
        <v>7202</v>
      </c>
    </row>
    <row r="5005" spans="1:2" ht="13.2" x14ac:dyDescent="0.25">
      <c r="A5005" s="34" t="s">
        <v>7201</v>
      </c>
      <c r="B5005" s="35">
        <v>1.4409694099563499</v>
      </c>
    </row>
    <row r="5006" spans="1:2" ht="13.2" x14ac:dyDescent="0.25">
      <c r="A5006" s="34" t="s">
        <v>7200</v>
      </c>
      <c r="B5006" s="35">
        <v>1.0628662819664101</v>
      </c>
    </row>
    <row r="5007" spans="1:2" ht="13.2" x14ac:dyDescent="0.25">
      <c r="A5007" s="34" t="s">
        <v>7199</v>
      </c>
      <c r="B5007" s="35">
        <v>1.1228653527925101</v>
      </c>
    </row>
    <row r="5008" spans="1:2" ht="13.2" x14ac:dyDescent="0.25">
      <c r="A5008" s="34" t="s">
        <v>7198</v>
      </c>
      <c r="B5008" s="35">
        <v>1.01447546800295</v>
      </c>
    </row>
    <row r="5009" spans="1:2" ht="13.2" x14ac:dyDescent="0.25">
      <c r="A5009" s="34" t="s">
        <v>7197</v>
      </c>
      <c r="B5009" s="35">
        <v>1.0717120230202599</v>
      </c>
    </row>
    <row r="5010" spans="1:2" ht="13.2" x14ac:dyDescent="0.25">
      <c r="A5010" s="34" t="s">
        <v>7196</v>
      </c>
    </row>
    <row r="5011" spans="1:2" ht="13.2" x14ac:dyDescent="0.25">
      <c r="A5011" s="34" t="s">
        <v>7195</v>
      </c>
    </row>
    <row r="5012" spans="1:2" ht="13.2" x14ac:dyDescent="0.25">
      <c r="A5012" s="34" t="s">
        <v>7194</v>
      </c>
      <c r="B5012" s="35">
        <v>1.0848284862081801</v>
      </c>
    </row>
    <row r="5013" spans="1:2" ht="13.2" x14ac:dyDescent="0.25">
      <c r="A5013" s="34" t="s">
        <v>7193</v>
      </c>
      <c r="B5013" s="35">
        <v>1.22272526374569</v>
      </c>
    </row>
    <row r="5014" spans="1:2" ht="13.2" x14ac:dyDescent="0.25">
      <c r="A5014" s="34" t="s">
        <v>7192</v>
      </c>
      <c r="B5014" s="35">
        <v>1.2570114475068399</v>
      </c>
    </row>
    <row r="5015" spans="1:2" ht="13.2" x14ac:dyDescent="0.25">
      <c r="A5015" s="34" t="s">
        <v>7191</v>
      </c>
      <c r="B5015" s="35">
        <v>1.23936715851208</v>
      </c>
    </row>
    <row r="5016" spans="1:2" ht="13.2" x14ac:dyDescent="0.25">
      <c r="A5016" s="34" t="s">
        <v>7190</v>
      </c>
      <c r="B5016" s="35">
        <v>1.2459271599177899</v>
      </c>
    </row>
    <row r="5017" spans="1:2" ht="13.2" x14ac:dyDescent="0.25">
      <c r="A5017" s="34" t="s">
        <v>7189</v>
      </c>
    </row>
    <row r="5018" spans="1:2" ht="13.2" x14ac:dyDescent="0.25">
      <c r="A5018" s="34" t="s">
        <v>7188</v>
      </c>
    </row>
    <row r="5019" spans="1:2" ht="13.2" x14ac:dyDescent="0.25">
      <c r="A5019" s="34" t="s">
        <v>7187</v>
      </c>
    </row>
    <row r="5020" spans="1:2" ht="13.2" x14ac:dyDescent="0.25">
      <c r="A5020" s="34" t="s">
        <v>7186</v>
      </c>
    </row>
    <row r="5021" spans="1:2" ht="13.2" x14ac:dyDescent="0.25">
      <c r="A5021" s="34" t="s">
        <v>7185</v>
      </c>
      <c r="B5021" s="35">
        <v>1.22763850308988</v>
      </c>
    </row>
    <row r="5022" spans="1:2" ht="13.2" x14ac:dyDescent="0.25">
      <c r="A5022" s="34" t="s">
        <v>7184</v>
      </c>
      <c r="B5022" s="35">
        <v>1.1592156755526299</v>
      </c>
    </row>
    <row r="5023" spans="1:2" ht="13.2" x14ac:dyDescent="0.25">
      <c r="A5023" s="34" t="s">
        <v>7183</v>
      </c>
      <c r="B5023" s="35">
        <v>1.1916180352827399</v>
      </c>
    </row>
    <row r="5024" spans="1:2" ht="13.2" x14ac:dyDescent="0.25">
      <c r="A5024" s="34" t="s">
        <v>7182</v>
      </c>
    </row>
    <row r="5025" spans="1:2" ht="13.2" x14ac:dyDescent="0.25">
      <c r="A5025" s="34" t="s">
        <v>7181</v>
      </c>
    </row>
    <row r="5026" spans="1:2" ht="13.2" x14ac:dyDescent="0.25">
      <c r="A5026" s="34" t="s">
        <v>7180</v>
      </c>
      <c r="B5026" s="35">
        <v>1.16247166515865</v>
      </c>
    </row>
    <row r="5027" spans="1:2" ht="13.2" x14ac:dyDescent="0.25">
      <c r="A5027" s="34" t="s">
        <v>7179</v>
      </c>
      <c r="B5027" s="35">
        <v>1.9117335872675201</v>
      </c>
    </row>
    <row r="5028" spans="1:2" ht="13.2" x14ac:dyDescent="0.25">
      <c r="A5028" s="34" t="s">
        <v>7178</v>
      </c>
      <c r="B5028" s="35">
        <v>1.95168091243621</v>
      </c>
    </row>
    <row r="5029" spans="1:2" ht="13.2" x14ac:dyDescent="0.25">
      <c r="A5029" s="34" t="s">
        <v>7177</v>
      </c>
      <c r="B5029" s="35">
        <v>1.91500980789741</v>
      </c>
    </row>
    <row r="5030" spans="1:2" ht="13.2" x14ac:dyDescent="0.25">
      <c r="A5030" s="34" t="s">
        <v>7176</v>
      </c>
      <c r="B5030" s="35">
        <v>1.98254831478111</v>
      </c>
    </row>
    <row r="5031" spans="1:2" ht="13.2" x14ac:dyDescent="0.25">
      <c r="A5031" s="34" t="s">
        <v>7175</v>
      </c>
    </row>
    <row r="5032" spans="1:2" ht="13.2" x14ac:dyDescent="0.25">
      <c r="A5032" s="34" t="s">
        <v>7174</v>
      </c>
    </row>
    <row r="5033" spans="1:2" ht="13.2" x14ac:dyDescent="0.25">
      <c r="A5033" s="34" t="s">
        <v>7173</v>
      </c>
      <c r="B5033" s="35">
        <v>2.03138947983114</v>
      </c>
    </row>
    <row r="5034" spans="1:2" ht="13.2" x14ac:dyDescent="0.25">
      <c r="A5034" s="34" t="s">
        <v>7172</v>
      </c>
      <c r="B5034" s="35">
        <v>2.3261089035018601</v>
      </c>
    </row>
    <row r="5035" spans="1:2" ht="13.2" x14ac:dyDescent="0.25">
      <c r="A5035" s="34" t="s">
        <v>7171</v>
      </c>
      <c r="B5035" s="35">
        <v>2.3342626776948601</v>
      </c>
    </row>
    <row r="5036" spans="1:2" ht="13.2" x14ac:dyDescent="0.25">
      <c r="A5036" s="34" t="s">
        <v>7170</v>
      </c>
      <c r="B5036" s="35">
        <v>2.3723086519943601</v>
      </c>
    </row>
    <row r="5037" spans="1:2" ht="13.2" x14ac:dyDescent="0.25">
      <c r="A5037" s="34" t="s">
        <v>7169</v>
      </c>
      <c r="B5037" s="35">
        <v>2.4010687152646</v>
      </c>
    </row>
    <row r="5038" spans="1:2" ht="13.2" x14ac:dyDescent="0.25">
      <c r="A5038" s="34" t="s">
        <v>7168</v>
      </c>
    </row>
    <row r="5039" spans="1:2" ht="13.2" x14ac:dyDescent="0.25">
      <c r="A5039" s="34" t="s">
        <v>7167</v>
      </c>
    </row>
    <row r="5040" spans="1:2" ht="13.2" x14ac:dyDescent="0.25">
      <c r="A5040" s="34" t="s">
        <v>7166</v>
      </c>
      <c r="B5040" s="35">
        <v>2.3749827553122702</v>
      </c>
    </row>
    <row r="5041" spans="1:2" ht="13.2" x14ac:dyDescent="0.25">
      <c r="A5041" s="34" t="s">
        <v>7165</v>
      </c>
      <c r="B5041" s="35">
        <v>2.4812405770082502</v>
      </c>
    </row>
    <row r="5042" spans="1:2" ht="13.2" x14ac:dyDescent="0.25">
      <c r="A5042" s="34" t="s">
        <v>7164</v>
      </c>
      <c r="B5042" s="35">
        <v>2.4873124884367201</v>
      </c>
    </row>
    <row r="5043" spans="1:2" ht="13.2" x14ac:dyDescent="0.25">
      <c r="A5043" s="34" t="s">
        <v>7163</v>
      </c>
      <c r="B5043" s="35">
        <v>2.4824110506006201</v>
      </c>
    </row>
    <row r="5044" spans="1:2" ht="13.2" x14ac:dyDescent="0.25">
      <c r="A5044" s="34" t="s">
        <v>7162</v>
      </c>
      <c r="B5044" s="35">
        <v>2.4026976703942902</v>
      </c>
    </row>
    <row r="5045" spans="1:2" ht="13.2" x14ac:dyDescent="0.25">
      <c r="A5045" s="34" t="s">
        <v>7161</v>
      </c>
    </row>
    <row r="5046" spans="1:2" ht="13.2" x14ac:dyDescent="0.25">
      <c r="A5046" s="34" t="s">
        <v>7160</v>
      </c>
    </row>
    <row r="5047" spans="1:2" ht="13.2" x14ac:dyDescent="0.25">
      <c r="A5047" s="34" t="s">
        <v>7159</v>
      </c>
      <c r="B5047" s="35">
        <v>2.42721482997788</v>
      </c>
    </row>
    <row r="5048" spans="1:2" ht="13.2" x14ac:dyDescent="0.25">
      <c r="A5048" s="34" t="s">
        <v>7158</v>
      </c>
      <c r="B5048" s="35">
        <v>2.45511819504868</v>
      </c>
    </row>
    <row r="5049" spans="1:2" ht="13.2" x14ac:dyDescent="0.25">
      <c r="A5049" s="34" t="s">
        <v>7157</v>
      </c>
      <c r="B5049" s="35">
        <v>2.5414976126771598</v>
      </c>
    </row>
    <row r="5050" spans="1:2" ht="13.2" x14ac:dyDescent="0.25">
      <c r="A5050" s="34" t="s">
        <v>7156</v>
      </c>
      <c r="B5050" s="35">
        <v>2.5399410309997199</v>
      </c>
    </row>
    <row r="5051" spans="1:2" ht="13.2" x14ac:dyDescent="0.25">
      <c r="A5051" s="34" t="s">
        <v>7155</v>
      </c>
      <c r="B5051" s="35">
        <v>2.5335955400400501</v>
      </c>
    </row>
    <row r="5052" spans="1:2" ht="13.2" x14ac:dyDescent="0.25">
      <c r="A5052" s="34" t="s">
        <v>7154</v>
      </c>
    </row>
    <row r="5053" spans="1:2" ht="13.2" x14ac:dyDescent="0.25">
      <c r="A5053" s="34" t="s">
        <v>7153</v>
      </c>
    </row>
    <row r="5054" spans="1:2" ht="13.2" x14ac:dyDescent="0.25">
      <c r="A5054" s="34" t="s">
        <v>7152</v>
      </c>
      <c r="B5054" s="35">
        <v>2.52697544375973</v>
      </c>
    </row>
    <row r="5055" spans="1:2" ht="13.2" x14ac:dyDescent="0.25">
      <c r="A5055" s="34" t="s">
        <v>7151</v>
      </c>
      <c r="B5055" s="35">
        <v>2.5325232567883802</v>
      </c>
    </row>
    <row r="5056" spans="1:2" ht="13.2" x14ac:dyDescent="0.25">
      <c r="A5056" s="34" t="s">
        <v>7150</v>
      </c>
      <c r="B5056" s="35">
        <v>2.0450508992207101</v>
      </c>
    </row>
    <row r="5057" spans="1:2" ht="13.2" x14ac:dyDescent="0.25">
      <c r="A5057" s="34" t="s">
        <v>7149</v>
      </c>
      <c r="B5057" s="35">
        <v>2.0541546497758798</v>
      </c>
    </row>
    <row r="5058" spans="1:2" ht="13.2" x14ac:dyDescent="0.25">
      <c r="A5058" s="34" t="s">
        <v>7148</v>
      </c>
      <c r="B5058" s="35">
        <v>2.0480616260845799</v>
      </c>
    </row>
    <row r="5059" spans="1:2" ht="13.2" x14ac:dyDescent="0.25">
      <c r="A5059" s="34" t="s">
        <v>7147</v>
      </c>
    </row>
    <row r="5060" spans="1:2" ht="13.2" x14ac:dyDescent="0.25">
      <c r="A5060" s="34" t="s">
        <v>7146</v>
      </c>
    </row>
    <row r="5061" spans="1:2" ht="13.2" x14ac:dyDescent="0.25">
      <c r="A5061" s="34" t="s">
        <v>7145</v>
      </c>
      <c r="B5061" s="35">
        <v>1.94484162260306</v>
      </c>
    </row>
    <row r="5062" spans="1:2" ht="13.2" x14ac:dyDescent="0.25">
      <c r="A5062" s="34" t="s">
        <v>7144</v>
      </c>
      <c r="B5062" s="35">
        <v>1.8142923341273101</v>
      </c>
    </row>
    <row r="5063" spans="1:2" ht="13.2" x14ac:dyDescent="0.25">
      <c r="A5063" s="34" t="s">
        <v>7143</v>
      </c>
      <c r="B5063" s="35">
        <v>1.52783534521637</v>
      </c>
    </row>
    <row r="5064" spans="1:2" ht="13.2" x14ac:dyDescent="0.25">
      <c r="A5064" s="34" t="s">
        <v>7142</v>
      </c>
      <c r="B5064" s="35">
        <v>1.4819643406916101</v>
      </c>
    </row>
    <row r="5065" spans="1:2" ht="13.2" x14ac:dyDescent="0.25">
      <c r="A5065" s="34" t="s">
        <v>7141</v>
      </c>
    </row>
    <row r="5066" spans="1:2" ht="13.2" x14ac:dyDescent="0.25">
      <c r="A5066" s="34" t="s">
        <v>7140</v>
      </c>
    </row>
    <row r="5067" spans="1:2" ht="13.2" x14ac:dyDescent="0.25">
      <c r="A5067" s="34" t="s">
        <v>7139</v>
      </c>
    </row>
    <row r="5068" spans="1:2" ht="13.2" x14ac:dyDescent="0.25">
      <c r="A5068" s="34" t="s">
        <v>7138</v>
      </c>
      <c r="B5068" s="35">
        <v>1.4453945482217001</v>
      </c>
    </row>
    <row r="5069" spans="1:2" ht="13.2" x14ac:dyDescent="0.25">
      <c r="A5069" s="34" t="s">
        <v>7137</v>
      </c>
      <c r="B5069" s="35">
        <v>1.4229254042142601</v>
      </c>
    </row>
    <row r="5070" spans="1:2" ht="13.2" x14ac:dyDescent="0.25">
      <c r="A5070" s="34" t="s">
        <v>7136</v>
      </c>
      <c r="B5070" s="35">
        <v>1.4340624753408799</v>
      </c>
    </row>
    <row r="5071" spans="1:2" ht="13.2" x14ac:dyDescent="0.25">
      <c r="A5071" s="34" t="s">
        <v>7135</v>
      </c>
      <c r="B5071" s="35">
        <v>1.15488357863839</v>
      </c>
    </row>
    <row r="5072" spans="1:2" ht="13.2" x14ac:dyDescent="0.25">
      <c r="A5072" s="34" t="s">
        <v>7134</v>
      </c>
      <c r="B5072" s="35">
        <v>1.1536676056512101</v>
      </c>
    </row>
    <row r="5073" spans="1:2" ht="13.2" x14ac:dyDescent="0.25">
      <c r="A5073" s="34" t="s">
        <v>7133</v>
      </c>
    </row>
    <row r="5074" spans="1:2" ht="13.2" x14ac:dyDescent="0.25">
      <c r="A5074" s="34" t="s">
        <v>7132</v>
      </c>
    </row>
    <row r="5075" spans="1:2" ht="13.2" x14ac:dyDescent="0.25">
      <c r="A5075" s="34" t="s">
        <v>7131</v>
      </c>
      <c r="B5075" s="35">
        <v>1.19626471260845</v>
      </c>
    </row>
    <row r="5076" spans="1:2" ht="13.2" x14ac:dyDescent="0.25">
      <c r="A5076" s="34" t="s">
        <v>7130</v>
      </c>
      <c r="B5076" s="35">
        <v>1.1397443958010001</v>
      </c>
    </row>
    <row r="5077" spans="1:2" ht="13.2" x14ac:dyDescent="0.25">
      <c r="A5077" s="34" t="s">
        <v>7129</v>
      </c>
      <c r="B5077" s="35">
        <v>1.0844897997435099</v>
      </c>
    </row>
    <row r="5078" spans="1:2" ht="13.2" x14ac:dyDescent="0.25">
      <c r="A5078" s="34" t="s">
        <v>7128</v>
      </c>
      <c r="B5078" s="35">
        <v>1.0661170368148301</v>
      </c>
    </row>
    <row r="5079" spans="1:2" ht="13.2" x14ac:dyDescent="0.25">
      <c r="A5079" s="34" t="s">
        <v>7127</v>
      </c>
      <c r="B5079" s="35">
        <v>0.939108597285915</v>
      </c>
    </row>
    <row r="5080" spans="1:2" ht="13.2" x14ac:dyDescent="0.25">
      <c r="A5080" s="34" t="s">
        <v>7126</v>
      </c>
    </row>
    <row r="5081" spans="1:2" ht="13.2" x14ac:dyDescent="0.25">
      <c r="A5081" s="34" t="s">
        <v>7125</v>
      </c>
    </row>
    <row r="5082" spans="1:2" ht="13.2" x14ac:dyDescent="0.25">
      <c r="A5082" s="34" t="s">
        <v>7124</v>
      </c>
      <c r="B5082" s="35">
        <v>0.94112957840023503</v>
      </c>
    </row>
    <row r="5083" spans="1:2" ht="13.2" x14ac:dyDescent="0.25">
      <c r="A5083" s="34" t="s">
        <v>7123</v>
      </c>
      <c r="B5083" s="35">
        <v>0.94875785190168005</v>
      </c>
    </row>
    <row r="5084" spans="1:2" ht="13.2" x14ac:dyDescent="0.25">
      <c r="A5084" s="34" t="s">
        <v>7122</v>
      </c>
      <c r="B5084" s="35">
        <v>0.96695639478397</v>
      </c>
    </row>
    <row r="5085" spans="1:2" ht="13.2" x14ac:dyDescent="0.25">
      <c r="A5085" s="34" t="s">
        <v>7121</v>
      </c>
      <c r="B5085" s="35">
        <v>0.98739427185905804</v>
      </c>
    </row>
    <row r="5086" spans="1:2" ht="13.2" x14ac:dyDescent="0.25">
      <c r="A5086" s="34" t="s">
        <v>7120</v>
      </c>
      <c r="B5086" s="35">
        <v>0.87501609203590303</v>
      </c>
    </row>
    <row r="5087" spans="1:2" ht="13.2" x14ac:dyDescent="0.25">
      <c r="A5087" s="34" t="s">
        <v>7119</v>
      </c>
    </row>
    <row r="5088" spans="1:2" ht="13.2" x14ac:dyDescent="0.25">
      <c r="A5088" s="34" t="s">
        <v>7118</v>
      </c>
    </row>
    <row r="5089" spans="1:2" ht="13.2" x14ac:dyDescent="0.25">
      <c r="A5089" s="34" t="s">
        <v>7117</v>
      </c>
      <c r="B5089" s="35">
        <v>0.836018134714272</v>
      </c>
    </row>
    <row r="5090" spans="1:2" ht="13.2" x14ac:dyDescent="0.25">
      <c r="A5090" s="34" t="s">
        <v>7116</v>
      </c>
    </row>
    <row r="5091" spans="1:2" ht="13.2" x14ac:dyDescent="0.25">
      <c r="A5091" s="34" t="s">
        <v>7115</v>
      </c>
      <c r="B5091" s="35">
        <v>0.83840376725922106</v>
      </c>
    </row>
    <row r="5092" spans="1:2" ht="13.2" x14ac:dyDescent="0.25">
      <c r="A5092" s="34" t="s">
        <v>7114</v>
      </c>
      <c r="B5092" s="35">
        <v>0.85083212049263102</v>
      </c>
    </row>
    <row r="5093" spans="1:2" ht="13.2" x14ac:dyDescent="0.25">
      <c r="A5093" s="34" t="s">
        <v>7113</v>
      </c>
      <c r="B5093" s="35">
        <v>0.81997732476184104</v>
      </c>
    </row>
    <row r="5094" spans="1:2" ht="13.2" x14ac:dyDescent="0.25">
      <c r="A5094" s="34" t="s">
        <v>7112</v>
      </c>
    </row>
    <row r="5095" spans="1:2" ht="13.2" x14ac:dyDescent="0.25">
      <c r="A5095" s="34" t="s">
        <v>7111</v>
      </c>
    </row>
    <row r="5096" spans="1:2" ht="13.2" x14ac:dyDescent="0.25">
      <c r="A5096" s="34" t="s">
        <v>7110</v>
      </c>
      <c r="B5096" s="35">
        <v>0.85029229133822604</v>
      </c>
    </row>
    <row r="5097" spans="1:2" ht="13.2" x14ac:dyDescent="0.25">
      <c r="A5097" s="34" t="s">
        <v>7109</v>
      </c>
      <c r="B5097" s="35">
        <v>0.85353314248434098</v>
      </c>
    </row>
    <row r="5098" spans="1:2" ht="13.2" x14ac:dyDescent="0.25">
      <c r="A5098" s="34" t="s">
        <v>7108</v>
      </c>
      <c r="B5098" s="35">
        <v>0.92698141356007702</v>
      </c>
    </row>
    <row r="5099" spans="1:2" ht="13.2" x14ac:dyDescent="0.25">
      <c r="A5099" s="34" t="s">
        <v>7107</v>
      </c>
      <c r="B5099" s="35">
        <v>1.07601178578697</v>
      </c>
    </row>
    <row r="5100" spans="1:2" ht="13.2" x14ac:dyDescent="0.25">
      <c r="A5100" s="34" t="s">
        <v>7106</v>
      </c>
      <c r="B5100" s="35">
        <v>1.08166997339662</v>
      </c>
    </row>
    <row r="5101" spans="1:2" ht="13.2" x14ac:dyDescent="0.25">
      <c r="A5101" s="34" t="s">
        <v>7105</v>
      </c>
    </row>
    <row r="5102" spans="1:2" ht="13.2" x14ac:dyDescent="0.25">
      <c r="A5102" s="34" t="s">
        <v>7104</v>
      </c>
    </row>
    <row r="5103" spans="1:2" ht="13.2" x14ac:dyDescent="0.25">
      <c r="A5103" s="34" t="s">
        <v>7103</v>
      </c>
      <c r="B5103" s="35">
        <v>1.10411897487854</v>
      </c>
    </row>
    <row r="5104" spans="1:2" ht="13.2" x14ac:dyDescent="0.25">
      <c r="A5104" s="34" t="s">
        <v>7102</v>
      </c>
      <c r="B5104" s="35">
        <v>1.08572384202025</v>
      </c>
    </row>
    <row r="5105" spans="1:2" ht="13.2" x14ac:dyDescent="0.25">
      <c r="A5105" s="34" t="s">
        <v>7101</v>
      </c>
      <c r="B5105" s="35">
        <v>1.1152652650217501</v>
      </c>
    </row>
    <row r="5106" spans="1:2" ht="13.2" x14ac:dyDescent="0.25">
      <c r="A5106" s="34" t="s">
        <v>7100</v>
      </c>
      <c r="B5106" s="35">
        <v>1.11202452855485</v>
      </c>
    </row>
    <row r="5107" spans="1:2" ht="13.2" x14ac:dyDescent="0.25">
      <c r="A5107" s="34" t="s">
        <v>7099</v>
      </c>
      <c r="B5107" s="35">
        <v>1.11584552370194</v>
      </c>
    </row>
    <row r="5108" spans="1:2" ht="13.2" x14ac:dyDescent="0.25">
      <c r="A5108" s="34" t="s">
        <v>7098</v>
      </c>
    </row>
    <row r="5109" spans="1:2" ht="13.2" x14ac:dyDescent="0.25">
      <c r="A5109" s="34" t="s">
        <v>7097</v>
      </c>
    </row>
    <row r="5110" spans="1:2" ht="13.2" x14ac:dyDescent="0.25">
      <c r="A5110" s="34" t="s">
        <v>7096</v>
      </c>
      <c r="B5110" s="35">
        <v>1.1171331132361599</v>
      </c>
    </row>
    <row r="5111" spans="1:2" ht="13.2" x14ac:dyDescent="0.25">
      <c r="A5111" s="34" t="s">
        <v>7095</v>
      </c>
      <c r="B5111" s="35">
        <v>1.1055590972006999</v>
      </c>
    </row>
    <row r="5112" spans="1:2" ht="13.2" x14ac:dyDescent="0.25">
      <c r="A5112" s="34" t="s">
        <v>7094</v>
      </c>
      <c r="B5112" s="35">
        <v>1.1159369949584199</v>
      </c>
    </row>
    <row r="5113" spans="1:2" ht="13.2" x14ac:dyDescent="0.25">
      <c r="A5113" s="34" t="s">
        <v>7093</v>
      </c>
      <c r="B5113" s="35">
        <v>1.2659625628642299</v>
      </c>
    </row>
    <row r="5114" spans="1:2" ht="13.2" x14ac:dyDescent="0.25">
      <c r="A5114" s="34" t="s">
        <v>7092</v>
      </c>
      <c r="B5114" s="35">
        <v>1.31891208230088</v>
      </c>
    </row>
    <row r="5115" spans="1:2" ht="13.2" x14ac:dyDescent="0.25">
      <c r="A5115" s="34" t="s">
        <v>7091</v>
      </c>
    </row>
    <row r="5116" spans="1:2" ht="13.2" x14ac:dyDescent="0.25">
      <c r="A5116" s="34" t="s">
        <v>7090</v>
      </c>
    </row>
    <row r="5117" spans="1:2" ht="13.2" x14ac:dyDescent="0.25">
      <c r="A5117" s="34" t="s">
        <v>7089</v>
      </c>
      <c r="B5117" s="35">
        <v>1.28796647617203</v>
      </c>
    </row>
    <row r="5118" spans="1:2" ht="13.2" x14ac:dyDescent="0.25">
      <c r="A5118" s="34" t="s">
        <v>7088</v>
      </c>
      <c r="B5118" s="35">
        <v>1.30889253290733</v>
      </c>
    </row>
    <row r="5119" spans="1:2" ht="13.2" x14ac:dyDescent="0.25">
      <c r="A5119" s="34" t="s">
        <v>7087</v>
      </c>
      <c r="B5119" s="35">
        <v>1.3264416622325601</v>
      </c>
    </row>
    <row r="5120" spans="1:2" ht="13.2" x14ac:dyDescent="0.25">
      <c r="A5120" s="34" t="s">
        <v>7086</v>
      </c>
      <c r="B5120" s="35">
        <v>1.3277471488163599</v>
      </c>
    </row>
    <row r="5121" spans="1:2" ht="13.2" x14ac:dyDescent="0.25">
      <c r="A5121" s="34" t="s">
        <v>7085</v>
      </c>
      <c r="B5121" s="35">
        <v>1.3677015810481099</v>
      </c>
    </row>
    <row r="5122" spans="1:2" ht="13.2" x14ac:dyDescent="0.25">
      <c r="A5122" s="34" t="s">
        <v>7084</v>
      </c>
    </row>
    <row r="5123" spans="1:2" ht="13.2" x14ac:dyDescent="0.25">
      <c r="A5123" s="34" t="s">
        <v>7083</v>
      </c>
    </row>
    <row r="5124" spans="1:2" ht="13.2" x14ac:dyDescent="0.25">
      <c r="A5124" s="34" t="s">
        <v>7082</v>
      </c>
      <c r="B5124" s="35">
        <v>1.3701112257524599</v>
      </c>
    </row>
    <row r="5125" spans="1:2" ht="13.2" x14ac:dyDescent="0.25">
      <c r="A5125" s="34" t="s">
        <v>7081</v>
      </c>
      <c r="B5125" s="35">
        <v>1.3589322643109401</v>
      </c>
    </row>
    <row r="5126" spans="1:2" ht="13.2" x14ac:dyDescent="0.25">
      <c r="A5126" s="34" t="s">
        <v>7080</v>
      </c>
      <c r="B5126" s="35">
        <v>1.4545984315492699</v>
      </c>
    </row>
    <row r="5127" spans="1:2" ht="13.2" x14ac:dyDescent="0.25">
      <c r="A5127" s="34" t="s">
        <v>7079</v>
      </c>
    </row>
    <row r="5128" spans="1:2" ht="13.2" x14ac:dyDescent="0.25">
      <c r="A5128" s="34" t="s">
        <v>7078</v>
      </c>
      <c r="B5128" s="35">
        <v>1.39535140546756</v>
      </c>
    </row>
    <row r="5129" spans="1:2" ht="13.2" x14ac:dyDescent="0.25">
      <c r="A5129" s="34" t="s">
        <v>7077</v>
      </c>
    </row>
    <row r="5130" spans="1:2" ht="13.2" x14ac:dyDescent="0.25">
      <c r="A5130" s="34" t="s">
        <v>7076</v>
      </c>
    </row>
    <row r="5131" spans="1:2" ht="13.2" x14ac:dyDescent="0.25">
      <c r="A5131" s="34" t="s">
        <v>7075</v>
      </c>
      <c r="B5131" s="35">
        <v>1.30939514267438</v>
      </c>
    </row>
    <row r="5132" spans="1:2" ht="13.2" x14ac:dyDescent="0.25">
      <c r="A5132" s="34" t="s">
        <v>7074</v>
      </c>
      <c r="B5132" s="35">
        <v>1.36160347698451</v>
      </c>
    </row>
    <row r="5133" spans="1:2" ht="13.2" x14ac:dyDescent="0.25">
      <c r="A5133" s="34" t="s">
        <v>7073</v>
      </c>
      <c r="B5133" s="35">
        <v>1.42745189435005</v>
      </c>
    </row>
    <row r="5134" spans="1:2" ht="13.2" x14ac:dyDescent="0.25">
      <c r="A5134" s="34" t="s">
        <v>7072</v>
      </c>
      <c r="B5134" s="35">
        <v>1.4469627945155901</v>
      </c>
    </row>
    <row r="5135" spans="1:2" ht="13.2" x14ac:dyDescent="0.25">
      <c r="A5135" s="34" t="s">
        <v>7071</v>
      </c>
      <c r="B5135" s="35">
        <v>1.3943380453745</v>
      </c>
    </row>
    <row r="5136" spans="1:2" ht="13.2" x14ac:dyDescent="0.25">
      <c r="A5136" s="34" t="s">
        <v>7070</v>
      </c>
    </row>
    <row r="5137" spans="1:2" ht="13.2" x14ac:dyDescent="0.25">
      <c r="A5137" s="34" t="s">
        <v>7069</v>
      </c>
    </row>
    <row r="5138" spans="1:2" ht="13.2" x14ac:dyDescent="0.25">
      <c r="A5138" s="34" t="s">
        <v>7068</v>
      </c>
      <c r="B5138" s="35">
        <v>1.39063506107975</v>
      </c>
    </row>
    <row r="5139" spans="1:2" ht="13.2" x14ac:dyDescent="0.25">
      <c r="A5139" s="34" t="s">
        <v>7067</v>
      </c>
      <c r="B5139" s="35">
        <v>1.3869989728682499</v>
      </c>
    </row>
    <row r="5140" spans="1:2" ht="13.2" x14ac:dyDescent="0.25">
      <c r="A5140" s="34" t="s">
        <v>7066</v>
      </c>
      <c r="B5140" s="35">
        <v>1.4140085179747699</v>
      </c>
    </row>
    <row r="5141" spans="1:2" ht="13.2" x14ac:dyDescent="0.25">
      <c r="A5141" s="34" t="s">
        <v>7065</v>
      </c>
      <c r="B5141" s="35">
        <v>1.4245685503807699</v>
      </c>
    </row>
    <row r="5142" spans="1:2" ht="13.2" x14ac:dyDescent="0.25">
      <c r="A5142" s="34" t="s">
        <v>7064</v>
      </c>
      <c r="B5142" s="35">
        <v>1.42311098145613</v>
      </c>
    </row>
    <row r="5143" spans="1:2" ht="13.2" x14ac:dyDescent="0.25">
      <c r="A5143" s="34" t="s">
        <v>7063</v>
      </c>
    </row>
    <row r="5144" spans="1:2" ht="13.2" x14ac:dyDescent="0.25">
      <c r="A5144" s="34" t="s">
        <v>7062</v>
      </c>
    </row>
    <row r="5145" spans="1:2" ht="13.2" x14ac:dyDescent="0.25">
      <c r="A5145" s="34" t="s">
        <v>7061</v>
      </c>
      <c r="B5145" s="35">
        <v>1.2897945006878999</v>
      </c>
    </row>
    <row r="5146" spans="1:2" ht="13.2" x14ac:dyDescent="0.25">
      <c r="A5146" s="34" t="s">
        <v>7060</v>
      </c>
      <c r="B5146" s="35">
        <v>1.22799700590752</v>
      </c>
    </row>
    <row r="5147" spans="1:2" ht="13.2" x14ac:dyDescent="0.25">
      <c r="A5147" s="34" t="s">
        <v>7059</v>
      </c>
      <c r="B5147" s="35">
        <v>1.2181457281040899</v>
      </c>
    </row>
    <row r="5148" spans="1:2" ht="13.2" x14ac:dyDescent="0.25">
      <c r="A5148" s="34" t="s">
        <v>7058</v>
      </c>
      <c r="B5148" s="35">
        <v>1.1988793895393699</v>
      </c>
    </row>
    <row r="5149" spans="1:2" ht="13.2" x14ac:dyDescent="0.25">
      <c r="A5149" s="34" t="s">
        <v>7057</v>
      </c>
      <c r="B5149" s="35">
        <v>1.1604553614143001</v>
      </c>
    </row>
    <row r="5150" spans="1:2" ht="13.2" x14ac:dyDescent="0.25">
      <c r="A5150" s="34" t="s">
        <v>7056</v>
      </c>
    </row>
    <row r="5151" spans="1:2" ht="13.2" x14ac:dyDescent="0.25">
      <c r="A5151" s="34" t="s">
        <v>7055</v>
      </c>
    </row>
    <row r="5152" spans="1:2" ht="13.2" x14ac:dyDescent="0.25">
      <c r="A5152" s="34" t="s">
        <v>7054</v>
      </c>
      <c r="B5152" s="35">
        <v>1.2013407933117299</v>
      </c>
    </row>
    <row r="5153" spans="1:2" ht="13.2" x14ac:dyDescent="0.25">
      <c r="A5153" s="34" t="s">
        <v>7053</v>
      </c>
      <c r="B5153" s="35">
        <v>1.1223253920668499</v>
      </c>
    </row>
    <row r="5154" spans="1:2" ht="13.2" x14ac:dyDescent="0.25">
      <c r="A5154" s="34" t="s">
        <v>7052</v>
      </c>
      <c r="B5154" s="35">
        <v>1.1167346826184199</v>
      </c>
    </row>
    <row r="5155" spans="1:2" ht="13.2" x14ac:dyDescent="0.25">
      <c r="A5155" s="34" t="s">
        <v>7051</v>
      </c>
      <c r="B5155" s="35">
        <v>1.1143404638123999</v>
      </c>
    </row>
    <row r="5156" spans="1:2" ht="13.2" x14ac:dyDescent="0.25">
      <c r="A5156" s="34" t="s">
        <v>7050</v>
      </c>
      <c r="B5156" s="35">
        <v>0.98204028941704002</v>
      </c>
    </row>
    <row r="5157" spans="1:2" ht="13.2" x14ac:dyDescent="0.25">
      <c r="A5157" s="34" t="s">
        <v>7049</v>
      </c>
    </row>
    <row r="5158" spans="1:2" ht="13.2" x14ac:dyDescent="0.25">
      <c r="A5158" s="34" t="s">
        <v>7048</v>
      </c>
    </row>
    <row r="5159" spans="1:2" ht="13.2" x14ac:dyDescent="0.25">
      <c r="A5159" s="34" t="s">
        <v>7047</v>
      </c>
    </row>
    <row r="5160" spans="1:2" ht="13.2" x14ac:dyDescent="0.25">
      <c r="A5160" s="34" t="s">
        <v>7046</v>
      </c>
      <c r="B5160" s="35">
        <v>1.0264070308304101</v>
      </c>
    </row>
    <row r="5161" spans="1:2" ht="13.2" x14ac:dyDescent="0.25">
      <c r="A5161" s="34" t="s">
        <v>7045</v>
      </c>
      <c r="B5161" s="35">
        <v>1.02620622092365</v>
      </c>
    </row>
    <row r="5162" spans="1:2" ht="13.2" x14ac:dyDescent="0.25">
      <c r="A5162" s="34" t="s">
        <v>7044</v>
      </c>
      <c r="B5162" s="35">
        <v>0.97653989838868904</v>
      </c>
    </row>
    <row r="5163" spans="1:2" ht="13.2" x14ac:dyDescent="0.25">
      <c r="A5163" s="34" t="s">
        <v>7043</v>
      </c>
      <c r="B5163" s="35">
        <v>0.89106226036167802</v>
      </c>
    </row>
    <row r="5164" spans="1:2" ht="13.2" x14ac:dyDescent="0.25">
      <c r="A5164" s="34" t="s">
        <v>7042</v>
      </c>
    </row>
    <row r="5165" spans="1:2" ht="13.2" x14ac:dyDescent="0.25">
      <c r="A5165" s="34" t="s">
        <v>7041</v>
      </c>
    </row>
    <row r="5166" spans="1:2" ht="13.2" x14ac:dyDescent="0.25">
      <c r="A5166" s="34" t="s">
        <v>7040</v>
      </c>
      <c r="B5166" s="35">
        <v>0.88267962913109299</v>
      </c>
    </row>
    <row r="5167" spans="1:2" ht="13.2" x14ac:dyDescent="0.25">
      <c r="A5167" s="34" t="s">
        <v>7039</v>
      </c>
      <c r="B5167" s="35">
        <v>0.84224458319331297</v>
      </c>
    </row>
    <row r="5168" spans="1:2" ht="13.2" x14ac:dyDescent="0.25">
      <c r="A5168" s="34" t="s">
        <v>7038</v>
      </c>
      <c r="B5168" s="35">
        <v>0.84728913604386003</v>
      </c>
    </row>
    <row r="5169" spans="1:2" ht="13.2" x14ac:dyDescent="0.25">
      <c r="A5169" s="34" t="s">
        <v>7037</v>
      </c>
      <c r="B5169" s="35">
        <v>0.85708551128842803</v>
      </c>
    </row>
    <row r="5170" spans="1:2" ht="13.2" x14ac:dyDescent="0.25">
      <c r="A5170" s="34" t="s">
        <v>7036</v>
      </c>
      <c r="B5170" s="35">
        <v>0.86116899059808805</v>
      </c>
    </row>
    <row r="5171" spans="1:2" ht="13.2" x14ac:dyDescent="0.25">
      <c r="A5171" s="34" t="s">
        <v>7035</v>
      </c>
    </row>
    <row r="5172" spans="1:2" ht="13.2" x14ac:dyDescent="0.25">
      <c r="A5172" s="34" t="s">
        <v>7034</v>
      </c>
    </row>
    <row r="5173" spans="1:2" ht="13.2" x14ac:dyDescent="0.25">
      <c r="A5173" s="34" t="s">
        <v>7033</v>
      </c>
      <c r="B5173" s="35">
        <v>0.85522989176334197</v>
      </c>
    </row>
    <row r="5174" spans="1:2" ht="13.2" x14ac:dyDescent="0.25">
      <c r="A5174" s="34" t="s">
        <v>7032</v>
      </c>
      <c r="B5174" s="35">
        <v>1.2446626597480599</v>
      </c>
    </row>
    <row r="5175" spans="1:2" ht="13.2" x14ac:dyDescent="0.25">
      <c r="A5175" s="34" t="s">
        <v>7031</v>
      </c>
      <c r="B5175" s="35">
        <v>1.23915874553713</v>
      </c>
    </row>
    <row r="5176" spans="1:2" ht="13.2" x14ac:dyDescent="0.25">
      <c r="A5176" s="34" t="s">
        <v>7030</v>
      </c>
      <c r="B5176" s="35">
        <v>1.5151156334642399</v>
      </c>
    </row>
    <row r="5177" spans="1:2" ht="13.2" x14ac:dyDescent="0.25">
      <c r="A5177" s="34" t="s">
        <v>7029</v>
      </c>
      <c r="B5177" s="35">
        <v>1.5601163600574399</v>
      </c>
    </row>
    <row r="5178" spans="1:2" ht="13.2" x14ac:dyDescent="0.25">
      <c r="A5178" s="34" t="s">
        <v>7028</v>
      </c>
    </row>
    <row r="5179" spans="1:2" ht="13.2" x14ac:dyDescent="0.25">
      <c r="A5179" s="34" t="s">
        <v>7027</v>
      </c>
    </row>
    <row r="5180" spans="1:2" ht="13.2" x14ac:dyDescent="0.25">
      <c r="A5180" s="34" t="s">
        <v>7026</v>
      </c>
      <c r="B5180" s="35">
        <v>1.7078491213522999</v>
      </c>
    </row>
    <row r="5181" spans="1:2" ht="13.2" x14ac:dyDescent="0.25">
      <c r="A5181" s="34" t="s">
        <v>7025</v>
      </c>
      <c r="B5181" s="35">
        <v>1.71271325103151</v>
      </c>
    </row>
    <row r="5182" spans="1:2" ht="13.2" x14ac:dyDescent="0.25">
      <c r="A5182" s="34" t="s">
        <v>7024</v>
      </c>
      <c r="B5182" s="35">
        <v>1.66277459551694</v>
      </c>
    </row>
    <row r="5183" spans="1:2" ht="13.2" x14ac:dyDescent="0.25">
      <c r="A5183" s="34" t="s">
        <v>7023</v>
      </c>
      <c r="B5183" s="35">
        <v>1.6687629155438799</v>
      </c>
    </row>
    <row r="5184" spans="1:2" ht="13.2" x14ac:dyDescent="0.25">
      <c r="A5184" s="34" t="s">
        <v>7022</v>
      </c>
      <c r="B5184" s="35">
        <v>1.8209520345443999</v>
      </c>
    </row>
    <row r="5185" spans="1:2" ht="13.2" x14ac:dyDescent="0.25">
      <c r="A5185" s="34" t="s">
        <v>7021</v>
      </c>
    </row>
    <row r="5186" spans="1:2" ht="13.2" x14ac:dyDescent="0.25">
      <c r="A5186" s="34" t="s">
        <v>7020</v>
      </c>
    </row>
    <row r="5187" spans="1:2" ht="13.2" x14ac:dyDescent="0.25">
      <c r="A5187" s="34" t="s">
        <v>7019</v>
      </c>
      <c r="B5187" s="35">
        <v>1.8217061937747101</v>
      </c>
    </row>
    <row r="5188" spans="1:2" ht="13.2" x14ac:dyDescent="0.25">
      <c r="A5188" s="34" t="s">
        <v>7018</v>
      </c>
      <c r="B5188" s="35">
        <v>1.8372721781400601</v>
      </c>
    </row>
    <row r="5189" spans="1:2" ht="13.2" x14ac:dyDescent="0.25">
      <c r="A5189" s="34" t="s">
        <v>7017</v>
      </c>
      <c r="B5189" s="35">
        <v>1.9301712726818301</v>
      </c>
    </row>
    <row r="5190" spans="1:2" ht="13.2" x14ac:dyDescent="0.25">
      <c r="A5190" s="34" t="s">
        <v>7016</v>
      </c>
      <c r="B5190" s="35">
        <v>2.0446291539280201</v>
      </c>
    </row>
    <row r="5191" spans="1:2" ht="13.2" x14ac:dyDescent="0.25">
      <c r="A5191" s="34" t="s">
        <v>7015</v>
      </c>
      <c r="B5191" s="35">
        <v>1.9805142596760199</v>
      </c>
    </row>
    <row r="5192" spans="1:2" ht="13.2" x14ac:dyDescent="0.25">
      <c r="A5192" s="34" t="s">
        <v>7014</v>
      </c>
    </row>
    <row r="5193" spans="1:2" ht="13.2" x14ac:dyDescent="0.25">
      <c r="A5193" s="34" t="s">
        <v>7013</v>
      </c>
    </row>
    <row r="5194" spans="1:2" ht="13.2" x14ac:dyDescent="0.25">
      <c r="A5194" s="34" t="s">
        <v>7012</v>
      </c>
      <c r="B5194" s="35">
        <v>1.97746135877311</v>
      </c>
    </row>
    <row r="5195" spans="1:2" ht="13.2" x14ac:dyDescent="0.25">
      <c r="A5195" s="34" t="s">
        <v>7011</v>
      </c>
      <c r="B5195" s="35">
        <v>2.0510677960498298</v>
      </c>
    </row>
    <row r="5196" spans="1:2" ht="13.2" x14ac:dyDescent="0.25">
      <c r="A5196" s="34" t="s">
        <v>7010</v>
      </c>
      <c r="B5196" s="35">
        <v>2.1155276444087199</v>
      </c>
    </row>
    <row r="5197" spans="1:2" ht="13.2" x14ac:dyDescent="0.25">
      <c r="A5197" s="34" t="s">
        <v>7009</v>
      </c>
      <c r="B5197" s="35">
        <v>2.14908333341128</v>
      </c>
    </row>
    <row r="5198" spans="1:2" ht="13.2" x14ac:dyDescent="0.25">
      <c r="A5198" s="34" t="s">
        <v>7008</v>
      </c>
      <c r="B5198" s="35">
        <v>2.1553423886170302</v>
      </c>
    </row>
    <row r="5199" spans="1:2" ht="13.2" x14ac:dyDescent="0.25">
      <c r="A5199" s="34" t="s">
        <v>7007</v>
      </c>
    </row>
    <row r="5200" spans="1:2" ht="13.2" x14ac:dyDescent="0.25">
      <c r="A5200" s="34" t="s">
        <v>7006</v>
      </c>
    </row>
    <row r="5201" spans="1:2" ht="13.2" x14ac:dyDescent="0.25">
      <c r="A5201" s="34" t="s">
        <v>7005</v>
      </c>
      <c r="B5201" s="35">
        <v>2.2052021177705301</v>
      </c>
    </row>
    <row r="5202" spans="1:2" ht="13.2" x14ac:dyDescent="0.25">
      <c r="A5202" s="34" t="s">
        <v>7004</v>
      </c>
      <c r="B5202" s="35">
        <v>2.2136827310067302</v>
      </c>
    </row>
    <row r="5203" spans="1:2" ht="13.2" x14ac:dyDescent="0.25">
      <c r="A5203" s="34" t="s">
        <v>7003</v>
      </c>
      <c r="B5203" s="35">
        <v>2.29504511207461</v>
      </c>
    </row>
    <row r="5204" spans="1:2" ht="13.2" x14ac:dyDescent="0.25">
      <c r="A5204" s="34" t="s">
        <v>7002</v>
      </c>
      <c r="B5204" s="35">
        <v>2.2926537995315202</v>
      </c>
    </row>
    <row r="5205" spans="1:2" ht="13.2" x14ac:dyDescent="0.25">
      <c r="A5205" s="34" t="s">
        <v>7001</v>
      </c>
      <c r="B5205" s="35">
        <v>2.2125758230777901</v>
      </c>
    </row>
    <row r="5206" spans="1:2" ht="13.2" x14ac:dyDescent="0.25">
      <c r="A5206" s="34" t="s">
        <v>7000</v>
      </c>
    </row>
    <row r="5207" spans="1:2" ht="13.2" x14ac:dyDescent="0.25">
      <c r="A5207" s="34" t="s">
        <v>6999</v>
      </c>
    </row>
    <row r="5208" spans="1:2" ht="13.2" x14ac:dyDescent="0.25">
      <c r="A5208" s="34" t="s">
        <v>6998</v>
      </c>
      <c r="B5208" s="35">
        <v>2.1766527925224599</v>
      </c>
    </row>
    <row r="5209" spans="1:2" ht="13.2" x14ac:dyDescent="0.25">
      <c r="A5209" s="34" t="s">
        <v>6997</v>
      </c>
      <c r="B5209" s="35">
        <v>2.1373556877165201</v>
      </c>
    </row>
    <row r="5210" spans="1:2" ht="13.2" x14ac:dyDescent="0.25">
      <c r="A5210" s="34" t="s">
        <v>6996</v>
      </c>
      <c r="B5210" s="35">
        <v>2.19445175467464</v>
      </c>
    </row>
    <row r="5211" spans="1:2" ht="13.2" x14ac:dyDescent="0.25">
      <c r="A5211" s="34" t="s">
        <v>6995</v>
      </c>
      <c r="B5211" s="35">
        <v>2.1953667775552099</v>
      </c>
    </row>
    <row r="5212" spans="1:2" ht="13.2" x14ac:dyDescent="0.25">
      <c r="A5212" s="34" t="s">
        <v>6994</v>
      </c>
      <c r="B5212" s="35">
        <v>2.3125765043925801</v>
      </c>
    </row>
    <row r="5213" spans="1:2" ht="13.2" x14ac:dyDescent="0.25">
      <c r="A5213" s="34" t="s">
        <v>6993</v>
      </c>
    </row>
    <row r="5214" spans="1:2" ht="13.2" x14ac:dyDescent="0.25">
      <c r="A5214" s="34" t="s">
        <v>6992</v>
      </c>
    </row>
    <row r="5215" spans="1:2" ht="13.2" x14ac:dyDescent="0.25">
      <c r="A5215" s="34" t="s">
        <v>6991</v>
      </c>
      <c r="B5215" s="35">
        <v>2.1755860246071701</v>
      </c>
    </row>
    <row r="5216" spans="1:2" ht="13.2" x14ac:dyDescent="0.25">
      <c r="A5216" s="34" t="s">
        <v>6990</v>
      </c>
      <c r="B5216" s="35">
        <v>2.1784817464414599</v>
      </c>
    </row>
    <row r="5217" spans="1:2" ht="13.2" x14ac:dyDescent="0.25">
      <c r="A5217" s="34" t="s">
        <v>6989</v>
      </c>
      <c r="B5217" s="35">
        <v>2.1931848008294099</v>
      </c>
    </row>
    <row r="5218" spans="1:2" ht="13.2" x14ac:dyDescent="0.25">
      <c r="A5218" s="34" t="s">
        <v>6988</v>
      </c>
      <c r="B5218" s="35">
        <v>2.1131735784279599</v>
      </c>
    </row>
    <row r="5219" spans="1:2" ht="13.2" x14ac:dyDescent="0.25">
      <c r="A5219" s="34" t="s">
        <v>6987</v>
      </c>
    </row>
    <row r="5220" spans="1:2" ht="13.2" x14ac:dyDescent="0.25">
      <c r="A5220" s="34" t="s">
        <v>6986</v>
      </c>
    </row>
    <row r="5221" spans="1:2" ht="13.2" x14ac:dyDescent="0.25">
      <c r="A5221" s="34" t="s">
        <v>6985</v>
      </c>
    </row>
    <row r="5222" spans="1:2" ht="13.2" x14ac:dyDescent="0.25">
      <c r="A5222" s="34" t="s">
        <v>6984</v>
      </c>
      <c r="B5222" s="35">
        <v>2.1325562670726002</v>
      </c>
    </row>
    <row r="5223" spans="1:2" ht="13.2" x14ac:dyDescent="0.25">
      <c r="A5223" s="34" t="s">
        <v>6983</v>
      </c>
      <c r="B5223" s="35">
        <v>2.17035974371634</v>
      </c>
    </row>
    <row r="5224" spans="1:2" ht="13.2" x14ac:dyDescent="0.25">
      <c r="A5224" s="34" t="s">
        <v>6982</v>
      </c>
      <c r="B5224" s="35">
        <v>2.16778364303598</v>
      </c>
    </row>
    <row r="5225" spans="1:2" ht="13.2" x14ac:dyDescent="0.25">
      <c r="A5225" s="34" t="s">
        <v>6981</v>
      </c>
      <c r="B5225" s="35">
        <v>2.0796020610435599</v>
      </c>
    </row>
    <row r="5226" spans="1:2" ht="13.2" x14ac:dyDescent="0.25">
      <c r="A5226" s="34" t="s">
        <v>6980</v>
      </c>
      <c r="B5226" s="35">
        <v>1.9200238525031601</v>
      </c>
    </row>
    <row r="5227" spans="1:2" ht="13.2" x14ac:dyDescent="0.25">
      <c r="A5227" s="34" t="s">
        <v>6979</v>
      </c>
    </row>
    <row r="5228" spans="1:2" ht="13.2" x14ac:dyDescent="0.25">
      <c r="A5228" s="34" t="s">
        <v>6978</v>
      </c>
    </row>
    <row r="5229" spans="1:2" ht="13.2" x14ac:dyDescent="0.25">
      <c r="A5229" s="34" t="s">
        <v>6977</v>
      </c>
      <c r="B5229" s="35">
        <v>1.8044698101061201</v>
      </c>
    </row>
    <row r="5230" spans="1:2" ht="13.2" x14ac:dyDescent="0.25">
      <c r="A5230" s="34" t="s">
        <v>6976</v>
      </c>
      <c r="B5230" s="35">
        <v>1.9666006782638801</v>
      </c>
    </row>
    <row r="5231" spans="1:2" ht="13.2" x14ac:dyDescent="0.25">
      <c r="A5231" s="34" t="s">
        <v>6975</v>
      </c>
      <c r="B5231" s="35">
        <v>1.96340958537303</v>
      </c>
    </row>
    <row r="5232" spans="1:2" ht="13.2" x14ac:dyDescent="0.25">
      <c r="A5232" s="34" t="s">
        <v>6974</v>
      </c>
      <c r="B5232" s="35">
        <v>1.9811359496854499</v>
      </c>
    </row>
    <row r="5233" spans="1:2" ht="13.2" x14ac:dyDescent="0.25">
      <c r="A5233" s="34" t="s">
        <v>6973</v>
      </c>
      <c r="B5233" s="35">
        <v>1.85846864483698</v>
      </c>
    </row>
    <row r="5234" spans="1:2" ht="13.2" x14ac:dyDescent="0.25">
      <c r="A5234" s="34" t="s">
        <v>6972</v>
      </c>
    </row>
    <row r="5235" spans="1:2" ht="13.2" x14ac:dyDescent="0.25">
      <c r="A5235" s="34" t="s">
        <v>6971</v>
      </c>
    </row>
    <row r="5236" spans="1:2" ht="13.2" x14ac:dyDescent="0.25">
      <c r="A5236" s="34" t="s">
        <v>6970</v>
      </c>
      <c r="B5236" s="35">
        <v>1.87065698795877</v>
      </c>
    </row>
    <row r="5237" spans="1:2" ht="13.2" x14ac:dyDescent="0.25">
      <c r="A5237" s="34" t="s">
        <v>6969</v>
      </c>
      <c r="B5237" s="35">
        <v>1.83531740313292</v>
      </c>
    </row>
    <row r="5238" spans="1:2" ht="13.2" x14ac:dyDescent="0.25">
      <c r="A5238" s="34" t="s">
        <v>6968</v>
      </c>
      <c r="B5238" s="35">
        <v>1.8447449768966799</v>
      </c>
    </row>
    <row r="5239" spans="1:2" ht="13.2" x14ac:dyDescent="0.25">
      <c r="A5239" s="34" t="s">
        <v>6967</v>
      </c>
      <c r="B5239" s="35">
        <v>1.71392674131481</v>
      </c>
    </row>
    <row r="5240" spans="1:2" ht="13.2" x14ac:dyDescent="0.25">
      <c r="A5240" s="34" t="s">
        <v>6966</v>
      </c>
      <c r="B5240" s="35">
        <v>1.7283785770959501</v>
      </c>
    </row>
    <row r="5241" spans="1:2" ht="13.2" x14ac:dyDescent="0.25">
      <c r="A5241" s="34" t="s">
        <v>6965</v>
      </c>
    </row>
    <row r="5242" spans="1:2" ht="13.2" x14ac:dyDescent="0.25">
      <c r="A5242" s="34" t="s">
        <v>6964</v>
      </c>
    </row>
    <row r="5243" spans="1:2" ht="13.2" x14ac:dyDescent="0.25">
      <c r="A5243" s="34" t="s">
        <v>6963</v>
      </c>
      <c r="B5243" s="35">
        <v>1.80227473279544</v>
      </c>
    </row>
    <row r="5244" spans="1:2" ht="13.2" x14ac:dyDescent="0.25">
      <c r="A5244" s="34" t="s">
        <v>6962</v>
      </c>
      <c r="B5244" s="35">
        <v>1.7262043848300901</v>
      </c>
    </row>
    <row r="5245" spans="1:2" ht="13.2" x14ac:dyDescent="0.25">
      <c r="A5245" s="34" t="s">
        <v>6961</v>
      </c>
      <c r="B5245" s="35">
        <v>1.9101860800782899</v>
      </c>
    </row>
    <row r="5246" spans="1:2" ht="13.2" x14ac:dyDescent="0.25">
      <c r="A5246" s="34" t="s">
        <v>6960</v>
      </c>
      <c r="B5246" s="35">
        <v>1.9088723461191901</v>
      </c>
    </row>
    <row r="5247" spans="1:2" ht="13.2" x14ac:dyDescent="0.25">
      <c r="A5247" s="34" t="s">
        <v>6959</v>
      </c>
      <c r="B5247" s="35">
        <v>1.93963678843367</v>
      </c>
    </row>
    <row r="5248" spans="1:2" ht="13.2" x14ac:dyDescent="0.25">
      <c r="A5248" s="34" t="s">
        <v>6958</v>
      </c>
    </row>
    <row r="5249" spans="1:2" ht="13.2" x14ac:dyDescent="0.25">
      <c r="A5249" s="34" t="s">
        <v>6957</v>
      </c>
    </row>
    <row r="5250" spans="1:2" ht="13.2" x14ac:dyDescent="0.25">
      <c r="A5250" s="34" t="s">
        <v>6956</v>
      </c>
      <c r="B5250" s="35">
        <v>1.9381362965517599</v>
      </c>
    </row>
    <row r="5251" spans="1:2" ht="13.2" x14ac:dyDescent="0.25">
      <c r="A5251" s="34" t="s">
        <v>6955</v>
      </c>
      <c r="B5251" s="35">
        <v>1.6821193440917499</v>
      </c>
    </row>
    <row r="5252" spans="1:2" ht="13.2" x14ac:dyDescent="0.25">
      <c r="A5252" s="34" t="s">
        <v>6954</v>
      </c>
      <c r="B5252" s="35">
        <v>1.6745692694340799</v>
      </c>
    </row>
    <row r="5253" spans="1:2" ht="13.2" x14ac:dyDescent="0.25">
      <c r="A5253" s="34" t="s">
        <v>6953</v>
      </c>
      <c r="B5253" s="35">
        <v>1.7188326725465399</v>
      </c>
    </row>
    <row r="5254" spans="1:2" ht="13.2" x14ac:dyDescent="0.25">
      <c r="A5254" s="34" t="s">
        <v>6952</v>
      </c>
    </row>
    <row r="5255" spans="1:2" ht="13.2" x14ac:dyDescent="0.25">
      <c r="A5255" s="34" t="s">
        <v>6951</v>
      </c>
    </row>
    <row r="5256" spans="1:2" ht="13.2" x14ac:dyDescent="0.25">
      <c r="A5256" s="34" t="s">
        <v>6950</v>
      </c>
    </row>
    <row r="5257" spans="1:2" ht="13.2" x14ac:dyDescent="0.25">
      <c r="A5257" s="34" t="s">
        <v>6949</v>
      </c>
      <c r="B5257" s="35">
        <v>1.69781120336512</v>
      </c>
    </row>
    <row r="5258" spans="1:2" ht="13.2" x14ac:dyDescent="0.25">
      <c r="A5258" s="34" t="s">
        <v>6948</v>
      </c>
      <c r="B5258" s="35">
        <v>1.78082250926958</v>
      </c>
    </row>
    <row r="5259" spans="1:2" ht="13.2" x14ac:dyDescent="0.25">
      <c r="A5259" s="34" t="s">
        <v>6947</v>
      </c>
      <c r="B5259" s="35">
        <v>1.7999693640636201</v>
      </c>
    </row>
    <row r="5260" spans="1:2" ht="13.2" x14ac:dyDescent="0.25">
      <c r="A5260" s="34" t="s">
        <v>6946</v>
      </c>
      <c r="B5260" s="35">
        <v>1.6175997422421899</v>
      </c>
    </row>
    <row r="5261" spans="1:2" ht="13.2" x14ac:dyDescent="0.25">
      <c r="A5261" s="34" t="s">
        <v>6945</v>
      </c>
      <c r="B5261" s="35">
        <v>1.86742875379208</v>
      </c>
    </row>
    <row r="5262" spans="1:2" ht="13.2" x14ac:dyDescent="0.25">
      <c r="A5262" s="34" t="s">
        <v>6944</v>
      </c>
    </row>
    <row r="5263" spans="1:2" ht="13.2" x14ac:dyDescent="0.25">
      <c r="A5263" s="34" t="s">
        <v>6943</v>
      </c>
    </row>
    <row r="5264" spans="1:2" ht="13.2" x14ac:dyDescent="0.25">
      <c r="A5264" s="34" t="s">
        <v>6942</v>
      </c>
      <c r="B5264" s="35">
        <v>1.8559468709829401</v>
      </c>
    </row>
    <row r="5265" spans="1:2" ht="13.2" x14ac:dyDescent="0.25">
      <c r="A5265" s="34" t="s">
        <v>6941</v>
      </c>
      <c r="B5265" s="35">
        <v>1.8917572527338999</v>
      </c>
    </row>
    <row r="5266" spans="1:2" ht="13.2" x14ac:dyDescent="0.25">
      <c r="A5266" s="34" t="s">
        <v>6940</v>
      </c>
      <c r="B5266" s="35">
        <v>1.87443331519519</v>
      </c>
    </row>
    <row r="5267" spans="1:2" ht="13.2" x14ac:dyDescent="0.25">
      <c r="A5267" s="34" t="s">
        <v>6939</v>
      </c>
      <c r="B5267" s="35">
        <v>1.88177785999984</v>
      </c>
    </row>
    <row r="5268" spans="1:2" ht="13.2" x14ac:dyDescent="0.25">
      <c r="A5268" s="34" t="s">
        <v>6938</v>
      </c>
      <c r="B5268" s="35">
        <v>1.9630306111883999</v>
      </c>
    </row>
    <row r="5269" spans="1:2" ht="13.2" x14ac:dyDescent="0.25">
      <c r="A5269" s="34" t="s">
        <v>6937</v>
      </c>
    </row>
    <row r="5270" spans="1:2" ht="13.2" x14ac:dyDescent="0.25">
      <c r="A5270" s="34" t="s">
        <v>6936</v>
      </c>
    </row>
    <row r="5271" spans="1:2" ht="13.2" x14ac:dyDescent="0.25">
      <c r="A5271" s="34" t="s">
        <v>6935</v>
      </c>
      <c r="B5271" s="35">
        <v>1.92674540047111</v>
      </c>
    </row>
    <row r="5272" spans="1:2" ht="13.2" x14ac:dyDescent="0.25">
      <c r="A5272" s="34" t="s">
        <v>6934</v>
      </c>
      <c r="B5272" s="35">
        <v>1.92860180423911</v>
      </c>
    </row>
    <row r="5273" spans="1:2" ht="13.2" x14ac:dyDescent="0.25">
      <c r="A5273" s="34" t="s">
        <v>6933</v>
      </c>
      <c r="B5273" s="35">
        <v>1.84367868686023</v>
      </c>
    </row>
    <row r="5274" spans="1:2" ht="13.2" x14ac:dyDescent="0.25">
      <c r="A5274" s="34" t="s">
        <v>6932</v>
      </c>
      <c r="B5274" s="35">
        <v>1.8986533084714401</v>
      </c>
    </row>
    <row r="5275" spans="1:2" ht="13.2" x14ac:dyDescent="0.25">
      <c r="A5275" s="34" t="s">
        <v>6931</v>
      </c>
    </row>
    <row r="5276" spans="1:2" ht="13.2" x14ac:dyDescent="0.25">
      <c r="A5276" s="34" t="s">
        <v>6930</v>
      </c>
    </row>
    <row r="5277" spans="1:2" ht="13.2" x14ac:dyDescent="0.25">
      <c r="A5277" s="34" t="s">
        <v>6929</v>
      </c>
    </row>
    <row r="5278" spans="1:2" ht="13.2" x14ac:dyDescent="0.25">
      <c r="A5278" s="34" t="s">
        <v>6928</v>
      </c>
      <c r="B5278" s="35">
        <v>1.7977783148139199</v>
      </c>
    </row>
    <row r="5279" spans="1:2" ht="13.2" x14ac:dyDescent="0.25">
      <c r="A5279" s="34" t="s">
        <v>6927</v>
      </c>
      <c r="B5279" s="35">
        <v>1.8603950122352599</v>
      </c>
    </row>
    <row r="5280" spans="1:2" ht="13.2" x14ac:dyDescent="0.25">
      <c r="A5280" s="34" t="s">
        <v>6926</v>
      </c>
      <c r="B5280" s="35">
        <v>1.7866692793677099</v>
      </c>
    </row>
    <row r="5281" spans="1:2" ht="13.2" x14ac:dyDescent="0.25">
      <c r="A5281" s="34" t="s">
        <v>6925</v>
      </c>
      <c r="B5281" s="35">
        <v>1.7835987777671101</v>
      </c>
    </row>
    <row r="5282" spans="1:2" ht="13.2" x14ac:dyDescent="0.25">
      <c r="A5282" s="34" t="s">
        <v>6924</v>
      </c>
      <c r="B5282" s="35">
        <v>1.7759639335440101</v>
      </c>
    </row>
    <row r="5283" spans="1:2" ht="13.2" x14ac:dyDescent="0.25">
      <c r="A5283" s="34" t="s">
        <v>6923</v>
      </c>
    </row>
    <row r="5284" spans="1:2" ht="13.2" x14ac:dyDescent="0.25">
      <c r="A5284" s="34" t="s">
        <v>6922</v>
      </c>
    </row>
    <row r="5285" spans="1:2" ht="13.2" x14ac:dyDescent="0.25">
      <c r="A5285" s="34" t="s">
        <v>6921</v>
      </c>
      <c r="B5285" s="35">
        <v>2.0275956969456899</v>
      </c>
    </row>
    <row r="5286" spans="1:2" ht="13.2" x14ac:dyDescent="0.25">
      <c r="A5286" s="34" t="s">
        <v>6920</v>
      </c>
      <c r="B5286" s="35">
        <v>2.0761572290158701</v>
      </c>
    </row>
    <row r="5287" spans="1:2" ht="13.2" x14ac:dyDescent="0.25">
      <c r="A5287" s="34" t="s">
        <v>6919</v>
      </c>
      <c r="B5287" s="35">
        <v>2.1492100530841101</v>
      </c>
    </row>
    <row r="5288" spans="1:2" ht="13.2" x14ac:dyDescent="0.25">
      <c r="A5288" s="34" t="s">
        <v>6918</v>
      </c>
    </row>
    <row r="5289" spans="1:2" ht="13.2" x14ac:dyDescent="0.25">
      <c r="A5289" s="34" t="s">
        <v>6917</v>
      </c>
      <c r="B5289" s="35">
        <v>2.0938205162578201</v>
      </c>
    </row>
    <row r="5290" spans="1:2" ht="13.2" x14ac:dyDescent="0.25">
      <c r="A5290" s="34" t="s">
        <v>6916</v>
      </c>
    </row>
    <row r="5291" spans="1:2" ht="13.2" x14ac:dyDescent="0.25">
      <c r="A5291" s="34" t="s">
        <v>6915</v>
      </c>
    </row>
    <row r="5292" spans="1:2" ht="13.2" x14ac:dyDescent="0.25">
      <c r="A5292" s="34" t="s">
        <v>6914</v>
      </c>
      <c r="B5292" s="35">
        <v>2.1889717738358501</v>
      </c>
    </row>
    <row r="5293" spans="1:2" ht="13.2" x14ac:dyDescent="0.25">
      <c r="A5293" s="34" t="s">
        <v>6913</v>
      </c>
    </row>
    <row r="5294" spans="1:2" ht="13.2" x14ac:dyDescent="0.25">
      <c r="A5294" s="34" t="s">
        <v>6912</v>
      </c>
      <c r="B5294" s="35">
        <v>2.2711686636998798</v>
      </c>
    </row>
    <row r="5295" spans="1:2" ht="13.2" x14ac:dyDescent="0.25">
      <c r="A5295" s="34" t="s">
        <v>6911</v>
      </c>
      <c r="B5295" s="35">
        <v>2.1156521758436502</v>
      </c>
    </row>
    <row r="5296" spans="1:2" ht="13.2" x14ac:dyDescent="0.25">
      <c r="A5296" s="34" t="s">
        <v>6910</v>
      </c>
      <c r="B5296" s="35">
        <v>2.1156157528887798</v>
      </c>
    </row>
    <row r="5297" spans="1:2" ht="13.2" x14ac:dyDescent="0.25">
      <c r="A5297" s="34" t="s">
        <v>6909</v>
      </c>
    </row>
    <row r="5298" spans="1:2" ht="13.2" x14ac:dyDescent="0.25">
      <c r="A5298" s="34" t="s">
        <v>6908</v>
      </c>
    </row>
    <row r="5299" spans="1:2" ht="13.2" x14ac:dyDescent="0.25">
      <c r="A5299" s="34" t="s">
        <v>6907</v>
      </c>
      <c r="B5299" s="35">
        <v>2.1465536730080799</v>
      </c>
    </row>
    <row r="5300" spans="1:2" ht="13.2" x14ac:dyDescent="0.25">
      <c r="A5300" s="34" t="s">
        <v>6906</v>
      </c>
      <c r="B5300" s="35">
        <v>2.1552704829606699</v>
      </c>
    </row>
    <row r="5301" spans="1:2" ht="13.2" x14ac:dyDescent="0.25">
      <c r="A5301" s="34" t="s">
        <v>6905</v>
      </c>
      <c r="B5301" s="35">
        <v>2.3255253119166301</v>
      </c>
    </row>
    <row r="5302" spans="1:2" ht="13.2" x14ac:dyDescent="0.25">
      <c r="A5302" s="34" t="s">
        <v>6904</v>
      </c>
      <c r="B5302" s="35">
        <v>2.2230361381209902</v>
      </c>
    </row>
    <row r="5303" spans="1:2" ht="13.2" x14ac:dyDescent="0.25">
      <c r="A5303" s="34" t="s">
        <v>6903</v>
      </c>
      <c r="B5303" s="35">
        <v>2.2285079548798601</v>
      </c>
    </row>
    <row r="5304" spans="1:2" ht="13.2" x14ac:dyDescent="0.25">
      <c r="A5304" s="34" t="s">
        <v>6902</v>
      </c>
    </row>
    <row r="5305" spans="1:2" ht="13.2" x14ac:dyDescent="0.25">
      <c r="A5305" s="34" t="s">
        <v>6901</v>
      </c>
    </row>
    <row r="5306" spans="1:2" ht="13.2" x14ac:dyDescent="0.25">
      <c r="A5306" s="34" t="s">
        <v>6900</v>
      </c>
      <c r="B5306" s="35">
        <v>2.2214290422098002</v>
      </c>
    </row>
    <row r="5307" spans="1:2" ht="13.2" x14ac:dyDescent="0.25">
      <c r="A5307" s="34" t="s">
        <v>6899</v>
      </c>
      <c r="B5307" s="35">
        <v>2.1976241900006701</v>
      </c>
    </row>
    <row r="5308" spans="1:2" ht="13.2" x14ac:dyDescent="0.25">
      <c r="A5308" s="34" t="s">
        <v>6898</v>
      </c>
      <c r="B5308" s="35">
        <v>2.2149435847472798</v>
      </c>
    </row>
    <row r="5309" spans="1:2" ht="13.2" x14ac:dyDescent="0.25">
      <c r="A5309" s="34" t="s">
        <v>6897</v>
      </c>
      <c r="B5309" s="35">
        <v>2.19184699265191</v>
      </c>
    </row>
    <row r="5310" spans="1:2" ht="13.2" x14ac:dyDescent="0.25">
      <c r="A5310" s="34" t="s">
        <v>6896</v>
      </c>
      <c r="B5310" s="35">
        <v>2.1336724793349902</v>
      </c>
    </row>
    <row r="5311" spans="1:2" ht="13.2" x14ac:dyDescent="0.25">
      <c r="A5311" s="34" t="s">
        <v>6895</v>
      </c>
    </row>
    <row r="5312" spans="1:2" ht="13.2" x14ac:dyDescent="0.25">
      <c r="A5312" s="34" t="s">
        <v>6894</v>
      </c>
    </row>
    <row r="5313" spans="1:2" ht="13.2" x14ac:dyDescent="0.25">
      <c r="A5313" s="34" t="s">
        <v>6893</v>
      </c>
      <c r="B5313" s="35">
        <v>2.1023611868635701</v>
      </c>
    </row>
    <row r="5314" spans="1:2" ht="13.2" x14ac:dyDescent="0.25">
      <c r="A5314" s="34" t="s">
        <v>6892</v>
      </c>
      <c r="B5314" s="35">
        <v>2.1305400192314798</v>
      </c>
    </row>
    <row r="5315" spans="1:2" ht="13.2" x14ac:dyDescent="0.25">
      <c r="A5315" s="34" t="s">
        <v>6891</v>
      </c>
      <c r="B5315" s="35">
        <v>2.1164375024243101</v>
      </c>
    </row>
    <row r="5316" spans="1:2" ht="13.2" x14ac:dyDescent="0.25">
      <c r="A5316" s="34" t="s">
        <v>6890</v>
      </c>
      <c r="B5316" s="35">
        <v>1.97936817479723</v>
      </c>
    </row>
    <row r="5317" spans="1:2" ht="13.2" x14ac:dyDescent="0.25">
      <c r="A5317" s="34" t="s">
        <v>6889</v>
      </c>
      <c r="B5317" s="35">
        <v>1.9225974938178301</v>
      </c>
    </row>
    <row r="5318" spans="1:2" ht="13.2" x14ac:dyDescent="0.25">
      <c r="A5318" s="34" t="s">
        <v>6888</v>
      </c>
    </row>
    <row r="5319" spans="1:2" ht="13.2" x14ac:dyDescent="0.25">
      <c r="A5319" s="34" t="s">
        <v>6887</v>
      </c>
    </row>
    <row r="5320" spans="1:2" ht="13.2" x14ac:dyDescent="0.25">
      <c r="A5320" s="34" t="s">
        <v>6886</v>
      </c>
      <c r="B5320" s="35">
        <v>2.02862388612425</v>
      </c>
    </row>
    <row r="5321" spans="1:2" ht="13.2" x14ac:dyDescent="0.25">
      <c r="A5321" s="34" t="s">
        <v>6885</v>
      </c>
      <c r="B5321" s="35">
        <v>2.0982703560795399</v>
      </c>
    </row>
    <row r="5322" spans="1:2" ht="13.2" x14ac:dyDescent="0.25">
      <c r="A5322" s="34" t="s">
        <v>6884</v>
      </c>
      <c r="B5322" s="35">
        <v>1.9711522565145001</v>
      </c>
    </row>
    <row r="5323" spans="1:2" ht="13.2" x14ac:dyDescent="0.25">
      <c r="A5323" s="34" t="s">
        <v>6883</v>
      </c>
      <c r="B5323" s="35">
        <v>1.8634074856352201</v>
      </c>
    </row>
    <row r="5324" spans="1:2" ht="13.2" x14ac:dyDescent="0.25">
      <c r="A5324" s="34" t="s">
        <v>6882</v>
      </c>
      <c r="B5324" s="35">
        <v>1.9203706559012901</v>
      </c>
    </row>
    <row r="5325" spans="1:2" ht="13.2" x14ac:dyDescent="0.25">
      <c r="A5325" s="34" t="s">
        <v>6881</v>
      </c>
    </row>
    <row r="5326" spans="1:2" ht="13.2" x14ac:dyDescent="0.25">
      <c r="A5326" s="34" t="s">
        <v>6880</v>
      </c>
    </row>
    <row r="5327" spans="1:2" ht="13.2" x14ac:dyDescent="0.25">
      <c r="A5327" s="34" t="s">
        <v>6879</v>
      </c>
    </row>
    <row r="5328" spans="1:2" ht="13.2" x14ac:dyDescent="0.25">
      <c r="A5328" s="34" t="s">
        <v>6878</v>
      </c>
    </row>
    <row r="5329" spans="1:2" ht="13.2" x14ac:dyDescent="0.25">
      <c r="A5329" s="34" t="s">
        <v>6877</v>
      </c>
      <c r="B5329" s="35">
        <v>1.95424274829082</v>
      </c>
    </row>
    <row r="5330" spans="1:2" ht="13.2" x14ac:dyDescent="0.25">
      <c r="A5330" s="34" t="s">
        <v>6876</v>
      </c>
      <c r="B5330" s="35">
        <v>1.8099888795791399</v>
      </c>
    </row>
    <row r="5331" spans="1:2" ht="13.2" x14ac:dyDescent="0.25">
      <c r="A5331" s="34" t="s">
        <v>6875</v>
      </c>
      <c r="B5331" s="35">
        <v>1.80951152170827</v>
      </c>
    </row>
    <row r="5332" spans="1:2" ht="13.2" x14ac:dyDescent="0.25">
      <c r="A5332" s="34" t="s">
        <v>6874</v>
      </c>
    </row>
    <row r="5333" spans="1:2" ht="13.2" x14ac:dyDescent="0.25">
      <c r="A5333" s="34" t="s">
        <v>6873</v>
      </c>
    </row>
    <row r="5334" spans="1:2" ht="13.2" x14ac:dyDescent="0.25">
      <c r="A5334" s="34" t="s">
        <v>6872</v>
      </c>
    </row>
    <row r="5335" spans="1:2" ht="13.2" x14ac:dyDescent="0.25">
      <c r="A5335" s="34" t="s">
        <v>6871</v>
      </c>
    </row>
    <row r="5336" spans="1:2" ht="13.2" x14ac:dyDescent="0.25">
      <c r="A5336" s="34" t="s">
        <v>6870</v>
      </c>
      <c r="B5336" s="35">
        <v>1.6803967572913401</v>
      </c>
    </row>
    <row r="5337" spans="1:2" ht="13.2" x14ac:dyDescent="0.25">
      <c r="A5337" s="34" t="s">
        <v>6869</v>
      </c>
      <c r="B5337" s="35">
        <v>1.67429571114734</v>
      </c>
    </row>
    <row r="5338" spans="1:2" ht="13.2" x14ac:dyDescent="0.25">
      <c r="A5338" s="34" t="s">
        <v>6868</v>
      </c>
      <c r="B5338" s="35">
        <v>1.7715768710284101</v>
      </c>
    </row>
    <row r="5339" spans="1:2" ht="13.2" x14ac:dyDescent="0.25">
      <c r="A5339" s="34" t="s">
        <v>6867</v>
      </c>
    </row>
    <row r="5340" spans="1:2" ht="13.2" x14ac:dyDescent="0.25">
      <c r="A5340" s="34" t="s">
        <v>6866</v>
      </c>
    </row>
    <row r="5341" spans="1:2" ht="13.2" x14ac:dyDescent="0.25">
      <c r="A5341" s="34" t="s">
        <v>6865</v>
      </c>
      <c r="B5341" s="35">
        <v>1.76937434140062</v>
      </c>
    </row>
    <row r="5342" spans="1:2" ht="13.2" x14ac:dyDescent="0.25">
      <c r="A5342" s="34" t="s">
        <v>6864</v>
      </c>
      <c r="B5342" s="35">
        <v>1.83644582057419</v>
      </c>
    </row>
    <row r="5343" spans="1:2" ht="13.2" x14ac:dyDescent="0.25">
      <c r="A5343" s="34" t="s">
        <v>6863</v>
      </c>
      <c r="B5343" s="35">
        <v>1.77375974929325</v>
      </c>
    </row>
    <row r="5344" spans="1:2" ht="13.2" x14ac:dyDescent="0.25">
      <c r="A5344" s="34" t="s">
        <v>6862</v>
      </c>
      <c r="B5344" s="35">
        <v>1.77428767470424</v>
      </c>
    </row>
    <row r="5345" spans="1:2" ht="13.2" x14ac:dyDescent="0.25">
      <c r="A5345" s="34" t="s">
        <v>6861</v>
      </c>
      <c r="B5345" s="35">
        <v>1.8464456372059499</v>
      </c>
    </row>
    <row r="5346" spans="1:2" ht="13.2" x14ac:dyDescent="0.25">
      <c r="A5346" s="34" t="s">
        <v>6860</v>
      </c>
    </row>
    <row r="5347" spans="1:2" ht="13.2" x14ac:dyDescent="0.25">
      <c r="A5347" s="34" t="s">
        <v>6859</v>
      </c>
    </row>
    <row r="5348" spans="1:2" ht="13.2" x14ac:dyDescent="0.25">
      <c r="A5348" s="34" t="s">
        <v>6858</v>
      </c>
      <c r="B5348" s="35">
        <v>1.85224601701798</v>
      </c>
    </row>
    <row r="5349" spans="1:2" ht="13.2" x14ac:dyDescent="0.25">
      <c r="A5349" s="34" t="s">
        <v>6857</v>
      </c>
      <c r="B5349" s="35">
        <v>1.9892749225775299</v>
      </c>
    </row>
    <row r="5350" spans="1:2" ht="13.2" x14ac:dyDescent="0.25">
      <c r="A5350" s="34" t="s">
        <v>6856</v>
      </c>
      <c r="B5350" s="35">
        <v>2.01005621159337</v>
      </c>
    </row>
    <row r="5351" spans="1:2" ht="13.2" x14ac:dyDescent="0.25">
      <c r="A5351" s="34" t="s">
        <v>6855</v>
      </c>
      <c r="B5351" s="35">
        <v>2.0135956633706802</v>
      </c>
    </row>
    <row r="5352" spans="1:2" ht="13.2" x14ac:dyDescent="0.25">
      <c r="A5352" s="34" t="s">
        <v>6854</v>
      </c>
      <c r="B5352" s="35">
        <v>2.0321107483138099</v>
      </c>
    </row>
    <row r="5353" spans="1:2" ht="13.2" x14ac:dyDescent="0.25">
      <c r="A5353" s="34" t="s">
        <v>6853</v>
      </c>
    </row>
    <row r="5354" spans="1:2" ht="13.2" x14ac:dyDescent="0.25">
      <c r="A5354" s="34" t="s">
        <v>6852</v>
      </c>
    </row>
    <row r="5355" spans="1:2" ht="13.2" x14ac:dyDescent="0.25">
      <c r="A5355" s="34" t="s">
        <v>6851</v>
      </c>
      <c r="B5355" s="35">
        <v>2.3303533483547798</v>
      </c>
    </row>
    <row r="5356" spans="1:2" ht="13.2" x14ac:dyDescent="0.25">
      <c r="A5356" s="34" t="s">
        <v>6850</v>
      </c>
      <c r="B5356" s="35">
        <v>2.5020965604552199</v>
      </c>
    </row>
    <row r="5357" spans="1:2" ht="13.2" x14ac:dyDescent="0.25">
      <c r="A5357" s="34" t="s">
        <v>6849</v>
      </c>
      <c r="B5357" s="35">
        <v>2.5600025240884801</v>
      </c>
    </row>
    <row r="5358" spans="1:2" ht="13.2" x14ac:dyDescent="0.25">
      <c r="A5358" s="34" t="s">
        <v>6848</v>
      </c>
      <c r="B5358" s="35">
        <v>2.9157576685646598</v>
      </c>
    </row>
    <row r="5359" spans="1:2" ht="13.2" x14ac:dyDescent="0.25">
      <c r="A5359" s="34" t="s">
        <v>6847</v>
      </c>
    </row>
    <row r="5360" spans="1:2" ht="13.2" x14ac:dyDescent="0.25">
      <c r="A5360" s="34" t="s">
        <v>6846</v>
      </c>
    </row>
    <row r="5361" spans="1:2" ht="13.2" x14ac:dyDescent="0.25">
      <c r="A5361" s="34" t="s">
        <v>6845</v>
      </c>
    </row>
    <row r="5362" spans="1:2" ht="13.2" x14ac:dyDescent="0.25">
      <c r="A5362" s="34" t="s">
        <v>6844</v>
      </c>
      <c r="B5362" s="35">
        <v>2.9046822852251601</v>
      </c>
    </row>
    <row r="5363" spans="1:2" ht="13.2" x14ac:dyDescent="0.25">
      <c r="A5363" s="34" t="s">
        <v>6843</v>
      </c>
      <c r="B5363" s="35">
        <v>2.8944815879294801</v>
      </c>
    </row>
    <row r="5364" spans="1:2" ht="13.2" x14ac:dyDescent="0.25">
      <c r="A5364" s="34" t="s">
        <v>6842</v>
      </c>
      <c r="B5364" s="35">
        <v>2.9140422917744799</v>
      </c>
    </row>
    <row r="5365" spans="1:2" ht="13.2" x14ac:dyDescent="0.25">
      <c r="A5365" s="34" t="s">
        <v>6841</v>
      </c>
      <c r="B5365" s="35">
        <v>2.9211773145850399</v>
      </c>
    </row>
    <row r="5366" spans="1:2" ht="13.2" x14ac:dyDescent="0.25">
      <c r="A5366" s="34" t="s">
        <v>6840</v>
      </c>
      <c r="B5366" s="35">
        <v>2.9733065405061399</v>
      </c>
    </row>
    <row r="5367" spans="1:2" ht="13.2" x14ac:dyDescent="0.25">
      <c r="A5367" s="34" t="s">
        <v>6839</v>
      </c>
    </row>
    <row r="5368" spans="1:2" ht="13.2" x14ac:dyDescent="0.25">
      <c r="A5368" s="34" t="s">
        <v>6838</v>
      </c>
    </row>
    <row r="5369" spans="1:2" ht="13.2" x14ac:dyDescent="0.25">
      <c r="A5369" s="34" t="s">
        <v>6837</v>
      </c>
    </row>
    <row r="5370" spans="1:2" ht="13.2" x14ac:dyDescent="0.25">
      <c r="A5370" s="34" t="s">
        <v>6836</v>
      </c>
    </row>
    <row r="5371" spans="1:2" ht="13.2" x14ac:dyDescent="0.25">
      <c r="A5371" s="34" t="s">
        <v>6835</v>
      </c>
      <c r="B5371" s="35">
        <v>3.0623958009328902</v>
      </c>
    </row>
    <row r="5372" spans="1:2" ht="13.2" x14ac:dyDescent="0.25">
      <c r="A5372" s="34" t="s">
        <v>6834</v>
      </c>
      <c r="B5372" s="35">
        <v>3.0000793552955098</v>
      </c>
    </row>
    <row r="5373" spans="1:2" ht="13.2" x14ac:dyDescent="0.25">
      <c r="A5373" s="34" t="s">
        <v>6833</v>
      </c>
      <c r="B5373" s="35">
        <v>3.0003504347280199</v>
      </c>
    </row>
    <row r="5374" spans="1:2" ht="13.2" x14ac:dyDescent="0.25">
      <c r="A5374" s="34" t="s">
        <v>6832</v>
      </c>
    </row>
    <row r="5375" spans="1:2" ht="13.2" x14ac:dyDescent="0.25">
      <c r="A5375" s="34" t="s">
        <v>6831</v>
      </c>
    </row>
    <row r="5376" spans="1:2" ht="13.2" x14ac:dyDescent="0.25">
      <c r="A5376" s="34" t="s">
        <v>6830</v>
      </c>
      <c r="B5376" s="35">
        <v>3.0205474461413</v>
      </c>
    </row>
    <row r="5377" spans="1:2" ht="13.2" x14ac:dyDescent="0.25">
      <c r="A5377" s="34" t="s">
        <v>6829</v>
      </c>
      <c r="B5377" s="35">
        <v>3.0441870484857798</v>
      </c>
    </row>
    <row r="5378" spans="1:2" ht="13.2" x14ac:dyDescent="0.25">
      <c r="A5378" s="34" t="s">
        <v>6828</v>
      </c>
      <c r="B5378" s="35">
        <v>3.0426331322348101</v>
      </c>
    </row>
    <row r="5379" spans="1:2" ht="13.2" x14ac:dyDescent="0.25">
      <c r="A5379" s="34" t="s">
        <v>6827</v>
      </c>
      <c r="B5379" s="35">
        <v>3.0041978768906801</v>
      </c>
    </row>
    <row r="5380" spans="1:2" ht="13.2" x14ac:dyDescent="0.25">
      <c r="A5380" s="34" t="s">
        <v>6826</v>
      </c>
      <c r="B5380" s="35">
        <v>3.00860391646783</v>
      </c>
    </row>
    <row r="5381" spans="1:2" ht="13.2" x14ac:dyDescent="0.25">
      <c r="A5381" s="34" t="s">
        <v>6825</v>
      </c>
    </row>
    <row r="5382" spans="1:2" ht="13.2" x14ac:dyDescent="0.25">
      <c r="A5382" s="34" t="s">
        <v>6824</v>
      </c>
    </row>
    <row r="5383" spans="1:2" ht="13.2" x14ac:dyDescent="0.25">
      <c r="A5383" s="34" t="s">
        <v>6823</v>
      </c>
      <c r="B5383" s="35">
        <v>2.9341949053023901</v>
      </c>
    </row>
    <row r="5384" spans="1:2" ht="13.2" x14ac:dyDescent="0.25">
      <c r="A5384" s="34" t="s">
        <v>6822</v>
      </c>
      <c r="B5384" s="35">
        <v>2.9039798136697499</v>
      </c>
    </row>
    <row r="5385" spans="1:2" ht="13.2" x14ac:dyDescent="0.25">
      <c r="A5385" s="34" t="s">
        <v>6821</v>
      </c>
      <c r="B5385" s="35">
        <v>2.8341315319886702</v>
      </c>
    </row>
    <row r="5386" spans="1:2" ht="13.2" x14ac:dyDescent="0.25">
      <c r="A5386" s="34" t="s">
        <v>6820</v>
      </c>
      <c r="B5386" s="35">
        <v>2.8350168989121598</v>
      </c>
    </row>
    <row r="5387" spans="1:2" ht="13.2" x14ac:dyDescent="0.25">
      <c r="A5387" s="34" t="s">
        <v>6819</v>
      </c>
      <c r="B5387" s="35">
        <v>2.28661379760362</v>
      </c>
    </row>
    <row r="5388" spans="1:2" ht="13.2" x14ac:dyDescent="0.25">
      <c r="A5388" s="34" t="s">
        <v>6818</v>
      </c>
    </row>
    <row r="5389" spans="1:2" ht="13.2" x14ac:dyDescent="0.25">
      <c r="A5389" s="34" t="s">
        <v>6817</v>
      </c>
    </row>
    <row r="5390" spans="1:2" ht="13.2" x14ac:dyDescent="0.25">
      <c r="A5390" s="34" t="s">
        <v>6816</v>
      </c>
      <c r="B5390" s="35">
        <v>2.1440231494039401</v>
      </c>
    </row>
    <row r="5391" spans="1:2" ht="13.2" x14ac:dyDescent="0.25">
      <c r="A5391" s="34" t="s">
        <v>6815</v>
      </c>
      <c r="B5391" s="35">
        <v>1.93462734832288</v>
      </c>
    </row>
    <row r="5392" spans="1:2" ht="13.2" x14ac:dyDescent="0.25">
      <c r="A5392" s="34" t="s">
        <v>6814</v>
      </c>
      <c r="B5392" s="35">
        <v>1.5749072484325199</v>
      </c>
    </row>
    <row r="5393" spans="1:2" ht="13.2" x14ac:dyDescent="0.25">
      <c r="A5393" s="34" t="s">
        <v>6813</v>
      </c>
      <c r="B5393" s="35">
        <v>1.5486488177796101</v>
      </c>
    </row>
    <row r="5394" spans="1:2" ht="13.2" x14ac:dyDescent="0.25">
      <c r="A5394" s="34" t="s">
        <v>6812</v>
      </c>
      <c r="B5394" s="35">
        <v>1.7282355571043999</v>
      </c>
    </row>
    <row r="5395" spans="1:2" ht="13.2" x14ac:dyDescent="0.25">
      <c r="A5395" s="34" t="s">
        <v>6811</v>
      </c>
    </row>
    <row r="5396" spans="1:2" ht="13.2" x14ac:dyDescent="0.25">
      <c r="A5396" s="34" t="s">
        <v>6810</v>
      </c>
    </row>
    <row r="5397" spans="1:2" ht="13.2" x14ac:dyDescent="0.25">
      <c r="A5397" s="34" t="s">
        <v>6809</v>
      </c>
      <c r="B5397" s="35">
        <v>1.73769182695904</v>
      </c>
    </row>
    <row r="5398" spans="1:2" ht="13.2" x14ac:dyDescent="0.25">
      <c r="A5398" s="34" t="s">
        <v>6808</v>
      </c>
      <c r="B5398" s="35">
        <v>1.73615875016994</v>
      </c>
    </row>
    <row r="5399" spans="1:2" ht="13.2" x14ac:dyDescent="0.25">
      <c r="A5399" s="34" t="s">
        <v>6807</v>
      </c>
      <c r="B5399" s="35">
        <v>1.6776718705592299</v>
      </c>
    </row>
    <row r="5400" spans="1:2" ht="13.2" x14ac:dyDescent="0.25">
      <c r="A5400" s="34" t="s">
        <v>6806</v>
      </c>
      <c r="B5400" s="35">
        <v>1.5827774323455499</v>
      </c>
    </row>
    <row r="5401" spans="1:2" ht="13.2" x14ac:dyDescent="0.25">
      <c r="A5401" s="34" t="s">
        <v>6805</v>
      </c>
      <c r="B5401" s="35">
        <v>1.6463004473692999</v>
      </c>
    </row>
    <row r="5402" spans="1:2" ht="13.2" x14ac:dyDescent="0.25">
      <c r="A5402" s="34" t="s">
        <v>6804</v>
      </c>
    </row>
    <row r="5403" spans="1:2" ht="13.2" x14ac:dyDescent="0.25">
      <c r="A5403" s="34" t="s">
        <v>6803</v>
      </c>
    </row>
    <row r="5404" spans="1:2" ht="13.2" x14ac:dyDescent="0.25">
      <c r="A5404" s="34" t="s">
        <v>6802</v>
      </c>
      <c r="B5404" s="35">
        <v>1.7967442272104499</v>
      </c>
    </row>
    <row r="5405" spans="1:2" ht="13.2" x14ac:dyDescent="0.25">
      <c r="A5405" s="34" t="s">
        <v>6801</v>
      </c>
      <c r="B5405" s="35">
        <v>1.90325774795097</v>
      </c>
    </row>
    <row r="5406" spans="1:2" ht="13.2" x14ac:dyDescent="0.25">
      <c r="A5406" s="34" t="s">
        <v>6800</v>
      </c>
      <c r="B5406" s="35">
        <v>1.8614096920341501</v>
      </c>
    </row>
    <row r="5407" spans="1:2" ht="13.2" x14ac:dyDescent="0.25">
      <c r="A5407" s="34" t="s">
        <v>6799</v>
      </c>
      <c r="B5407" s="35">
        <v>1.84028060653848</v>
      </c>
    </row>
    <row r="5408" spans="1:2" ht="13.2" x14ac:dyDescent="0.25">
      <c r="A5408" s="34" t="s">
        <v>6798</v>
      </c>
      <c r="B5408" s="35">
        <v>1.82231802605141</v>
      </c>
    </row>
    <row r="5409" spans="1:2" ht="13.2" x14ac:dyDescent="0.25">
      <c r="A5409" s="34" t="s">
        <v>6797</v>
      </c>
    </row>
    <row r="5410" spans="1:2" ht="13.2" x14ac:dyDescent="0.25">
      <c r="A5410" s="34" t="s">
        <v>6796</v>
      </c>
    </row>
    <row r="5411" spans="1:2" ht="13.2" x14ac:dyDescent="0.25">
      <c r="A5411" s="34" t="s">
        <v>6795</v>
      </c>
      <c r="B5411" s="35">
        <v>1.94873782545737</v>
      </c>
    </row>
    <row r="5412" spans="1:2" ht="13.2" x14ac:dyDescent="0.25">
      <c r="A5412" s="34" t="s">
        <v>6794</v>
      </c>
      <c r="B5412" s="35">
        <v>1.9989698247738199</v>
      </c>
    </row>
    <row r="5413" spans="1:2" ht="13.2" x14ac:dyDescent="0.25">
      <c r="A5413" s="34" t="s">
        <v>6793</v>
      </c>
      <c r="B5413" s="35">
        <v>2.2833062198661001</v>
      </c>
    </row>
    <row r="5414" spans="1:2" ht="13.2" x14ac:dyDescent="0.25">
      <c r="A5414" s="34" t="s">
        <v>6792</v>
      </c>
      <c r="B5414" s="35">
        <v>2.2107206322527899</v>
      </c>
    </row>
    <row r="5415" spans="1:2" ht="13.2" x14ac:dyDescent="0.25">
      <c r="A5415" s="34" t="s">
        <v>6791</v>
      </c>
    </row>
    <row r="5416" spans="1:2" ht="13.2" x14ac:dyDescent="0.25">
      <c r="A5416" s="34" t="s">
        <v>6790</v>
      </c>
    </row>
    <row r="5417" spans="1:2" ht="13.2" x14ac:dyDescent="0.25">
      <c r="A5417" s="34" t="s">
        <v>6789</v>
      </c>
    </row>
    <row r="5418" spans="1:2" ht="13.2" x14ac:dyDescent="0.25">
      <c r="A5418" s="34" t="s">
        <v>6788</v>
      </c>
      <c r="B5418" s="35">
        <v>2.2423998374085201</v>
      </c>
    </row>
    <row r="5419" spans="1:2" ht="13.2" x14ac:dyDescent="0.25">
      <c r="A5419" s="34" t="s">
        <v>6787</v>
      </c>
      <c r="B5419" s="35">
        <v>2.2919978642951002</v>
      </c>
    </row>
    <row r="5420" spans="1:2" ht="13.2" x14ac:dyDescent="0.25">
      <c r="A5420" s="34" t="s">
        <v>6786</v>
      </c>
      <c r="B5420" s="35">
        <v>2.28717584751266</v>
      </c>
    </row>
    <row r="5421" spans="1:2" ht="13.2" x14ac:dyDescent="0.25">
      <c r="A5421" s="34" t="s">
        <v>6785</v>
      </c>
      <c r="B5421" s="35">
        <v>2.28989630114381</v>
      </c>
    </row>
    <row r="5422" spans="1:2" ht="13.2" x14ac:dyDescent="0.25">
      <c r="A5422" s="34" t="s">
        <v>6784</v>
      </c>
      <c r="B5422" s="35">
        <v>2.2825204489616899</v>
      </c>
    </row>
    <row r="5423" spans="1:2" ht="13.2" x14ac:dyDescent="0.25">
      <c r="A5423" s="34" t="s">
        <v>6783</v>
      </c>
    </row>
    <row r="5424" spans="1:2" ht="13.2" x14ac:dyDescent="0.25">
      <c r="A5424" s="34" t="s">
        <v>6782</v>
      </c>
    </row>
    <row r="5425" spans="1:2" ht="13.2" x14ac:dyDescent="0.25">
      <c r="A5425" s="34" t="s">
        <v>6781</v>
      </c>
      <c r="B5425" s="35">
        <v>2.29633773506455</v>
      </c>
    </row>
    <row r="5426" spans="1:2" ht="13.2" x14ac:dyDescent="0.25">
      <c r="A5426" s="34" t="s">
        <v>6780</v>
      </c>
      <c r="B5426" s="35">
        <v>2.3041757632334998</v>
      </c>
    </row>
    <row r="5427" spans="1:2" ht="13.2" x14ac:dyDescent="0.25">
      <c r="A5427" s="34" t="s">
        <v>6779</v>
      </c>
      <c r="B5427" s="35">
        <v>2.2860736429832902</v>
      </c>
    </row>
    <row r="5428" spans="1:2" ht="13.2" x14ac:dyDescent="0.25">
      <c r="A5428" s="34" t="s">
        <v>6778</v>
      </c>
      <c r="B5428" s="35">
        <v>2.2865052132385899</v>
      </c>
    </row>
    <row r="5429" spans="1:2" ht="13.2" x14ac:dyDescent="0.25">
      <c r="A5429" s="34" t="s">
        <v>6777</v>
      </c>
      <c r="B5429" s="35">
        <v>2.26347171638777</v>
      </c>
    </row>
    <row r="5430" spans="1:2" ht="13.2" x14ac:dyDescent="0.25">
      <c r="A5430" s="34" t="s">
        <v>6776</v>
      </c>
    </row>
    <row r="5431" spans="1:2" ht="13.2" x14ac:dyDescent="0.25">
      <c r="A5431" s="34" t="s">
        <v>6775</v>
      </c>
    </row>
    <row r="5432" spans="1:2" ht="13.2" x14ac:dyDescent="0.25">
      <c r="A5432" s="34" t="s">
        <v>6774</v>
      </c>
      <c r="B5432" s="35">
        <v>2.1880923447059901</v>
      </c>
    </row>
    <row r="5433" spans="1:2" ht="13.2" x14ac:dyDescent="0.25">
      <c r="A5433" s="34" t="s">
        <v>6773</v>
      </c>
      <c r="B5433" s="35">
        <v>2.14765298359896</v>
      </c>
    </row>
    <row r="5434" spans="1:2" ht="13.2" x14ac:dyDescent="0.25">
      <c r="A5434" s="34" t="s">
        <v>6772</v>
      </c>
      <c r="B5434" s="35">
        <v>2.0607763159494299</v>
      </c>
    </row>
    <row r="5435" spans="1:2" ht="13.2" x14ac:dyDescent="0.25">
      <c r="A5435" s="34" t="s">
        <v>6771</v>
      </c>
      <c r="B5435" s="35">
        <v>1.8880806371099199</v>
      </c>
    </row>
    <row r="5436" spans="1:2" ht="13.2" x14ac:dyDescent="0.25">
      <c r="A5436" s="34" t="s">
        <v>6770</v>
      </c>
      <c r="B5436" s="35">
        <v>1.9180174195615201</v>
      </c>
    </row>
    <row r="5437" spans="1:2" ht="13.2" x14ac:dyDescent="0.25">
      <c r="A5437" s="34" t="s">
        <v>6769</v>
      </c>
    </row>
    <row r="5438" spans="1:2" ht="13.2" x14ac:dyDescent="0.25">
      <c r="A5438" s="34" t="s">
        <v>6768</v>
      </c>
    </row>
    <row r="5439" spans="1:2" ht="13.2" x14ac:dyDescent="0.25">
      <c r="A5439" s="34" t="s">
        <v>6767</v>
      </c>
      <c r="B5439" s="35">
        <v>1.9241436596671699</v>
      </c>
    </row>
    <row r="5440" spans="1:2" ht="13.2" x14ac:dyDescent="0.25">
      <c r="A5440" s="34" t="s">
        <v>6766</v>
      </c>
      <c r="B5440" s="35">
        <v>1.9279468187841799</v>
      </c>
    </row>
    <row r="5441" spans="1:2" ht="13.2" x14ac:dyDescent="0.25">
      <c r="A5441" s="34" t="s">
        <v>6765</v>
      </c>
      <c r="B5441" s="35">
        <v>1.8384727832403001</v>
      </c>
    </row>
    <row r="5442" spans="1:2" ht="13.2" x14ac:dyDescent="0.25">
      <c r="A5442" s="34" t="s">
        <v>6764</v>
      </c>
      <c r="B5442" s="35">
        <v>1.7227942918079799</v>
      </c>
    </row>
    <row r="5443" spans="1:2" ht="13.2" x14ac:dyDescent="0.25">
      <c r="A5443" s="34" t="s">
        <v>6763</v>
      </c>
      <c r="B5443" s="35">
        <v>1.21249323383587</v>
      </c>
    </row>
    <row r="5444" spans="1:2" ht="13.2" x14ac:dyDescent="0.25">
      <c r="A5444" s="34" t="s">
        <v>6762</v>
      </c>
    </row>
    <row r="5445" spans="1:2" ht="13.2" x14ac:dyDescent="0.25">
      <c r="A5445" s="34" t="s">
        <v>6761</v>
      </c>
    </row>
    <row r="5446" spans="1:2" ht="13.2" x14ac:dyDescent="0.25">
      <c r="A5446" s="34" t="s">
        <v>6760</v>
      </c>
    </row>
    <row r="5447" spans="1:2" ht="13.2" x14ac:dyDescent="0.25">
      <c r="A5447" s="34" t="s">
        <v>6759</v>
      </c>
      <c r="B5447" s="35">
        <v>1.2131030315211899</v>
      </c>
    </row>
    <row r="5448" spans="1:2" ht="13.2" x14ac:dyDescent="0.25">
      <c r="A5448" s="34" t="s">
        <v>6758</v>
      </c>
      <c r="B5448" s="35">
        <v>1.2220636758422301</v>
      </c>
    </row>
    <row r="5449" spans="1:2" ht="13.2" x14ac:dyDescent="0.25">
      <c r="A5449" s="34" t="s">
        <v>6757</v>
      </c>
      <c r="B5449" s="35">
        <v>1.1526388272594099</v>
      </c>
    </row>
    <row r="5450" spans="1:2" ht="13.2" x14ac:dyDescent="0.25">
      <c r="A5450" s="34" t="s">
        <v>6756</v>
      </c>
      <c r="B5450" s="35">
        <v>1.1624138374280399</v>
      </c>
    </row>
    <row r="5451" spans="1:2" ht="13.2" x14ac:dyDescent="0.25">
      <c r="A5451" s="34" t="s">
        <v>6755</v>
      </c>
    </row>
    <row r="5452" spans="1:2" ht="13.2" x14ac:dyDescent="0.25">
      <c r="A5452" s="34" t="s">
        <v>6754</v>
      </c>
    </row>
    <row r="5453" spans="1:2" ht="13.2" x14ac:dyDescent="0.25">
      <c r="A5453" s="34" t="s">
        <v>6753</v>
      </c>
      <c r="B5453" s="35">
        <v>1.1237022747162599</v>
      </c>
    </row>
    <row r="5454" spans="1:2" ht="13.2" x14ac:dyDescent="0.25">
      <c r="A5454" s="34" t="s">
        <v>6752</v>
      </c>
      <c r="B5454" s="35">
        <v>1.31627690269235</v>
      </c>
    </row>
    <row r="5455" spans="1:2" ht="13.2" x14ac:dyDescent="0.25">
      <c r="A5455" s="34" t="s">
        <v>6751</v>
      </c>
      <c r="B5455" s="35">
        <v>1.8379953115463501</v>
      </c>
    </row>
    <row r="5456" spans="1:2" ht="13.2" x14ac:dyDescent="0.25">
      <c r="A5456" s="34" t="s">
        <v>6750</v>
      </c>
    </row>
    <row r="5457" spans="1:2" ht="13.2" x14ac:dyDescent="0.25">
      <c r="A5457" s="34" t="s">
        <v>6749</v>
      </c>
      <c r="B5457" s="35">
        <v>1.7962079446264301</v>
      </c>
    </row>
    <row r="5458" spans="1:2" ht="13.2" x14ac:dyDescent="0.25">
      <c r="A5458" s="34" t="s">
        <v>6748</v>
      </c>
    </row>
    <row r="5459" spans="1:2" ht="13.2" x14ac:dyDescent="0.25">
      <c r="A5459" s="34" t="s">
        <v>6747</v>
      </c>
    </row>
    <row r="5460" spans="1:2" ht="13.2" x14ac:dyDescent="0.25">
      <c r="A5460" s="34" t="s">
        <v>6746</v>
      </c>
      <c r="B5460" s="35">
        <v>1.7997588059908001</v>
      </c>
    </row>
    <row r="5461" spans="1:2" ht="13.2" x14ac:dyDescent="0.25">
      <c r="A5461" s="34" t="s">
        <v>6745</v>
      </c>
      <c r="B5461" s="35">
        <v>1.7930603469370601</v>
      </c>
    </row>
    <row r="5462" spans="1:2" ht="13.2" x14ac:dyDescent="0.25">
      <c r="A5462" s="34" t="s">
        <v>6744</v>
      </c>
      <c r="B5462" s="35">
        <v>1.8516813635017799</v>
      </c>
    </row>
    <row r="5463" spans="1:2" ht="13.2" x14ac:dyDescent="0.25">
      <c r="A5463" s="34" t="s">
        <v>6743</v>
      </c>
      <c r="B5463" s="35">
        <v>1.8492380240356701</v>
      </c>
    </row>
    <row r="5464" spans="1:2" ht="13.2" x14ac:dyDescent="0.25">
      <c r="A5464" s="34" t="s">
        <v>6742</v>
      </c>
      <c r="B5464" s="35">
        <v>1.85197899683531</v>
      </c>
    </row>
    <row r="5465" spans="1:2" ht="13.2" x14ac:dyDescent="0.25">
      <c r="A5465" s="34" t="s">
        <v>6741</v>
      </c>
    </row>
    <row r="5466" spans="1:2" ht="13.2" x14ac:dyDescent="0.25">
      <c r="A5466" s="34" t="s">
        <v>6740</v>
      </c>
    </row>
    <row r="5467" spans="1:2" ht="13.2" x14ac:dyDescent="0.25">
      <c r="A5467" s="34" t="s">
        <v>6739</v>
      </c>
      <c r="B5467" s="35">
        <v>1.79837363640367</v>
      </c>
    </row>
    <row r="5468" spans="1:2" ht="13.2" x14ac:dyDescent="0.25">
      <c r="A5468" s="34" t="s">
        <v>6738</v>
      </c>
      <c r="B5468" s="35">
        <v>1.79788353380098</v>
      </c>
    </row>
    <row r="5469" spans="1:2" ht="13.2" x14ac:dyDescent="0.25">
      <c r="A5469" s="34" t="s">
        <v>6737</v>
      </c>
      <c r="B5469" s="35">
        <v>1.7611477250556999</v>
      </c>
    </row>
    <row r="5470" spans="1:2" ht="13.2" x14ac:dyDescent="0.25">
      <c r="A5470" s="34" t="s">
        <v>6736</v>
      </c>
      <c r="B5470" s="35">
        <v>1.7680448003690401</v>
      </c>
    </row>
    <row r="5471" spans="1:2" ht="13.2" x14ac:dyDescent="0.25">
      <c r="A5471" s="34" t="s">
        <v>6735</v>
      </c>
      <c r="B5471" s="35">
        <v>1.7843218732753201</v>
      </c>
    </row>
    <row r="5472" spans="1:2" ht="13.2" x14ac:dyDescent="0.25">
      <c r="A5472" s="34" t="s">
        <v>6734</v>
      </c>
    </row>
    <row r="5473" spans="1:2" ht="13.2" x14ac:dyDescent="0.25">
      <c r="A5473" s="34" t="s">
        <v>6733</v>
      </c>
    </row>
    <row r="5474" spans="1:2" ht="13.2" x14ac:dyDescent="0.25">
      <c r="A5474" s="34" t="s">
        <v>6732</v>
      </c>
      <c r="B5474" s="35">
        <v>1.7421754731647401</v>
      </c>
    </row>
    <row r="5475" spans="1:2" ht="13.2" x14ac:dyDescent="0.25">
      <c r="A5475" s="34" t="s">
        <v>6731</v>
      </c>
      <c r="B5475" s="35">
        <v>1.7461305120263699</v>
      </c>
    </row>
    <row r="5476" spans="1:2" ht="13.2" x14ac:dyDescent="0.25">
      <c r="A5476" s="34" t="s">
        <v>6730</v>
      </c>
      <c r="B5476" s="35">
        <v>1.81666468690262</v>
      </c>
    </row>
    <row r="5477" spans="1:2" ht="13.2" x14ac:dyDescent="0.25">
      <c r="A5477" s="34" t="s">
        <v>6729</v>
      </c>
    </row>
    <row r="5478" spans="1:2" ht="13.2" x14ac:dyDescent="0.25">
      <c r="A5478" s="34" t="s">
        <v>6728</v>
      </c>
      <c r="B5478" s="35">
        <v>1.85217373611215</v>
      </c>
    </row>
    <row r="5479" spans="1:2" ht="13.2" x14ac:dyDescent="0.25">
      <c r="A5479" s="34" t="s">
        <v>6727</v>
      </c>
    </row>
    <row r="5480" spans="1:2" ht="13.2" x14ac:dyDescent="0.25">
      <c r="A5480" s="34" t="s">
        <v>6726</v>
      </c>
    </row>
    <row r="5481" spans="1:2" ht="13.2" x14ac:dyDescent="0.25">
      <c r="A5481" s="34" t="s">
        <v>6725</v>
      </c>
      <c r="B5481" s="35">
        <v>1.83454635581051</v>
      </c>
    </row>
    <row r="5482" spans="1:2" ht="13.2" x14ac:dyDescent="0.25">
      <c r="A5482" s="34" t="s">
        <v>6724</v>
      </c>
      <c r="B5482" s="35">
        <v>1.84488098263686</v>
      </c>
    </row>
    <row r="5483" spans="1:2" ht="13.2" x14ac:dyDescent="0.25">
      <c r="A5483" s="34" t="s">
        <v>6723</v>
      </c>
      <c r="B5483" s="35">
        <v>1.9250896058303399</v>
      </c>
    </row>
    <row r="5484" spans="1:2" ht="13.2" x14ac:dyDescent="0.25">
      <c r="A5484" s="34" t="s">
        <v>6722</v>
      </c>
      <c r="B5484" s="35">
        <v>1.9950176071145</v>
      </c>
    </row>
    <row r="5485" spans="1:2" ht="13.2" x14ac:dyDescent="0.25">
      <c r="A5485" s="34" t="s">
        <v>6721</v>
      </c>
      <c r="B5485" s="35">
        <v>1.85100387458209</v>
      </c>
    </row>
    <row r="5486" spans="1:2" ht="13.2" x14ac:dyDescent="0.25">
      <c r="A5486" s="34" t="s">
        <v>6720</v>
      </c>
    </row>
    <row r="5487" spans="1:2" ht="13.2" x14ac:dyDescent="0.25">
      <c r="A5487" s="34" t="s">
        <v>6719</v>
      </c>
    </row>
    <row r="5488" spans="1:2" ht="13.2" x14ac:dyDescent="0.25">
      <c r="A5488" s="34" t="s">
        <v>6718</v>
      </c>
      <c r="B5488" s="35">
        <v>1.37935901605613</v>
      </c>
    </row>
    <row r="5489" spans="1:2" ht="13.2" x14ac:dyDescent="0.25">
      <c r="A5489" s="34" t="s">
        <v>6717</v>
      </c>
      <c r="B5489" s="35">
        <v>1.4471956970983599</v>
      </c>
    </row>
    <row r="5490" spans="1:2" ht="13.2" x14ac:dyDescent="0.25">
      <c r="A5490" s="34" t="s">
        <v>6716</v>
      </c>
      <c r="B5490" s="35">
        <v>1.4847555158791199</v>
      </c>
    </row>
    <row r="5491" spans="1:2" ht="13.2" x14ac:dyDescent="0.25">
      <c r="A5491" s="34" t="s">
        <v>6715</v>
      </c>
      <c r="B5491" s="35">
        <v>1.6974289590229601</v>
      </c>
    </row>
    <row r="5492" spans="1:2" ht="13.2" x14ac:dyDescent="0.25">
      <c r="A5492" s="34" t="s">
        <v>6714</v>
      </c>
      <c r="B5492" s="35">
        <v>1.71805079328001</v>
      </c>
    </row>
    <row r="5493" spans="1:2" ht="13.2" x14ac:dyDescent="0.25">
      <c r="A5493" s="34" t="s">
        <v>6713</v>
      </c>
    </row>
    <row r="5494" spans="1:2" ht="13.2" x14ac:dyDescent="0.25">
      <c r="A5494" s="34" t="s">
        <v>6712</v>
      </c>
    </row>
    <row r="5495" spans="1:2" ht="13.2" x14ac:dyDescent="0.25">
      <c r="A5495" s="34" t="s">
        <v>6711</v>
      </c>
      <c r="B5495" s="35">
        <v>1.7112955398026</v>
      </c>
    </row>
    <row r="5496" spans="1:2" ht="13.2" x14ac:dyDescent="0.25">
      <c r="A5496" s="34" t="s">
        <v>6710</v>
      </c>
      <c r="B5496" s="35">
        <v>1.7755958624957</v>
      </c>
    </row>
    <row r="5497" spans="1:2" ht="13.2" x14ac:dyDescent="0.25">
      <c r="A5497" s="34" t="s">
        <v>6709</v>
      </c>
      <c r="B5497" s="35">
        <v>1.7747292364621501</v>
      </c>
    </row>
    <row r="5498" spans="1:2" ht="13.2" x14ac:dyDescent="0.25">
      <c r="A5498" s="34" t="s">
        <v>6708</v>
      </c>
      <c r="B5498" s="35">
        <v>1.7875653921747501</v>
      </c>
    </row>
    <row r="5499" spans="1:2" ht="13.2" x14ac:dyDescent="0.25">
      <c r="A5499" s="34" t="s">
        <v>6707</v>
      </c>
      <c r="B5499" s="35">
        <v>1.7844941139703001</v>
      </c>
    </row>
    <row r="5500" spans="1:2" ht="13.2" x14ac:dyDescent="0.25">
      <c r="A5500" s="34" t="s">
        <v>6706</v>
      </c>
    </row>
    <row r="5501" spans="1:2" ht="13.2" x14ac:dyDescent="0.25">
      <c r="A5501" s="34" t="s">
        <v>6705</v>
      </c>
    </row>
    <row r="5502" spans="1:2" ht="13.2" x14ac:dyDescent="0.25">
      <c r="A5502" s="34" t="s">
        <v>6704</v>
      </c>
      <c r="B5502" s="35">
        <v>1.70983628275441</v>
      </c>
    </row>
    <row r="5503" spans="1:2" ht="13.2" x14ac:dyDescent="0.25">
      <c r="A5503" s="34" t="s">
        <v>6703</v>
      </c>
      <c r="B5503" s="35">
        <v>1.7057709533129899</v>
      </c>
    </row>
    <row r="5504" spans="1:2" ht="13.2" x14ac:dyDescent="0.25">
      <c r="A5504" s="34" t="s">
        <v>6702</v>
      </c>
      <c r="B5504" s="35">
        <v>1.7205174158987899</v>
      </c>
    </row>
    <row r="5505" spans="1:2" ht="13.2" x14ac:dyDescent="0.25">
      <c r="A5505" s="34" t="s">
        <v>6701</v>
      </c>
      <c r="B5505" s="35">
        <v>1.71728826232212</v>
      </c>
    </row>
    <row r="5506" spans="1:2" ht="13.2" x14ac:dyDescent="0.25">
      <c r="A5506" s="34" t="s">
        <v>6700</v>
      </c>
      <c r="B5506" s="35">
        <v>1.7874818524832801</v>
      </c>
    </row>
    <row r="5507" spans="1:2" ht="13.2" x14ac:dyDescent="0.25">
      <c r="A5507" s="34" t="s">
        <v>6699</v>
      </c>
    </row>
    <row r="5508" spans="1:2" ht="13.2" x14ac:dyDescent="0.25">
      <c r="A5508" s="34" t="s">
        <v>6698</v>
      </c>
    </row>
    <row r="5509" spans="1:2" ht="13.2" x14ac:dyDescent="0.25">
      <c r="A5509" s="34" t="s">
        <v>6697</v>
      </c>
      <c r="B5509" s="35">
        <v>1.78543284540995</v>
      </c>
    </row>
    <row r="5510" spans="1:2" ht="13.2" x14ac:dyDescent="0.25">
      <c r="A5510" s="34" t="s">
        <v>6696</v>
      </c>
      <c r="B5510" s="35">
        <v>1.7783438692406099</v>
      </c>
    </row>
    <row r="5511" spans="1:2" ht="13.2" x14ac:dyDescent="0.25">
      <c r="A5511" s="34" t="s">
        <v>6695</v>
      </c>
      <c r="B5511" s="35">
        <v>1.90057237433753</v>
      </c>
    </row>
    <row r="5512" spans="1:2" ht="13.2" x14ac:dyDescent="0.25">
      <c r="A5512" s="34" t="s">
        <v>6694</v>
      </c>
      <c r="B5512" s="35">
        <v>1.81593844181578</v>
      </c>
    </row>
    <row r="5513" spans="1:2" ht="13.2" x14ac:dyDescent="0.25">
      <c r="A5513" s="34" t="s">
        <v>6693</v>
      </c>
      <c r="B5513" s="35">
        <v>1.81180196948229</v>
      </c>
    </row>
    <row r="5514" spans="1:2" ht="13.2" x14ac:dyDescent="0.25">
      <c r="A5514" s="34" t="s">
        <v>6692</v>
      </c>
    </row>
    <row r="5515" spans="1:2" ht="13.2" x14ac:dyDescent="0.25">
      <c r="A5515" s="34" t="s">
        <v>6691</v>
      </c>
    </row>
    <row r="5516" spans="1:2" ht="13.2" x14ac:dyDescent="0.25">
      <c r="A5516" s="34" t="s">
        <v>6690</v>
      </c>
      <c r="B5516" s="35">
        <v>1.8107600515121101</v>
      </c>
    </row>
    <row r="5517" spans="1:2" ht="13.2" x14ac:dyDescent="0.25">
      <c r="A5517" s="34" t="s">
        <v>6689</v>
      </c>
      <c r="B5517" s="35">
        <v>1.86110936034777</v>
      </c>
    </row>
    <row r="5518" spans="1:2" ht="13.2" x14ac:dyDescent="0.25">
      <c r="A5518" s="34" t="s">
        <v>6688</v>
      </c>
      <c r="B5518" s="35">
        <v>1.9297242382059401</v>
      </c>
    </row>
    <row r="5519" spans="1:2" ht="13.2" x14ac:dyDescent="0.25">
      <c r="A5519" s="34" t="s">
        <v>6687</v>
      </c>
      <c r="B5519" s="35">
        <v>1.9814154619436199</v>
      </c>
    </row>
    <row r="5520" spans="1:2" ht="13.2" x14ac:dyDescent="0.25">
      <c r="A5520" s="34" t="s">
        <v>6686</v>
      </c>
      <c r="B5520" s="35">
        <v>1.7266224110935999</v>
      </c>
    </row>
    <row r="5521" spans="1:2" ht="13.2" x14ac:dyDescent="0.25">
      <c r="A5521" s="34" t="s">
        <v>6685</v>
      </c>
    </row>
    <row r="5522" spans="1:2" ht="13.2" x14ac:dyDescent="0.25">
      <c r="A5522" s="34" t="s">
        <v>6684</v>
      </c>
    </row>
    <row r="5523" spans="1:2" ht="13.2" x14ac:dyDescent="0.25">
      <c r="A5523" s="34" t="s">
        <v>6683</v>
      </c>
      <c r="B5523" s="35">
        <v>1.70668642136327</v>
      </c>
    </row>
    <row r="5524" spans="1:2" ht="13.2" x14ac:dyDescent="0.25">
      <c r="A5524" s="34" t="s">
        <v>6682</v>
      </c>
      <c r="B5524" s="35">
        <v>1.73985863430108</v>
      </c>
    </row>
    <row r="5525" spans="1:2" ht="13.2" x14ac:dyDescent="0.25">
      <c r="A5525" s="34" t="s">
        <v>6681</v>
      </c>
    </row>
    <row r="5526" spans="1:2" ht="13.2" x14ac:dyDescent="0.25">
      <c r="A5526" s="34" t="s">
        <v>6680</v>
      </c>
      <c r="B5526" s="35">
        <v>1.7535336472275</v>
      </c>
    </row>
    <row r="5527" spans="1:2" ht="13.2" x14ac:dyDescent="0.25">
      <c r="A5527" s="34" t="s">
        <v>6679</v>
      </c>
      <c r="B5527" s="35">
        <v>1.74305425304075</v>
      </c>
    </row>
    <row r="5528" spans="1:2" ht="13.2" x14ac:dyDescent="0.25">
      <c r="A5528" s="34" t="s">
        <v>6678</v>
      </c>
    </row>
    <row r="5529" spans="1:2" ht="13.2" x14ac:dyDescent="0.25">
      <c r="A5529" s="34" t="s">
        <v>6677</v>
      </c>
    </row>
    <row r="5530" spans="1:2" ht="13.2" x14ac:dyDescent="0.25">
      <c r="A5530" s="34" t="s">
        <v>6676</v>
      </c>
      <c r="B5530" s="35">
        <v>1.7493833621985899</v>
      </c>
    </row>
    <row r="5531" spans="1:2" ht="13.2" x14ac:dyDescent="0.25">
      <c r="A5531" s="34" t="s">
        <v>6675</v>
      </c>
      <c r="B5531" s="35">
        <v>1.76119085347372</v>
      </c>
    </row>
    <row r="5532" spans="1:2" ht="13.2" x14ac:dyDescent="0.25">
      <c r="A5532" s="34" t="s">
        <v>6674</v>
      </c>
      <c r="B5532" s="35">
        <v>1.8194995907988101</v>
      </c>
    </row>
    <row r="5533" spans="1:2" ht="13.2" x14ac:dyDescent="0.25">
      <c r="A5533" s="34" t="s">
        <v>6673</v>
      </c>
      <c r="B5533" s="35">
        <v>1.8518110449312599</v>
      </c>
    </row>
    <row r="5534" spans="1:2" ht="13.2" x14ac:dyDescent="0.25">
      <c r="A5534" s="34" t="s">
        <v>6672</v>
      </c>
      <c r="B5534" s="35">
        <v>1.8265353660663799</v>
      </c>
    </row>
    <row r="5535" spans="1:2" ht="13.2" x14ac:dyDescent="0.25">
      <c r="A5535" s="34" t="s">
        <v>6671</v>
      </c>
    </row>
    <row r="5536" spans="1:2" ht="13.2" x14ac:dyDescent="0.25">
      <c r="A5536" s="34" t="s">
        <v>6670</v>
      </c>
    </row>
    <row r="5537" spans="1:2" ht="13.2" x14ac:dyDescent="0.25">
      <c r="A5537" s="34" t="s">
        <v>6669</v>
      </c>
      <c r="B5537" s="35">
        <v>1.8685879537586201</v>
      </c>
    </row>
    <row r="5538" spans="1:2" ht="13.2" x14ac:dyDescent="0.25">
      <c r="A5538" s="34" t="s">
        <v>6668</v>
      </c>
      <c r="B5538" s="35">
        <v>1.8053159453530201</v>
      </c>
    </row>
    <row r="5539" spans="1:2" ht="13.2" x14ac:dyDescent="0.25">
      <c r="A5539" s="34" t="s">
        <v>6667</v>
      </c>
      <c r="B5539" s="35">
        <v>1.8027420341376501</v>
      </c>
    </row>
    <row r="5540" spans="1:2" ht="13.2" x14ac:dyDescent="0.25">
      <c r="A5540" s="34" t="s">
        <v>6666</v>
      </c>
      <c r="B5540" s="35">
        <v>1.9176778661585201</v>
      </c>
    </row>
    <row r="5541" spans="1:2" ht="13.2" x14ac:dyDescent="0.25">
      <c r="A5541" s="34" t="s">
        <v>6665</v>
      </c>
      <c r="B5541" s="35">
        <v>1.7804530565279399</v>
      </c>
    </row>
    <row r="5542" spans="1:2" ht="13.2" x14ac:dyDescent="0.25">
      <c r="A5542" s="34" t="s">
        <v>6664</v>
      </c>
    </row>
    <row r="5543" spans="1:2" ht="13.2" x14ac:dyDescent="0.25">
      <c r="A5543" s="34" t="s">
        <v>6663</v>
      </c>
    </row>
    <row r="5544" spans="1:2" ht="13.2" x14ac:dyDescent="0.25">
      <c r="A5544" s="34" t="s">
        <v>6662</v>
      </c>
      <c r="B5544" s="35">
        <v>1.7030638091188901</v>
      </c>
    </row>
    <row r="5545" spans="1:2" ht="13.2" x14ac:dyDescent="0.25">
      <c r="A5545" s="34" t="s">
        <v>6661</v>
      </c>
      <c r="B5545" s="35">
        <v>1.78007905419474</v>
      </c>
    </row>
    <row r="5546" spans="1:2" ht="13.2" x14ac:dyDescent="0.25">
      <c r="A5546" s="34" t="s">
        <v>6660</v>
      </c>
      <c r="B5546" s="35">
        <v>1.9382232611210899</v>
      </c>
    </row>
    <row r="5547" spans="1:2" ht="13.2" x14ac:dyDescent="0.25">
      <c r="A5547" s="34" t="s">
        <v>6659</v>
      </c>
      <c r="B5547" s="35">
        <v>1.87878497394807</v>
      </c>
    </row>
    <row r="5548" spans="1:2" ht="13.2" x14ac:dyDescent="0.25">
      <c r="A5548" s="34" t="s">
        <v>6658</v>
      </c>
      <c r="B5548" s="35">
        <v>1.8383300161468401</v>
      </c>
    </row>
    <row r="5549" spans="1:2" ht="13.2" x14ac:dyDescent="0.25">
      <c r="A5549" s="34" t="s">
        <v>6657</v>
      </c>
    </row>
    <row r="5550" spans="1:2" ht="13.2" x14ac:dyDescent="0.25">
      <c r="A5550" s="34" t="s">
        <v>6656</v>
      </c>
    </row>
    <row r="5551" spans="1:2" ht="13.2" x14ac:dyDescent="0.25">
      <c r="A5551" s="34" t="s">
        <v>6655</v>
      </c>
      <c r="B5551" s="35">
        <v>1.8808443095783001</v>
      </c>
    </row>
    <row r="5552" spans="1:2" ht="13.2" x14ac:dyDescent="0.25">
      <c r="A5552" s="34" t="s">
        <v>6654</v>
      </c>
      <c r="B5552" s="35">
        <v>1.9214967703599199</v>
      </c>
    </row>
    <row r="5553" spans="1:2" ht="13.2" x14ac:dyDescent="0.25">
      <c r="A5553" s="34" t="s">
        <v>6653</v>
      </c>
      <c r="B5553" s="35">
        <v>1.97495297786433</v>
      </c>
    </row>
    <row r="5554" spans="1:2" ht="13.2" x14ac:dyDescent="0.25">
      <c r="A5554" s="34" t="s">
        <v>6652</v>
      </c>
      <c r="B5554" s="35">
        <v>1.97130155736715</v>
      </c>
    </row>
    <row r="5555" spans="1:2" ht="13.2" x14ac:dyDescent="0.25">
      <c r="A5555" s="34" t="s">
        <v>6651</v>
      </c>
      <c r="B5555" s="35">
        <v>1.9478321333481301</v>
      </c>
    </row>
    <row r="5556" spans="1:2" ht="13.2" x14ac:dyDescent="0.25">
      <c r="A5556" s="34" t="s">
        <v>6650</v>
      </c>
    </row>
    <row r="5557" spans="1:2" ht="13.2" x14ac:dyDescent="0.25">
      <c r="A5557" s="34" t="s">
        <v>6649</v>
      </c>
    </row>
    <row r="5558" spans="1:2" ht="13.2" x14ac:dyDescent="0.25">
      <c r="A5558" s="34" t="s">
        <v>6648</v>
      </c>
      <c r="B5558" s="35">
        <v>2.05780265143314</v>
      </c>
    </row>
    <row r="5559" spans="1:2" ht="13.2" x14ac:dyDescent="0.25">
      <c r="A5559" s="34" t="s">
        <v>6647</v>
      </c>
      <c r="B5559" s="35">
        <v>2.03287714639404</v>
      </c>
    </row>
    <row r="5560" spans="1:2" ht="13.2" x14ac:dyDescent="0.25">
      <c r="A5560" s="34" t="s">
        <v>6646</v>
      </c>
      <c r="B5560" s="35">
        <v>2.0256364687633899</v>
      </c>
    </row>
    <row r="5561" spans="1:2" ht="13.2" x14ac:dyDescent="0.25">
      <c r="A5561" s="34" t="s">
        <v>6645</v>
      </c>
      <c r="B5561" s="35">
        <v>1.99422722212633</v>
      </c>
    </row>
    <row r="5562" spans="1:2" ht="13.2" x14ac:dyDescent="0.25">
      <c r="A5562" s="34" t="s">
        <v>6644</v>
      </c>
      <c r="B5562" s="35">
        <v>1.91940903231773</v>
      </c>
    </row>
    <row r="5563" spans="1:2" ht="13.2" x14ac:dyDescent="0.25">
      <c r="A5563" s="34" t="s">
        <v>6643</v>
      </c>
    </row>
    <row r="5564" spans="1:2" ht="13.2" x14ac:dyDescent="0.25">
      <c r="A5564" s="34" t="s">
        <v>6642</v>
      </c>
    </row>
    <row r="5565" spans="1:2" ht="13.2" x14ac:dyDescent="0.25">
      <c r="A5565" s="34" t="s">
        <v>6641</v>
      </c>
      <c r="B5565" s="35">
        <v>1.9361200738073701</v>
      </c>
    </row>
    <row r="5566" spans="1:2" ht="13.2" x14ac:dyDescent="0.25">
      <c r="A5566" s="34" t="s">
        <v>6640</v>
      </c>
      <c r="B5566" s="35">
        <v>1.90787288261667</v>
      </c>
    </row>
    <row r="5567" spans="1:2" ht="13.2" x14ac:dyDescent="0.25">
      <c r="A5567" s="34" t="s">
        <v>6639</v>
      </c>
      <c r="B5567" s="35">
        <v>2.0527076591164302</v>
      </c>
    </row>
    <row r="5568" spans="1:2" ht="13.2" x14ac:dyDescent="0.25">
      <c r="A5568" s="34" t="s">
        <v>6638</v>
      </c>
      <c r="B5568" s="35">
        <v>2.0738864193991202</v>
      </c>
    </row>
    <row r="5569" spans="1:2" ht="13.2" x14ac:dyDescent="0.25">
      <c r="A5569" s="34" t="s">
        <v>6637</v>
      </c>
      <c r="B5569" s="35">
        <v>1.94735272987301</v>
      </c>
    </row>
    <row r="5570" spans="1:2" ht="13.2" x14ac:dyDescent="0.25">
      <c r="A5570" s="34" t="s">
        <v>6636</v>
      </c>
    </row>
    <row r="5571" spans="1:2" ht="13.2" x14ac:dyDescent="0.25">
      <c r="A5571" s="34" t="s">
        <v>6635</v>
      </c>
    </row>
    <row r="5572" spans="1:2" ht="13.2" x14ac:dyDescent="0.25">
      <c r="A5572" s="34" t="s">
        <v>6634</v>
      </c>
      <c r="B5572" s="35">
        <v>2.0138461513666002</v>
      </c>
    </row>
    <row r="5573" spans="1:2" ht="13.2" x14ac:dyDescent="0.25">
      <c r="A5573" s="34" t="s">
        <v>6633</v>
      </c>
      <c r="B5573" s="35">
        <v>2.0122812959540699</v>
      </c>
    </row>
    <row r="5574" spans="1:2" ht="13.2" x14ac:dyDescent="0.25">
      <c r="A5574" s="34" t="s">
        <v>6632</v>
      </c>
      <c r="B5574" s="35">
        <v>2.0161559296021401</v>
      </c>
    </row>
    <row r="5575" spans="1:2" ht="13.2" x14ac:dyDescent="0.25">
      <c r="A5575" s="34" t="s">
        <v>6631</v>
      </c>
      <c r="B5575" s="35">
        <v>1.8947830762340301</v>
      </c>
    </row>
    <row r="5576" spans="1:2" ht="13.2" x14ac:dyDescent="0.25">
      <c r="A5576" s="34" t="s">
        <v>6630</v>
      </c>
      <c r="B5576" s="35">
        <v>1.90303769967974</v>
      </c>
    </row>
    <row r="5577" spans="1:2" ht="13.2" x14ac:dyDescent="0.25">
      <c r="A5577" s="34" t="s">
        <v>6629</v>
      </c>
    </row>
    <row r="5578" spans="1:2" ht="13.2" x14ac:dyDescent="0.25">
      <c r="A5578" s="34" t="s">
        <v>6628</v>
      </c>
    </row>
    <row r="5579" spans="1:2" ht="13.2" x14ac:dyDescent="0.25">
      <c r="A5579" s="34" t="s">
        <v>6627</v>
      </c>
      <c r="B5579" s="35">
        <v>1.7922537572806301</v>
      </c>
    </row>
    <row r="5580" spans="1:2" ht="13.2" x14ac:dyDescent="0.25">
      <c r="A5580" s="34" t="s">
        <v>6626</v>
      </c>
      <c r="B5580" s="35">
        <v>1.6446592786865999</v>
      </c>
    </row>
    <row r="5581" spans="1:2" ht="13.2" x14ac:dyDescent="0.25">
      <c r="A5581" s="34" t="s">
        <v>6625</v>
      </c>
      <c r="B5581" s="35">
        <v>1.63151078111898</v>
      </c>
    </row>
    <row r="5582" spans="1:2" ht="13.2" x14ac:dyDescent="0.25">
      <c r="A5582" s="34" t="s">
        <v>6624</v>
      </c>
      <c r="B5582" s="35">
        <v>1.75104374973076</v>
      </c>
    </row>
    <row r="5583" spans="1:2" ht="13.2" x14ac:dyDescent="0.25">
      <c r="A5583" s="34" t="s">
        <v>6623</v>
      </c>
      <c r="B5583" s="35">
        <v>1.78111449589842</v>
      </c>
    </row>
    <row r="5584" spans="1:2" ht="13.2" x14ac:dyDescent="0.25">
      <c r="A5584" s="34" t="s">
        <v>6622</v>
      </c>
    </row>
    <row r="5585" spans="1:2" ht="13.2" x14ac:dyDescent="0.25">
      <c r="A5585" s="34" t="s">
        <v>6621</v>
      </c>
    </row>
    <row r="5586" spans="1:2" ht="13.2" x14ac:dyDescent="0.25">
      <c r="A5586" s="34" t="s">
        <v>6620</v>
      </c>
      <c r="B5586" s="35">
        <v>1.8299070603263601</v>
      </c>
    </row>
    <row r="5587" spans="1:2" ht="13.2" x14ac:dyDescent="0.25">
      <c r="A5587" s="34" t="s">
        <v>6619</v>
      </c>
      <c r="B5587" s="35">
        <v>1.9439630167559401</v>
      </c>
    </row>
    <row r="5588" spans="1:2" ht="13.2" x14ac:dyDescent="0.25">
      <c r="A5588" s="34" t="s">
        <v>6618</v>
      </c>
      <c r="B5588" s="35">
        <v>2.05314762080401</v>
      </c>
    </row>
    <row r="5589" spans="1:2" ht="13.2" x14ac:dyDescent="0.25">
      <c r="A5589" s="34" t="s">
        <v>6617</v>
      </c>
      <c r="B5589" s="35">
        <v>2.2038314941599699</v>
      </c>
    </row>
    <row r="5590" spans="1:2" ht="13.2" x14ac:dyDescent="0.25">
      <c r="A5590" s="34" t="s">
        <v>6616</v>
      </c>
      <c r="B5590" s="35">
        <v>2.2515066563740702</v>
      </c>
    </row>
    <row r="5591" spans="1:2" ht="13.2" x14ac:dyDescent="0.25">
      <c r="A5591" s="34" t="s">
        <v>6615</v>
      </c>
    </row>
    <row r="5592" spans="1:2" ht="13.2" x14ac:dyDescent="0.25">
      <c r="A5592" s="34" t="s">
        <v>6614</v>
      </c>
    </row>
    <row r="5593" spans="1:2" ht="13.2" x14ac:dyDescent="0.25">
      <c r="A5593" s="34" t="s">
        <v>6613</v>
      </c>
      <c r="B5593" s="35">
        <v>2.7939467261663502</v>
      </c>
    </row>
    <row r="5594" spans="1:2" ht="13.2" x14ac:dyDescent="0.25">
      <c r="A5594" s="34" t="s">
        <v>6612</v>
      </c>
      <c r="B5594" s="35">
        <v>2.8204282813216501</v>
      </c>
    </row>
    <row r="5595" spans="1:2" ht="13.2" x14ac:dyDescent="0.25">
      <c r="A5595" s="34" t="s">
        <v>6611</v>
      </c>
      <c r="B5595" s="35">
        <v>3.15451890125762</v>
      </c>
    </row>
    <row r="5596" spans="1:2" ht="13.2" x14ac:dyDescent="0.25">
      <c r="A5596" s="34" t="s">
        <v>6610</v>
      </c>
      <c r="B5596" s="35">
        <v>3.3183711142728201</v>
      </c>
    </row>
    <row r="5597" spans="1:2" ht="13.2" x14ac:dyDescent="0.25">
      <c r="A5597" s="34" t="s">
        <v>6609</v>
      </c>
      <c r="B5597" s="35">
        <v>3.9365371328149301</v>
      </c>
    </row>
    <row r="5598" spans="1:2" ht="13.2" x14ac:dyDescent="0.25">
      <c r="A5598" s="34" t="s">
        <v>6608</v>
      </c>
    </row>
    <row r="5599" spans="1:2" ht="13.2" x14ac:dyDescent="0.25">
      <c r="A5599" s="34" t="s">
        <v>6607</v>
      </c>
    </row>
    <row r="5600" spans="1:2" ht="13.2" x14ac:dyDescent="0.25">
      <c r="A5600" s="34" t="s">
        <v>6606</v>
      </c>
      <c r="B5600" s="35">
        <v>3.9783538101821598</v>
      </c>
    </row>
    <row r="5601" spans="1:2" ht="13.2" x14ac:dyDescent="0.25">
      <c r="A5601" s="34" t="s">
        <v>6605</v>
      </c>
      <c r="B5601" s="35">
        <v>4.0253139100790696</v>
      </c>
    </row>
    <row r="5602" spans="1:2" ht="13.2" x14ac:dyDescent="0.25">
      <c r="A5602" s="34" t="s">
        <v>6604</v>
      </c>
      <c r="B5602" s="35">
        <v>4.0304342102587203</v>
      </c>
    </row>
    <row r="5603" spans="1:2" ht="13.2" x14ac:dyDescent="0.25">
      <c r="A5603" s="34" t="s">
        <v>6603</v>
      </c>
      <c r="B5603" s="35">
        <v>4.1049295303674302</v>
      </c>
    </row>
    <row r="5604" spans="1:2" ht="13.2" x14ac:dyDescent="0.25">
      <c r="A5604" s="34" t="s">
        <v>6602</v>
      </c>
      <c r="B5604" s="35">
        <v>4.0977030826316598</v>
      </c>
    </row>
    <row r="5605" spans="1:2" ht="13.2" x14ac:dyDescent="0.25">
      <c r="A5605" s="34" t="s">
        <v>6601</v>
      </c>
    </row>
    <row r="5606" spans="1:2" ht="13.2" x14ac:dyDescent="0.25">
      <c r="A5606" s="34" t="s">
        <v>6600</v>
      </c>
    </row>
    <row r="5607" spans="1:2" ht="13.2" x14ac:dyDescent="0.25">
      <c r="A5607" s="34" t="s">
        <v>6599</v>
      </c>
      <c r="B5607" s="35">
        <v>4.5763352007620304</v>
      </c>
    </row>
    <row r="5608" spans="1:2" ht="13.2" x14ac:dyDescent="0.25">
      <c r="A5608" s="34" t="s">
        <v>6598</v>
      </c>
      <c r="B5608" s="35">
        <v>4.9185248689414101</v>
      </c>
    </row>
    <row r="5609" spans="1:2" ht="13.2" x14ac:dyDescent="0.25">
      <c r="A5609" s="34" t="s">
        <v>6597</v>
      </c>
      <c r="B5609" s="35">
        <v>4.9191893845146302</v>
      </c>
    </row>
    <row r="5610" spans="1:2" ht="13.2" x14ac:dyDescent="0.25">
      <c r="A5610" s="34" t="s">
        <v>6596</v>
      </c>
      <c r="B5610" s="35">
        <v>5.1606181522943402</v>
      </c>
    </row>
    <row r="5611" spans="1:2" ht="13.2" x14ac:dyDescent="0.25">
      <c r="A5611" s="34" t="s">
        <v>6595</v>
      </c>
      <c r="B5611" s="35">
        <v>5.14713872022348</v>
      </c>
    </row>
    <row r="5612" spans="1:2" ht="13.2" x14ac:dyDescent="0.25">
      <c r="A5612" s="34" t="s">
        <v>6594</v>
      </c>
    </row>
    <row r="5613" spans="1:2" ht="13.2" x14ac:dyDescent="0.25">
      <c r="A5613" s="34" t="s">
        <v>6593</v>
      </c>
    </row>
    <row r="5614" spans="1:2" ht="13.2" x14ac:dyDescent="0.25">
      <c r="A5614" s="34" t="s">
        <v>6592</v>
      </c>
      <c r="B5614" s="35">
        <v>5.2383375158193202</v>
      </c>
    </row>
    <row r="5615" spans="1:2" ht="13.2" x14ac:dyDescent="0.25">
      <c r="A5615" s="34" t="s">
        <v>6591</v>
      </c>
      <c r="B5615" s="35">
        <v>5.2954519547196597</v>
      </c>
    </row>
    <row r="5616" spans="1:2" ht="13.2" x14ac:dyDescent="0.25">
      <c r="A5616" s="34" t="s">
        <v>6590</v>
      </c>
      <c r="B5616" s="35">
        <v>5.2751206584726704</v>
      </c>
    </row>
    <row r="5617" spans="1:2" ht="13.2" x14ac:dyDescent="0.25">
      <c r="A5617" s="34" t="s">
        <v>6589</v>
      </c>
      <c r="B5617" s="35">
        <v>5.2472066242106399</v>
      </c>
    </row>
    <row r="5618" spans="1:2" ht="13.2" x14ac:dyDescent="0.25">
      <c r="A5618" s="34" t="s">
        <v>6588</v>
      </c>
      <c r="B5618" s="35">
        <v>5.1658578244283397</v>
      </c>
    </row>
    <row r="5619" spans="1:2" ht="13.2" x14ac:dyDescent="0.25">
      <c r="A5619" s="34" t="s">
        <v>6587</v>
      </c>
    </row>
    <row r="5620" spans="1:2" ht="13.2" x14ac:dyDescent="0.25">
      <c r="A5620" s="34" t="s">
        <v>6586</v>
      </c>
    </row>
    <row r="5621" spans="1:2" ht="13.2" x14ac:dyDescent="0.25">
      <c r="A5621" s="34" t="s">
        <v>6585</v>
      </c>
      <c r="B5621" s="35">
        <v>6.1225885183631901</v>
      </c>
    </row>
    <row r="5622" spans="1:2" ht="13.2" x14ac:dyDescent="0.25">
      <c r="A5622" s="34" t="s">
        <v>6584</v>
      </c>
      <c r="B5622" s="35">
        <v>5.9547142213890103</v>
      </c>
    </row>
    <row r="5623" spans="1:2" ht="13.2" x14ac:dyDescent="0.25">
      <c r="A5623" s="34" t="s">
        <v>6583</v>
      </c>
      <c r="B5623" s="35">
        <v>6.4176029990832797</v>
      </c>
    </row>
    <row r="5624" spans="1:2" ht="13.2" x14ac:dyDescent="0.25">
      <c r="A5624" s="34" t="s">
        <v>6582</v>
      </c>
      <c r="B5624" s="35">
        <v>6.2879898031699399</v>
      </c>
    </row>
    <row r="5625" spans="1:2" ht="13.2" x14ac:dyDescent="0.25">
      <c r="A5625" s="34" t="s">
        <v>6581</v>
      </c>
      <c r="B5625" s="35">
        <v>6.1195056653587603</v>
      </c>
    </row>
    <row r="5626" spans="1:2" ht="13.2" x14ac:dyDescent="0.25">
      <c r="A5626" s="34" t="s">
        <v>6580</v>
      </c>
    </row>
    <row r="5627" spans="1:2" ht="13.2" x14ac:dyDescent="0.25">
      <c r="A5627" s="34" t="s">
        <v>6579</v>
      </c>
    </row>
    <row r="5628" spans="1:2" ht="13.2" x14ac:dyDescent="0.25">
      <c r="A5628" s="34" t="s">
        <v>6578</v>
      </c>
      <c r="B5628" s="35">
        <v>6.0285236046851098</v>
      </c>
    </row>
    <row r="5629" spans="1:2" ht="13.2" x14ac:dyDescent="0.25">
      <c r="A5629" s="34" t="s">
        <v>6577</v>
      </c>
      <c r="B5629" s="35">
        <v>6.0193521756595203</v>
      </c>
    </row>
    <row r="5630" spans="1:2" ht="13.2" x14ac:dyDescent="0.25">
      <c r="A5630" s="34" t="s">
        <v>6576</v>
      </c>
      <c r="B5630" s="35">
        <v>6.3424406886187397</v>
      </c>
    </row>
    <row r="5631" spans="1:2" ht="13.2" x14ac:dyDescent="0.25">
      <c r="A5631" s="34" t="s">
        <v>6575</v>
      </c>
      <c r="B5631" s="35">
        <v>6.3364901795834498</v>
      </c>
    </row>
    <row r="5632" spans="1:2" ht="13.2" x14ac:dyDescent="0.25">
      <c r="A5632" s="34" t="s">
        <v>6574</v>
      </c>
      <c r="B5632" s="35">
        <v>6.2940764649130099</v>
      </c>
    </row>
    <row r="5633" spans="1:2" ht="13.2" x14ac:dyDescent="0.25">
      <c r="A5633" s="34" t="s">
        <v>6573</v>
      </c>
    </row>
    <row r="5634" spans="1:2" ht="13.2" x14ac:dyDescent="0.25">
      <c r="A5634" s="34" t="s">
        <v>6572</v>
      </c>
    </row>
    <row r="5635" spans="1:2" ht="13.2" x14ac:dyDescent="0.25">
      <c r="A5635" s="34" t="s">
        <v>6571</v>
      </c>
      <c r="B5635" s="35">
        <v>6.3642156332759896</v>
      </c>
    </row>
    <row r="5636" spans="1:2" ht="13.2" x14ac:dyDescent="0.25">
      <c r="A5636" s="34" t="s">
        <v>6570</v>
      </c>
      <c r="B5636" s="35">
        <v>6.9450399066625303</v>
      </c>
    </row>
    <row r="5637" spans="1:2" ht="13.2" x14ac:dyDescent="0.25">
      <c r="A5637" s="34" t="s">
        <v>6569</v>
      </c>
      <c r="B5637" s="35">
        <v>6.7785377180697903</v>
      </c>
    </row>
    <row r="5638" spans="1:2" ht="13.2" x14ac:dyDescent="0.25">
      <c r="A5638" s="34" t="s">
        <v>6568</v>
      </c>
      <c r="B5638" s="35">
        <v>7.0389124214073302</v>
      </c>
    </row>
    <row r="5639" spans="1:2" ht="13.2" x14ac:dyDescent="0.25">
      <c r="A5639" s="34" t="s">
        <v>6567</v>
      </c>
      <c r="B5639" s="35">
        <v>6.8920295375474199</v>
      </c>
    </row>
    <row r="5640" spans="1:2" ht="13.2" x14ac:dyDescent="0.25">
      <c r="A5640" s="34" t="s">
        <v>6566</v>
      </c>
    </row>
    <row r="5641" spans="1:2" ht="13.2" x14ac:dyDescent="0.25">
      <c r="A5641" s="34" t="s">
        <v>6565</v>
      </c>
    </row>
    <row r="5642" spans="1:2" ht="13.2" x14ac:dyDescent="0.25">
      <c r="A5642" s="34" t="s">
        <v>6564</v>
      </c>
      <c r="B5642" s="35">
        <v>6.9095469330559398</v>
      </c>
    </row>
    <row r="5643" spans="1:2" ht="13.2" x14ac:dyDescent="0.25">
      <c r="A5643" s="34" t="s">
        <v>6563</v>
      </c>
      <c r="B5643" s="35">
        <v>6.9276222690684204</v>
      </c>
    </row>
    <row r="5644" spans="1:2" ht="13.2" x14ac:dyDescent="0.25">
      <c r="A5644" s="34" t="s">
        <v>6562</v>
      </c>
      <c r="B5644" s="35">
        <v>6.9870210209513699</v>
      </c>
    </row>
    <row r="5645" spans="1:2" ht="13.2" x14ac:dyDescent="0.25">
      <c r="A5645" s="34" t="s">
        <v>6561</v>
      </c>
      <c r="B5645" s="35">
        <v>6.9848003784463302</v>
      </c>
    </row>
    <row r="5646" spans="1:2" ht="13.2" x14ac:dyDescent="0.25">
      <c r="A5646" s="34" t="s">
        <v>6560</v>
      </c>
      <c r="B5646" s="35">
        <v>6.9356027367334496</v>
      </c>
    </row>
    <row r="5647" spans="1:2" ht="13.2" x14ac:dyDescent="0.25">
      <c r="A5647" s="34" t="s">
        <v>6559</v>
      </c>
    </row>
    <row r="5648" spans="1:2" ht="13.2" x14ac:dyDescent="0.25">
      <c r="A5648" s="34" t="s">
        <v>6558</v>
      </c>
    </row>
    <row r="5649" spans="1:2" ht="13.2" x14ac:dyDescent="0.25">
      <c r="A5649" s="34" t="s">
        <v>6557</v>
      </c>
      <c r="B5649" s="35">
        <v>6.8751220304509602</v>
      </c>
    </row>
    <row r="5650" spans="1:2" ht="13.2" x14ac:dyDescent="0.25">
      <c r="A5650" s="34" t="s">
        <v>6556</v>
      </c>
      <c r="B5650" s="35">
        <v>6.1503437812928698</v>
      </c>
    </row>
    <row r="5651" spans="1:2" ht="13.2" x14ac:dyDescent="0.25">
      <c r="A5651" s="34" t="s">
        <v>6555</v>
      </c>
      <c r="B5651" s="35">
        <v>6.3449581105468003</v>
      </c>
    </row>
    <row r="5652" spans="1:2" ht="13.2" x14ac:dyDescent="0.25">
      <c r="A5652" s="34" t="s">
        <v>6554</v>
      </c>
      <c r="B5652" s="35">
        <v>5.9033226229926603</v>
      </c>
    </row>
    <row r="5653" spans="1:2" ht="13.2" x14ac:dyDescent="0.25">
      <c r="A5653" s="34" t="s">
        <v>6553</v>
      </c>
      <c r="B5653" s="35">
        <v>5.9002805525285797</v>
      </c>
    </row>
    <row r="5654" spans="1:2" ht="13.2" x14ac:dyDescent="0.25">
      <c r="A5654" s="34" t="s">
        <v>6552</v>
      </c>
    </row>
    <row r="5655" spans="1:2" ht="13.2" x14ac:dyDescent="0.25">
      <c r="A5655" s="34" t="s">
        <v>6551</v>
      </c>
    </row>
    <row r="5656" spans="1:2" ht="13.2" x14ac:dyDescent="0.25">
      <c r="A5656" s="34" t="s">
        <v>6550</v>
      </c>
      <c r="B5656" s="35">
        <v>5.9003311314828899</v>
      </c>
    </row>
    <row r="5657" spans="1:2" ht="13.2" x14ac:dyDescent="0.25">
      <c r="A5657" s="34" t="s">
        <v>6549</v>
      </c>
      <c r="B5657" s="35">
        <v>5.6723985330590203</v>
      </c>
    </row>
    <row r="5658" spans="1:2" ht="13.2" x14ac:dyDescent="0.25">
      <c r="A5658" s="34" t="s">
        <v>6548</v>
      </c>
      <c r="B5658" s="35">
        <v>5.67976114930606</v>
      </c>
    </row>
    <row r="5659" spans="1:2" ht="13.2" x14ac:dyDescent="0.25">
      <c r="A5659" s="34" t="s">
        <v>6547</v>
      </c>
    </row>
    <row r="5660" spans="1:2" ht="13.2" x14ac:dyDescent="0.25">
      <c r="A5660" s="34" t="s">
        <v>6546</v>
      </c>
      <c r="B5660" s="35">
        <v>5.3837878563556396</v>
      </c>
    </row>
    <row r="5661" spans="1:2" ht="13.2" x14ac:dyDescent="0.25">
      <c r="A5661" s="34" t="s">
        <v>6545</v>
      </c>
    </row>
    <row r="5662" spans="1:2" ht="13.2" x14ac:dyDescent="0.25">
      <c r="A5662" s="34" t="s">
        <v>6544</v>
      </c>
    </row>
    <row r="5663" spans="1:2" ht="13.2" x14ac:dyDescent="0.25">
      <c r="A5663" s="34" t="s">
        <v>6543</v>
      </c>
      <c r="B5663" s="35">
        <v>5.7161885814008802</v>
      </c>
    </row>
    <row r="5664" spans="1:2" ht="13.2" x14ac:dyDescent="0.25">
      <c r="A5664" s="34" t="s">
        <v>6542</v>
      </c>
      <c r="B5664" s="35">
        <v>5.4807592930354403</v>
      </c>
    </row>
    <row r="5665" spans="1:2" ht="13.2" x14ac:dyDescent="0.25">
      <c r="A5665" s="34" t="s">
        <v>6541</v>
      </c>
      <c r="B5665" s="35">
        <v>5.2921746481629004</v>
      </c>
    </row>
    <row r="5666" spans="1:2" ht="13.2" x14ac:dyDescent="0.25">
      <c r="A5666" s="34" t="s">
        <v>6540</v>
      </c>
      <c r="B5666" s="35">
        <v>4.5861396034219801</v>
      </c>
    </row>
    <row r="5667" spans="1:2" ht="13.2" x14ac:dyDescent="0.25">
      <c r="A5667" s="34" t="s">
        <v>6539</v>
      </c>
      <c r="B5667" s="35">
        <v>4.50271991659557</v>
      </c>
    </row>
    <row r="5668" spans="1:2" ht="13.2" x14ac:dyDescent="0.25">
      <c r="A5668" s="34" t="s">
        <v>6538</v>
      </c>
    </row>
    <row r="5669" spans="1:2" ht="13.2" x14ac:dyDescent="0.25">
      <c r="A5669" s="34" t="s">
        <v>6537</v>
      </c>
    </row>
    <row r="5670" spans="1:2" ht="13.2" x14ac:dyDescent="0.25">
      <c r="A5670" s="34" t="s">
        <v>6536</v>
      </c>
      <c r="B5670" s="35">
        <v>4.3535582841334701</v>
      </c>
    </row>
    <row r="5671" spans="1:2" ht="13.2" x14ac:dyDescent="0.25">
      <c r="A5671" s="34" t="s">
        <v>6535</v>
      </c>
      <c r="B5671" s="35">
        <v>4.35996562357861</v>
      </c>
    </row>
    <row r="5672" spans="1:2" ht="13.2" x14ac:dyDescent="0.25">
      <c r="A5672" s="34" t="s">
        <v>6534</v>
      </c>
      <c r="B5672" s="35">
        <v>4.3172677250659799</v>
      </c>
    </row>
    <row r="5673" spans="1:2" ht="13.2" x14ac:dyDescent="0.25">
      <c r="A5673" s="34" t="s">
        <v>6533</v>
      </c>
      <c r="B5673" s="35">
        <v>4.1298360499153297</v>
      </c>
    </row>
    <row r="5674" spans="1:2" ht="13.2" x14ac:dyDescent="0.25">
      <c r="A5674" s="34" t="s">
        <v>6532</v>
      </c>
      <c r="B5674" s="35">
        <v>3.9252513224709502</v>
      </c>
    </row>
    <row r="5675" spans="1:2" ht="13.2" x14ac:dyDescent="0.25">
      <c r="A5675" s="34" t="s">
        <v>6531</v>
      </c>
    </row>
    <row r="5676" spans="1:2" ht="13.2" x14ac:dyDescent="0.25">
      <c r="A5676" s="34" t="s">
        <v>6530</v>
      </c>
    </row>
    <row r="5677" spans="1:2" ht="13.2" x14ac:dyDescent="0.25">
      <c r="A5677" s="34" t="s">
        <v>6529</v>
      </c>
      <c r="B5677" s="35">
        <v>4.2308537291101702</v>
      </c>
    </row>
    <row r="5678" spans="1:2" ht="13.2" x14ac:dyDescent="0.25">
      <c r="A5678" s="34" t="s">
        <v>6528</v>
      </c>
      <c r="B5678" s="35">
        <v>4.2349089634439103</v>
      </c>
    </row>
    <row r="5679" spans="1:2" ht="13.2" x14ac:dyDescent="0.25">
      <c r="A5679" s="34" t="s">
        <v>6527</v>
      </c>
      <c r="B5679" s="35">
        <v>4.2707030731880202</v>
      </c>
    </row>
    <row r="5680" spans="1:2" ht="13.2" x14ac:dyDescent="0.25">
      <c r="A5680" s="34" t="s">
        <v>6526</v>
      </c>
      <c r="B5680" s="35">
        <v>4.2763502352323304</v>
      </c>
    </row>
    <row r="5681" spans="1:2" ht="13.2" x14ac:dyDescent="0.25">
      <c r="A5681" s="34" t="s">
        <v>6525</v>
      </c>
      <c r="B5681" s="35">
        <v>3.85501452015547</v>
      </c>
    </row>
    <row r="5682" spans="1:2" ht="13.2" x14ac:dyDescent="0.25">
      <c r="A5682" s="34" t="s">
        <v>6524</v>
      </c>
    </row>
    <row r="5683" spans="1:2" ht="13.2" x14ac:dyDescent="0.25">
      <c r="A5683" s="34" t="s">
        <v>6523</v>
      </c>
    </row>
    <row r="5684" spans="1:2" ht="13.2" x14ac:dyDescent="0.25">
      <c r="A5684" s="34" t="s">
        <v>6522</v>
      </c>
      <c r="B5684" s="35">
        <v>3.8099642283914998</v>
      </c>
    </row>
    <row r="5685" spans="1:2" ht="13.2" x14ac:dyDescent="0.25">
      <c r="A5685" s="34" t="s">
        <v>6521</v>
      </c>
      <c r="B5685" s="35">
        <v>3.9003150398435702</v>
      </c>
    </row>
    <row r="5686" spans="1:2" ht="13.2" x14ac:dyDescent="0.25">
      <c r="A5686" s="34" t="s">
        <v>6520</v>
      </c>
      <c r="B5686" s="35">
        <v>3.8995525688236699</v>
      </c>
    </row>
    <row r="5687" spans="1:2" ht="13.2" x14ac:dyDescent="0.25">
      <c r="A5687" s="34" t="s">
        <v>6519</v>
      </c>
      <c r="B5687" s="35">
        <v>3.7358133071797299</v>
      </c>
    </row>
    <row r="5688" spans="1:2" ht="13.2" x14ac:dyDescent="0.25">
      <c r="A5688" s="34" t="s">
        <v>6518</v>
      </c>
      <c r="B5688" s="35">
        <v>3.7049028396156301</v>
      </c>
    </row>
    <row r="5689" spans="1:2" ht="13.2" x14ac:dyDescent="0.25">
      <c r="A5689" s="34" t="s">
        <v>6517</v>
      </c>
    </row>
    <row r="5690" spans="1:2" ht="13.2" x14ac:dyDescent="0.25">
      <c r="A5690" s="34" t="s">
        <v>6516</v>
      </c>
    </row>
    <row r="5691" spans="1:2" ht="13.2" x14ac:dyDescent="0.25">
      <c r="A5691" s="34" t="s">
        <v>6515</v>
      </c>
      <c r="B5691" s="35">
        <v>3.4725145759917702</v>
      </c>
    </row>
    <row r="5692" spans="1:2" ht="13.2" x14ac:dyDescent="0.25">
      <c r="A5692" s="34" t="s">
        <v>6514</v>
      </c>
      <c r="B5692" s="35">
        <v>3.0366721918394499</v>
      </c>
    </row>
    <row r="5693" spans="1:2" ht="13.2" x14ac:dyDescent="0.25">
      <c r="A5693" s="34" t="s">
        <v>6513</v>
      </c>
    </row>
    <row r="5694" spans="1:2" ht="13.2" x14ac:dyDescent="0.25">
      <c r="A5694" s="34" t="s">
        <v>6512</v>
      </c>
    </row>
    <row r="5695" spans="1:2" ht="13.2" x14ac:dyDescent="0.25">
      <c r="A5695" s="34" t="s">
        <v>6511</v>
      </c>
      <c r="B5695" s="35">
        <v>3.0226855140607101</v>
      </c>
    </row>
    <row r="5696" spans="1:2" ht="13.2" x14ac:dyDescent="0.25">
      <c r="A5696" s="34" t="s">
        <v>6510</v>
      </c>
    </row>
    <row r="5697" spans="1:2" ht="13.2" x14ac:dyDescent="0.25">
      <c r="A5697" s="34" t="s">
        <v>6509</v>
      </c>
    </row>
    <row r="5698" spans="1:2" ht="13.2" x14ac:dyDescent="0.25">
      <c r="A5698" s="34" t="s">
        <v>6508</v>
      </c>
      <c r="B5698" s="35">
        <v>2.8533302374375</v>
      </c>
    </row>
    <row r="5699" spans="1:2" ht="13.2" x14ac:dyDescent="0.25">
      <c r="A5699" s="34" t="s">
        <v>6507</v>
      </c>
      <c r="B5699" s="35">
        <v>2.8596485866002599</v>
      </c>
    </row>
    <row r="5700" spans="1:2" ht="13.2" x14ac:dyDescent="0.25">
      <c r="A5700" s="34" t="s">
        <v>6506</v>
      </c>
    </row>
    <row r="5701" spans="1:2" ht="13.2" x14ac:dyDescent="0.25">
      <c r="A5701" s="34" t="s">
        <v>6505</v>
      </c>
    </row>
    <row r="5702" spans="1:2" ht="13.2" x14ac:dyDescent="0.25">
      <c r="A5702" s="34" t="s">
        <v>6504</v>
      </c>
      <c r="B5702" s="35">
        <v>3.2154229145429101</v>
      </c>
    </row>
    <row r="5703" spans="1:2" ht="13.2" x14ac:dyDescent="0.25">
      <c r="A5703" s="34" t="s">
        <v>6503</v>
      </c>
    </row>
    <row r="5704" spans="1:2" ht="13.2" x14ac:dyDescent="0.25">
      <c r="A5704" s="34" t="s">
        <v>6502</v>
      </c>
    </row>
    <row r="5705" spans="1:2" ht="13.2" x14ac:dyDescent="0.25">
      <c r="A5705" s="34" t="s">
        <v>6501</v>
      </c>
      <c r="B5705" s="35">
        <v>2.9884856192004601</v>
      </c>
    </row>
    <row r="5706" spans="1:2" ht="13.2" x14ac:dyDescent="0.25">
      <c r="A5706" s="34" t="s">
        <v>6500</v>
      </c>
      <c r="B5706" s="35">
        <v>2.99696570695503</v>
      </c>
    </row>
    <row r="5707" spans="1:2" ht="13.2" x14ac:dyDescent="0.25">
      <c r="A5707" s="34" t="s">
        <v>6499</v>
      </c>
      <c r="B5707" s="35">
        <v>3.15345429775968</v>
      </c>
    </row>
    <row r="5708" spans="1:2" ht="13.2" x14ac:dyDescent="0.25">
      <c r="A5708" s="34" t="s">
        <v>6498</v>
      </c>
      <c r="B5708" s="35">
        <v>3.1745314003703</v>
      </c>
    </row>
    <row r="5709" spans="1:2" ht="13.2" x14ac:dyDescent="0.25">
      <c r="A5709" s="34" t="s">
        <v>6497</v>
      </c>
      <c r="B5709" s="35">
        <v>3.1993298656239402</v>
      </c>
    </row>
    <row r="5710" spans="1:2" ht="13.2" x14ac:dyDescent="0.25">
      <c r="A5710" s="34" t="s">
        <v>6496</v>
      </c>
    </row>
    <row r="5711" spans="1:2" ht="13.2" x14ac:dyDescent="0.25">
      <c r="A5711" s="34" t="s">
        <v>6495</v>
      </c>
    </row>
    <row r="5712" spans="1:2" ht="13.2" x14ac:dyDescent="0.25">
      <c r="A5712" s="34" t="s">
        <v>6494</v>
      </c>
      <c r="B5712" s="35">
        <v>3.0177530228051199</v>
      </c>
    </row>
    <row r="5713" spans="1:2" ht="13.2" x14ac:dyDescent="0.25">
      <c r="A5713" s="34" t="s">
        <v>6493</v>
      </c>
      <c r="B5713" s="35">
        <v>3.0098158429089699</v>
      </c>
    </row>
    <row r="5714" spans="1:2" ht="13.2" x14ac:dyDescent="0.25">
      <c r="A5714" s="34" t="s">
        <v>6492</v>
      </c>
      <c r="B5714" s="35">
        <v>3.08728708254286</v>
      </c>
    </row>
    <row r="5715" spans="1:2" ht="13.2" x14ac:dyDescent="0.25">
      <c r="A5715" s="34" t="s">
        <v>6491</v>
      </c>
      <c r="B5715" s="35">
        <v>3.1500787461145099</v>
      </c>
    </row>
    <row r="5716" spans="1:2" ht="13.2" x14ac:dyDescent="0.25">
      <c r="A5716" s="34" t="s">
        <v>6490</v>
      </c>
      <c r="B5716" s="35">
        <v>3.1145044630902099</v>
      </c>
    </row>
    <row r="5717" spans="1:2" ht="13.2" x14ac:dyDescent="0.25">
      <c r="A5717" s="34" t="s">
        <v>6489</v>
      </c>
    </row>
    <row r="5718" spans="1:2" ht="13.2" x14ac:dyDescent="0.25">
      <c r="A5718" s="34" t="s">
        <v>6488</v>
      </c>
    </row>
    <row r="5719" spans="1:2" ht="13.2" x14ac:dyDescent="0.25">
      <c r="A5719" s="34" t="s">
        <v>6487</v>
      </c>
      <c r="B5719" s="35">
        <v>3.0682859606184998</v>
      </c>
    </row>
    <row r="5720" spans="1:2" ht="13.2" x14ac:dyDescent="0.25">
      <c r="A5720" s="34" t="s">
        <v>6486</v>
      </c>
      <c r="B5720" s="35">
        <v>3.03704435767574</v>
      </c>
    </row>
    <row r="5721" spans="1:2" ht="13.2" x14ac:dyDescent="0.25">
      <c r="A5721" s="34" t="s">
        <v>6485</v>
      </c>
      <c r="B5721" s="35">
        <v>3.14211876528088</v>
      </c>
    </row>
    <row r="5722" spans="1:2" ht="13.2" x14ac:dyDescent="0.25">
      <c r="A5722" s="34" t="s">
        <v>6484</v>
      </c>
      <c r="B5722" s="35">
        <v>3.1545617094753702</v>
      </c>
    </row>
    <row r="5723" spans="1:2" ht="13.2" x14ac:dyDescent="0.25">
      <c r="A5723" s="34" t="s">
        <v>6483</v>
      </c>
      <c r="B5723" s="35">
        <v>3.1535325240324101</v>
      </c>
    </row>
    <row r="5724" spans="1:2" ht="13.2" x14ac:dyDescent="0.25">
      <c r="A5724" s="34" t="s">
        <v>6482</v>
      </c>
    </row>
    <row r="5725" spans="1:2" ht="13.2" x14ac:dyDescent="0.25">
      <c r="A5725" s="34" t="s">
        <v>6481</v>
      </c>
    </row>
    <row r="5726" spans="1:2" ht="13.2" x14ac:dyDescent="0.25">
      <c r="A5726" s="34" t="s">
        <v>6480</v>
      </c>
      <c r="B5726" s="35">
        <v>3.0363895281089799</v>
      </c>
    </row>
    <row r="5727" spans="1:2" ht="13.2" x14ac:dyDescent="0.25">
      <c r="A5727" s="34" t="s">
        <v>6479</v>
      </c>
      <c r="B5727" s="35">
        <v>2.9463247025675701</v>
      </c>
    </row>
    <row r="5728" spans="1:2" ht="13.2" x14ac:dyDescent="0.25">
      <c r="A5728" s="34" t="s">
        <v>6478</v>
      </c>
      <c r="B5728" s="35">
        <v>3.0455597942812802</v>
      </c>
    </row>
    <row r="5729" spans="1:2" ht="13.2" x14ac:dyDescent="0.25">
      <c r="A5729" s="34" t="s">
        <v>6477</v>
      </c>
      <c r="B5729" s="35">
        <v>3.0731010071548099</v>
      </c>
    </row>
    <row r="5730" spans="1:2" ht="13.2" x14ac:dyDescent="0.25">
      <c r="A5730" s="34" t="s">
        <v>6476</v>
      </c>
      <c r="B5730" s="35">
        <v>3.0744686118460498</v>
      </c>
    </row>
    <row r="5731" spans="1:2" ht="13.2" x14ac:dyDescent="0.25">
      <c r="A5731" s="34" t="s">
        <v>6475</v>
      </c>
    </row>
    <row r="5732" spans="1:2" ht="13.2" x14ac:dyDescent="0.25">
      <c r="A5732" s="34" t="s">
        <v>6474</v>
      </c>
    </row>
    <row r="5733" spans="1:2" ht="13.2" x14ac:dyDescent="0.25">
      <c r="A5733" s="34" t="s">
        <v>6473</v>
      </c>
      <c r="B5733" s="35">
        <v>2.68253758808891</v>
      </c>
    </row>
    <row r="5734" spans="1:2" ht="13.2" x14ac:dyDescent="0.25">
      <c r="A5734" s="34" t="s">
        <v>6472</v>
      </c>
      <c r="B5734" s="35">
        <v>2.66130555492609</v>
      </c>
    </row>
    <row r="5735" spans="1:2" ht="13.2" x14ac:dyDescent="0.25">
      <c r="A5735" s="34" t="s">
        <v>6471</v>
      </c>
      <c r="B5735" s="35">
        <v>2.63207190105136</v>
      </c>
    </row>
    <row r="5736" spans="1:2" ht="13.2" x14ac:dyDescent="0.25">
      <c r="A5736" s="34" t="s">
        <v>6470</v>
      </c>
      <c r="B5736" s="35">
        <v>2.57684849052501</v>
      </c>
    </row>
    <row r="5737" spans="1:2" ht="13.2" x14ac:dyDescent="0.25">
      <c r="A5737" s="34" t="s">
        <v>6469</v>
      </c>
      <c r="B5737" s="35">
        <v>2.6467262541474899</v>
      </c>
    </row>
    <row r="5738" spans="1:2" ht="13.2" x14ac:dyDescent="0.25">
      <c r="A5738" s="34" t="s">
        <v>6468</v>
      </c>
    </row>
    <row r="5739" spans="1:2" ht="13.2" x14ac:dyDescent="0.25">
      <c r="A5739" s="34" t="s">
        <v>6467</v>
      </c>
    </row>
    <row r="5740" spans="1:2" ht="13.2" x14ac:dyDescent="0.25">
      <c r="A5740" s="34" t="s">
        <v>6466</v>
      </c>
      <c r="B5740" s="35">
        <v>2.66104347763756</v>
      </c>
    </row>
    <row r="5741" spans="1:2" ht="13.2" x14ac:dyDescent="0.25">
      <c r="A5741" s="34" t="s">
        <v>6465</v>
      </c>
      <c r="B5741" s="35">
        <v>2.4118495426723001</v>
      </c>
    </row>
    <row r="5742" spans="1:2" ht="13.2" x14ac:dyDescent="0.25">
      <c r="A5742" s="34" t="s">
        <v>6464</v>
      </c>
      <c r="B5742" s="35">
        <v>2.4232375128760002</v>
      </c>
    </row>
    <row r="5743" spans="1:2" ht="13.2" x14ac:dyDescent="0.25">
      <c r="A5743" s="34" t="s">
        <v>6463</v>
      </c>
      <c r="B5743" s="35">
        <v>2.2411498428905201</v>
      </c>
    </row>
    <row r="5744" spans="1:2" ht="13.2" x14ac:dyDescent="0.25">
      <c r="A5744" s="34" t="s">
        <v>6462</v>
      </c>
      <c r="B5744" s="35">
        <v>2.2307364295522998</v>
      </c>
    </row>
    <row r="5745" spans="1:2" ht="13.2" x14ac:dyDescent="0.25">
      <c r="A5745" s="34" t="s">
        <v>6461</v>
      </c>
    </row>
    <row r="5746" spans="1:2" ht="13.2" x14ac:dyDescent="0.25">
      <c r="A5746" s="34" t="s">
        <v>6460</v>
      </c>
    </row>
    <row r="5747" spans="1:2" ht="13.2" x14ac:dyDescent="0.25">
      <c r="A5747" s="34" t="s">
        <v>6459</v>
      </c>
      <c r="B5747" s="35">
        <v>2.2304487164981999</v>
      </c>
    </row>
    <row r="5748" spans="1:2" ht="13.2" x14ac:dyDescent="0.25">
      <c r="A5748" s="34" t="s">
        <v>6458</v>
      </c>
      <c r="B5748" s="35">
        <v>2.4809097749389699</v>
      </c>
    </row>
    <row r="5749" spans="1:2" ht="13.2" x14ac:dyDescent="0.25">
      <c r="A5749" s="34" t="s">
        <v>6457</v>
      </c>
      <c r="B5749" s="35">
        <v>2.2915310697314202</v>
      </c>
    </row>
    <row r="5750" spans="1:2" ht="13.2" x14ac:dyDescent="0.25">
      <c r="A5750" s="34" t="s">
        <v>6456</v>
      </c>
      <c r="B5750" s="35">
        <v>2.1819418502324601</v>
      </c>
    </row>
    <row r="5751" spans="1:2" ht="13.2" x14ac:dyDescent="0.25">
      <c r="A5751" s="34" t="s">
        <v>6455</v>
      </c>
      <c r="B5751" s="35">
        <v>2.2276715691539302</v>
      </c>
    </row>
    <row r="5752" spans="1:2" ht="13.2" x14ac:dyDescent="0.25">
      <c r="A5752" s="34" t="s">
        <v>6454</v>
      </c>
    </row>
    <row r="5753" spans="1:2" ht="13.2" x14ac:dyDescent="0.25">
      <c r="A5753" s="34" t="s">
        <v>6453</v>
      </c>
    </row>
    <row r="5754" spans="1:2" ht="13.2" x14ac:dyDescent="0.25">
      <c r="A5754" s="34" t="s">
        <v>6452</v>
      </c>
    </row>
    <row r="5755" spans="1:2" ht="13.2" x14ac:dyDescent="0.25">
      <c r="A5755" s="34" t="s">
        <v>6451</v>
      </c>
    </row>
    <row r="5756" spans="1:2" ht="13.2" x14ac:dyDescent="0.25">
      <c r="A5756" s="34" t="s">
        <v>6450</v>
      </c>
      <c r="B5756" s="35">
        <v>2.2433235539904701</v>
      </c>
    </row>
    <row r="5757" spans="1:2" ht="13.2" x14ac:dyDescent="0.25">
      <c r="A5757" s="34" t="s">
        <v>6449</v>
      </c>
      <c r="B5757" s="35">
        <v>2.2323625634401401</v>
      </c>
    </row>
    <row r="5758" spans="1:2" ht="13.2" x14ac:dyDescent="0.25">
      <c r="A5758" s="34" t="s">
        <v>6448</v>
      </c>
      <c r="B5758" s="35">
        <v>2.22907972451083</v>
      </c>
    </row>
    <row r="5759" spans="1:2" ht="13.2" x14ac:dyDescent="0.25">
      <c r="A5759" s="34" t="s">
        <v>6447</v>
      </c>
    </row>
    <row r="5760" spans="1:2" ht="13.2" x14ac:dyDescent="0.25">
      <c r="A5760" s="34" t="s">
        <v>6446</v>
      </c>
    </row>
    <row r="5761" spans="1:2" ht="13.2" x14ac:dyDescent="0.25">
      <c r="A5761" s="34" t="s">
        <v>6445</v>
      </c>
      <c r="B5761" s="35">
        <v>2.3096012177478702</v>
      </c>
    </row>
    <row r="5762" spans="1:2" ht="13.2" x14ac:dyDescent="0.25">
      <c r="A5762" s="34" t="s">
        <v>6444</v>
      </c>
      <c r="B5762" s="35">
        <v>2.3109876579106601</v>
      </c>
    </row>
    <row r="5763" spans="1:2" ht="13.2" x14ac:dyDescent="0.25">
      <c r="A5763" s="34" t="s">
        <v>6443</v>
      </c>
      <c r="B5763" s="35">
        <v>2.6061477778423501</v>
      </c>
    </row>
    <row r="5764" spans="1:2" ht="13.2" x14ac:dyDescent="0.25">
      <c r="A5764" s="34" t="s">
        <v>6442</v>
      </c>
      <c r="B5764" s="35">
        <v>2.6487999994145599</v>
      </c>
    </row>
    <row r="5765" spans="1:2" ht="13.2" x14ac:dyDescent="0.25">
      <c r="A5765" s="34" t="s">
        <v>6441</v>
      </c>
      <c r="B5765" s="35">
        <v>2.5644087313608201</v>
      </c>
    </row>
    <row r="5766" spans="1:2" ht="13.2" x14ac:dyDescent="0.25">
      <c r="A5766" s="34" t="s">
        <v>6440</v>
      </c>
    </row>
    <row r="5767" spans="1:2" ht="13.2" x14ac:dyDescent="0.25">
      <c r="A5767" s="34" t="s">
        <v>6439</v>
      </c>
    </row>
    <row r="5768" spans="1:2" ht="13.2" x14ac:dyDescent="0.25">
      <c r="A5768" s="34" t="s">
        <v>6438</v>
      </c>
      <c r="B5768" s="35">
        <v>2.55077279742431</v>
      </c>
    </row>
    <row r="5769" spans="1:2" ht="13.2" x14ac:dyDescent="0.25">
      <c r="A5769" s="34" t="s">
        <v>6437</v>
      </c>
      <c r="B5769" s="35">
        <v>2.79289613312165</v>
      </c>
    </row>
    <row r="5770" spans="1:2" ht="13.2" x14ac:dyDescent="0.25">
      <c r="A5770" s="34" t="s">
        <v>6436</v>
      </c>
      <c r="B5770" s="35">
        <v>2.62389459299599</v>
      </c>
    </row>
    <row r="5771" spans="1:2" ht="13.2" x14ac:dyDescent="0.25">
      <c r="A5771" s="34" t="s">
        <v>6435</v>
      </c>
      <c r="B5771" s="35">
        <v>2.6274085084458698</v>
      </c>
    </row>
    <row r="5772" spans="1:2" ht="13.2" x14ac:dyDescent="0.25">
      <c r="A5772" s="34" t="s">
        <v>6434</v>
      </c>
      <c r="B5772" s="35">
        <v>2.5949818982658801</v>
      </c>
    </row>
    <row r="5773" spans="1:2" ht="13.2" x14ac:dyDescent="0.25">
      <c r="A5773" s="34" t="s">
        <v>6433</v>
      </c>
    </row>
    <row r="5774" spans="1:2" ht="13.2" x14ac:dyDescent="0.25">
      <c r="A5774" s="34" t="s">
        <v>6432</v>
      </c>
    </row>
    <row r="5775" spans="1:2" ht="13.2" x14ac:dyDescent="0.25">
      <c r="A5775" s="34" t="s">
        <v>6431</v>
      </c>
      <c r="B5775" s="35">
        <v>2.5972957539503598</v>
      </c>
    </row>
    <row r="5776" spans="1:2" ht="13.2" x14ac:dyDescent="0.25">
      <c r="A5776" s="34" t="s">
        <v>6430</v>
      </c>
      <c r="B5776" s="35">
        <v>2.6530957780414401</v>
      </c>
    </row>
    <row r="5777" spans="1:2" ht="13.2" x14ac:dyDescent="0.25">
      <c r="A5777" s="34" t="s">
        <v>6429</v>
      </c>
      <c r="B5777" s="35">
        <v>2.5957739616173798</v>
      </c>
    </row>
    <row r="5778" spans="1:2" ht="13.2" x14ac:dyDescent="0.25">
      <c r="A5778" s="34" t="s">
        <v>6428</v>
      </c>
      <c r="B5778" s="35">
        <v>2.6011783689791699</v>
      </c>
    </row>
    <row r="5779" spans="1:2" ht="13.2" x14ac:dyDescent="0.25">
      <c r="A5779" s="34" t="s">
        <v>6427</v>
      </c>
      <c r="B5779" s="35">
        <v>2.3757344860604999</v>
      </c>
    </row>
    <row r="5780" spans="1:2" ht="13.2" x14ac:dyDescent="0.25">
      <c r="A5780" s="34" t="s">
        <v>6426</v>
      </c>
    </row>
    <row r="5781" spans="1:2" ht="13.2" x14ac:dyDescent="0.25">
      <c r="A5781" s="34" t="s">
        <v>6425</v>
      </c>
    </row>
    <row r="5782" spans="1:2" ht="13.2" x14ac:dyDescent="0.25">
      <c r="A5782" s="34" t="s">
        <v>6424</v>
      </c>
      <c r="B5782" s="35">
        <v>2.6773938837569999</v>
      </c>
    </row>
    <row r="5783" spans="1:2" ht="13.2" x14ac:dyDescent="0.25">
      <c r="A5783" s="34" t="s">
        <v>6423</v>
      </c>
      <c r="B5783" s="35">
        <v>2.7376793080854398</v>
      </c>
    </row>
    <row r="5784" spans="1:2" ht="13.2" x14ac:dyDescent="0.25">
      <c r="A5784" s="34" t="s">
        <v>6422</v>
      </c>
      <c r="B5784" s="35">
        <v>2.6635082379515498</v>
      </c>
    </row>
    <row r="5785" spans="1:2" ht="13.2" x14ac:dyDescent="0.25">
      <c r="A5785" s="34" t="s">
        <v>6421</v>
      </c>
      <c r="B5785" s="35">
        <v>2.6558064113836801</v>
      </c>
    </row>
    <row r="5786" spans="1:2" ht="13.2" x14ac:dyDescent="0.25">
      <c r="A5786" s="34" t="s">
        <v>6420</v>
      </c>
      <c r="B5786" s="35">
        <v>2.6932224505059699</v>
      </c>
    </row>
    <row r="5787" spans="1:2" ht="13.2" x14ac:dyDescent="0.25">
      <c r="A5787" s="34" t="s">
        <v>6419</v>
      </c>
    </row>
    <row r="5788" spans="1:2" ht="13.2" x14ac:dyDescent="0.25">
      <c r="A5788" s="34" t="s">
        <v>6418</v>
      </c>
    </row>
    <row r="5789" spans="1:2" ht="13.2" x14ac:dyDescent="0.25">
      <c r="A5789" s="34" t="s">
        <v>6417</v>
      </c>
      <c r="B5789" s="35">
        <v>2.7978435046362899</v>
      </c>
    </row>
    <row r="5790" spans="1:2" ht="13.2" x14ac:dyDescent="0.25">
      <c r="A5790" s="34" t="s">
        <v>6416</v>
      </c>
      <c r="B5790" s="35">
        <v>2.4939851406424398</v>
      </c>
    </row>
    <row r="5791" spans="1:2" ht="13.2" x14ac:dyDescent="0.25">
      <c r="A5791" s="34" t="s">
        <v>6415</v>
      </c>
      <c r="B5791" s="35">
        <v>2.5302298664819398</v>
      </c>
    </row>
    <row r="5792" spans="1:2" ht="13.2" x14ac:dyDescent="0.25">
      <c r="A5792" s="34" t="s">
        <v>6414</v>
      </c>
      <c r="B5792" s="35">
        <v>2.44515672232603</v>
      </c>
    </row>
    <row r="5793" spans="1:2" ht="13.2" x14ac:dyDescent="0.25">
      <c r="A5793" s="34" t="s">
        <v>6413</v>
      </c>
      <c r="B5793" s="35">
        <v>2.3268623912853901</v>
      </c>
    </row>
    <row r="5794" spans="1:2" ht="13.2" x14ac:dyDescent="0.25">
      <c r="A5794" s="34" t="s">
        <v>6412</v>
      </c>
    </row>
    <row r="5795" spans="1:2" ht="13.2" x14ac:dyDescent="0.25">
      <c r="A5795" s="34" t="s">
        <v>6411</v>
      </c>
    </row>
    <row r="5796" spans="1:2" ht="13.2" x14ac:dyDescent="0.25">
      <c r="A5796" s="34" t="s">
        <v>6410</v>
      </c>
      <c r="B5796" s="35">
        <v>2.3206035914071901</v>
      </c>
    </row>
    <row r="5797" spans="1:2" ht="13.2" x14ac:dyDescent="0.25">
      <c r="A5797" s="34" t="s">
        <v>6409</v>
      </c>
      <c r="B5797" s="35">
        <v>2.3128810535821001</v>
      </c>
    </row>
    <row r="5798" spans="1:2" ht="13.2" x14ac:dyDescent="0.25">
      <c r="A5798" s="34" t="s">
        <v>6408</v>
      </c>
      <c r="B5798" s="35">
        <v>2.05920989260246</v>
      </c>
    </row>
    <row r="5799" spans="1:2" ht="13.2" x14ac:dyDescent="0.25">
      <c r="A5799" s="34" t="s">
        <v>6407</v>
      </c>
      <c r="B5799" s="35">
        <v>2.1191411497458201</v>
      </c>
    </row>
    <row r="5800" spans="1:2" ht="13.2" x14ac:dyDescent="0.25">
      <c r="A5800" s="34" t="s">
        <v>6406</v>
      </c>
    </row>
    <row r="5801" spans="1:2" ht="13.2" x14ac:dyDescent="0.25">
      <c r="A5801" s="34" t="s">
        <v>6405</v>
      </c>
    </row>
    <row r="5802" spans="1:2" ht="13.2" x14ac:dyDescent="0.25">
      <c r="A5802" s="34" t="s">
        <v>6404</v>
      </c>
    </row>
    <row r="5803" spans="1:2" ht="13.2" x14ac:dyDescent="0.25">
      <c r="A5803" s="34" t="s">
        <v>6403</v>
      </c>
      <c r="B5803" s="35">
        <v>2.1195539139804498</v>
      </c>
    </row>
    <row r="5804" spans="1:2" ht="13.2" x14ac:dyDescent="0.25">
      <c r="A5804" s="34" t="s">
        <v>6402</v>
      </c>
      <c r="B5804" s="35">
        <v>2.1523697453905299</v>
      </c>
    </row>
    <row r="5805" spans="1:2" ht="13.2" x14ac:dyDescent="0.25">
      <c r="A5805" s="34" t="s">
        <v>6401</v>
      </c>
      <c r="B5805" s="35">
        <v>2.12799061269462</v>
      </c>
    </row>
    <row r="5806" spans="1:2" ht="13.2" x14ac:dyDescent="0.25">
      <c r="A5806" s="34" t="s">
        <v>6400</v>
      </c>
      <c r="B5806" s="35">
        <v>2.1084884108050201</v>
      </c>
    </row>
    <row r="5807" spans="1:2" ht="13.2" x14ac:dyDescent="0.25">
      <c r="A5807" s="34" t="s">
        <v>6399</v>
      </c>
      <c r="B5807" s="35">
        <v>2.1161757765870499</v>
      </c>
    </row>
    <row r="5808" spans="1:2" ht="13.2" x14ac:dyDescent="0.25">
      <c r="A5808" s="34" t="s">
        <v>6398</v>
      </c>
    </row>
    <row r="5809" spans="1:2" ht="13.2" x14ac:dyDescent="0.25">
      <c r="A5809" s="34" t="s">
        <v>6397</v>
      </c>
    </row>
    <row r="5810" spans="1:2" ht="13.2" x14ac:dyDescent="0.25">
      <c r="A5810" s="34" t="s">
        <v>6396</v>
      </c>
      <c r="B5810" s="35">
        <v>2.2570711085217199</v>
      </c>
    </row>
    <row r="5811" spans="1:2" ht="13.2" x14ac:dyDescent="0.25">
      <c r="A5811" s="34" t="s">
        <v>6395</v>
      </c>
    </row>
    <row r="5812" spans="1:2" ht="13.2" x14ac:dyDescent="0.25">
      <c r="A5812" s="34" t="s">
        <v>6394</v>
      </c>
      <c r="B5812" s="35">
        <v>2.2374014472475898</v>
      </c>
    </row>
    <row r="5813" spans="1:2" ht="13.2" x14ac:dyDescent="0.25">
      <c r="A5813" s="34" t="s">
        <v>6393</v>
      </c>
      <c r="B5813" s="35">
        <v>1.9327078008385401</v>
      </c>
    </row>
    <row r="5814" spans="1:2" ht="13.2" x14ac:dyDescent="0.25">
      <c r="A5814" s="34" t="s">
        <v>6392</v>
      </c>
      <c r="B5814" s="35">
        <v>1.8672327440833101</v>
      </c>
    </row>
    <row r="5815" spans="1:2" ht="13.2" x14ac:dyDescent="0.25">
      <c r="A5815" s="34" t="s">
        <v>6391</v>
      </c>
    </row>
    <row r="5816" spans="1:2" ht="13.2" x14ac:dyDescent="0.25">
      <c r="A5816" s="34" t="s">
        <v>6390</v>
      </c>
    </row>
    <row r="5817" spans="1:2" ht="13.2" x14ac:dyDescent="0.25">
      <c r="A5817" s="34" t="s">
        <v>6389</v>
      </c>
      <c r="B5817" s="35">
        <v>1.9521469214159199</v>
      </c>
    </row>
    <row r="5818" spans="1:2" ht="13.2" x14ac:dyDescent="0.25">
      <c r="A5818" s="34" t="s">
        <v>6388</v>
      </c>
      <c r="B5818" s="35">
        <v>1.9258920907714701</v>
      </c>
    </row>
    <row r="5819" spans="1:2" ht="13.2" x14ac:dyDescent="0.25">
      <c r="A5819" s="34" t="s">
        <v>6387</v>
      </c>
      <c r="B5819" s="35">
        <v>1.9551967380019</v>
      </c>
    </row>
    <row r="5820" spans="1:2" ht="13.2" x14ac:dyDescent="0.25">
      <c r="A5820" s="34" t="s">
        <v>6386</v>
      </c>
      <c r="B5820" s="35">
        <v>1.7770125831688199</v>
      </c>
    </row>
    <row r="5821" spans="1:2" ht="13.2" x14ac:dyDescent="0.25">
      <c r="A5821" s="34" t="s">
        <v>6385</v>
      </c>
    </row>
    <row r="5822" spans="1:2" ht="13.2" x14ac:dyDescent="0.25">
      <c r="A5822" s="34" t="s">
        <v>6384</v>
      </c>
    </row>
    <row r="5823" spans="1:2" ht="13.2" x14ac:dyDescent="0.25">
      <c r="A5823" s="34" t="s">
        <v>6383</v>
      </c>
    </row>
    <row r="5824" spans="1:2" ht="13.2" x14ac:dyDescent="0.25">
      <c r="A5824" s="34" t="s">
        <v>6382</v>
      </c>
      <c r="B5824" s="35">
        <v>2.16361940422451</v>
      </c>
    </row>
    <row r="5825" spans="1:2" ht="13.2" x14ac:dyDescent="0.25">
      <c r="A5825" s="34" t="s">
        <v>6381</v>
      </c>
      <c r="B5825" s="35">
        <v>2.1363068618222298</v>
      </c>
    </row>
    <row r="5826" spans="1:2" ht="13.2" x14ac:dyDescent="0.25">
      <c r="A5826" s="34" t="s">
        <v>6380</v>
      </c>
      <c r="B5826" s="35">
        <v>2.0149379030894701</v>
      </c>
    </row>
    <row r="5827" spans="1:2" ht="13.2" x14ac:dyDescent="0.25">
      <c r="A5827" s="34" t="s">
        <v>6379</v>
      </c>
      <c r="B5827" s="35">
        <v>2.1550277458157301</v>
      </c>
    </row>
    <row r="5828" spans="1:2" ht="13.2" x14ac:dyDescent="0.25">
      <c r="A5828" s="34" t="s">
        <v>6378</v>
      </c>
      <c r="B5828" s="35">
        <v>2.1853743334789901</v>
      </c>
    </row>
    <row r="5829" spans="1:2" ht="13.2" x14ac:dyDescent="0.25">
      <c r="A5829" s="34" t="s">
        <v>6377</v>
      </c>
    </row>
    <row r="5830" spans="1:2" ht="13.2" x14ac:dyDescent="0.25">
      <c r="A5830" s="34" t="s">
        <v>6376</v>
      </c>
    </row>
    <row r="5831" spans="1:2" ht="13.2" x14ac:dyDescent="0.25">
      <c r="A5831" s="34" t="s">
        <v>6375</v>
      </c>
      <c r="B5831" s="35">
        <v>2.18687570618164</v>
      </c>
    </row>
    <row r="5832" spans="1:2" ht="13.2" x14ac:dyDescent="0.25">
      <c r="A5832" s="34" t="s">
        <v>6374</v>
      </c>
      <c r="B5832" s="35">
        <v>2.2298375164587898</v>
      </c>
    </row>
    <row r="5833" spans="1:2" ht="13.2" x14ac:dyDescent="0.25">
      <c r="A5833" s="34" t="s">
        <v>6373</v>
      </c>
      <c r="B5833" s="35">
        <v>2.3164557211137602</v>
      </c>
    </row>
    <row r="5834" spans="1:2" ht="13.2" x14ac:dyDescent="0.25">
      <c r="A5834" s="34" t="s">
        <v>6372</v>
      </c>
      <c r="B5834" s="35">
        <v>2.3281296193676702</v>
      </c>
    </row>
    <row r="5835" spans="1:2" ht="13.2" x14ac:dyDescent="0.25">
      <c r="A5835" s="34" t="s">
        <v>6371</v>
      </c>
      <c r="B5835" s="35">
        <v>2.3169416586321998</v>
      </c>
    </row>
    <row r="5836" spans="1:2" ht="13.2" x14ac:dyDescent="0.25">
      <c r="A5836" s="34" t="s">
        <v>6370</v>
      </c>
    </row>
    <row r="5837" spans="1:2" ht="13.2" x14ac:dyDescent="0.25">
      <c r="A5837" s="34" t="s">
        <v>6369</v>
      </c>
    </row>
    <row r="5838" spans="1:2" ht="13.2" x14ac:dyDescent="0.25">
      <c r="A5838" s="34" t="s">
        <v>6368</v>
      </c>
      <c r="B5838" s="35">
        <v>2.5110568935876798</v>
      </c>
    </row>
    <row r="5839" spans="1:2" ht="13.2" x14ac:dyDescent="0.25">
      <c r="A5839" s="34" t="s">
        <v>6367</v>
      </c>
      <c r="B5839" s="35">
        <v>2.5056351768876</v>
      </c>
    </row>
    <row r="5840" spans="1:2" ht="13.2" x14ac:dyDescent="0.25">
      <c r="A5840" s="34" t="s">
        <v>6366</v>
      </c>
      <c r="B5840" s="35">
        <v>2.49955093806788</v>
      </c>
    </row>
    <row r="5841" spans="1:2" ht="13.2" x14ac:dyDescent="0.25">
      <c r="A5841" s="34" t="s">
        <v>6365</v>
      </c>
      <c r="B5841" s="35">
        <v>2.4547392217678099</v>
      </c>
    </row>
    <row r="5842" spans="1:2" ht="13.2" x14ac:dyDescent="0.25">
      <c r="A5842" s="34" t="s">
        <v>6364</v>
      </c>
      <c r="B5842" s="35">
        <v>2.4542017537026899</v>
      </c>
    </row>
    <row r="5843" spans="1:2" ht="13.2" x14ac:dyDescent="0.25">
      <c r="A5843" s="34" t="s">
        <v>6363</v>
      </c>
    </row>
    <row r="5844" spans="1:2" ht="13.2" x14ac:dyDescent="0.25">
      <c r="A5844" s="34" t="s">
        <v>6362</v>
      </c>
    </row>
    <row r="5845" spans="1:2" ht="13.2" x14ac:dyDescent="0.25">
      <c r="A5845" s="34" t="s">
        <v>6361</v>
      </c>
      <c r="B5845" s="35">
        <v>2.4317296557673198</v>
      </c>
    </row>
    <row r="5846" spans="1:2" ht="13.2" x14ac:dyDescent="0.25">
      <c r="A5846" s="34" t="s">
        <v>6360</v>
      </c>
      <c r="B5846" s="35">
        <v>2.4285021607866399</v>
      </c>
    </row>
    <row r="5847" spans="1:2" ht="13.2" x14ac:dyDescent="0.25">
      <c r="A5847" s="34" t="s">
        <v>6359</v>
      </c>
      <c r="B5847" s="35">
        <v>2.3624857154054801</v>
      </c>
    </row>
    <row r="5848" spans="1:2" ht="13.2" x14ac:dyDescent="0.25">
      <c r="A5848" s="34" t="s">
        <v>6358</v>
      </c>
      <c r="B5848" s="35">
        <v>2.3901612050074799</v>
      </c>
    </row>
    <row r="5849" spans="1:2" ht="13.2" x14ac:dyDescent="0.25">
      <c r="A5849" s="34" t="s">
        <v>6357</v>
      </c>
      <c r="B5849" s="35">
        <v>2.3308382163399601</v>
      </c>
    </row>
    <row r="5850" spans="1:2" ht="13.2" x14ac:dyDescent="0.25">
      <c r="A5850" s="34" t="s">
        <v>6356</v>
      </c>
    </row>
    <row r="5851" spans="1:2" ht="13.2" x14ac:dyDescent="0.25">
      <c r="A5851" s="34" t="s">
        <v>6355</v>
      </c>
    </row>
    <row r="5852" spans="1:2" ht="13.2" x14ac:dyDescent="0.25">
      <c r="A5852" s="34" t="s">
        <v>6354</v>
      </c>
      <c r="B5852" s="35">
        <v>2.3617481202399202</v>
      </c>
    </row>
    <row r="5853" spans="1:2" ht="13.2" x14ac:dyDescent="0.25">
      <c r="A5853" s="34" t="s">
        <v>6353</v>
      </c>
      <c r="B5853" s="35">
        <v>1.9869582080474599</v>
      </c>
    </row>
    <row r="5854" spans="1:2" ht="13.2" x14ac:dyDescent="0.25">
      <c r="A5854" s="34" t="s">
        <v>6352</v>
      </c>
      <c r="B5854" s="35">
        <v>2.1632438868911299</v>
      </c>
    </row>
    <row r="5855" spans="1:2" ht="13.2" x14ac:dyDescent="0.25">
      <c r="A5855" s="34" t="s">
        <v>6351</v>
      </c>
      <c r="B5855" s="35">
        <v>2.2075091257202901</v>
      </c>
    </row>
    <row r="5856" spans="1:2" ht="13.2" x14ac:dyDescent="0.25">
      <c r="A5856" s="34" t="s">
        <v>6350</v>
      </c>
      <c r="B5856" s="35">
        <v>2.1000823704126299</v>
      </c>
    </row>
    <row r="5857" spans="1:2" ht="13.2" x14ac:dyDescent="0.25">
      <c r="A5857" s="34" t="s">
        <v>6349</v>
      </c>
    </row>
    <row r="5858" spans="1:2" ht="13.2" x14ac:dyDescent="0.25">
      <c r="A5858" s="34" t="s">
        <v>6348</v>
      </c>
    </row>
    <row r="5859" spans="1:2" ht="13.2" x14ac:dyDescent="0.25">
      <c r="A5859" s="34" t="s">
        <v>6347</v>
      </c>
      <c r="B5859" s="35">
        <v>2.0322440354903799</v>
      </c>
    </row>
    <row r="5860" spans="1:2" ht="13.2" x14ac:dyDescent="0.25">
      <c r="A5860" s="34" t="s">
        <v>6346</v>
      </c>
      <c r="B5860" s="35">
        <v>2.0339381483857801</v>
      </c>
    </row>
    <row r="5861" spans="1:2" ht="13.2" x14ac:dyDescent="0.25">
      <c r="A5861" s="34" t="s">
        <v>6345</v>
      </c>
      <c r="B5861" s="35">
        <v>2.0058501624632599</v>
      </c>
    </row>
    <row r="5862" spans="1:2" ht="13.2" x14ac:dyDescent="0.25">
      <c r="A5862" s="34" t="s">
        <v>6344</v>
      </c>
    </row>
    <row r="5863" spans="1:2" ht="13.2" x14ac:dyDescent="0.25">
      <c r="A5863" s="34" t="s">
        <v>6343</v>
      </c>
      <c r="B5863" s="35">
        <v>1.82775201738069</v>
      </c>
    </row>
    <row r="5864" spans="1:2" ht="13.2" x14ac:dyDescent="0.25">
      <c r="A5864" s="34" t="s">
        <v>6342</v>
      </c>
    </row>
    <row r="5865" spans="1:2" ht="13.2" x14ac:dyDescent="0.25">
      <c r="A5865" s="34" t="s">
        <v>6341</v>
      </c>
    </row>
    <row r="5866" spans="1:2" ht="13.2" x14ac:dyDescent="0.25">
      <c r="A5866" s="34" t="s">
        <v>6340</v>
      </c>
      <c r="B5866" s="35">
        <v>1.9468978564477499</v>
      </c>
    </row>
    <row r="5867" spans="1:2" ht="13.2" x14ac:dyDescent="0.25">
      <c r="A5867" s="34" t="s">
        <v>6339</v>
      </c>
      <c r="B5867" s="35">
        <v>1.9736747815876801</v>
      </c>
    </row>
    <row r="5868" spans="1:2" ht="13.2" x14ac:dyDescent="0.25">
      <c r="A5868" s="34" t="s">
        <v>6338</v>
      </c>
      <c r="B5868" s="35">
        <v>1.6580056247984101</v>
      </c>
    </row>
    <row r="5869" spans="1:2" ht="13.2" x14ac:dyDescent="0.25">
      <c r="A5869" s="34" t="s">
        <v>6337</v>
      </c>
      <c r="B5869" s="35">
        <v>1.6583581384117201</v>
      </c>
    </row>
    <row r="5870" spans="1:2" ht="13.2" x14ac:dyDescent="0.25">
      <c r="A5870" s="34" t="s">
        <v>6336</v>
      </c>
      <c r="B5870" s="35">
        <v>1.67099828398464</v>
      </c>
    </row>
    <row r="5871" spans="1:2" ht="13.2" x14ac:dyDescent="0.25">
      <c r="A5871" s="34" t="s">
        <v>6335</v>
      </c>
    </row>
    <row r="5872" spans="1:2" ht="13.2" x14ac:dyDescent="0.25">
      <c r="A5872" s="34" t="s">
        <v>6334</v>
      </c>
    </row>
    <row r="5873" spans="1:2" ht="13.2" x14ac:dyDescent="0.25">
      <c r="A5873" s="34" t="s">
        <v>6333</v>
      </c>
      <c r="B5873" s="35">
        <v>1.7949883386227099</v>
      </c>
    </row>
    <row r="5874" spans="1:2" ht="13.2" x14ac:dyDescent="0.25">
      <c r="A5874" s="34" t="s">
        <v>6332</v>
      </c>
      <c r="B5874" s="35">
        <v>1.7874393571782401</v>
      </c>
    </row>
    <row r="5875" spans="1:2" ht="13.2" x14ac:dyDescent="0.25">
      <c r="A5875" s="34" t="s">
        <v>6331</v>
      </c>
      <c r="B5875" s="35">
        <v>1.7832767015848401</v>
      </c>
    </row>
    <row r="5876" spans="1:2" ht="13.2" x14ac:dyDescent="0.25">
      <c r="A5876" s="34" t="s">
        <v>6330</v>
      </c>
      <c r="B5876" s="35">
        <v>1.9119892078273799</v>
      </c>
    </row>
    <row r="5877" spans="1:2" ht="13.2" x14ac:dyDescent="0.25">
      <c r="A5877" s="34" t="s">
        <v>6329</v>
      </c>
      <c r="B5877" s="35">
        <v>1.91194288110091</v>
      </c>
    </row>
    <row r="5878" spans="1:2" ht="13.2" x14ac:dyDescent="0.25">
      <c r="A5878" s="34" t="s">
        <v>6328</v>
      </c>
    </row>
    <row r="5879" spans="1:2" ht="13.2" x14ac:dyDescent="0.25">
      <c r="A5879" s="34" t="s">
        <v>6327</v>
      </c>
    </row>
    <row r="5880" spans="1:2" ht="13.2" x14ac:dyDescent="0.25">
      <c r="A5880" s="34" t="s">
        <v>6326</v>
      </c>
      <c r="B5880" s="35">
        <v>1.85596307623546</v>
      </c>
    </row>
    <row r="5881" spans="1:2" ht="13.2" x14ac:dyDescent="0.25">
      <c r="A5881" s="34" t="s">
        <v>6325</v>
      </c>
      <c r="B5881" s="35">
        <v>1.87230681963373</v>
      </c>
    </row>
    <row r="5882" spans="1:2" ht="13.2" x14ac:dyDescent="0.25">
      <c r="A5882" s="34" t="s">
        <v>6324</v>
      </c>
      <c r="B5882" s="35">
        <v>1.78137862841329</v>
      </c>
    </row>
    <row r="5883" spans="1:2" ht="13.2" x14ac:dyDescent="0.25">
      <c r="A5883" s="34" t="s">
        <v>6323</v>
      </c>
      <c r="B5883" s="35">
        <v>1.78361442291746</v>
      </c>
    </row>
    <row r="5884" spans="1:2" ht="13.2" x14ac:dyDescent="0.25">
      <c r="A5884" s="34" t="s">
        <v>6322</v>
      </c>
      <c r="B5884" s="35">
        <v>1.61149467346856</v>
      </c>
    </row>
    <row r="5885" spans="1:2" ht="13.2" x14ac:dyDescent="0.25">
      <c r="A5885" s="34" t="s">
        <v>6321</v>
      </c>
    </row>
    <row r="5886" spans="1:2" ht="13.2" x14ac:dyDescent="0.25">
      <c r="A5886" s="34" t="s">
        <v>6320</v>
      </c>
    </row>
    <row r="5887" spans="1:2" ht="13.2" x14ac:dyDescent="0.25">
      <c r="A5887" s="34" t="s">
        <v>6319</v>
      </c>
      <c r="B5887" s="35">
        <v>1.4887439593729701</v>
      </c>
    </row>
    <row r="5888" spans="1:2" ht="13.2" x14ac:dyDescent="0.25">
      <c r="A5888" s="34" t="s">
        <v>6318</v>
      </c>
      <c r="B5888" s="35">
        <v>1.5555382019046999</v>
      </c>
    </row>
    <row r="5889" spans="1:2" ht="13.2" x14ac:dyDescent="0.25">
      <c r="A5889" s="34" t="s">
        <v>6317</v>
      </c>
      <c r="B5889" s="35">
        <v>1.5421969500997701</v>
      </c>
    </row>
    <row r="5890" spans="1:2" ht="13.2" x14ac:dyDescent="0.25">
      <c r="A5890" s="34" t="s">
        <v>6316</v>
      </c>
    </row>
    <row r="5891" spans="1:2" ht="13.2" x14ac:dyDescent="0.25">
      <c r="A5891" s="34" t="s">
        <v>6315</v>
      </c>
      <c r="B5891" s="35">
        <v>1.54188966615153</v>
      </c>
    </row>
    <row r="5892" spans="1:2" ht="13.2" x14ac:dyDescent="0.25">
      <c r="A5892" s="34" t="s">
        <v>6314</v>
      </c>
    </row>
    <row r="5893" spans="1:2" ht="13.2" x14ac:dyDescent="0.25">
      <c r="A5893" s="34" t="s">
        <v>6313</v>
      </c>
    </row>
    <row r="5894" spans="1:2" ht="13.2" x14ac:dyDescent="0.25">
      <c r="A5894" s="34" t="s">
        <v>6312</v>
      </c>
      <c r="B5894" s="35">
        <v>1.5315343410951501</v>
      </c>
    </row>
    <row r="5895" spans="1:2" ht="13.2" x14ac:dyDescent="0.25">
      <c r="A5895" s="34" t="s">
        <v>6311</v>
      </c>
      <c r="B5895" s="35">
        <v>1.52460653772719</v>
      </c>
    </row>
    <row r="5896" spans="1:2" ht="13.2" x14ac:dyDescent="0.25">
      <c r="A5896" s="34" t="s">
        <v>6310</v>
      </c>
      <c r="B5896" s="35">
        <v>1.80943237477562</v>
      </c>
    </row>
    <row r="5897" spans="1:2" ht="13.2" x14ac:dyDescent="0.25">
      <c r="A5897" s="34" t="s">
        <v>6309</v>
      </c>
      <c r="B5897" s="35">
        <v>1.79390617256122</v>
      </c>
    </row>
    <row r="5898" spans="1:2" ht="13.2" x14ac:dyDescent="0.25">
      <c r="A5898" s="34" t="s">
        <v>6308</v>
      </c>
      <c r="B5898" s="35">
        <v>1.79240054171661</v>
      </c>
    </row>
    <row r="5899" spans="1:2" ht="13.2" x14ac:dyDescent="0.25">
      <c r="A5899" s="34" t="s">
        <v>6307</v>
      </c>
    </row>
    <row r="5900" spans="1:2" ht="13.2" x14ac:dyDescent="0.25">
      <c r="A5900" s="34" t="s">
        <v>6306</v>
      </c>
    </row>
    <row r="5901" spans="1:2" ht="13.2" x14ac:dyDescent="0.25">
      <c r="A5901" s="34" t="s">
        <v>6305</v>
      </c>
      <c r="B5901" s="35">
        <v>1.8399566410141901</v>
      </c>
    </row>
    <row r="5902" spans="1:2" ht="13.2" x14ac:dyDescent="0.25">
      <c r="A5902" s="34" t="s">
        <v>6304</v>
      </c>
      <c r="B5902" s="35">
        <v>1.83265713472666</v>
      </c>
    </row>
    <row r="5903" spans="1:2" ht="13.2" x14ac:dyDescent="0.25">
      <c r="A5903" s="34" t="s">
        <v>6303</v>
      </c>
      <c r="B5903" s="35">
        <v>1.6072247053500099</v>
      </c>
    </row>
    <row r="5904" spans="1:2" ht="13.2" x14ac:dyDescent="0.25">
      <c r="A5904" s="34" t="s">
        <v>6302</v>
      </c>
      <c r="B5904" s="35">
        <v>1.6569525548852999</v>
      </c>
    </row>
    <row r="5905" spans="1:2" ht="13.2" x14ac:dyDescent="0.25">
      <c r="A5905" s="34" t="s">
        <v>6301</v>
      </c>
      <c r="B5905" s="35">
        <v>1.6494061359152701</v>
      </c>
    </row>
    <row r="5906" spans="1:2" ht="13.2" x14ac:dyDescent="0.25">
      <c r="A5906" s="34" t="s">
        <v>6300</v>
      </c>
    </row>
    <row r="5907" spans="1:2" ht="13.2" x14ac:dyDescent="0.25">
      <c r="A5907" s="34" t="s">
        <v>6299</v>
      </c>
    </row>
    <row r="5908" spans="1:2" ht="13.2" x14ac:dyDescent="0.25">
      <c r="A5908" s="34" t="s">
        <v>6298</v>
      </c>
      <c r="B5908" s="35">
        <v>1.47707581520533</v>
      </c>
    </row>
    <row r="5909" spans="1:2" ht="13.2" x14ac:dyDescent="0.25">
      <c r="A5909" s="34" t="s">
        <v>6297</v>
      </c>
      <c r="B5909" s="35">
        <v>1.4781372683020599</v>
      </c>
    </row>
    <row r="5910" spans="1:2" ht="13.2" x14ac:dyDescent="0.25">
      <c r="A5910" s="34" t="s">
        <v>6296</v>
      </c>
      <c r="B5910" s="35">
        <v>1.50083135907504</v>
      </c>
    </row>
    <row r="5911" spans="1:2" ht="13.2" x14ac:dyDescent="0.25">
      <c r="A5911" s="34" t="s">
        <v>6295</v>
      </c>
      <c r="B5911" s="35">
        <v>1.48559328788941</v>
      </c>
    </row>
    <row r="5912" spans="1:2" ht="13.2" x14ac:dyDescent="0.25">
      <c r="A5912" s="34" t="s">
        <v>6294</v>
      </c>
      <c r="B5912" s="35">
        <v>1.48635429704787</v>
      </c>
    </row>
    <row r="5913" spans="1:2" ht="13.2" x14ac:dyDescent="0.25">
      <c r="A5913" s="34" t="s">
        <v>6293</v>
      </c>
    </row>
    <row r="5914" spans="1:2" ht="13.2" x14ac:dyDescent="0.25">
      <c r="A5914" s="34" t="s">
        <v>6292</v>
      </c>
    </row>
    <row r="5915" spans="1:2" ht="13.2" x14ac:dyDescent="0.25">
      <c r="A5915" s="34" t="s">
        <v>6291</v>
      </c>
      <c r="B5915" s="35">
        <v>1.5123151448158101</v>
      </c>
    </row>
    <row r="5916" spans="1:2" ht="13.2" x14ac:dyDescent="0.25">
      <c r="A5916" s="34" t="s">
        <v>6290</v>
      </c>
      <c r="B5916" s="35">
        <v>1.50819987762784</v>
      </c>
    </row>
    <row r="5917" spans="1:2" ht="13.2" x14ac:dyDescent="0.25">
      <c r="A5917" s="34" t="s">
        <v>6289</v>
      </c>
      <c r="B5917" s="35">
        <v>1.4882835157560099</v>
      </c>
    </row>
    <row r="5918" spans="1:2" ht="13.2" x14ac:dyDescent="0.25">
      <c r="A5918" s="34" t="s">
        <v>6288</v>
      </c>
      <c r="B5918" s="35">
        <v>1.3933689879986799</v>
      </c>
    </row>
    <row r="5919" spans="1:2" ht="13.2" x14ac:dyDescent="0.25">
      <c r="A5919" s="34" t="s">
        <v>6287</v>
      </c>
      <c r="B5919" s="35">
        <v>1.37157751465943</v>
      </c>
    </row>
    <row r="5920" spans="1:2" ht="13.2" x14ac:dyDescent="0.25">
      <c r="A5920" s="34" t="s">
        <v>6286</v>
      </c>
    </row>
    <row r="5921" spans="1:2" ht="13.2" x14ac:dyDescent="0.25">
      <c r="A5921" s="34" t="s">
        <v>6285</v>
      </c>
    </row>
    <row r="5922" spans="1:2" ht="13.2" x14ac:dyDescent="0.25">
      <c r="A5922" s="34" t="s">
        <v>6284</v>
      </c>
      <c r="B5922" s="35">
        <v>1.3663428634844601</v>
      </c>
    </row>
    <row r="5923" spans="1:2" ht="13.2" x14ac:dyDescent="0.25">
      <c r="A5923" s="34" t="s">
        <v>6283</v>
      </c>
      <c r="B5923" s="35">
        <v>1.4711351369105301</v>
      </c>
    </row>
    <row r="5924" spans="1:2" ht="13.2" x14ac:dyDescent="0.25">
      <c r="A5924" s="34" t="s">
        <v>6282</v>
      </c>
      <c r="B5924" s="35">
        <v>1.4543987150395701</v>
      </c>
    </row>
    <row r="5925" spans="1:2" ht="13.2" x14ac:dyDescent="0.25">
      <c r="A5925" s="34" t="s">
        <v>6281</v>
      </c>
      <c r="B5925" s="35">
        <v>1.1041228579882301</v>
      </c>
    </row>
    <row r="5926" spans="1:2" ht="13.2" x14ac:dyDescent="0.25">
      <c r="A5926" s="34" t="s">
        <v>6280</v>
      </c>
      <c r="B5926" s="35">
        <v>1.12306146634952</v>
      </c>
    </row>
    <row r="5927" spans="1:2" ht="13.2" x14ac:dyDescent="0.25">
      <c r="A5927" s="34" t="s">
        <v>6279</v>
      </c>
    </row>
    <row r="5928" spans="1:2" ht="13.2" x14ac:dyDescent="0.25">
      <c r="A5928" s="34" t="s">
        <v>6278</v>
      </c>
    </row>
    <row r="5929" spans="1:2" ht="13.2" x14ac:dyDescent="0.25">
      <c r="A5929" s="34" t="s">
        <v>6277</v>
      </c>
      <c r="B5929" s="35">
        <v>1.2952134505511901</v>
      </c>
    </row>
    <row r="5930" spans="1:2" ht="13.2" x14ac:dyDescent="0.25">
      <c r="A5930" s="34" t="s">
        <v>6276</v>
      </c>
      <c r="B5930" s="35">
        <v>1.2407203849992099</v>
      </c>
    </row>
    <row r="5931" spans="1:2" ht="13.2" x14ac:dyDescent="0.25">
      <c r="A5931" s="34" t="s">
        <v>6275</v>
      </c>
      <c r="B5931" s="35">
        <v>1.24531430282273</v>
      </c>
    </row>
    <row r="5932" spans="1:2" ht="13.2" x14ac:dyDescent="0.25">
      <c r="A5932" s="34" t="s">
        <v>6274</v>
      </c>
      <c r="B5932" s="35">
        <v>1.2546515688958</v>
      </c>
    </row>
    <row r="5933" spans="1:2" ht="13.2" x14ac:dyDescent="0.25">
      <c r="A5933" s="34" t="s">
        <v>6273</v>
      </c>
      <c r="B5933" s="35">
        <v>1.2150235241530201</v>
      </c>
    </row>
    <row r="5934" spans="1:2" ht="13.2" x14ac:dyDescent="0.25">
      <c r="A5934" s="34" t="s">
        <v>6272</v>
      </c>
    </row>
    <row r="5935" spans="1:2" ht="13.2" x14ac:dyDescent="0.25">
      <c r="A5935" s="34" t="s">
        <v>6271</v>
      </c>
    </row>
    <row r="5936" spans="1:2" ht="13.2" x14ac:dyDescent="0.25">
      <c r="A5936" s="34" t="s">
        <v>6270</v>
      </c>
      <c r="B5936" s="35">
        <v>1.2157427116016499</v>
      </c>
    </row>
    <row r="5937" spans="1:2" ht="13.2" x14ac:dyDescent="0.25">
      <c r="A5937" s="34" t="s">
        <v>6269</v>
      </c>
      <c r="B5937" s="35">
        <v>1.23129828358132</v>
      </c>
    </row>
    <row r="5938" spans="1:2" ht="13.2" x14ac:dyDescent="0.25">
      <c r="A5938" s="34" t="s">
        <v>6268</v>
      </c>
      <c r="B5938" s="35">
        <v>1.23030354027835</v>
      </c>
    </row>
    <row r="5939" spans="1:2" ht="13.2" x14ac:dyDescent="0.25">
      <c r="A5939" s="34" t="s">
        <v>6267</v>
      </c>
      <c r="B5939" s="35">
        <v>1.1758433824261401</v>
      </c>
    </row>
    <row r="5940" spans="1:2" ht="13.2" x14ac:dyDescent="0.25">
      <c r="A5940" s="34" t="s">
        <v>6266</v>
      </c>
      <c r="B5940" s="35">
        <v>1.1535042102506801</v>
      </c>
    </row>
    <row r="5941" spans="1:2" ht="13.2" x14ac:dyDescent="0.25">
      <c r="A5941" s="34" t="s">
        <v>6265</v>
      </c>
    </row>
    <row r="5942" spans="1:2" ht="13.2" x14ac:dyDescent="0.25">
      <c r="A5942" s="34" t="s">
        <v>6264</v>
      </c>
    </row>
    <row r="5943" spans="1:2" ht="13.2" x14ac:dyDescent="0.25">
      <c r="A5943" s="34" t="s">
        <v>6263</v>
      </c>
      <c r="B5943" s="35">
        <v>1.26404535561659</v>
      </c>
    </row>
    <row r="5944" spans="1:2" ht="13.2" x14ac:dyDescent="0.25">
      <c r="A5944" s="34" t="s">
        <v>6262</v>
      </c>
      <c r="B5944" s="35">
        <v>1.2020771781247599</v>
      </c>
    </row>
    <row r="5945" spans="1:2" ht="13.2" x14ac:dyDescent="0.25">
      <c r="A5945" s="34" t="s">
        <v>6261</v>
      </c>
      <c r="B5945" s="35">
        <v>1.2130521069751901</v>
      </c>
    </row>
    <row r="5946" spans="1:2" ht="13.2" x14ac:dyDescent="0.25">
      <c r="A5946" s="34" t="s">
        <v>6260</v>
      </c>
      <c r="B5946" s="35">
        <v>1.21203793934755</v>
      </c>
    </row>
    <row r="5947" spans="1:2" ht="13.2" x14ac:dyDescent="0.25">
      <c r="A5947" s="34" t="s">
        <v>6259</v>
      </c>
      <c r="B5947" s="35">
        <v>1.24298059518157</v>
      </c>
    </row>
    <row r="5948" spans="1:2" ht="13.2" x14ac:dyDescent="0.25">
      <c r="A5948" s="34" t="s">
        <v>6258</v>
      </c>
    </row>
    <row r="5949" spans="1:2" ht="13.2" x14ac:dyDescent="0.25">
      <c r="A5949" s="34" t="s">
        <v>6257</v>
      </c>
    </row>
    <row r="5950" spans="1:2" ht="13.2" x14ac:dyDescent="0.25">
      <c r="A5950" s="34" t="s">
        <v>6256</v>
      </c>
    </row>
    <row r="5951" spans="1:2" ht="13.2" x14ac:dyDescent="0.25">
      <c r="A5951" s="34" t="s">
        <v>6255</v>
      </c>
      <c r="B5951" s="35">
        <v>1.3046858174314799</v>
      </c>
    </row>
    <row r="5952" spans="1:2" ht="13.2" x14ac:dyDescent="0.25">
      <c r="A5952" s="34" t="s">
        <v>6254</v>
      </c>
      <c r="B5952" s="35">
        <v>1.29312051992886</v>
      </c>
    </row>
    <row r="5953" spans="1:2" ht="13.2" x14ac:dyDescent="0.25">
      <c r="A5953" s="34" t="s">
        <v>6253</v>
      </c>
      <c r="B5953" s="35">
        <v>1.22553475165381</v>
      </c>
    </row>
    <row r="5954" spans="1:2" ht="13.2" x14ac:dyDescent="0.25">
      <c r="A5954" s="34" t="s">
        <v>6252</v>
      </c>
      <c r="B5954" s="35">
        <v>1.19631372657541</v>
      </c>
    </row>
    <row r="5955" spans="1:2" ht="13.2" x14ac:dyDescent="0.25">
      <c r="A5955" s="34" t="s">
        <v>6251</v>
      </c>
    </row>
    <row r="5956" spans="1:2" ht="13.2" x14ac:dyDescent="0.25">
      <c r="A5956" s="34" t="s">
        <v>6250</v>
      </c>
    </row>
    <row r="5957" spans="1:2" ht="13.2" x14ac:dyDescent="0.25">
      <c r="A5957" s="34" t="s">
        <v>6249</v>
      </c>
      <c r="B5957" s="35">
        <v>1.1976521634692801</v>
      </c>
    </row>
    <row r="5958" spans="1:2" ht="13.2" x14ac:dyDescent="0.25">
      <c r="A5958" s="34" t="s">
        <v>6248</v>
      </c>
      <c r="B5958" s="35">
        <v>1.1854990186229899</v>
      </c>
    </row>
    <row r="5959" spans="1:2" ht="13.2" x14ac:dyDescent="0.25">
      <c r="A5959" s="34" t="s">
        <v>6247</v>
      </c>
      <c r="B5959" s="35">
        <v>1.0598749918120001</v>
      </c>
    </row>
    <row r="5960" spans="1:2" ht="13.2" x14ac:dyDescent="0.25">
      <c r="A5960" s="34" t="s">
        <v>6246</v>
      </c>
      <c r="B5960" s="35">
        <v>1.0636832105496401</v>
      </c>
    </row>
    <row r="5961" spans="1:2" ht="13.2" x14ac:dyDescent="0.25">
      <c r="A5961" s="34" t="s">
        <v>6245</v>
      </c>
      <c r="B5961" s="35">
        <v>1.06448505504425</v>
      </c>
    </row>
    <row r="5962" spans="1:2" ht="13.2" x14ac:dyDescent="0.25">
      <c r="A5962" s="34" t="s">
        <v>6244</v>
      </c>
    </row>
    <row r="5963" spans="1:2" ht="13.2" x14ac:dyDescent="0.25">
      <c r="A5963" s="34" t="s">
        <v>6243</v>
      </c>
    </row>
    <row r="5964" spans="1:2" ht="13.2" x14ac:dyDescent="0.25">
      <c r="A5964" s="34" t="s">
        <v>6242</v>
      </c>
      <c r="B5964" s="35">
        <v>1.04764158065766</v>
      </c>
    </row>
    <row r="5965" spans="1:2" ht="13.2" x14ac:dyDescent="0.25">
      <c r="A5965" s="34" t="s">
        <v>6241</v>
      </c>
      <c r="B5965" s="35">
        <v>1.01864637910078</v>
      </c>
    </row>
    <row r="5966" spans="1:2" ht="13.2" x14ac:dyDescent="0.25">
      <c r="A5966" s="34" t="s">
        <v>6240</v>
      </c>
      <c r="B5966" s="35">
        <v>1.1024904998111</v>
      </c>
    </row>
    <row r="5967" spans="1:2" ht="13.2" x14ac:dyDescent="0.25">
      <c r="A5967" s="34" t="s">
        <v>6239</v>
      </c>
      <c r="B5967" s="35">
        <v>1.10784608022933</v>
      </c>
    </row>
    <row r="5968" spans="1:2" ht="13.2" x14ac:dyDescent="0.25">
      <c r="A5968" s="34" t="s">
        <v>6238</v>
      </c>
      <c r="B5968" s="35">
        <v>1.1065317605781499</v>
      </c>
    </row>
    <row r="5969" spans="1:2" ht="13.2" x14ac:dyDescent="0.25">
      <c r="A5969" s="34" t="s">
        <v>6237</v>
      </c>
    </row>
    <row r="5970" spans="1:2" ht="13.2" x14ac:dyDescent="0.25">
      <c r="A5970" s="34" t="s">
        <v>6236</v>
      </c>
    </row>
    <row r="5971" spans="1:2" ht="13.2" x14ac:dyDescent="0.25">
      <c r="A5971" s="34" t="s">
        <v>6235</v>
      </c>
      <c r="B5971" s="35">
        <v>1.14306285584891</v>
      </c>
    </row>
    <row r="5972" spans="1:2" ht="13.2" x14ac:dyDescent="0.25">
      <c r="A5972" s="34" t="s">
        <v>6234</v>
      </c>
      <c r="B5972" s="35">
        <v>1.1450620100314199</v>
      </c>
    </row>
    <row r="5973" spans="1:2" ht="13.2" x14ac:dyDescent="0.25">
      <c r="A5973" s="34" t="s">
        <v>6233</v>
      </c>
      <c r="B5973" s="35">
        <v>1.0037083404598199</v>
      </c>
    </row>
    <row r="5974" spans="1:2" ht="13.2" x14ac:dyDescent="0.25">
      <c r="A5974" s="34" t="s">
        <v>6232</v>
      </c>
      <c r="B5974" s="35">
        <v>1.05225447364848</v>
      </c>
    </row>
    <row r="5975" spans="1:2" ht="13.2" x14ac:dyDescent="0.25">
      <c r="A5975" s="34" t="s">
        <v>6231</v>
      </c>
      <c r="B5975" s="35">
        <v>1.03112413763642</v>
      </c>
    </row>
    <row r="5976" spans="1:2" ht="13.2" x14ac:dyDescent="0.25">
      <c r="A5976" s="34" t="s">
        <v>6230</v>
      </c>
    </row>
    <row r="5977" spans="1:2" ht="13.2" x14ac:dyDescent="0.25">
      <c r="A5977" s="34" t="s">
        <v>6229</v>
      </c>
    </row>
    <row r="5978" spans="1:2" ht="13.2" x14ac:dyDescent="0.25">
      <c r="A5978" s="34" t="s">
        <v>6228</v>
      </c>
      <c r="B5978" s="35">
        <v>1.07959967033684</v>
      </c>
    </row>
    <row r="5979" spans="1:2" ht="13.2" x14ac:dyDescent="0.25">
      <c r="A5979" s="34" t="s">
        <v>6227</v>
      </c>
      <c r="B5979" s="35">
        <v>1.0472818700988999</v>
      </c>
    </row>
    <row r="5980" spans="1:2" ht="13.2" x14ac:dyDescent="0.25">
      <c r="A5980" s="34" t="s">
        <v>6226</v>
      </c>
      <c r="B5980" s="35">
        <v>0.98422145547308904</v>
      </c>
    </row>
    <row r="5981" spans="1:2" ht="13.2" x14ac:dyDescent="0.25">
      <c r="A5981" s="34" t="s">
        <v>6225</v>
      </c>
      <c r="B5981" s="35">
        <v>1.02740368169487</v>
      </c>
    </row>
    <row r="5982" spans="1:2" ht="13.2" x14ac:dyDescent="0.25">
      <c r="A5982" s="34" t="s">
        <v>6224</v>
      </c>
      <c r="B5982" s="35">
        <v>1.0177150753887401</v>
      </c>
    </row>
    <row r="5983" spans="1:2" ht="13.2" x14ac:dyDescent="0.25">
      <c r="A5983" s="34" t="s">
        <v>6223</v>
      </c>
    </row>
    <row r="5984" spans="1:2" ht="13.2" x14ac:dyDescent="0.25">
      <c r="A5984" s="34" t="s">
        <v>6222</v>
      </c>
    </row>
    <row r="5985" spans="1:2" ht="13.2" x14ac:dyDescent="0.25">
      <c r="A5985" s="34" t="s">
        <v>6221</v>
      </c>
    </row>
    <row r="5986" spans="1:2" ht="13.2" x14ac:dyDescent="0.25">
      <c r="A5986" s="34" t="s">
        <v>6220</v>
      </c>
      <c r="B5986" s="35">
        <v>1.00853091715814</v>
      </c>
    </row>
    <row r="5987" spans="1:2" ht="13.2" x14ac:dyDescent="0.25">
      <c r="A5987" s="34" t="s">
        <v>6219</v>
      </c>
      <c r="B5987" s="35">
        <v>1.08786720367957</v>
      </c>
    </row>
    <row r="5988" spans="1:2" ht="13.2" x14ac:dyDescent="0.25">
      <c r="A5988" s="34" t="s">
        <v>6218</v>
      </c>
      <c r="B5988" s="35">
        <v>1.08846036016533</v>
      </c>
    </row>
    <row r="5989" spans="1:2" ht="13.2" x14ac:dyDescent="0.25">
      <c r="A5989" s="34" t="s">
        <v>6217</v>
      </c>
      <c r="B5989" s="35">
        <v>1.0785195508490899</v>
      </c>
    </row>
    <row r="5990" spans="1:2" ht="13.2" x14ac:dyDescent="0.25">
      <c r="A5990" s="34" t="s">
        <v>6216</v>
      </c>
    </row>
    <row r="5991" spans="1:2" ht="13.2" x14ac:dyDescent="0.25">
      <c r="A5991" s="34" t="s">
        <v>6215</v>
      </c>
    </row>
    <row r="5992" spans="1:2" ht="13.2" x14ac:dyDescent="0.25">
      <c r="A5992" s="34" t="s">
        <v>6214</v>
      </c>
      <c r="B5992" s="35">
        <v>1.0916168136808</v>
      </c>
    </row>
    <row r="5993" spans="1:2" ht="13.2" x14ac:dyDescent="0.25">
      <c r="A5993" s="34" t="s">
        <v>6213</v>
      </c>
      <c r="B5993" s="35">
        <v>1.3227046175224699</v>
      </c>
    </row>
    <row r="5994" spans="1:2" ht="13.2" x14ac:dyDescent="0.25">
      <c r="A5994" s="34" t="s">
        <v>6212</v>
      </c>
      <c r="B5994" s="35">
        <v>1.3227754171430199</v>
      </c>
    </row>
    <row r="5995" spans="1:2" ht="13.2" x14ac:dyDescent="0.25">
      <c r="A5995" s="34" t="s">
        <v>6211</v>
      </c>
      <c r="B5995" s="35">
        <v>1.3242290290985399</v>
      </c>
    </row>
    <row r="5996" spans="1:2" ht="13.2" x14ac:dyDescent="0.25">
      <c r="A5996" s="34" t="s">
        <v>6210</v>
      </c>
      <c r="B5996" s="35">
        <v>1.32465935442313</v>
      </c>
    </row>
    <row r="5997" spans="1:2" ht="13.2" x14ac:dyDescent="0.25">
      <c r="A5997" s="34" t="s">
        <v>6209</v>
      </c>
    </row>
    <row r="5998" spans="1:2" ht="13.2" x14ac:dyDescent="0.25">
      <c r="A5998" s="34" t="s">
        <v>6208</v>
      </c>
    </row>
    <row r="5999" spans="1:2" ht="13.2" x14ac:dyDescent="0.25">
      <c r="A5999" s="34" t="s">
        <v>6207</v>
      </c>
      <c r="B5999" s="35">
        <v>1.3031370234894599</v>
      </c>
    </row>
    <row r="6000" spans="1:2" ht="13.2" x14ac:dyDescent="0.25">
      <c r="A6000" s="34" t="s">
        <v>6206</v>
      </c>
      <c r="B6000" s="35">
        <v>1.4970365037045901</v>
      </c>
    </row>
    <row r="6001" spans="1:2" ht="13.2" x14ac:dyDescent="0.25">
      <c r="A6001" s="34" t="s">
        <v>6205</v>
      </c>
      <c r="B6001" s="35">
        <v>1.8275923510096601</v>
      </c>
    </row>
    <row r="6002" spans="1:2" ht="13.2" x14ac:dyDescent="0.25">
      <c r="A6002" s="34" t="s">
        <v>6204</v>
      </c>
      <c r="B6002" s="35">
        <v>2.22748503190854</v>
      </c>
    </row>
    <row r="6003" spans="1:2" ht="13.2" x14ac:dyDescent="0.25">
      <c r="A6003" s="34" t="s">
        <v>6203</v>
      </c>
      <c r="B6003" s="35">
        <v>2.3647036618313502</v>
      </c>
    </row>
    <row r="6004" spans="1:2" ht="13.2" x14ac:dyDescent="0.25">
      <c r="A6004" s="34" t="s">
        <v>6202</v>
      </c>
    </row>
    <row r="6005" spans="1:2" ht="13.2" x14ac:dyDescent="0.25">
      <c r="A6005" s="34" t="s">
        <v>6201</v>
      </c>
    </row>
    <row r="6006" spans="1:2" ht="13.2" x14ac:dyDescent="0.25">
      <c r="A6006" s="34" t="s">
        <v>6200</v>
      </c>
    </row>
    <row r="6007" spans="1:2" ht="13.2" x14ac:dyDescent="0.25">
      <c r="A6007" s="34" t="s">
        <v>6199</v>
      </c>
      <c r="B6007" s="35">
        <v>2.3594803422397899</v>
      </c>
    </row>
    <row r="6008" spans="1:2" ht="13.2" x14ac:dyDescent="0.25">
      <c r="A6008" s="34" t="s">
        <v>6198</v>
      </c>
      <c r="B6008" s="35">
        <v>2.38413002893421</v>
      </c>
    </row>
    <row r="6009" spans="1:2" ht="13.2" x14ac:dyDescent="0.25">
      <c r="A6009" s="34" t="s">
        <v>6197</v>
      </c>
      <c r="B6009" s="35">
        <v>2.36753192647519</v>
      </c>
    </row>
    <row r="6010" spans="1:2" ht="13.2" x14ac:dyDescent="0.25">
      <c r="A6010" s="34" t="s">
        <v>6196</v>
      </c>
      <c r="B6010" s="35">
        <v>2.3715975680371799</v>
      </c>
    </row>
    <row r="6011" spans="1:2" ht="13.2" x14ac:dyDescent="0.25">
      <c r="A6011" s="34" t="s">
        <v>6195</v>
      </c>
    </row>
    <row r="6012" spans="1:2" ht="13.2" x14ac:dyDescent="0.25">
      <c r="A6012" s="34" t="s">
        <v>6194</v>
      </c>
    </row>
    <row r="6013" spans="1:2" ht="13.2" x14ac:dyDescent="0.25">
      <c r="A6013" s="34" t="s">
        <v>6193</v>
      </c>
      <c r="B6013" s="35">
        <v>2.43471127058254</v>
      </c>
    </row>
    <row r="6014" spans="1:2" ht="13.2" x14ac:dyDescent="0.25">
      <c r="A6014" s="34" t="s">
        <v>6192</v>
      </c>
      <c r="B6014" s="35">
        <v>2.4099989254385701</v>
      </c>
    </row>
    <row r="6015" spans="1:2" ht="13.2" x14ac:dyDescent="0.25">
      <c r="A6015" s="34" t="s">
        <v>6191</v>
      </c>
      <c r="B6015" s="35">
        <v>2.4090207976951801</v>
      </c>
    </row>
    <row r="6016" spans="1:2" ht="13.2" x14ac:dyDescent="0.25">
      <c r="A6016" s="34" t="s">
        <v>6190</v>
      </c>
      <c r="B6016" s="35">
        <v>2.5007195476834898</v>
      </c>
    </row>
    <row r="6017" spans="1:2" ht="13.2" x14ac:dyDescent="0.25">
      <c r="A6017" s="34" t="s">
        <v>6189</v>
      </c>
      <c r="B6017" s="35">
        <v>2.4614357976882602</v>
      </c>
    </row>
    <row r="6018" spans="1:2" ht="13.2" x14ac:dyDescent="0.25">
      <c r="A6018" s="34" t="s">
        <v>6188</v>
      </c>
    </row>
    <row r="6019" spans="1:2" ht="13.2" x14ac:dyDescent="0.25">
      <c r="A6019" s="34" t="s">
        <v>6187</v>
      </c>
    </row>
    <row r="6020" spans="1:2" ht="13.2" x14ac:dyDescent="0.25">
      <c r="A6020" s="34" t="s">
        <v>6186</v>
      </c>
      <c r="B6020" s="35">
        <v>2.4957465949489501</v>
      </c>
    </row>
    <row r="6021" spans="1:2" ht="13.2" x14ac:dyDescent="0.25">
      <c r="A6021" s="34" t="s">
        <v>6185</v>
      </c>
      <c r="B6021" s="35">
        <v>2.5019859254849202</v>
      </c>
    </row>
    <row r="6022" spans="1:2" ht="13.2" x14ac:dyDescent="0.25">
      <c r="A6022" s="34" t="s">
        <v>6184</v>
      </c>
      <c r="B6022" s="35">
        <v>2.4963943024242101</v>
      </c>
    </row>
    <row r="6023" spans="1:2" ht="13.2" x14ac:dyDescent="0.25">
      <c r="A6023" s="34" t="s">
        <v>6183</v>
      </c>
      <c r="B6023" s="35">
        <v>2.4096224092040401</v>
      </c>
    </row>
    <row r="6024" spans="1:2" ht="13.2" x14ac:dyDescent="0.25">
      <c r="A6024" s="34" t="s">
        <v>6182</v>
      </c>
    </row>
    <row r="6025" spans="1:2" ht="13.2" x14ac:dyDescent="0.25">
      <c r="A6025" s="34" t="s">
        <v>6181</v>
      </c>
    </row>
    <row r="6026" spans="1:2" ht="13.2" x14ac:dyDescent="0.25">
      <c r="A6026" s="34" t="s">
        <v>6180</v>
      </c>
    </row>
    <row r="6027" spans="1:2" ht="13.2" x14ac:dyDescent="0.25">
      <c r="A6027" s="34" t="s">
        <v>6179</v>
      </c>
      <c r="B6027" s="35">
        <v>2.4134658902623101</v>
      </c>
    </row>
    <row r="6028" spans="1:2" ht="13.2" x14ac:dyDescent="0.25">
      <c r="A6028" s="34" t="s">
        <v>6178</v>
      </c>
      <c r="B6028" s="35">
        <v>2.4097582002639499</v>
      </c>
    </row>
    <row r="6029" spans="1:2" ht="13.2" x14ac:dyDescent="0.25">
      <c r="A6029" s="34" t="s">
        <v>6177</v>
      </c>
      <c r="B6029" s="35">
        <v>2.3822743226467802</v>
      </c>
    </row>
    <row r="6030" spans="1:2" ht="13.2" x14ac:dyDescent="0.25">
      <c r="A6030" s="34" t="s">
        <v>6176</v>
      </c>
      <c r="B6030" s="35">
        <v>2.4428716461301301</v>
      </c>
    </row>
    <row r="6031" spans="1:2" ht="13.2" x14ac:dyDescent="0.25">
      <c r="A6031" s="34" t="s">
        <v>6175</v>
      </c>
      <c r="B6031" s="35">
        <v>2.3438058997701701</v>
      </c>
    </row>
    <row r="6032" spans="1:2" ht="13.2" x14ac:dyDescent="0.25">
      <c r="A6032" s="34" t="s">
        <v>6174</v>
      </c>
    </row>
    <row r="6033" spans="1:2" ht="13.2" x14ac:dyDescent="0.25">
      <c r="A6033" s="34" t="s">
        <v>6173</v>
      </c>
    </row>
    <row r="6034" spans="1:2" ht="13.2" x14ac:dyDescent="0.25">
      <c r="A6034" s="34" t="s">
        <v>6172</v>
      </c>
      <c r="B6034" s="35">
        <v>2.0291458001402001</v>
      </c>
    </row>
    <row r="6035" spans="1:2" ht="13.2" x14ac:dyDescent="0.25">
      <c r="A6035" s="34" t="s">
        <v>6171</v>
      </c>
      <c r="B6035" s="35">
        <v>1.6922588949540001</v>
      </c>
    </row>
    <row r="6036" spans="1:2" ht="13.2" x14ac:dyDescent="0.25">
      <c r="A6036" s="34" t="s">
        <v>6170</v>
      </c>
      <c r="B6036" s="35">
        <v>1.4514030125691799</v>
      </c>
    </row>
    <row r="6037" spans="1:2" ht="13.2" x14ac:dyDescent="0.25">
      <c r="A6037" s="34" t="s">
        <v>6169</v>
      </c>
      <c r="B6037" s="35">
        <v>1.43620671989327</v>
      </c>
    </row>
    <row r="6038" spans="1:2" ht="13.2" x14ac:dyDescent="0.25">
      <c r="A6038" s="34" t="s">
        <v>6168</v>
      </c>
      <c r="B6038" s="35">
        <v>1.4212063681448499</v>
      </c>
    </row>
    <row r="6039" spans="1:2" ht="13.2" x14ac:dyDescent="0.25">
      <c r="A6039" s="34" t="s">
        <v>6167</v>
      </c>
    </row>
    <row r="6040" spans="1:2" ht="13.2" x14ac:dyDescent="0.25">
      <c r="A6040" s="34" t="s">
        <v>6166</v>
      </c>
    </row>
    <row r="6041" spans="1:2" ht="13.2" x14ac:dyDescent="0.25">
      <c r="A6041" s="34" t="s">
        <v>6165</v>
      </c>
      <c r="B6041" s="35">
        <v>1.4185346346019101</v>
      </c>
    </row>
    <row r="6042" spans="1:2" ht="13.2" x14ac:dyDescent="0.25">
      <c r="A6042" s="34" t="s">
        <v>6164</v>
      </c>
      <c r="B6042" s="35">
        <v>1.44181098346623</v>
      </c>
    </row>
    <row r="6043" spans="1:2" ht="13.2" x14ac:dyDescent="0.25">
      <c r="A6043" s="34" t="s">
        <v>6163</v>
      </c>
      <c r="B6043" s="35">
        <v>1.3306322713676799</v>
      </c>
    </row>
    <row r="6044" spans="1:2" ht="13.2" x14ac:dyDescent="0.25">
      <c r="A6044" s="34" t="s">
        <v>6162</v>
      </c>
      <c r="B6044" s="35">
        <v>1.34569137251903</v>
      </c>
    </row>
    <row r="6045" spans="1:2" ht="13.2" x14ac:dyDescent="0.25">
      <c r="A6045" s="34" t="s">
        <v>6161</v>
      </c>
      <c r="B6045" s="35">
        <v>1.3522761236762399</v>
      </c>
    </row>
    <row r="6046" spans="1:2" ht="13.2" x14ac:dyDescent="0.25">
      <c r="A6046" s="34" t="s">
        <v>6160</v>
      </c>
    </row>
    <row r="6047" spans="1:2" ht="13.2" x14ac:dyDescent="0.25">
      <c r="A6047" s="34" t="s">
        <v>6159</v>
      </c>
    </row>
    <row r="6048" spans="1:2" ht="13.2" x14ac:dyDescent="0.25">
      <c r="A6048" s="34" t="s">
        <v>6158</v>
      </c>
      <c r="B6048" s="35">
        <v>1.13307518649054</v>
      </c>
    </row>
    <row r="6049" spans="1:2" ht="13.2" x14ac:dyDescent="0.25">
      <c r="A6049" s="34" t="s">
        <v>6157</v>
      </c>
      <c r="B6049" s="35">
        <v>1.1121509042814099</v>
      </c>
    </row>
    <row r="6050" spans="1:2" ht="13.2" x14ac:dyDescent="0.25">
      <c r="A6050" s="34" t="s">
        <v>6156</v>
      </c>
      <c r="B6050" s="35">
        <v>1.0747586851526301</v>
      </c>
    </row>
    <row r="6051" spans="1:2" ht="13.2" x14ac:dyDescent="0.25">
      <c r="A6051" s="34" t="s">
        <v>6155</v>
      </c>
      <c r="B6051" s="35">
        <v>1.1704764294852199</v>
      </c>
    </row>
    <row r="6052" spans="1:2" ht="13.2" x14ac:dyDescent="0.25">
      <c r="A6052" s="34" t="s">
        <v>6154</v>
      </c>
      <c r="B6052" s="35">
        <v>1.13589167755762</v>
      </c>
    </row>
    <row r="6053" spans="1:2" ht="13.2" x14ac:dyDescent="0.25">
      <c r="A6053" s="34" t="s">
        <v>6153</v>
      </c>
    </row>
    <row r="6054" spans="1:2" ht="13.2" x14ac:dyDescent="0.25">
      <c r="A6054" s="34" t="s">
        <v>6152</v>
      </c>
    </row>
    <row r="6055" spans="1:2" ht="13.2" x14ac:dyDescent="0.25">
      <c r="A6055" s="34" t="s">
        <v>6151</v>
      </c>
      <c r="B6055" s="35">
        <v>1.17110296267863</v>
      </c>
    </row>
    <row r="6056" spans="1:2" ht="13.2" x14ac:dyDescent="0.25">
      <c r="A6056" s="34" t="s">
        <v>6150</v>
      </c>
      <c r="B6056" s="35">
        <v>1.2629093323999401</v>
      </c>
    </row>
    <row r="6057" spans="1:2" ht="13.2" x14ac:dyDescent="0.25">
      <c r="A6057" s="34" t="s">
        <v>6149</v>
      </c>
      <c r="B6057" s="35">
        <v>1.2534079821655699</v>
      </c>
    </row>
    <row r="6058" spans="1:2" ht="13.2" x14ac:dyDescent="0.25">
      <c r="A6058" s="34" t="s">
        <v>6148</v>
      </c>
    </row>
    <row r="6059" spans="1:2" ht="13.2" x14ac:dyDescent="0.25">
      <c r="A6059" s="34" t="s">
        <v>6147</v>
      </c>
    </row>
    <row r="6060" spans="1:2" ht="13.2" x14ac:dyDescent="0.25">
      <c r="A6060" s="34" t="s">
        <v>6146</v>
      </c>
    </row>
    <row r="6061" spans="1:2" ht="13.2" x14ac:dyDescent="0.25">
      <c r="A6061" s="34" t="s">
        <v>6145</v>
      </c>
    </row>
    <row r="6062" spans="1:2" ht="13.2" x14ac:dyDescent="0.25">
      <c r="A6062" s="34" t="s">
        <v>6144</v>
      </c>
      <c r="B6062" s="35">
        <v>1.2420631183401001</v>
      </c>
    </row>
    <row r="6063" spans="1:2" ht="13.2" x14ac:dyDescent="0.25">
      <c r="A6063" s="34" t="s">
        <v>6143</v>
      </c>
      <c r="B6063" s="35">
        <v>1.13250030197213</v>
      </c>
    </row>
    <row r="6064" spans="1:2" ht="13.2" x14ac:dyDescent="0.25">
      <c r="A6064" s="34" t="s">
        <v>6142</v>
      </c>
      <c r="B6064" s="35">
        <v>1.1160228616194701</v>
      </c>
    </row>
    <row r="6065" spans="1:2" ht="13.2" x14ac:dyDescent="0.25">
      <c r="A6065" s="34" t="s">
        <v>6141</v>
      </c>
    </row>
    <row r="6066" spans="1:2" ht="13.2" x14ac:dyDescent="0.25">
      <c r="A6066" s="34" t="s">
        <v>6140</v>
      </c>
    </row>
    <row r="6067" spans="1:2" ht="13.2" x14ac:dyDescent="0.25">
      <c r="A6067" s="34" t="s">
        <v>6139</v>
      </c>
    </row>
    <row r="6068" spans="1:2" ht="13.2" x14ac:dyDescent="0.25">
      <c r="A6068" s="34" t="s">
        <v>6138</v>
      </c>
    </row>
    <row r="6069" spans="1:2" ht="13.2" x14ac:dyDescent="0.25">
      <c r="A6069" s="34" t="s">
        <v>6137</v>
      </c>
      <c r="B6069" s="35">
        <v>1.19681055663833</v>
      </c>
    </row>
    <row r="6070" spans="1:2" ht="13.2" x14ac:dyDescent="0.25">
      <c r="A6070" s="34" t="s">
        <v>6136</v>
      </c>
      <c r="B6070" s="35">
        <v>1.10554995173365</v>
      </c>
    </row>
    <row r="6071" spans="1:2" ht="13.2" x14ac:dyDescent="0.25">
      <c r="A6071" s="34" t="s">
        <v>6135</v>
      </c>
      <c r="B6071" s="35">
        <v>1.11268470156957</v>
      </c>
    </row>
    <row r="6072" spans="1:2" ht="13.2" x14ac:dyDescent="0.25">
      <c r="A6072" s="34" t="s">
        <v>6134</v>
      </c>
      <c r="B6072" s="35">
        <v>1.11156482580293</v>
      </c>
    </row>
    <row r="6073" spans="1:2" ht="13.2" x14ac:dyDescent="0.25">
      <c r="A6073" s="34" t="s">
        <v>6133</v>
      </c>
      <c r="B6073" s="35">
        <v>1.0823823228670399</v>
      </c>
    </row>
    <row r="6074" spans="1:2" ht="13.2" x14ac:dyDescent="0.25">
      <c r="A6074" s="34" t="s">
        <v>6132</v>
      </c>
    </row>
    <row r="6075" spans="1:2" ht="13.2" x14ac:dyDescent="0.25">
      <c r="A6075" s="34" t="s">
        <v>6131</v>
      </c>
    </row>
    <row r="6076" spans="1:2" ht="13.2" x14ac:dyDescent="0.25">
      <c r="A6076" s="34" t="s">
        <v>6130</v>
      </c>
      <c r="B6076" s="35">
        <v>1.0500944749491701</v>
      </c>
    </row>
    <row r="6077" spans="1:2" ht="13.2" x14ac:dyDescent="0.25">
      <c r="A6077" s="34" t="s">
        <v>6129</v>
      </c>
      <c r="B6077" s="35">
        <v>1.0198648329782301</v>
      </c>
    </row>
    <row r="6078" spans="1:2" ht="13.2" x14ac:dyDescent="0.25">
      <c r="A6078" s="34" t="s">
        <v>6128</v>
      </c>
      <c r="B6078" s="35">
        <v>1.0201645244541699</v>
      </c>
    </row>
    <row r="6079" spans="1:2" ht="13.2" x14ac:dyDescent="0.25">
      <c r="A6079" s="34" t="s">
        <v>6127</v>
      </c>
      <c r="B6079" s="35">
        <v>1.0212245526338799</v>
      </c>
    </row>
    <row r="6080" spans="1:2" ht="13.2" x14ac:dyDescent="0.25">
      <c r="A6080" s="34" t="s">
        <v>6126</v>
      </c>
      <c r="B6080" s="35">
        <v>1.0430833193673299</v>
      </c>
    </row>
    <row r="6081" spans="1:2" ht="13.2" x14ac:dyDescent="0.25">
      <c r="A6081" s="34" t="s">
        <v>6125</v>
      </c>
    </row>
    <row r="6082" spans="1:2" ht="13.2" x14ac:dyDescent="0.25">
      <c r="A6082" s="34" t="s">
        <v>6124</v>
      </c>
    </row>
    <row r="6083" spans="1:2" ht="13.2" x14ac:dyDescent="0.25">
      <c r="A6083" s="34" t="s">
        <v>6123</v>
      </c>
      <c r="B6083" s="35">
        <v>1.0518622481739699</v>
      </c>
    </row>
    <row r="6084" spans="1:2" ht="13.2" x14ac:dyDescent="0.25">
      <c r="A6084" s="34" t="s">
        <v>6122</v>
      </c>
      <c r="B6084" s="35">
        <v>1.06353889403462</v>
      </c>
    </row>
    <row r="6085" spans="1:2" ht="13.2" x14ac:dyDescent="0.25">
      <c r="A6085" s="34" t="s">
        <v>6121</v>
      </c>
      <c r="B6085" s="35">
        <v>1.17827788915011</v>
      </c>
    </row>
    <row r="6086" spans="1:2" ht="13.2" x14ac:dyDescent="0.25">
      <c r="A6086" s="34" t="s">
        <v>6120</v>
      </c>
      <c r="B6086" s="35">
        <v>1.2391694471519099</v>
      </c>
    </row>
    <row r="6087" spans="1:2" ht="13.2" x14ac:dyDescent="0.25">
      <c r="A6087" s="34" t="s">
        <v>6119</v>
      </c>
      <c r="B6087" s="35">
        <v>1.2365613627093599</v>
      </c>
    </row>
    <row r="6088" spans="1:2" ht="13.2" x14ac:dyDescent="0.25">
      <c r="A6088" s="34" t="s">
        <v>6118</v>
      </c>
    </row>
    <row r="6089" spans="1:2" ht="13.2" x14ac:dyDescent="0.25">
      <c r="A6089" s="34" t="s">
        <v>6117</v>
      </c>
    </row>
    <row r="6090" spans="1:2" ht="13.2" x14ac:dyDescent="0.25">
      <c r="A6090" s="34" t="s">
        <v>6116</v>
      </c>
    </row>
    <row r="6091" spans="1:2" ht="13.2" x14ac:dyDescent="0.25">
      <c r="A6091" s="34" t="s">
        <v>6115</v>
      </c>
      <c r="B6091" s="35">
        <v>1.2247634549403901</v>
      </c>
    </row>
    <row r="6092" spans="1:2" ht="13.2" x14ac:dyDescent="0.25">
      <c r="A6092" s="34" t="s">
        <v>6114</v>
      </c>
      <c r="B6092" s="35">
        <v>1.11554095053754</v>
      </c>
    </row>
    <row r="6093" spans="1:2" ht="13.2" x14ac:dyDescent="0.25">
      <c r="A6093" s="34" t="s">
        <v>6113</v>
      </c>
      <c r="B6093" s="35">
        <v>1.13184534431532</v>
      </c>
    </row>
    <row r="6094" spans="1:2" ht="13.2" x14ac:dyDescent="0.25">
      <c r="A6094" s="34" t="s">
        <v>6112</v>
      </c>
      <c r="B6094" s="35">
        <v>1.1235800002382199</v>
      </c>
    </row>
    <row r="6095" spans="1:2" ht="13.2" x14ac:dyDescent="0.25">
      <c r="A6095" s="34" t="s">
        <v>6111</v>
      </c>
    </row>
    <row r="6096" spans="1:2" ht="13.2" x14ac:dyDescent="0.25">
      <c r="A6096" s="34" t="s">
        <v>6110</v>
      </c>
    </row>
    <row r="6097" spans="1:2" ht="13.2" x14ac:dyDescent="0.25">
      <c r="A6097" s="34" t="s">
        <v>6109</v>
      </c>
      <c r="B6097" s="35">
        <v>1.1919874231824801</v>
      </c>
    </row>
    <row r="6098" spans="1:2" ht="13.2" x14ac:dyDescent="0.25">
      <c r="A6098" s="34" t="s">
        <v>6108</v>
      </c>
      <c r="B6098" s="35">
        <v>1.2065904763912101</v>
      </c>
    </row>
    <row r="6099" spans="1:2" ht="13.2" x14ac:dyDescent="0.25">
      <c r="A6099" s="34" t="s">
        <v>6107</v>
      </c>
      <c r="B6099" s="35">
        <v>1.0964019237450899</v>
      </c>
    </row>
    <row r="6100" spans="1:2" ht="13.2" x14ac:dyDescent="0.25">
      <c r="A6100" s="34" t="s">
        <v>6106</v>
      </c>
      <c r="B6100" s="35">
        <v>1.4851690954685599</v>
      </c>
    </row>
    <row r="6101" spans="1:2" ht="13.2" x14ac:dyDescent="0.25">
      <c r="A6101" s="34" t="s">
        <v>6105</v>
      </c>
      <c r="B6101" s="35">
        <v>1.49105670679004</v>
      </c>
    </row>
    <row r="6102" spans="1:2" ht="13.2" x14ac:dyDescent="0.25">
      <c r="A6102" s="34" t="s">
        <v>6104</v>
      </c>
    </row>
    <row r="6103" spans="1:2" ht="13.2" x14ac:dyDescent="0.25">
      <c r="A6103" s="34" t="s">
        <v>6103</v>
      </c>
    </row>
    <row r="6104" spans="1:2" ht="13.2" x14ac:dyDescent="0.25">
      <c r="A6104" s="34" t="s">
        <v>6102</v>
      </c>
      <c r="B6104" s="35">
        <v>1.51323932905428</v>
      </c>
    </row>
    <row r="6105" spans="1:2" ht="13.2" x14ac:dyDescent="0.25">
      <c r="A6105" s="34" t="s">
        <v>6101</v>
      </c>
      <c r="B6105" s="35">
        <v>1.6461382773551401</v>
      </c>
    </row>
    <row r="6106" spans="1:2" ht="13.2" x14ac:dyDescent="0.25">
      <c r="A6106" s="34" t="s">
        <v>6100</v>
      </c>
      <c r="B6106" s="35">
        <v>1.652415243399</v>
      </c>
    </row>
    <row r="6107" spans="1:2" ht="13.2" x14ac:dyDescent="0.25">
      <c r="A6107" s="34" t="s">
        <v>6099</v>
      </c>
      <c r="B6107" s="35">
        <v>1.70969523637715</v>
      </c>
    </row>
    <row r="6108" spans="1:2" ht="13.2" x14ac:dyDescent="0.25">
      <c r="A6108" s="34" t="s">
        <v>6098</v>
      </c>
      <c r="B6108" s="35">
        <v>1.70195437500652</v>
      </c>
    </row>
    <row r="6109" spans="1:2" ht="13.2" x14ac:dyDescent="0.25">
      <c r="A6109" s="34" t="s">
        <v>6097</v>
      </c>
    </row>
    <row r="6110" spans="1:2" ht="13.2" x14ac:dyDescent="0.25">
      <c r="A6110" s="34" t="s">
        <v>6096</v>
      </c>
    </row>
    <row r="6111" spans="1:2" ht="13.2" x14ac:dyDescent="0.25">
      <c r="A6111" s="34" t="s">
        <v>6095</v>
      </c>
    </row>
    <row r="6112" spans="1:2" ht="13.2" x14ac:dyDescent="0.25">
      <c r="A6112" s="34" t="s">
        <v>6094</v>
      </c>
    </row>
    <row r="6113" spans="1:2" ht="13.2" x14ac:dyDescent="0.25">
      <c r="A6113" s="34" t="s">
        <v>6093</v>
      </c>
      <c r="B6113" s="35">
        <v>1.77931412812561</v>
      </c>
    </row>
    <row r="6114" spans="1:2" ht="13.2" x14ac:dyDescent="0.25">
      <c r="A6114" s="34" t="s">
        <v>6092</v>
      </c>
      <c r="B6114" s="35">
        <v>1.77604341520659</v>
      </c>
    </row>
    <row r="6115" spans="1:2" ht="13.2" x14ac:dyDescent="0.25">
      <c r="A6115" s="34" t="s">
        <v>6091</v>
      </c>
      <c r="B6115" s="35">
        <v>1.7697429469036401</v>
      </c>
    </row>
    <row r="6116" spans="1:2" ht="13.2" x14ac:dyDescent="0.25">
      <c r="A6116" s="34" t="s">
        <v>6090</v>
      </c>
    </row>
    <row r="6117" spans="1:2" ht="13.2" x14ac:dyDescent="0.25">
      <c r="A6117" s="34" t="s">
        <v>6089</v>
      </c>
    </row>
    <row r="6118" spans="1:2" ht="13.2" x14ac:dyDescent="0.25">
      <c r="A6118" s="34" t="s">
        <v>6088</v>
      </c>
      <c r="B6118" s="35">
        <v>1.7615482866846399</v>
      </c>
    </row>
    <row r="6119" spans="1:2" ht="13.2" x14ac:dyDescent="0.25">
      <c r="A6119" s="34" t="s">
        <v>6087</v>
      </c>
      <c r="B6119" s="35">
        <v>1.7151208701319101</v>
      </c>
    </row>
    <row r="6120" spans="1:2" ht="13.2" x14ac:dyDescent="0.25">
      <c r="A6120" s="34" t="s">
        <v>6086</v>
      </c>
      <c r="B6120" s="35">
        <v>1.6008516847109999</v>
      </c>
    </row>
    <row r="6121" spans="1:2" ht="13.2" x14ac:dyDescent="0.25">
      <c r="A6121" s="34" t="s">
        <v>6085</v>
      </c>
      <c r="B6121" s="35">
        <v>1.60494062797422</v>
      </c>
    </row>
    <row r="6122" spans="1:2" ht="13.2" x14ac:dyDescent="0.25">
      <c r="A6122" s="34" t="s">
        <v>6084</v>
      </c>
      <c r="B6122" s="35">
        <v>1.59104458727263</v>
      </c>
    </row>
    <row r="6123" spans="1:2" ht="13.2" x14ac:dyDescent="0.25">
      <c r="A6123" s="34" t="s">
        <v>6083</v>
      </c>
    </row>
    <row r="6124" spans="1:2" ht="13.2" x14ac:dyDescent="0.25">
      <c r="A6124" s="34" t="s">
        <v>6082</v>
      </c>
    </row>
    <row r="6125" spans="1:2" ht="13.2" x14ac:dyDescent="0.25">
      <c r="A6125" s="34" t="s">
        <v>6081</v>
      </c>
      <c r="B6125" s="35">
        <v>1.5955960465277701</v>
      </c>
    </row>
    <row r="6126" spans="1:2" ht="13.2" x14ac:dyDescent="0.25">
      <c r="A6126" s="34" t="s">
        <v>6080</v>
      </c>
      <c r="B6126" s="35">
        <v>1.59607049748666</v>
      </c>
    </row>
    <row r="6127" spans="1:2" ht="13.2" x14ac:dyDescent="0.25">
      <c r="A6127" s="34" t="s">
        <v>6079</v>
      </c>
      <c r="B6127" s="35">
        <v>1.5950597103317501</v>
      </c>
    </row>
    <row r="6128" spans="1:2" ht="13.2" x14ac:dyDescent="0.25">
      <c r="A6128" s="34" t="s">
        <v>6078</v>
      </c>
      <c r="B6128" s="35">
        <v>1.55214289900791</v>
      </c>
    </row>
    <row r="6129" spans="1:2" ht="13.2" x14ac:dyDescent="0.25">
      <c r="A6129" s="34" t="s">
        <v>6077</v>
      </c>
      <c r="B6129" s="35">
        <v>1.5740677626111199</v>
      </c>
    </row>
    <row r="6130" spans="1:2" ht="13.2" x14ac:dyDescent="0.25">
      <c r="A6130" s="34" t="s">
        <v>6076</v>
      </c>
    </row>
    <row r="6131" spans="1:2" ht="13.2" x14ac:dyDescent="0.25">
      <c r="A6131" s="34" t="s">
        <v>6075</v>
      </c>
    </row>
    <row r="6132" spans="1:2" ht="13.2" x14ac:dyDescent="0.25">
      <c r="A6132" s="34" t="s">
        <v>6074</v>
      </c>
      <c r="B6132" s="35">
        <v>1.5775563159741599</v>
      </c>
    </row>
    <row r="6133" spans="1:2" ht="13.2" x14ac:dyDescent="0.25">
      <c r="A6133" s="34" t="s">
        <v>6073</v>
      </c>
      <c r="B6133" s="35">
        <v>1.1225003188754099</v>
      </c>
    </row>
    <row r="6134" spans="1:2" ht="13.2" x14ac:dyDescent="0.25">
      <c r="A6134" s="34" t="s">
        <v>6072</v>
      </c>
      <c r="B6134" s="35">
        <v>0.99705152845257305</v>
      </c>
    </row>
    <row r="6135" spans="1:2" ht="13.2" x14ac:dyDescent="0.25">
      <c r="A6135" s="34" t="s">
        <v>6071</v>
      </c>
      <c r="B6135" s="35">
        <v>1.0067492011605399</v>
      </c>
    </row>
    <row r="6136" spans="1:2" ht="13.2" x14ac:dyDescent="0.25">
      <c r="A6136" s="34" t="s">
        <v>6070</v>
      </c>
      <c r="B6136" s="35">
        <v>0.93562873129310897</v>
      </c>
    </row>
    <row r="6137" spans="1:2" ht="13.2" x14ac:dyDescent="0.25">
      <c r="A6137" s="34" t="s">
        <v>6069</v>
      </c>
    </row>
    <row r="6138" spans="1:2" ht="13.2" x14ac:dyDescent="0.25">
      <c r="A6138" s="34" t="s">
        <v>6068</v>
      </c>
    </row>
    <row r="6139" spans="1:2" ht="13.2" x14ac:dyDescent="0.25">
      <c r="A6139" s="34" t="s">
        <v>6067</v>
      </c>
      <c r="B6139" s="35">
        <v>0.949946998240083</v>
      </c>
    </row>
    <row r="6140" spans="1:2" ht="13.2" x14ac:dyDescent="0.25">
      <c r="A6140" s="34" t="s">
        <v>6066</v>
      </c>
      <c r="B6140" s="35">
        <v>0.92922756697133202</v>
      </c>
    </row>
    <row r="6141" spans="1:2" ht="13.2" x14ac:dyDescent="0.25">
      <c r="A6141" s="34" t="s">
        <v>6065</v>
      </c>
      <c r="B6141" s="35">
        <v>0.92575649850576402</v>
      </c>
    </row>
    <row r="6142" spans="1:2" ht="13.2" x14ac:dyDescent="0.25">
      <c r="A6142" s="34" t="s">
        <v>6064</v>
      </c>
      <c r="B6142" s="35">
        <v>0.821208387038043</v>
      </c>
    </row>
    <row r="6143" spans="1:2" ht="13.2" x14ac:dyDescent="0.25">
      <c r="A6143" s="34" t="s">
        <v>6063</v>
      </c>
      <c r="B6143" s="35">
        <v>0.86264627322902598</v>
      </c>
    </row>
    <row r="6144" spans="1:2" ht="13.2" x14ac:dyDescent="0.25">
      <c r="A6144" s="34" t="s">
        <v>6062</v>
      </c>
    </row>
    <row r="6145" spans="1:2" ht="13.2" x14ac:dyDescent="0.25">
      <c r="A6145" s="34" t="s">
        <v>6061</v>
      </c>
    </row>
    <row r="6146" spans="1:2" ht="13.2" x14ac:dyDescent="0.25">
      <c r="A6146" s="34" t="s">
        <v>6060</v>
      </c>
      <c r="B6146" s="35">
        <v>0.85853361329357103</v>
      </c>
    </row>
    <row r="6147" spans="1:2" ht="13.2" x14ac:dyDescent="0.25">
      <c r="A6147" s="34" t="s">
        <v>6059</v>
      </c>
      <c r="B6147" s="35">
        <v>0.84651637085049802</v>
      </c>
    </row>
    <row r="6148" spans="1:2" ht="13.2" x14ac:dyDescent="0.25">
      <c r="A6148" s="34" t="s">
        <v>6058</v>
      </c>
      <c r="B6148" s="35">
        <v>0.77033614016423901</v>
      </c>
    </row>
    <row r="6149" spans="1:2" ht="13.2" x14ac:dyDescent="0.25">
      <c r="A6149" s="34" t="s">
        <v>6057</v>
      </c>
      <c r="B6149" s="35">
        <v>0.78086275179072495</v>
      </c>
    </row>
    <row r="6150" spans="1:2" ht="13.2" x14ac:dyDescent="0.25">
      <c r="A6150" s="34" t="s">
        <v>6056</v>
      </c>
      <c r="B6150" s="35">
        <v>0.77868008400403499</v>
      </c>
    </row>
    <row r="6151" spans="1:2" ht="13.2" x14ac:dyDescent="0.25">
      <c r="A6151" s="34" t="s">
        <v>6055</v>
      </c>
    </row>
    <row r="6152" spans="1:2" ht="13.2" x14ac:dyDescent="0.25">
      <c r="A6152" s="34" t="s">
        <v>6054</v>
      </c>
    </row>
    <row r="6153" spans="1:2" ht="13.2" x14ac:dyDescent="0.25">
      <c r="A6153" s="34" t="s">
        <v>6053</v>
      </c>
      <c r="B6153" s="35">
        <v>0.85319033563981905</v>
      </c>
    </row>
    <row r="6154" spans="1:2" ht="13.2" x14ac:dyDescent="0.25">
      <c r="A6154" s="34" t="s">
        <v>6052</v>
      </c>
      <c r="B6154" s="35">
        <v>0.83176916795178102</v>
      </c>
    </row>
    <row r="6155" spans="1:2" ht="13.2" x14ac:dyDescent="0.25">
      <c r="A6155" s="34" t="s">
        <v>6051</v>
      </c>
      <c r="B6155" s="35">
        <v>0.82461228686381305</v>
      </c>
    </row>
    <row r="6156" spans="1:2" ht="13.2" x14ac:dyDescent="0.25">
      <c r="A6156" s="34" t="s">
        <v>6050</v>
      </c>
      <c r="B6156" s="35">
        <v>0.84222126300720901</v>
      </c>
    </row>
    <row r="6157" spans="1:2" ht="13.2" x14ac:dyDescent="0.25">
      <c r="A6157" s="34" t="s">
        <v>6049</v>
      </c>
    </row>
    <row r="6158" spans="1:2" ht="13.2" x14ac:dyDescent="0.25">
      <c r="A6158" s="34" t="s">
        <v>6048</v>
      </c>
    </row>
    <row r="6159" spans="1:2" ht="13.2" x14ac:dyDescent="0.25">
      <c r="A6159" s="34" t="s">
        <v>6047</v>
      </c>
    </row>
    <row r="6160" spans="1:2" ht="13.2" x14ac:dyDescent="0.25">
      <c r="A6160" s="34" t="s">
        <v>6046</v>
      </c>
      <c r="B6160" s="35">
        <v>0.84222693910926905</v>
      </c>
    </row>
    <row r="6161" spans="1:2" ht="13.2" x14ac:dyDescent="0.25">
      <c r="A6161" s="34" t="s">
        <v>6045</v>
      </c>
      <c r="B6161" s="35">
        <v>0.79615465721609202</v>
      </c>
    </row>
    <row r="6162" spans="1:2" ht="13.2" x14ac:dyDescent="0.25">
      <c r="A6162" s="34" t="s">
        <v>6044</v>
      </c>
      <c r="B6162" s="35">
        <v>0.79725980729924995</v>
      </c>
    </row>
    <row r="6163" spans="1:2" ht="13.2" x14ac:dyDescent="0.25">
      <c r="A6163" s="34" t="s">
        <v>6043</v>
      </c>
      <c r="B6163" s="35">
        <v>0.79265646383583499</v>
      </c>
    </row>
    <row r="6164" spans="1:2" ht="13.2" x14ac:dyDescent="0.25">
      <c r="A6164" s="34" t="s">
        <v>6042</v>
      </c>
      <c r="B6164" s="35">
        <v>0.79890103349465502</v>
      </c>
    </row>
    <row r="6165" spans="1:2" ht="13.2" x14ac:dyDescent="0.25">
      <c r="A6165" s="34" t="s">
        <v>6041</v>
      </c>
    </row>
    <row r="6166" spans="1:2" ht="13.2" x14ac:dyDescent="0.25">
      <c r="A6166" s="34" t="s">
        <v>6040</v>
      </c>
    </row>
    <row r="6167" spans="1:2" ht="13.2" x14ac:dyDescent="0.25">
      <c r="A6167" s="34" t="s">
        <v>6039</v>
      </c>
      <c r="B6167" s="35">
        <v>0.84175792948453798</v>
      </c>
    </row>
    <row r="6168" spans="1:2" ht="13.2" x14ac:dyDescent="0.25">
      <c r="A6168" s="34" t="s">
        <v>6038</v>
      </c>
      <c r="B6168" s="35">
        <v>0.82069687549146697</v>
      </c>
    </row>
    <row r="6169" spans="1:2" ht="13.2" x14ac:dyDescent="0.25">
      <c r="A6169" s="34" t="s">
        <v>6037</v>
      </c>
      <c r="B6169" s="35">
        <v>0.81209083662241199</v>
      </c>
    </row>
    <row r="6170" spans="1:2" ht="13.2" x14ac:dyDescent="0.25">
      <c r="A6170" s="34" t="s">
        <v>6036</v>
      </c>
      <c r="B6170" s="35">
        <v>0.785032323267702</v>
      </c>
    </row>
    <row r="6171" spans="1:2" ht="13.2" x14ac:dyDescent="0.25">
      <c r="A6171" s="34" t="s">
        <v>6035</v>
      </c>
      <c r="B6171" s="35">
        <v>0.85836538957632902</v>
      </c>
    </row>
    <row r="6172" spans="1:2" ht="13.2" x14ac:dyDescent="0.25">
      <c r="A6172" s="34" t="s">
        <v>6034</v>
      </c>
    </row>
    <row r="6173" spans="1:2" ht="13.2" x14ac:dyDescent="0.25">
      <c r="A6173" s="34" t="s">
        <v>6033</v>
      </c>
    </row>
    <row r="6174" spans="1:2" ht="13.2" x14ac:dyDescent="0.25">
      <c r="A6174" s="34" t="s">
        <v>6032</v>
      </c>
      <c r="B6174" s="35">
        <v>0.86386982289136305</v>
      </c>
    </row>
    <row r="6175" spans="1:2" ht="13.2" x14ac:dyDescent="0.25">
      <c r="A6175" s="34" t="s">
        <v>6031</v>
      </c>
      <c r="B6175" s="35">
        <v>0.82059566889481805</v>
      </c>
    </row>
    <row r="6176" spans="1:2" ht="13.2" x14ac:dyDescent="0.25">
      <c r="A6176" s="34" t="s">
        <v>6030</v>
      </c>
    </row>
    <row r="6177" spans="1:2" ht="13.2" x14ac:dyDescent="0.25">
      <c r="A6177" s="34" t="s">
        <v>6029</v>
      </c>
      <c r="B6177" s="35">
        <v>0.81834560333966599</v>
      </c>
    </row>
    <row r="6178" spans="1:2" ht="13.2" x14ac:dyDescent="0.25">
      <c r="A6178" s="34" t="s">
        <v>6028</v>
      </c>
      <c r="B6178" s="35">
        <v>0.812003653415169</v>
      </c>
    </row>
    <row r="6179" spans="1:2" ht="13.2" x14ac:dyDescent="0.25">
      <c r="A6179" s="34" t="s">
        <v>6027</v>
      </c>
    </row>
    <row r="6180" spans="1:2" ht="13.2" x14ac:dyDescent="0.25">
      <c r="A6180" s="34" t="s">
        <v>6026</v>
      </c>
    </row>
    <row r="6181" spans="1:2" ht="13.2" x14ac:dyDescent="0.25">
      <c r="A6181" s="34" t="s">
        <v>6025</v>
      </c>
      <c r="B6181" s="35">
        <v>0.823590732237103</v>
      </c>
    </row>
    <row r="6182" spans="1:2" ht="13.2" x14ac:dyDescent="0.25">
      <c r="A6182" s="34" t="s">
        <v>6024</v>
      </c>
      <c r="B6182" s="35">
        <v>1.1152044257612199</v>
      </c>
    </row>
    <row r="6183" spans="1:2" ht="13.2" x14ac:dyDescent="0.25">
      <c r="A6183" s="34" t="s">
        <v>6023</v>
      </c>
      <c r="B6183" s="35">
        <v>1.11265863769068</v>
      </c>
    </row>
    <row r="6184" spans="1:2" ht="13.2" x14ac:dyDescent="0.25">
      <c r="A6184" s="34" t="s">
        <v>6022</v>
      </c>
      <c r="B6184" s="35">
        <v>1.12639553672227</v>
      </c>
    </row>
    <row r="6185" spans="1:2" ht="13.2" x14ac:dyDescent="0.25">
      <c r="A6185" s="34" t="s">
        <v>6021</v>
      </c>
      <c r="B6185" s="35">
        <v>1.13140776043044</v>
      </c>
    </row>
    <row r="6186" spans="1:2" ht="13.2" x14ac:dyDescent="0.25">
      <c r="A6186" s="34" t="s">
        <v>6020</v>
      </c>
    </row>
    <row r="6187" spans="1:2" ht="13.2" x14ac:dyDescent="0.25">
      <c r="A6187" s="34" t="s">
        <v>6019</v>
      </c>
    </row>
    <row r="6188" spans="1:2" ht="13.2" x14ac:dyDescent="0.25">
      <c r="A6188" s="34" t="s">
        <v>6018</v>
      </c>
      <c r="B6188" s="35">
        <v>1.12156224435387</v>
      </c>
    </row>
    <row r="6189" spans="1:2" ht="13.2" x14ac:dyDescent="0.25">
      <c r="A6189" s="34" t="s">
        <v>6017</v>
      </c>
      <c r="B6189" s="35">
        <v>1.27739716645462</v>
      </c>
    </row>
    <row r="6190" spans="1:2" ht="13.2" x14ac:dyDescent="0.25">
      <c r="A6190" s="34" t="s">
        <v>6016</v>
      </c>
      <c r="B6190" s="35">
        <v>1.2740262094041499</v>
      </c>
    </row>
    <row r="6191" spans="1:2" ht="13.2" x14ac:dyDescent="0.25">
      <c r="A6191" s="34" t="s">
        <v>6015</v>
      </c>
      <c r="B6191" s="35">
        <v>1.33806081970707</v>
      </c>
    </row>
    <row r="6192" spans="1:2" ht="13.2" x14ac:dyDescent="0.25">
      <c r="A6192" s="34" t="s">
        <v>6014</v>
      </c>
      <c r="B6192" s="35">
        <v>1.33949506918452</v>
      </c>
    </row>
    <row r="6193" spans="1:2" ht="13.2" x14ac:dyDescent="0.25">
      <c r="A6193" s="34" t="s">
        <v>6013</v>
      </c>
    </row>
    <row r="6194" spans="1:2" ht="13.2" x14ac:dyDescent="0.25">
      <c r="A6194" s="34" t="s">
        <v>6012</v>
      </c>
    </row>
    <row r="6195" spans="1:2" ht="13.2" x14ac:dyDescent="0.25">
      <c r="A6195" s="34" t="s">
        <v>6011</v>
      </c>
      <c r="B6195" s="35">
        <v>1.6246996628563499</v>
      </c>
    </row>
    <row r="6196" spans="1:2" ht="13.2" x14ac:dyDescent="0.25">
      <c r="A6196" s="34" t="s">
        <v>6010</v>
      </c>
      <c r="B6196" s="35">
        <v>1.6437797983271301</v>
      </c>
    </row>
    <row r="6197" spans="1:2" ht="13.2" x14ac:dyDescent="0.25">
      <c r="A6197" s="34" t="s">
        <v>6009</v>
      </c>
      <c r="B6197" s="35">
        <v>1.67830262140072</v>
      </c>
    </row>
    <row r="6198" spans="1:2" ht="13.2" x14ac:dyDescent="0.25">
      <c r="A6198" s="34" t="s">
        <v>6008</v>
      </c>
      <c r="B6198" s="35">
        <v>1.67305668255434</v>
      </c>
    </row>
    <row r="6199" spans="1:2" ht="13.2" x14ac:dyDescent="0.25">
      <c r="A6199" s="34" t="s">
        <v>6007</v>
      </c>
      <c r="B6199" s="35">
        <v>1.70407020815485</v>
      </c>
    </row>
    <row r="6200" spans="1:2" ht="13.2" x14ac:dyDescent="0.25">
      <c r="A6200" s="34" t="s">
        <v>6006</v>
      </c>
    </row>
    <row r="6201" spans="1:2" ht="13.2" x14ac:dyDescent="0.25">
      <c r="A6201" s="34" t="s">
        <v>6005</v>
      </c>
    </row>
    <row r="6202" spans="1:2" ht="13.2" x14ac:dyDescent="0.25">
      <c r="A6202" s="34" t="s">
        <v>6004</v>
      </c>
      <c r="B6202" s="35">
        <v>1.7051148459715999</v>
      </c>
    </row>
    <row r="6203" spans="1:2" ht="13.2" x14ac:dyDescent="0.25">
      <c r="A6203" s="34" t="s">
        <v>6003</v>
      </c>
      <c r="B6203" s="35">
        <v>1.79426320015626</v>
      </c>
    </row>
    <row r="6204" spans="1:2" ht="13.2" x14ac:dyDescent="0.25">
      <c r="A6204" s="34" t="s">
        <v>6002</v>
      </c>
      <c r="B6204" s="35">
        <v>1.8153382583701101</v>
      </c>
    </row>
    <row r="6205" spans="1:2" ht="13.2" x14ac:dyDescent="0.25">
      <c r="A6205" s="34" t="s">
        <v>6001</v>
      </c>
      <c r="B6205" s="35">
        <v>1.8423697723153001</v>
      </c>
    </row>
    <row r="6206" spans="1:2" ht="13.2" x14ac:dyDescent="0.25">
      <c r="A6206" s="34" t="s">
        <v>6000</v>
      </c>
      <c r="B6206" s="35">
        <v>2.0635450548544099</v>
      </c>
    </row>
    <row r="6207" spans="1:2" ht="13.2" x14ac:dyDescent="0.25">
      <c r="A6207" s="34" t="s">
        <v>5999</v>
      </c>
    </row>
    <row r="6208" spans="1:2" ht="13.2" x14ac:dyDescent="0.25">
      <c r="A6208" s="34" t="s">
        <v>5998</v>
      </c>
    </row>
    <row r="6209" spans="1:2" ht="13.2" x14ac:dyDescent="0.25">
      <c r="A6209" s="34" t="s">
        <v>5997</v>
      </c>
      <c r="B6209" s="35">
        <v>2.0545940355303198</v>
      </c>
    </row>
    <row r="6210" spans="1:2" ht="13.2" x14ac:dyDescent="0.25">
      <c r="A6210" s="34" t="s">
        <v>5996</v>
      </c>
      <c r="B6210" s="35">
        <v>2.0572775085290398</v>
      </c>
    </row>
    <row r="6211" spans="1:2" ht="13.2" x14ac:dyDescent="0.25">
      <c r="A6211" s="34" t="s">
        <v>5995</v>
      </c>
      <c r="B6211" s="35">
        <v>2.0188622878128801</v>
      </c>
    </row>
    <row r="6212" spans="1:2" ht="13.2" x14ac:dyDescent="0.25">
      <c r="A6212" s="34" t="s">
        <v>5994</v>
      </c>
      <c r="B6212" s="35">
        <v>2.1621824364195499</v>
      </c>
    </row>
    <row r="6213" spans="1:2" ht="13.2" x14ac:dyDescent="0.25">
      <c r="A6213" s="34" t="s">
        <v>5993</v>
      </c>
      <c r="B6213" s="35">
        <v>2.09742509401935</v>
      </c>
    </row>
    <row r="6214" spans="1:2" ht="13.2" x14ac:dyDescent="0.25">
      <c r="A6214" s="34" t="s">
        <v>5992</v>
      </c>
    </row>
    <row r="6215" spans="1:2" ht="13.2" x14ac:dyDescent="0.25">
      <c r="A6215" s="34" t="s">
        <v>5991</v>
      </c>
    </row>
    <row r="6216" spans="1:2" ht="13.2" x14ac:dyDescent="0.25">
      <c r="A6216" s="34" t="s">
        <v>5990</v>
      </c>
      <c r="B6216" s="35">
        <v>2.1506735230897398</v>
      </c>
    </row>
    <row r="6217" spans="1:2" ht="13.2" x14ac:dyDescent="0.25">
      <c r="A6217" s="34" t="s">
        <v>5989</v>
      </c>
      <c r="B6217" s="35">
        <v>2.1785119345178598</v>
      </c>
    </row>
    <row r="6218" spans="1:2" ht="13.2" x14ac:dyDescent="0.25">
      <c r="A6218" s="34" t="s">
        <v>5988</v>
      </c>
      <c r="B6218" s="35">
        <v>2.1115561036980801</v>
      </c>
    </row>
    <row r="6219" spans="1:2" ht="13.2" x14ac:dyDescent="0.25">
      <c r="A6219" s="34" t="s">
        <v>5987</v>
      </c>
    </row>
    <row r="6220" spans="1:2" ht="13.2" x14ac:dyDescent="0.25">
      <c r="A6220" s="34" t="s">
        <v>5986</v>
      </c>
      <c r="B6220" s="35">
        <v>2.15045796436437</v>
      </c>
    </row>
    <row r="6221" spans="1:2" ht="13.2" x14ac:dyDescent="0.25">
      <c r="A6221" s="34" t="s">
        <v>5985</v>
      </c>
    </row>
    <row r="6222" spans="1:2" ht="13.2" x14ac:dyDescent="0.25">
      <c r="A6222" s="34" t="s">
        <v>5984</v>
      </c>
    </row>
    <row r="6223" spans="1:2" ht="13.2" x14ac:dyDescent="0.25">
      <c r="A6223" s="34" t="s">
        <v>5983</v>
      </c>
      <c r="B6223" s="35">
        <v>2.1012353415098701</v>
      </c>
    </row>
    <row r="6224" spans="1:2" ht="13.2" x14ac:dyDescent="0.25">
      <c r="A6224" s="34" t="s">
        <v>5982</v>
      </c>
      <c r="B6224" s="35">
        <v>2.11241233142704</v>
      </c>
    </row>
    <row r="6225" spans="1:2" ht="13.2" x14ac:dyDescent="0.25">
      <c r="A6225" s="34" t="s">
        <v>5981</v>
      </c>
      <c r="B6225" s="35">
        <v>1.89313066576419</v>
      </c>
    </row>
    <row r="6226" spans="1:2" ht="13.2" x14ac:dyDescent="0.25">
      <c r="A6226" s="34" t="s">
        <v>5980</v>
      </c>
      <c r="B6226" s="35">
        <v>1.96440645665713</v>
      </c>
    </row>
    <row r="6227" spans="1:2" ht="13.2" x14ac:dyDescent="0.25">
      <c r="A6227" s="34" t="s">
        <v>5979</v>
      </c>
      <c r="B6227" s="35">
        <v>1.9538498286036901</v>
      </c>
    </row>
    <row r="6228" spans="1:2" ht="13.2" x14ac:dyDescent="0.25">
      <c r="A6228" s="34" t="s">
        <v>5978</v>
      </c>
    </row>
    <row r="6229" spans="1:2" ht="13.2" x14ac:dyDescent="0.25">
      <c r="A6229" s="34" t="s">
        <v>5977</v>
      </c>
    </row>
    <row r="6230" spans="1:2" ht="13.2" x14ac:dyDescent="0.25">
      <c r="A6230" s="34" t="s">
        <v>5976</v>
      </c>
      <c r="B6230" s="35">
        <v>1.94977186816562</v>
      </c>
    </row>
    <row r="6231" spans="1:2" ht="13.2" x14ac:dyDescent="0.25">
      <c r="A6231" s="34" t="s">
        <v>5975</v>
      </c>
      <c r="B6231" s="35">
        <v>1.91703532019715</v>
      </c>
    </row>
    <row r="6232" spans="1:2" ht="13.2" x14ac:dyDescent="0.25">
      <c r="A6232" s="34" t="s">
        <v>5974</v>
      </c>
      <c r="B6232" s="35">
        <v>1.90642974090689</v>
      </c>
    </row>
    <row r="6233" spans="1:2" ht="13.2" x14ac:dyDescent="0.25">
      <c r="A6233" s="34" t="s">
        <v>5973</v>
      </c>
      <c r="B6233" s="35">
        <v>1.74400189869128</v>
      </c>
    </row>
    <row r="6234" spans="1:2" ht="13.2" x14ac:dyDescent="0.25">
      <c r="A6234" s="34" t="s">
        <v>5972</v>
      </c>
      <c r="B6234" s="35">
        <v>1.6743793389730699</v>
      </c>
    </row>
    <row r="6235" spans="1:2" ht="13.2" x14ac:dyDescent="0.25">
      <c r="A6235" s="34" t="s">
        <v>5971</v>
      </c>
    </row>
    <row r="6236" spans="1:2" ht="13.2" x14ac:dyDescent="0.25">
      <c r="A6236" s="34" t="s">
        <v>5970</v>
      </c>
    </row>
    <row r="6237" spans="1:2" ht="13.2" x14ac:dyDescent="0.25">
      <c r="A6237" s="34" t="s">
        <v>5969</v>
      </c>
      <c r="B6237" s="35">
        <v>1.53657729883739</v>
      </c>
    </row>
    <row r="6238" spans="1:2" ht="13.2" x14ac:dyDescent="0.25">
      <c r="A6238" s="34" t="s">
        <v>5968</v>
      </c>
      <c r="B6238" s="35">
        <v>1.37965028857304</v>
      </c>
    </row>
    <row r="6239" spans="1:2" ht="13.2" x14ac:dyDescent="0.25">
      <c r="A6239" s="34" t="s">
        <v>5967</v>
      </c>
      <c r="B6239" s="35">
        <v>1.36384007097834</v>
      </c>
    </row>
    <row r="6240" spans="1:2" ht="13.2" x14ac:dyDescent="0.25">
      <c r="A6240" s="34" t="s">
        <v>5966</v>
      </c>
      <c r="B6240" s="35">
        <v>1.4106101076058899</v>
      </c>
    </row>
    <row r="6241" spans="1:2" ht="13.2" x14ac:dyDescent="0.25">
      <c r="A6241" s="34" t="s">
        <v>5965</v>
      </c>
      <c r="B6241" s="35">
        <v>1.3977775095240299</v>
      </c>
    </row>
    <row r="6242" spans="1:2" ht="13.2" x14ac:dyDescent="0.25">
      <c r="A6242" s="34" t="s">
        <v>5964</v>
      </c>
    </row>
    <row r="6243" spans="1:2" ht="13.2" x14ac:dyDescent="0.25">
      <c r="A6243" s="34" t="s">
        <v>5963</v>
      </c>
    </row>
    <row r="6244" spans="1:2" ht="13.2" x14ac:dyDescent="0.25">
      <c r="A6244" s="34" t="s">
        <v>5962</v>
      </c>
      <c r="B6244" s="35">
        <v>1.27151310502796</v>
      </c>
    </row>
    <row r="6245" spans="1:2" ht="13.2" x14ac:dyDescent="0.25">
      <c r="A6245" s="34" t="s">
        <v>5961</v>
      </c>
      <c r="B6245" s="35">
        <v>1.5084140385221301</v>
      </c>
    </row>
    <row r="6246" spans="1:2" ht="13.2" x14ac:dyDescent="0.25">
      <c r="A6246" s="34" t="s">
        <v>5960</v>
      </c>
      <c r="B6246" s="35">
        <v>1.49550755332025</v>
      </c>
    </row>
    <row r="6247" spans="1:2" ht="13.2" x14ac:dyDescent="0.25">
      <c r="A6247" s="34" t="s">
        <v>5959</v>
      </c>
      <c r="B6247" s="35">
        <v>1.44478466465588</v>
      </c>
    </row>
    <row r="6248" spans="1:2" ht="13.2" x14ac:dyDescent="0.25">
      <c r="A6248" s="34" t="s">
        <v>5958</v>
      </c>
      <c r="B6248" s="35">
        <v>1.3873069702841501</v>
      </c>
    </row>
    <row r="6249" spans="1:2" ht="13.2" x14ac:dyDescent="0.25">
      <c r="A6249" s="34" t="s">
        <v>5957</v>
      </c>
    </row>
    <row r="6250" spans="1:2" ht="13.2" x14ac:dyDescent="0.25">
      <c r="A6250" s="34" t="s">
        <v>5956</v>
      </c>
    </row>
    <row r="6251" spans="1:2" ht="13.2" x14ac:dyDescent="0.25">
      <c r="A6251" s="34" t="s">
        <v>5955</v>
      </c>
      <c r="B6251" s="35">
        <v>1.33059531158004</v>
      </c>
    </row>
    <row r="6252" spans="1:2" ht="13.2" x14ac:dyDescent="0.25">
      <c r="A6252" s="34" t="s">
        <v>5954</v>
      </c>
      <c r="B6252" s="35">
        <v>1.38858395877381</v>
      </c>
    </row>
    <row r="6253" spans="1:2" ht="13.2" x14ac:dyDescent="0.25">
      <c r="A6253" s="34" t="s">
        <v>5953</v>
      </c>
      <c r="B6253" s="35">
        <v>1.43176772127518</v>
      </c>
    </row>
    <row r="6254" spans="1:2" ht="13.2" x14ac:dyDescent="0.25">
      <c r="A6254" s="34" t="s">
        <v>5952</v>
      </c>
      <c r="B6254" s="35">
        <v>1.42265007151677</v>
      </c>
    </row>
    <row r="6255" spans="1:2" ht="13.2" x14ac:dyDescent="0.25">
      <c r="A6255" s="34" t="s">
        <v>5951</v>
      </c>
    </row>
    <row r="6256" spans="1:2" ht="13.2" x14ac:dyDescent="0.25">
      <c r="A6256" s="34" t="s">
        <v>5950</v>
      </c>
    </row>
    <row r="6257" spans="1:2" ht="13.2" x14ac:dyDescent="0.25">
      <c r="A6257" s="34" t="s">
        <v>5949</v>
      </c>
    </row>
    <row r="6258" spans="1:2" ht="13.2" x14ac:dyDescent="0.25">
      <c r="A6258" s="34" t="s">
        <v>5948</v>
      </c>
      <c r="B6258" s="35">
        <v>1.3280020541583899</v>
      </c>
    </row>
    <row r="6259" spans="1:2" ht="13.2" x14ac:dyDescent="0.25">
      <c r="A6259" s="34" t="s">
        <v>5947</v>
      </c>
      <c r="B6259" s="35">
        <v>1.33820032852328</v>
      </c>
    </row>
    <row r="6260" spans="1:2" ht="13.2" x14ac:dyDescent="0.25">
      <c r="A6260" s="34" t="s">
        <v>5946</v>
      </c>
      <c r="B6260" s="35">
        <v>1.33994759690571</v>
      </c>
    </row>
    <row r="6261" spans="1:2" ht="13.2" x14ac:dyDescent="0.25">
      <c r="A6261" s="34" t="s">
        <v>5945</v>
      </c>
      <c r="B6261" s="35">
        <v>1.29972951173036</v>
      </c>
    </row>
    <row r="6262" spans="1:2" ht="13.2" x14ac:dyDescent="0.25">
      <c r="A6262" s="34" t="s">
        <v>5944</v>
      </c>
      <c r="B6262" s="35">
        <v>1.34755242118949</v>
      </c>
    </row>
    <row r="6263" spans="1:2" ht="13.2" x14ac:dyDescent="0.25">
      <c r="A6263" s="34" t="s">
        <v>5943</v>
      </c>
    </row>
    <row r="6264" spans="1:2" ht="13.2" x14ac:dyDescent="0.25">
      <c r="A6264" s="34" t="s">
        <v>5942</v>
      </c>
    </row>
    <row r="6265" spans="1:2" ht="13.2" x14ac:dyDescent="0.25">
      <c r="A6265" s="34" t="s">
        <v>5941</v>
      </c>
      <c r="B6265" s="35">
        <v>1.3972137527961099</v>
      </c>
    </row>
    <row r="6266" spans="1:2" ht="13.2" x14ac:dyDescent="0.25">
      <c r="A6266" s="34" t="s">
        <v>5940</v>
      </c>
      <c r="B6266" s="35">
        <v>1.4582664459993699</v>
      </c>
    </row>
    <row r="6267" spans="1:2" ht="13.2" x14ac:dyDescent="0.25">
      <c r="A6267" s="34" t="s">
        <v>5939</v>
      </c>
      <c r="B6267" s="35">
        <v>1.4517451976236599</v>
      </c>
    </row>
    <row r="6268" spans="1:2" ht="13.2" x14ac:dyDescent="0.25">
      <c r="A6268" s="34" t="s">
        <v>5938</v>
      </c>
      <c r="B6268" s="35">
        <v>1.51454753584053</v>
      </c>
    </row>
    <row r="6269" spans="1:2" ht="13.2" x14ac:dyDescent="0.25">
      <c r="A6269" s="34" t="s">
        <v>5937</v>
      </c>
      <c r="B6269" s="35">
        <v>1.52144587497573</v>
      </c>
    </row>
    <row r="6270" spans="1:2" ht="13.2" x14ac:dyDescent="0.25">
      <c r="A6270" s="34" t="s">
        <v>5936</v>
      </c>
    </row>
    <row r="6271" spans="1:2" ht="13.2" x14ac:dyDescent="0.25">
      <c r="A6271" s="34" t="s">
        <v>5935</v>
      </c>
    </row>
    <row r="6272" spans="1:2" ht="13.2" x14ac:dyDescent="0.25">
      <c r="A6272" s="34" t="s">
        <v>5934</v>
      </c>
      <c r="B6272" s="35">
        <v>1.45230332557687</v>
      </c>
    </row>
    <row r="6273" spans="1:2" ht="13.2" x14ac:dyDescent="0.25">
      <c r="A6273" s="34" t="s">
        <v>5933</v>
      </c>
      <c r="B6273" s="35">
        <v>1.4271074908133601</v>
      </c>
    </row>
    <row r="6274" spans="1:2" ht="13.2" x14ac:dyDescent="0.25">
      <c r="A6274" s="34" t="s">
        <v>5932</v>
      </c>
      <c r="B6274" s="35">
        <v>1.4061990668812201</v>
      </c>
    </row>
    <row r="6275" spans="1:2" ht="13.2" x14ac:dyDescent="0.25">
      <c r="A6275" s="34" t="s">
        <v>5931</v>
      </c>
      <c r="B6275" s="35">
        <v>1.1138462844682799</v>
      </c>
    </row>
    <row r="6276" spans="1:2" ht="13.2" x14ac:dyDescent="0.25">
      <c r="A6276" s="34" t="s">
        <v>5930</v>
      </c>
      <c r="B6276" s="35">
        <v>1.01165521726468</v>
      </c>
    </row>
    <row r="6277" spans="1:2" ht="13.2" x14ac:dyDescent="0.25">
      <c r="A6277" s="34" t="s">
        <v>5929</v>
      </c>
    </row>
    <row r="6278" spans="1:2" ht="13.2" x14ac:dyDescent="0.25">
      <c r="A6278" s="34" t="s">
        <v>5928</v>
      </c>
    </row>
    <row r="6279" spans="1:2" ht="13.2" x14ac:dyDescent="0.25">
      <c r="A6279" s="34" t="s">
        <v>5927</v>
      </c>
      <c r="B6279" s="35">
        <v>1.0342436147113101</v>
      </c>
    </row>
    <row r="6280" spans="1:2" ht="13.2" x14ac:dyDescent="0.25">
      <c r="A6280" s="34" t="s">
        <v>5926</v>
      </c>
      <c r="B6280" s="35">
        <v>1.0717218188204101</v>
      </c>
    </row>
    <row r="6281" spans="1:2" ht="13.2" x14ac:dyDescent="0.25">
      <c r="A6281" s="34" t="s">
        <v>5925</v>
      </c>
      <c r="B6281" s="35">
        <v>1.02256440261585</v>
      </c>
    </row>
    <row r="6282" spans="1:2" ht="13.2" x14ac:dyDescent="0.25">
      <c r="A6282" s="34" t="s">
        <v>5924</v>
      </c>
      <c r="B6282" s="35">
        <v>0.97233730552326403</v>
      </c>
    </row>
    <row r="6283" spans="1:2" ht="13.2" x14ac:dyDescent="0.25">
      <c r="A6283" s="34" t="s">
        <v>5923</v>
      </c>
      <c r="B6283" s="35">
        <v>0.93003231384395202</v>
      </c>
    </row>
    <row r="6284" spans="1:2" ht="13.2" x14ac:dyDescent="0.25">
      <c r="A6284" s="34" t="s">
        <v>5922</v>
      </c>
    </row>
    <row r="6285" spans="1:2" ht="13.2" x14ac:dyDescent="0.25">
      <c r="A6285" s="34" t="s">
        <v>5921</v>
      </c>
    </row>
    <row r="6286" spans="1:2" ht="13.2" x14ac:dyDescent="0.25">
      <c r="A6286" s="34" t="s">
        <v>5920</v>
      </c>
      <c r="B6286" s="35">
        <v>0.94222178164355297</v>
      </c>
    </row>
    <row r="6287" spans="1:2" ht="13.2" x14ac:dyDescent="0.25">
      <c r="A6287" s="34" t="s">
        <v>5919</v>
      </c>
      <c r="B6287" s="35">
        <v>0.95042879770231103</v>
      </c>
    </row>
    <row r="6288" spans="1:2" ht="13.2" x14ac:dyDescent="0.25">
      <c r="A6288" s="34" t="s">
        <v>5918</v>
      </c>
      <c r="B6288" s="35">
        <v>1.0708801026914601</v>
      </c>
    </row>
    <row r="6289" spans="1:2" ht="13.2" x14ac:dyDescent="0.25">
      <c r="A6289" s="34" t="s">
        <v>5917</v>
      </c>
      <c r="B6289" s="35">
        <v>1.06538396284324</v>
      </c>
    </row>
    <row r="6290" spans="1:2" ht="13.2" x14ac:dyDescent="0.25">
      <c r="A6290" s="34" t="s">
        <v>5916</v>
      </c>
      <c r="B6290" s="35">
        <v>1.0661978331724</v>
      </c>
    </row>
    <row r="6291" spans="1:2" ht="13.2" x14ac:dyDescent="0.25">
      <c r="A6291" s="34" t="s">
        <v>5915</v>
      </c>
    </row>
    <row r="6292" spans="1:2" ht="13.2" x14ac:dyDescent="0.25">
      <c r="A6292" s="34" t="s">
        <v>5914</v>
      </c>
    </row>
    <row r="6293" spans="1:2" ht="13.2" x14ac:dyDescent="0.25">
      <c r="A6293" s="34" t="s">
        <v>5913</v>
      </c>
      <c r="B6293" s="35">
        <v>0.96230366003143797</v>
      </c>
    </row>
    <row r="6294" spans="1:2" ht="13.2" x14ac:dyDescent="0.25">
      <c r="A6294" s="34" t="s">
        <v>5912</v>
      </c>
      <c r="B6294" s="35">
        <v>0.95011715274306896</v>
      </c>
    </row>
    <row r="6295" spans="1:2" ht="13.2" x14ac:dyDescent="0.25">
      <c r="A6295" s="34" t="s">
        <v>5911</v>
      </c>
      <c r="B6295" s="35">
        <v>0.88524729035071503</v>
      </c>
    </row>
    <row r="6296" spans="1:2" ht="13.2" x14ac:dyDescent="0.25">
      <c r="A6296" s="34" t="s">
        <v>5910</v>
      </c>
      <c r="B6296" s="35">
        <v>0.93217291232607502</v>
      </c>
    </row>
    <row r="6297" spans="1:2" ht="13.2" x14ac:dyDescent="0.25">
      <c r="A6297" s="34" t="s">
        <v>5909</v>
      </c>
      <c r="B6297" s="35">
        <v>0.84305199378074902</v>
      </c>
    </row>
    <row r="6298" spans="1:2" ht="13.2" x14ac:dyDescent="0.25">
      <c r="A6298" s="34" t="s">
        <v>5908</v>
      </c>
    </row>
    <row r="6299" spans="1:2" ht="13.2" x14ac:dyDescent="0.25">
      <c r="A6299" s="34" t="s">
        <v>5907</v>
      </c>
    </row>
    <row r="6300" spans="1:2" ht="13.2" x14ac:dyDescent="0.25">
      <c r="A6300" s="34" t="s">
        <v>5906</v>
      </c>
      <c r="B6300" s="35">
        <v>0.85543918016595</v>
      </c>
    </row>
    <row r="6301" spans="1:2" ht="13.2" x14ac:dyDescent="0.25">
      <c r="A6301" s="34" t="s">
        <v>5905</v>
      </c>
      <c r="B6301" s="35">
        <v>0.89499447564152601</v>
      </c>
    </row>
    <row r="6302" spans="1:2" ht="13.2" x14ac:dyDescent="0.25">
      <c r="A6302" s="34" t="s">
        <v>5904</v>
      </c>
      <c r="B6302" s="35">
        <v>0.89418596363036695</v>
      </c>
    </row>
    <row r="6303" spans="1:2" ht="13.2" x14ac:dyDescent="0.25">
      <c r="A6303" s="34" t="s">
        <v>5903</v>
      </c>
      <c r="B6303" s="35">
        <v>0.93510602656638897</v>
      </c>
    </row>
    <row r="6304" spans="1:2" ht="13.2" x14ac:dyDescent="0.25">
      <c r="A6304" s="34" t="s">
        <v>5902</v>
      </c>
      <c r="B6304" s="35">
        <v>1.12358084326482</v>
      </c>
    </row>
    <row r="6305" spans="1:2" ht="13.2" x14ac:dyDescent="0.25">
      <c r="A6305" s="34" t="s">
        <v>5901</v>
      </c>
    </row>
    <row r="6306" spans="1:2" ht="13.2" x14ac:dyDescent="0.25">
      <c r="A6306" s="34" t="s">
        <v>5900</v>
      </c>
    </row>
    <row r="6307" spans="1:2" ht="13.2" x14ac:dyDescent="0.25">
      <c r="A6307" s="34" t="s">
        <v>5899</v>
      </c>
      <c r="B6307" s="35">
        <v>1.1779845497179</v>
      </c>
    </row>
    <row r="6308" spans="1:2" ht="13.2" x14ac:dyDescent="0.25">
      <c r="A6308" s="34" t="s">
        <v>5898</v>
      </c>
      <c r="B6308" s="35">
        <v>1.1704363788982799</v>
      </c>
    </row>
    <row r="6309" spans="1:2" ht="13.2" x14ac:dyDescent="0.25">
      <c r="A6309" s="34" t="s">
        <v>5897</v>
      </c>
      <c r="B6309" s="35">
        <v>1.34996768425348</v>
      </c>
    </row>
    <row r="6310" spans="1:2" ht="13.2" x14ac:dyDescent="0.25">
      <c r="A6310" s="34" t="s">
        <v>5896</v>
      </c>
      <c r="B6310" s="35">
        <v>1.3473576523770101</v>
      </c>
    </row>
    <row r="6311" spans="1:2" ht="13.2" x14ac:dyDescent="0.25">
      <c r="A6311" s="34" t="s">
        <v>5895</v>
      </c>
      <c r="B6311" s="35">
        <v>1.3456058888653699</v>
      </c>
    </row>
    <row r="6312" spans="1:2" ht="13.2" x14ac:dyDescent="0.25">
      <c r="A6312" s="34" t="s">
        <v>5894</v>
      </c>
    </row>
    <row r="6313" spans="1:2" ht="13.2" x14ac:dyDescent="0.25">
      <c r="A6313" s="34" t="s">
        <v>5893</v>
      </c>
    </row>
    <row r="6314" spans="1:2" ht="13.2" x14ac:dyDescent="0.25">
      <c r="A6314" s="34" t="s">
        <v>5892</v>
      </c>
      <c r="B6314" s="35">
        <v>1.3440779360779</v>
      </c>
    </row>
    <row r="6315" spans="1:2" ht="13.2" x14ac:dyDescent="0.25">
      <c r="A6315" s="34" t="s">
        <v>5891</v>
      </c>
    </row>
    <row r="6316" spans="1:2" ht="13.2" x14ac:dyDescent="0.25">
      <c r="A6316" s="34" t="s">
        <v>5890</v>
      </c>
      <c r="B6316" s="35">
        <v>1.3461223859653599</v>
      </c>
    </row>
    <row r="6317" spans="1:2" ht="13.2" x14ac:dyDescent="0.25">
      <c r="A6317" s="34" t="s">
        <v>5889</v>
      </c>
      <c r="B6317" s="35">
        <v>1.3348749157919899</v>
      </c>
    </row>
    <row r="6318" spans="1:2" ht="13.2" x14ac:dyDescent="0.25">
      <c r="A6318" s="34" t="s">
        <v>5888</v>
      </c>
      <c r="B6318" s="35">
        <v>1.24491292964095</v>
      </c>
    </row>
    <row r="6319" spans="1:2" ht="13.2" x14ac:dyDescent="0.25">
      <c r="A6319" s="34" t="s">
        <v>5887</v>
      </c>
    </row>
    <row r="6320" spans="1:2" ht="13.2" x14ac:dyDescent="0.25">
      <c r="A6320" s="34" t="s">
        <v>5886</v>
      </c>
    </row>
    <row r="6321" spans="1:2" ht="13.2" x14ac:dyDescent="0.25">
      <c r="A6321" s="34" t="s">
        <v>5885</v>
      </c>
      <c r="B6321" s="35">
        <v>1.3015504375342299</v>
      </c>
    </row>
    <row r="6322" spans="1:2" ht="13.2" x14ac:dyDescent="0.25">
      <c r="A6322" s="34" t="s">
        <v>5884</v>
      </c>
      <c r="B6322" s="35">
        <v>1.3069626106728001</v>
      </c>
    </row>
    <row r="6323" spans="1:2" ht="13.2" x14ac:dyDescent="0.25">
      <c r="A6323" s="34" t="s">
        <v>5883</v>
      </c>
      <c r="B6323" s="35">
        <v>1.30598833983121</v>
      </c>
    </row>
    <row r="6324" spans="1:2" ht="13.2" x14ac:dyDescent="0.25">
      <c r="A6324" s="34" t="s">
        <v>5882</v>
      </c>
      <c r="B6324" s="35">
        <v>1.2849226156262199</v>
      </c>
    </row>
    <row r="6325" spans="1:2" ht="13.2" x14ac:dyDescent="0.25">
      <c r="A6325" s="34" t="s">
        <v>5881</v>
      </c>
      <c r="B6325" s="35">
        <v>1.29824819464823</v>
      </c>
    </row>
    <row r="6326" spans="1:2" ht="13.2" x14ac:dyDescent="0.25">
      <c r="A6326" s="34" t="s">
        <v>5880</v>
      </c>
    </row>
    <row r="6327" spans="1:2" ht="13.2" x14ac:dyDescent="0.25">
      <c r="A6327" s="34" t="s">
        <v>5879</v>
      </c>
    </row>
    <row r="6328" spans="1:2" ht="13.2" x14ac:dyDescent="0.25">
      <c r="A6328" s="34" t="s">
        <v>5878</v>
      </c>
      <c r="B6328" s="35">
        <v>1.3222400599167301</v>
      </c>
    </row>
    <row r="6329" spans="1:2" ht="13.2" x14ac:dyDescent="0.25">
      <c r="A6329" s="34" t="s">
        <v>5877</v>
      </c>
      <c r="B6329" s="35">
        <v>1.33061354707554</v>
      </c>
    </row>
    <row r="6330" spans="1:2" ht="13.2" x14ac:dyDescent="0.25">
      <c r="A6330" s="34" t="s">
        <v>5876</v>
      </c>
      <c r="B6330" s="35">
        <v>1.31607644369154</v>
      </c>
    </row>
    <row r="6331" spans="1:2" ht="13.2" x14ac:dyDescent="0.25">
      <c r="A6331" s="34" t="s">
        <v>5875</v>
      </c>
      <c r="B6331" s="35">
        <v>1.2785970914917499</v>
      </c>
    </row>
    <row r="6332" spans="1:2" ht="13.2" x14ac:dyDescent="0.25">
      <c r="A6332" s="34" t="s">
        <v>5874</v>
      </c>
      <c r="B6332" s="35">
        <v>1.2909068281954901</v>
      </c>
    </row>
    <row r="6333" spans="1:2" ht="13.2" x14ac:dyDescent="0.25">
      <c r="A6333" s="34" t="s">
        <v>5873</v>
      </c>
    </row>
    <row r="6334" spans="1:2" ht="13.2" x14ac:dyDescent="0.25">
      <c r="A6334" s="34" t="s">
        <v>5872</v>
      </c>
    </row>
    <row r="6335" spans="1:2" ht="13.2" x14ac:dyDescent="0.25">
      <c r="A6335" s="34" t="s">
        <v>5871</v>
      </c>
      <c r="B6335" s="35">
        <v>1.23731371288281</v>
      </c>
    </row>
    <row r="6336" spans="1:2" ht="13.2" x14ac:dyDescent="0.25">
      <c r="A6336" s="34" t="s">
        <v>5870</v>
      </c>
      <c r="B6336" s="35">
        <v>1.1222774862100899</v>
      </c>
    </row>
    <row r="6337" spans="1:2" ht="13.2" x14ac:dyDescent="0.25">
      <c r="A6337" s="34" t="s">
        <v>5869</v>
      </c>
      <c r="B6337" s="35">
        <v>0.99455803001330101</v>
      </c>
    </row>
    <row r="6338" spans="1:2" ht="13.2" x14ac:dyDescent="0.25">
      <c r="A6338" s="34" t="s">
        <v>5868</v>
      </c>
      <c r="B6338" s="35">
        <v>0.96716830351605299</v>
      </c>
    </row>
    <row r="6339" spans="1:2" ht="13.2" x14ac:dyDescent="0.25">
      <c r="A6339" s="34" t="s">
        <v>5867</v>
      </c>
      <c r="B6339" s="35">
        <v>0.78856490223317899</v>
      </c>
    </row>
    <row r="6340" spans="1:2" ht="13.2" x14ac:dyDescent="0.25">
      <c r="A6340" s="34" t="s">
        <v>5866</v>
      </c>
    </row>
    <row r="6341" spans="1:2" ht="13.2" x14ac:dyDescent="0.25">
      <c r="A6341" s="34" t="s">
        <v>5865</v>
      </c>
    </row>
    <row r="6342" spans="1:2" ht="13.2" x14ac:dyDescent="0.25">
      <c r="A6342" s="34" t="s">
        <v>5864</v>
      </c>
      <c r="B6342" s="35">
        <v>0.775903262343</v>
      </c>
    </row>
    <row r="6343" spans="1:2" ht="13.2" x14ac:dyDescent="0.25">
      <c r="A6343" s="34" t="s">
        <v>5863</v>
      </c>
      <c r="B6343" s="35">
        <v>0.79946843556625902</v>
      </c>
    </row>
    <row r="6344" spans="1:2" ht="13.2" x14ac:dyDescent="0.25">
      <c r="A6344" s="34" t="s">
        <v>5862</v>
      </c>
      <c r="B6344" s="35">
        <v>0.85249366924971104</v>
      </c>
    </row>
    <row r="6345" spans="1:2" ht="13.2" x14ac:dyDescent="0.25">
      <c r="A6345" s="34" t="s">
        <v>5861</v>
      </c>
      <c r="B6345" s="35">
        <v>0.87328373157077399</v>
      </c>
    </row>
    <row r="6346" spans="1:2" ht="13.2" x14ac:dyDescent="0.25">
      <c r="A6346" s="34" t="s">
        <v>5860</v>
      </c>
      <c r="B6346" s="35">
        <v>0.90128314373270502</v>
      </c>
    </row>
    <row r="6347" spans="1:2" ht="13.2" x14ac:dyDescent="0.25">
      <c r="A6347" s="34" t="s">
        <v>5859</v>
      </c>
    </row>
    <row r="6348" spans="1:2" ht="13.2" x14ac:dyDescent="0.25">
      <c r="A6348" s="34" t="s">
        <v>5858</v>
      </c>
    </row>
    <row r="6349" spans="1:2" ht="13.2" x14ac:dyDescent="0.25">
      <c r="A6349" s="34" t="s">
        <v>5857</v>
      </c>
      <c r="B6349" s="35">
        <v>0.90152748315600195</v>
      </c>
    </row>
    <row r="6350" spans="1:2" ht="13.2" x14ac:dyDescent="0.25">
      <c r="A6350" s="34" t="s">
        <v>5856</v>
      </c>
    </row>
    <row r="6351" spans="1:2" ht="13.2" x14ac:dyDescent="0.25">
      <c r="A6351" s="34" t="s">
        <v>5855</v>
      </c>
      <c r="B6351" s="35">
        <v>0.84935369512245196</v>
      </c>
    </row>
    <row r="6352" spans="1:2" ht="13.2" x14ac:dyDescent="0.25">
      <c r="A6352" s="34" t="s">
        <v>5854</v>
      </c>
      <c r="B6352" s="35">
        <v>0.83384592078616204</v>
      </c>
    </row>
    <row r="6353" spans="1:2" ht="13.2" x14ac:dyDescent="0.25">
      <c r="A6353" s="34" t="s">
        <v>5853</v>
      </c>
      <c r="B6353" s="35">
        <v>0.83036381285335004</v>
      </c>
    </row>
    <row r="6354" spans="1:2" ht="13.2" x14ac:dyDescent="0.25">
      <c r="A6354" s="34" t="s">
        <v>5852</v>
      </c>
    </row>
    <row r="6355" spans="1:2" ht="13.2" x14ac:dyDescent="0.25">
      <c r="A6355" s="34" t="s">
        <v>5851</v>
      </c>
    </row>
    <row r="6356" spans="1:2" ht="13.2" x14ac:dyDescent="0.25">
      <c r="A6356" s="34" t="s">
        <v>5850</v>
      </c>
      <c r="B6356" s="35">
        <v>0.80935994627400298</v>
      </c>
    </row>
    <row r="6357" spans="1:2" ht="13.2" x14ac:dyDescent="0.25">
      <c r="A6357" s="34" t="s">
        <v>5849</v>
      </c>
      <c r="B6357" s="35">
        <v>1.00529024867577</v>
      </c>
    </row>
    <row r="6358" spans="1:2" ht="13.2" x14ac:dyDescent="0.25">
      <c r="A6358" s="34" t="s">
        <v>5848</v>
      </c>
      <c r="B6358" s="35">
        <v>0.96055107810615703</v>
      </c>
    </row>
    <row r="6359" spans="1:2" ht="13.2" x14ac:dyDescent="0.25">
      <c r="A6359" s="34" t="s">
        <v>5847</v>
      </c>
      <c r="B6359" s="35">
        <v>0.98077513098630797</v>
      </c>
    </row>
    <row r="6360" spans="1:2" ht="13.2" x14ac:dyDescent="0.25">
      <c r="A6360" s="34" t="s">
        <v>5846</v>
      </c>
      <c r="B6360" s="35">
        <v>0.96713740423031502</v>
      </c>
    </row>
    <row r="6361" spans="1:2" ht="13.2" x14ac:dyDescent="0.25">
      <c r="A6361" s="34" t="s">
        <v>5845</v>
      </c>
    </row>
    <row r="6362" spans="1:2" ht="13.2" x14ac:dyDescent="0.25">
      <c r="A6362" s="34" t="s">
        <v>5844</v>
      </c>
    </row>
    <row r="6363" spans="1:2" ht="13.2" x14ac:dyDescent="0.25">
      <c r="A6363" s="34" t="s">
        <v>5843</v>
      </c>
      <c r="B6363" s="35">
        <v>0.95729779454312303</v>
      </c>
    </row>
    <row r="6364" spans="1:2" ht="13.2" x14ac:dyDescent="0.25">
      <c r="A6364" s="34" t="s">
        <v>5842</v>
      </c>
      <c r="B6364" s="35">
        <v>0.99304009290530904</v>
      </c>
    </row>
    <row r="6365" spans="1:2" ht="13.2" x14ac:dyDescent="0.25">
      <c r="A6365" s="34" t="s">
        <v>5841</v>
      </c>
      <c r="B6365" s="35">
        <v>0.98233167502683205</v>
      </c>
    </row>
    <row r="6366" spans="1:2" ht="13.2" x14ac:dyDescent="0.25">
      <c r="A6366" s="34" t="s">
        <v>5840</v>
      </c>
      <c r="B6366" s="35">
        <v>0.98114263401855195</v>
      </c>
    </row>
    <row r="6367" spans="1:2" ht="13.2" x14ac:dyDescent="0.25">
      <c r="A6367" s="34" t="s">
        <v>5839</v>
      </c>
      <c r="B6367" s="35">
        <v>0.98531659414933304</v>
      </c>
    </row>
    <row r="6368" spans="1:2" ht="13.2" x14ac:dyDescent="0.25">
      <c r="A6368" s="34" t="s">
        <v>5838</v>
      </c>
    </row>
    <row r="6369" spans="1:2" ht="13.2" x14ac:dyDescent="0.25">
      <c r="A6369" s="34" t="s">
        <v>5837</v>
      </c>
    </row>
    <row r="6370" spans="1:2" ht="13.2" x14ac:dyDescent="0.25">
      <c r="A6370" s="34" t="s">
        <v>5836</v>
      </c>
      <c r="B6370" s="35">
        <v>1.01634784602854</v>
      </c>
    </row>
    <row r="6371" spans="1:2" ht="13.2" x14ac:dyDescent="0.25">
      <c r="A6371" s="34" t="s">
        <v>5835</v>
      </c>
    </row>
    <row r="6372" spans="1:2" ht="13.2" x14ac:dyDescent="0.25">
      <c r="A6372" s="34" t="s">
        <v>5834</v>
      </c>
      <c r="B6372" s="35">
        <v>0.99373809350325404</v>
      </c>
    </row>
    <row r="6373" spans="1:2" ht="13.2" x14ac:dyDescent="0.25">
      <c r="A6373" s="34" t="s">
        <v>5833</v>
      </c>
      <c r="B6373" s="35">
        <v>1.03927500488656</v>
      </c>
    </row>
    <row r="6374" spans="1:2" ht="13.2" x14ac:dyDescent="0.25">
      <c r="A6374" s="34" t="s">
        <v>5832</v>
      </c>
      <c r="B6374" s="35">
        <v>1.0185927134522801</v>
      </c>
    </row>
    <row r="6375" spans="1:2" ht="13.2" x14ac:dyDescent="0.25">
      <c r="A6375" s="34" t="s">
        <v>5831</v>
      </c>
    </row>
    <row r="6376" spans="1:2" ht="13.2" x14ac:dyDescent="0.25">
      <c r="A6376" s="34" t="s">
        <v>5830</v>
      </c>
    </row>
    <row r="6377" spans="1:2" ht="13.2" x14ac:dyDescent="0.25">
      <c r="A6377" s="34" t="s">
        <v>5829</v>
      </c>
      <c r="B6377" s="35">
        <v>0.98503216072611299</v>
      </c>
    </row>
    <row r="6378" spans="1:2" ht="13.2" x14ac:dyDescent="0.25">
      <c r="A6378" s="34" t="s">
        <v>5828</v>
      </c>
      <c r="B6378" s="35">
        <v>1.0143149677932</v>
      </c>
    </row>
    <row r="6379" spans="1:2" ht="13.2" x14ac:dyDescent="0.25">
      <c r="A6379" s="34" t="s">
        <v>5827</v>
      </c>
      <c r="B6379" s="35">
        <v>0.97996398155948405</v>
      </c>
    </row>
    <row r="6380" spans="1:2" ht="13.2" x14ac:dyDescent="0.25">
      <c r="A6380" s="34" t="s">
        <v>5826</v>
      </c>
      <c r="B6380" s="35">
        <v>0.99026955285923302</v>
      </c>
    </row>
    <row r="6381" spans="1:2" ht="13.2" x14ac:dyDescent="0.25">
      <c r="A6381" s="34" t="s">
        <v>5825</v>
      </c>
      <c r="B6381" s="35">
        <v>0.99449420557490897</v>
      </c>
    </row>
    <row r="6382" spans="1:2" ht="13.2" x14ac:dyDescent="0.25">
      <c r="A6382" s="34" t="s">
        <v>5824</v>
      </c>
    </row>
    <row r="6383" spans="1:2" ht="13.2" x14ac:dyDescent="0.25">
      <c r="A6383" s="34" t="s">
        <v>5823</v>
      </c>
    </row>
    <row r="6384" spans="1:2" ht="13.2" x14ac:dyDescent="0.25">
      <c r="A6384" s="34" t="s">
        <v>5822</v>
      </c>
    </row>
    <row r="6385" spans="1:2" ht="13.2" x14ac:dyDescent="0.25">
      <c r="A6385" s="34" t="s">
        <v>5821</v>
      </c>
      <c r="B6385" s="35">
        <v>1.0530194116364799</v>
      </c>
    </row>
    <row r="6386" spans="1:2" ht="13.2" x14ac:dyDescent="0.25">
      <c r="A6386" s="34" t="s">
        <v>5820</v>
      </c>
      <c r="B6386" s="35">
        <v>1.0692589626913001</v>
      </c>
    </row>
    <row r="6387" spans="1:2" ht="13.2" x14ac:dyDescent="0.25">
      <c r="A6387" s="34" t="s">
        <v>5819</v>
      </c>
      <c r="B6387" s="35">
        <v>1.12961147717872</v>
      </c>
    </row>
    <row r="6388" spans="1:2" ht="13.2" x14ac:dyDescent="0.25">
      <c r="A6388" s="34" t="s">
        <v>5818</v>
      </c>
      <c r="B6388" s="35">
        <v>0.96277096342375701</v>
      </c>
    </row>
    <row r="6389" spans="1:2" ht="13.2" x14ac:dyDescent="0.25">
      <c r="A6389" s="34" t="s">
        <v>5817</v>
      </c>
    </row>
    <row r="6390" spans="1:2" ht="13.2" x14ac:dyDescent="0.25">
      <c r="A6390" s="34" t="s">
        <v>5816</v>
      </c>
    </row>
    <row r="6391" spans="1:2" ht="13.2" x14ac:dyDescent="0.25">
      <c r="A6391" s="34" t="s">
        <v>5815</v>
      </c>
      <c r="B6391" s="35">
        <v>1.0302848266083</v>
      </c>
    </row>
    <row r="6392" spans="1:2" ht="13.2" x14ac:dyDescent="0.25">
      <c r="A6392" s="34" t="s">
        <v>5814</v>
      </c>
      <c r="B6392" s="35">
        <v>1.13590201375664</v>
      </c>
    </row>
    <row r="6393" spans="1:2" ht="13.2" x14ac:dyDescent="0.25">
      <c r="A6393" s="34" t="s">
        <v>5813</v>
      </c>
      <c r="B6393" s="35">
        <v>1.2649236585508701</v>
      </c>
    </row>
    <row r="6394" spans="1:2" ht="13.2" x14ac:dyDescent="0.25">
      <c r="A6394" s="34" t="s">
        <v>5812</v>
      </c>
      <c r="B6394" s="35">
        <v>1.2676622729659801</v>
      </c>
    </row>
    <row r="6395" spans="1:2" ht="13.2" x14ac:dyDescent="0.25">
      <c r="A6395" s="34" t="s">
        <v>5811</v>
      </c>
      <c r="B6395" s="35">
        <v>1.2552634355661101</v>
      </c>
    </row>
    <row r="6396" spans="1:2" ht="13.2" x14ac:dyDescent="0.25">
      <c r="A6396" s="34" t="s">
        <v>5810</v>
      </c>
    </row>
    <row r="6397" spans="1:2" ht="13.2" x14ac:dyDescent="0.25">
      <c r="A6397" s="34" t="s">
        <v>5809</v>
      </c>
    </row>
    <row r="6398" spans="1:2" ht="13.2" x14ac:dyDescent="0.25">
      <c r="A6398" s="34" t="s">
        <v>5808</v>
      </c>
      <c r="B6398" s="35">
        <v>1.2568493095951601</v>
      </c>
    </row>
    <row r="6399" spans="1:2" ht="13.2" x14ac:dyDescent="0.25">
      <c r="A6399" s="34" t="s">
        <v>5807</v>
      </c>
      <c r="B6399" s="35">
        <v>1.2565379558896099</v>
      </c>
    </row>
    <row r="6400" spans="1:2" ht="13.2" x14ac:dyDescent="0.25">
      <c r="A6400" s="34" t="s">
        <v>5806</v>
      </c>
      <c r="B6400" s="35">
        <v>1.37067622860866</v>
      </c>
    </row>
    <row r="6401" spans="1:2" ht="13.2" x14ac:dyDescent="0.25">
      <c r="A6401" s="34" t="s">
        <v>5805</v>
      </c>
      <c r="B6401" s="35">
        <v>1.33901113813338</v>
      </c>
    </row>
    <row r="6402" spans="1:2" ht="13.2" x14ac:dyDescent="0.25">
      <c r="A6402" s="34" t="s">
        <v>5804</v>
      </c>
      <c r="B6402" s="35">
        <v>1.3361971968964901</v>
      </c>
    </row>
    <row r="6403" spans="1:2" ht="13.2" x14ac:dyDescent="0.25">
      <c r="A6403" s="34" t="s">
        <v>5803</v>
      </c>
    </row>
    <row r="6404" spans="1:2" ht="13.2" x14ac:dyDescent="0.25">
      <c r="A6404" s="34" t="s">
        <v>5802</v>
      </c>
    </row>
    <row r="6405" spans="1:2" ht="13.2" x14ac:dyDescent="0.25">
      <c r="A6405" s="34" t="s">
        <v>5801</v>
      </c>
      <c r="B6405" s="35">
        <v>1.28173998741655</v>
      </c>
    </row>
    <row r="6406" spans="1:2" ht="13.2" x14ac:dyDescent="0.25">
      <c r="A6406" s="34" t="s">
        <v>5800</v>
      </c>
      <c r="B6406" s="35">
        <v>1.2800052319277999</v>
      </c>
    </row>
    <row r="6407" spans="1:2" ht="13.2" x14ac:dyDescent="0.25">
      <c r="A6407" s="34" t="s">
        <v>5799</v>
      </c>
      <c r="B6407" s="35">
        <v>1.3172859454499199</v>
      </c>
    </row>
    <row r="6408" spans="1:2" ht="13.2" x14ac:dyDescent="0.25">
      <c r="A6408" s="34" t="s">
        <v>5798</v>
      </c>
      <c r="B6408" s="35">
        <v>1.2956706548189201</v>
      </c>
    </row>
    <row r="6409" spans="1:2" ht="13.2" x14ac:dyDescent="0.25">
      <c r="A6409" s="34" t="s">
        <v>5797</v>
      </c>
      <c r="B6409" s="35">
        <v>1.3113074574513599</v>
      </c>
    </row>
    <row r="6410" spans="1:2" ht="13.2" x14ac:dyDescent="0.25">
      <c r="A6410" s="34" t="s">
        <v>5796</v>
      </c>
    </row>
    <row r="6411" spans="1:2" ht="13.2" x14ac:dyDescent="0.25">
      <c r="A6411" s="34" t="s">
        <v>5795</v>
      </c>
    </row>
    <row r="6412" spans="1:2" ht="13.2" x14ac:dyDescent="0.25">
      <c r="A6412" s="34" t="s">
        <v>5794</v>
      </c>
      <c r="B6412" s="35">
        <v>1.34069187222069</v>
      </c>
    </row>
    <row r="6413" spans="1:2" ht="13.2" x14ac:dyDescent="0.25">
      <c r="A6413" s="34" t="s">
        <v>5793</v>
      </c>
      <c r="B6413" s="35">
        <v>1.32370432727635</v>
      </c>
    </row>
    <row r="6414" spans="1:2" ht="13.2" x14ac:dyDescent="0.25">
      <c r="A6414" s="34" t="s">
        <v>5792</v>
      </c>
      <c r="B6414" s="35">
        <v>1.30238600184941</v>
      </c>
    </row>
    <row r="6415" spans="1:2" ht="13.2" x14ac:dyDescent="0.25">
      <c r="A6415" s="34" t="s">
        <v>5791</v>
      </c>
      <c r="B6415" s="35">
        <v>1.2972582634280301</v>
      </c>
    </row>
    <row r="6416" spans="1:2" ht="13.2" x14ac:dyDescent="0.25">
      <c r="A6416" s="34" t="s">
        <v>5790</v>
      </c>
      <c r="B6416" s="35">
        <v>1.2675677321485399</v>
      </c>
    </row>
    <row r="6417" spans="1:2" ht="13.2" x14ac:dyDescent="0.25">
      <c r="A6417" s="34" t="s">
        <v>5789</v>
      </c>
    </row>
    <row r="6418" spans="1:2" ht="13.2" x14ac:dyDescent="0.25">
      <c r="A6418" s="34" t="s">
        <v>5788</v>
      </c>
    </row>
    <row r="6419" spans="1:2" ht="13.2" x14ac:dyDescent="0.25">
      <c r="A6419" s="34" t="s">
        <v>5787</v>
      </c>
      <c r="B6419" s="35">
        <v>1.27845503468093</v>
      </c>
    </row>
    <row r="6420" spans="1:2" ht="13.2" x14ac:dyDescent="0.25">
      <c r="A6420" s="34" t="s">
        <v>5786</v>
      </c>
      <c r="B6420" s="35">
        <v>1.2754499162906201</v>
      </c>
    </row>
    <row r="6421" spans="1:2" ht="13.2" x14ac:dyDescent="0.25">
      <c r="A6421" s="34" t="s">
        <v>5785</v>
      </c>
      <c r="B6421" s="35">
        <v>1.1594261384160101</v>
      </c>
    </row>
    <row r="6422" spans="1:2" ht="13.2" x14ac:dyDescent="0.25">
      <c r="A6422" s="34" t="s">
        <v>5784</v>
      </c>
      <c r="B6422" s="35">
        <v>1.0209407341977901</v>
      </c>
    </row>
    <row r="6423" spans="1:2" ht="13.2" x14ac:dyDescent="0.25">
      <c r="A6423" s="34" t="s">
        <v>5783</v>
      </c>
    </row>
    <row r="6424" spans="1:2" ht="13.2" x14ac:dyDescent="0.25">
      <c r="A6424" s="34" t="s">
        <v>5782</v>
      </c>
    </row>
    <row r="6425" spans="1:2" ht="13.2" x14ac:dyDescent="0.25">
      <c r="A6425" s="34" t="s">
        <v>5781</v>
      </c>
    </row>
    <row r="6426" spans="1:2" ht="13.2" x14ac:dyDescent="0.25">
      <c r="A6426" s="34" t="s">
        <v>5780</v>
      </c>
      <c r="B6426" s="35">
        <v>1.03893578682166</v>
      </c>
    </row>
    <row r="6427" spans="1:2" ht="13.2" x14ac:dyDescent="0.25">
      <c r="A6427" s="34" t="s">
        <v>5779</v>
      </c>
      <c r="B6427" s="35">
        <v>0.98046337214775403</v>
      </c>
    </row>
    <row r="6428" spans="1:2" ht="13.2" x14ac:dyDescent="0.25">
      <c r="A6428" s="34" t="s">
        <v>5778</v>
      </c>
      <c r="B6428" s="35">
        <v>1.0166000069291701</v>
      </c>
    </row>
    <row r="6429" spans="1:2" ht="13.2" x14ac:dyDescent="0.25">
      <c r="A6429" s="34" t="s">
        <v>5777</v>
      </c>
      <c r="B6429" s="35">
        <v>1.01714542134552</v>
      </c>
    </row>
    <row r="6430" spans="1:2" ht="13.2" x14ac:dyDescent="0.25">
      <c r="A6430" s="34" t="s">
        <v>5776</v>
      </c>
    </row>
    <row r="6431" spans="1:2" ht="13.2" x14ac:dyDescent="0.25">
      <c r="A6431" s="34" t="s">
        <v>5775</v>
      </c>
    </row>
    <row r="6432" spans="1:2" ht="13.2" x14ac:dyDescent="0.25">
      <c r="A6432" s="34" t="s">
        <v>5774</v>
      </c>
    </row>
    <row r="6433" spans="1:2" ht="13.2" x14ac:dyDescent="0.25">
      <c r="A6433" s="34" t="s">
        <v>5773</v>
      </c>
      <c r="B6433" s="35">
        <v>0.89635902596265404</v>
      </c>
    </row>
    <row r="6434" spans="1:2" ht="13.2" x14ac:dyDescent="0.25">
      <c r="A6434" s="34" t="s">
        <v>5772</v>
      </c>
      <c r="B6434" s="35">
        <v>0.90097610333359601</v>
      </c>
    </row>
    <row r="6435" spans="1:2" ht="13.2" x14ac:dyDescent="0.25">
      <c r="A6435" s="34" t="s">
        <v>5771</v>
      </c>
      <c r="B6435" s="35">
        <v>0.92749866483053001</v>
      </c>
    </row>
    <row r="6436" spans="1:2" ht="13.2" x14ac:dyDescent="0.25">
      <c r="A6436" s="34" t="s">
        <v>5770</v>
      </c>
      <c r="B6436" s="35">
        <v>0.94072825421167505</v>
      </c>
    </row>
    <row r="6437" spans="1:2" ht="13.2" x14ac:dyDescent="0.25">
      <c r="A6437" s="34" t="s">
        <v>5769</v>
      </c>
      <c r="B6437" s="35">
        <v>0.954126400170628</v>
      </c>
    </row>
    <row r="6438" spans="1:2" ht="13.2" x14ac:dyDescent="0.25">
      <c r="A6438" s="34" t="s">
        <v>5768</v>
      </c>
    </row>
    <row r="6439" spans="1:2" ht="13.2" x14ac:dyDescent="0.25">
      <c r="A6439" s="34" t="s">
        <v>5767</v>
      </c>
    </row>
    <row r="6440" spans="1:2" ht="13.2" x14ac:dyDescent="0.25">
      <c r="A6440" s="34" t="s">
        <v>5766</v>
      </c>
      <c r="B6440" s="35">
        <v>0.86680663864401797</v>
      </c>
    </row>
    <row r="6441" spans="1:2" ht="13.2" x14ac:dyDescent="0.25">
      <c r="A6441" s="34" t="s">
        <v>5765</v>
      </c>
      <c r="B6441" s="35">
        <v>0.85877844486698296</v>
      </c>
    </row>
    <row r="6442" spans="1:2" ht="13.2" x14ac:dyDescent="0.25">
      <c r="A6442" s="34" t="s">
        <v>5764</v>
      </c>
      <c r="B6442" s="35">
        <v>0.91600959692158801</v>
      </c>
    </row>
    <row r="6443" spans="1:2" ht="13.2" x14ac:dyDescent="0.25">
      <c r="A6443" s="34" t="s">
        <v>5763</v>
      </c>
      <c r="B6443" s="35">
        <v>0.94677687645853204</v>
      </c>
    </row>
    <row r="6444" spans="1:2" ht="13.2" x14ac:dyDescent="0.25">
      <c r="A6444" s="34" t="s">
        <v>5762</v>
      </c>
      <c r="B6444" s="35">
        <v>0.93517759789588795</v>
      </c>
    </row>
    <row r="6445" spans="1:2" ht="13.2" x14ac:dyDescent="0.25">
      <c r="A6445" s="34" t="s">
        <v>5761</v>
      </c>
    </row>
    <row r="6446" spans="1:2" ht="13.2" x14ac:dyDescent="0.25">
      <c r="A6446" s="34" t="s">
        <v>5760</v>
      </c>
    </row>
    <row r="6447" spans="1:2" ht="13.2" x14ac:dyDescent="0.25">
      <c r="A6447" s="34" t="s">
        <v>5759</v>
      </c>
      <c r="B6447" s="35">
        <v>0.88888416671550297</v>
      </c>
    </row>
    <row r="6448" spans="1:2" ht="13.2" x14ac:dyDescent="0.25">
      <c r="A6448" s="34" t="s">
        <v>5758</v>
      </c>
      <c r="B6448" s="35">
        <v>0.85853943452754999</v>
      </c>
    </row>
    <row r="6449" spans="1:2" ht="13.2" x14ac:dyDescent="0.25">
      <c r="A6449" s="34" t="s">
        <v>5757</v>
      </c>
      <c r="B6449" s="35">
        <v>0.89757687981465994</v>
      </c>
    </row>
    <row r="6450" spans="1:2" ht="13.2" x14ac:dyDescent="0.25">
      <c r="A6450" s="34" t="s">
        <v>5756</v>
      </c>
      <c r="B6450" s="35">
        <v>0.87713620102872802</v>
      </c>
    </row>
    <row r="6451" spans="1:2" ht="13.2" x14ac:dyDescent="0.25">
      <c r="A6451" s="34" t="s">
        <v>5755</v>
      </c>
      <c r="B6451" s="35">
        <v>0.84413642252442</v>
      </c>
    </row>
    <row r="6452" spans="1:2" ht="13.2" x14ac:dyDescent="0.25">
      <c r="A6452" s="34" t="s">
        <v>5754</v>
      </c>
    </row>
    <row r="6453" spans="1:2" ht="13.2" x14ac:dyDescent="0.25">
      <c r="A6453" s="34" t="s">
        <v>5753</v>
      </c>
    </row>
    <row r="6454" spans="1:2" ht="13.2" x14ac:dyDescent="0.25">
      <c r="A6454" s="34" t="s">
        <v>5752</v>
      </c>
      <c r="B6454" s="35">
        <v>0.84512261371068598</v>
      </c>
    </row>
    <row r="6455" spans="1:2" ht="13.2" x14ac:dyDescent="0.25">
      <c r="A6455" s="34" t="s">
        <v>5751</v>
      </c>
      <c r="B6455" s="35">
        <v>0.84519890355844396</v>
      </c>
    </row>
    <row r="6456" spans="1:2" ht="13.2" x14ac:dyDescent="0.25">
      <c r="A6456" s="34" t="s">
        <v>5750</v>
      </c>
      <c r="B6456" s="35">
        <v>0.847494274329185</v>
      </c>
    </row>
    <row r="6457" spans="1:2" ht="13.2" x14ac:dyDescent="0.25">
      <c r="A6457" s="34" t="s">
        <v>5749</v>
      </c>
      <c r="B6457" s="35">
        <v>0.87327021193395904</v>
      </c>
    </row>
    <row r="6458" spans="1:2" ht="13.2" x14ac:dyDescent="0.25">
      <c r="A6458" s="34" t="s">
        <v>5748</v>
      </c>
      <c r="B6458" s="35">
        <v>0.92168692174657396</v>
      </c>
    </row>
    <row r="6459" spans="1:2" ht="13.2" x14ac:dyDescent="0.25">
      <c r="A6459" s="34" t="s">
        <v>5747</v>
      </c>
    </row>
    <row r="6460" spans="1:2" ht="13.2" x14ac:dyDescent="0.25">
      <c r="A6460" s="34" t="s">
        <v>5746</v>
      </c>
    </row>
    <row r="6461" spans="1:2" ht="13.2" x14ac:dyDescent="0.25">
      <c r="A6461" s="34" t="s">
        <v>5745</v>
      </c>
      <c r="B6461" s="35">
        <v>0.90885566445374899</v>
      </c>
    </row>
    <row r="6462" spans="1:2" ht="13.2" x14ac:dyDescent="0.25">
      <c r="A6462" s="34" t="s">
        <v>5744</v>
      </c>
      <c r="B6462" s="35">
        <v>0.988242283740289</v>
      </c>
    </row>
    <row r="6463" spans="1:2" ht="13.2" x14ac:dyDescent="0.25">
      <c r="A6463" s="34" t="s">
        <v>5743</v>
      </c>
      <c r="B6463" s="35">
        <v>1.0333097196693199</v>
      </c>
    </row>
    <row r="6464" spans="1:2" ht="13.2" x14ac:dyDescent="0.25">
      <c r="A6464" s="34" t="s">
        <v>5742</v>
      </c>
      <c r="B6464" s="35">
        <v>0.99079354115085305</v>
      </c>
    </row>
    <row r="6465" spans="1:2" ht="13.2" x14ac:dyDescent="0.25">
      <c r="A6465" s="34" t="s">
        <v>5741</v>
      </c>
      <c r="B6465" s="35">
        <v>1.07727230025362</v>
      </c>
    </row>
    <row r="6466" spans="1:2" ht="13.2" x14ac:dyDescent="0.25">
      <c r="A6466" s="34" t="s">
        <v>5740</v>
      </c>
    </row>
    <row r="6467" spans="1:2" ht="13.2" x14ac:dyDescent="0.25">
      <c r="A6467" s="34" t="s">
        <v>5739</v>
      </c>
    </row>
    <row r="6468" spans="1:2" ht="13.2" x14ac:dyDescent="0.25">
      <c r="A6468" s="34" t="s">
        <v>5738</v>
      </c>
      <c r="B6468" s="35">
        <v>1.0793813006847901</v>
      </c>
    </row>
    <row r="6469" spans="1:2" ht="13.2" x14ac:dyDescent="0.25">
      <c r="A6469" s="34" t="s">
        <v>5737</v>
      </c>
      <c r="B6469" s="35">
        <v>1.09575290270708</v>
      </c>
    </row>
    <row r="6470" spans="1:2" ht="13.2" x14ac:dyDescent="0.25">
      <c r="A6470" s="34" t="s">
        <v>5736</v>
      </c>
      <c r="B6470" s="35">
        <v>1.17160436126107</v>
      </c>
    </row>
    <row r="6471" spans="1:2" ht="13.2" x14ac:dyDescent="0.25">
      <c r="A6471" s="34" t="s">
        <v>5735</v>
      </c>
      <c r="B6471" s="35">
        <v>1.0907701194281301</v>
      </c>
    </row>
    <row r="6472" spans="1:2" ht="13.2" x14ac:dyDescent="0.25">
      <c r="A6472" s="34" t="s">
        <v>5734</v>
      </c>
      <c r="B6472" s="35">
        <v>1.1835853750115199</v>
      </c>
    </row>
    <row r="6473" spans="1:2" ht="13.2" x14ac:dyDescent="0.25">
      <c r="A6473" s="34" t="s">
        <v>5733</v>
      </c>
    </row>
    <row r="6474" spans="1:2" ht="13.2" x14ac:dyDescent="0.25">
      <c r="A6474" s="34" t="s">
        <v>5732</v>
      </c>
    </row>
    <row r="6475" spans="1:2" ht="13.2" x14ac:dyDescent="0.25">
      <c r="A6475" s="34" t="s">
        <v>5731</v>
      </c>
      <c r="B6475" s="35">
        <v>1.2243111119643799</v>
      </c>
    </row>
    <row r="6476" spans="1:2" ht="13.2" x14ac:dyDescent="0.25">
      <c r="A6476" s="34" t="s">
        <v>5730</v>
      </c>
      <c r="B6476" s="35">
        <v>1.2237527519442699</v>
      </c>
    </row>
    <row r="6477" spans="1:2" ht="13.2" x14ac:dyDescent="0.25">
      <c r="A6477" s="34" t="s">
        <v>5729</v>
      </c>
      <c r="B6477" s="35">
        <v>1.3013456711445399</v>
      </c>
    </row>
    <row r="6478" spans="1:2" ht="13.2" x14ac:dyDescent="0.25">
      <c r="A6478" s="34" t="s">
        <v>5728</v>
      </c>
      <c r="B6478" s="35">
        <v>1.28358466140132</v>
      </c>
    </row>
    <row r="6479" spans="1:2" ht="13.2" x14ac:dyDescent="0.25">
      <c r="A6479" s="34" t="s">
        <v>5727</v>
      </c>
      <c r="B6479" s="35">
        <v>1.28655311966631</v>
      </c>
    </row>
    <row r="6480" spans="1:2" ht="13.2" x14ac:dyDescent="0.25">
      <c r="A6480" s="34" t="s">
        <v>5726</v>
      </c>
    </row>
    <row r="6481" spans="1:2" ht="13.2" x14ac:dyDescent="0.25">
      <c r="A6481" s="34" t="s">
        <v>5725</v>
      </c>
    </row>
    <row r="6482" spans="1:2" ht="13.2" x14ac:dyDescent="0.25">
      <c r="A6482" s="34" t="s">
        <v>5724</v>
      </c>
      <c r="B6482" s="35">
        <v>1.30408695981446</v>
      </c>
    </row>
    <row r="6483" spans="1:2" ht="13.2" x14ac:dyDescent="0.25">
      <c r="A6483" s="34" t="s">
        <v>5723</v>
      </c>
      <c r="B6483" s="35">
        <v>1.31856899021548</v>
      </c>
    </row>
    <row r="6484" spans="1:2" ht="13.2" x14ac:dyDescent="0.25">
      <c r="A6484" s="34" t="s">
        <v>5722</v>
      </c>
      <c r="B6484" s="35">
        <v>1.3330691327767299</v>
      </c>
    </row>
    <row r="6485" spans="1:2" ht="13.2" x14ac:dyDescent="0.25">
      <c r="A6485" s="34" t="s">
        <v>5721</v>
      </c>
      <c r="B6485" s="35">
        <v>1.3190026154796</v>
      </c>
    </row>
    <row r="6486" spans="1:2" ht="13.2" x14ac:dyDescent="0.25">
      <c r="A6486" s="34" t="s">
        <v>5720</v>
      </c>
      <c r="B6486" s="35">
        <v>1.3049312243759701</v>
      </c>
    </row>
    <row r="6487" spans="1:2" ht="13.2" x14ac:dyDescent="0.25">
      <c r="A6487" s="34" t="s">
        <v>5719</v>
      </c>
    </row>
    <row r="6488" spans="1:2" ht="13.2" x14ac:dyDescent="0.25">
      <c r="A6488" s="34" t="s">
        <v>5718</v>
      </c>
    </row>
    <row r="6489" spans="1:2" ht="13.2" x14ac:dyDescent="0.25">
      <c r="A6489" s="34" t="s">
        <v>5717</v>
      </c>
      <c r="B6489" s="35">
        <v>1.2373976351495499</v>
      </c>
    </row>
    <row r="6490" spans="1:2" ht="13.2" x14ac:dyDescent="0.25">
      <c r="A6490" s="34" t="s">
        <v>5716</v>
      </c>
      <c r="B6490" s="35">
        <v>1.2949565231219999</v>
      </c>
    </row>
    <row r="6491" spans="1:2" ht="13.2" x14ac:dyDescent="0.25">
      <c r="A6491" s="34" t="s">
        <v>5715</v>
      </c>
      <c r="B6491" s="35">
        <v>1.2719463827814901</v>
      </c>
    </row>
    <row r="6492" spans="1:2" ht="13.2" x14ac:dyDescent="0.25">
      <c r="A6492" s="34" t="s">
        <v>5714</v>
      </c>
      <c r="B6492" s="35">
        <v>1.2415079986017199</v>
      </c>
    </row>
    <row r="6493" spans="1:2" ht="13.2" x14ac:dyDescent="0.25">
      <c r="A6493" s="34" t="s">
        <v>5713</v>
      </c>
      <c r="B6493" s="35">
        <v>1.24322035270368</v>
      </c>
    </row>
    <row r="6494" spans="1:2" ht="13.2" x14ac:dyDescent="0.25">
      <c r="A6494" s="34" t="s">
        <v>5712</v>
      </c>
    </row>
    <row r="6495" spans="1:2" ht="13.2" x14ac:dyDescent="0.25">
      <c r="A6495" s="34" t="s">
        <v>5711</v>
      </c>
    </row>
    <row r="6496" spans="1:2" ht="13.2" x14ac:dyDescent="0.25">
      <c r="A6496" s="34" t="s">
        <v>5710</v>
      </c>
    </row>
    <row r="6497" spans="1:2" ht="13.2" x14ac:dyDescent="0.25">
      <c r="A6497" s="34" t="s">
        <v>5709</v>
      </c>
    </row>
    <row r="6498" spans="1:2" ht="13.2" x14ac:dyDescent="0.25">
      <c r="A6498" s="34" t="s">
        <v>5708</v>
      </c>
      <c r="B6498" s="35">
        <v>1.1560878390459901</v>
      </c>
    </row>
    <row r="6499" spans="1:2" ht="13.2" x14ac:dyDescent="0.25">
      <c r="A6499" s="34" t="s">
        <v>5707</v>
      </c>
      <c r="B6499" s="35">
        <v>1.2340648311006399</v>
      </c>
    </row>
    <row r="6500" spans="1:2" ht="13.2" x14ac:dyDescent="0.25">
      <c r="A6500" s="34" t="s">
        <v>5706</v>
      </c>
      <c r="B6500" s="35">
        <v>1.2444092901683399</v>
      </c>
    </row>
    <row r="6501" spans="1:2" ht="13.2" x14ac:dyDescent="0.25">
      <c r="A6501" s="34" t="s">
        <v>5705</v>
      </c>
    </row>
    <row r="6502" spans="1:2" ht="13.2" x14ac:dyDescent="0.25">
      <c r="A6502" s="34" t="s">
        <v>5704</v>
      </c>
    </row>
    <row r="6503" spans="1:2" ht="13.2" x14ac:dyDescent="0.25">
      <c r="A6503" s="34" t="s">
        <v>5703</v>
      </c>
      <c r="B6503" s="35">
        <v>1.1161010044830799</v>
      </c>
    </row>
    <row r="6504" spans="1:2" ht="13.2" x14ac:dyDescent="0.25">
      <c r="A6504" s="34" t="s">
        <v>5702</v>
      </c>
      <c r="B6504" s="35">
        <v>1.1174511044144999</v>
      </c>
    </row>
    <row r="6505" spans="1:2" ht="13.2" x14ac:dyDescent="0.25">
      <c r="A6505" s="34" t="s">
        <v>5701</v>
      </c>
      <c r="B6505" s="35">
        <v>1.1094533675974201</v>
      </c>
    </row>
    <row r="6506" spans="1:2" ht="13.2" x14ac:dyDescent="0.25">
      <c r="A6506" s="34" t="s">
        <v>5700</v>
      </c>
      <c r="B6506" s="35">
        <v>1.0780995028392599</v>
      </c>
    </row>
    <row r="6507" spans="1:2" ht="13.2" x14ac:dyDescent="0.25">
      <c r="A6507" s="34" t="s">
        <v>5699</v>
      </c>
      <c r="B6507" s="35">
        <v>1.09809739618166</v>
      </c>
    </row>
    <row r="6508" spans="1:2" ht="13.2" x14ac:dyDescent="0.25">
      <c r="A6508" s="34" t="s">
        <v>5698</v>
      </c>
    </row>
    <row r="6509" spans="1:2" ht="13.2" x14ac:dyDescent="0.25">
      <c r="A6509" s="34" t="s">
        <v>5697</v>
      </c>
    </row>
    <row r="6510" spans="1:2" ht="13.2" x14ac:dyDescent="0.25">
      <c r="A6510" s="34" t="s">
        <v>5696</v>
      </c>
      <c r="B6510" s="35">
        <v>1.01910743013222</v>
      </c>
    </row>
    <row r="6511" spans="1:2" ht="13.2" x14ac:dyDescent="0.25">
      <c r="A6511" s="34" t="s">
        <v>5695</v>
      </c>
      <c r="B6511" s="35">
        <v>1.0623951322829199</v>
      </c>
    </row>
    <row r="6512" spans="1:2" ht="13.2" x14ac:dyDescent="0.25">
      <c r="A6512" s="34" t="s">
        <v>5694</v>
      </c>
      <c r="B6512" s="35">
        <v>1.05721985018318</v>
      </c>
    </row>
    <row r="6513" spans="1:2" ht="13.2" x14ac:dyDescent="0.25">
      <c r="A6513" s="34" t="s">
        <v>5693</v>
      </c>
      <c r="B6513" s="35">
        <v>1.02662120860189</v>
      </c>
    </row>
    <row r="6514" spans="1:2" ht="13.2" x14ac:dyDescent="0.25">
      <c r="A6514" s="34" t="s">
        <v>5692</v>
      </c>
      <c r="B6514" s="35">
        <v>0.987890613941108</v>
      </c>
    </row>
    <row r="6515" spans="1:2" ht="13.2" x14ac:dyDescent="0.25">
      <c r="A6515" s="34" t="s">
        <v>5691</v>
      </c>
    </row>
    <row r="6516" spans="1:2" ht="13.2" x14ac:dyDescent="0.25">
      <c r="A6516" s="34" t="s">
        <v>5690</v>
      </c>
    </row>
    <row r="6517" spans="1:2" ht="13.2" x14ac:dyDescent="0.25">
      <c r="A6517" s="34" t="s">
        <v>5689</v>
      </c>
      <c r="B6517" s="35">
        <v>0.99800264020269003</v>
      </c>
    </row>
    <row r="6518" spans="1:2" ht="13.2" x14ac:dyDescent="0.25">
      <c r="A6518" s="34" t="s">
        <v>5688</v>
      </c>
      <c r="B6518" s="35">
        <v>1.0003678354919701</v>
      </c>
    </row>
    <row r="6519" spans="1:2" ht="13.2" x14ac:dyDescent="0.25">
      <c r="A6519" s="34" t="s">
        <v>5687</v>
      </c>
      <c r="B6519" s="35">
        <v>1.01579462004401</v>
      </c>
    </row>
    <row r="6520" spans="1:2" ht="13.2" x14ac:dyDescent="0.25">
      <c r="A6520" s="34" t="s">
        <v>5686</v>
      </c>
      <c r="B6520" s="35">
        <v>1.02098026670847</v>
      </c>
    </row>
    <row r="6521" spans="1:2" ht="13.2" x14ac:dyDescent="0.25">
      <c r="A6521" s="34" t="s">
        <v>5685</v>
      </c>
      <c r="B6521" s="35">
        <v>0.95164577193328503</v>
      </c>
    </row>
    <row r="6522" spans="1:2" ht="13.2" x14ac:dyDescent="0.25">
      <c r="A6522" s="34" t="s">
        <v>5684</v>
      </c>
    </row>
    <row r="6523" spans="1:2" ht="13.2" x14ac:dyDescent="0.25">
      <c r="A6523" s="34" t="s">
        <v>5683</v>
      </c>
    </row>
    <row r="6524" spans="1:2" ht="13.2" x14ac:dyDescent="0.25">
      <c r="A6524" s="34" t="s">
        <v>5682</v>
      </c>
      <c r="B6524" s="35">
        <v>0.90659184751249799</v>
      </c>
    </row>
    <row r="6525" spans="1:2" ht="13.2" x14ac:dyDescent="0.25">
      <c r="A6525" s="34" t="s">
        <v>5681</v>
      </c>
      <c r="B6525" s="35">
        <v>0.87051947115587303</v>
      </c>
    </row>
    <row r="6526" spans="1:2" ht="13.2" x14ac:dyDescent="0.25">
      <c r="A6526" s="34" t="s">
        <v>5680</v>
      </c>
      <c r="B6526" s="35">
        <v>0.91180991436085301</v>
      </c>
    </row>
    <row r="6527" spans="1:2" ht="13.2" x14ac:dyDescent="0.25">
      <c r="A6527" s="34" t="s">
        <v>5679</v>
      </c>
      <c r="B6527" s="35">
        <v>0.871144067663435</v>
      </c>
    </row>
    <row r="6528" spans="1:2" ht="13.2" x14ac:dyDescent="0.25">
      <c r="A6528" s="34" t="s">
        <v>5678</v>
      </c>
      <c r="B6528" s="35">
        <v>0.77053040535556905</v>
      </c>
    </row>
    <row r="6529" spans="1:2" ht="13.2" x14ac:dyDescent="0.25">
      <c r="A6529" s="34" t="s">
        <v>5677</v>
      </c>
    </row>
    <row r="6530" spans="1:2" ht="13.2" x14ac:dyDescent="0.25">
      <c r="A6530" s="34" t="s">
        <v>5676</v>
      </c>
    </row>
    <row r="6531" spans="1:2" ht="13.2" x14ac:dyDescent="0.25">
      <c r="A6531" s="34" t="s">
        <v>5675</v>
      </c>
      <c r="B6531" s="35">
        <v>0.77815644054393696</v>
      </c>
    </row>
    <row r="6532" spans="1:2" ht="13.2" x14ac:dyDescent="0.25">
      <c r="A6532" s="34" t="s">
        <v>5674</v>
      </c>
      <c r="B6532" s="35">
        <v>0.87563448518396403</v>
      </c>
    </row>
    <row r="6533" spans="1:2" ht="13.2" x14ac:dyDescent="0.25">
      <c r="A6533" s="34" t="s">
        <v>5673</v>
      </c>
      <c r="B6533" s="35">
        <v>0.88408179589545799</v>
      </c>
    </row>
    <row r="6534" spans="1:2" ht="13.2" x14ac:dyDescent="0.25">
      <c r="A6534" s="34" t="s">
        <v>5672</v>
      </c>
      <c r="B6534" s="35">
        <v>0.82096257434063102</v>
      </c>
    </row>
    <row r="6535" spans="1:2" ht="13.2" x14ac:dyDescent="0.25">
      <c r="A6535" s="34" t="s">
        <v>5671</v>
      </c>
      <c r="B6535" s="35">
        <v>0.82860037160345301</v>
      </c>
    </row>
    <row r="6536" spans="1:2" ht="13.2" x14ac:dyDescent="0.25">
      <c r="A6536" s="34" t="s">
        <v>5670</v>
      </c>
    </row>
    <row r="6537" spans="1:2" ht="13.2" x14ac:dyDescent="0.25">
      <c r="A6537" s="34" t="s">
        <v>5669</v>
      </c>
    </row>
    <row r="6538" spans="1:2" ht="13.2" x14ac:dyDescent="0.25">
      <c r="A6538" s="34" t="s">
        <v>5668</v>
      </c>
      <c r="B6538" s="35">
        <v>0.90048850441981498</v>
      </c>
    </row>
    <row r="6539" spans="1:2" ht="13.2" x14ac:dyDescent="0.25">
      <c r="A6539" s="34" t="s">
        <v>5667</v>
      </c>
      <c r="B6539" s="35">
        <v>0.93849078604701697</v>
      </c>
    </row>
    <row r="6540" spans="1:2" ht="13.2" x14ac:dyDescent="0.25">
      <c r="A6540" s="34" t="s">
        <v>5666</v>
      </c>
      <c r="B6540" s="35">
        <v>0.94057268376659797</v>
      </c>
    </row>
    <row r="6541" spans="1:2" ht="13.2" x14ac:dyDescent="0.25">
      <c r="A6541" s="34" t="s">
        <v>5665</v>
      </c>
    </row>
    <row r="6542" spans="1:2" ht="13.2" x14ac:dyDescent="0.25">
      <c r="A6542" s="34" t="s">
        <v>5664</v>
      </c>
    </row>
    <row r="6543" spans="1:2" ht="13.2" x14ac:dyDescent="0.25">
      <c r="A6543" s="34" t="s">
        <v>5663</v>
      </c>
    </row>
    <row r="6544" spans="1:2" ht="13.2" x14ac:dyDescent="0.25">
      <c r="A6544" s="34" t="s">
        <v>5662</v>
      </c>
    </row>
    <row r="6545" spans="1:2" ht="13.2" x14ac:dyDescent="0.25">
      <c r="A6545" s="34" t="s">
        <v>5661</v>
      </c>
      <c r="B6545" s="35">
        <v>0.93710947649563503</v>
      </c>
    </row>
    <row r="6546" spans="1:2" ht="13.2" x14ac:dyDescent="0.25">
      <c r="A6546" s="34" t="s">
        <v>5660</v>
      </c>
      <c r="B6546" s="35">
        <v>0.93630966846943597</v>
      </c>
    </row>
    <row r="6547" spans="1:2" ht="13.2" x14ac:dyDescent="0.25">
      <c r="A6547" s="34" t="s">
        <v>5659</v>
      </c>
      <c r="B6547" s="35">
        <v>0.97293504975817502</v>
      </c>
    </row>
    <row r="6548" spans="1:2" ht="13.2" x14ac:dyDescent="0.25">
      <c r="A6548" s="34" t="s">
        <v>5658</v>
      </c>
      <c r="B6548" s="35">
        <v>0.97476992818291597</v>
      </c>
    </row>
    <row r="6549" spans="1:2" ht="13.2" x14ac:dyDescent="0.25">
      <c r="A6549" s="34" t="s">
        <v>5657</v>
      </c>
      <c r="B6549" s="35">
        <v>0.98617105822867601</v>
      </c>
    </row>
    <row r="6550" spans="1:2" ht="13.2" x14ac:dyDescent="0.25">
      <c r="A6550" s="34" t="s">
        <v>5656</v>
      </c>
    </row>
    <row r="6551" spans="1:2" ht="13.2" x14ac:dyDescent="0.25">
      <c r="A6551" s="34" t="s">
        <v>5655</v>
      </c>
    </row>
    <row r="6552" spans="1:2" ht="13.2" x14ac:dyDescent="0.25">
      <c r="A6552" s="34" t="s">
        <v>5654</v>
      </c>
      <c r="B6552" s="35">
        <v>0.98103474923700396</v>
      </c>
    </row>
    <row r="6553" spans="1:2" ht="13.2" x14ac:dyDescent="0.25">
      <c r="A6553" s="34" t="s">
        <v>5653</v>
      </c>
      <c r="B6553" s="35">
        <v>1.0083679640767</v>
      </c>
    </row>
    <row r="6554" spans="1:2" ht="13.2" x14ac:dyDescent="0.25">
      <c r="A6554" s="34" t="s">
        <v>5652</v>
      </c>
      <c r="B6554" s="35">
        <v>0.97675232380757604</v>
      </c>
    </row>
    <row r="6555" spans="1:2" ht="13.2" x14ac:dyDescent="0.25">
      <c r="A6555" s="34" t="s">
        <v>5651</v>
      </c>
      <c r="B6555" s="35">
        <v>0.94806354458644404</v>
      </c>
    </row>
    <row r="6556" spans="1:2" ht="13.2" x14ac:dyDescent="0.25">
      <c r="A6556" s="34" t="s">
        <v>5650</v>
      </c>
      <c r="B6556" s="35">
        <v>1.0391617948688101</v>
      </c>
    </row>
    <row r="6557" spans="1:2" ht="13.2" x14ac:dyDescent="0.25">
      <c r="A6557" s="34" t="s">
        <v>5649</v>
      </c>
    </row>
    <row r="6558" spans="1:2" ht="13.2" x14ac:dyDescent="0.25">
      <c r="A6558" s="34" t="s">
        <v>5648</v>
      </c>
    </row>
    <row r="6559" spans="1:2" ht="13.2" x14ac:dyDescent="0.25">
      <c r="A6559" s="34" t="s">
        <v>5647</v>
      </c>
      <c r="B6559" s="35">
        <v>1.0343236725308</v>
      </c>
    </row>
    <row r="6560" spans="1:2" ht="13.2" x14ac:dyDescent="0.25">
      <c r="A6560" s="34" t="s">
        <v>5646</v>
      </c>
      <c r="B6560" s="35">
        <v>1.03996782841274</v>
      </c>
    </row>
    <row r="6561" spans="1:2" ht="13.2" x14ac:dyDescent="0.25">
      <c r="A6561" s="34" t="s">
        <v>5645</v>
      </c>
      <c r="B6561" s="35">
        <v>1.08228522484687</v>
      </c>
    </row>
    <row r="6562" spans="1:2" ht="13.2" x14ac:dyDescent="0.25">
      <c r="A6562" s="34" t="s">
        <v>5644</v>
      </c>
      <c r="B6562" s="35">
        <v>1.08768447988732</v>
      </c>
    </row>
    <row r="6563" spans="1:2" ht="13.2" x14ac:dyDescent="0.25">
      <c r="A6563" s="34" t="s">
        <v>5643</v>
      </c>
      <c r="B6563" s="35">
        <v>1.0481747861281601</v>
      </c>
    </row>
    <row r="6564" spans="1:2" ht="13.2" x14ac:dyDescent="0.25">
      <c r="A6564" s="34" t="s">
        <v>5642</v>
      </c>
    </row>
    <row r="6565" spans="1:2" ht="13.2" x14ac:dyDescent="0.25">
      <c r="A6565" s="34" t="s">
        <v>5641</v>
      </c>
    </row>
    <row r="6566" spans="1:2" ht="13.2" x14ac:dyDescent="0.25">
      <c r="A6566" s="34" t="s">
        <v>5640</v>
      </c>
      <c r="B6566" s="35">
        <v>1.0486512081538</v>
      </c>
    </row>
    <row r="6567" spans="1:2" ht="13.2" x14ac:dyDescent="0.25">
      <c r="A6567" s="34" t="s">
        <v>5639</v>
      </c>
      <c r="B6567" s="35">
        <v>1.10520530598809</v>
      </c>
    </row>
    <row r="6568" spans="1:2" ht="13.2" x14ac:dyDescent="0.25">
      <c r="A6568" s="34" t="s">
        <v>5638</v>
      </c>
      <c r="B6568" s="35">
        <v>1.11527755200753</v>
      </c>
    </row>
    <row r="6569" spans="1:2" ht="13.2" x14ac:dyDescent="0.25">
      <c r="A6569" s="34" t="s">
        <v>5637</v>
      </c>
      <c r="B6569" s="35">
        <v>1.05717003972759</v>
      </c>
    </row>
    <row r="6570" spans="1:2" ht="13.2" x14ac:dyDescent="0.25">
      <c r="A6570" s="34" t="s">
        <v>5636</v>
      </c>
      <c r="B6570" s="35">
        <v>1.0207475058961799</v>
      </c>
    </row>
    <row r="6571" spans="1:2" ht="13.2" x14ac:dyDescent="0.25">
      <c r="A6571" s="34" t="s">
        <v>5635</v>
      </c>
    </row>
    <row r="6572" spans="1:2" ht="13.2" x14ac:dyDescent="0.25">
      <c r="A6572" s="34" t="s">
        <v>5634</v>
      </c>
    </row>
    <row r="6573" spans="1:2" ht="13.2" x14ac:dyDescent="0.25">
      <c r="A6573" s="34" t="s">
        <v>5633</v>
      </c>
      <c r="B6573" s="35">
        <v>0.95142786102573795</v>
      </c>
    </row>
    <row r="6574" spans="1:2" ht="13.2" x14ac:dyDescent="0.25">
      <c r="A6574" s="34" t="s">
        <v>5632</v>
      </c>
      <c r="B6574" s="35">
        <v>1.0398514510714201</v>
      </c>
    </row>
    <row r="6575" spans="1:2" ht="13.2" x14ac:dyDescent="0.25">
      <c r="A6575" s="34" t="s">
        <v>5631</v>
      </c>
      <c r="B6575" s="35">
        <v>1.0361344564205199</v>
      </c>
    </row>
    <row r="6576" spans="1:2" ht="13.2" x14ac:dyDescent="0.25">
      <c r="A6576" s="34" t="s">
        <v>5630</v>
      </c>
      <c r="B6576" s="35">
        <v>1.0494682638927</v>
      </c>
    </row>
    <row r="6577" spans="1:2" ht="13.2" x14ac:dyDescent="0.25">
      <c r="A6577" s="34" t="s">
        <v>5629</v>
      </c>
      <c r="B6577" s="35">
        <v>1.03994174561217</v>
      </c>
    </row>
    <row r="6578" spans="1:2" ht="13.2" x14ac:dyDescent="0.25">
      <c r="A6578" s="34" t="s">
        <v>5628</v>
      </c>
    </row>
    <row r="6579" spans="1:2" ht="13.2" x14ac:dyDescent="0.25">
      <c r="A6579" s="34" t="s">
        <v>5627</v>
      </c>
    </row>
    <row r="6580" spans="1:2" ht="13.2" x14ac:dyDescent="0.25">
      <c r="A6580" s="34" t="s">
        <v>5626</v>
      </c>
      <c r="B6580" s="35">
        <v>1.0272482401963401</v>
      </c>
    </row>
    <row r="6581" spans="1:2" ht="13.2" x14ac:dyDescent="0.25">
      <c r="A6581" s="34" t="s">
        <v>5625</v>
      </c>
      <c r="B6581" s="35">
        <v>1.0391268803488201</v>
      </c>
    </row>
    <row r="6582" spans="1:2" ht="13.2" x14ac:dyDescent="0.25">
      <c r="A6582" s="34" t="s">
        <v>5624</v>
      </c>
      <c r="B6582" s="35">
        <v>1.04959566893683</v>
      </c>
    </row>
    <row r="6583" spans="1:2" ht="13.2" x14ac:dyDescent="0.25">
      <c r="A6583" s="34" t="s">
        <v>5623</v>
      </c>
      <c r="B6583" s="35">
        <v>1.06022851451463</v>
      </c>
    </row>
    <row r="6584" spans="1:2" ht="13.2" x14ac:dyDescent="0.25">
      <c r="A6584" s="34" t="s">
        <v>5622</v>
      </c>
      <c r="B6584" s="35">
        <v>1.0571290318459501</v>
      </c>
    </row>
    <row r="6585" spans="1:2" ht="13.2" x14ac:dyDescent="0.25">
      <c r="A6585" s="34" t="s">
        <v>5621</v>
      </c>
    </row>
    <row r="6586" spans="1:2" ht="13.2" x14ac:dyDescent="0.25">
      <c r="A6586" s="34" t="s">
        <v>5620</v>
      </c>
    </row>
    <row r="6587" spans="1:2" ht="13.2" x14ac:dyDescent="0.25">
      <c r="A6587" s="34" t="s">
        <v>5619</v>
      </c>
      <c r="B6587" s="35">
        <v>1.08937924731632</v>
      </c>
    </row>
    <row r="6588" spans="1:2" ht="13.2" x14ac:dyDescent="0.25">
      <c r="A6588" s="34" t="s">
        <v>5618</v>
      </c>
      <c r="B6588" s="35">
        <v>1.08797872736771</v>
      </c>
    </row>
    <row r="6589" spans="1:2" ht="13.2" x14ac:dyDescent="0.25">
      <c r="A6589" s="34" t="s">
        <v>5617</v>
      </c>
      <c r="B6589" s="35">
        <v>1.0825566732048999</v>
      </c>
    </row>
    <row r="6590" spans="1:2" ht="13.2" x14ac:dyDescent="0.25">
      <c r="A6590" s="34" t="s">
        <v>5616</v>
      </c>
      <c r="B6590" s="35">
        <v>1.0336567924428799</v>
      </c>
    </row>
    <row r="6591" spans="1:2" ht="13.2" x14ac:dyDescent="0.25">
      <c r="A6591" s="34" t="s">
        <v>5615</v>
      </c>
      <c r="B6591" s="35">
        <v>1.06181600580149</v>
      </c>
    </row>
    <row r="6592" spans="1:2" ht="13.2" x14ac:dyDescent="0.25">
      <c r="A6592" s="34" t="s">
        <v>5614</v>
      </c>
    </row>
    <row r="6593" spans="1:2" ht="13.2" x14ac:dyDescent="0.25">
      <c r="A6593" s="34" t="s">
        <v>5613</v>
      </c>
    </row>
    <row r="6594" spans="1:2" ht="13.2" x14ac:dyDescent="0.25">
      <c r="A6594" s="34" t="s">
        <v>5612</v>
      </c>
      <c r="B6594" s="35">
        <v>1.05555621615567</v>
      </c>
    </row>
    <row r="6595" spans="1:2" ht="13.2" x14ac:dyDescent="0.25">
      <c r="A6595" s="34" t="s">
        <v>5611</v>
      </c>
      <c r="B6595" s="35">
        <v>1.0508982699090099</v>
      </c>
    </row>
    <row r="6596" spans="1:2" ht="13.2" x14ac:dyDescent="0.25">
      <c r="A6596" s="34" t="s">
        <v>5610</v>
      </c>
      <c r="B6596" s="35">
        <v>1.0193607352438501</v>
      </c>
    </row>
    <row r="6597" spans="1:2" ht="13.2" x14ac:dyDescent="0.25">
      <c r="A6597" s="34" t="s">
        <v>5609</v>
      </c>
      <c r="B6597" s="35">
        <v>1.0121067121595899</v>
      </c>
    </row>
    <row r="6598" spans="1:2" ht="13.2" x14ac:dyDescent="0.25">
      <c r="A6598" s="34" t="s">
        <v>5608</v>
      </c>
      <c r="B6598" s="35">
        <v>1.0065942130809999</v>
      </c>
    </row>
    <row r="6599" spans="1:2" ht="13.2" x14ac:dyDescent="0.25">
      <c r="A6599" s="34" t="s">
        <v>5607</v>
      </c>
    </row>
    <row r="6600" spans="1:2" ht="13.2" x14ac:dyDescent="0.25">
      <c r="A6600" s="34" t="s">
        <v>5606</v>
      </c>
    </row>
    <row r="6601" spans="1:2" ht="13.2" x14ac:dyDescent="0.25">
      <c r="A6601" s="34" t="s">
        <v>5605</v>
      </c>
      <c r="B6601" s="35">
        <v>1.0029959343196999</v>
      </c>
    </row>
    <row r="6602" spans="1:2" ht="13.2" x14ac:dyDescent="0.25">
      <c r="A6602" s="34" t="s">
        <v>5604</v>
      </c>
      <c r="B6602" s="35">
        <v>1.00698058023699</v>
      </c>
    </row>
    <row r="6603" spans="1:2" ht="13.2" x14ac:dyDescent="0.25">
      <c r="A6603" s="34" t="s">
        <v>5603</v>
      </c>
      <c r="B6603" s="35">
        <v>0.93461734618710601</v>
      </c>
    </row>
    <row r="6604" spans="1:2" ht="13.2" x14ac:dyDescent="0.25">
      <c r="A6604" s="34" t="s">
        <v>5602</v>
      </c>
    </row>
    <row r="6605" spans="1:2" ht="13.2" x14ac:dyDescent="0.25">
      <c r="A6605" s="34" t="s">
        <v>5601</v>
      </c>
      <c r="B6605" s="35">
        <v>0.93326716767362905</v>
      </c>
    </row>
    <row r="6606" spans="1:2" ht="13.2" x14ac:dyDescent="0.25">
      <c r="A6606" s="34" t="s">
        <v>5600</v>
      </c>
    </row>
    <row r="6607" spans="1:2" ht="13.2" x14ac:dyDescent="0.25">
      <c r="A6607" s="34" t="s">
        <v>5599</v>
      </c>
    </row>
    <row r="6608" spans="1:2" ht="13.2" x14ac:dyDescent="0.25">
      <c r="A6608" s="34" t="s">
        <v>5598</v>
      </c>
      <c r="B6608" s="35">
        <v>0.89350251795579105</v>
      </c>
    </row>
    <row r="6609" spans="1:2" ht="13.2" x14ac:dyDescent="0.25">
      <c r="A6609" s="34" t="s">
        <v>5597</v>
      </c>
      <c r="B6609" s="35">
        <v>0.98747247255358706</v>
      </c>
    </row>
    <row r="6610" spans="1:2" ht="13.2" x14ac:dyDescent="0.25">
      <c r="A6610" s="34" t="s">
        <v>5596</v>
      </c>
      <c r="B6610" s="35">
        <v>0.98437602858943796</v>
      </c>
    </row>
    <row r="6611" spans="1:2" ht="13.2" x14ac:dyDescent="0.25">
      <c r="A6611" s="34" t="s">
        <v>5595</v>
      </c>
      <c r="B6611" s="35">
        <v>0.95007609527542203</v>
      </c>
    </row>
    <row r="6612" spans="1:2" ht="13.2" x14ac:dyDescent="0.25">
      <c r="A6612" s="34" t="s">
        <v>5594</v>
      </c>
      <c r="B6612" s="35">
        <v>0.93656467566061197</v>
      </c>
    </row>
    <row r="6613" spans="1:2" ht="13.2" x14ac:dyDescent="0.25">
      <c r="A6613" s="34" t="s">
        <v>5593</v>
      </c>
    </row>
    <row r="6614" spans="1:2" ht="13.2" x14ac:dyDescent="0.25">
      <c r="A6614" s="34" t="s">
        <v>5592</v>
      </c>
    </row>
    <row r="6615" spans="1:2" ht="13.2" x14ac:dyDescent="0.25">
      <c r="A6615" s="34" t="s">
        <v>5591</v>
      </c>
      <c r="B6615" s="35">
        <v>0.90943054701266202</v>
      </c>
    </row>
    <row r="6616" spans="1:2" ht="13.2" x14ac:dyDescent="0.25">
      <c r="A6616" s="34" t="s">
        <v>5590</v>
      </c>
      <c r="B6616" s="35">
        <v>0.95184929894224302</v>
      </c>
    </row>
    <row r="6617" spans="1:2" ht="13.2" x14ac:dyDescent="0.25">
      <c r="A6617" s="34" t="s">
        <v>5589</v>
      </c>
      <c r="B6617" s="35">
        <v>0.86212117805044697</v>
      </c>
    </row>
    <row r="6618" spans="1:2" ht="13.2" x14ac:dyDescent="0.25">
      <c r="A6618" s="34" t="s">
        <v>5588</v>
      </c>
      <c r="B6618" s="35">
        <v>0.86731473384131497</v>
      </c>
    </row>
    <row r="6619" spans="1:2" ht="13.2" x14ac:dyDescent="0.25">
      <c r="A6619" s="34" t="s">
        <v>5587</v>
      </c>
      <c r="B6619" s="35">
        <v>0.89603285978497704</v>
      </c>
    </row>
    <row r="6620" spans="1:2" ht="13.2" x14ac:dyDescent="0.25">
      <c r="A6620" s="34" t="s">
        <v>5586</v>
      </c>
    </row>
    <row r="6621" spans="1:2" ht="13.2" x14ac:dyDescent="0.25">
      <c r="A6621" s="34" t="s">
        <v>5585</v>
      </c>
    </row>
    <row r="6622" spans="1:2" ht="13.2" x14ac:dyDescent="0.25">
      <c r="A6622" s="34" t="s">
        <v>5584</v>
      </c>
      <c r="B6622" s="35">
        <v>0.97569053530030203</v>
      </c>
    </row>
    <row r="6623" spans="1:2" ht="13.2" x14ac:dyDescent="0.25">
      <c r="A6623" s="34" t="s">
        <v>5583</v>
      </c>
      <c r="B6623" s="35">
        <v>0.96082874228953796</v>
      </c>
    </row>
    <row r="6624" spans="1:2" ht="13.2" x14ac:dyDescent="0.25">
      <c r="A6624" s="34" t="s">
        <v>5582</v>
      </c>
      <c r="B6624" s="35">
        <v>1.01914954247766</v>
      </c>
    </row>
    <row r="6625" spans="1:2" ht="13.2" x14ac:dyDescent="0.25">
      <c r="A6625" s="34" t="s">
        <v>5581</v>
      </c>
      <c r="B6625" s="35">
        <v>1.0680142471099501</v>
      </c>
    </row>
    <row r="6626" spans="1:2" ht="13.2" x14ac:dyDescent="0.25">
      <c r="A6626" s="34" t="s">
        <v>5580</v>
      </c>
      <c r="B6626" s="35">
        <v>1.0539293272869501</v>
      </c>
    </row>
    <row r="6627" spans="1:2" ht="13.2" x14ac:dyDescent="0.25">
      <c r="A6627" s="34" t="s">
        <v>5579</v>
      </c>
    </row>
    <row r="6628" spans="1:2" ht="13.2" x14ac:dyDescent="0.25">
      <c r="A6628" s="34" t="s">
        <v>5578</v>
      </c>
    </row>
    <row r="6629" spans="1:2" ht="13.2" x14ac:dyDescent="0.25">
      <c r="A6629" s="34" t="s">
        <v>5577</v>
      </c>
      <c r="B6629" s="35">
        <v>1.04939445022929</v>
      </c>
    </row>
    <row r="6630" spans="1:2" ht="13.2" x14ac:dyDescent="0.25">
      <c r="A6630" s="34" t="s">
        <v>5576</v>
      </c>
      <c r="B6630" s="35">
        <v>1.05233193502388</v>
      </c>
    </row>
    <row r="6631" spans="1:2" ht="13.2" x14ac:dyDescent="0.25">
      <c r="A6631" s="34" t="s">
        <v>5575</v>
      </c>
      <c r="B6631" s="35">
        <v>1.0508352433629999</v>
      </c>
    </row>
    <row r="6632" spans="1:2" ht="13.2" x14ac:dyDescent="0.25">
      <c r="A6632" s="34" t="s">
        <v>5574</v>
      </c>
      <c r="B6632" s="35">
        <v>1.1392186133778299</v>
      </c>
    </row>
    <row r="6633" spans="1:2" ht="13.2" x14ac:dyDescent="0.25">
      <c r="A6633" s="34" t="s">
        <v>5573</v>
      </c>
      <c r="B6633" s="35">
        <v>1.13751801956595</v>
      </c>
    </row>
    <row r="6634" spans="1:2" ht="13.2" x14ac:dyDescent="0.25">
      <c r="A6634" s="34" t="s">
        <v>5572</v>
      </c>
    </row>
    <row r="6635" spans="1:2" ht="13.2" x14ac:dyDescent="0.25">
      <c r="A6635" s="34" t="s">
        <v>5571</v>
      </c>
    </row>
    <row r="6636" spans="1:2" ht="13.2" x14ac:dyDescent="0.25">
      <c r="A6636" s="34" t="s">
        <v>5570</v>
      </c>
      <c r="B6636" s="35">
        <v>1.14039986424465</v>
      </c>
    </row>
    <row r="6637" spans="1:2" ht="13.2" x14ac:dyDescent="0.25">
      <c r="A6637" s="34" t="s">
        <v>5569</v>
      </c>
      <c r="B6637" s="35">
        <v>1.1554774169480999</v>
      </c>
    </row>
    <row r="6638" spans="1:2" ht="13.2" x14ac:dyDescent="0.25">
      <c r="A6638" s="34" t="s">
        <v>5568</v>
      </c>
      <c r="B6638" s="35">
        <v>1.12157761414503</v>
      </c>
    </row>
    <row r="6639" spans="1:2" ht="13.2" x14ac:dyDescent="0.25">
      <c r="A6639" s="34" t="s">
        <v>5567</v>
      </c>
      <c r="B6639" s="35">
        <v>1.14180588823547</v>
      </c>
    </row>
    <row r="6640" spans="1:2" ht="13.2" x14ac:dyDescent="0.25">
      <c r="A6640" s="34" t="s">
        <v>5566</v>
      </c>
      <c r="B6640" s="35">
        <v>1.1434031762436201</v>
      </c>
    </row>
    <row r="6641" spans="1:2" ht="13.2" x14ac:dyDescent="0.25">
      <c r="A6641" s="34" t="s">
        <v>5565</v>
      </c>
    </row>
    <row r="6642" spans="1:2" ht="13.2" x14ac:dyDescent="0.25">
      <c r="A6642" s="34" t="s">
        <v>5564</v>
      </c>
    </row>
    <row r="6643" spans="1:2" ht="13.2" x14ac:dyDescent="0.25">
      <c r="A6643" s="34" t="s">
        <v>5563</v>
      </c>
      <c r="B6643" s="35">
        <v>1.06172912003405</v>
      </c>
    </row>
    <row r="6644" spans="1:2" ht="13.2" x14ac:dyDescent="0.25">
      <c r="A6644" s="34" t="s">
        <v>5562</v>
      </c>
      <c r="B6644" s="35">
        <v>1.0911071657946401</v>
      </c>
    </row>
    <row r="6645" spans="1:2" ht="13.2" x14ac:dyDescent="0.25">
      <c r="A6645" s="34" t="s">
        <v>5561</v>
      </c>
      <c r="B6645" s="35">
        <v>1.14470496154894</v>
      </c>
    </row>
    <row r="6646" spans="1:2" ht="13.2" x14ac:dyDescent="0.25">
      <c r="A6646" s="34" t="s">
        <v>5560</v>
      </c>
      <c r="B6646" s="35">
        <v>1.63300575322741</v>
      </c>
    </row>
    <row r="6647" spans="1:2" ht="13.2" x14ac:dyDescent="0.25">
      <c r="A6647" s="34" t="s">
        <v>5559</v>
      </c>
      <c r="B6647" s="35">
        <v>1.6490496841296101</v>
      </c>
    </row>
    <row r="6648" spans="1:2" ht="13.2" x14ac:dyDescent="0.25">
      <c r="A6648" s="34" t="s">
        <v>5558</v>
      </c>
    </row>
    <row r="6649" spans="1:2" ht="13.2" x14ac:dyDescent="0.25">
      <c r="A6649" s="34" t="s">
        <v>5557</v>
      </c>
    </row>
    <row r="6650" spans="1:2" ht="13.2" x14ac:dyDescent="0.25">
      <c r="A6650" s="34" t="s">
        <v>5556</v>
      </c>
      <c r="B6650" s="35">
        <v>2.34995542529265</v>
      </c>
    </row>
    <row r="6651" spans="1:2" ht="13.2" x14ac:dyDescent="0.25">
      <c r="A6651" s="34" t="s">
        <v>5555</v>
      </c>
      <c r="B6651" s="35">
        <v>2.6846774101472102</v>
      </c>
    </row>
    <row r="6652" spans="1:2" ht="13.2" x14ac:dyDescent="0.25">
      <c r="A6652" s="34" t="s">
        <v>5554</v>
      </c>
      <c r="B6652" s="35">
        <v>2.6984030120125699</v>
      </c>
    </row>
    <row r="6653" spans="1:2" ht="13.2" x14ac:dyDescent="0.25">
      <c r="A6653" s="34" t="s">
        <v>5553</v>
      </c>
      <c r="B6653" s="35">
        <v>2.8258162745657098</v>
      </c>
    </row>
    <row r="6654" spans="1:2" ht="13.2" x14ac:dyDescent="0.25">
      <c r="A6654" s="34" t="s">
        <v>5552</v>
      </c>
      <c r="B6654" s="35">
        <v>2.8213350638846801</v>
      </c>
    </row>
    <row r="6655" spans="1:2" ht="13.2" x14ac:dyDescent="0.25">
      <c r="A6655" s="34" t="s">
        <v>5551</v>
      </c>
    </row>
    <row r="6656" spans="1:2" ht="13.2" x14ac:dyDescent="0.25">
      <c r="A6656" s="34" t="s">
        <v>5550</v>
      </c>
    </row>
    <row r="6657" spans="1:2" ht="13.2" x14ac:dyDescent="0.25">
      <c r="A6657" s="34" t="s">
        <v>5549</v>
      </c>
      <c r="B6657" s="35">
        <v>2.8824694371581199</v>
      </c>
    </row>
    <row r="6658" spans="1:2" ht="13.2" x14ac:dyDescent="0.25">
      <c r="A6658" s="34" t="s">
        <v>5548</v>
      </c>
      <c r="B6658" s="35">
        <v>2.8787178669317299</v>
      </c>
    </row>
    <row r="6659" spans="1:2" ht="13.2" x14ac:dyDescent="0.25">
      <c r="A6659" s="34" t="s">
        <v>5547</v>
      </c>
      <c r="B6659" s="35">
        <v>2.89937133063074</v>
      </c>
    </row>
    <row r="6660" spans="1:2" ht="13.2" x14ac:dyDescent="0.25">
      <c r="A6660" s="34" t="s">
        <v>5546</v>
      </c>
      <c r="B6660" s="35">
        <v>2.98240084878391</v>
      </c>
    </row>
    <row r="6661" spans="1:2" ht="13.2" x14ac:dyDescent="0.25">
      <c r="A6661" s="34" t="s">
        <v>5545</v>
      </c>
      <c r="B6661" s="35">
        <v>2.9339056866981998</v>
      </c>
    </row>
    <row r="6662" spans="1:2" ht="13.2" x14ac:dyDescent="0.25">
      <c r="A6662" s="34" t="s">
        <v>5544</v>
      </c>
    </row>
    <row r="6663" spans="1:2" ht="13.2" x14ac:dyDescent="0.25">
      <c r="A6663" s="34" t="s">
        <v>5543</v>
      </c>
    </row>
    <row r="6664" spans="1:2" ht="13.2" x14ac:dyDescent="0.25">
      <c r="A6664" s="34" t="s">
        <v>5542</v>
      </c>
      <c r="B6664" s="35">
        <v>2.9336033434578401</v>
      </c>
    </row>
    <row r="6665" spans="1:2" ht="13.2" x14ac:dyDescent="0.25">
      <c r="A6665" s="34" t="s">
        <v>5541</v>
      </c>
      <c r="B6665" s="35">
        <v>3.0156923339144499</v>
      </c>
    </row>
    <row r="6666" spans="1:2" ht="13.2" x14ac:dyDescent="0.25">
      <c r="A6666" s="34" t="s">
        <v>5540</v>
      </c>
      <c r="B6666" s="35">
        <v>3.0151960200283199</v>
      </c>
    </row>
    <row r="6667" spans="1:2" ht="13.2" x14ac:dyDescent="0.25">
      <c r="A6667" s="34" t="s">
        <v>5539</v>
      </c>
      <c r="B6667" s="35">
        <v>3.0109517905763798</v>
      </c>
    </row>
    <row r="6668" spans="1:2" ht="13.2" x14ac:dyDescent="0.25">
      <c r="A6668" s="34" t="s">
        <v>5538</v>
      </c>
      <c r="B6668" s="35">
        <v>3.0115607047117701</v>
      </c>
    </row>
    <row r="6669" spans="1:2" ht="13.2" x14ac:dyDescent="0.25">
      <c r="A6669" s="34" t="s">
        <v>5537</v>
      </c>
    </row>
    <row r="6670" spans="1:2" ht="13.2" x14ac:dyDescent="0.25">
      <c r="A6670" s="34" t="s">
        <v>5536</v>
      </c>
    </row>
    <row r="6671" spans="1:2" ht="13.2" x14ac:dyDescent="0.25">
      <c r="A6671" s="34" t="s">
        <v>5535</v>
      </c>
      <c r="B6671" s="35">
        <v>3.0918086745102</v>
      </c>
    </row>
    <row r="6672" spans="1:2" ht="13.2" x14ac:dyDescent="0.25">
      <c r="A6672" s="34" t="s">
        <v>5534</v>
      </c>
      <c r="B6672" s="35">
        <v>3.1040897198519501</v>
      </c>
    </row>
    <row r="6673" spans="1:2" ht="13.2" x14ac:dyDescent="0.25">
      <c r="A6673" s="34" t="s">
        <v>5533</v>
      </c>
      <c r="B6673" s="35">
        <v>3.1107244631605</v>
      </c>
    </row>
    <row r="6674" spans="1:2" ht="13.2" x14ac:dyDescent="0.25">
      <c r="A6674" s="34" t="s">
        <v>5532</v>
      </c>
      <c r="B6674" s="35">
        <v>3.1288265561742401</v>
      </c>
    </row>
    <row r="6675" spans="1:2" ht="13.2" x14ac:dyDescent="0.25">
      <c r="A6675" s="34" t="s">
        <v>5531</v>
      </c>
      <c r="B6675" s="35">
        <v>2.89093799594094</v>
      </c>
    </row>
    <row r="6676" spans="1:2" ht="13.2" x14ac:dyDescent="0.25">
      <c r="A6676" s="34" t="s">
        <v>5530</v>
      </c>
    </row>
    <row r="6677" spans="1:2" ht="13.2" x14ac:dyDescent="0.25">
      <c r="A6677" s="34" t="s">
        <v>5529</v>
      </c>
    </row>
    <row r="6678" spans="1:2" ht="13.2" x14ac:dyDescent="0.25">
      <c r="A6678" s="34" t="s">
        <v>5528</v>
      </c>
      <c r="B6678" s="35">
        <v>2.9679241826704899</v>
      </c>
    </row>
    <row r="6679" spans="1:2" ht="13.2" x14ac:dyDescent="0.25">
      <c r="A6679" s="34" t="s">
        <v>5527</v>
      </c>
      <c r="B6679" s="35">
        <v>2.2718046877164002</v>
      </c>
    </row>
    <row r="6680" spans="1:2" ht="13.2" x14ac:dyDescent="0.25">
      <c r="A6680" s="34" t="s">
        <v>5526</v>
      </c>
      <c r="B6680" s="35">
        <v>2.0547897381986799</v>
      </c>
    </row>
    <row r="6681" spans="1:2" ht="13.2" x14ac:dyDescent="0.25">
      <c r="A6681" s="34" t="s">
        <v>5525</v>
      </c>
      <c r="B6681" s="35">
        <v>2.0742104563433701</v>
      </c>
    </row>
    <row r="6682" spans="1:2" ht="13.2" x14ac:dyDescent="0.25">
      <c r="A6682" s="34" t="s">
        <v>5524</v>
      </c>
      <c r="B6682" s="35">
        <v>2.0987089380668902</v>
      </c>
    </row>
    <row r="6683" spans="1:2" ht="13.2" x14ac:dyDescent="0.25">
      <c r="A6683" s="34" t="s">
        <v>5523</v>
      </c>
    </row>
    <row r="6684" spans="1:2" ht="13.2" x14ac:dyDescent="0.25">
      <c r="A6684" s="34" t="s">
        <v>5522</v>
      </c>
    </row>
    <row r="6685" spans="1:2" ht="13.2" x14ac:dyDescent="0.25">
      <c r="A6685" s="34" t="s">
        <v>5521</v>
      </c>
      <c r="B6685" s="35">
        <v>2.1003164257598601</v>
      </c>
    </row>
    <row r="6686" spans="1:2" ht="13.2" x14ac:dyDescent="0.25">
      <c r="A6686" s="34" t="s">
        <v>5520</v>
      </c>
      <c r="B6686" s="35">
        <v>2.0517324773563099</v>
      </c>
    </row>
    <row r="6687" spans="1:2" ht="13.2" x14ac:dyDescent="0.25">
      <c r="A6687" s="34" t="s">
        <v>5519</v>
      </c>
      <c r="B6687" s="35">
        <v>2.0629609002404101</v>
      </c>
    </row>
    <row r="6688" spans="1:2" ht="13.2" x14ac:dyDescent="0.25">
      <c r="A6688" s="34" t="s">
        <v>5518</v>
      </c>
      <c r="B6688" s="35">
        <v>2.0445849620052901</v>
      </c>
    </row>
    <row r="6689" spans="1:2" ht="13.2" x14ac:dyDescent="0.25">
      <c r="A6689" s="34" t="s">
        <v>5517</v>
      </c>
      <c r="B6689" s="35">
        <v>1.8781800615186901</v>
      </c>
    </row>
    <row r="6690" spans="1:2" ht="13.2" x14ac:dyDescent="0.25">
      <c r="A6690" s="34" t="s">
        <v>5516</v>
      </c>
    </row>
    <row r="6691" spans="1:2" ht="13.2" x14ac:dyDescent="0.25">
      <c r="A6691" s="34" t="s">
        <v>5515</v>
      </c>
    </row>
    <row r="6692" spans="1:2" ht="13.2" x14ac:dyDescent="0.25">
      <c r="A6692" s="34" t="s">
        <v>5514</v>
      </c>
      <c r="B6692" s="35">
        <v>1.8446643532756499</v>
      </c>
    </row>
    <row r="6693" spans="1:2" ht="13.2" x14ac:dyDescent="0.25">
      <c r="A6693" s="34" t="s">
        <v>5513</v>
      </c>
      <c r="B6693" s="35">
        <v>1.8792148907723101</v>
      </c>
    </row>
    <row r="6694" spans="1:2" ht="13.2" x14ac:dyDescent="0.25">
      <c r="A6694" s="34" t="s">
        <v>5512</v>
      </c>
      <c r="B6694" s="35">
        <v>1.8225263907092499</v>
      </c>
    </row>
    <row r="6695" spans="1:2" ht="13.2" x14ac:dyDescent="0.25">
      <c r="A6695" s="34" t="s">
        <v>5511</v>
      </c>
      <c r="B6695" s="35">
        <v>2.1403432009354302</v>
      </c>
    </row>
    <row r="6696" spans="1:2" ht="13.2" x14ac:dyDescent="0.25">
      <c r="A6696" s="34" t="s">
        <v>5510</v>
      </c>
      <c r="B6696" s="35">
        <v>2.1114786363597702</v>
      </c>
    </row>
    <row r="6697" spans="1:2" ht="13.2" x14ac:dyDescent="0.25">
      <c r="A6697" s="34" t="s">
        <v>5509</v>
      </c>
      <c r="B6697" s="35">
        <v>2.1050780644290601</v>
      </c>
    </row>
    <row r="6698" spans="1:2" ht="13.2" x14ac:dyDescent="0.25">
      <c r="A6698" s="34" t="s">
        <v>5508</v>
      </c>
    </row>
    <row r="6699" spans="1:2" ht="13.2" x14ac:dyDescent="0.25">
      <c r="A6699" s="34" t="s">
        <v>5507</v>
      </c>
      <c r="B6699" s="35">
        <v>2.01746153381263</v>
      </c>
    </row>
    <row r="6700" spans="1:2" ht="13.2" x14ac:dyDescent="0.25">
      <c r="A6700" s="34" t="s">
        <v>5506</v>
      </c>
      <c r="B6700" s="35">
        <v>2.00573284384993</v>
      </c>
    </row>
    <row r="6701" spans="1:2" ht="13.2" x14ac:dyDescent="0.25">
      <c r="A6701" s="34" t="s">
        <v>5505</v>
      </c>
      <c r="B6701" s="35">
        <v>1.9581830214274001</v>
      </c>
    </row>
    <row r="6702" spans="1:2" ht="13.2" x14ac:dyDescent="0.25">
      <c r="A6702" s="34" t="s">
        <v>5504</v>
      </c>
      <c r="B6702" s="35">
        <v>1.8292508244649699</v>
      </c>
    </row>
    <row r="6703" spans="1:2" ht="13.2" x14ac:dyDescent="0.25">
      <c r="A6703" s="34" t="s">
        <v>5503</v>
      </c>
      <c r="B6703" s="35">
        <v>1.7872391888313699</v>
      </c>
    </row>
    <row r="6704" spans="1:2" ht="13.2" x14ac:dyDescent="0.25">
      <c r="A6704" s="34" t="s">
        <v>5502</v>
      </c>
    </row>
    <row r="6705" spans="1:2" ht="13.2" x14ac:dyDescent="0.25">
      <c r="A6705" s="34" t="s">
        <v>5501</v>
      </c>
    </row>
    <row r="6706" spans="1:2" ht="13.2" x14ac:dyDescent="0.25">
      <c r="A6706" s="34" t="s">
        <v>5500</v>
      </c>
      <c r="B6706" s="35">
        <v>1.8025286924900901</v>
      </c>
    </row>
    <row r="6707" spans="1:2" ht="13.2" x14ac:dyDescent="0.25">
      <c r="A6707" s="34" t="s">
        <v>5499</v>
      </c>
      <c r="B6707" s="35">
        <v>1.6418314816122599</v>
      </c>
    </row>
    <row r="6708" spans="1:2" ht="13.2" x14ac:dyDescent="0.25">
      <c r="A6708" s="34" t="s">
        <v>5498</v>
      </c>
      <c r="B6708" s="35">
        <v>1.65811927978269</v>
      </c>
    </row>
    <row r="6709" spans="1:2" ht="13.2" x14ac:dyDescent="0.25">
      <c r="A6709" s="34" t="s">
        <v>5497</v>
      </c>
      <c r="B6709" s="35">
        <v>1.7114424709895499</v>
      </c>
    </row>
    <row r="6710" spans="1:2" ht="13.2" x14ac:dyDescent="0.25">
      <c r="A6710" s="34" t="s">
        <v>5496</v>
      </c>
      <c r="B6710" s="35">
        <v>1.62991690721738</v>
      </c>
    </row>
    <row r="6711" spans="1:2" ht="13.2" x14ac:dyDescent="0.25">
      <c r="A6711" s="34" t="s">
        <v>5495</v>
      </c>
    </row>
    <row r="6712" spans="1:2" ht="13.2" x14ac:dyDescent="0.25">
      <c r="A6712" s="34" t="s">
        <v>5494</v>
      </c>
    </row>
    <row r="6713" spans="1:2" ht="13.2" x14ac:dyDescent="0.25">
      <c r="A6713" s="34" t="s">
        <v>5493</v>
      </c>
      <c r="B6713" s="35">
        <v>1.8797915153490701</v>
      </c>
    </row>
    <row r="6714" spans="1:2" ht="13.2" x14ac:dyDescent="0.25">
      <c r="A6714" s="34" t="s">
        <v>5492</v>
      </c>
      <c r="B6714" s="35">
        <v>1.89988619466399</v>
      </c>
    </row>
    <row r="6715" spans="1:2" ht="13.2" x14ac:dyDescent="0.25">
      <c r="A6715" s="34" t="s">
        <v>5491</v>
      </c>
    </row>
    <row r="6716" spans="1:2" ht="13.2" x14ac:dyDescent="0.25">
      <c r="A6716" s="34" t="s">
        <v>5490</v>
      </c>
      <c r="B6716" s="35">
        <v>1.90307988643862</v>
      </c>
    </row>
    <row r="6717" spans="1:2" ht="13.2" x14ac:dyDescent="0.25">
      <c r="A6717" s="34" t="s">
        <v>5489</v>
      </c>
      <c r="B6717" s="35">
        <v>1.91282653287223</v>
      </c>
    </row>
    <row r="6718" spans="1:2" ht="13.2" x14ac:dyDescent="0.25">
      <c r="A6718" s="34" t="s">
        <v>5488</v>
      </c>
    </row>
    <row r="6719" spans="1:2" ht="13.2" x14ac:dyDescent="0.25">
      <c r="A6719" s="34" t="s">
        <v>5487</v>
      </c>
      <c r="B6719" s="35">
        <v>2.0002469999999999</v>
      </c>
    </row>
    <row r="6720" spans="1:2" ht="13.2" x14ac:dyDescent="0.25">
      <c r="A6720" s="34" t="s">
        <v>5486</v>
      </c>
      <c r="B6720" s="35">
        <v>1.9218265658740601</v>
      </c>
    </row>
    <row r="6721" spans="1:2" ht="13.2" x14ac:dyDescent="0.25">
      <c r="A6721" s="34" t="s">
        <v>5485</v>
      </c>
      <c r="B6721" s="35">
        <v>1.9887027447269401</v>
      </c>
    </row>
    <row r="6722" spans="1:2" ht="13.2" x14ac:dyDescent="0.25">
      <c r="A6722" s="34" t="s">
        <v>5484</v>
      </c>
      <c r="B6722" s="35">
        <v>1.97266437423646</v>
      </c>
    </row>
    <row r="6723" spans="1:2" ht="13.2" x14ac:dyDescent="0.25">
      <c r="A6723" s="34" t="s">
        <v>5483</v>
      </c>
      <c r="B6723" s="35">
        <v>2.0012697350135298</v>
      </c>
    </row>
    <row r="6724" spans="1:2" ht="13.2" x14ac:dyDescent="0.25">
      <c r="A6724" s="34" t="s">
        <v>5482</v>
      </c>
      <c r="B6724" s="35">
        <v>1.7436284801162301</v>
      </c>
    </row>
    <row r="6725" spans="1:2" ht="13.2" x14ac:dyDescent="0.25">
      <c r="A6725" s="34" t="s">
        <v>5481</v>
      </c>
    </row>
    <row r="6726" spans="1:2" ht="13.2" x14ac:dyDescent="0.25">
      <c r="A6726" s="34" t="s">
        <v>5480</v>
      </c>
    </row>
    <row r="6727" spans="1:2" ht="13.2" x14ac:dyDescent="0.25">
      <c r="A6727" s="34" t="s">
        <v>5479</v>
      </c>
      <c r="B6727" s="35">
        <v>1.84177843206102</v>
      </c>
    </row>
    <row r="6728" spans="1:2" ht="13.2" x14ac:dyDescent="0.25">
      <c r="A6728" s="34" t="s">
        <v>5478</v>
      </c>
      <c r="B6728" s="35">
        <v>1.8662046328955</v>
      </c>
    </row>
    <row r="6729" spans="1:2" ht="13.2" x14ac:dyDescent="0.25">
      <c r="A6729" s="34" t="s">
        <v>5477</v>
      </c>
      <c r="B6729" s="35">
        <v>1.8818242012058799</v>
      </c>
    </row>
    <row r="6730" spans="1:2" ht="13.2" x14ac:dyDescent="0.25">
      <c r="A6730" s="34" t="s">
        <v>5476</v>
      </c>
      <c r="B6730" s="35">
        <v>2.0198092995991601</v>
      </c>
    </row>
    <row r="6731" spans="1:2" ht="13.2" x14ac:dyDescent="0.25">
      <c r="A6731" s="34" t="s">
        <v>5475</v>
      </c>
      <c r="B6731" s="35">
        <v>1.9837144599519101</v>
      </c>
    </row>
    <row r="6732" spans="1:2" ht="13.2" x14ac:dyDescent="0.25">
      <c r="A6732" s="34" t="s">
        <v>5474</v>
      </c>
    </row>
    <row r="6733" spans="1:2" ht="13.2" x14ac:dyDescent="0.25">
      <c r="A6733" s="34" t="s">
        <v>5473</v>
      </c>
    </row>
    <row r="6734" spans="1:2" ht="13.2" x14ac:dyDescent="0.25">
      <c r="A6734" s="34" t="s">
        <v>5472</v>
      </c>
      <c r="B6734" s="35">
        <v>2.0583024108450498</v>
      </c>
    </row>
    <row r="6735" spans="1:2" ht="13.2" x14ac:dyDescent="0.25">
      <c r="A6735" s="34" t="s">
        <v>5471</v>
      </c>
      <c r="B6735" s="35">
        <v>2.04409739188592</v>
      </c>
    </row>
    <row r="6736" spans="1:2" ht="13.2" x14ac:dyDescent="0.25">
      <c r="A6736" s="34" t="s">
        <v>5470</v>
      </c>
    </row>
    <row r="6737" spans="1:2" ht="13.2" x14ac:dyDescent="0.25">
      <c r="A6737" s="34" t="s">
        <v>5469</v>
      </c>
      <c r="B6737" s="35">
        <v>1.89957487566326</v>
      </c>
    </row>
    <row r="6738" spans="1:2" ht="13.2" x14ac:dyDescent="0.25">
      <c r="A6738" s="34" t="s">
        <v>5468</v>
      </c>
      <c r="B6738" s="35">
        <v>1.8895832249817699</v>
      </c>
    </row>
    <row r="6739" spans="1:2" ht="13.2" x14ac:dyDescent="0.25">
      <c r="A6739" s="34" t="s">
        <v>5467</v>
      </c>
    </row>
    <row r="6740" spans="1:2" ht="13.2" x14ac:dyDescent="0.25">
      <c r="A6740" s="34" t="s">
        <v>5466</v>
      </c>
    </row>
    <row r="6741" spans="1:2" ht="13.2" x14ac:dyDescent="0.25">
      <c r="A6741" s="34" t="s">
        <v>5465</v>
      </c>
      <c r="B6741" s="35">
        <v>1.89004262017784</v>
      </c>
    </row>
    <row r="6742" spans="1:2" ht="13.2" x14ac:dyDescent="0.25">
      <c r="A6742" s="34" t="s">
        <v>5464</v>
      </c>
      <c r="B6742" s="35">
        <v>1.8571460334679599</v>
      </c>
    </row>
    <row r="6743" spans="1:2" ht="13.2" x14ac:dyDescent="0.25">
      <c r="A6743" s="34" t="s">
        <v>5463</v>
      </c>
      <c r="B6743" s="35">
        <v>1.8958880369709901</v>
      </c>
    </row>
    <row r="6744" spans="1:2" ht="13.2" x14ac:dyDescent="0.25">
      <c r="A6744" s="34" t="s">
        <v>5462</v>
      </c>
      <c r="B6744" s="35">
        <v>1.7439217526211701</v>
      </c>
    </row>
    <row r="6745" spans="1:2" ht="13.2" x14ac:dyDescent="0.25">
      <c r="A6745" s="34" t="s">
        <v>5461</v>
      </c>
      <c r="B6745" s="35">
        <v>1.78032091630696</v>
      </c>
    </row>
    <row r="6746" spans="1:2" ht="13.2" x14ac:dyDescent="0.25">
      <c r="A6746" s="34" t="s">
        <v>5460</v>
      </c>
    </row>
    <row r="6747" spans="1:2" ht="13.2" x14ac:dyDescent="0.25">
      <c r="A6747" s="34" t="s">
        <v>5459</v>
      </c>
    </row>
    <row r="6748" spans="1:2" ht="13.2" x14ac:dyDescent="0.25">
      <c r="A6748" s="34" t="s">
        <v>5458</v>
      </c>
      <c r="B6748" s="35">
        <v>1.7748522755310201</v>
      </c>
    </row>
    <row r="6749" spans="1:2" ht="13.2" x14ac:dyDescent="0.25">
      <c r="A6749" s="34" t="s">
        <v>5457</v>
      </c>
    </row>
    <row r="6750" spans="1:2" ht="13.2" x14ac:dyDescent="0.25">
      <c r="A6750" s="34" t="s">
        <v>5456</v>
      </c>
      <c r="B6750" s="35">
        <v>1.7722507909457801</v>
      </c>
    </row>
    <row r="6751" spans="1:2" ht="13.2" x14ac:dyDescent="0.25">
      <c r="A6751" s="34" t="s">
        <v>5455</v>
      </c>
      <c r="B6751" s="35">
        <v>1.8215999265085601</v>
      </c>
    </row>
    <row r="6752" spans="1:2" ht="13.2" x14ac:dyDescent="0.25">
      <c r="A6752" s="34" t="s">
        <v>5454</v>
      </c>
      <c r="B6752" s="35">
        <v>1.7799258086344401</v>
      </c>
    </row>
    <row r="6753" spans="1:2" ht="13.2" x14ac:dyDescent="0.25">
      <c r="A6753" s="34" t="s">
        <v>5453</v>
      </c>
    </row>
    <row r="6754" spans="1:2" ht="13.2" x14ac:dyDescent="0.25">
      <c r="A6754" s="34" t="s">
        <v>5452</v>
      </c>
    </row>
    <row r="6755" spans="1:2" ht="13.2" x14ac:dyDescent="0.25">
      <c r="A6755" s="34" t="s">
        <v>5451</v>
      </c>
      <c r="B6755" s="35">
        <v>1.7908621800828499</v>
      </c>
    </row>
    <row r="6756" spans="1:2" ht="13.2" x14ac:dyDescent="0.25">
      <c r="A6756" s="34" t="s">
        <v>5450</v>
      </c>
      <c r="B6756" s="35">
        <v>1.75084551040977</v>
      </c>
    </row>
    <row r="6757" spans="1:2" ht="13.2" x14ac:dyDescent="0.25">
      <c r="A6757" s="34" t="s">
        <v>5449</v>
      </c>
      <c r="B6757" s="35">
        <v>1.7222902490098499</v>
      </c>
    </row>
    <row r="6758" spans="1:2" ht="13.2" x14ac:dyDescent="0.25">
      <c r="A6758" s="34" t="s">
        <v>5448</v>
      </c>
      <c r="B6758" s="35">
        <v>1.59268592463532</v>
      </c>
    </row>
    <row r="6759" spans="1:2" ht="13.2" x14ac:dyDescent="0.25">
      <c r="A6759" s="34" t="s">
        <v>5447</v>
      </c>
      <c r="B6759" s="35">
        <v>1.5838556198121601</v>
      </c>
    </row>
    <row r="6760" spans="1:2" ht="13.2" x14ac:dyDescent="0.25">
      <c r="A6760" s="34" t="s">
        <v>5446</v>
      </c>
    </row>
    <row r="6761" spans="1:2" ht="13.2" x14ac:dyDescent="0.25">
      <c r="A6761" s="34" t="s">
        <v>5445</v>
      </c>
    </row>
    <row r="6762" spans="1:2" ht="13.2" x14ac:dyDescent="0.25">
      <c r="A6762" s="34" t="s">
        <v>5444</v>
      </c>
      <c r="B6762" s="35">
        <v>1.61390844966499</v>
      </c>
    </row>
    <row r="6763" spans="1:2" ht="13.2" x14ac:dyDescent="0.25">
      <c r="A6763" s="34" t="s">
        <v>5443</v>
      </c>
      <c r="B6763" s="35">
        <v>1.38401579012645</v>
      </c>
    </row>
    <row r="6764" spans="1:2" ht="13.2" x14ac:dyDescent="0.25">
      <c r="A6764" s="34" t="s">
        <v>5442</v>
      </c>
      <c r="B6764" s="35">
        <v>1.53849214774281</v>
      </c>
    </row>
    <row r="6765" spans="1:2" ht="13.2" x14ac:dyDescent="0.25">
      <c r="A6765" s="34" t="s">
        <v>5441</v>
      </c>
      <c r="B6765" s="35">
        <v>1.56840797534771</v>
      </c>
    </row>
    <row r="6766" spans="1:2" ht="13.2" x14ac:dyDescent="0.25">
      <c r="A6766" s="34" t="s">
        <v>5440</v>
      </c>
      <c r="B6766" s="35">
        <v>1.5210773947304299</v>
      </c>
    </row>
    <row r="6767" spans="1:2" ht="13.2" x14ac:dyDescent="0.25">
      <c r="A6767" s="34" t="s">
        <v>5439</v>
      </c>
    </row>
    <row r="6768" spans="1:2" ht="13.2" x14ac:dyDescent="0.25">
      <c r="A6768" s="34" t="s">
        <v>5438</v>
      </c>
    </row>
    <row r="6769" spans="1:2" ht="13.2" x14ac:dyDescent="0.25">
      <c r="A6769" s="34" t="s">
        <v>5437</v>
      </c>
      <c r="B6769" s="35">
        <v>1.5335993022649701</v>
      </c>
    </row>
    <row r="6770" spans="1:2" ht="13.2" x14ac:dyDescent="0.25">
      <c r="A6770" s="34" t="s">
        <v>5436</v>
      </c>
      <c r="B6770" s="35">
        <v>1.54055824595859</v>
      </c>
    </row>
    <row r="6771" spans="1:2" ht="13.2" x14ac:dyDescent="0.25">
      <c r="A6771" s="34" t="s">
        <v>5435</v>
      </c>
      <c r="B6771" s="35">
        <v>1.5637397491901699</v>
      </c>
    </row>
    <row r="6772" spans="1:2" ht="13.2" x14ac:dyDescent="0.25">
      <c r="A6772" s="34" t="s">
        <v>5434</v>
      </c>
      <c r="B6772" s="35">
        <v>1.6254574856234301</v>
      </c>
    </row>
    <row r="6773" spans="1:2" ht="13.2" x14ac:dyDescent="0.25">
      <c r="A6773" s="34" t="s">
        <v>5433</v>
      </c>
      <c r="B6773" s="35">
        <v>1.5577526304684099</v>
      </c>
    </row>
    <row r="6774" spans="1:2" ht="13.2" x14ac:dyDescent="0.25">
      <c r="A6774" s="34" t="s">
        <v>5432</v>
      </c>
    </row>
    <row r="6775" spans="1:2" ht="13.2" x14ac:dyDescent="0.25">
      <c r="A6775" s="34" t="s">
        <v>5431</v>
      </c>
    </row>
    <row r="6776" spans="1:2" ht="13.2" x14ac:dyDescent="0.25">
      <c r="A6776" s="34" t="s">
        <v>5430</v>
      </c>
      <c r="B6776" s="35">
        <v>1.5938551085811901</v>
      </c>
    </row>
    <row r="6777" spans="1:2" ht="13.2" x14ac:dyDescent="0.25">
      <c r="A6777" s="34" t="s">
        <v>5429</v>
      </c>
      <c r="B6777" s="35">
        <v>1.5206279957737301</v>
      </c>
    </row>
    <row r="6778" spans="1:2" ht="13.2" x14ac:dyDescent="0.25">
      <c r="A6778" s="34" t="s">
        <v>5428</v>
      </c>
      <c r="B6778" s="35">
        <v>1.5490528850909999</v>
      </c>
    </row>
    <row r="6779" spans="1:2" ht="13.2" x14ac:dyDescent="0.25">
      <c r="A6779" s="34" t="s">
        <v>5427</v>
      </c>
      <c r="B6779" s="35">
        <v>1.54425107056064</v>
      </c>
    </row>
    <row r="6780" spans="1:2" ht="13.2" x14ac:dyDescent="0.25">
      <c r="A6780" s="34" t="s">
        <v>5426</v>
      </c>
      <c r="B6780" s="35">
        <v>1.4330247867963799</v>
      </c>
    </row>
    <row r="6781" spans="1:2" ht="13.2" x14ac:dyDescent="0.25">
      <c r="A6781" s="34" t="s">
        <v>5425</v>
      </c>
    </row>
    <row r="6782" spans="1:2" ht="13.2" x14ac:dyDescent="0.25">
      <c r="A6782" s="34" t="s">
        <v>5424</v>
      </c>
    </row>
    <row r="6783" spans="1:2" ht="13.2" x14ac:dyDescent="0.25">
      <c r="A6783" s="34" t="s">
        <v>5423</v>
      </c>
      <c r="B6783" s="35">
        <v>1.46167886133861</v>
      </c>
    </row>
    <row r="6784" spans="1:2" ht="13.2" x14ac:dyDescent="0.25">
      <c r="A6784" s="34" t="s">
        <v>5422</v>
      </c>
      <c r="B6784" s="35">
        <v>1.58393602810992</v>
      </c>
    </row>
    <row r="6785" spans="1:2" ht="13.2" x14ac:dyDescent="0.25">
      <c r="A6785" s="34" t="s">
        <v>5421</v>
      </c>
      <c r="B6785" s="35">
        <v>1.5771745341777501</v>
      </c>
    </row>
    <row r="6786" spans="1:2" ht="13.2" x14ac:dyDescent="0.25">
      <c r="A6786" s="34" t="s">
        <v>5420</v>
      </c>
      <c r="B6786" s="35">
        <v>1.5459925204309799</v>
      </c>
    </row>
    <row r="6787" spans="1:2" ht="13.2" x14ac:dyDescent="0.25">
      <c r="A6787" s="34" t="s">
        <v>5419</v>
      </c>
      <c r="B6787" s="35">
        <v>1.54667348877943</v>
      </c>
    </row>
    <row r="6788" spans="1:2" ht="13.2" x14ac:dyDescent="0.25">
      <c r="A6788" s="34" t="s">
        <v>5418</v>
      </c>
    </row>
    <row r="6789" spans="1:2" ht="13.2" x14ac:dyDescent="0.25">
      <c r="A6789" s="34" t="s">
        <v>5417</v>
      </c>
    </row>
    <row r="6790" spans="1:2" ht="13.2" x14ac:dyDescent="0.25">
      <c r="A6790" s="34" t="s">
        <v>5416</v>
      </c>
      <c r="B6790" s="35">
        <v>1.5341582464049901</v>
      </c>
    </row>
    <row r="6791" spans="1:2" ht="13.2" x14ac:dyDescent="0.25">
      <c r="A6791" s="34" t="s">
        <v>5415</v>
      </c>
      <c r="B6791" s="35">
        <v>1.48135418438586</v>
      </c>
    </row>
    <row r="6792" spans="1:2" ht="13.2" x14ac:dyDescent="0.25">
      <c r="A6792" s="34" t="s">
        <v>5414</v>
      </c>
      <c r="B6792" s="35">
        <v>1.5680256485595101</v>
      </c>
    </row>
    <row r="6793" spans="1:2" ht="13.2" x14ac:dyDescent="0.25">
      <c r="A6793" s="34" t="s">
        <v>5413</v>
      </c>
      <c r="B6793" s="35">
        <v>1.44340181518601</v>
      </c>
    </row>
    <row r="6794" spans="1:2" ht="13.2" x14ac:dyDescent="0.25">
      <c r="A6794" s="34" t="s">
        <v>5412</v>
      </c>
    </row>
    <row r="6795" spans="1:2" ht="13.2" x14ac:dyDescent="0.25">
      <c r="A6795" s="34" t="s">
        <v>5411</v>
      </c>
    </row>
    <row r="6796" spans="1:2" ht="13.2" x14ac:dyDescent="0.25">
      <c r="A6796" s="34" t="s">
        <v>5410</v>
      </c>
    </row>
    <row r="6797" spans="1:2" ht="13.2" x14ac:dyDescent="0.25">
      <c r="A6797" s="34" t="s">
        <v>5409</v>
      </c>
      <c r="B6797" s="35">
        <v>1.4198109151699301</v>
      </c>
    </row>
    <row r="6798" spans="1:2" ht="13.2" x14ac:dyDescent="0.25">
      <c r="A6798" s="34" t="s">
        <v>5408</v>
      </c>
      <c r="B6798" s="35">
        <v>1.5146816251184601</v>
      </c>
    </row>
    <row r="6799" spans="1:2" ht="13.2" x14ac:dyDescent="0.25">
      <c r="A6799" s="34" t="s">
        <v>5407</v>
      </c>
      <c r="B6799" s="35">
        <v>1.4675578971040399</v>
      </c>
    </row>
    <row r="6800" spans="1:2" ht="13.2" x14ac:dyDescent="0.25">
      <c r="A6800" s="34" t="s">
        <v>5406</v>
      </c>
      <c r="B6800" s="35">
        <v>1.47955051537435</v>
      </c>
    </row>
    <row r="6801" spans="1:2" ht="13.2" x14ac:dyDescent="0.25">
      <c r="A6801" s="34" t="s">
        <v>5405</v>
      </c>
      <c r="B6801" s="35">
        <v>1.44466482267368</v>
      </c>
    </row>
    <row r="6802" spans="1:2" ht="13.2" x14ac:dyDescent="0.25">
      <c r="A6802" s="34" t="s">
        <v>5404</v>
      </c>
    </row>
    <row r="6803" spans="1:2" ht="13.2" x14ac:dyDescent="0.25">
      <c r="A6803" s="34" t="s">
        <v>5403</v>
      </c>
    </row>
    <row r="6804" spans="1:2" ht="13.2" x14ac:dyDescent="0.25">
      <c r="A6804" s="34" t="s">
        <v>5402</v>
      </c>
      <c r="B6804" s="35">
        <v>1.3732139096409099</v>
      </c>
    </row>
    <row r="6805" spans="1:2" ht="13.2" x14ac:dyDescent="0.25">
      <c r="A6805" s="34" t="s">
        <v>5401</v>
      </c>
      <c r="B6805" s="35">
        <v>1.3675795325993201</v>
      </c>
    </row>
    <row r="6806" spans="1:2" ht="13.2" x14ac:dyDescent="0.25">
      <c r="A6806" s="34" t="s">
        <v>5400</v>
      </c>
      <c r="B6806" s="35">
        <v>1.3133371305197099</v>
      </c>
    </row>
    <row r="6807" spans="1:2" ht="13.2" x14ac:dyDescent="0.25">
      <c r="A6807" s="34" t="s">
        <v>5399</v>
      </c>
      <c r="B6807" s="35">
        <v>1.3147009845370801</v>
      </c>
    </row>
    <row r="6808" spans="1:2" ht="13.2" x14ac:dyDescent="0.25">
      <c r="A6808" s="34" t="s">
        <v>5398</v>
      </c>
      <c r="B6808" s="35">
        <v>1.3033882710821201</v>
      </c>
    </row>
    <row r="6809" spans="1:2" ht="13.2" x14ac:dyDescent="0.25">
      <c r="A6809" s="34" t="s">
        <v>5397</v>
      </c>
    </row>
    <row r="6810" spans="1:2" ht="13.2" x14ac:dyDescent="0.25">
      <c r="A6810" s="34" t="s">
        <v>5396</v>
      </c>
    </row>
    <row r="6811" spans="1:2" ht="13.2" x14ac:dyDescent="0.25">
      <c r="A6811" s="34" t="s">
        <v>5395</v>
      </c>
      <c r="B6811" s="35">
        <v>1.31424942175166</v>
      </c>
    </row>
    <row r="6812" spans="1:2" ht="13.2" x14ac:dyDescent="0.25">
      <c r="A6812" s="34" t="s">
        <v>5394</v>
      </c>
      <c r="B6812" s="35">
        <v>1.3160213781979799</v>
      </c>
    </row>
    <row r="6813" spans="1:2" ht="13.2" x14ac:dyDescent="0.25">
      <c r="A6813" s="34" t="s">
        <v>5393</v>
      </c>
      <c r="B6813" s="35">
        <v>1.2810234795648601</v>
      </c>
    </row>
    <row r="6814" spans="1:2" ht="13.2" x14ac:dyDescent="0.25">
      <c r="A6814" s="34" t="s">
        <v>5392</v>
      </c>
      <c r="B6814" s="35">
        <v>1.17071906181256</v>
      </c>
    </row>
    <row r="6815" spans="1:2" ht="13.2" x14ac:dyDescent="0.25">
      <c r="A6815" s="34" t="s">
        <v>5391</v>
      </c>
      <c r="B6815" s="35">
        <v>1.1576396678334699</v>
      </c>
    </row>
    <row r="6816" spans="1:2" ht="13.2" x14ac:dyDescent="0.25">
      <c r="A6816" s="34" t="s">
        <v>5390</v>
      </c>
    </row>
    <row r="6817" spans="1:2" ht="13.2" x14ac:dyDescent="0.25">
      <c r="A6817" s="34" t="s">
        <v>5389</v>
      </c>
    </row>
    <row r="6818" spans="1:2" ht="13.2" x14ac:dyDescent="0.25">
      <c r="A6818" s="34" t="s">
        <v>5388</v>
      </c>
      <c r="B6818" s="35">
        <v>1.1460864481622</v>
      </c>
    </row>
    <row r="6819" spans="1:2" ht="13.2" x14ac:dyDescent="0.25">
      <c r="A6819" s="34" t="s">
        <v>5387</v>
      </c>
      <c r="B6819" s="35">
        <v>1.1461509461080299</v>
      </c>
    </row>
    <row r="6820" spans="1:2" ht="13.2" x14ac:dyDescent="0.25">
      <c r="A6820" s="34" t="s">
        <v>5386</v>
      </c>
    </row>
    <row r="6821" spans="1:2" ht="13.2" x14ac:dyDescent="0.25">
      <c r="A6821" s="34" t="s">
        <v>5385</v>
      </c>
      <c r="B6821" s="35">
        <v>1.1442694588337099</v>
      </c>
    </row>
    <row r="6822" spans="1:2" ht="13.2" x14ac:dyDescent="0.25">
      <c r="A6822" s="34" t="s">
        <v>5384</v>
      </c>
      <c r="B6822" s="35">
        <v>1.1485864648380599</v>
      </c>
    </row>
    <row r="6823" spans="1:2" ht="13.2" x14ac:dyDescent="0.25">
      <c r="A6823" s="34" t="s">
        <v>5383</v>
      </c>
    </row>
    <row r="6824" spans="1:2" ht="13.2" x14ac:dyDescent="0.25">
      <c r="A6824" s="34" t="s">
        <v>5382</v>
      </c>
    </row>
    <row r="6825" spans="1:2" ht="13.2" x14ac:dyDescent="0.25">
      <c r="A6825" s="34" t="s">
        <v>5381</v>
      </c>
      <c r="B6825" s="35">
        <v>0.94205138340058203</v>
      </c>
    </row>
    <row r="6826" spans="1:2" ht="13.2" x14ac:dyDescent="0.25">
      <c r="A6826" s="34" t="s">
        <v>5380</v>
      </c>
      <c r="B6826" s="35">
        <v>0.94172925770948601</v>
      </c>
    </row>
    <row r="6827" spans="1:2" ht="13.2" x14ac:dyDescent="0.25">
      <c r="A6827" s="34" t="s">
        <v>5379</v>
      </c>
      <c r="B6827" s="35">
        <v>0.980404038388479</v>
      </c>
    </row>
    <row r="6828" spans="1:2" ht="13.2" x14ac:dyDescent="0.25">
      <c r="A6828" s="34" t="s">
        <v>5378</v>
      </c>
      <c r="B6828" s="35">
        <v>0.87937409303855396</v>
      </c>
    </row>
    <row r="6829" spans="1:2" ht="13.2" x14ac:dyDescent="0.25">
      <c r="A6829" s="34" t="s">
        <v>5377</v>
      </c>
      <c r="B6829" s="35">
        <v>0.88549192781825303</v>
      </c>
    </row>
    <row r="6830" spans="1:2" ht="13.2" x14ac:dyDescent="0.25">
      <c r="A6830" s="34" t="s">
        <v>5376</v>
      </c>
    </row>
    <row r="6831" spans="1:2" ht="13.2" x14ac:dyDescent="0.25">
      <c r="A6831" s="34" t="s">
        <v>5375</v>
      </c>
    </row>
    <row r="6832" spans="1:2" ht="13.2" x14ac:dyDescent="0.25">
      <c r="A6832" s="34" t="s">
        <v>5374</v>
      </c>
      <c r="B6832" s="35">
        <v>0.78757011620325301</v>
      </c>
    </row>
    <row r="6833" spans="1:2" ht="13.2" x14ac:dyDescent="0.25">
      <c r="A6833" s="34" t="s">
        <v>5373</v>
      </c>
      <c r="B6833" s="35">
        <v>0.78984608062625805</v>
      </c>
    </row>
    <row r="6834" spans="1:2" ht="13.2" x14ac:dyDescent="0.25">
      <c r="A6834" s="34" t="s">
        <v>5372</v>
      </c>
      <c r="B6834" s="35">
        <v>0.80135540543328299</v>
      </c>
    </row>
    <row r="6835" spans="1:2" ht="13.2" x14ac:dyDescent="0.25">
      <c r="A6835" s="34" t="s">
        <v>5371</v>
      </c>
      <c r="B6835" s="35">
        <v>0.81133617583495898</v>
      </c>
    </row>
    <row r="6836" spans="1:2" ht="13.2" x14ac:dyDescent="0.25">
      <c r="A6836" s="34" t="s">
        <v>5370</v>
      </c>
      <c r="B6836" s="35">
        <v>1.0161510266050999</v>
      </c>
    </row>
    <row r="6837" spans="1:2" ht="13.2" x14ac:dyDescent="0.25">
      <c r="A6837" s="34" t="s">
        <v>5369</v>
      </c>
    </row>
    <row r="6838" spans="1:2" ht="13.2" x14ac:dyDescent="0.25">
      <c r="A6838" s="34" t="s">
        <v>5368</v>
      </c>
    </row>
    <row r="6839" spans="1:2" ht="13.2" x14ac:dyDescent="0.25">
      <c r="A6839" s="34" t="s">
        <v>5367</v>
      </c>
      <c r="B6839" s="35">
        <v>1.12841539796579</v>
      </c>
    </row>
    <row r="6840" spans="1:2" ht="13.2" x14ac:dyDescent="0.25">
      <c r="A6840" s="34" t="s">
        <v>5366</v>
      </c>
      <c r="B6840" s="35">
        <v>1.10693574929473</v>
      </c>
    </row>
    <row r="6841" spans="1:2" ht="13.2" x14ac:dyDescent="0.25">
      <c r="A6841" s="34" t="s">
        <v>5365</v>
      </c>
      <c r="B6841" s="35">
        <v>1.08749142679162</v>
      </c>
    </row>
    <row r="6842" spans="1:2" ht="13.2" x14ac:dyDescent="0.25">
      <c r="A6842" s="34" t="s">
        <v>5364</v>
      </c>
      <c r="B6842" s="35">
        <v>1.0886207525945799</v>
      </c>
    </row>
    <row r="6843" spans="1:2" ht="13.2" x14ac:dyDescent="0.25">
      <c r="A6843" s="34" t="s">
        <v>5363</v>
      </c>
      <c r="B6843" s="35">
        <v>1.0453877715809201</v>
      </c>
    </row>
    <row r="6844" spans="1:2" ht="13.2" x14ac:dyDescent="0.25">
      <c r="A6844" s="34" t="s">
        <v>5362</v>
      </c>
    </row>
    <row r="6845" spans="1:2" ht="13.2" x14ac:dyDescent="0.25">
      <c r="A6845" s="34" t="s">
        <v>5361</v>
      </c>
    </row>
    <row r="6846" spans="1:2" ht="13.2" x14ac:dyDescent="0.25">
      <c r="A6846" s="34" t="s">
        <v>5360</v>
      </c>
    </row>
    <row r="6847" spans="1:2" ht="13.2" x14ac:dyDescent="0.25">
      <c r="A6847" s="34" t="s">
        <v>5359</v>
      </c>
    </row>
    <row r="6848" spans="1:2" ht="13.2" x14ac:dyDescent="0.25">
      <c r="A6848" s="34" t="s">
        <v>5358</v>
      </c>
      <c r="B6848" s="35">
        <v>1.05111304811134</v>
      </c>
    </row>
    <row r="6849" spans="1:2" ht="13.2" x14ac:dyDescent="0.25">
      <c r="A6849" s="34" t="s">
        <v>5357</v>
      </c>
      <c r="B6849" s="35">
        <v>1.06003625548193</v>
      </c>
    </row>
    <row r="6850" spans="1:2" ht="13.2" x14ac:dyDescent="0.25">
      <c r="A6850" s="34" t="s">
        <v>5356</v>
      </c>
      <c r="B6850" s="35">
        <v>1.0596841670035699</v>
      </c>
    </row>
    <row r="6851" spans="1:2" ht="13.2" x14ac:dyDescent="0.25">
      <c r="A6851" s="34" t="s">
        <v>5355</v>
      </c>
    </row>
    <row r="6852" spans="1:2" ht="13.2" x14ac:dyDescent="0.25">
      <c r="A6852" s="34" t="s">
        <v>5354</v>
      </c>
    </row>
    <row r="6853" spans="1:2" ht="13.2" x14ac:dyDescent="0.25">
      <c r="A6853" s="34" t="s">
        <v>5353</v>
      </c>
      <c r="B6853" s="35">
        <v>1.0990020053324401</v>
      </c>
    </row>
    <row r="6854" spans="1:2" ht="13.2" x14ac:dyDescent="0.25">
      <c r="A6854" s="34" t="s">
        <v>5352</v>
      </c>
      <c r="B6854" s="35">
        <v>1.1101813851587199</v>
      </c>
    </row>
    <row r="6855" spans="1:2" ht="13.2" x14ac:dyDescent="0.25">
      <c r="A6855" s="34" t="s">
        <v>5351</v>
      </c>
      <c r="B6855" s="35">
        <v>1.1125936176384299</v>
      </c>
    </row>
    <row r="6856" spans="1:2" ht="13.2" x14ac:dyDescent="0.25">
      <c r="A6856" s="34" t="s">
        <v>5350</v>
      </c>
      <c r="B6856" s="35">
        <v>1.14229698909263</v>
      </c>
    </row>
    <row r="6857" spans="1:2" ht="13.2" x14ac:dyDescent="0.25">
      <c r="A6857" s="34" t="s">
        <v>5349</v>
      </c>
      <c r="B6857" s="35">
        <v>1.1690922511322701</v>
      </c>
    </row>
    <row r="6858" spans="1:2" ht="13.2" x14ac:dyDescent="0.25">
      <c r="A6858" s="34" t="s">
        <v>5348</v>
      </c>
    </row>
    <row r="6859" spans="1:2" ht="13.2" x14ac:dyDescent="0.25">
      <c r="A6859" s="34" t="s">
        <v>5347</v>
      </c>
    </row>
    <row r="6860" spans="1:2" ht="13.2" x14ac:dyDescent="0.25">
      <c r="A6860" s="34" t="s">
        <v>5346</v>
      </c>
      <c r="B6860" s="35">
        <v>1.1215810139478299</v>
      </c>
    </row>
    <row r="6861" spans="1:2" ht="13.2" x14ac:dyDescent="0.25">
      <c r="A6861" s="34" t="s">
        <v>5345</v>
      </c>
      <c r="B6861" s="35">
        <v>1.29630208597209</v>
      </c>
    </row>
    <row r="6862" spans="1:2" ht="13.2" x14ac:dyDescent="0.25">
      <c r="A6862" s="34" t="s">
        <v>5344</v>
      </c>
      <c r="B6862" s="35">
        <v>1.3141630321090501</v>
      </c>
    </row>
    <row r="6863" spans="1:2" ht="13.2" x14ac:dyDescent="0.25">
      <c r="A6863" s="34" t="s">
        <v>5343</v>
      </c>
      <c r="B6863" s="35">
        <v>1.3434844764362299</v>
      </c>
    </row>
    <row r="6864" spans="1:2" ht="13.2" x14ac:dyDescent="0.25">
      <c r="A6864" s="34" t="s">
        <v>5342</v>
      </c>
      <c r="B6864" s="35">
        <v>1.3288640536775</v>
      </c>
    </row>
    <row r="6865" spans="1:2" ht="13.2" x14ac:dyDescent="0.25">
      <c r="A6865" s="34" t="s">
        <v>5341</v>
      </c>
    </row>
    <row r="6866" spans="1:2" ht="13.2" x14ac:dyDescent="0.25">
      <c r="A6866" s="34" t="s">
        <v>5340</v>
      </c>
    </row>
    <row r="6867" spans="1:2" ht="13.2" x14ac:dyDescent="0.25">
      <c r="A6867" s="34" t="s">
        <v>5339</v>
      </c>
      <c r="B6867" s="35">
        <v>1.3334914528044099</v>
      </c>
    </row>
    <row r="6868" spans="1:2" ht="13.2" x14ac:dyDescent="0.25">
      <c r="A6868" s="34" t="s">
        <v>5338</v>
      </c>
      <c r="B6868" s="35">
        <v>1.4731729717416699</v>
      </c>
    </row>
    <row r="6869" spans="1:2" ht="13.2" x14ac:dyDescent="0.25">
      <c r="A6869" s="34" t="s">
        <v>5337</v>
      </c>
      <c r="B6869" s="35">
        <v>1.3554246155451</v>
      </c>
    </row>
    <row r="6870" spans="1:2" ht="13.2" x14ac:dyDescent="0.25">
      <c r="A6870" s="34" t="s">
        <v>5336</v>
      </c>
      <c r="B6870" s="35">
        <v>1.26491540565557</v>
      </c>
    </row>
    <row r="6871" spans="1:2" ht="13.2" x14ac:dyDescent="0.25">
      <c r="A6871" s="34" t="s">
        <v>5335</v>
      </c>
      <c r="B6871" s="35">
        <v>1.2391009702348901</v>
      </c>
    </row>
    <row r="6872" spans="1:2" ht="13.2" x14ac:dyDescent="0.25">
      <c r="A6872" s="34" t="s">
        <v>5334</v>
      </c>
    </row>
    <row r="6873" spans="1:2" ht="13.2" x14ac:dyDescent="0.25">
      <c r="A6873" s="34" t="s">
        <v>5333</v>
      </c>
    </row>
    <row r="6874" spans="1:2" ht="13.2" x14ac:dyDescent="0.25">
      <c r="A6874" s="34" t="s">
        <v>5332</v>
      </c>
      <c r="B6874" s="35">
        <v>1.2372172771604899</v>
      </c>
    </row>
    <row r="6875" spans="1:2" ht="13.2" x14ac:dyDescent="0.25">
      <c r="A6875" s="34" t="s">
        <v>5331</v>
      </c>
      <c r="B6875" s="35">
        <v>1.2267704986829</v>
      </c>
    </row>
    <row r="6876" spans="1:2" ht="13.2" x14ac:dyDescent="0.25">
      <c r="A6876" s="34" t="s">
        <v>5330</v>
      </c>
      <c r="B6876" s="35">
        <v>1.2371176217231501</v>
      </c>
    </row>
    <row r="6877" spans="1:2" ht="13.2" x14ac:dyDescent="0.25">
      <c r="A6877" s="34" t="s">
        <v>5329</v>
      </c>
      <c r="B6877" s="35">
        <v>1.2852881883888601</v>
      </c>
    </row>
    <row r="6878" spans="1:2" ht="13.2" x14ac:dyDescent="0.25">
      <c r="A6878" s="34" t="s">
        <v>5328</v>
      </c>
      <c r="B6878" s="35">
        <v>1.28211676459835</v>
      </c>
    </row>
    <row r="6879" spans="1:2" ht="13.2" x14ac:dyDescent="0.25">
      <c r="A6879" s="34" t="s">
        <v>5327</v>
      </c>
    </row>
    <row r="6880" spans="1:2" ht="13.2" x14ac:dyDescent="0.25">
      <c r="A6880" s="34" t="s">
        <v>5326</v>
      </c>
    </row>
    <row r="6881" spans="1:2" ht="13.2" x14ac:dyDescent="0.25">
      <c r="A6881" s="34" t="s">
        <v>5325</v>
      </c>
      <c r="B6881" s="35">
        <v>1.31366951397117</v>
      </c>
    </row>
    <row r="6882" spans="1:2" ht="13.2" x14ac:dyDescent="0.25">
      <c r="A6882" s="34" t="s">
        <v>5324</v>
      </c>
      <c r="B6882" s="35">
        <v>1.3098129676950301</v>
      </c>
    </row>
    <row r="6883" spans="1:2" ht="13.2" x14ac:dyDescent="0.25">
      <c r="A6883" s="34" t="s">
        <v>5323</v>
      </c>
      <c r="B6883" s="35">
        <v>1.3272871309562999</v>
      </c>
    </row>
    <row r="6884" spans="1:2" ht="13.2" x14ac:dyDescent="0.25">
      <c r="A6884" s="34" t="s">
        <v>5322</v>
      </c>
      <c r="B6884" s="35">
        <v>1.3280227952447501</v>
      </c>
    </row>
    <row r="6885" spans="1:2" ht="13.2" x14ac:dyDescent="0.25">
      <c r="A6885" s="34" t="s">
        <v>5321</v>
      </c>
      <c r="B6885" s="35">
        <v>1.2812834617434301</v>
      </c>
    </row>
    <row r="6886" spans="1:2" ht="13.2" x14ac:dyDescent="0.25">
      <c r="A6886" s="34" t="s">
        <v>5320</v>
      </c>
    </row>
    <row r="6887" spans="1:2" ht="13.2" x14ac:dyDescent="0.25">
      <c r="A6887" s="34" t="s">
        <v>5319</v>
      </c>
    </row>
    <row r="6888" spans="1:2" ht="13.2" x14ac:dyDescent="0.25">
      <c r="A6888" s="34" t="s">
        <v>5318</v>
      </c>
      <c r="B6888" s="35">
        <v>1.2610223862201799</v>
      </c>
    </row>
    <row r="6889" spans="1:2" ht="13.2" x14ac:dyDescent="0.25">
      <c r="A6889" s="34" t="s">
        <v>5317</v>
      </c>
      <c r="B6889" s="35">
        <v>1.27114263334274</v>
      </c>
    </row>
    <row r="6890" spans="1:2" ht="13.2" x14ac:dyDescent="0.25">
      <c r="A6890" s="34" t="s">
        <v>5316</v>
      </c>
      <c r="B6890" s="35">
        <v>1.1482234960611899</v>
      </c>
    </row>
    <row r="6891" spans="1:2" ht="13.2" x14ac:dyDescent="0.25">
      <c r="A6891" s="34" t="s">
        <v>5315</v>
      </c>
      <c r="B6891" s="35">
        <v>1.1002920491019099</v>
      </c>
    </row>
    <row r="6892" spans="1:2" ht="13.2" x14ac:dyDescent="0.25">
      <c r="A6892" s="34" t="s">
        <v>5314</v>
      </c>
    </row>
    <row r="6893" spans="1:2" ht="13.2" x14ac:dyDescent="0.25">
      <c r="A6893" s="34" t="s">
        <v>5313</v>
      </c>
    </row>
    <row r="6894" spans="1:2" ht="13.2" x14ac:dyDescent="0.25">
      <c r="A6894" s="34" t="s">
        <v>5312</v>
      </c>
    </row>
    <row r="6895" spans="1:2" ht="13.2" x14ac:dyDescent="0.25">
      <c r="A6895" s="34" t="s">
        <v>5311</v>
      </c>
      <c r="B6895" s="35">
        <v>1.06546595697976</v>
      </c>
    </row>
    <row r="6896" spans="1:2" ht="13.2" x14ac:dyDescent="0.25">
      <c r="A6896" s="34" t="s">
        <v>5310</v>
      </c>
      <c r="B6896" s="35">
        <v>1.12185449828226</v>
      </c>
    </row>
    <row r="6897" spans="1:2" ht="13.2" x14ac:dyDescent="0.25">
      <c r="A6897" s="34" t="s">
        <v>5309</v>
      </c>
      <c r="B6897" s="35">
        <v>1.12432244083623</v>
      </c>
    </row>
    <row r="6898" spans="1:2" ht="13.2" x14ac:dyDescent="0.25">
      <c r="A6898" s="34" t="s">
        <v>5308</v>
      </c>
      <c r="B6898" s="35">
        <v>1.1032578771705499</v>
      </c>
    </row>
    <row r="6899" spans="1:2" ht="13.2" x14ac:dyDescent="0.25">
      <c r="A6899" s="34" t="s">
        <v>5307</v>
      </c>
      <c r="B6899" s="35">
        <v>1.1294402399061301</v>
      </c>
    </row>
    <row r="6900" spans="1:2" ht="13.2" x14ac:dyDescent="0.25">
      <c r="A6900" s="34" t="s">
        <v>5306</v>
      </c>
    </row>
    <row r="6901" spans="1:2" ht="13.2" x14ac:dyDescent="0.25">
      <c r="A6901" s="34" t="s">
        <v>5305</v>
      </c>
    </row>
    <row r="6902" spans="1:2" ht="13.2" x14ac:dyDescent="0.25">
      <c r="A6902" s="34" t="s">
        <v>5304</v>
      </c>
      <c r="B6902" s="35">
        <v>1.12815719728942</v>
      </c>
    </row>
    <row r="6903" spans="1:2" ht="13.2" x14ac:dyDescent="0.25">
      <c r="A6903" s="34" t="s">
        <v>5303</v>
      </c>
      <c r="B6903" s="35">
        <v>1.18087735008811</v>
      </c>
    </row>
    <row r="6904" spans="1:2" ht="13.2" x14ac:dyDescent="0.25">
      <c r="A6904" s="34" t="s">
        <v>5302</v>
      </c>
      <c r="B6904" s="35">
        <v>1.1923080018963299</v>
      </c>
    </row>
    <row r="6905" spans="1:2" ht="13.2" x14ac:dyDescent="0.25">
      <c r="A6905" s="34" t="s">
        <v>5301</v>
      </c>
      <c r="B6905" s="35">
        <v>1.1920797182110601</v>
      </c>
    </row>
    <row r="6906" spans="1:2" ht="13.2" x14ac:dyDescent="0.25">
      <c r="A6906" s="34" t="s">
        <v>5300</v>
      </c>
      <c r="B6906" s="35">
        <v>1.19033937046</v>
      </c>
    </row>
    <row r="6907" spans="1:2" ht="13.2" x14ac:dyDescent="0.25">
      <c r="A6907" s="34" t="s">
        <v>5299</v>
      </c>
    </row>
    <row r="6908" spans="1:2" ht="13.2" x14ac:dyDescent="0.25">
      <c r="A6908" s="34" t="s">
        <v>5298</v>
      </c>
    </row>
    <row r="6909" spans="1:2" ht="13.2" x14ac:dyDescent="0.25">
      <c r="A6909" s="34" t="s">
        <v>5297</v>
      </c>
      <c r="B6909" s="35">
        <v>1.1895344978718501</v>
      </c>
    </row>
    <row r="6910" spans="1:2" ht="13.2" x14ac:dyDescent="0.25">
      <c r="A6910" s="34" t="s">
        <v>5296</v>
      </c>
      <c r="B6910" s="35">
        <v>1.20886990798784</v>
      </c>
    </row>
    <row r="6911" spans="1:2" ht="13.2" x14ac:dyDescent="0.25">
      <c r="A6911" s="34" t="s">
        <v>5295</v>
      </c>
      <c r="B6911" s="35">
        <v>1.15174517591964</v>
      </c>
    </row>
    <row r="6912" spans="1:2" ht="13.2" x14ac:dyDescent="0.25">
      <c r="A6912" s="34" t="s">
        <v>5294</v>
      </c>
      <c r="B6912" s="35">
        <v>1.1663238491932799</v>
      </c>
    </row>
    <row r="6913" spans="1:2" ht="13.2" x14ac:dyDescent="0.25">
      <c r="A6913" s="34" t="s">
        <v>5293</v>
      </c>
      <c r="B6913" s="35">
        <v>1.1420958954265501</v>
      </c>
    </row>
    <row r="6914" spans="1:2" ht="13.2" x14ac:dyDescent="0.25">
      <c r="A6914" s="34" t="s">
        <v>5292</v>
      </c>
    </row>
    <row r="6915" spans="1:2" ht="13.2" x14ac:dyDescent="0.25">
      <c r="A6915" s="34" t="s">
        <v>5291</v>
      </c>
    </row>
    <row r="6916" spans="1:2" ht="13.2" x14ac:dyDescent="0.25">
      <c r="A6916" s="34" t="s">
        <v>5290</v>
      </c>
      <c r="B6916" s="35">
        <v>1.14641024337375</v>
      </c>
    </row>
    <row r="6917" spans="1:2" ht="13.2" x14ac:dyDescent="0.25">
      <c r="A6917" s="34" t="s">
        <v>5289</v>
      </c>
    </row>
    <row r="6918" spans="1:2" ht="13.2" x14ac:dyDescent="0.25">
      <c r="A6918" s="34" t="s">
        <v>5288</v>
      </c>
      <c r="B6918" s="35">
        <v>1.1728146664924499</v>
      </c>
    </row>
    <row r="6919" spans="1:2" ht="13.2" x14ac:dyDescent="0.25">
      <c r="A6919" s="34" t="s">
        <v>5287</v>
      </c>
      <c r="B6919" s="35">
        <v>1.13950057115346</v>
      </c>
    </row>
    <row r="6920" spans="1:2" ht="13.2" x14ac:dyDescent="0.25">
      <c r="A6920" s="34" t="s">
        <v>5286</v>
      </c>
      <c r="B6920" s="35">
        <v>1.18180586112937</v>
      </c>
    </row>
    <row r="6921" spans="1:2" ht="13.2" x14ac:dyDescent="0.25">
      <c r="A6921" s="34" t="s">
        <v>5285</v>
      </c>
    </row>
    <row r="6922" spans="1:2" ht="13.2" x14ac:dyDescent="0.25">
      <c r="A6922" s="34" t="s">
        <v>5284</v>
      </c>
    </row>
    <row r="6923" spans="1:2" ht="13.2" x14ac:dyDescent="0.25">
      <c r="A6923" s="34" t="s">
        <v>5283</v>
      </c>
      <c r="B6923" s="35">
        <v>1.17840170969465</v>
      </c>
    </row>
    <row r="6924" spans="1:2" ht="13.2" x14ac:dyDescent="0.25">
      <c r="A6924" s="34" t="s">
        <v>5282</v>
      </c>
      <c r="B6924" s="35">
        <v>1.20351031495407</v>
      </c>
    </row>
    <row r="6925" spans="1:2" ht="13.2" x14ac:dyDescent="0.25">
      <c r="A6925" s="34" t="s">
        <v>5281</v>
      </c>
      <c r="B6925" s="35">
        <v>1.1947869376168101</v>
      </c>
    </row>
    <row r="6926" spans="1:2" ht="13.2" x14ac:dyDescent="0.25">
      <c r="A6926" s="34" t="s">
        <v>5280</v>
      </c>
      <c r="B6926" s="35">
        <v>1.1328144624990899</v>
      </c>
    </row>
    <row r="6927" spans="1:2" ht="13.2" x14ac:dyDescent="0.25">
      <c r="A6927" s="34" t="s">
        <v>5279</v>
      </c>
      <c r="B6927" s="35">
        <v>1.12732802722186</v>
      </c>
    </row>
    <row r="6928" spans="1:2" ht="13.2" x14ac:dyDescent="0.25">
      <c r="A6928" s="34" t="s">
        <v>5278</v>
      </c>
    </row>
    <row r="6929" spans="1:2" ht="13.2" x14ac:dyDescent="0.25">
      <c r="A6929" s="34" t="s">
        <v>5277</v>
      </c>
    </row>
    <row r="6930" spans="1:2" ht="13.2" x14ac:dyDescent="0.25">
      <c r="A6930" s="34" t="s">
        <v>5276</v>
      </c>
      <c r="B6930" s="35">
        <v>1.1049810512868199</v>
      </c>
    </row>
    <row r="6931" spans="1:2" ht="13.2" x14ac:dyDescent="0.25">
      <c r="A6931" s="34" t="s">
        <v>5275</v>
      </c>
      <c r="B6931" s="35">
        <v>1.1542642258929099</v>
      </c>
    </row>
    <row r="6932" spans="1:2" ht="13.2" x14ac:dyDescent="0.25">
      <c r="A6932" s="34" t="s">
        <v>5274</v>
      </c>
      <c r="B6932" s="35">
        <v>1.1534749551783701</v>
      </c>
    </row>
    <row r="6933" spans="1:2" ht="13.2" x14ac:dyDescent="0.25">
      <c r="A6933" s="34" t="s">
        <v>5273</v>
      </c>
      <c r="B6933" s="35">
        <v>1.2460092721590901</v>
      </c>
    </row>
    <row r="6934" spans="1:2" ht="13.2" x14ac:dyDescent="0.25">
      <c r="A6934" s="34" t="s">
        <v>5272</v>
      </c>
      <c r="B6934" s="35">
        <v>1.2669555234532801</v>
      </c>
    </row>
    <row r="6935" spans="1:2" ht="13.2" x14ac:dyDescent="0.25">
      <c r="A6935" s="34" t="s">
        <v>5271</v>
      </c>
    </row>
    <row r="6936" spans="1:2" ht="13.2" x14ac:dyDescent="0.25">
      <c r="A6936" s="34" t="s">
        <v>5270</v>
      </c>
    </row>
    <row r="6937" spans="1:2" ht="13.2" x14ac:dyDescent="0.25">
      <c r="A6937" s="34" t="s">
        <v>5269</v>
      </c>
      <c r="B6937" s="35">
        <v>1.5938856684467499</v>
      </c>
    </row>
    <row r="6938" spans="1:2" ht="13.2" x14ac:dyDescent="0.25">
      <c r="A6938" s="34" t="s">
        <v>5268</v>
      </c>
      <c r="B6938" s="35">
        <v>1.6686529168170099</v>
      </c>
    </row>
    <row r="6939" spans="1:2" ht="13.2" x14ac:dyDescent="0.25">
      <c r="A6939" s="34" t="s">
        <v>5267</v>
      </c>
      <c r="B6939" s="35">
        <v>1.6554633859419701</v>
      </c>
    </row>
    <row r="6940" spans="1:2" ht="13.2" x14ac:dyDescent="0.25">
      <c r="A6940" s="34" t="s">
        <v>5266</v>
      </c>
      <c r="B6940" s="35">
        <v>1.6320268252700501</v>
      </c>
    </row>
    <row r="6941" spans="1:2" ht="13.2" x14ac:dyDescent="0.25">
      <c r="A6941" s="34" t="s">
        <v>5265</v>
      </c>
      <c r="B6941" s="35">
        <v>1.6590941052885699</v>
      </c>
    </row>
    <row r="6942" spans="1:2" ht="13.2" x14ac:dyDescent="0.25">
      <c r="A6942" s="34" t="s">
        <v>5264</v>
      </c>
    </row>
    <row r="6943" spans="1:2" ht="13.2" x14ac:dyDescent="0.25">
      <c r="A6943" s="34" t="s">
        <v>5263</v>
      </c>
    </row>
    <row r="6944" spans="1:2" ht="13.2" x14ac:dyDescent="0.25">
      <c r="A6944" s="34" t="s">
        <v>5262</v>
      </c>
      <c r="B6944" s="35">
        <v>1.69043188901256</v>
      </c>
    </row>
    <row r="6945" spans="1:2" ht="13.2" x14ac:dyDescent="0.25">
      <c r="A6945" s="34" t="s">
        <v>5261</v>
      </c>
      <c r="B6945" s="35">
        <v>1.6929899773353101</v>
      </c>
    </row>
    <row r="6946" spans="1:2" ht="13.2" x14ac:dyDescent="0.25">
      <c r="A6946" s="34" t="s">
        <v>5260</v>
      </c>
      <c r="B6946" s="35">
        <v>1.6953351102493399</v>
      </c>
    </row>
    <row r="6947" spans="1:2" ht="13.2" x14ac:dyDescent="0.25">
      <c r="A6947" s="34" t="s">
        <v>5259</v>
      </c>
      <c r="B6947" s="35">
        <v>1.7113114660633</v>
      </c>
    </row>
    <row r="6948" spans="1:2" ht="13.2" x14ac:dyDescent="0.25">
      <c r="A6948" s="34" t="s">
        <v>5258</v>
      </c>
      <c r="B6948" s="35">
        <v>1.7366251764245499</v>
      </c>
    </row>
    <row r="6949" spans="1:2" ht="13.2" x14ac:dyDescent="0.25">
      <c r="A6949" s="34" t="s">
        <v>5257</v>
      </c>
    </row>
    <row r="6950" spans="1:2" ht="13.2" x14ac:dyDescent="0.25">
      <c r="A6950" s="34" t="s">
        <v>5256</v>
      </c>
    </row>
    <row r="6951" spans="1:2" ht="13.2" x14ac:dyDescent="0.25">
      <c r="A6951" s="34" t="s">
        <v>5255</v>
      </c>
      <c r="B6951" s="35">
        <v>1.7144404393244099</v>
      </c>
    </row>
    <row r="6952" spans="1:2" ht="13.2" x14ac:dyDescent="0.25">
      <c r="A6952" s="34" t="s">
        <v>5254</v>
      </c>
      <c r="B6952" s="35">
        <v>1.7060272960751399</v>
      </c>
    </row>
    <row r="6953" spans="1:2" ht="13.2" x14ac:dyDescent="0.25">
      <c r="A6953" s="34" t="s">
        <v>5253</v>
      </c>
      <c r="B6953" s="35">
        <v>1.8945943741878799</v>
      </c>
    </row>
    <row r="6954" spans="1:2" ht="13.2" x14ac:dyDescent="0.25">
      <c r="A6954" s="34" t="s">
        <v>5252</v>
      </c>
    </row>
    <row r="6955" spans="1:2" ht="13.2" x14ac:dyDescent="0.25">
      <c r="A6955" s="34" t="s">
        <v>5251</v>
      </c>
      <c r="B6955" s="35">
        <v>1.9043482650733701</v>
      </c>
    </row>
    <row r="6956" spans="1:2" ht="13.2" x14ac:dyDescent="0.25">
      <c r="A6956" s="34" t="s">
        <v>5250</v>
      </c>
    </row>
    <row r="6957" spans="1:2" ht="13.2" x14ac:dyDescent="0.25">
      <c r="A6957" s="34" t="s">
        <v>5249</v>
      </c>
    </row>
    <row r="6958" spans="1:2" ht="13.2" x14ac:dyDescent="0.25">
      <c r="A6958" s="34" t="s">
        <v>5248</v>
      </c>
      <c r="B6958" s="35">
        <v>1.9044083862694701</v>
      </c>
    </row>
    <row r="6959" spans="1:2" ht="13.2" x14ac:dyDescent="0.25">
      <c r="A6959" s="34" t="s">
        <v>5247</v>
      </c>
      <c r="B6959" s="35">
        <v>1.9752171150865701</v>
      </c>
    </row>
    <row r="6960" spans="1:2" ht="13.2" x14ac:dyDescent="0.25">
      <c r="A6960" s="34" t="s">
        <v>5246</v>
      </c>
      <c r="B6960" s="35">
        <v>1.8826036196917</v>
      </c>
    </row>
    <row r="6961" spans="1:2" ht="13.2" x14ac:dyDescent="0.25">
      <c r="A6961" s="34" t="s">
        <v>5245</v>
      </c>
      <c r="B6961" s="35">
        <v>1.8213485199192301</v>
      </c>
    </row>
    <row r="6962" spans="1:2" ht="13.2" x14ac:dyDescent="0.25">
      <c r="A6962" s="34" t="s">
        <v>5244</v>
      </c>
      <c r="B6962" s="35">
        <v>1.8424870256491701</v>
      </c>
    </row>
    <row r="6963" spans="1:2" ht="13.2" x14ac:dyDescent="0.25">
      <c r="A6963" s="34" t="s">
        <v>5243</v>
      </c>
    </row>
    <row r="6964" spans="1:2" ht="13.2" x14ac:dyDescent="0.25">
      <c r="A6964" s="34" t="s">
        <v>5242</v>
      </c>
    </row>
    <row r="6965" spans="1:2" ht="13.2" x14ac:dyDescent="0.25">
      <c r="A6965" s="34" t="s">
        <v>5241</v>
      </c>
      <c r="B6965" s="35">
        <v>1.67133297901723</v>
      </c>
    </row>
    <row r="6966" spans="1:2" ht="13.2" x14ac:dyDescent="0.25">
      <c r="A6966" s="34" t="s">
        <v>5240</v>
      </c>
      <c r="B6966" s="35">
        <v>1.70063969293451</v>
      </c>
    </row>
    <row r="6967" spans="1:2" ht="13.2" x14ac:dyDescent="0.25">
      <c r="A6967" s="34" t="s">
        <v>5239</v>
      </c>
      <c r="B6967" s="35">
        <v>1.4985469832901499</v>
      </c>
    </row>
    <row r="6968" spans="1:2" ht="13.2" x14ac:dyDescent="0.25">
      <c r="A6968" s="34" t="s">
        <v>5238</v>
      </c>
      <c r="B6968" s="35">
        <v>1.51508601719254</v>
      </c>
    </row>
    <row r="6969" spans="1:2" ht="13.2" x14ac:dyDescent="0.25">
      <c r="A6969" s="34" t="s">
        <v>5237</v>
      </c>
      <c r="B6969" s="35">
        <v>1.5044019746405399</v>
      </c>
    </row>
    <row r="6970" spans="1:2" ht="13.2" x14ac:dyDescent="0.25">
      <c r="A6970" s="34" t="s">
        <v>5236</v>
      </c>
    </row>
    <row r="6971" spans="1:2" ht="13.2" x14ac:dyDescent="0.25">
      <c r="A6971" s="34" t="s">
        <v>5235</v>
      </c>
    </row>
    <row r="6972" spans="1:2" ht="13.2" x14ac:dyDescent="0.25">
      <c r="A6972" s="34" t="s">
        <v>5234</v>
      </c>
      <c r="B6972" s="35">
        <v>1.6320804098321899</v>
      </c>
    </row>
    <row r="6973" spans="1:2" ht="13.2" x14ac:dyDescent="0.25">
      <c r="A6973" s="34" t="s">
        <v>5233</v>
      </c>
      <c r="B6973" s="35">
        <v>1.6229775642379201</v>
      </c>
    </row>
    <row r="6974" spans="1:2" ht="13.2" x14ac:dyDescent="0.25">
      <c r="A6974" s="34" t="s">
        <v>5232</v>
      </c>
      <c r="B6974" s="35">
        <v>1.6125904909436399</v>
      </c>
    </row>
    <row r="6975" spans="1:2" ht="13.2" x14ac:dyDescent="0.25">
      <c r="A6975" s="34" t="s">
        <v>5231</v>
      </c>
      <c r="B6975" s="35">
        <v>1.6079466871039401</v>
      </c>
    </row>
    <row r="6976" spans="1:2" ht="13.2" x14ac:dyDescent="0.25">
      <c r="A6976" s="34" t="s">
        <v>5230</v>
      </c>
      <c r="B6976" s="35">
        <v>1.7330573363890101</v>
      </c>
    </row>
    <row r="6977" spans="1:2" ht="13.2" x14ac:dyDescent="0.25">
      <c r="A6977" s="34" t="s">
        <v>5229</v>
      </c>
      <c r="B6977" s="35">
        <v>1.716397</v>
      </c>
    </row>
    <row r="6978" spans="1:2" ht="13.2" x14ac:dyDescent="0.25">
      <c r="A6978" s="34" t="s">
        <v>5228</v>
      </c>
    </row>
    <row r="6979" spans="1:2" ht="13.2" x14ac:dyDescent="0.25">
      <c r="A6979" s="34" t="s">
        <v>5227</v>
      </c>
      <c r="B6979" s="35">
        <v>1.7155825239217299</v>
      </c>
    </row>
    <row r="6980" spans="1:2" ht="13.2" x14ac:dyDescent="0.25">
      <c r="A6980" s="34" t="s">
        <v>5226</v>
      </c>
      <c r="B6980" s="35">
        <v>1.6997135591817201</v>
      </c>
    </row>
    <row r="6981" spans="1:2" ht="13.2" x14ac:dyDescent="0.25">
      <c r="A6981" s="34" t="s">
        <v>5225</v>
      </c>
      <c r="B6981" s="35">
        <v>1.70059293000111</v>
      </c>
    </row>
    <row r="6982" spans="1:2" ht="13.2" x14ac:dyDescent="0.25">
      <c r="A6982" s="34" t="s">
        <v>5224</v>
      </c>
      <c r="B6982" s="35">
        <v>1.63835288984581</v>
      </c>
    </row>
    <row r="6983" spans="1:2" ht="13.2" x14ac:dyDescent="0.25">
      <c r="A6983" s="34" t="s">
        <v>5223</v>
      </c>
      <c r="B6983" s="35">
        <v>1.5671788144262799</v>
      </c>
    </row>
    <row r="6984" spans="1:2" ht="13.2" x14ac:dyDescent="0.25">
      <c r="A6984" s="34" t="s">
        <v>5222</v>
      </c>
    </row>
    <row r="6985" spans="1:2" ht="13.2" x14ac:dyDescent="0.25">
      <c r="A6985" s="34" t="s">
        <v>5221</v>
      </c>
    </row>
    <row r="6986" spans="1:2" ht="13.2" x14ac:dyDescent="0.25">
      <c r="A6986" s="34" t="s">
        <v>5220</v>
      </c>
    </row>
    <row r="6987" spans="1:2" ht="13.2" x14ac:dyDescent="0.25">
      <c r="A6987" s="34" t="s">
        <v>5219</v>
      </c>
      <c r="B6987" s="35">
        <v>1.7117400127739899</v>
      </c>
    </row>
    <row r="6988" spans="1:2" ht="13.2" x14ac:dyDescent="0.25">
      <c r="A6988" s="34" t="s">
        <v>5218</v>
      </c>
      <c r="B6988" s="35">
        <v>1.7043303816266799</v>
      </c>
    </row>
    <row r="6989" spans="1:2" ht="13.2" x14ac:dyDescent="0.25">
      <c r="A6989" s="34" t="s">
        <v>5217</v>
      </c>
      <c r="B6989" s="35">
        <v>1.6443607773061499</v>
      </c>
    </row>
    <row r="6990" spans="1:2" ht="13.2" x14ac:dyDescent="0.25">
      <c r="A6990" s="34" t="s">
        <v>5216</v>
      </c>
      <c r="B6990" s="35">
        <v>1.67187476073329</v>
      </c>
    </row>
    <row r="6991" spans="1:2" ht="13.2" x14ac:dyDescent="0.25">
      <c r="A6991" s="34" t="s">
        <v>5215</v>
      </c>
    </row>
    <row r="6992" spans="1:2" ht="13.2" x14ac:dyDescent="0.25">
      <c r="A6992" s="34" t="s">
        <v>5214</v>
      </c>
    </row>
    <row r="6993" spans="1:2" ht="13.2" x14ac:dyDescent="0.25">
      <c r="A6993" s="34" t="s">
        <v>5213</v>
      </c>
      <c r="B6993" s="35">
        <v>1.7065972282850299</v>
      </c>
    </row>
    <row r="6994" spans="1:2" ht="13.2" x14ac:dyDescent="0.25">
      <c r="A6994" s="34" t="s">
        <v>5212</v>
      </c>
      <c r="B6994" s="35">
        <v>1.6907091333072199</v>
      </c>
    </row>
    <row r="6995" spans="1:2" ht="13.2" x14ac:dyDescent="0.25">
      <c r="A6995" s="34" t="s">
        <v>5211</v>
      </c>
      <c r="B6995" s="35">
        <v>1.7181942180099601</v>
      </c>
    </row>
    <row r="6996" spans="1:2" ht="13.2" x14ac:dyDescent="0.25">
      <c r="A6996" s="34" t="s">
        <v>5210</v>
      </c>
      <c r="B6996" s="35">
        <v>1.6993291914234101</v>
      </c>
    </row>
    <row r="6997" spans="1:2" ht="13.2" x14ac:dyDescent="0.25">
      <c r="A6997" s="34" t="s">
        <v>5209</v>
      </c>
      <c r="B6997" s="35">
        <v>1.75117964246539</v>
      </c>
    </row>
    <row r="6998" spans="1:2" ht="13.2" x14ac:dyDescent="0.25">
      <c r="A6998" s="34" t="s">
        <v>5208</v>
      </c>
    </row>
    <row r="6999" spans="1:2" ht="13.2" x14ac:dyDescent="0.25">
      <c r="A6999" s="34" t="s">
        <v>5207</v>
      </c>
    </row>
    <row r="7000" spans="1:2" ht="13.2" x14ac:dyDescent="0.25">
      <c r="A7000" s="34" t="s">
        <v>5206</v>
      </c>
      <c r="B7000" s="35">
        <v>1.6983406357537401</v>
      </c>
    </row>
    <row r="7001" spans="1:2" ht="13.2" x14ac:dyDescent="0.25">
      <c r="A7001" s="34" t="s">
        <v>5205</v>
      </c>
      <c r="B7001" s="35">
        <v>1.70205813192181</v>
      </c>
    </row>
    <row r="7002" spans="1:2" ht="13.2" x14ac:dyDescent="0.25">
      <c r="A7002" s="34" t="s">
        <v>5204</v>
      </c>
      <c r="B7002" s="35">
        <v>1.5814766483688301</v>
      </c>
    </row>
    <row r="7003" spans="1:2" ht="13.2" x14ac:dyDescent="0.25">
      <c r="A7003" s="34" t="s">
        <v>5203</v>
      </c>
      <c r="B7003" s="35">
        <v>1.68973037247458</v>
      </c>
    </row>
    <row r="7004" spans="1:2" ht="13.2" x14ac:dyDescent="0.25">
      <c r="A7004" s="34" t="s">
        <v>5202</v>
      </c>
      <c r="B7004" s="35">
        <v>1.9321303405533701</v>
      </c>
    </row>
    <row r="7005" spans="1:2" ht="13.2" x14ac:dyDescent="0.25">
      <c r="A7005" s="34" t="s">
        <v>5201</v>
      </c>
    </row>
    <row r="7006" spans="1:2" ht="13.2" x14ac:dyDescent="0.25">
      <c r="A7006" s="34" t="s">
        <v>5200</v>
      </c>
    </row>
    <row r="7007" spans="1:2" ht="13.2" x14ac:dyDescent="0.25">
      <c r="A7007" s="34" t="s">
        <v>5199</v>
      </c>
      <c r="B7007" s="35">
        <v>1.9226599453291799</v>
      </c>
    </row>
    <row r="7008" spans="1:2" ht="13.2" x14ac:dyDescent="0.25">
      <c r="A7008" s="34" t="s">
        <v>5198</v>
      </c>
      <c r="B7008" s="35">
        <v>1.8805122021010801</v>
      </c>
    </row>
    <row r="7009" spans="1:2" ht="13.2" x14ac:dyDescent="0.25">
      <c r="A7009" s="34" t="s">
        <v>5197</v>
      </c>
      <c r="B7009" s="35">
        <v>1.8894545674296701</v>
      </c>
    </row>
    <row r="7010" spans="1:2" ht="13.2" x14ac:dyDescent="0.25">
      <c r="A7010" s="34" t="s">
        <v>5196</v>
      </c>
      <c r="B7010" s="35">
        <v>1.8396633123187001</v>
      </c>
    </row>
    <row r="7011" spans="1:2" ht="13.2" x14ac:dyDescent="0.25">
      <c r="A7011" s="34" t="s">
        <v>5195</v>
      </c>
      <c r="B7011" s="35">
        <v>1.95804444296437</v>
      </c>
    </row>
    <row r="7012" spans="1:2" ht="13.2" x14ac:dyDescent="0.25">
      <c r="A7012" s="34" t="s">
        <v>5194</v>
      </c>
    </row>
    <row r="7013" spans="1:2" ht="13.2" x14ac:dyDescent="0.25">
      <c r="A7013" s="34" t="s">
        <v>5193</v>
      </c>
    </row>
    <row r="7014" spans="1:2" ht="13.2" x14ac:dyDescent="0.25">
      <c r="A7014" s="34" t="s">
        <v>5192</v>
      </c>
      <c r="B7014" s="35">
        <v>1.99490742105579</v>
      </c>
    </row>
    <row r="7015" spans="1:2" ht="13.2" x14ac:dyDescent="0.25">
      <c r="A7015" s="34" t="s">
        <v>5191</v>
      </c>
      <c r="B7015" s="35">
        <v>1.96690011616377</v>
      </c>
    </row>
    <row r="7016" spans="1:2" ht="13.2" x14ac:dyDescent="0.25">
      <c r="A7016" s="34" t="s">
        <v>5190</v>
      </c>
      <c r="B7016" s="35">
        <v>1.8558233809073501</v>
      </c>
    </row>
    <row r="7017" spans="1:2" ht="13.2" x14ac:dyDescent="0.25">
      <c r="A7017" s="34" t="s">
        <v>5189</v>
      </c>
      <c r="B7017" s="35">
        <v>1.8559398444431701</v>
      </c>
    </row>
    <row r="7018" spans="1:2" ht="13.2" x14ac:dyDescent="0.25">
      <c r="A7018" s="34" t="s">
        <v>5188</v>
      </c>
      <c r="B7018" s="35">
        <v>1.8500828211168101</v>
      </c>
    </row>
    <row r="7019" spans="1:2" ht="13.2" x14ac:dyDescent="0.25">
      <c r="A7019" s="34" t="s">
        <v>5187</v>
      </c>
    </row>
    <row r="7020" spans="1:2" ht="13.2" x14ac:dyDescent="0.25">
      <c r="A7020" s="34" t="s">
        <v>5186</v>
      </c>
    </row>
    <row r="7021" spans="1:2" ht="13.2" x14ac:dyDescent="0.25">
      <c r="A7021" s="34" t="s">
        <v>5185</v>
      </c>
      <c r="B7021" s="35">
        <v>1.8361786249365799</v>
      </c>
    </row>
    <row r="7022" spans="1:2" ht="13.2" x14ac:dyDescent="0.25">
      <c r="A7022" s="34" t="s">
        <v>5184</v>
      </c>
      <c r="B7022" s="35">
        <v>1.8391062687287401</v>
      </c>
    </row>
    <row r="7023" spans="1:2" ht="13.2" x14ac:dyDescent="0.25">
      <c r="A7023" s="34" t="s">
        <v>5183</v>
      </c>
      <c r="B7023" s="35">
        <v>1.83533596775956</v>
      </c>
    </row>
    <row r="7024" spans="1:2" ht="13.2" x14ac:dyDescent="0.25">
      <c r="A7024" s="34" t="s">
        <v>5182</v>
      </c>
      <c r="B7024" s="35">
        <v>1.8668672276576701</v>
      </c>
    </row>
    <row r="7025" spans="1:2" ht="13.2" x14ac:dyDescent="0.25">
      <c r="A7025" s="34" t="s">
        <v>5181</v>
      </c>
      <c r="B7025" s="35">
        <v>1.8652987513619801</v>
      </c>
    </row>
    <row r="7026" spans="1:2" ht="13.2" x14ac:dyDescent="0.25">
      <c r="A7026" s="34" t="s">
        <v>5180</v>
      </c>
    </row>
    <row r="7027" spans="1:2" ht="13.2" x14ac:dyDescent="0.25">
      <c r="A7027" s="34" t="s">
        <v>5179</v>
      </c>
    </row>
    <row r="7028" spans="1:2" ht="13.2" x14ac:dyDescent="0.25">
      <c r="A7028" s="34" t="s">
        <v>5178</v>
      </c>
      <c r="B7028" s="35">
        <v>1.78149255313877</v>
      </c>
    </row>
    <row r="7029" spans="1:2" ht="13.2" x14ac:dyDescent="0.25">
      <c r="A7029" s="34" t="s">
        <v>5177</v>
      </c>
      <c r="B7029" s="35">
        <v>1.69895797351383</v>
      </c>
    </row>
    <row r="7030" spans="1:2" ht="13.2" x14ac:dyDescent="0.25">
      <c r="A7030" s="34" t="s">
        <v>5176</v>
      </c>
      <c r="B7030" s="35">
        <v>1.67538053286522</v>
      </c>
    </row>
    <row r="7031" spans="1:2" ht="13.2" x14ac:dyDescent="0.25">
      <c r="A7031" s="34" t="s">
        <v>5175</v>
      </c>
      <c r="B7031" s="35">
        <v>1.7296969768127</v>
      </c>
    </row>
    <row r="7032" spans="1:2" ht="13.2" x14ac:dyDescent="0.25">
      <c r="A7032" s="34" t="s">
        <v>5174</v>
      </c>
      <c r="B7032" s="35">
        <v>1.6650152603191</v>
      </c>
    </row>
    <row r="7033" spans="1:2" ht="13.2" x14ac:dyDescent="0.25">
      <c r="A7033" s="34" t="s">
        <v>5173</v>
      </c>
    </row>
    <row r="7034" spans="1:2" ht="13.2" x14ac:dyDescent="0.25">
      <c r="A7034" s="34" t="s">
        <v>5172</v>
      </c>
    </row>
    <row r="7035" spans="1:2" ht="13.2" x14ac:dyDescent="0.25">
      <c r="A7035" s="34" t="s">
        <v>5171</v>
      </c>
      <c r="B7035" s="35">
        <v>1.3610527895704301</v>
      </c>
    </row>
    <row r="7036" spans="1:2" ht="13.2" x14ac:dyDescent="0.25">
      <c r="A7036" s="34" t="s">
        <v>5170</v>
      </c>
      <c r="B7036" s="35">
        <v>1.3416759181734199</v>
      </c>
    </row>
    <row r="7037" spans="1:2" ht="13.2" x14ac:dyDescent="0.25">
      <c r="A7037" s="34" t="s">
        <v>5169</v>
      </c>
      <c r="B7037" s="35">
        <v>1.3245662274062699</v>
      </c>
    </row>
    <row r="7038" spans="1:2" ht="13.2" x14ac:dyDescent="0.25">
      <c r="A7038" s="34" t="s">
        <v>5168</v>
      </c>
      <c r="B7038" s="35">
        <v>1.3086068675507601</v>
      </c>
    </row>
    <row r="7039" spans="1:2" ht="13.2" x14ac:dyDescent="0.25">
      <c r="A7039" s="34" t="s">
        <v>5167</v>
      </c>
      <c r="B7039" s="35">
        <v>1.31097015636365</v>
      </c>
    </row>
    <row r="7040" spans="1:2" ht="13.2" x14ac:dyDescent="0.25">
      <c r="A7040" s="34" t="s">
        <v>5166</v>
      </c>
    </row>
    <row r="7041" spans="1:2" ht="13.2" x14ac:dyDescent="0.25">
      <c r="A7041" s="34" t="s">
        <v>5165</v>
      </c>
    </row>
    <row r="7042" spans="1:2" ht="13.2" x14ac:dyDescent="0.25">
      <c r="A7042" s="34" t="s">
        <v>5164</v>
      </c>
      <c r="B7042" s="35">
        <v>1.12713809835566</v>
      </c>
    </row>
    <row r="7043" spans="1:2" ht="13.2" x14ac:dyDescent="0.25">
      <c r="A7043" s="34" t="s">
        <v>5163</v>
      </c>
      <c r="B7043" s="35">
        <v>1.10925138878635</v>
      </c>
    </row>
    <row r="7044" spans="1:2" ht="13.2" x14ac:dyDescent="0.25">
      <c r="A7044" s="34" t="s">
        <v>5162</v>
      </c>
      <c r="B7044" s="35">
        <v>1.1236380557327299</v>
      </c>
    </row>
    <row r="7045" spans="1:2" ht="13.2" x14ac:dyDescent="0.25">
      <c r="A7045" s="34" t="s">
        <v>5161</v>
      </c>
      <c r="B7045" s="35">
        <v>1.1682318789556301</v>
      </c>
    </row>
    <row r="7046" spans="1:2" ht="13.2" x14ac:dyDescent="0.25">
      <c r="A7046" s="34" t="s">
        <v>5160</v>
      </c>
    </row>
    <row r="7047" spans="1:2" ht="13.2" x14ac:dyDescent="0.25">
      <c r="A7047" s="34" t="s">
        <v>5159</v>
      </c>
    </row>
    <row r="7048" spans="1:2" ht="13.2" x14ac:dyDescent="0.25">
      <c r="A7048" s="34" t="s">
        <v>5158</v>
      </c>
    </row>
    <row r="7049" spans="1:2" ht="13.2" x14ac:dyDescent="0.25">
      <c r="A7049" s="34" t="s">
        <v>5157</v>
      </c>
      <c r="B7049" s="35">
        <v>1.16791849491815</v>
      </c>
    </row>
    <row r="7050" spans="1:2" ht="13.2" x14ac:dyDescent="0.25">
      <c r="A7050" s="34" t="s">
        <v>5156</v>
      </c>
      <c r="B7050" s="35">
        <v>1.2169458267233499</v>
      </c>
    </row>
    <row r="7051" spans="1:2" ht="13.2" x14ac:dyDescent="0.25">
      <c r="A7051" s="34" t="s">
        <v>5155</v>
      </c>
      <c r="B7051" s="35">
        <v>1.22809049449909</v>
      </c>
    </row>
    <row r="7052" spans="1:2" ht="13.2" x14ac:dyDescent="0.25">
      <c r="A7052" s="34" t="s">
        <v>5154</v>
      </c>
      <c r="B7052" s="35">
        <v>1.3468194962195901</v>
      </c>
    </row>
    <row r="7053" spans="1:2" ht="13.2" x14ac:dyDescent="0.25">
      <c r="A7053" s="34" t="s">
        <v>5153</v>
      </c>
      <c r="B7053" s="35">
        <v>1.34661825879778</v>
      </c>
    </row>
    <row r="7054" spans="1:2" ht="13.2" x14ac:dyDescent="0.25">
      <c r="A7054" s="34" t="s">
        <v>5152</v>
      </c>
    </row>
    <row r="7055" spans="1:2" ht="13.2" x14ac:dyDescent="0.25">
      <c r="A7055" s="34" t="s">
        <v>5151</v>
      </c>
    </row>
    <row r="7056" spans="1:2" ht="13.2" x14ac:dyDescent="0.25">
      <c r="A7056" s="34" t="s">
        <v>5150</v>
      </c>
      <c r="B7056" s="35">
        <v>1.2890132206328599</v>
      </c>
    </row>
    <row r="7057" spans="1:2" ht="13.2" x14ac:dyDescent="0.25">
      <c r="A7057" s="34" t="s">
        <v>5149</v>
      </c>
      <c r="B7057" s="35">
        <v>1.27690164665068</v>
      </c>
    </row>
    <row r="7058" spans="1:2" ht="13.2" x14ac:dyDescent="0.25">
      <c r="A7058" s="34" t="s">
        <v>5148</v>
      </c>
      <c r="B7058" s="35">
        <v>1.2804260888596299</v>
      </c>
    </row>
    <row r="7059" spans="1:2" ht="13.2" x14ac:dyDescent="0.25">
      <c r="A7059" s="34" t="s">
        <v>5147</v>
      </c>
      <c r="B7059" s="35">
        <v>1.26763151051783</v>
      </c>
    </row>
    <row r="7060" spans="1:2" ht="13.2" x14ac:dyDescent="0.25">
      <c r="A7060" s="34" t="s">
        <v>5146</v>
      </c>
      <c r="B7060" s="35">
        <v>1.2727244022175099</v>
      </c>
    </row>
    <row r="7061" spans="1:2" ht="13.2" x14ac:dyDescent="0.25">
      <c r="A7061" s="34" t="s">
        <v>5145</v>
      </c>
    </row>
    <row r="7062" spans="1:2" ht="13.2" x14ac:dyDescent="0.25">
      <c r="A7062" s="34" t="s">
        <v>5144</v>
      </c>
    </row>
    <row r="7063" spans="1:2" ht="13.2" x14ac:dyDescent="0.25">
      <c r="A7063" s="34" t="s">
        <v>5143</v>
      </c>
      <c r="B7063" s="35">
        <v>1.2270758712198899</v>
      </c>
    </row>
    <row r="7064" spans="1:2" ht="13.2" x14ac:dyDescent="0.25">
      <c r="A7064" s="34" t="s">
        <v>5142</v>
      </c>
      <c r="B7064" s="35">
        <v>1.3477790435541701</v>
      </c>
    </row>
    <row r="7065" spans="1:2" ht="13.2" x14ac:dyDescent="0.25">
      <c r="A7065" s="34" t="s">
        <v>5141</v>
      </c>
      <c r="B7065" s="35">
        <v>1.3390349465892</v>
      </c>
    </row>
    <row r="7066" spans="1:2" ht="13.2" x14ac:dyDescent="0.25">
      <c r="A7066" s="34" t="s">
        <v>5140</v>
      </c>
      <c r="B7066" s="35">
        <v>1.3428179948839001</v>
      </c>
    </row>
    <row r="7067" spans="1:2" ht="13.2" x14ac:dyDescent="0.25">
      <c r="A7067" s="34" t="s">
        <v>5139</v>
      </c>
      <c r="B7067" s="35">
        <v>1.3421407796826399</v>
      </c>
    </row>
    <row r="7068" spans="1:2" ht="13.2" x14ac:dyDescent="0.25">
      <c r="A7068" s="34" t="s">
        <v>5138</v>
      </c>
    </row>
    <row r="7069" spans="1:2" ht="13.2" x14ac:dyDescent="0.25">
      <c r="A7069" s="34" t="s">
        <v>5137</v>
      </c>
    </row>
    <row r="7070" spans="1:2" ht="13.2" x14ac:dyDescent="0.25">
      <c r="A7070" s="34" t="s">
        <v>5136</v>
      </c>
      <c r="B7070" s="35">
        <v>1.3442547917863401</v>
      </c>
    </row>
    <row r="7071" spans="1:2" ht="13.2" x14ac:dyDescent="0.25">
      <c r="A7071" s="34" t="s">
        <v>5135</v>
      </c>
      <c r="B7071" s="35">
        <v>1.3501742338537099</v>
      </c>
    </row>
    <row r="7072" spans="1:2" ht="13.2" x14ac:dyDescent="0.25">
      <c r="A7072" s="34" t="s">
        <v>5134</v>
      </c>
      <c r="B7072" s="35">
        <v>1.3735369693592401</v>
      </c>
    </row>
    <row r="7073" spans="1:2" ht="13.2" x14ac:dyDescent="0.25">
      <c r="A7073" s="34" t="s">
        <v>5133</v>
      </c>
      <c r="B7073" s="35">
        <v>1.3029357080277899</v>
      </c>
    </row>
    <row r="7074" spans="1:2" ht="13.2" x14ac:dyDescent="0.25">
      <c r="A7074" s="34" t="s">
        <v>5132</v>
      </c>
      <c r="B7074" s="35">
        <v>1.2854751252194501</v>
      </c>
    </row>
    <row r="7075" spans="1:2" ht="13.2" x14ac:dyDescent="0.25">
      <c r="A7075" s="34" t="s">
        <v>5131</v>
      </c>
    </row>
    <row r="7076" spans="1:2" ht="13.2" x14ac:dyDescent="0.25">
      <c r="A7076" s="34" t="s">
        <v>5130</v>
      </c>
    </row>
    <row r="7077" spans="1:2" ht="13.2" x14ac:dyDescent="0.25">
      <c r="A7077" s="34" t="s">
        <v>5129</v>
      </c>
      <c r="B7077" s="35">
        <v>1.1942808454160001</v>
      </c>
    </row>
    <row r="7078" spans="1:2" ht="13.2" x14ac:dyDescent="0.25">
      <c r="A7078" s="34" t="s">
        <v>5128</v>
      </c>
      <c r="B7078" s="35">
        <v>1.2043994031748699</v>
      </c>
    </row>
    <row r="7079" spans="1:2" ht="13.2" x14ac:dyDescent="0.25">
      <c r="A7079" s="34" t="s">
        <v>5127</v>
      </c>
      <c r="B7079" s="35">
        <v>1.15343454074716</v>
      </c>
    </row>
    <row r="7080" spans="1:2" ht="13.2" x14ac:dyDescent="0.25">
      <c r="A7080" s="34" t="s">
        <v>5126</v>
      </c>
      <c r="B7080" s="35">
        <v>1.17048627705798</v>
      </c>
    </row>
    <row r="7081" spans="1:2" ht="13.2" x14ac:dyDescent="0.25">
      <c r="A7081" s="34" t="s">
        <v>5125</v>
      </c>
    </row>
    <row r="7082" spans="1:2" ht="13.2" x14ac:dyDescent="0.25">
      <c r="A7082" s="34" t="s">
        <v>5124</v>
      </c>
    </row>
    <row r="7083" spans="1:2" ht="13.2" x14ac:dyDescent="0.25">
      <c r="A7083" s="34" t="s">
        <v>5123</v>
      </c>
    </row>
    <row r="7084" spans="1:2" ht="13.2" x14ac:dyDescent="0.25">
      <c r="A7084" s="34" t="s">
        <v>5122</v>
      </c>
      <c r="B7084" s="35">
        <v>0.89853777663035095</v>
      </c>
    </row>
    <row r="7085" spans="1:2" ht="13.2" x14ac:dyDescent="0.25">
      <c r="A7085" s="34" t="s">
        <v>5121</v>
      </c>
      <c r="B7085" s="35">
        <v>0.89856096120232098</v>
      </c>
    </row>
    <row r="7086" spans="1:2" ht="13.2" x14ac:dyDescent="0.25">
      <c r="A7086" s="34" t="s">
        <v>5120</v>
      </c>
      <c r="B7086" s="35">
        <v>0.91048059491587696</v>
      </c>
    </row>
    <row r="7087" spans="1:2" ht="13.2" x14ac:dyDescent="0.25">
      <c r="A7087" s="34" t="s">
        <v>5119</v>
      </c>
      <c r="B7087" s="35">
        <v>0.91522932303916704</v>
      </c>
    </row>
    <row r="7088" spans="1:2" ht="13.2" x14ac:dyDescent="0.25">
      <c r="A7088" s="34" t="s">
        <v>5118</v>
      </c>
      <c r="B7088" s="35">
        <v>0.95240195633543201</v>
      </c>
    </row>
    <row r="7089" spans="1:2" ht="13.2" x14ac:dyDescent="0.25">
      <c r="A7089" s="34" t="s">
        <v>5117</v>
      </c>
    </row>
    <row r="7090" spans="1:2" ht="13.2" x14ac:dyDescent="0.25">
      <c r="A7090" s="34" t="s">
        <v>5116</v>
      </c>
    </row>
    <row r="7091" spans="1:2" ht="13.2" x14ac:dyDescent="0.25">
      <c r="A7091" s="34" t="s">
        <v>5115</v>
      </c>
      <c r="B7091" s="35">
        <v>0.95087916357864999</v>
      </c>
    </row>
    <row r="7092" spans="1:2" ht="13.2" x14ac:dyDescent="0.25">
      <c r="A7092" s="34" t="s">
        <v>5114</v>
      </c>
      <c r="B7092" s="35">
        <v>1.00345254787646</v>
      </c>
    </row>
    <row r="7093" spans="1:2" ht="13.2" x14ac:dyDescent="0.25">
      <c r="A7093" s="34" t="s">
        <v>5113</v>
      </c>
      <c r="B7093" s="35">
        <v>0.96979537626711498</v>
      </c>
    </row>
    <row r="7094" spans="1:2" ht="13.2" x14ac:dyDescent="0.25">
      <c r="A7094" s="34" t="s">
        <v>5112</v>
      </c>
      <c r="B7094" s="35">
        <v>0.92086326946637997</v>
      </c>
    </row>
    <row r="7095" spans="1:2" ht="13.2" x14ac:dyDescent="0.25">
      <c r="A7095" s="34" t="s">
        <v>5111</v>
      </c>
      <c r="B7095" s="35">
        <v>0.93440874884019998</v>
      </c>
    </row>
    <row r="7096" spans="1:2" ht="13.2" x14ac:dyDescent="0.25">
      <c r="A7096" s="34" t="s">
        <v>5110</v>
      </c>
    </row>
    <row r="7097" spans="1:2" ht="13.2" x14ac:dyDescent="0.25">
      <c r="A7097" s="34" t="s">
        <v>5109</v>
      </c>
    </row>
    <row r="7098" spans="1:2" ht="13.2" x14ac:dyDescent="0.25">
      <c r="A7098" s="34" t="s">
        <v>5108</v>
      </c>
      <c r="B7098" s="35">
        <v>0.93404683401181898</v>
      </c>
    </row>
    <row r="7099" spans="1:2" ht="13.2" x14ac:dyDescent="0.25">
      <c r="A7099" s="34" t="s">
        <v>5107</v>
      </c>
      <c r="B7099" s="35">
        <v>0.89551051073685395</v>
      </c>
    </row>
    <row r="7100" spans="1:2" ht="13.2" x14ac:dyDescent="0.25">
      <c r="A7100" s="34" t="s">
        <v>5106</v>
      </c>
      <c r="B7100" s="35">
        <v>0.89949885361814896</v>
      </c>
    </row>
    <row r="7101" spans="1:2" ht="13.2" x14ac:dyDescent="0.25">
      <c r="A7101" s="34" t="s">
        <v>5105</v>
      </c>
      <c r="B7101" s="35">
        <v>1.04419891550141</v>
      </c>
    </row>
    <row r="7102" spans="1:2" ht="13.2" x14ac:dyDescent="0.25">
      <c r="A7102" s="34" t="s">
        <v>5104</v>
      </c>
    </row>
    <row r="7103" spans="1:2" ht="13.2" x14ac:dyDescent="0.25">
      <c r="A7103" s="34" t="s">
        <v>5103</v>
      </c>
    </row>
    <row r="7104" spans="1:2" ht="13.2" x14ac:dyDescent="0.25">
      <c r="A7104" s="34" t="s">
        <v>5102</v>
      </c>
    </row>
    <row r="7105" spans="1:2" ht="13.2" x14ac:dyDescent="0.25">
      <c r="A7105" s="34" t="s">
        <v>5101</v>
      </c>
      <c r="B7105" s="35">
        <v>1.0234287747174999</v>
      </c>
    </row>
    <row r="7106" spans="1:2" ht="13.2" x14ac:dyDescent="0.25">
      <c r="A7106" s="34" t="s">
        <v>5100</v>
      </c>
      <c r="B7106" s="35">
        <v>1.1238070755406599</v>
      </c>
    </row>
    <row r="7107" spans="1:2" ht="13.2" x14ac:dyDescent="0.25">
      <c r="A7107" s="34" t="s">
        <v>5099</v>
      </c>
      <c r="B7107" s="35">
        <v>1.18127158390793</v>
      </c>
    </row>
    <row r="7108" spans="1:2" ht="13.2" x14ac:dyDescent="0.25">
      <c r="A7108" s="34" t="s">
        <v>5098</v>
      </c>
      <c r="B7108" s="35">
        <v>1.19982531084378</v>
      </c>
    </row>
    <row r="7109" spans="1:2" ht="13.2" x14ac:dyDescent="0.25">
      <c r="A7109" s="34" t="s">
        <v>5097</v>
      </c>
      <c r="B7109" s="35">
        <v>1.19505215783608</v>
      </c>
    </row>
    <row r="7110" spans="1:2" ht="13.2" x14ac:dyDescent="0.25">
      <c r="A7110" s="34" t="s">
        <v>5096</v>
      </c>
    </row>
    <row r="7111" spans="1:2" ht="13.2" x14ac:dyDescent="0.25">
      <c r="A7111" s="34" t="s">
        <v>5095</v>
      </c>
    </row>
    <row r="7112" spans="1:2" ht="13.2" x14ac:dyDescent="0.25">
      <c r="A7112" s="34" t="s">
        <v>5094</v>
      </c>
      <c r="B7112" s="35">
        <v>1.18796948832083</v>
      </c>
    </row>
    <row r="7113" spans="1:2" ht="13.2" x14ac:dyDescent="0.25">
      <c r="A7113" s="34" t="s">
        <v>5093</v>
      </c>
      <c r="B7113" s="35">
        <v>1.1664133248191999</v>
      </c>
    </row>
    <row r="7114" spans="1:2" ht="13.2" x14ac:dyDescent="0.25">
      <c r="A7114" s="34" t="s">
        <v>5092</v>
      </c>
      <c r="B7114" s="35">
        <v>1.2245478083680299</v>
      </c>
    </row>
    <row r="7115" spans="1:2" ht="13.2" x14ac:dyDescent="0.25">
      <c r="A7115" s="34" t="s">
        <v>5091</v>
      </c>
    </row>
    <row r="7116" spans="1:2" ht="13.2" x14ac:dyDescent="0.25">
      <c r="A7116" s="34" t="s">
        <v>5090</v>
      </c>
      <c r="B7116" s="35">
        <v>1.2501313272458601</v>
      </c>
    </row>
    <row r="7117" spans="1:2" ht="13.2" x14ac:dyDescent="0.25">
      <c r="A7117" s="34" t="s">
        <v>5089</v>
      </c>
    </row>
    <row r="7118" spans="1:2" ht="13.2" x14ac:dyDescent="0.25">
      <c r="A7118" s="34" t="s">
        <v>5088</v>
      </c>
    </row>
    <row r="7119" spans="1:2" ht="13.2" x14ac:dyDescent="0.25">
      <c r="A7119" s="34" t="s">
        <v>5087</v>
      </c>
      <c r="B7119" s="35">
        <v>1.3285866194136899</v>
      </c>
    </row>
    <row r="7120" spans="1:2" ht="13.2" x14ac:dyDescent="0.25">
      <c r="A7120" s="34" t="s">
        <v>5086</v>
      </c>
    </row>
    <row r="7121" spans="1:2" ht="13.2" x14ac:dyDescent="0.25">
      <c r="A7121" s="34" t="s">
        <v>5085</v>
      </c>
      <c r="B7121" s="35">
        <v>1.32704105194606</v>
      </c>
    </row>
    <row r="7122" spans="1:2" ht="13.2" x14ac:dyDescent="0.25">
      <c r="A7122" s="34" t="s">
        <v>5084</v>
      </c>
      <c r="B7122" s="35">
        <v>1.3097900644356999</v>
      </c>
    </row>
    <row r="7123" spans="1:2" ht="13.2" x14ac:dyDescent="0.25">
      <c r="A7123" s="34" t="s">
        <v>5083</v>
      </c>
      <c r="B7123" s="35">
        <v>1.3937805983651801</v>
      </c>
    </row>
    <row r="7124" spans="1:2" ht="13.2" x14ac:dyDescent="0.25">
      <c r="A7124" s="34" t="s">
        <v>5082</v>
      </c>
    </row>
    <row r="7125" spans="1:2" ht="13.2" x14ac:dyDescent="0.25">
      <c r="A7125" s="34" t="s">
        <v>5081</v>
      </c>
    </row>
    <row r="7126" spans="1:2" ht="13.2" x14ac:dyDescent="0.25">
      <c r="A7126" s="34" t="s">
        <v>5080</v>
      </c>
      <c r="B7126" s="35">
        <v>1.3789734582381801</v>
      </c>
    </row>
    <row r="7127" spans="1:2" ht="13.2" x14ac:dyDescent="0.25">
      <c r="A7127" s="34" t="s">
        <v>5079</v>
      </c>
      <c r="B7127" s="35">
        <v>1.3773288298541899</v>
      </c>
    </row>
    <row r="7128" spans="1:2" ht="13.2" x14ac:dyDescent="0.25">
      <c r="A7128" s="34" t="s">
        <v>5078</v>
      </c>
      <c r="B7128" s="35">
        <v>1.35467433591662</v>
      </c>
    </row>
    <row r="7129" spans="1:2" ht="13.2" x14ac:dyDescent="0.25">
      <c r="A7129" s="34" t="s">
        <v>5077</v>
      </c>
      <c r="B7129" s="35">
        <v>1.4358308845307699</v>
      </c>
    </row>
    <row r="7130" spans="1:2" ht="13.2" x14ac:dyDescent="0.25">
      <c r="A7130" s="34" t="s">
        <v>5076</v>
      </c>
      <c r="B7130" s="35">
        <v>1.44336746877077</v>
      </c>
    </row>
    <row r="7131" spans="1:2" ht="13.2" x14ac:dyDescent="0.25">
      <c r="A7131" s="34" t="s">
        <v>5075</v>
      </c>
    </row>
    <row r="7132" spans="1:2" ht="13.2" x14ac:dyDescent="0.25">
      <c r="A7132" s="34" t="s">
        <v>5074</v>
      </c>
    </row>
    <row r="7133" spans="1:2" ht="13.2" x14ac:dyDescent="0.25">
      <c r="A7133" s="34" t="s">
        <v>5073</v>
      </c>
      <c r="B7133" s="35">
        <v>1.4567361939221399</v>
      </c>
    </row>
    <row r="7134" spans="1:2" ht="13.2" x14ac:dyDescent="0.25">
      <c r="A7134" s="34" t="s">
        <v>5072</v>
      </c>
      <c r="B7134" s="35">
        <v>1.4579132144781699</v>
      </c>
    </row>
    <row r="7135" spans="1:2" ht="13.2" x14ac:dyDescent="0.25">
      <c r="A7135" s="34" t="s">
        <v>5071</v>
      </c>
      <c r="B7135" s="35">
        <v>1.36613222484429</v>
      </c>
    </row>
    <row r="7136" spans="1:2" ht="13.2" x14ac:dyDescent="0.25">
      <c r="A7136" s="34" t="s">
        <v>5070</v>
      </c>
      <c r="B7136" s="35">
        <v>1.36503492415353</v>
      </c>
    </row>
    <row r="7137" spans="1:2" ht="13.2" x14ac:dyDescent="0.25">
      <c r="A7137" s="34" t="s">
        <v>5069</v>
      </c>
      <c r="B7137" s="35">
        <v>1.3175989657120899</v>
      </c>
    </row>
    <row r="7138" spans="1:2" ht="13.2" x14ac:dyDescent="0.25">
      <c r="A7138" s="34" t="s">
        <v>5068</v>
      </c>
    </row>
    <row r="7139" spans="1:2" ht="13.2" x14ac:dyDescent="0.25">
      <c r="A7139" s="34" t="s">
        <v>5067</v>
      </c>
    </row>
    <row r="7140" spans="1:2" ht="13.2" x14ac:dyDescent="0.25">
      <c r="A7140" s="34" t="s">
        <v>5066</v>
      </c>
      <c r="B7140" s="35">
        <v>1.30188733915734</v>
      </c>
    </row>
    <row r="7141" spans="1:2" ht="13.2" x14ac:dyDescent="0.25">
      <c r="A7141" s="34" t="s">
        <v>5065</v>
      </c>
      <c r="B7141" s="35">
        <v>1.24154734290207</v>
      </c>
    </row>
    <row r="7142" spans="1:2" ht="13.2" x14ac:dyDescent="0.25">
      <c r="A7142" s="34" t="s">
        <v>5064</v>
      </c>
      <c r="B7142" s="35">
        <v>1.24085818830284</v>
      </c>
    </row>
    <row r="7143" spans="1:2" ht="13.2" x14ac:dyDescent="0.25">
      <c r="A7143" s="34" t="s">
        <v>5063</v>
      </c>
      <c r="B7143" s="35">
        <v>1.23513768682291</v>
      </c>
    </row>
    <row r="7144" spans="1:2" ht="13.2" x14ac:dyDescent="0.25">
      <c r="A7144" s="34" t="s">
        <v>5062</v>
      </c>
      <c r="B7144" s="35">
        <v>1.2307130000947299</v>
      </c>
    </row>
    <row r="7145" spans="1:2" ht="13.2" x14ac:dyDescent="0.25">
      <c r="A7145" s="34" t="s">
        <v>5061</v>
      </c>
    </row>
    <row r="7146" spans="1:2" ht="13.2" x14ac:dyDescent="0.25">
      <c r="A7146" s="34" t="s">
        <v>5060</v>
      </c>
    </row>
    <row r="7147" spans="1:2" ht="13.2" x14ac:dyDescent="0.25">
      <c r="A7147" s="34" t="s">
        <v>5059</v>
      </c>
      <c r="B7147" s="35">
        <v>1.1154146412795101</v>
      </c>
    </row>
    <row r="7148" spans="1:2" ht="13.2" x14ac:dyDescent="0.25">
      <c r="A7148" s="34" t="s">
        <v>5058</v>
      </c>
      <c r="B7148" s="35">
        <v>1.06147520329735</v>
      </c>
    </row>
    <row r="7149" spans="1:2" ht="13.2" x14ac:dyDescent="0.25">
      <c r="A7149" s="34" t="s">
        <v>5057</v>
      </c>
      <c r="B7149" s="35">
        <v>1.01430874652311</v>
      </c>
    </row>
    <row r="7150" spans="1:2" ht="13.2" x14ac:dyDescent="0.25">
      <c r="A7150" s="34" t="s">
        <v>5056</v>
      </c>
      <c r="B7150" s="35">
        <v>1.0001005618978001</v>
      </c>
    </row>
    <row r="7151" spans="1:2" ht="13.2" x14ac:dyDescent="0.25">
      <c r="A7151" s="34" t="s">
        <v>5055</v>
      </c>
      <c r="B7151" s="35">
        <v>1.0171072572131601</v>
      </c>
    </row>
    <row r="7152" spans="1:2" ht="13.2" x14ac:dyDescent="0.25">
      <c r="A7152" s="34" t="s">
        <v>5054</v>
      </c>
    </row>
    <row r="7153" spans="1:2" ht="13.2" x14ac:dyDescent="0.25">
      <c r="A7153" s="34" t="s">
        <v>5053</v>
      </c>
    </row>
    <row r="7154" spans="1:2" ht="13.2" x14ac:dyDescent="0.25">
      <c r="A7154" s="34" t="s">
        <v>5052</v>
      </c>
    </row>
    <row r="7155" spans="1:2" ht="13.2" x14ac:dyDescent="0.25">
      <c r="A7155" s="34" t="s">
        <v>5051</v>
      </c>
    </row>
    <row r="7156" spans="1:2" ht="13.2" x14ac:dyDescent="0.25">
      <c r="A7156" s="34" t="s">
        <v>5050</v>
      </c>
      <c r="B7156" s="35">
        <v>0.94998710813912002</v>
      </c>
    </row>
    <row r="7157" spans="1:2" ht="13.2" x14ac:dyDescent="0.25">
      <c r="A7157" s="34" t="s">
        <v>5049</v>
      </c>
      <c r="B7157" s="35">
        <v>0.90509329228925095</v>
      </c>
    </row>
    <row r="7158" spans="1:2" ht="13.2" x14ac:dyDescent="0.25">
      <c r="A7158" s="34" t="s">
        <v>5048</v>
      </c>
      <c r="B7158" s="35">
        <v>0.87242964444172</v>
      </c>
    </row>
    <row r="7159" spans="1:2" ht="13.2" x14ac:dyDescent="0.25">
      <c r="A7159" s="34" t="s">
        <v>5047</v>
      </c>
    </row>
    <row r="7160" spans="1:2" ht="13.2" x14ac:dyDescent="0.25">
      <c r="A7160" s="34" t="s">
        <v>5046</v>
      </c>
    </row>
    <row r="7161" spans="1:2" ht="13.2" x14ac:dyDescent="0.25">
      <c r="A7161" s="34" t="s">
        <v>5045</v>
      </c>
    </row>
    <row r="7162" spans="1:2" ht="13.2" x14ac:dyDescent="0.25">
      <c r="A7162" s="34" t="s">
        <v>5044</v>
      </c>
    </row>
    <row r="7163" spans="1:2" ht="13.2" x14ac:dyDescent="0.25">
      <c r="A7163" s="34" t="s">
        <v>5043</v>
      </c>
      <c r="B7163" s="35">
        <v>0.99661002702230905</v>
      </c>
    </row>
    <row r="7164" spans="1:2" ht="13.2" x14ac:dyDescent="0.25">
      <c r="A7164" s="34" t="s">
        <v>5042</v>
      </c>
      <c r="B7164" s="35">
        <v>0.92308805324312404</v>
      </c>
    </row>
    <row r="7165" spans="1:2" ht="13.2" x14ac:dyDescent="0.25">
      <c r="A7165" s="34" t="s">
        <v>5041</v>
      </c>
      <c r="B7165" s="35">
        <v>0.96647960148668199</v>
      </c>
    </row>
    <row r="7166" spans="1:2" ht="13.2" x14ac:dyDescent="0.25">
      <c r="A7166" s="34" t="s">
        <v>5040</v>
      </c>
    </row>
    <row r="7167" spans="1:2" ht="13.2" x14ac:dyDescent="0.25">
      <c r="A7167" s="34" t="s">
        <v>5039</v>
      </c>
    </row>
    <row r="7168" spans="1:2" ht="13.2" x14ac:dyDescent="0.25">
      <c r="A7168" s="34" t="s">
        <v>5038</v>
      </c>
      <c r="B7168" s="35">
        <v>0.98835870642134005</v>
      </c>
    </row>
    <row r="7169" spans="1:2" ht="13.2" x14ac:dyDescent="0.25">
      <c r="A7169" s="34" t="s">
        <v>5037</v>
      </c>
      <c r="B7169" s="35">
        <v>1.0037160320462699</v>
      </c>
    </row>
    <row r="7170" spans="1:2" ht="13.2" x14ac:dyDescent="0.25">
      <c r="A7170" s="34" t="s">
        <v>5036</v>
      </c>
      <c r="B7170" s="35">
        <v>1.00820895293423</v>
      </c>
    </row>
    <row r="7171" spans="1:2" ht="13.2" x14ac:dyDescent="0.25">
      <c r="A7171" s="34" t="s">
        <v>5035</v>
      </c>
      <c r="B7171" s="35">
        <v>1.00566035299323</v>
      </c>
    </row>
    <row r="7172" spans="1:2" ht="13.2" x14ac:dyDescent="0.25">
      <c r="A7172" s="34" t="s">
        <v>5034</v>
      </c>
      <c r="B7172" s="35">
        <v>0.98060439838228797</v>
      </c>
    </row>
    <row r="7173" spans="1:2" ht="13.2" x14ac:dyDescent="0.25">
      <c r="A7173" s="34" t="s">
        <v>5033</v>
      </c>
    </row>
    <row r="7174" spans="1:2" ht="13.2" x14ac:dyDescent="0.25">
      <c r="A7174" s="34" t="s">
        <v>5032</v>
      </c>
    </row>
    <row r="7175" spans="1:2" ht="13.2" x14ac:dyDescent="0.25">
      <c r="A7175" s="34" t="s">
        <v>5031</v>
      </c>
      <c r="B7175" s="35">
        <v>0.96473297238456102</v>
      </c>
    </row>
    <row r="7176" spans="1:2" ht="13.2" x14ac:dyDescent="0.25">
      <c r="A7176" s="34" t="s">
        <v>5030</v>
      </c>
      <c r="B7176" s="35">
        <v>0.97485640770430704</v>
      </c>
    </row>
    <row r="7177" spans="1:2" ht="13.2" x14ac:dyDescent="0.25">
      <c r="A7177" s="34" t="s">
        <v>5029</v>
      </c>
      <c r="B7177" s="35">
        <v>0.97039879152896502</v>
      </c>
    </row>
    <row r="7178" spans="1:2" ht="13.2" x14ac:dyDescent="0.25">
      <c r="A7178" s="34" t="s">
        <v>5028</v>
      </c>
      <c r="B7178" s="35">
        <v>0.97004295529390006</v>
      </c>
    </row>
    <row r="7179" spans="1:2" ht="13.2" x14ac:dyDescent="0.25">
      <c r="A7179" s="34" t="s">
        <v>5027</v>
      </c>
      <c r="B7179" s="35">
        <v>0.97692466675254597</v>
      </c>
    </row>
    <row r="7180" spans="1:2" ht="13.2" x14ac:dyDescent="0.25">
      <c r="A7180" s="34" t="s">
        <v>5026</v>
      </c>
    </row>
    <row r="7181" spans="1:2" ht="13.2" x14ac:dyDescent="0.25">
      <c r="A7181" s="34" t="s">
        <v>5025</v>
      </c>
    </row>
    <row r="7182" spans="1:2" ht="13.2" x14ac:dyDescent="0.25">
      <c r="A7182" s="34" t="s">
        <v>5024</v>
      </c>
      <c r="B7182" s="35">
        <v>0.97728021939209198</v>
      </c>
    </row>
    <row r="7183" spans="1:2" ht="13.2" x14ac:dyDescent="0.25">
      <c r="A7183" s="34" t="s">
        <v>5023</v>
      </c>
      <c r="B7183" s="35">
        <v>0.93554990139729699</v>
      </c>
    </row>
    <row r="7184" spans="1:2" ht="13.2" x14ac:dyDescent="0.25">
      <c r="A7184" s="34" t="s">
        <v>5022</v>
      </c>
      <c r="B7184" s="35">
        <v>0.92181784576936698</v>
      </c>
    </row>
    <row r="7185" spans="1:2" ht="13.2" x14ac:dyDescent="0.25">
      <c r="A7185" s="34" t="s">
        <v>5021</v>
      </c>
      <c r="B7185" s="35">
        <v>0.96375302649456496</v>
      </c>
    </row>
    <row r="7186" spans="1:2" ht="13.2" x14ac:dyDescent="0.25">
      <c r="A7186" s="34" t="s">
        <v>5020</v>
      </c>
    </row>
    <row r="7187" spans="1:2" ht="13.2" x14ac:dyDescent="0.25">
      <c r="A7187" s="34" t="s">
        <v>5019</v>
      </c>
    </row>
    <row r="7188" spans="1:2" ht="13.2" x14ac:dyDescent="0.25">
      <c r="A7188" s="34" t="s">
        <v>5018</v>
      </c>
    </row>
    <row r="7189" spans="1:2" ht="13.2" x14ac:dyDescent="0.25">
      <c r="A7189" s="34" t="s">
        <v>5017</v>
      </c>
      <c r="B7189" s="35">
        <v>1.04444439878847</v>
      </c>
    </row>
    <row r="7190" spans="1:2" ht="13.2" x14ac:dyDescent="0.25">
      <c r="A7190" s="34" t="s">
        <v>5016</v>
      </c>
      <c r="B7190" s="35">
        <v>1.0557621820383101</v>
      </c>
    </row>
    <row r="7191" spans="1:2" ht="13.2" x14ac:dyDescent="0.25">
      <c r="A7191" s="34" t="s">
        <v>5015</v>
      </c>
      <c r="B7191" s="35">
        <v>1.1082044971295599</v>
      </c>
    </row>
    <row r="7192" spans="1:2" ht="13.2" x14ac:dyDescent="0.25">
      <c r="A7192" s="34" t="s">
        <v>5014</v>
      </c>
      <c r="B7192" s="35">
        <v>1.10132570019062</v>
      </c>
    </row>
    <row r="7193" spans="1:2" ht="13.2" x14ac:dyDescent="0.25">
      <c r="A7193" s="34" t="s">
        <v>5013</v>
      </c>
      <c r="B7193" s="35">
        <v>0.95135468824287694</v>
      </c>
    </row>
    <row r="7194" spans="1:2" ht="13.2" x14ac:dyDescent="0.25">
      <c r="A7194" s="34" t="s">
        <v>5012</v>
      </c>
    </row>
    <row r="7195" spans="1:2" ht="13.2" x14ac:dyDescent="0.25">
      <c r="A7195" s="34" t="s">
        <v>5011</v>
      </c>
    </row>
    <row r="7196" spans="1:2" ht="13.2" x14ac:dyDescent="0.25">
      <c r="A7196" s="34" t="s">
        <v>5010</v>
      </c>
      <c r="B7196" s="35">
        <v>0.92612470232874</v>
      </c>
    </row>
    <row r="7197" spans="1:2" ht="13.2" x14ac:dyDescent="0.25">
      <c r="A7197" s="34" t="s">
        <v>5009</v>
      </c>
      <c r="B7197" s="35">
        <v>0.89938807743303395</v>
      </c>
    </row>
    <row r="7198" spans="1:2" ht="13.2" x14ac:dyDescent="0.25">
      <c r="A7198" s="34" t="s">
        <v>5008</v>
      </c>
      <c r="B7198" s="35">
        <v>0.89524917206253996</v>
      </c>
    </row>
    <row r="7199" spans="1:2" ht="13.2" x14ac:dyDescent="0.25">
      <c r="A7199" s="34" t="s">
        <v>5007</v>
      </c>
      <c r="B7199" s="35">
        <v>0.87857951371234</v>
      </c>
    </row>
    <row r="7200" spans="1:2" ht="13.2" x14ac:dyDescent="0.25">
      <c r="A7200" s="34" t="s">
        <v>5006</v>
      </c>
      <c r="B7200" s="35">
        <v>0.85741161637309504</v>
      </c>
    </row>
    <row r="7201" spans="1:2" ht="13.2" x14ac:dyDescent="0.25">
      <c r="A7201" s="34" t="s">
        <v>5005</v>
      </c>
    </row>
    <row r="7202" spans="1:2" ht="13.2" x14ac:dyDescent="0.25">
      <c r="A7202" s="34" t="s">
        <v>5004</v>
      </c>
    </row>
    <row r="7203" spans="1:2" ht="13.2" x14ac:dyDescent="0.25">
      <c r="A7203" s="34" t="s">
        <v>5003</v>
      </c>
    </row>
    <row r="7204" spans="1:2" ht="13.2" x14ac:dyDescent="0.25">
      <c r="A7204" s="34" t="s">
        <v>5002</v>
      </c>
    </row>
    <row r="7205" spans="1:2" ht="13.2" x14ac:dyDescent="0.25">
      <c r="A7205" s="34" t="s">
        <v>5001</v>
      </c>
      <c r="B7205" s="35">
        <v>0.85269503979072003</v>
      </c>
    </row>
    <row r="7206" spans="1:2" ht="13.2" x14ac:dyDescent="0.25">
      <c r="A7206" s="34" t="s">
        <v>5000</v>
      </c>
      <c r="B7206" s="35">
        <v>0.85528723029641696</v>
      </c>
    </row>
    <row r="7207" spans="1:2" ht="13.2" x14ac:dyDescent="0.25">
      <c r="A7207" s="34" t="s">
        <v>4999</v>
      </c>
      <c r="B7207" s="35">
        <v>0.80853662979651197</v>
      </c>
    </row>
    <row r="7208" spans="1:2" ht="13.2" x14ac:dyDescent="0.25">
      <c r="A7208" s="34" t="s">
        <v>4998</v>
      </c>
    </row>
    <row r="7209" spans="1:2" ht="13.2" x14ac:dyDescent="0.25">
      <c r="A7209" s="34" t="s">
        <v>4997</v>
      </c>
    </row>
    <row r="7210" spans="1:2" ht="13.2" x14ac:dyDescent="0.25">
      <c r="A7210" s="34" t="s">
        <v>4996</v>
      </c>
      <c r="B7210" s="35">
        <v>0.80764948439439499</v>
      </c>
    </row>
    <row r="7211" spans="1:2" ht="13.2" x14ac:dyDescent="0.25">
      <c r="A7211" s="34" t="s">
        <v>4995</v>
      </c>
      <c r="B7211" s="35">
        <v>0.80266833620991396</v>
      </c>
    </row>
    <row r="7212" spans="1:2" ht="13.2" x14ac:dyDescent="0.25">
      <c r="A7212" s="34" t="s">
        <v>4994</v>
      </c>
      <c r="B7212" s="35">
        <v>0.84329990825517698</v>
      </c>
    </row>
    <row r="7213" spans="1:2" ht="13.2" x14ac:dyDescent="0.25">
      <c r="A7213" s="34" t="s">
        <v>4993</v>
      </c>
      <c r="B7213" s="35">
        <v>0.84864566115411899</v>
      </c>
    </row>
    <row r="7214" spans="1:2" ht="13.2" x14ac:dyDescent="0.25">
      <c r="A7214" s="34" t="s">
        <v>4992</v>
      </c>
      <c r="B7214" s="35">
        <v>0.90138487246714905</v>
      </c>
    </row>
    <row r="7215" spans="1:2" ht="13.2" x14ac:dyDescent="0.25">
      <c r="A7215" s="34" t="s">
        <v>4991</v>
      </c>
    </row>
    <row r="7216" spans="1:2" ht="13.2" x14ac:dyDescent="0.25">
      <c r="A7216" s="34" t="s">
        <v>4990</v>
      </c>
    </row>
    <row r="7217" spans="1:2" ht="13.2" x14ac:dyDescent="0.25">
      <c r="A7217" s="34" t="s">
        <v>4989</v>
      </c>
      <c r="B7217" s="35">
        <v>0.90330088365521199</v>
      </c>
    </row>
    <row r="7218" spans="1:2" ht="13.2" x14ac:dyDescent="0.25">
      <c r="A7218" s="34" t="s">
        <v>4988</v>
      </c>
      <c r="B7218" s="35">
        <v>0.91037800826075399</v>
      </c>
    </row>
    <row r="7219" spans="1:2" ht="13.2" x14ac:dyDescent="0.25">
      <c r="A7219" s="34" t="s">
        <v>4987</v>
      </c>
      <c r="B7219" s="35">
        <v>0.90994810031906903</v>
      </c>
    </row>
    <row r="7220" spans="1:2" ht="13.2" x14ac:dyDescent="0.25">
      <c r="A7220" s="34" t="s">
        <v>4986</v>
      </c>
      <c r="B7220" s="35">
        <v>0.84252918128672505</v>
      </c>
    </row>
    <row r="7221" spans="1:2" ht="13.2" x14ac:dyDescent="0.25">
      <c r="A7221" s="34" t="s">
        <v>4985</v>
      </c>
      <c r="B7221" s="35">
        <v>0.83399628976293405</v>
      </c>
    </row>
    <row r="7222" spans="1:2" ht="13.2" x14ac:dyDescent="0.25">
      <c r="A7222" s="34" t="s">
        <v>4984</v>
      </c>
    </row>
    <row r="7223" spans="1:2" ht="13.2" x14ac:dyDescent="0.25">
      <c r="A7223" s="34" t="s">
        <v>4983</v>
      </c>
    </row>
    <row r="7224" spans="1:2" ht="13.2" x14ac:dyDescent="0.25">
      <c r="A7224" s="34" t="s">
        <v>4982</v>
      </c>
      <c r="B7224" s="35">
        <v>0.76677180485527696</v>
      </c>
    </row>
    <row r="7225" spans="1:2" ht="13.2" x14ac:dyDescent="0.25">
      <c r="A7225" s="34" t="s">
        <v>4981</v>
      </c>
      <c r="B7225" s="35">
        <v>0.75096669440411401</v>
      </c>
    </row>
    <row r="7226" spans="1:2" ht="13.2" x14ac:dyDescent="0.25">
      <c r="A7226" s="34" t="s">
        <v>4980</v>
      </c>
      <c r="B7226" s="35">
        <v>1.0906682657089199</v>
      </c>
    </row>
    <row r="7227" spans="1:2" ht="13.2" x14ac:dyDescent="0.25">
      <c r="A7227" s="34" t="s">
        <v>4979</v>
      </c>
      <c r="B7227" s="35">
        <v>1.12366991728391</v>
      </c>
    </row>
    <row r="7228" spans="1:2" ht="13.2" x14ac:dyDescent="0.25">
      <c r="A7228" s="34" t="s">
        <v>4978</v>
      </c>
      <c r="B7228" s="35">
        <v>1.13213194414137</v>
      </c>
    </row>
    <row r="7229" spans="1:2" ht="13.2" x14ac:dyDescent="0.25">
      <c r="A7229" s="34" t="s">
        <v>4977</v>
      </c>
    </row>
    <row r="7230" spans="1:2" ht="13.2" x14ac:dyDescent="0.25">
      <c r="A7230" s="34" t="s">
        <v>4976</v>
      </c>
    </row>
    <row r="7231" spans="1:2" ht="13.2" x14ac:dyDescent="0.25">
      <c r="A7231" s="34" t="s">
        <v>4975</v>
      </c>
      <c r="B7231" s="35">
        <v>1.12009818548066</v>
      </c>
    </row>
    <row r="7232" spans="1:2" ht="13.2" x14ac:dyDescent="0.25">
      <c r="A7232" s="34" t="s">
        <v>4974</v>
      </c>
      <c r="B7232" s="35">
        <v>1.1060849491293701</v>
      </c>
    </row>
    <row r="7233" spans="1:2" ht="13.2" x14ac:dyDescent="0.25">
      <c r="A7233" s="34" t="s">
        <v>4973</v>
      </c>
      <c r="B7233" s="35">
        <v>1.1462541832285</v>
      </c>
    </row>
    <row r="7234" spans="1:2" ht="13.2" x14ac:dyDescent="0.25">
      <c r="A7234" s="34" t="s">
        <v>4972</v>
      </c>
      <c r="B7234" s="35">
        <v>1.1463420685035699</v>
      </c>
    </row>
    <row r="7235" spans="1:2" ht="13.2" x14ac:dyDescent="0.25">
      <c r="A7235" s="34" t="s">
        <v>4971</v>
      </c>
      <c r="B7235" s="35">
        <v>1.1500811706827601</v>
      </c>
    </row>
    <row r="7236" spans="1:2" ht="13.2" x14ac:dyDescent="0.25">
      <c r="A7236" s="34" t="s">
        <v>4970</v>
      </c>
    </row>
    <row r="7237" spans="1:2" ht="13.2" x14ac:dyDescent="0.25">
      <c r="A7237" s="34" t="s">
        <v>4969</v>
      </c>
    </row>
    <row r="7238" spans="1:2" ht="13.2" x14ac:dyDescent="0.25">
      <c r="A7238" s="34" t="s">
        <v>4968</v>
      </c>
      <c r="B7238" s="35">
        <v>1.1507091010132999</v>
      </c>
    </row>
    <row r="7239" spans="1:2" ht="13.2" x14ac:dyDescent="0.25">
      <c r="A7239" s="34" t="s">
        <v>4967</v>
      </c>
      <c r="B7239" s="35">
        <v>1.16818861409302</v>
      </c>
    </row>
    <row r="7240" spans="1:2" ht="13.2" x14ac:dyDescent="0.25">
      <c r="A7240" s="34" t="s">
        <v>4966</v>
      </c>
      <c r="B7240" s="35">
        <v>1.1694752246108699</v>
      </c>
    </row>
    <row r="7241" spans="1:2" ht="13.2" x14ac:dyDescent="0.25">
      <c r="A7241" s="34" t="s">
        <v>4965</v>
      </c>
      <c r="B7241" s="35">
        <v>1.0998618964414899</v>
      </c>
    </row>
    <row r="7242" spans="1:2" ht="13.2" x14ac:dyDescent="0.25">
      <c r="A7242" s="34" t="s">
        <v>4964</v>
      </c>
      <c r="B7242" s="35">
        <v>1.1064133293431899</v>
      </c>
    </row>
    <row r="7243" spans="1:2" ht="13.2" x14ac:dyDescent="0.25">
      <c r="A7243" s="34" t="s">
        <v>4963</v>
      </c>
    </row>
    <row r="7244" spans="1:2" ht="13.2" x14ac:dyDescent="0.25">
      <c r="A7244" s="34" t="s">
        <v>4962</v>
      </c>
    </row>
    <row r="7245" spans="1:2" ht="13.2" x14ac:dyDescent="0.25">
      <c r="A7245" s="34" t="s">
        <v>4961</v>
      </c>
      <c r="B7245" s="35">
        <v>1.08697839902664</v>
      </c>
    </row>
    <row r="7246" spans="1:2" ht="13.2" x14ac:dyDescent="0.25">
      <c r="A7246" s="34" t="s">
        <v>4960</v>
      </c>
      <c r="B7246" s="35">
        <v>1.1416925679174099</v>
      </c>
    </row>
    <row r="7247" spans="1:2" ht="13.2" x14ac:dyDescent="0.25">
      <c r="A7247" s="34" t="s">
        <v>4959</v>
      </c>
      <c r="B7247" s="35">
        <v>1.1437308173682399</v>
      </c>
    </row>
    <row r="7248" spans="1:2" ht="13.2" x14ac:dyDescent="0.25">
      <c r="A7248" s="34" t="s">
        <v>4958</v>
      </c>
      <c r="B7248" s="35">
        <v>1.14364187978515</v>
      </c>
    </row>
    <row r="7249" spans="1:2" ht="13.2" x14ac:dyDescent="0.25">
      <c r="A7249" s="34" t="s">
        <v>4957</v>
      </c>
    </row>
    <row r="7250" spans="1:2" ht="13.2" x14ac:dyDescent="0.25">
      <c r="A7250" s="34" t="s">
        <v>4956</v>
      </c>
    </row>
    <row r="7251" spans="1:2" ht="13.2" x14ac:dyDescent="0.25">
      <c r="A7251" s="34" t="s">
        <v>4955</v>
      </c>
    </row>
    <row r="7252" spans="1:2" ht="13.2" x14ac:dyDescent="0.25">
      <c r="A7252" s="34" t="s">
        <v>4954</v>
      </c>
      <c r="B7252" s="35">
        <v>1.1514024080990399</v>
      </c>
    </row>
    <row r="7253" spans="1:2" ht="13.2" x14ac:dyDescent="0.25">
      <c r="A7253" s="34" t="s">
        <v>4953</v>
      </c>
      <c r="B7253" s="35">
        <v>1.1979721098401299</v>
      </c>
    </row>
    <row r="7254" spans="1:2" ht="13.2" x14ac:dyDescent="0.25">
      <c r="A7254" s="34" t="s">
        <v>4952</v>
      </c>
      <c r="B7254" s="35">
        <v>1.22892435906402</v>
      </c>
    </row>
    <row r="7255" spans="1:2" ht="13.2" x14ac:dyDescent="0.25">
      <c r="A7255" s="34" t="s">
        <v>4951</v>
      </c>
      <c r="B7255" s="35">
        <v>1.26255388403122</v>
      </c>
    </row>
    <row r="7256" spans="1:2" ht="13.2" x14ac:dyDescent="0.25">
      <c r="A7256" s="34" t="s">
        <v>4950</v>
      </c>
      <c r="B7256" s="35">
        <v>0.98074205683971005</v>
      </c>
    </row>
    <row r="7257" spans="1:2" ht="13.2" x14ac:dyDescent="0.25">
      <c r="A7257" s="34" t="s">
        <v>4949</v>
      </c>
    </row>
    <row r="7258" spans="1:2" ht="13.2" x14ac:dyDescent="0.25">
      <c r="A7258" s="34" t="s">
        <v>4948</v>
      </c>
    </row>
    <row r="7259" spans="1:2" ht="13.2" x14ac:dyDescent="0.25">
      <c r="A7259" s="34" t="s">
        <v>4947</v>
      </c>
      <c r="B7259" s="35">
        <v>0.89457885109629998</v>
      </c>
    </row>
    <row r="7260" spans="1:2" ht="13.2" x14ac:dyDescent="0.25">
      <c r="A7260" s="34" t="s">
        <v>4946</v>
      </c>
      <c r="B7260" s="35">
        <v>0.97041114840684295</v>
      </c>
    </row>
    <row r="7261" spans="1:2" ht="13.2" x14ac:dyDescent="0.25">
      <c r="A7261" s="34" t="s">
        <v>4945</v>
      </c>
      <c r="B7261" s="35">
        <v>0.97875943660606601</v>
      </c>
    </row>
    <row r="7262" spans="1:2" ht="13.2" x14ac:dyDescent="0.25">
      <c r="A7262" s="34" t="s">
        <v>4944</v>
      </c>
      <c r="B7262" s="35">
        <v>1.0112737145006601</v>
      </c>
    </row>
    <row r="7263" spans="1:2" ht="13.2" x14ac:dyDescent="0.25">
      <c r="A7263" s="34" t="s">
        <v>4943</v>
      </c>
      <c r="B7263" s="35">
        <v>0.98320127332283802</v>
      </c>
    </row>
    <row r="7264" spans="1:2" ht="13.2" x14ac:dyDescent="0.25">
      <c r="A7264" s="34" t="s">
        <v>4942</v>
      </c>
    </row>
    <row r="7265" spans="1:2" ht="13.2" x14ac:dyDescent="0.25">
      <c r="A7265" s="34" t="s">
        <v>4941</v>
      </c>
    </row>
    <row r="7266" spans="1:2" ht="13.2" x14ac:dyDescent="0.25">
      <c r="A7266" s="34" t="s">
        <v>4940</v>
      </c>
      <c r="B7266" s="35">
        <v>1.24829685904704</v>
      </c>
    </row>
    <row r="7267" spans="1:2" ht="13.2" x14ac:dyDescent="0.25">
      <c r="A7267" s="34" t="s">
        <v>4939</v>
      </c>
      <c r="B7267" s="35">
        <v>1.3433819286037401</v>
      </c>
    </row>
    <row r="7268" spans="1:2" ht="13.2" x14ac:dyDescent="0.25">
      <c r="A7268" s="34" t="s">
        <v>4938</v>
      </c>
      <c r="B7268" s="35">
        <v>1.3965645247118801</v>
      </c>
    </row>
    <row r="7269" spans="1:2" ht="13.2" x14ac:dyDescent="0.25">
      <c r="A7269" s="34" t="s">
        <v>4937</v>
      </c>
      <c r="B7269" s="35">
        <v>1.39911683610488</v>
      </c>
    </row>
    <row r="7270" spans="1:2" ht="13.2" x14ac:dyDescent="0.25">
      <c r="A7270" s="34" t="s">
        <v>4936</v>
      </c>
      <c r="B7270" s="35">
        <v>1.444995347998</v>
      </c>
    </row>
    <row r="7271" spans="1:2" ht="13.2" x14ac:dyDescent="0.25">
      <c r="A7271" s="34" t="s">
        <v>4935</v>
      </c>
    </row>
    <row r="7272" spans="1:2" ht="13.2" x14ac:dyDescent="0.25">
      <c r="A7272" s="34" t="s">
        <v>4934</v>
      </c>
    </row>
    <row r="7273" spans="1:2" ht="13.2" x14ac:dyDescent="0.25">
      <c r="A7273" s="34" t="s">
        <v>4933</v>
      </c>
      <c r="B7273" s="35">
        <v>1.44920109151302</v>
      </c>
    </row>
    <row r="7274" spans="1:2" ht="13.2" x14ac:dyDescent="0.25">
      <c r="A7274" s="34" t="s">
        <v>4932</v>
      </c>
      <c r="B7274" s="35">
        <v>1.4668763998557399</v>
      </c>
    </row>
    <row r="7275" spans="1:2" ht="13.2" x14ac:dyDescent="0.25">
      <c r="A7275" s="34" t="s">
        <v>4931</v>
      </c>
      <c r="B7275" s="35">
        <v>1.4600269930438301</v>
      </c>
    </row>
    <row r="7276" spans="1:2" ht="13.2" x14ac:dyDescent="0.25">
      <c r="A7276" s="34" t="s">
        <v>4930</v>
      </c>
      <c r="B7276" s="35">
        <v>1.42257566494981</v>
      </c>
    </row>
    <row r="7277" spans="1:2" ht="13.2" x14ac:dyDescent="0.25">
      <c r="A7277" s="34" t="s">
        <v>4929</v>
      </c>
      <c r="B7277" s="35">
        <v>1.43749696063986</v>
      </c>
    </row>
    <row r="7278" spans="1:2" ht="13.2" x14ac:dyDescent="0.25">
      <c r="A7278" s="34" t="s">
        <v>4928</v>
      </c>
    </row>
    <row r="7279" spans="1:2" ht="13.2" x14ac:dyDescent="0.25">
      <c r="A7279" s="34" t="s">
        <v>4927</v>
      </c>
    </row>
    <row r="7280" spans="1:2" ht="13.2" x14ac:dyDescent="0.25">
      <c r="A7280" s="34" t="s">
        <v>4926</v>
      </c>
      <c r="B7280" s="35">
        <v>1.4582316753506901</v>
      </c>
    </row>
    <row r="7281" spans="1:2" ht="13.2" x14ac:dyDescent="0.25">
      <c r="A7281" s="34" t="s">
        <v>4925</v>
      </c>
      <c r="B7281" s="35">
        <v>1.5104068560249999</v>
      </c>
    </row>
    <row r="7282" spans="1:2" ht="13.2" x14ac:dyDescent="0.25">
      <c r="A7282" s="34" t="s">
        <v>4924</v>
      </c>
    </row>
    <row r="7283" spans="1:2" ht="13.2" x14ac:dyDescent="0.25">
      <c r="A7283" s="34" t="s">
        <v>4923</v>
      </c>
      <c r="B7283" s="35">
        <v>1.4725958178549701</v>
      </c>
    </row>
    <row r="7284" spans="1:2" ht="13.2" x14ac:dyDescent="0.25">
      <c r="A7284" s="34" t="s">
        <v>4922</v>
      </c>
      <c r="B7284" s="35">
        <v>1.4491300702205601</v>
      </c>
    </row>
    <row r="7285" spans="1:2" ht="13.2" x14ac:dyDescent="0.25">
      <c r="A7285" s="34" t="s">
        <v>4921</v>
      </c>
    </row>
    <row r="7286" spans="1:2" ht="13.2" x14ac:dyDescent="0.25">
      <c r="A7286" s="34" t="s">
        <v>4920</v>
      </c>
    </row>
    <row r="7287" spans="1:2" ht="13.2" x14ac:dyDescent="0.25">
      <c r="A7287" s="34" t="s">
        <v>4919</v>
      </c>
      <c r="B7287" s="35">
        <v>1.39924994423966</v>
      </c>
    </row>
    <row r="7288" spans="1:2" ht="13.2" x14ac:dyDescent="0.25">
      <c r="A7288" s="34" t="s">
        <v>4918</v>
      </c>
      <c r="B7288" s="35">
        <v>1.42781329143217</v>
      </c>
    </row>
    <row r="7289" spans="1:2" ht="13.2" x14ac:dyDescent="0.25">
      <c r="A7289" s="34" t="s">
        <v>4917</v>
      </c>
      <c r="B7289" s="35">
        <v>1.44260895017763</v>
      </c>
    </row>
    <row r="7290" spans="1:2" ht="13.2" x14ac:dyDescent="0.25">
      <c r="A7290" s="34" t="s">
        <v>4916</v>
      </c>
      <c r="B7290" s="35">
        <v>1.4123934487688301</v>
      </c>
    </row>
    <row r="7291" spans="1:2" ht="13.2" x14ac:dyDescent="0.25">
      <c r="A7291" s="34" t="s">
        <v>4915</v>
      </c>
      <c r="B7291" s="35">
        <v>1.41224504015048</v>
      </c>
    </row>
    <row r="7292" spans="1:2" ht="13.2" x14ac:dyDescent="0.25">
      <c r="A7292" s="34" t="s">
        <v>4914</v>
      </c>
    </row>
    <row r="7293" spans="1:2" ht="13.2" x14ac:dyDescent="0.25">
      <c r="A7293" s="34" t="s">
        <v>4913</v>
      </c>
    </row>
    <row r="7294" spans="1:2" ht="13.2" x14ac:dyDescent="0.25">
      <c r="A7294" s="34" t="s">
        <v>4912</v>
      </c>
      <c r="B7294" s="35">
        <v>1.40341501104402</v>
      </c>
    </row>
    <row r="7295" spans="1:2" ht="13.2" x14ac:dyDescent="0.25">
      <c r="A7295" s="34" t="s">
        <v>4911</v>
      </c>
      <c r="B7295" s="35">
        <v>1.3973557845940801</v>
      </c>
    </row>
    <row r="7296" spans="1:2" ht="13.2" x14ac:dyDescent="0.25">
      <c r="A7296" s="34" t="s">
        <v>4910</v>
      </c>
      <c r="B7296" s="35">
        <v>1.1121896994635401</v>
      </c>
    </row>
    <row r="7297" spans="1:2" ht="13.2" x14ac:dyDescent="0.25">
      <c r="A7297" s="34" t="s">
        <v>4909</v>
      </c>
      <c r="B7297" s="35">
        <v>1.0388507855428799</v>
      </c>
    </row>
    <row r="7298" spans="1:2" ht="13.2" x14ac:dyDescent="0.25">
      <c r="A7298" s="34" t="s">
        <v>4908</v>
      </c>
      <c r="B7298" s="35">
        <v>0.92280284542229196</v>
      </c>
    </row>
    <row r="7299" spans="1:2" ht="13.2" x14ac:dyDescent="0.25">
      <c r="A7299" s="34" t="s">
        <v>4907</v>
      </c>
    </row>
    <row r="7300" spans="1:2" ht="13.2" x14ac:dyDescent="0.25">
      <c r="A7300" s="34" t="s">
        <v>4906</v>
      </c>
    </row>
    <row r="7301" spans="1:2" ht="13.2" x14ac:dyDescent="0.25">
      <c r="A7301" s="34" t="s">
        <v>4905</v>
      </c>
      <c r="B7301" s="35">
        <v>0.935406213955979</v>
      </c>
    </row>
    <row r="7302" spans="1:2" ht="13.2" x14ac:dyDescent="0.25">
      <c r="A7302" s="34" t="s">
        <v>4904</v>
      </c>
      <c r="B7302" s="35">
        <v>0.91271963685163604</v>
      </c>
    </row>
    <row r="7303" spans="1:2" ht="13.2" x14ac:dyDescent="0.25">
      <c r="A7303" s="34" t="s">
        <v>4903</v>
      </c>
      <c r="B7303" s="35">
        <v>0.90640591995245501</v>
      </c>
    </row>
    <row r="7304" spans="1:2" ht="13.2" x14ac:dyDescent="0.25">
      <c r="A7304" s="34" t="s">
        <v>4902</v>
      </c>
      <c r="B7304" s="35">
        <v>0.88515828995125001</v>
      </c>
    </row>
    <row r="7305" spans="1:2" ht="13.2" x14ac:dyDescent="0.25">
      <c r="A7305" s="34" t="s">
        <v>4901</v>
      </c>
      <c r="B7305" s="35">
        <v>0.885083999529929</v>
      </c>
    </row>
    <row r="7306" spans="1:2" ht="13.2" x14ac:dyDescent="0.25">
      <c r="A7306" s="34" t="s">
        <v>4900</v>
      </c>
    </row>
    <row r="7307" spans="1:2" ht="13.2" x14ac:dyDescent="0.25">
      <c r="A7307" s="34" t="s">
        <v>4899</v>
      </c>
    </row>
    <row r="7308" spans="1:2" ht="13.2" x14ac:dyDescent="0.25">
      <c r="A7308" s="34" t="s">
        <v>4898</v>
      </c>
      <c r="B7308" s="35">
        <v>0.88491047809928303</v>
      </c>
    </row>
    <row r="7309" spans="1:2" ht="13.2" x14ac:dyDescent="0.25">
      <c r="A7309" s="34" t="s">
        <v>4897</v>
      </c>
      <c r="B7309" s="35">
        <v>0.84241011241302699</v>
      </c>
    </row>
    <row r="7310" spans="1:2" ht="13.2" x14ac:dyDescent="0.25">
      <c r="A7310" s="34" t="s">
        <v>4896</v>
      </c>
      <c r="B7310" s="35">
        <v>0.99343380068548304</v>
      </c>
    </row>
    <row r="7311" spans="1:2" ht="13.2" x14ac:dyDescent="0.25">
      <c r="A7311" s="34" t="s">
        <v>4895</v>
      </c>
    </row>
    <row r="7312" spans="1:2" ht="13.2" x14ac:dyDescent="0.25">
      <c r="A7312" s="34" t="s">
        <v>4894</v>
      </c>
      <c r="B7312" s="35">
        <v>0.994445375170392</v>
      </c>
    </row>
    <row r="7313" spans="1:2" ht="13.2" x14ac:dyDescent="0.25">
      <c r="A7313" s="34" t="s">
        <v>4893</v>
      </c>
    </row>
    <row r="7314" spans="1:2" ht="13.2" x14ac:dyDescent="0.25">
      <c r="A7314" s="34" t="s">
        <v>4892</v>
      </c>
    </row>
    <row r="7315" spans="1:2" ht="13.2" x14ac:dyDescent="0.25">
      <c r="A7315" s="34" t="s">
        <v>4891</v>
      </c>
      <c r="B7315" s="35">
        <v>0.99855151390430996</v>
      </c>
    </row>
    <row r="7316" spans="1:2" ht="13.2" x14ac:dyDescent="0.25">
      <c r="A7316" s="34" t="s">
        <v>4890</v>
      </c>
      <c r="B7316" s="35">
        <v>0.99576166059072502</v>
      </c>
    </row>
    <row r="7317" spans="1:2" ht="13.2" x14ac:dyDescent="0.25">
      <c r="A7317" s="34" t="s">
        <v>4889</v>
      </c>
      <c r="B7317" s="35">
        <v>1.1010662636624</v>
      </c>
    </row>
    <row r="7318" spans="1:2" ht="13.2" x14ac:dyDescent="0.25">
      <c r="A7318" s="34" t="s">
        <v>4888</v>
      </c>
      <c r="B7318" s="35">
        <v>1.03131723983822</v>
      </c>
    </row>
    <row r="7319" spans="1:2" ht="13.2" x14ac:dyDescent="0.25">
      <c r="A7319" s="34" t="s">
        <v>4887</v>
      </c>
      <c r="B7319" s="35">
        <v>1.12656126855942</v>
      </c>
    </row>
    <row r="7320" spans="1:2" ht="13.2" x14ac:dyDescent="0.25">
      <c r="A7320" s="34" t="s">
        <v>4886</v>
      </c>
    </row>
    <row r="7321" spans="1:2" ht="13.2" x14ac:dyDescent="0.25">
      <c r="A7321" s="34" t="s">
        <v>4885</v>
      </c>
    </row>
    <row r="7322" spans="1:2" ht="13.2" x14ac:dyDescent="0.25">
      <c r="A7322" s="34" t="s">
        <v>4884</v>
      </c>
      <c r="B7322" s="35">
        <v>1.12596470382665</v>
      </c>
    </row>
    <row r="7323" spans="1:2" ht="13.2" x14ac:dyDescent="0.25">
      <c r="A7323" s="34" t="s">
        <v>4883</v>
      </c>
      <c r="B7323" s="35">
        <v>1.2700146697646499</v>
      </c>
    </row>
    <row r="7324" spans="1:2" ht="13.2" x14ac:dyDescent="0.25">
      <c r="A7324" s="34" t="s">
        <v>4882</v>
      </c>
      <c r="B7324" s="35">
        <v>1.26961114518531</v>
      </c>
    </row>
    <row r="7325" spans="1:2" ht="13.2" x14ac:dyDescent="0.25">
      <c r="A7325" s="34" t="s">
        <v>4881</v>
      </c>
      <c r="B7325" s="35">
        <v>1.4146578816464199</v>
      </c>
    </row>
    <row r="7326" spans="1:2" ht="13.2" x14ac:dyDescent="0.25">
      <c r="A7326" s="34" t="s">
        <v>4880</v>
      </c>
      <c r="B7326" s="35">
        <v>1.45102091653654</v>
      </c>
    </row>
    <row r="7327" spans="1:2" ht="13.2" x14ac:dyDescent="0.25">
      <c r="A7327" s="34" t="s">
        <v>4879</v>
      </c>
    </row>
    <row r="7328" spans="1:2" ht="13.2" x14ac:dyDescent="0.25">
      <c r="A7328" s="34" t="s">
        <v>4878</v>
      </c>
    </row>
    <row r="7329" spans="1:2" ht="13.2" x14ac:dyDescent="0.25">
      <c r="A7329" s="34" t="s">
        <v>4877</v>
      </c>
      <c r="B7329" s="35">
        <v>1.4501969029472099</v>
      </c>
    </row>
    <row r="7330" spans="1:2" ht="13.2" x14ac:dyDescent="0.25">
      <c r="A7330" s="34" t="s">
        <v>4876</v>
      </c>
      <c r="B7330" s="35">
        <v>1.4524377608428101</v>
      </c>
    </row>
    <row r="7331" spans="1:2" ht="13.2" x14ac:dyDescent="0.25">
      <c r="A7331" s="34" t="s">
        <v>4875</v>
      </c>
      <c r="B7331" s="35">
        <v>1.5245310491914801</v>
      </c>
    </row>
    <row r="7332" spans="1:2" ht="13.2" x14ac:dyDescent="0.25">
      <c r="A7332" s="34" t="s">
        <v>4874</v>
      </c>
      <c r="B7332" s="35">
        <v>1.5070073443107399</v>
      </c>
    </row>
    <row r="7333" spans="1:2" ht="13.2" x14ac:dyDescent="0.25">
      <c r="A7333" s="34" t="s">
        <v>4873</v>
      </c>
      <c r="B7333" s="35">
        <v>1.5311865750184399</v>
      </c>
    </row>
    <row r="7334" spans="1:2" ht="13.2" x14ac:dyDescent="0.25">
      <c r="A7334" s="34" t="s">
        <v>4872</v>
      </c>
    </row>
    <row r="7335" spans="1:2" ht="13.2" x14ac:dyDescent="0.25">
      <c r="A7335" s="34" t="s">
        <v>4871</v>
      </c>
    </row>
    <row r="7336" spans="1:2" ht="13.2" x14ac:dyDescent="0.25">
      <c r="A7336" s="34" t="s">
        <v>4870</v>
      </c>
      <c r="B7336" s="35">
        <v>1.5544517780898801</v>
      </c>
    </row>
    <row r="7337" spans="1:2" ht="13.2" x14ac:dyDescent="0.25">
      <c r="A7337" s="34" t="s">
        <v>4869</v>
      </c>
      <c r="B7337" s="35">
        <v>1.6707040645112701</v>
      </c>
    </row>
    <row r="7338" spans="1:2" ht="13.2" x14ac:dyDescent="0.25">
      <c r="A7338" s="34" t="s">
        <v>4868</v>
      </c>
      <c r="B7338" s="35">
        <v>1.69164951518967</v>
      </c>
    </row>
    <row r="7339" spans="1:2" ht="13.2" x14ac:dyDescent="0.25">
      <c r="A7339" s="34" t="s">
        <v>4867</v>
      </c>
      <c r="B7339" s="35">
        <v>1.7351552033822899</v>
      </c>
    </row>
    <row r="7340" spans="1:2" ht="13.2" x14ac:dyDescent="0.25">
      <c r="A7340" s="34" t="s">
        <v>4866</v>
      </c>
      <c r="B7340" s="35">
        <v>1.6897814710539301</v>
      </c>
    </row>
    <row r="7341" spans="1:2" ht="13.2" x14ac:dyDescent="0.25">
      <c r="A7341" s="34" t="s">
        <v>4865</v>
      </c>
    </row>
    <row r="7342" spans="1:2" ht="13.2" x14ac:dyDescent="0.25">
      <c r="A7342" s="34" t="s">
        <v>4864</v>
      </c>
    </row>
    <row r="7343" spans="1:2" ht="13.2" x14ac:dyDescent="0.25">
      <c r="A7343" s="34" t="s">
        <v>4863</v>
      </c>
      <c r="B7343" s="35">
        <v>1.6584877785547201</v>
      </c>
    </row>
    <row r="7344" spans="1:2" ht="13.2" x14ac:dyDescent="0.25">
      <c r="A7344" s="34" t="s">
        <v>4862</v>
      </c>
      <c r="B7344" s="35">
        <v>1.81266410008297</v>
      </c>
    </row>
    <row r="7345" spans="1:2" ht="13.2" x14ac:dyDescent="0.25">
      <c r="A7345" s="34" t="s">
        <v>4861</v>
      </c>
      <c r="B7345" s="35">
        <v>1.8018337163062601</v>
      </c>
    </row>
    <row r="7346" spans="1:2" ht="13.2" x14ac:dyDescent="0.25">
      <c r="A7346" s="34" t="s">
        <v>4860</v>
      </c>
      <c r="B7346" s="35">
        <v>1.84672309467186</v>
      </c>
    </row>
    <row r="7347" spans="1:2" ht="13.2" x14ac:dyDescent="0.25">
      <c r="A7347" s="34" t="s">
        <v>4859</v>
      </c>
      <c r="B7347" s="35">
        <v>1.83971745235793</v>
      </c>
    </row>
    <row r="7348" spans="1:2" ht="13.2" x14ac:dyDescent="0.25">
      <c r="A7348" s="34" t="s">
        <v>4858</v>
      </c>
    </row>
    <row r="7349" spans="1:2" ht="13.2" x14ac:dyDescent="0.25">
      <c r="A7349" s="34" t="s">
        <v>4857</v>
      </c>
    </row>
    <row r="7350" spans="1:2" ht="13.2" x14ac:dyDescent="0.25">
      <c r="A7350" s="34" t="s">
        <v>4856</v>
      </c>
      <c r="B7350" s="35">
        <v>1.8009477000561001</v>
      </c>
    </row>
    <row r="7351" spans="1:2" ht="13.2" x14ac:dyDescent="0.25">
      <c r="A7351" s="34" t="s">
        <v>4855</v>
      </c>
    </row>
    <row r="7352" spans="1:2" ht="13.2" x14ac:dyDescent="0.25">
      <c r="A7352" s="34" t="s">
        <v>4854</v>
      </c>
      <c r="B7352" s="35">
        <v>1.83227398647405</v>
      </c>
    </row>
    <row r="7353" spans="1:2" ht="13.2" x14ac:dyDescent="0.25">
      <c r="A7353" s="34" t="s">
        <v>4853</v>
      </c>
      <c r="B7353" s="35">
        <v>1.85530337770786</v>
      </c>
    </row>
    <row r="7354" spans="1:2" ht="13.2" x14ac:dyDescent="0.25">
      <c r="A7354" s="34" t="s">
        <v>4852</v>
      </c>
      <c r="B7354" s="35">
        <v>1.90068094972987</v>
      </c>
    </row>
    <row r="7355" spans="1:2" ht="13.2" x14ac:dyDescent="0.25">
      <c r="A7355" s="34" t="s">
        <v>4851</v>
      </c>
    </row>
    <row r="7356" spans="1:2" ht="13.2" x14ac:dyDescent="0.25">
      <c r="A7356" s="34" t="s">
        <v>4850</v>
      </c>
    </row>
    <row r="7357" spans="1:2" ht="13.2" x14ac:dyDescent="0.25">
      <c r="A7357" s="34" t="s">
        <v>4849</v>
      </c>
      <c r="B7357" s="35">
        <v>1.91106492525566</v>
      </c>
    </row>
    <row r="7358" spans="1:2" ht="13.2" x14ac:dyDescent="0.25">
      <c r="A7358" s="34" t="s">
        <v>4848</v>
      </c>
      <c r="B7358" s="35">
        <v>1.8692936903431201</v>
      </c>
    </row>
    <row r="7359" spans="1:2" ht="13.2" x14ac:dyDescent="0.25">
      <c r="A7359" s="34" t="s">
        <v>4847</v>
      </c>
      <c r="B7359" s="35">
        <v>1.89227729448829</v>
      </c>
    </row>
    <row r="7360" spans="1:2" ht="13.2" x14ac:dyDescent="0.25">
      <c r="A7360" s="34" t="s">
        <v>4846</v>
      </c>
      <c r="B7360" s="35">
        <v>1.8871576722638199</v>
      </c>
    </row>
    <row r="7361" spans="1:2" ht="13.2" x14ac:dyDescent="0.25">
      <c r="A7361" s="34" t="s">
        <v>4845</v>
      </c>
      <c r="B7361" s="35">
        <v>1.7563971268666401</v>
      </c>
    </row>
    <row r="7362" spans="1:2" ht="13.2" x14ac:dyDescent="0.25">
      <c r="A7362" s="34" t="s">
        <v>4844</v>
      </c>
    </row>
    <row r="7363" spans="1:2" ht="13.2" x14ac:dyDescent="0.25">
      <c r="A7363" s="34" t="s">
        <v>4843</v>
      </c>
    </row>
    <row r="7364" spans="1:2" ht="13.2" x14ac:dyDescent="0.25">
      <c r="A7364" s="34" t="s">
        <v>4842</v>
      </c>
      <c r="B7364" s="35">
        <v>1.8338886691820599</v>
      </c>
    </row>
    <row r="7365" spans="1:2" ht="13.2" x14ac:dyDescent="0.25">
      <c r="A7365" s="34" t="s">
        <v>4841</v>
      </c>
      <c r="B7365" s="35">
        <v>1.74627157883871</v>
      </c>
    </row>
    <row r="7366" spans="1:2" ht="13.2" x14ac:dyDescent="0.25">
      <c r="A7366" s="34" t="s">
        <v>4840</v>
      </c>
      <c r="B7366" s="35">
        <v>1.6692976040466301</v>
      </c>
    </row>
    <row r="7367" spans="1:2" ht="13.2" x14ac:dyDescent="0.25">
      <c r="A7367" s="34" t="s">
        <v>4839</v>
      </c>
      <c r="B7367" s="35">
        <v>1.6435282270223399</v>
      </c>
    </row>
    <row r="7368" spans="1:2" ht="13.2" x14ac:dyDescent="0.25">
      <c r="A7368" s="34" t="s">
        <v>4838</v>
      </c>
      <c r="B7368" s="35">
        <v>1.64522959591669</v>
      </c>
    </row>
    <row r="7369" spans="1:2" ht="13.2" x14ac:dyDescent="0.25">
      <c r="A7369" s="34" t="s">
        <v>4837</v>
      </c>
    </row>
    <row r="7370" spans="1:2" ht="13.2" x14ac:dyDescent="0.25">
      <c r="A7370" s="34" t="s">
        <v>4836</v>
      </c>
    </row>
    <row r="7371" spans="1:2" ht="13.2" x14ac:dyDescent="0.25">
      <c r="A7371" s="34" t="s">
        <v>4835</v>
      </c>
      <c r="B7371" s="35">
        <v>1.6428367159424699</v>
      </c>
    </row>
    <row r="7372" spans="1:2" ht="13.2" x14ac:dyDescent="0.25">
      <c r="A7372" s="34" t="s">
        <v>4834</v>
      </c>
      <c r="B7372" s="35">
        <v>1.67203171189818</v>
      </c>
    </row>
    <row r="7373" spans="1:2" ht="13.2" x14ac:dyDescent="0.25">
      <c r="A7373" s="34" t="s">
        <v>4833</v>
      </c>
      <c r="B7373" s="35">
        <v>1.6760786000702399</v>
      </c>
    </row>
    <row r="7374" spans="1:2" ht="13.2" x14ac:dyDescent="0.25">
      <c r="A7374" s="34" t="s">
        <v>4832</v>
      </c>
      <c r="B7374" s="35">
        <v>1.3756490787562701</v>
      </c>
    </row>
    <row r="7375" spans="1:2" ht="13.2" x14ac:dyDescent="0.25">
      <c r="A7375" s="34" t="s">
        <v>4831</v>
      </c>
      <c r="B7375" s="35">
        <v>1.41880476721346</v>
      </c>
    </row>
    <row r="7376" spans="1:2" ht="13.2" x14ac:dyDescent="0.25">
      <c r="A7376" s="34" t="s">
        <v>4830</v>
      </c>
    </row>
    <row r="7377" spans="1:2" ht="13.2" x14ac:dyDescent="0.25">
      <c r="A7377" s="34" t="s">
        <v>4829</v>
      </c>
    </row>
    <row r="7378" spans="1:2" ht="13.2" x14ac:dyDescent="0.25">
      <c r="A7378" s="34" t="s">
        <v>4828</v>
      </c>
      <c r="B7378" s="35">
        <v>1.39263368166472</v>
      </c>
    </row>
    <row r="7379" spans="1:2" ht="13.2" x14ac:dyDescent="0.25">
      <c r="A7379" s="34" t="s">
        <v>4827</v>
      </c>
      <c r="B7379" s="35">
        <v>1.45318104115021</v>
      </c>
    </row>
    <row r="7380" spans="1:2" ht="13.2" x14ac:dyDescent="0.25">
      <c r="A7380" s="34" t="s">
        <v>4826</v>
      </c>
      <c r="B7380" s="35">
        <v>1.4488708516632101</v>
      </c>
    </row>
    <row r="7381" spans="1:2" ht="13.2" x14ac:dyDescent="0.25">
      <c r="A7381" s="34" t="s">
        <v>4825</v>
      </c>
      <c r="B7381" s="35">
        <v>1.57079692900621</v>
      </c>
    </row>
    <row r="7382" spans="1:2" ht="13.2" x14ac:dyDescent="0.25">
      <c r="A7382" s="34" t="s">
        <v>4824</v>
      </c>
      <c r="B7382" s="35">
        <v>1.53678282578668</v>
      </c>
    </row>
    <row r="7383" spans="1:2" ht="13.2" x14ac:dyDescent="0.25">
      <c r="A7383" s="34" t="s">
        <v>4823</v>
      </c>
    </row>
    <row r="7384" spans="1:2" ht="13.2" x14ac:dyDescent="0.25">
      <c r="A7384" s="34" t="s">
        <v>4822</v>
      </c>
    </row>
    <row r="7385" spans="1:2" ht="13.2" x14ac:dyDescent="0.25">
      <c r="A7385" s="34" t="s">
        <v>4821</v>
      </c>
      <c r="B7385" s="35">
        <v>1.41006389426741</v>
      </c>
    </row>
    <row r="7386" spans="1:2" ht="13.2" x14ac:dyDescent="0.25">
      <c r="A7386" s="34" t="s">
        <v>4820</v>
      </c>
      <c r="B7386" s="35">
        <v>1.3230183558378601</v>
      </c>
    </row>
    <row r="7387" spans="1:2" ht="13.2" x14ac:dyDescent="0.25">
      <c r="A7387" s="34" t="s">
        <v>4819</v>
      </c>
      <c r="B7387" s="35">
        <v>1.32352577305977</v>
      </c>
    </row>
    <row r="7388" spans="1:2" ht="13.2" x14ac:dyDescent="0.25">
      <c r="A7388" s="34" t="s">
        <v>4818</v>
      </c>
      <c r="B7388" s="35">
        <v>1.3143493793729999</v>
      </c>
    </row>
    <row r="7389" spans="1:2" ht="13.2" x14ac:dyDescent="0.25">
      <c r="A7389" s="34" t="s">
        <v>4817</v>
      </c>
      <c r="B7389" s="35">
        <v>1.3283150549365199</v>
      </c>
    </row>
    <row r="7390" spans="1:2" ht="13.2" x14ac:dyDescent="0.25">
      <c r="A7390" s="34" t="s">
        <v>4816</v>
      </c>
    </row>
    <row r="7391" spans="1:2" ht="13.2" x14ac:dyDescent="0.25">
      <c r="A7391" s="34" t="s">
        <v>4815</v>
      </c>
    </row>
    <row r="7392" spans="1:2" ht="13.2" x14ac:dyDescent="0.25">
      <c r="A7392" s="34" t="s">
        <v>4814</v>
      </c>
      <c r="B7392" s="35">
        <v>1.3139461856244701</v>
      </c>
    </row>
    <row r="7393" spans="1:2" ht="13.2" x14ac:dyDescent="0.25">
      <c r="A7393" s="34" t="s">
        <v>4813</v>
      </c>
      <c r="B7393" s="35">
        <v>1.3337952778453599</v>
      </c>
    </row>
    <row r="7394" spans="1:2" ht="13.2" x14ac:dyDescent="0.25">
      <c r="A7394" s="34" t="s">
        <v>4812</v>
      </c>
      <c r="B7394" s="35">
        <v>1.33425870525182</v>
      </c>
    </row>
    <row r="7395" spans="1:2" ht="13.2" x14ac:dyDescent="0.25">
      <c r="A7395" s="34" t="s">
        <v>4811</v>
      </c>
      <c r="B7395" s="35">
        <v>1.3657205140555799</v>
      </c>
    </row>
    <row r="7396" spans="1:2" ht="13.2" x14ac:dyDescent="0.25">
      <c r="A7396" s="34" t="s">
        <v>4810</v>
      </c>
      <c r="B7396" s="35">
        <v>1.3709491012994699</v>
      </c>
    </row>
    <row r="7397" spans="1:2" ht="13.2" x14ac:dyDescent="0.25">
      <c r="A7397" s="34" t="s">
        <v>4809</v>
      </c>
    </row>
    <row r="7398" spans="1:2" ht="13.2" x14ac:dyDescent="0.25">
      <c r="A7398" s="34" t="s">
        <v>4808</v>
      </c>
    </row>
    <row r="7399" spans="1:2" ht="13.2" x14ac:dyDescent="0.25">
      <c r="A7399" s="34" t="s">
        <v>4807</v>
      </c>
      <c r="B7399" s="35">
        <v>1.42010355633056</v>
      </c>
    </row>
    <row r="7400" spans="1:2" ht="13.2" x14ac:dyDescent="0.25">
      <c r="A7400" s="34" t="s">
        <v>4806</v>
      </c>
      <c r="B7400" s="35">
        <v>1.54427908621197</v>
      </c>
    </row>
    <row r="7401" spans="1:2" ht="13.2" x14ac:dyDescent="0.25">
      <c r="A7401" s="34" t="s">
        <v>4805</v>
      </c>
      <c r="B7401" s="35">
        <v>1.51567592152608</v>
      </c>
    </row>
    <row r="7402" spans="1:2" ht="13.2" x14ac:dyDescent="0.25">
      <c r="A7402" s="34" t="s">
        <v>4804</v>
      </c>
      <c r="B7402" s="35">
        <v>1.50448923454618</v>
      </c>
    </row>
    <row r="7403" spans="1:2" ht="13.2" x14ac:dyDescent="0.25">
      <c r="A7403" s="34" t="s">
        <v>4803</v>
      </c>
      <c r="B7403" s="35">
        <v>1.4533848995376299</v>
      </c>
    </row>
    <row r="7404" spans="1:2" ht="13.2" x14ac:dyDescent="0.25">
      <c r="A7404" s="34" t="s">
        <v>4802</v>
      </c>
    </row>
    <row r="7405" spans="1:2" ht="13.2" x14ac:dyDescent="0.25">
      <c r="A7405" s="34" t="s">
        <v>4801</v>
      </c>
    </row>
    <row r="7406" spans="1:2" ht="13.2" x14ac:dyDescent="0.25">
      <c r="A7406" s="34" t="s">
        <v>4800</v>
      </c>
      <c r="B7406" s="35">
        <v>1.6009394029672701</v>
      </c>
    </row>
    <row r="7407" spans="1:2" ht="13.2" x14ac:dyDescent="0.25">
      <c r="A7407" s="34" t="s">
        <v>4799</v>
      </c>
      <c r="B7407" s="35">
        <v>1.6065498632095501</v>
      </c>
    </row>
    <row r="7408" spans="1:2" ht="13.2" x14ac:dyDescent="0.25">
      <c r="A7408" s="34" t="s">
        <v>4798</v>
      </c>
      <c r="B7408" s="35">
        <v>1.50886518943778</v>
      </c>
    </row>
    <row r="7409" spans="1:2" ht="13.2" x14ac:dyDescent="0.25">
      <c r="A7409" s="34" t="s">
        <v>4797</v>
      </c>
      <c r="B7409" s="35">
        <v>1.5164767008066</v>
      </c>
    </row>
    <row r="7410" spans="1:2" ht="13.2" x14ac:dyDescent="0.25">
      <c r="A7410" s="34" t="s">
        <v>4796</v>
      </c>
      <c r="B7410" s="35">
        <v>1.48112121039589</v>
      </c>
    </row>
    <row r="7411" spans="1:2" ht="13.2" x14ac:dyDescent="0.25">
      <c r="A7411" s="34" t="s">
        <v>4795</v>
      </c>
    </row>
    <row r="7412" spans="1:2" ht="13.2" x14ac:dyDescent="0.25">
      <c r="A7412" s="34" t="s">
        <v>4794</v>
      </c>
    </row>
    <row r="7413" spans="1:2" ht="13.2" x14ac:dyDescent="0.25">
      <c r="A7413" s="34" t="s">
        <v>4793</v>
      </c>
      <c r="B7413" s="35">
        <v>1.44756602480529</v>
      </c>
    </row>
    <row r="7414" spans="1:2" ht="13.2" x14ac:dyDescent="0.25">
      <c r="A7414" s="34" t="s">
        <v>4792</v>
      </c>
      <c r="B7414" s="35">
        <v>1.45674748940479</v>
      </c>
    </row>
    <row r="7415" spans="1:2" ht="13.2" x14ac:dyDescent="0.25">
      <c r="A7415" s="34" t="s">
        <v>4791</v>
      </c>
      <c r="B7415" s="35">
        <v>1.4745927435351101</v>
      </c>
    </row>
    <row r="7416" spans="1:2" ht="13.2" x14ac:dyDescent="0.25">
      <c r="A7416" s="34" t="s">
        <v>4790</v>
      </c>
      <c r="B7416" s="35">
        <v>1.4819046324343801</v>
      </c>
    </row>
    <row r="7417" spans="1:2" ht="13.2" x14ac:dyDescent="0.25">
      <c r="A7417" s="34" t="s">
        <v>4789</v>
      </c>
      <c r="B7417" s="35">
        <v>1.4887772792654701</v>
      </c>
    </row>
    <row r="7418" spans="1:2" ht="13.2" x14ac:dyDescent="0.25">
      <c r="A7418" s="34" t="s">
        <v>4788</v>
      </c>
    </row>
    <row r="7419" spans="1:2" ht="13.2" x14ac:dyDescent="0.25">
      <c r="A7419" s="34" t="s">
        <v>4787</v>
      </c>
    </row>
    <row r="7420" spans="1:2" ht="13.2" x14ac:dyDescent="0.25">
      <c r="A7420" s="34" t="s">
        <v>4786</v>
      </c>
      <c r="B7420" s="35">
        <v>1.47259737127806</v>
      </c>
    </row>
    <row r="7421" spans="1:2" ht="13.2" x14ac:dyDescent="0.25">
      <c r="A7421" s="34" t="s">
        <v>4785</v>
      </c>
      <c r="B7421" s="35">
        <v>1.4784079800132599</v>
      </c>
    </row>
    <row r="7422" spans="1:2" ht="13.2" x14ac:dyDescent="0.25">
      <c r="A7422" s="34" t="s">
        <v>4784</v>
      </c>
      <c r="B7422" s="35">
        <v>1.4628289214202601</v>
      </c>
    </row>
    <row r="7423" spans="1:2" ht="13.2" x14ac:dyDescent="0.25">
      <c r="A7423" s="34" t="s">
        <v>4783</v>
      </c>
      <c r="B7423" s="35">
        <v>1.49586625173677</v>
      </c>
    </row>
    <row r="7424" spans="1:2" ht="13.2" x14ac:dyDescent="0.25">
      <c r="A7424" s="34" t="s">
        <v>4782</v>
      </c>
      <c r="B7424" s="35">
        <v>1.5283821678412499</v>
      </c>
    </row>
    <row r="7425" spans="1:2" ht="13.2" x14ac:dyDescent="0.25">
      <c r="A7425" s="34" t="s">
        <v>4781</v>
      </c>
    </row>
    <row r="7426" spans="1:2" ht="13.2" x14ac:dyDescent="0.25">
      <c r="A7426" s="34" t="s">
        <v>4780</v>
      </c>
    </row>
    <row r="7427" spans="1:2" ht="13.2" x14ac:dyDescent="0.25">
      <c r="A7427" s="34" t="s">
        <v>4779</v>
      </c>
      <c r="B7427" s="35">
        <v>1.50750793698968</v>
      </c>
    </row>
    <row r="7428" spans="1:2" ht="13.2" x14ac:dyDescent="0.25">
      <c r="A7428" s="34" t="s">
        <v>4778</v>
      </c>
      <c r="B7428" s="35">
        <v>1.4626425131372001</v>
      </c>
    </row>
    <row r="7429" spans="1:2" ht="13.2" x14ac:dyDescent="0.25">
      <c r="A7429" s="34" t="s">
        <v>4777</v>
      </c>
      <c r="B7429" s="35">
        <v>1.3121567125543101</v>
      </c>
    </row>
    <row r="7430" spans="1:2" ht="13.2" x14ac:dyDescent="0.25">
      <c r="A7430" s="34" t="s">
        <v>4776</v>
      </c>
      <c r="B7430" s="35">
        <v>1.3292346484945099</v>
      </c>
    </row>
    <row r="7431" spans="1:2" ht="13.2" x14ac:dyDescent="0.25">
      <c r="A7431" s="34" t="s">
        <v>4775</v>
      </c>
      <c r="B7431" s="35">
        <v>1.33169772468521</v>
      </c>
    </row>
    <row r="7432" spans="1:2" ht="13.2" x14ac:dyDescent="0.25">
      <c r="A7432" s="34" t="s">
        <v>4774</v>
      </c>
    </row>
    <row r="7433" spans="1:2" ht="13.2" x14ac:dyDescent="0.25">
      <c r="A7433" s="34" t="s">
        <v>4773</v>
      </c>
    </row>
    <row r="7434" spans="1:2" ht="13.2" x14ac:dyDescent="0.25">
      <c r="A7434" s="34" t="s">
        <v>4772</v>
      </c>
      <c r="B7434" s="35">
        <v>1.4834812265292701</v>
      </c>
    </row>
    <row r="7435" spans="1:2" ht="13.2" x14ac:dyDescent="0.25">
      <c r="A7435" s="34" t="s">
        <v>4771</v>
      </c>
      <c r="B7435" s="35">
        <v>1.31063662275125</v>
      </c>
    </row>
    <row r="7436" spans="1:2" ht="13.2" x14ac:dyDescent="0.25">
      <c r="A7436" s="34" t="s">
        <v>4770</v>
      </c>
      <c r="B7436" s="35">
        <v>1.30669202527642</v>
      </c>
    </row>
    <row r="7437" spans="1:2" ht="13.2" x14ac:dyDescent="0.25">
      <c r="A7437" s="34" t="s">
        <v>4769</v>
      </c>
      <c r="B7437" s="35">
        <v>1.33652247866063</v>
      </c>
    </row>
    <row r="7438" spans="1:2" ht="13.2" x14ac:dyDescent="0.25">
      <c r="A7438" s="34" t="s">
        <v>4768</v>
      </c>
      <c r="B7438" s="35">
        <v>1.31831362142157</v>
      </c>
    </row>
    <row r="7439" spans="1:2" ht="13.2" x14ac:dyDescent="0.25">
      <c r="A7439" s="34" t="s">
        <v>4767</v>
      </c>
    </row>
    <row r="7440" spans="1:2" ht="13.2" x14ac:dyDescent="0.25">
      <c r="A7440" s="34" t="s">
        <v>4766</v>
      </c>
    </row>
    <row r="7441" spans="1:2" ht="13.2" x14ac:dyDescent="0.25">
      <c r="A7441" s="34" t="s">
        <v>4765</v>
      </c>
      <c r="B7441" s="35">
        <v>1.18827750061183</v>
      </c>
    </row>
    <row r="7442" spans="1:2" ht="13.2" x14ac:dyDescent="0.25">
      <c r="A7442" s="34" t="s">
        <v>4764</v>
      </c>
      <c r="B7442" s="35">
        <v>1.16363791568818</v>
      </c>
    </row>
    <row r="7443" spans="1:2" ht="13.2" x14ac:dyDescent="0.25">
      <c r="A7443" s="34" t="s">
        <v>4763</v>
      </c>
      <c r="B7443" s="35">
        <v>1.16869246822108</v>
      </c>
    </row>
    <row r="7444" spans="1:2" ht="13.2" x14ac:dyDescent="0.25">
      <c r="A7444" s="34" t="s">
        <v>4762</v>
      </c>
      <c r="B7444" s="35">
        <v>1.17794192907747</v>
      </c>
    </row>
    <row r="7445" spans="1:2" ht="13.2" x14ac:dyDescent="0.25">
      <c r="A7445" s="34" t="s">
        <v>4761</v>
      </c>
      <c r="B7445" s="35">
        <v>1.1756436279537099</v>
      </c>
    </row>
    <row r="7446" spans="1:2" ht="13.2" x14ac:dyDescent="0.25">
      <c r="A7446" s="34" t="s">
        <v>4760</v>
      </c>
    </row>
    <row r="7447" spans="1:2" ht="13.2" x14ac:dyDescent="0.25">
      <c r="A7447" s="34" t="s">
        <v>4759</v>
      </c>
    </row>
    <row r="7448" spans="1:2" ht="13.2" x14ac:dyDescent="0.25">
      <c r="A7448" s="34" t="s">
        <v>4758</v>
      </c>
      <c r="B7448" s="35">
        <v>1.2329644503585999</v>
      </c>
    </row>
    <row r="7449" spans="1:2" ht="13.2" x14ac:dyDescent="0.25">
      <c r="A7449" s="34" t="s">
        <v>4757</v>
      </c>
      <c r="B7449" s="35">
        <v>1.2730172264274</v>
      </c>
    </row>
    <row r="7450" spans="1:2" ht="13.2" x14ac:dyDescent="0.25">
      <c r="A7450" s="34" t="s">
        <v>4756</v>
      </c>
      <c r="B7450" s="35">
        <v>1.31683211439984</v>
      </c>
    </row>
    <row r="7451" spans="1:2" ht="13.2" x14ac:dyDescent="0.25">
      <c r="A7451" s="34" t="s">
        <v>4755</v>
      </c>
      <c r="B7451" s="35">
        <v>1.21561434722308</v>
      </c>
    </row>
    <row r="7452" spans="1:2" ht="13.2" x14ac:dyDescent="0.25">
      <c r="A7452" s="34" t="s">
        <v>4754</v>
      </c>
      <c r="B7452" s="35">
        <v>1.19082125025196</v>
      </c>
    </row>
    <row r="7453" spans="1:2" ht="13.2" x14ac:dyDescent="0.25">
      <c r="A7453" s="34" t="s">
        <v>4753</v>
      </c>
    </row>
    <row r="7454" spans="1:2" ht="13.2" x14ac:dyDescent="0.25">
      <c r="A7454" s="34" t="s">
        <v>4752</v>
      </c>
    </row>
    <row r="7455" spans="1:2" ht="13.2" x14ac:dyDescent="0.25">
      <c r="A7455" s="34" t="s">
        <v>4751</v>
      </c>
      <c r="B7455" s="35">
        <v>1.1419017006467</v>
      </c>
    </row>
    <row r="7456" spans="1:2" ht="13.2" x14ac:dyDescent="0.25">
      <c r="A7456" s="34" t="s">
        <v>4750</v>
      </c>
      <c r="B7456" s="35">
        <v>1.1357099212302499</v>
      </c>
    </row>
    <row r="7457" spans="1:2" ht="13.2" x14ac:dyDescent="0.25">
      <c r="A7457" s="34" t="s">
        <v>4749</v>
      </c>
      <c r="B7457" s="35">
        <v>1.21232446284819</v>
      </c>
    </row>
    <row r="7458" spans="1:2" ht="13.2" x14ac:dyDescent="0.25">
      <c r="A7458" s="34" t="s">
        <v>4748</v>
      </c>
      <c r="B7458" s="35">
        <v>1.23366458069381</v>
      </c>
    </row>
    <row r="7459" spans="1:2" ht="13.2" x14ac:dyDescent="0.25">
      <c r="A7459" s="34" t="s">
        <v>4747</v>
      </c>
      <c r="B7459" s="35">
        <v>1.25404849331752</v>
      </c>
    </row>
    <row r="7460" spans="1:2" ht="13.2" x14ac:dyDescent="0.25">
      <c r="A7460" s="34" t="s">
        <v>4746</v>
      </c>
    </row>
    <row r="7461" spans="1:2" ht="13.2" x14ac:dyDescent="0.25">
      <c r="A7461" s="34" t="s">
        <v>4745</v>
      </c>
    </row>
    <row r="7462" spans="1:2" ht="13.2" x14ac:dyDescent="0.25">
      <c r="A7462" s="34" t="s">
        <v>4744</v>
      </c>
      <c r="B7462" s="35">
        <v>1.30410834671711</v>
      </c>
    </row>
    <row r="7463" spans="1:2" ht="13.2" x14ac:dyDescent="0.25">
      <c r="A7463" s="34" t="s">
        <v>4743</v>
      </c>
      <c r="B7463" s="35">
        <v>1.1718231887100601</v>
      </c>
    </row>
    <row r="7464" spans="1:2" ht="13.2" x14ac:dyDescent="0.25">
      <c r="A7464" s="34" t="s">
        <v>4742</v>
      </c>
      <c r="B7464" s="35">
        <v>1.1406224269562799</v>
      </c>
    </row>
    <row r="7465" spans="1:2" ht="13.2" x14ac:dyDescent="0.25">
      <c r="A7465" s="34" t="s">
        <v>4741</v>
      </c>
      <c r="B7465" s="35">
        <v>1.13938950717159</v>
      </c>
    </row>
    <row r="7466" spans="1:2" ht="13.2" x14ac:dyDescent="0.25">
      <c r="A7466" s="34" t="s">
        <v>4740</v>
      </c>
      <c r="B7466" s="35">
        <v>1.1104495897420901</v>
      </c>
    </row>
    <row r="7467" spans="1:2" ht="13.2" x14ac:dyDescent="0.25">
      <c r="A7467" s="34" t="s">
        <v>4739</v>
      </c>
    </row>
    <row r="7468" spans="1:2" ht="13.2" x14ac:dyDescent="0.25">
      <c r="A7468" s="34" t="s">
        <v>4738</v>
      </c>
    </row>
    <row r="7469" spans="1:2" ht="13.2" x14ac:dyDescent="0.25">
      <c r="A7469" s="34" t="s">
        <v>4737</v>
      </c>
      <c r="B7469" s="35">
        <v>1.11312581196787</v>
      </c>
    </row>
    <row r="7470" spans="1:2" ht="13.2" x14ac:dyDescent="0.25">
      <c r="A7470" s="34" t="s">
        <v>4736</v>
      </c>
      <c r="B7470" s="35">
        <v>1.12773705519742</v>
      </c>
    </row>
    <row r="7471" spans="1:2" ht="13.2" x14ac:dyDescent="0.25">
      <c r="A7471" s="34" t="s">
        <v>4735</v>
      </c>
      <c r="B7471" s="35">
        <v>1.1452607169458899</v>
      </c>
    </row>
    <row r="7472" spans="1:2" ht="13.2" x14ac:dyDescent="0.25">
      <c r="A7472" s="34" t="s">
        <v>4734</v>
      </c>
      <c r="B7472" s="35">
        <v>1.1767057274311501</v>
      </c>
    </row>
    <row r="7473" spans="1:2" ht="13.2" x14ac:dyDescent="0.25">
      <c r="A7473" s="34" t="s">
        <v>4733</v>
      </c>
      <c r="B7473" s="35">
        <v>1.1780794062307101</v>
      </c>
    </row>
    <row r="7474" spans="1:2" ht="13.2" x14ac:dyDescent="0.25">
      <c r="A7474" s="34" t="s">
        <v>4732</v>
      </c>
    </row>
    <row r="7475" spans="1:2" ht="13.2" x14ac:dyDescent="0.25">
      <c r="A7475" s="34" t="s">
        <v>4731</v>
      </c>
    </row>
    <row r="7476" spans="1:2" ht="13.2" x14ac:dyDescent="0.25">
      <c r="A7476" s="34" t="s">
        <v>4730</v>
      </c>
      <c r="B7476" s="35">
        <v>1.18816819264092</v>
      </c>
    </row>
    <row r="7477" spans="1:2" ht="13.2" x14ac:dyDescent="0.25">
      <c r="A7477" s="34" t="s">
        <v>4729</v>
      </c>
      <c r="B7477" s="35">
        <v>1.1440580471152999</v>
      </c>
    </row>
    <row r="7478" spans="1:2" ht="13.2" x14ac:dyDescent="0.25">
      <c r="A7478" s="34" t="s">
        <v>4728</v>
      </c>
      <c r="B7478" s="35">
        <v>1.10320245818021</v>
      </c>
    </row>
    <row r="7479" spans="1:2" ht="13.2" x14ac:dyDescent="0.25">
      <c r="A7479" s="34" t="s">
        <v>4727</v>
      </c>
      <c r="B7479" s="35">
        <v>1.156188705685</v>
      </c>
    </row>
    <row r="7480" spans="1:2" ht="13.2" x14ac:dyDescent="0.25">
      <c r="A7480" s="34" t="s">
        <v>4726</v>
      </c>
    </row>
    <row r="7481" spans="1:2" ht="13.2" x14ac:dyDescent="0.25">
      <c r="A7481" s="34" t="s">
        <v>4725</v>
      </c>
    </row>
    <row r="7482" spans="1:2" ht="13.2" x14ac:dyDescent="0.25">
      <c r="A7482" s="34" t="s">
        <v>4724</v>
      </c>
    </row>
    <row r="7483" spans="1:2" ht="13.2" x14ac:dyDescent="0.25">
      <c r="A7483" s="34" t="s">
        <v>4723</v>
      </c>
      <c r="B7483" s="35">
        <v>1.2014468025260401</v>
      </c>
    </row>
    <row r="7484" spans="1:2" ht="13.2" x14ac:dyDescent="0.25">
      <c r="A7484" s="34" t="s">
        <v>4722</v>
      </c>
      <c r="B7484" s="35">
        <v>1.2997489711968699</v>
      </c>
    </row>
    <row r="7485" spans="1:2" ht="13.2" x14ac:dyDescent="0.25">
      <c r="A7485" s="34" t="s">
        <v>4721</v>
      </c>
    </row>
    <row r="7486" spans="1:2" ht="13.2" x14ac:dyDescent="0.25">
      <c r="A7486" s="34" t="s">
        <v>4720</v>
      </c>
      <c r="B7486" s="35">
        <v>1.25858174767349</v>
      </c>
    </row>
    <row r="7487" spans="1:2" ht="13.2" x14ac:dyDescent="0.25">
      <c r="A7487" s="34" t="s">
        <v>4719</v>
      </c>
      <c r="B7487" s="35">
        <v>1.244505431351</v>
      </c>
    </row>
    <row r="7488" spans="1:2" ht="13.2" x14ac:dyDescent="0.25">
      <c r="A7488" s="34" t="s">
        <v>4718</v>
      </c>
    </row>
    <row r="7489" spans="1:2" ht="13.2" x14ac:dyDescent="0.25">
      <c r="A7489" s="34" t="s">
        <v>4717</v>
      </c>
    </row>
    <row r="7490" spans="1:2" ht="13.2" x14ac:dyDescent="0.25">
      <c r="A7490" s="34" t="s">
        <v>4716</v>
      </c>
      <c r="B7490" s="35">
        <v>1.2078415891912799</v>
      </c>
    </row>
    <row r="7491" spans="1:2" ht="13.2" x14ac:dyDescent="0.25">
      <c r="A7491" s="34" t="s">
        <v>4715</v>
      </c>
      <c r="B7491" s="35">
        <v>1.23068656279792</v>
      </c>
    </row>
    <row r="7492" spans="1:2" ht="13.2" x14ac:dyDescent="0.25">
      <c r="A7492" s="34" t="s">
        <v>4714</v>
      </c>
      <c r="B7492" s="35">
        <v>1.23019414766285</v>
      </c>
    </row>
    <row r="7493" spans="1:2" ht="13.2" x14ac:dyDescent="0.25">
      <c r="A7493" s="34" t="s">
        <v>4713</v>
      </c>
      <c r="B7493" s="35">
        <v>1.1531011231416199</v>
      </c>
    </row>
    <row r="7494" spans="1:2" ht="13.2" x14ac:dyDescent="0.25">
      <c r="A7494" s="34" t="s">
        <v>4712</v>
      </c>
      <c r="B7494" s="35">
        <v>1.1865192374756399</v>
      </c>
    </row>
    <row r="7495" spans="1:2" ht="13.2" x14ac:dyDescent="0.25">
      <c r="A7495" s="34" t="s">
        <v>4711</v>
      </c>
    </row>
    <row r="7496" spans="1:2" ht="13.2" x14ac:dyDescent="0.25">
      <c r="A7496" s="34" t="s">
        <v>4710</v>
      </c>
    </row>
    <row r="7497" spans="1:2" ht="13.2" x14ac:dyDescent="0.25">
      <c r="A7497" s="34" t="s">
        <v>4709</v>
      </c>
      <c r="B7497" s="35">
        <v>1.2772253240998199</v>
      </c>
    </row>
    <row r="7498" spans="1:2" ht="13.2" x14ac:dyDescent="0.25">
      <c r="A7498" s="34" t="s">
        <v>4708</v>
      </c>
      <c r="B7498" s="35">
        <v>1.3138614155209001</v>
      </c>
    </row>
    <row r="7499" spans="1:2" ht="13.2" x14ac:dyDescent="0.25">
      <c r="A7499" s="34" t="s">
        <v>4707</v>
      </c>
      <c r="B7499" s="35">
        <v>1.3138249005871301</v>
      </c>
    </row>
    <row r="7500" spans="1:2" ht="13.2" x14ac:dyDescent="0.25">
      <c r="A7500" s="34" t="s">
        <v>4706</v>
      </c>
      <c r="B7500" s="35">
        <v>1.3310105421585601</v>
      </c>
    </row>
    <row r="7501" spans="1:2" ht="13.2" x14ac:dyDescent="0.25">
      <c r="A7501" s="34" t="s">
        <v>4705</v>
      </c>
      <c r="B7501" s="35">
        <v>1.3251675638961</v>
      </c>
    </row>
    <row r="7502" spans="1:2" ht="13.2" x14ac:dyDescent="0.25">
      <c r="A7502" s="34" t="s">
        <v>4704</v>
      </c>
    </row>
    <row r="7503" spans="1:2" ht="13.2" x14ac:dyDescent="0.25">
      <c r="A7503" s="34" t="s">
        <v>4703</v>
      </c>
    </row>
    <row r="7504" spans="1:2" ht="13.2" x14ac:dyDescent="0.25">
      <c r="A7504" s="34" t="s">
        <v>4702</v>
      </c>
      <c r="B7504" s="35">
        <v>1.3266931732443501</v>
      </c>
    </row>
    <row r="7505" spans="1:2" ht="13.2" x14ac:dyDescent="0.25">
      <c r="A7505" s="34" t="s">
        <v>4701</v>
      </c>
      <c r="B7505" s="35">
        <v>1.3069202659136201</v>
      </c>
    </row>
    <row r="7506" spans="1:2" ht="13.2" x14ac:dyDescent="0.25">
      <c r="A7506" s="34" t="s">
        <v>4700</v>
      </c>
      <c r="B7506" s="35">
        <v>1.3473828902343301</v>
      </c>
    </row>
    <row r="7507" spans="1:2" ht="13.2" x14ac:dyDescent="0.25">
      <c r="A7507" s="34" t="s">
        <v>4699</v>
      </c>
      <c r="B7507" s="35">
        <v>1.33313135737596</v>
      </c>
    </row>
    <row r="7508" spans="1:2" ht="13.2" x14ac:dyDescent="0.25">
      <c r="A7508" s="34" t="s">
        <v>4698</v>
      </c>
      <c r="B7508" s="35">
        <v>1.29738308060823</v>
      </c>
    </row>
    <row r="7509" spans="1:2" ht="13.2" x14ac:dyDescent="0.25">
      <c r="A7509" s="34" t="s">
        <v>4697</v>
      </c>
    </row>
    <row r="7510" spans="1:2" ht="13.2" x14ac:dyDescent="0.25">
      <c r="A7510" s="34" t="s">
        <v>4696</v>
      </c>
    </row>
    <row r="7511" spans="1:2" ht="13.2" x14ac:dyDescent="0.25">
      <c r="A7511" s="34" t="s">
        <v>4695</v>
      </c>
      <c r="B7511" s="35">
        <v>1.28601389896841</v>
      </c>
    </row>
    <row r="7512" spans="1:2" ht="13.2" x14ac:dyDescent="0.25">
      <c r="A7512" s="34" t="s">
        <v>4694</v>
      </c>
      <c r="B7512" s="35">
        <v>1.1521980866629999</v>
      </c>
    </row>
    <row r="7513" spans="1:2" ht="13.2" x14ac:dyDescent="0.25">
      <c r="A7513" s="34" t="s">
        <v>4693</v>
      </c>
      <c r="B7513" s="35">
        <v>1.10670759374766</v>
      </c>
    </row>
    <row r="7514" spans="1:2" ht="13.2" x14ac:dyDescent="0.25">
      <c r="A7514" s="34" t="s">
        <v>4692</v>
      </c>
      <c r="B7514" s="35">
        <v>1.0168499482103299</v>
      </c>
    </row>
    <row r="7515" spans="1:2" ht="13.2" x14ac:dyDescent="0.25">
      <c r="A7515" s="34" t="s">
        <v>4691</v>
      </c>
      <c r="B7515" s="35">
        <v>1.03051298051663</v>
      </c>
    </row>
    <row r="7516" spans="1:2" ht="13.2" x14ac:dyDescent="0.25">
      <c r="A7516" s="34" t="s">
        <v>4690</v>
      </c>
    </row>
    <row r="7517" spans="1:2" ht="13.2" x14ac:dyDescent="0.25">
      <c r="A7517" s="34" t="s">
        <v>4689</v>
      </c>
    </row>
    <row r="7518" spans="1:2" ht="13.2" x14ac:dyDescent="0.25">
      <c r="A7518" s="34" t="s">
        <v>4688</v>
      </c>
      <c r="B7518" s="35">
        <v>1.0328321170271799</v>
      </c>
    </row>
    <row r="7519" spans="1:2" ht="13.2" x14ac:dyDescent="0.25">
      <c r="A7519" s="34" t="s">
        <v>4687</v>
      </c>
    </row>
    <row r="7520" spans="1:2" ht="13.2" x14ac:dyDescent="0.25">
      <c r="A7520" s="34" t="s">
        <v>4686</v>
      </c>
    </row>
    <row r="7521" spans="1:2" ht="13.2" x14ac:dyDescent="0.25">
      <c r="A7521" s="34" t="s">
        <v>4685</v>
      </c>
      <c r="B7521" s="35">
        <v>1.0132205512102901</v>
      </c>
    </row>
    <row r="7522" spans="1:2" ht="13.2" x14ac:dyDescent="0.25">
      <c r="A7522" s="34" t="s">
        <v>4684</v>
      </c>
      <c r="B7522" s="35">
        <v>0.95513411736926801</v>
      </c>
    </row>
    <row r="7523" spans="1:2" ht="13.2" x14ac:dyDescent="0.25">
      <c r="A7523" s="34" t="s">
        <v>4683</v>
      </c>
    </row>
    <row r="7524" spans="1:2" ht="13.2" x14ac:dyDescent="0.25">
      <c r="A7524" s="34" t="s">
        <v>4682</v>
      </c>
    </row>
    <row r="7525" spans="1:2" ht="13.2" x14ac:dyDescent="0.25">
      <c r="A7525" s="34" t="s">
        <v>4681</v>
      </c>
      <c r="B7525" s="35">
        <v>0.94352733353725804</v>
      </c>
    </row>
    <row r="7526" spans="1:2" ht="13.2" x14ac:dyDescent="0.25">
      <c r="A7526" s="34" t="s">
        <v>4680</v>
      </c>
    </row>
    <row r="7527" spans="1:2" ht="13.2" x14ac:dyDescent="0.25">
      <c r="A7527" s="34" t="s">
        <v>4679</v>
      </c>
    </row>
    <row r="7528" spans="1:2" ht="13.2" x14ac:dyDescent="0.25">
      <c r="A7528" s="34" t="s">
        <v>4678</v>
      </c>
      <c r="B7528" s="35">
        <v>1.0643271405539401</v>
      </c>
    </row>
    <row r="7529" spans="1:2" ht="13.2" x14ac:dyDescent="0.25">
      <c r="A7529" s="34" t="s">
        <v>4677</v>
      </c>
      <c r="B7529" s="35">
        <v>1.06730412619309</v>
      </c>
    </row>
    <row r="7530" spans="1:2" ht="13.2" x14ac:dyDescent="0.25">
      <c r="A7530" s="34" t="s">
        <v>4676</v>
      </c>
    </row>
    <row r="7531" spans="1:2" ht="13.2" x14ac:dyDescent="0.25">
      <c r="A7531" s="34" t="s">
        <v>4675</v>
      </c>
    </row>
    <row r="7532" spans="1:2" ht="13.2" x14ac:dyDescent="0.25">
      <c r="A7532" s="34" t="s">
        <v>4674</v>
      </c>
      <c r="B7532" s="35">
        <v>0.93491282475828896</v>
      </c>
    </row>
    <row r="7533" spans="1:2" ht="13.2" x14ac:dyDescent="0.25">
      <c r="A7533" s="34" t="s">
        <v>4673</v>
      </c>
      <c r="B7533" s="35">
        <v>0.88128213624750695</v>
      </c>
    </row>
    <row r="7534" spans="1:2" ht="13.2" x14ac:dyDescent="0.25">
      <c r="A7534" s="34" t="s">
        <v>4672</v>
      </c>
      <c r="B7534" s="35">
        <v>0.88104251675581802</v>
      </c>
    </row>
    <row r="7535" spans="1:2" ht="13.2" x14ac:dyDescent="0.25">
      <c r="A7535" s="34" t="s">
        <v>4671</v>
      </c>
      <c r="B7535" s="35">
        <v>1.00427250857016</v>
      </c>
    </row>
    <row r="7536" spans="1:2" ht="13.2" x14ac:dyDescent="0.25">
      <c r="A7536" s="34" t="s">
        <v>4670</v>
      </c>
      <c r="B7536" s="35">
        <v>1.0189076460352999</v>
      </c>
    </row>
    <row r="7537" spans="1:2" ht="13.2" x14ac:dyDescent="0.25">
      <c r="A7537" s="34" t="s">
        <v>4669</v>
      </c>
    </row>
    <row r="7538" spans="1:2" ht="13.2" x14ac:dyDescent="0.25">
      <c r="A7538" s="34" t="s">
        <v>4668</v>
      </c>
    </row>
    <row r="7539" spans="1:2" ht="13.2" x14ac:dyDescent="0.25">
      <c r="A7539" s="34" t="s">
        <v>4667</v>
      </c>
      <c r="B7539" s="35">
        <v>1.0147630901663101</v>
      </c>
    </row>
    <row r="7540" spans="1:2" ht="13.2" x14ac:dyDescent="0.25">
      <c r="A7540" s="34" t="s">
        <v>4666</v>
      </c>
      <c r="B7540" s="35">
        <v>1.0258570361392401</v>
      </c>
    </row>
    <row r="7541" spans="1:2" ht="13.2" x14ac:dyDescent="0.25">
      <c r="A7541" s="34" t="s">
        <v>4665</v>
      </c>
      <c r="B7541" s="35">
        <v>0.96586084276909001</v>
      </c>
    </row>
    <row r="7542" spans="1:2" ht="13.2" x14ac:dyDescent="0.25">
      <c r="A7542" s="34" t="s">
        <v>4664</v>
      </c>
      <c r="B7542" s="35">
        <v>0.98192394228704105</v>
      </c>
    </row>
    <row r="7543" spans="1:2" ht="13.2" x14ac:dyDescent="0.25">
      <c r="A7543" s="34" t="s">
        <v>4663</v>
      </c>
      <c r="B7543" s="35">
        <v>1.0058065085167101</v>
      </c>
    </row>
    <row r="7544" spans="1:2" ht="13.2" x14ac:dyDescent="0.25">
      <c r="A7544" s="34" t="s">
        <v>4662</v>
      </c>
    </row>
    <row r="7545" spans="1:2" ht="13.2" x14ac:dyDescent="0.25">
      <c r="A7545" s="34" t="s">
        <v>4661</v>
      </c>
    </row>
    <row r="7546" spans="1:2" ht="13.2" x14ac:dyDescent="0.25">
      <c r="A7546" s="34" t="s">
        <v>4660</v>
      </c>
      <c r="B7546" s="35">
        <v>1.0155799921648001</v>
      </c>
    </row>
    <row r="7547" spans="1:2" ht="13.2" x14ac:dyDescent="0.25">
      <c r="A7547" s="34" t="s">
        <v>4659</v>
      </c>
      <c r="B7547" s="35">
        <v>1.015195888332</v>
      </c>
    </row>
    <row r="7548" spans="1:2" ht="13.2" x14ac:dyDescent="0.25">
      <c r="A7548" s="34" t="s">
        <v>4658</v>
      </c>
      <c r="B7548" s="35">
        <v>1.05580552659275</v>
      </c>
    </row>
    <row r="7549" spans="1:2" ht="13.2" x14ac:dyDescent="0.25">
      <c r="A7549" s="34" t="s">
        <v>4657</v>
      </c>
      <c r="B7549" s="35">
        <v>1.1215511493125501</v>
      </c>
    </row>
    <row r="7550" spans="1:2" ht="13.2" x14ac:dyDescent="0.25">
      <c r="A7550" s="34" t="s">
        <v>4656</v>
      </c>
      <c r="B7550" s="35">
        <v>1.11436444609693</v>
      </c>
    </row>
    <row r="7551" spans="1:2" ht="13.2" x14ac:dyDescent="0.25">
      <c r="A7551" s="34" t="s">
        <v>4655</v>
      </c>
    </row>
    <row r="7552" spans="1:2" ht="13.2" x14ac:dyDescent="0.25">
      <c r="A7552" s="34" t="s">
        <v>4654</v>
      </c>
    </row>
    <row r="7553" spans="1:2" ht="13.2" x14ac:dyDescent="0.25">
      <c r="A7553" s="34" t="s">
        <v>4653</v>
      </c>
      <c r="B7553" s="35">
        <v>1.10479278742376</v>
      </c>
    </row>
    <row r="7554" spans="1:2" ht="13.2" x14ac:dyDescent="0.25">
      <c r="A7554" s="34" t="s">
        <v>4652</v>
      </c>
      <c r="B7554" s="35">
        <v>1.1136505944166399</v>
      </c>
    </row>
    <row r="7555" spans="1:2" ht="13.2" x14ac:dyDescent="0.25">
      <c r="A7555" s="34" t="s">
        <v>4651</v>
      </c>
      <c r="B7555" s="35">
        <v>1.1109224893999701</v>
      </c>
    </row>
    <row r="7556" spans="1:2" ht="13.2" x14ac:dyDescent="0.25">
      <c r="A7556" s="34" t="s">
        <v>4650</v>
      </c>
      <c r="B7556" s="35">
        <v>1.09621670400691</v>
      </c>
    </row>
    <row r="7557" spans="1:2" ht="13.2" x14ac:dyDescent="0.25">
      <c r="A7557" s="34" t="s">
        <v>4649</v>
      </c>
      <c r="B7557" s="35">
        <v>1.0389593586628101</v>
      </c>
    </row>
    <row r="7558" spans="1:2" ht="13.2" x14ac:dyDescent="0.25">
      <c r="A7558" s="34" t="s">
        <v>4648</v>
      </c>
    </row>
    <row r="7559" spans="1:2" ht="13.2" x14ac:dyDescent="0.25">
      <c r="A7559" s="34" t="s">
        <v>4647</v>
      </c>
    </row>
    <row r="7560" spans="1:2" ht="13.2" x14ac:dyDescent="0.25">
      <c r="A7560" s="34" t="s">
        <v>4646</v>
      </c>
      <c r="B7560" s="35">
        <v>1.1582193586823299</v>
      </c>
    </row>
    <row r="7561" spans="1:2" ht="13.2" x14ac:dyDescent="0.25">
      <c r="A7561" s="34" t="s">
        <v>4645</v>
      </c>
      <c r="B7561" s="35">
        <v>1.2535651906527501</v>
      </c>
    </row>
    <row r="7562" spans="1:2" ht="13.2" x14ac:dyDescent="0.25">
      <c r="A7562" s="34" t="s">
        <v>4644</v>
      </c>
      <c r="B7562" s="35">
        <v>1.24639065345782</v>
      </c>
    </row>
    <row r="7563" spans="1:2" ht="13.2" x14ac:dyDescent="0.25">
      <c r="A7563" s="34" t="s">
        <v>4643</v>
      </c>
      <c r="B7563" s="35">
        <v>1.37665389156268</v>
      </c>
    </row>
    <row r="7564" spans="1:2" ht="13.2" x14ac:dyDescent="0.25">
      <c r="A7564" s="34" t="s">
        <v>4642</v>
      </c>
      <c r="B7564" s="35">
        <v>1.29147864448604</v>
      </c>
    </row>
    <row r="7565" spans="1:2" ht="13.2" x14ac:dyDescent="0.25">
      <c r="A7565" s="34" t="s">
        <v>4641</v>
      </c>
    </row>
    <row r="7566" spans="1:2" ht="13.2" x14ac:dyDescent="0.25">
      <c r="A7566" s="34" t="s">
        <v>4640</v>
      </c>
    </row>
    <row r="7567" spans="1:2" ht="13.2" x14ac:dyDescent="0.25">
      <c r="A7567" s="34" t="s">
        <v>4639</v>
      </c>
      <c r="B7567" s="35">
        <v>1.28225814194488</v>
      </c>
    </row>
    <row r="7568" spans="1:2" ht="13.2" x14ac:dyDescent="0.25">
      <c r="A7568" s="34" t="s">
        <v>4638</v>
      </c>
      <c r="B7568" s="35">
        <v>1.3349399638894499</v>
      </c>
    </row>
    <row r="7569" spans="1:2" ht="13.2" x14ac:dyDescent="0.25">
      <c r="A7569" s="34" t="s">
        <v>4637</v>
      </c>
      <c r="B7569" s="35">
        <v>1.32921388565641</v>
      </c>
    </row>
    <row r="7570" spans="1:2" ht="13.2" x14ac:dyDescent="0.25">
      <c r="A7570" s="34" t="s">
        <v>4636</v>
      </c>
      <c r="B7570" s="35">
        <v>1.3189005813719299</v>
      </c>
    </row>
    <row r="7571" spans="1:2" ht="13.2" x14ac:dyDescent="0.25">
      <c r="A7571" s="34" t="s">
        <v>4635</v>
      </c>
      <c r="B7571" s="35">
        <v>1.32987074432724</v>
      </c>
    </row>
    <row r="7572" spans="1:2" ht="13.2" x14ac:dyDescent="0.25">
      <c r="A7572" s="34" t="s">
        <v>4634</v>
      </c>
    </row>
    <row r="7573" spans="1:2" ht="13.2" x14ac:dyDescent="0.25">
      <c r="A7573" s="34" t="s">
        <v>4633</v>
      </c>
    </row>
    <row r="7574" spans="1:2" ht="13.2" x14ac:dyDescent="0.25">
      <c r="A7574" s="34" t="s">
        <v>4632</v>
      </c>
      <c r="B7574" s="35">
        <v>1.34001859017044</v>
      </c>
    </row>
    <row r="7575" spans="1:2" ht="13.2" x14ac:dyDescent="0.25">
      <c r="A7575" s="34" t="s">
        <v>4631</v>
      </c>
      <c r="B7575" s="35">
        <v>1.3939928315060199</v>
      </c>
    </row>
    <row r="7576" spans="1:2" ht="13.2" x14ac:dyDescent="0.25">
      <c r="A7576" s="34" t="s">
        <v>4630</v>
      </c>
      <c r="B7576" s="35">
        <v>1.42581688396419</v>
      </c>
    </row>
    <row r="7577" spans="1:2" ht="13.2" x14ac:dyDescent="0.25">
      <c r="A7577" s="34" t="s">
        <v>4629</v>
      </c>
      <c r="B7577" s="35">
        <v>1.3769576626978199</v>
      </c>
    </row>
    <row r="7578" spans="1:2" ht="13.2" x14ac:dyDescent="0.25">
      <c r="A7578" s="34" t="s">
        <v>4628</v>
      </c>
      <c r="B7578" s="35">
        <v>1.31483435066469</v>
      </c>
    </row>
    <row r="7579" spans="1:2" ht="13.2" x14ac:dyDescent="0.25">
      <c r="A7579" s="34" t="s">
        <v>4627</v>
      </c>
    </row>
    <row r="7580" spans="1:2" ht="13.2" x14ac:dyDescent="0.25">
      <c r="A7580" s="34" t="s">
        <v>4626</v>
      </c>
    </row>
    <row r="7581" spans="1:2" ht="13.2" x14ac:dyDescent="0.25">
      <c r="A7581" s="34" t="s">
        <v>4625</v>
      </c>
      <c r="B7581" s="35">
        <v>1.29408591270716</v>
      </c>
    </row>
    <row r="7582" spans="1:2" ht="13.2" x14ac:dyDescent="0.25">
      <c r="A7582" s="34" t="s">
        <v>4624</v>
      </c>
      <c r="B7582" s="35">
        <v>1.3295889034310899</v>
      </c>
    </row>
    <row r="7583" spans="1:2" ht="13.2" x14ac:dyDescent="0.25">
      <c r="A7583" s="34" t="s">
        <v>4623</v>
      </c>
      <c r="B7583" s="35">
        <v>1.3268567209695501</v>
      </c>
    </row>
    <row r="7584" spans="1:2" ht="13.2" x14ac:dyDescent="0.25">
      <c r="A7584" s="34" t="s">
        <v>4622</v>
      </c>
      <c r="B7584" s="35">
        <v>1.4100590725936699</v>
      </c>
    </row>
    <row r="7585" spans="1:2" ht="13.2" x14ac:dyDescent="0.25">
      <c r="A7585" s="34" t="s">
        <v>4621</v>
      </c>
      <c r="B7585" s="35">
        <v>1.4230039051140599</v>
      </c>
    </row>
    <row r="7586" spans="1:2" ht="13.2" x14ac:dyDescent="0.25">
      <c r="A7586" s="34" t="s">
        <v>4620</v>
      </c>
    </row>
    <row r="7587" spans="1:2" ht="13.2" x14ac:dyDescent="0.25">
      <c r="A7587" s="34" t="s">
        <v>4619</v>
      </c>
    </row>
    <row r="7588" spans="1:2" ht="13.2" x14ac:dyDescent="0.25">
      <c r="A7588" s="34" t="s">
        <v>4618</v>
      </c>
    </row>
    <row r="7589" spans="1:2" ht="13.2" x14ac:dyDescent="0.25">
      <c r="A7589" s="34" t="s">
        <v>4617</v>
      </c>
    </row>
    <row r="7590" spans="1:2" ht="13.2" x14ac:dyDescent="0.25">
      <c r="A7590" s="34" t="s">
        <v>4616</v>
      </c>
      <c r="B7590" s="35">
        <v>1.4271680921093299</v>
      </c>
    </row>
    <row r="7591" spans="1:2" ht="13.2" x14ac:dyDescent="0.25">
      <c r="A7591" s="34" t="s">
        <v>4615</v>
      </c>
      <c r="B7591" s="35">
        <v>1.26141958292013</v>
      </c>
    </row>
    <row r="7592" spans="1:2" ht="13.2" x14ac:dyDescent="0.25">
      <c r="A7592" s="34" t="s">
        <v>4614</v>
      </c>
      <c r="B7592" s="35">
        <v>1.26773624573091</v>
      </c>
    </row>
    <row r="7593" spans="1:2" ht="13.2" x14ac:dyDescent="0.25">
      <c r="A7593" s="34" t="s">
        <v>4613</v>
      </c>
    </row>
    <row r="7594" spans="1:2" ht="13.2" x14ac:dyDescent="0.25">
      <c r="A7594" s="34" t="s">
        <v>4612</v>
      </c>
    </row>
    <row r="7595" spans="1:2" ht="13.2" x14ac:dyDescent="0.25">
      <c r="A7595" s="34" t="s">
        <v>4611</v>
      </c>
      <c r="B7595" s="35">
        <v>1.3012035486793301</v>
      </c>
    </row>
    <row r="7596" spans="1:2" ht="13.2" x14ac:dyDescent="0.25">
      <c r="A7596" s="34" t="s">
        <v>4610</v>
      </c>
      <c r="B7596" s="35">
        <v>1.17848982631201</v>
      </c>
    </row>
    <row r="7597" spans="1:2" ht="13.2" x14ac:dyDescent="0.25">
      <c r="A7597" s="34" t="s">
        <v>4609</v>
      </c>
      <c r="B7597" s="35">
        <v>1.1675795012943599</v>
      </c>
    </row>
    <row r="7598" spans="1:2" ht="13.2" x14ac:dyDescent="0.25">
      <c r="A7598" s="34" t="s">
        <v>4608</v>
      </c>
      <c r="B7598" s="35">
        <v>1.17168204436803</v>
      </c>
    </row>
    <row r="7599" spans="1:2" ht="13.2" x14ac:dyDescent="0.25">
      <c r="A7599" s="34" t="s">
        <v>4607</v>
      </c>
      <c r="B7599" s="35">
        <v>1.10875452722709</v>
      </c>
    </row>
    <row r="7600" spans="1:2" ht="13.2" x14ac:dyDescent="0.25">
      <c r="A7600" s="34" t="s">
        <v>4606</v>
      </c>
    </row>
    <row r="7601" spans="1:2" ht="13.2" x14ac:dyDescent="0.25">
      <c r="A7601" s="34" t="s">
        <v>4605</v>
      </c>
    </row>
    <row r="7602" spans="1:2" ht="13.2" x14ac:dyDescent="0.25">
      <c r="A7602" s="34" t="s">
        <v>4604</v>
      </c>
      <c r="B7602" s="35">
        <v>1.1182847363177699</v>
      </c>
    </row>
    <row r="7603" spans="1:2" ht="13.2" x14ac:dyDescent="0.25">
      <c r="A7603" s="34" t="s">
        <v>4603</v>
      </c>
      <c r="B7603" s="35">
        <v>1.2434347483587</v>
      </c>
    </row>
    <row r="7604" spans="1:2" ht="13.2" x14ac:dyDescent="0.25">
      <c r="A7604" s="34" t="s">
        <v>4602</v>
      </c>
      <c r="B7604" s="35">
        <v>1.24717472238835</v>
      </c>
    </row>
    <row r="7605" spans="1:2" ht="13.2" x14ac:dyDescent="0.25">
      <c r="A7605" s="34" t="s">
        <v>4601</v>
      </c>
      <c r="B7605" s="35">
        <v>1.26982707094736</v>
      </c>
    </row>
    <row r="7606" spans="1:2" ht="13.2" x14ac:dyDescent="0.25">
      <c r="A7606" s="34" t="s">
        <v>4600</v>
      </c>
      <c r="B7606" s="35">
        <v>1.18083389485759</v>
      </c>
    </row>
    <row r="7607" spans="1:2" ht="13.2" x14ac:dyDescent="0.25">
      <c r="A7607" s="34" t="s">
        <v>4599</v>
      </c>
    </row>
    <row r="7608" spans="1:2" ht="13.2" x14ac:dyDescent="0.25">
      <c r="A7608" s="34" t="s">
        <v>4598</v>
      </c>
    </row>
    <row r="7609" spans="1:2" ht="13.2" x14ac:dyDescent="0.25">
      <c r="A7609" s="34" t="s">
        <v>4597</v>
      </c>
      <c r="B7609" s="35">
        <v>1.1860668706530599</v>
      </c>
    </row>
    <row r="7610" spans="1:2" ht="13.2" x14ac:dyDescent="0.25">
      <c r="A7610" s="34" t="s">
        <v>4596</v>
      </c>
      <c r="B7610" s="35">
        <v>1.1871010592296201</v>
      </c>
    </row>
    <row r="7611" spans="1:2" ht="13.2" x14ac:dyDescent="0.25">
      <c r="A7611" s="34" t="s">
        <v>4595</v>
      </c>
      <c r="B7611" s="35">
        <v>1.19246280907584</v>
      </c>
    </row>
    <row r="7612" spans="1:2" ht="13.2" x14ac:dyDescent="0.25">
      <c r="A7612" s="34" t="s">
        <v>4594</v>
      </c>
      <c r="B7612" s="35">
        <v>1.4026310642145801</v>
      </c>
    </row>
    <row r="7613" spans="1:2" ht="13.2" x14ac:dyDescent="0.25">
      <c r="A7613" s="34" t="s">
        <v>4593</v>
      </c>
      <c r="B7613" s="35">
        <v>1.35013879671614</v>
      </c>
    </row>
    <row r="7614" spans="1:2" ht="13.2" x14ac:dyDescent="0.25">
      <c r="A7614" s="34" t="s">
        <v>4592</v>
      </c>
    </row>
    <row r="7615" spans="1:2" ht="13.2" x14ac:dyDescent="0.25">
      <c r="A7615" s="34" t="s">
        <v>4591</v>
      </c>
    </row>
    <row r="7616" spans="1:2" ht="13.2" x14ac:dyDescent="0.25">
      <c r="A7616" s="34" t="s">
        <v>4590</v>
      </c>
      <c r="B7616" s="35">
        <v>1.36051554520888</v>
      </c>
    </row>
    <row r="7617" spans="1:2" ht="13.2" x14ac:dyDescent="0.25">
      <c r="A7617" s="34" t="s">
        <v>4589</v>
      </c>
      <c r="B7617" s="35">
        <v>1.30503822536349</v>
      </c>
    </row>
    <row r="7618" spans="1:2" ht="13.2" x14ac:dyDescent="0.25">
      <c r="A7618" s="34" t="s">
        <v>4588</v>
      </c>
      <c r="B7618" s="35">
        <v>1.3789471010093199</v>
      </c>
    </row>
    <row r="7619" spans="1:2" ht="13.2" x14ac:dyDescent="0.25">
      <c r="A7619" s="34" t="s">
        <v>4587</v>
      </c>
      <c r="B7619" s="35">
        <v>1.3550842631032201</v>
      </c>
    </row>
    <row r="7620" spans="1:2" ht="13.2" x14ac:dyDescent="0.25">
      <c r="A7620" s="34" t="s">
        <v>4586</v>
      </c>
      <c r="B7620" s="35">
        <v>1.36816353392086</v>
      </c>
    </row>
    <row r="7621" spans="1:2" ht="13.2" x14ac:dyDescent="0.25">
      <c r="A7621" s="34" t="s">
        <v>4585</v>
      </c>
    </row>
    <row r="7622" spans="1:2" ht="13.2" x14ac:dyDescent="0.25">
      <c r="A7622" s="34" t="s">
        <v>4584</v>
      </c>
    </row>
    <row r="7623" spans="1:2" ht="13.2" x14ac:dyDescent="0.25">
      <c r="A7623" s="34" t="s">
        <v>4583</v>
      </c>
      <c r="B7623" s="35">
        <v>1.31732690569235</v>
      </c>
    </row>
    <row r="7624" spans="1:2" ht="13.2" x14ac:dyDescent="0.25">
      <c r="A7624" s="34" t="s">
        <v>4582</v>
      </c>
      <c r="B7624" s="35">
        <v>1.27879368317968</v>
      </c>
    </row>
    <row r="7625" spans="1:2" ht="13.2" x14ac:dyDescent="0.25">
      <c r="A7625" s="34" t="s">
        <v>4581</v>
      </c>
      <c r="B7625" s="35">
        <v>1.31750279081823</v>
      </c>
    </row>
    <row r="7626" spans="1:2" ht="13.2" x14ac:dyDescent="0.25">
      <c r="A7626" s="34" t="s">
        <v>4580</v>
      </c>
      <c r="B7626" s="35">
        <v>1.32475488341029</v>
      </c>
    </row>
    <row r="7627" spans="1:2" ht="13.2" x14ac:dyDescent="0.25">
      <c r="A7627" s="34" t="s">
        <v>4579</v>
      </c>
      <c r="B7627" s="35">
        <v>1.29668061812689</v>
      </c>
    </row>
    <row r="7628" spans="1:2" ht="13.2" x14ac:dyDescent="0.25">
      <c r="A7628" s="34" t="s">
        <v>4578</v>
      </c>
    </row>
    <row r="7629" spans="1:2" ht="13.2" x14ac:dyDescent="0.25">
      <c r="A7629" s="34" t="s">
        <v>4577</v>
      </c>
    </row>
    <row r="7630" spans="1:2" ht="13.2" x14ac:dyDescent="0.25">
      <c r="A7630" s="34" t="s">
        <v>4576</v>
      </c>
      <c r="B7630" s="35">
        <v>1.2668578832453501</v>
      </c>
    </row>
    <row r="7631" spans="1:2" ht="13.2" x14ac:dyDescent="0.25">
      <c r="A7631" s="34" t="s">
        <v>4575</v>
      </c>
      <c r="B7631" s="35">
        <v>1.41513617234109</v>
      </c>
    </row>
    <row r="7632" spans="1:2" ht="13.2" x14ac:dyDescent="0.25">
      <c r="A7632" s="34" t="s">
        <v>4574</v>
      </c>
      <c r="B7632" s="35">
        <v>1.3767840796006099</v>
      </c>
    </row>
    <row r="7633" spans="1:2" ht="13.2" x14ac:dyDescent="0.25">
      <c r="A7633" s="34" t="s">
        <v>4573</v>
      </c>
      <c r="B7633" s="35">
        <v>1.4021700015447001</v>
      </c>
    </row>
    <row r="7634" spans="1:2" ht="13.2" x14ac:dyDescent="0.25">
      <c r="A7634" s="34" t="s">
        <v>4572</v>
      </c>
    </row>
    <row r="7635" spans="1:2" ht="13.2" x14ac:dyDescent="0.25">
      <c r="A7635" s="34" t="s">
        <v>4571</v>
      </c>
    </row>
    <row r="7636" spans="1:2" ht="13.2" x14ac:dyDescent="0.25">
      <c r="A7636" s="34" t="s">
        <v>4570</v>
      </c>
    </row>
    <row r="7637" spans="1:2" ht="13.2" x14ac:dyDescent="0.25">
      <c r="A7637" s="34" t="s">
        <v>4569</v>
      </c>
    </row>
    <row r="7638" spans="1:2" ht="13.2" x14ac:dyDescent="0.25">
      <c r="A7638" s="34" t="s">
        <v>4568</v>
      </c>
      <c r="B7638" s="35">
        <v>1.3936339367119099</v>
      </c>
    </row>
    <row r="7639" spans="1:2" ht="13.2" x14ac:dyDescent="0.25">
      <c r="A7639" s="34" t="s">
        <v>4567</v>
      </c>
      <c r="B7639" s="35">
        <v>1.4190274703395001</v>
      </c>
    </row>
    <row r="7640" spans="1:2" ht="13.2" x14ac:dyDescent="0.25">
      <c r="A7640" s="34" t="s">
        <v>4566</v>
      </c>
      <c r="B7640" s="35">
        <v>1.40486789855815</v>
      </c>
    </row>
    <row r="7641" spans="1:2" ht="13.2" x14ac:dyDescent="0.25">
      <c r="A7641" s="34" t="s">
        <v>4565</v>
      </c>
      <c r="B7641" s="35">
        <v>1.42801854335176</v>
      </c>
    </row>
    <row r="7642" spans="1:2" ht="13.2" x14ac:dyDescent="0.25">
      <c r="A7642" s="34" t="s">
        <v>4564</v>
      </c>
    </row>
    <row r="7643" spans="1:2" ht="13.2" x14ac:dyDescent="0.25">
      <c r="A7643" s="34" t="s">
        <v>4563</v>
      </c>
    </row>
    <row r="7644" spans="1:2" ht="13.2" x14ac:dyDescent="0.25">
      <c r="A7644" s="34" t="s">
        <v>4562</v>
      </c>
      <c r="B7644" s="35">
        <v>1.4199114508626201</v>
      </c>
    </row>
    <row r="7645" spans="1:2" ht="13.2" x14ac:dyDescent="0.25">
      <c r="A7645" s="34" t="s">
        <v>4561</v>
      </c>
      <c r="B7645" s="35">
        <v>1.23698454198679</v>
      </c>
    </row>
    <row r="7646" spans="1:2" ht="13.2" x14ac:dyDescent="0.25">
      <c r="A7646" s="34" t="s">
        <v>4560</v>
      </c>
      <c r="B7646" s="35">
        <v>1.24422718608223</v>
      </c>
    </row>
    <row r="7647" spans="1:2" ht="13.2" x14ac:dyDescent="0.25">
      <c r="A7647" s="34" t="s">
        <v>4559</v>
      </c>
    </row>
    <row r="7648" spans="1:2" ht="13.2" x14ac:dyDescent="0.25">
      <c r="A7648" s="34" t="s">
        <v>4558</v>
      </c>
      <c r="B7648" s="35">
        <v>1.3315988847800899</v>
      </c>
    </row>
    <row r="7649" spans="1:2" ht="13.2" x14ac:dyDescent="0.25">
      <c r="A7649" s="34" t="s">
        <v>4557</v>
      </c>
    </row>
    <row r="7650" spans="1:2" ht="13.2" x14ac:dyDescent="0.25">
      <c r="A7650" s="34" t="s">
        <v>4556</v>
      </c>
    </row>
    <row r="7651" spans="1:2" ht="13.2" x14ac:dyDescent="0.25">
      <c r="A7651" s="34" t="s">
        <v>4555</v>
      </c>
      <c r="B7651" s="35">
        <v>1.3329017770690299</v>
      </c>
    </row>
    <row r="7652" spans="1:2" ht="13.2" x14ac:dyDescent="0.25">
      <c r="A7652" s="34" t="s">
        <v>4554</v>
      </c>
      <c r="B7652" s="35">
        <v>1.2060112035417201</v>
      </c>
    </row>
    <row r="7653" spans="1:2" ht="13.2" x14ac:dyDescent="0.25">
      <c r="A7653" s="34" t="s">
        <v>4553</v>
      </c>
      <c r="B7653" s="35">
        <v>1.1950760198943</v>
      </c>
    </row>
    <row r="7654" spans="1:2" ht="13.2" x14ac:dyDescent="0.25">
      <c r="A7654" s="34" t="s">
        <v>4552</v>
      </c>
      <c r="B7654" s="35">
        <v>1.22027845234849</v>
      </c>
    </row>
    <row r="7655" spans="1:2" ht="13.2" x14ac:dyDescent="0.25">
      <c r="A7655" s="34" t="s">
        <v>4551</v>
      </c>
      <c r="B7655" s="35">
        <v>1.1538526987151201</v>
      </c>
    </row>
    <row r="7656" spans="1:2" ht="13.2" x14ac:dyDescent="0.25">
      <c r="A7656" s="34" t="s">
        <v>4550</v>
      </c>
    </row>
    <row r="7657" spans="1:2" ht="13.2" x14ac:dyDescent="0.25">
      <c r="A7657" s="34" t="s">
        <v>4549</v>
      </c>
    </row>
    <row r="7658" spans="1:2" ht="13.2" x14ac:dyDescent="0.25">
      <c r="A7658" s="34" t="s">
        <v>4548</v>
      </c>
      <c r="B7658" s="35">
        <v>1.1814252762837001</v>
      </c>
    </row>
    <row r="7659" spans="1:2" ht="13.2" x14ac:dyDescent="0.25">
      <c r="A7659" s="34" t="s">
        <v>4547</v>
      </c>
      <c r="B7659" s="35">
        <v>1.161174159135</v>
      </c>
    </row>
    <row r="7660" spans="1:2" ht="13.2" x14ac:dyDescent="0.25">
      <c r="A7660" s="34" t="s">
        <v>4546</v>
      </c>
      <c r="B7660" s="35">
        <v>1.1674176287778699</v>
      </c>
    </row>
    <row r="7661" spans="1:2" ht="13.2" x14ac:dyDescent="0.25">
      <c r="A7661" s="34" t="s">
        <v>4545</v>
      </c>
      <c r="B7661" s="35">
        <v>1.1709894660560001</v>
      </c>
    </row>
    <row r="7662" spans="1:2" ht="13.2" x14ac:dyDescent="0.25">
      <c r="A7662" s="34" t="s">
        <v>4544</v>
      </c>
      <c r="B7662" s="35">
        <v>1.1598575238239699</v>
      </c>
    </row>
    <row r="7663" spans="1:2" ht="13.2" x14ac:dyDescent="0.25">
      <c r="A7663" s="34" t="s">
        <v>4543</v>
      </c>
    </row>
    <row r="7664" spans="1:2" ht="13.2" x14ac:dyDescent="0.25">
      <c r="A7664" s="34" t="s">
        <v>4542</v>
      </c>
    </row>
    <row r="7665" spans="1:2" ht="13.2" x14ac:dyDescent="0.25">
      <c r="A7665" s="34" t="s">
        <v>4541</v>
      </c>
      <c r="B7665" s="35">
        <v>1.0659648039905201</v>
      </c>
    </row>
    <row r="7666" spans="1:2" ht="13.2" x14ac:dyDescent="0.25">
      <c r="A7666" s="34" t="s">
        <v>4540</v>
      </c>
      <c r="B7666" s="35">
        <v>1.1246678387587901</v>
      </c>
    </row>
    <row r="7667" spans="1:2" ht="13.2" x14ac:dyDescent="0.25">
      <c r="A7667" s="34" t="s">
        <v>4539</v>
      </c>
      <c r="B7667" s="35">
        <v>1.06122536285152</v>
      </c>
    </row>
    <row r="7668" spans="1:2" ht="13.2" x14ac:dyDescent="0.25">
      <c r="A7668" s="34" t="s">
        <v>4538</v>
      </c>
      <c r="B7668" s="35">
        <v>1.0876106600159301</v>
      </c>
    </row>
    <row r="7669" spans="1:2" ht="13.2" x14ac:dyDescent="0.25">
      <c r="A7669" s="34" t="s">
        <v>4537</v>
      </c>
      <c r="B7669" s="35">
        <v>1.07424662570375</v>
      </c>
    </row>
    <row r="7670" spans="1:2" ht="13.2" x14ac:dyDescent="0.25">
      <c r="A7670" s="34" t="s">
        <v>4536</v>
      </c>
    </row>
    <row r="7671" spans="1:2" ht="13.2" x14ac:dyDescent="0.25">
      <c r="A7671" s="34" t="s">
        <v>4535</v>
      </c>
    </row>
    <row r="7672" spans="1:2" ht="13.2" x14ac:dyDescent="0.25">
      <c r="A7672" s="34" t="s">
        <v>4534</v>
      </c>
      <c r="B7672" s="35">
        <v>1.0762845958374501</v>
      </c>
    </row>
    <row r="7673" spans="1:2" ht="13.2" x14ac:dyDescent="0.25">
      <c r="A7673" s="34" t="s">
        <v>4533</v>
      </c>
      <c r="B7673" s="35">
        <v>1.1115979464803301</v>
      </c>
    </row>
    <row r="7674" spans="1:2" ht="13.2" x14ac:dyDescent="0.25">
      <c r="A7674" s="34" t="s">
        <v>4532</v>
      </c>
      <c r="B7674" s="35">
        <v>1.1255676416247999</v>
      </c>
    </row>
    <row r="7675" spans="1:2" ht="13.2" x14ac:dyDescent="0.25">
      <c r="A7675" s="34" t="s">
        <v>4531</v>
      </c>
      <c r="B7675" s="35">
        <v>1.12683584533341</v>
      </c>
    </row>
    <row r="7676" spans="1:2" ht="13.2" x14ac:dyDescent="0.25">
      <c r="A7676" s="34" t="s">
        <v>4530</v>
      </c>
      <c r="B7676" s="35">
        <v>1.20338466756297</v>
      </c>
    </row>
    <row r="7677" spans="1:2" ht="13.2" x14ac:dyDescent="0.25">
      <c r="A7677" s="34" t="s">
        <v>4529</v>
      </c>
    </row>
    <row r="7678" spans="1:2" ht="13.2" x14ac:dyDescent="0.25">
      <c r="A7678" s="34" t="s">
        <v>4528</v>
      </c>
    </row>
    <row r="7679" spans="1:2" ht="13.2" x14ac:dyDescent="0.25">
      <c r="A7679" s="34" t="s">
        <v>4527</v>
      </c>
      <c r="B7679" s="35">
        <v>1.0599008210129499</v>
      </c>
    </row>
    <row r="7680" spans="1:2" ht="13.2" x14ac:dyDescent="0.25">
      <c r="A7680" s="34" t="s">
        <v>4526</v>
      </c>
      <c r="B7680" s="35">
        <v>1.0574302243735101</v>
      </c>
    </row>
    <row r="7681" spans="1:2" ht="13.2" x14ac:dyDescent="0.25">
      <c r="A7681" s="34" t="s">
        <v>4525</v>
      </c>
      <c r="B7681" s="35">
        <v>1.0444316857014999</v>
      </c>
    </row>
    <row r="7682" spans="1:2" ht="13.2" x14ac:dyDescent="0.25">
      <c r="A7682" s="34" t="s">
        <v>4524</v>
      </c>
      <c r="B7682" s="35">
        <v>1.03504089890606</v>
      </c>
    </row>
    <row r="7683" spans="1:2" ht="13.2" x14ac:dyDescent="0.25">
      <c r="A7683" s="34" t="s">
        <v>4523</v>
      </c>
      <c r="B7683" s="35">
        <v>1.2266464160269599</v>
      </c>
    </row>
    <row r="7684" spans="1:2" ht="13.2" x14ac:dyDescent="0.25">
      <c r="A7684" s="34" t="s">
        <v>4522</v>
      </c>
    </row>
    <row r="7685" spans="1:2" ht="13.2" x14ac:dyDescent="0.25">
      <c r="A7685" s="34" t="s">
        <v>4521</v>
      </c>
    </row>
    <row r="7686" spans="1:2" ht="13.2" x14ac:dyDescent="0.25">
      <c r="A7686" s="34" t="s">
        <v>4520</v>
      </c>
      <c r="B7686" s="35">
        <v>1.3048632839051899</v>
      </c>
    </row>
    <row r="7687" spans="1:2" ht="13.2" x14ac:dyDescent="0.25">
      <c r="A7687" s="34" t="s">
        <v>4519</v>
      </c>
      <c r="B7687" s="35">
        <v>1.25373941461845</v>
      </c>
    </row>
    <row r="7688" spans="1:2" ht="13.2" x14ac:dyDescent="0.25">
      <c r="A7688" s="34" t="s">
        <v>4518</v>
      </c>
      <c r="B7688" s="35">
        <v>1.26507738436233</v>
      </c>
    </row>
    <row r="7689" spans="1:2" ht="13.2" x14ac:dyDescent="0.25">
      <c r="A7689" s="34" t="s">
        <v>4517</v>
      </c>
    </row>
    <row r="7690" spans="1:2" ht="13.2" x14ac:dyDescent="0.25">
      <c r="A7690" s="34" t="s">
        <v>4516</v>
      </c>
      <c r="B7690" s="35">
        <v>1.2575341495741501</v>
      </c>
    </row>
    <row r="7691" spans="1:2" ht="13.2" x14ac:dyDescent="0.25">
      <c r="A7691" s="34" t="s">
        <v>4515</v>
      </c>
    </row>
    <row r="7692" spans="1:2" ht="13.2" x14ac:dyDescent="0.25">
      <c r="A7692" s="34" t="s">
        <v>4514</v>
      </c>
    </row>
    <row r="7693" spans="1:2" ht="13.2" x14ac:dyDescent="0.25">
      <c r="A7693" s="34" t="s">
        <v>4513</v>
      </c>
      <c r="B7693" s="35">
        <v>1.2369643062912901</v>
      </c>
    </row>
    <row r="7694" spans="1:2" ht="13.2" x14ac:dyDescent="0.25">
      <c r="A7694" s="34" t="s">
        <v>4512</v>
      </c>
      <c r="B7694" s="35">
        <v>1.2449716924118499</v>
      </c>
    </row>
    <row r="7695" spans="1:2" ht="13.2" x14ac:dyDescent="0.25">
      <c r="A7695" s="34" t="s">
        <v>4511</v>
      </c>
      <c r="B7695" s="35">
        <v>1.2616517607205799</v>
      </c>
    </row>
    <row r="7696" spans="1:2" ht="13.2" x14ac:dyDescent="0.25">
      <c r="A7696" s="34" t="s">
        <v>4510</v>
      </c>
    </row>
    <row r="7697" spans="1:2" ht="13.2" x14ac:dyDescent="0.25">
      <c r="A7697" s="34" t="s">
        <v>4509</v>
      </c>
      <c r="B7697" s="35">
        <v>1.2062605047736901</v>
      </c>
    </row>
    <row r="7698" spans="1:2" ht="13.2" x14ac:dyDescent="0.25">
      <c r="A7698" s="34" t="s">
        <v>4508</v>
      </c>
    </row>
    <row r="7699" spans="1:2" ht="13.2" x14ac:dyDescent="0.25">
      <c r="A7699" s="34" t="s">
        <v>4507</v>
      </c>
    </row>
    <row r="7700" spans="1:2" ht="13.2" x14ac:dyDescent="0.25">
      <c r="A7700" s="34" t="s">
        <v>4506</v>
      </c>
      <c r="B7700" s="35">
        <v>1.22073393814273</v>
      </c>
    </row>
    <row r="7701" spans="1:2" ht="13.2" x14ac:dyDescent="0.25">
      <c r="A7701" s="34" t="s">
        <v>4505</v>
      </c>
      <c r="B7701" s="35">
        <v>1.2003799837275799</v>
      </c>
    </row>
    <row r="7702" spans="1:2" ht="13.2" x14ac:dyDescent="0.25">
      <c r="A7702" s="34" t="s">
        <v>4504</v>
      </c>
      <c r="B7702" s="35">
        <v>1.25449956233774</v>
      </c>
    </row>
    <row r="7703" spans="1:2" ht="13.2" x14ac:dyDescent="0.25">
      <c r="A7703" s="34" t="s">
        <v>4503</v>
      </c>
      <c r="B7703" s="35">
        <v>1.2492923153813</v>
      </c>
    </row>
    <row r="7704" spans="1:2" ht="13.2" x14ac:dyDescent="0.25">
      <c r="A7704" s="34" t="s">
        <v>4502</v>
      </c>
      <c r="B7704" s="35">
        <v>1.2132630551222601</v>
      </c>
    </row>
    <row r="7705" spans="1:2" ht="13.2" x14ac:dyDescent="0.25">
      <c r="A7705" s="34" t="s">
        <v>4501</v>
      </c>
    </row>
    <row r="7706" spans="1:2" ht="13.2" x14ac:dyDescent="0.25">
      <c r="A7706" s="34" t="s">
        <v>4500</v>
      </c>
    </row>
    <row r="7707" spans="1:2" ht="13.2" x14ac:dyDescent="0.25">
      <c r="A7707" s="34" t="s">
        <v>4499</v>
      </c>
      <c r="B7707" s="35">
        <v>1.1992126367206</v>
      </c>
    </row>
    <row r="7708" spans="1:2" ht="13.2" x14ac:dyDescent="0.25">
      <c r="A7708" s="34" t="s">
        <v>4498</v>
      </c>
      <c r="B7708" s="35">
        <v>1.1848209430433101</v>
      </c>
    </row>
    <row r="7709" spans="1:2" ht="13.2" x14ac:dyDescent="0.25">
      <c r="A7709" s="34" t="s">
        <v>4497</v>
      </c>
      <c r="B7709" s="35">
        <v>1.0954246139741799</v>
      </c>
    </row>
    <row r="7710" spans="1:2" ht="13.2" x14ac:dyDescent="0.25">
      <c r="A7710" s="34" t="s">
        <v>4496</v>
      </c>
      <c r="B7710" s="35">
        <v>1.1330202264312701</v>
      </c>
    </row>
    <row r="7711" spans="1:2" ht="13.2" x14ac:dyDescent="0.25">
      <c r="A7711" s="34" t="s">
        <v>4495</v>
      </c>
      <c r="B7711" s="35">
        <v>1.1246988029015701</v>
      </c>
    </row>
    <row r="7712" spans="1:2" ht="13.2" x14ac:dyDescent="0.25">
      <c r="A7712" s="34" t="s">
        <v>4494</v>
      </c>
    </row>
    <row r="7713" spans="1:2" ht="13.2" x14ac:dyDescent="0.25">
      <c r="A7713" s="34" t="s">
        <v>4493</v>
      </c>
    </row>
    <row r="7714" spans="1:2" ht="13.2" x14ac:dyDescent="0.25">
      <c r="A7714" s="34" t="s">
        <v>4492</v>
      </c>
      <c r="B7714" s="35">
        <v>1.12701103176908</v>
      </c>
    </row>
    <row r="7715" spans="1:2" ht="13.2" x14ac:dyDescent="0.25">
      <c r="A7715" s="34" t="s">
        <v>4491</v>
      </c>
      <c r="B7715" s="35">
        <v>1.12113110167365</v>
      </c>
    </row>
    <row r="7716" spans="1:2" ht="13.2" x14ac:dyDescent="0.25">
      <c r="A7716" s="34" t="s">
        <v>4490</v>
      </c>
    </row>
    <row r="7717" spans="1:2" ht="13.2" x14ac:dyDescent="0.25">
      <c r="A7717" s="34" t="s">
        <v>4489</v>
      </c>
      <c r="B7717" s="35">
        <v>0.99160106152077099</v>
      </c>
    </row>
    <row r="7718" spans="1:2" ht="13.2" x14ac:dyDescent="0.25">
      <c r="A7718" s="34" t="s">
        <v>4488</v>
      </c>
      <c r="B7718" s="35">
        <v>0.88207491529142501</v>
      </c>
    </row>
    <row r="7719" spans="1:2" ht="13.2" x14ac:dyDescent="0.25">
      <c r="A7719" s="34" t="s">
        <v>4487</v>
      </c>
    </row>
    <row r="7720" spans="1:2" ht="13.2" x14ac:dyDescent="0.25">
      <c r="A7720" s="34" t="s">
        <v>4486</v>
      </c>
    </row>
    <row r="7721" spans="1:2" ht="13.2" x14ac:dyDescent="0.25">
      <c r="A7721" s="34" t="s">
        <v>4485</v>
      </c>
      <c r="B7721" s="35">
        <v>0.94961360403341499</v>
      </c>
    </row>
    <row r="7722" spans="1:2" ht="13.2" x14ac:dyDescent="0.25">
      <c r="A7722" s="34" t="s">
        <v>4484</v>
      </c>
      <c r="B7722" s="35">
        <v>0.93451890281583405</v>
      </c>
    </row>
    <row r="7723" spans="1:2" ht="13.2" x14ac:dyDescent="0.25">
      <c r="A7723" s="34" t="s">
        <v>4483</v>
      </c>
      <c r="B7723" s="35">
        <v>0.93215866141512205</v>
      </c>
    </row>
    <row r="7724" spans="1:2" ht="13.2" x14ac:dyDescent="0.25">
      <c r="A7724" s="34" t="s">
        <v>4482</v>
      </c>
      <c r="B7724" s="35">
        <v>0.92908136589446999</v>
      </c>
    </row>
    <row r="7725" spans="1:2" ht="13.2" x14ac:dyDescent="0.25">
      <c r="A7725" s="34" t="s">
        <v>4481</v>
      </c>
      <c r="B7725" s="35">
        <v>1.04603713194433</v>
      </c>
    </row>
    <row r="7726" spans="1:2" ht="13.2" x14ac:dyDescent="0.25">
      <c r="A7726" s="34" t="s">
        <v>4480</v>
      </c>
    </row>
    <row r="7727" spans="1:2" ht="13.2" x14ac:dyDescent="0.25">
      <c r="A7727" s="34" t="s">
        <v>4479</v>
      </c>
    </row>
    <row r="7728" spans="1:2" ht="13.2" x14ac:dyDescent="0.25">
      <c r="A7728" s="34" t="s">
        <v>4478</v>
      </c>
      <c r="B7728" s="35">
        <v>1.01451520974983</v>
      </c>
    </row>
    <row r="7729" spans="1:2" ht="13.2" x14ac:dyDescent="0.25">
      <c r="A7729" s="34" t="s">
        <v>4477</v>
      </c>
      <c r="B7729" s="35">
        <v>0.97708757939850199</v>
      </c>
    </row>
    <row r="7730" spans="1:2" ht="13.2" x14ac:dyDescent="0.25">
      <c r="A7730" s="34" t="s">
        <v>4476</v>
      </c>
      <c r="B7730" s="35">
        <v>0.98825576659096803</v>
      </c>
    </row>
    <row r="7731" spans="1:2" ht="13.2" x14ac:dyDescent="0.25">
      <c r="A7731" s="34" t="s">
        <v>4475</v>
      </c>
      <c r="B7731" s="35">
        <v>0.99899181128941394</v>
      </c>
    </row>
    <row r="7732" spans="1:2" ht="13.2" x14ac:dyDescent="0.25">
      <c r="A7732" s="34" t="s">
        <v>4474</v>
      </c>
      <c r="B7732" s="35">
        <v>0.91114878151312195</v>
      </c>
    </row>
    <row r="7733" spans="1:2" ht="13.2" x14ac:dyDescent="0.25">
      <c r="A7733" s="34" t="s">
        <v>4473</v>
      </c>
    </row>
    <row r="7734" spans="1:2" ht="13.2" x14ac:dyDescent="0.25">
      <c r="A7734" s="34" t="s">
        <v>4472</v>
      </c>
    </row>
    <row r="7735" spans="1:2" ht="13.2" x14ac:dyDescent="0.25">
      <c r="A7735" s="34" t="s">
        <v>4471</v>
      </c>
      <c r="B7735" s="35">
        <v>0.91917099369627198</v>
      </c>
    </row>
    <row r="7736" spans="1:2" ht="13.2" x14ac:dyDescent="0.25">
      <c r="A7736" s="34" t="s">
        <v>4470</v>
      </c>
      <c r="B7736" s="35">
        <v>0.94142080067115597</v>
      </c>
    </row>
    <row r="7737" spans="1:2" ht="13.2" x14ac:dyDescent="0.25">
      <c r="A7737" s="34" t="s">
        <v>4469</v>
      </c>
      <c r="B7737" s="35">
        <v>0.95388907297675496</v>
      </c>
    </row>
    <row r="7738" spans="1:2" ht="13.2" x14ac:dyDescent="0.25">
      <c r="A7738" s="34" t="s">
        <v>4468</v>
      </c>
      <c r="B7738" s="35">
        <v>1.06528755117443</v>
      </c>
    </row>
    <row r="7739" spans="1:2" ht="13.2" x14ac:dyDescent="0.25">
      <c r="A7739" s="34" t="s">
        <v>4467</v>
      </c>
      <c r="B7739" s="35">
        <v>1.0594667279230401</v>
      </c>
    </row>
    <row r="7740" spans="1:2" ht="13.2" x14ac:dyDescent="0.25">
      <c r="A7740" s="34" t="s">
        <v>4466</v>
      </c>
    </row>
    <row r="7741" spans="1:2" ht="13.2" x14ac:dyDescent="0.25">
      <c r="A7741" s="34" t="s">
        <v>4465</v>
      </c>
    </row>
    <row r="7742" spans="1:2" ht="13.2" x14ac:dyDescent="0.25">
      <c r="A7742" s="34" t="s">
        <v>4464</v>
      </c>
      <c r="B7742" s="35">
        <v>1.0417356046514199</v>
      </c>
    </row>
    <row r="7743" spans="1:2" ht="13.2" x14ac:dyDescent="0.25">
      <c r="A7743" s="34" t="s">
        <v>4463</v>
      </c>
      <c r="B7743" s="35">
        <v>1.0625889710591701</v>
      </c>
    </row>
    <row r="7744" spans="1:2" ht="13.2" x14ac:dyDescent="0.25">
      <c r="A7744" s="34" t="s">
        <v>4462</v>
      </c>
      <c r="B7744" s="35">
        <v>1.05382008524959</v>
      </c>
    </row>
    <row r="7745" spans="1:2" ht="13.2" x14ac:dyDescent="0.25">
      <c r="A7745" s="34" t="s">
        <v>4461</v>
      </c>
      <c r="B7745" s="35">
        <v>1.0605524921395399</v>
      </c>
    </row>
    <row r="7746" spans="1:2" ht="13.2" x14ac:dyDescent="0.25">
      <c r="A7746" s="34" t="s">
        <v>4460</v>
      </c>
      <c r="B7746" s="35">
        <v>1.03564968249658</v>
      </c>
    </row>
    <row r="7747" spans="1:2" ht="13.2" x14ac:dyDescent="0.25">
      <c r="A7747" s="34" t="s">
        <v>4459</v>
      </c>
    </row>
    <row r="7748" spans="1:2" ht="13.2" x14ac:dyDescent="0.25">
      <c r="A7748" s="34" t="s">
        <v>4458</v>
      </c>
    </row>
    <row r="7749" spans="1:2" ht="13.2" x14ac:dyDescent="0.25">
      <c r="A7749" s="34" t="s">
        <v>4457</v>
      </c>
      <c r="B7749" s="35">
        <v>1.1046022838607199</v>
      </c>
    </row>
    <row r="7750" spans="1:2" ht="13.2" x14ac:dyDescent="0.25">
      <c r="A7750" s="34" t="s">
        <v>4456</v>
      </c>
      <c r="B7750" s="35">
        <v>1.0470929146526899</v>
      </c>
    </row>
    <row r="7751" spans="1:2" ht="13.2" x14ac:dyDescent="0.25">
      <c r="A7751" s="34" t="s">
        <v>4455</v>
      </c>
      <c r="B7751" s="35">
        <v>1.0993556650399501</v>
      </c>
    </row>
    <row r="7752" spans="1:2" ht="13.2" x14ac:dyDescent="0.25">
      <c r="A7752" s="34" t="s">
        <v>4454</v>
      </c>
      <c r="B7752" s="35">
        <v>1.0979671857136999</v>
      </c>
    </row>
    <row r="7753" spans="1:2" ht="13.2" x14ac:dyDescent="0.25">
      <c r="A7753" s="34" t="s">
        <v>4453</v>
      </c>
      <c r="B7753" s="35">
        <v>1.18824817488221</v>
      </c>
    </row>
    <row r="7754" spans="1:2" ht="13.2" x14ac:dyDescent="0.25">
      <c r="A7754" s="34" t="s">
        <v>4452</v>
      </c>
    </row>
    <row r="7755" spans="1:2" ht="13.2" x14ac:dyDescent="0.25">
      <c r="A7755" s="34" t="s">
        <v>4451</v>
      </c>
    </row>
    <row r="7756" spans="1:2" ht="13.2" x14ac:dyDescent="0.25">
      <c r="A7756" s="34" t="s">
        <v>4450</v>
      </c>
      <c r="B7756" s="35">
        <v>1.0859635886130199</v>
      </c>
    </row>
    <row r="7757" spans="1:2" ht="13.2" x14ac:dyDescent="0.25">
      <c r="A7757" s="34" t="s">
        <v>4449</v>
      </c>
      <c r="B7757" s="35">
        <v>1.11144405079933</v>
      </c>
    </row>
    <row r="7758" spans="1:2" ht="13.2" x14ac:dyDescent="0.25">
      <c r="A7758" s="34" t="s">
        <v>4448</v>
      </c>
      <c r="B7758" s="35">
        <v>1.1148684662708099</v>
      </c>
    </row>
    <row r="7759" spans="1:2" ht="13.2" x14ac:dyDescent="0.25">
      <c r="A7759" s="34" t="s">
        <v>4447</v>
      </c>
      <c r="B7759" s="35">
        <v>1.0887693291001901</v>
      </c>
    </row>
    <row r="7760" spans="1:2" ht="13.2" x14ac:dyDescent="0.25">
      <c r="A7760" s="34" t="s">
        <v>4446</v>
      </c>
      <c r="B7760" s="35">
        <v>1.09744769428773</v>
      </c>
    </row>
    <row r="7761" spans="1:2" ht="13.2" x14ac:dyDescent="0.25">
      <c r="A7761" s="34" t="s">
        <v>4445</v>
      </c>
    </row>
    <row r="7762" spans="1:2" ht="13.2" x14ac:dyDescent="0.25">
      <c r="A7762" s="34" t="s">
        <v>4444</v>
      </c>
    </row>
    <row r="7763" spans="1:2" ht="13.2" x14ac:dyDescent="0.25">
      <c r="A7763" s="34" t="s">
        <v>4443</v>
      </c>
      <c r="B7763" s="35">
        <v>1.19561127027212</v>
      </c>
    </row>
    <row r="7764" spans="1:2" ht="13.2" x14ac:dyDescent="0.25">
      <c r="A7764" s="34" t="s">
        <v>4442</v>
      </c>
      <c r="B7764" s="35">
        <v>1.1925951146211899</v>
      </c>
    </row>
    <row r="7765" spans="1:2" ht="13.2" x14ac:dyDescent="0.25">
      <c r="A7765" s="34" t="s">
        <v>4441</v>
      </c>
      <c r="B7765" s="35">
        <v>1.2155767739429399</v>
      </c>
    </row>
    <row r="7766" spans="1:2" ht="13.2" x14ac:dyDescent="0.25">
      <c r="A7766" s="34" t="s">
        <v>4440</v>
      </c>
      <c r="B7766" s="35">
        <v>1.2439819456750201</v>
      </c>
    </row>
    <row r="7767" spans="1:2" ht="13.2" x14ac:dyDescent="0.25">
      <c r="A7767" s="34" t="s">
        <v>4439</v>
      </c>
      <c r="B7767" s="35">
        <v>1.17574044670546</v>
      </c>
    </row>
    <row r="7768" spans="1:2" ht="13.2" x14ac:dyDescent="0.25">
      <c r="A7768" s="34" t="s">
        <v>4438</v>
      </c>
    </row>
    <row r="7769" spans="1:2" ht="13.2" x14ac:dyDescent="0.25">
      <c r="A7769" s="34" t="s">
        <v>4437</v>
      </c>
    </row>
    <row r="7770" spans="1:2" ht="13.2" x14ac:dyDescent="0.25">
      <c r="A7770" s="34" t="s">
        <v>4436</v>
      </c>
      <c r="B7770" s="35">
        <v>1.18346672801553</v>
      </c>
    </row>
    <row r="7771" spans="1:2" ht="13.2" x14ac:dyDescent="0.25">
      <c r="A7771" s="34" t="s">
        <v>4435</v>
      </c>
      <c r="B7771" s="35">
        <v>1.18207471356057</v>
      </c>
    </row>
    <row r="7772" spans="1:2" ht="13.2" x14ac:dyDescent="0.25">
      <c r="A7772" s="34" t="s">
        <v>4434</v>
      </c>
      <c r="B7772" s="35">
        <v>1.15876625016865</v>
      </c>
    </row>
    <row r="7773" spans="1:2" ht="13.2" x14ac:dyDescent="0.25">
      <c r="A7773" s="34" t="s">
        <v>4433</v>
      </c>
      <c r="B7773" s="35">
        <v>1.2495710609668</v>
      </c>
    </row>
    <row r="7774" spans="1:2" ht="13.2" x14ac:dyDescent="0.25">
      <c r="A7774" s="34" t="s">
        <v>4432</v>
      </c>
      <c r="B7774" s="35">
        <v>1.2398649527380601</v>
      </c>
    </row>
    <row r="7775" spans="1:2" ht="13.2" x14ac:dyDescent="0.25">
      <c r="A7775" s="34" t="s">
        <v>4431</v>
      </c>
    </row>
    <row r="7776" spans="1:2" ht="13.2" x14ac:dyDescent="0.25">
      <c r="A7776" s="34" t="s">
        <v>4430</v>
      </c>
    </row>
    <row r="7777" spans="1:2" ht="13.2" x14ac:dyDescent="0.25">
      <c r="A7777" s="34" t="s">
        <v>4429</v>
      </c>
      <c r="B7777" s="35">
        <v>1.3531383428113299</v>
      </c>
    </row>
    <row r="7778" spans="1:2" ht="13.2" x14ac:dyDescent="0.25">
      <c r="A7778" s="34" t="s">
        <v>4428</v>
      </c>
      <c r="B7778" s="35">
        <v>1.32736212838901</v>
      </c>
    </row>
    <row r="7779" spans="1:2" ht="13.2" x14ac:dyDescent="0.25">
      <c r="A7779" s="34" t="s">
        <v>4427</v>
      </c>
      <c r="B7779" s="35">
        <v>1.3411773571376799</v>
      </c>
    </row>
    <row r="7780" spans="1:2" ht="13.2" x14ac:dyDescent="0.25">
      <c r="A7780" s="34" t="s">
        <v>4426</v>
      </c>
      <c r="B7780" s="35">
        <v>1.2845309576772901</v>
      </c>
    </row>
    <row r="7781" spans="1:2" ht="13.2" x14ac:dyDescent="0.25">
      <c r="A7781" s="34" t="s">
        <v>4425</v>
      </c>
      <c r="B7781" s="35">
        <v>1.4101057557226799</v>
      </c>
    </row>
    <row r="7782" spans="1:2" ht="13.2" x14ac:dyDescent="0.25">
      <c r="A7782" s="34" t="s">
        <v>4424</v>
      </c>
    </row>
    <row r="7783" spans="1:2" ht="13.2" x14ac:dyDescent="0.25">
      <c r="A7783" s="34" t="s">
        <v>4423</v>
      </c>
    </row>
    <row r="7784" spans="1:2" ht="13.2" x14ac:dyDescent="0.25">
      <c r="A7784" s="34" t="s">
        <v>4422</v>
      </c>
      <c r="B7784" s="35">
        <v>1.3887723186130601</v>
      </c>
    </row>
    <row r="7785" spans="1:2" ht="13.2" x14ac:dyDescent="0.25">
      <c r="A7785" s="34" t="s">
        <v>4421</v>
      </c>
      <c r="B7785" s="35">
        <v>1.4362702649682499</v>
      </c>
    </row>
    <row r="7786" spans="1:2" ht="13.2" x14ac:dyDescent="0.25">
      <c r="A7786" s="34" t="s">
        <v>4420</v>
      </c>
      <c r="B7786" s="35">
        <v>1.39985547120996</v>
      </c>
    </row>
    <row r="7787" spans="1:2" ht="13.2" x14ac:dyDescent="0.25">
      <c r="A7787" s="34" t="s">
        <v>4419</v>
      </c>
      <c r="B7787" s="35">
        <v>1.41850635789937</v>
      </c>
    </row>
    <row r="7788" spans="1:2" ht="13.2" x14ac:dyDescent="0.25">
      <c r="A7788" s="34" t="s">
        <v>4418</v>
      </c>
      <c r="B7788" s="35">
        <v>1.43271281331691</v>
      </c>
    </row>
    <row r="7789" spans="1:2" ht="13.2" x14ac:dyDescent="0.25">
      <c r="A7789" s="34" t="s">
        <v>4417</v>
      </c>
    </row>
    <row r="7790" spans="1:2" ht="13.2" x14ac:dyDescent="0.25">
      <c r="A7790" s="34" t="s">
        <v>4416</v>
      </c>
    </row>
    <row r="7791" spans="1:2" ht="13.2" x14ac:dyDescent="0.25">
      <c r="A7791" s="34" t="s">
        <v>4415</v>
      </c>
      <c r="B7791" s="35">
        <v>1.4623845071863599</v>
      </c>
    </row>
    <row r="7792" spans="1:2" ht="13.2" x14ac:dyDescent="0.25">
      <c r="A7792" s="34" t="s">
        <v>4414</v>
      </c>
      <c r="B7792" s="35">
        <v>1.35793887033216</v>
      </c>
    </row>
    <row r="7793" spans="1:2" ht="13.2" x14ac:dyDescent="0.25">
      <c r="A7793" s="34" t="s">
        <v>4413</v>
      </c>
      <c r="B7793" s="35">
        <v>1.36543994221289</v>
      </c>
    </row>
    <row r="7794" spans="1:2" ht="13.2" x14ac:dyDescent="0.25">
      <c r="A7794" s="34" t="s">
        <v>4412</v>
      </c>
      <c r="B7794" s="35">
        <v>1.30208327612877</v>
      </c>
    </row>
    <row r="7795" spans="1:2" ht="13.2" x14ac:dyDescent="0.25">
      <c r="A7795" s="34" t="s">
        <v>4411</v>
      </c>
      <c r="B7795" s="35">
        <v>1.4100946732511801</v>
      </c>
    </row>
    <row r="7796" spans="1:2" ht="13.2" x14ac:dyDescent="0.25">
      <c r="A7796" s="34" t="s">
        <v>4410</v>
      </c>
    </row>
    <row r="7797" spans="1:2" ht="13.2" x14ac:dyDescent="0.25">
      <c r="A7797" s="34" t="s">
        <v>4409</v>
      </c>
      <c r="B7797" s="35">
        <v>1.427279</v>
      </c>
    </row>
    <row r="7798" spans="1:2" ht="13.2" x14ac:dyDescent="0.25">
      <c r="A7798" s="34" t="s">
        <v>4408</v>
      </c>
      <c r="B7798" s="35">
        <v>1.63537529094241</v>
      </c>
    </row>
    <row r="7799" spans="1:2" ht="13.2" x14ac:dyDescent="0.25">
      <c r="A7799" s="34" t="s">
        <v>4407</v>
      </c>
      <c r="B7799" s="35">
        <v>1.6358758707694301</v>
      </c>
    </row>
    <row r="7800" spans="1:2" ht="13.2" x14ac:dyDescent="0.25">
      <c r="A7800" s="34" t="s">
        <v>4406</v>
      </c>
      <c r="B7800" s="35">
        <v>1.6244548667285801</v>
      </c>
    </row>
    <row r="7801" spans="1:2" ht="13.2" x14ac:dyDescent="0.25">
      <c r="A7801" s="34" t="s">
        <v>4405</v>
      </c>
      <c r="B7801" s="35">
        <v>1.6768838984199601</v>
      </c>
    </row>
    <row r="7802" spans="1:2" ht="13.2" x14ac:dyDescent="0.25">
      <c r="A7802" s="34" t="s">
        <v>4404</v>
      </c>
      <c r="B7802" s="35">
        <v>1.7502298239832199</v>
      </c>
    </row>
    <row r="7803" spans="1:2" ht="13.2" x14ac:dyDescent="0.25">
      <c r="A7803" s="34" t="s">
        <v>4403</v>
      </c>
    </row>
    <row r="7804" spans="1:2" ht="13.2" x14ac:dyDescent="0.25">
      <c r="A7804" s="34" t="s">
        <v>4402</v>
      </c>
    </row>
    <row r="7805" spans="1:2" ht="13.2" x14ac:dyDescent="0.25">
      <c r="A7805" s="34" t="s">
        <v>4401</v>
      </c>
      <c r="B7805" s="35">
        <v>2.07848627967397</v>
      </c>
    </row>
    <row r="7806" spans="1:2" ht="13.2" x14ac:dyDescent="0.25">
      <c r="A7806" s="34" t="s">
        <v>4400</v>
      </c>
      <c r="B7806" s="35">
        <v>2.0231606033705098</v>
      </c>
    </row>
    <row r="7807" spans="1:2" ht="13.2" x14ac:dyDescent="0.25">
      <c r="A7807" s="34" t="s">
        <v>4399</v>
      </c>
      <c r="B7807" s="35">
        <v>2.0197774647570199</v>
      </c>
    </row>
    <row r="7808" spans="1:2" ht="13.2" x14ac:dyDescent="0.25">
      <c r="A7808" s="34" t="s">
        <v>4398</v>
      </c>
      <c r="B7808" s="35">
        <v>2.0162737659542098</v>
      </c>
    </row>
    <row r="7809" spans="1:2" ht="13.2" x14ac:dyDescent="0.25">
      <c r="A7809" s="34" t="s">
        <v>4397</v>
      </c>
      <c r="B7809" s="35">
        <v>2.1459489924483699</v>
      </c>
    </row>
    <row r="7810" spans="1:2" ht="13.2" x14ac:dyDescent="0.25">
      <c r="A7810" s="34" t="s">
        <v>4396</v>
      </c>
    </row>
    <row r="7811" spans="1:2" ht="13.2" x14ac:dyDescent="0.25">
      <c r="A7811" s="34" t="s">
        <v>4395</v>
      </c>
    </row>
    <row r="7812" spans="1:2" ht="13.2" x14ac:dyDescent="0.25">
      <c r="A7812" s="34" t="s">
        <v>4394</v>
      </c>
      <c r="B7812" s="35">
        <v>2.33603503205484</v>
      </c>
    </row>
    <row r="7813" spans="1:2" ht="13.2" x14ac:dyDescent="0.25">
      <c r="A7813" s="34" t="s">
        <v>4393</v>
      </c>
      <c r="B7813" s="35">
        <v>2.3037310447919901</v>
      </c>
    </row>
    <row r="7814" spans="1:2" ht="13.2" x14ac:dyDescent="0.25">
      <c r="A7814" s="34" t="s">
        <v>4392</v>
      </c>
      <c r="B7814" s="35">
        <v>2.3638242872025899</v>
      </c>
    </row>
    <row r="7815" spans="1:2" ht="13.2" x14ac:dyDescent="0.25">
      <c r="A7815" s="34" t="s">
        <v>4391</v>
      </c>
      <c r="B7815" s="35">
        <v>2.4562864761229499</v>
      </c>
    </row>
    <row r="7816" spans="1:2" ht="13.2" x14ac:dyDescent="0.25">
      <c r="A7816" s="34" t="s">
        <v>4390</v>
      </c>
      <c r="B7816" s="35">
        <v>2.53207980277773</v>
      </c>
    </row>
    <row r="7817" spans="1:2" ht="13.2" x14ac:dyDescent="0.25">
      <c r="A7817" s="34" t="s">
        <v>4389</v>
      </c>
    </row>
    <row r="7818" spans="1:2" ht="13.2" x14ac:dyDescent="0.25">
      <c r="A7818" s="34" t="s">
        <v>4388</v>
      </c>
    </row>
    <row r="7819" spans="1:2" ht="13.2" x14ac:dyDescent="0.25">
      <c r="A7819" s="34" t="s">
        <v>4387</v>
      </c>
      <c r="B7819" s="35">
        <v>2.57944910607885</v>
      </c>
    </row>
    <row r="7820" spans="1:2" ht="13.2" x14ac:dyDescent="0.25">
      <c r="A7820" s="34" t="s">
        <v>4386</v>
      </c>
      <c r="B7820" s="35">
        <v>2.65766427708451</v>
      </c>
    </row>
    <row r="7821" spans="1:2" ht="13.2" x14ac:dyDescent="0.25">
      <c r="A7821" s="34" t="s">
        <v>4385</v>
      </c>
      <c r="B7821" s="35">
        <v>2.65857136588876</v>
      </c>
    </row>
    <row r="7822" spans="1:2" ht="13.2" x14ac:dyDescent="0.25">
      <c r="A7822" s="34" t="s">
        <v>4384</v>
      </c>
      <c r="B7822" s="35">
        <v>2.7251848387526199</v>
      </c>
    </row>
    <row r="7823" spans="1:2" ht="13.2" x14ac:dyDescent="0.25">
      <c r="A7823" s="34" t="s">
        <v>4383</v>
      </c>
      <c r="B7823" s="35">
        <v>2.7878079266883198</v>
      </c>
    </row>
    <row r="7824" spans="1:2" ht="13.2" x14ac:dyDescent="0.25">
      <c r="A7824" s="34" t="s">
        <v>4382</v>
      </c>
    </row>
    <row r="7825" spans="1:2" ht="13.2" x14ac:dyDescent="0.25">
      <c r="A7825" s="34" t="s">
        <v>4381</v>
      </c>
    </row>
    <row r="7826" spans="1:2" ht="13.2" x14ac:dyDescent="0.25">
      <c r="A7826" s="34" t="s">
        <v>4380</v>
      </c>
      <c r="B7826" s="35">
        <v>2.7719145460237198</v>
      </c>
    </row>
    <row r="7827" spans="1:2" ht="13.2" x14ac:dyDescent="0.25">
      <c r="A7827" s="34" t="s">
        <v>4379</v>
      </c>
      <c r="B7827" s="35">
        <v>2.75138903474146</v>
      </c>
    </row>
    <row r="7828" spans="1:2" ht="13.2" x14ac:dyDescent="0.25">
      <c r="A7828" s="34" t="s">
        <v>4378</v>
      </c>
      <c r="B7828" s="35">
        <v>2.7921776844119099</v>
      </c>
    </row>
    <row r="7829" spans="1:2" ht="13.2" x14ac:dyDescent="0.25">
      <c r="A7829" s="34" t="s">
        <v>4377</v>
      </c>
      <c r="B7829" s="35">
        <v>2.81225844013156</v>
      </c>
    </row>
    <row r="7830" spans="1:2" ht="13.2" x14ac:dyDescent="0.25">
      <c r="A7830" s="34" t="s">
        <v>4376</v>
      </c>
      <c r="B7830" s="35">
        <v>2.9567587649897198</v>
      </c>
    </row>
    <row r="7831" spans="1:2" ht="13.2" x14ac:dyDescent="0.25">
      <c r="A7831" s="34" t="s">
        <v>4375</v>
      </c>
    </row>
    <row r="7832" spans="1:2" ht="13.2" x14ac:dyDescent="0.25">
      <c r="A7832" s="34" t="s">
        <v>4374</v>
      </c>
    </row>
    <row r="7833" spans="1:2" ht="13.2" x14ac:dyDescent="0.25">
      <c r="A7833" s="34" t="s">
        <v>4373</v>
      </c>
      <c r="B7833" s="35">
        <v>2.9410817099123698</v>
      </c>
    </row>
    <row r="7834" spans="1:2" ht="13.2" x14ac:dyDescent="0.25">
      <c r="A7834" s="34" t="s">
        <v>4372</v>
      </c>
      <c r="B7834" s="35">
        <v>2.75013557420696</v>
      </c>
    </row>
    <row r="7835" spans="1:2" ht="13.2" x14ac:dyDescent="0.25">
      <c r="A7835" s="34" t="s">
        <v>4371</v>
      </c>
      <c r="B7835" s="35">
        <v>2.7527412418425401</v>
      </c>
    </row>
    <row r="7836" spans="1:2" ht="13.2" x14ac:dyDescent="0.25">
      <c r="A7836" s="34" t="s">
        <v>4370</v>
      </c>
      <c r="B7836" s="35">
        <v>2.7763064212501298</v>
      </c>
    </row>
    <row r="7837" spans="1:2" ht="13.2" x14ac:dyDescent="0.25">
      <c r="A7837" s="34" t="s">
        <v>4369</v>
      </c>
      <c r="B7837" s="35">
        <v>2.7909718104588799</v>
      </c>
    </row>
    <row r="7838" spans="1:2" ht="13.2" x14ac:dyDescent="0.25">
      <c r="A7838" s="34" t="s">
        <v>4368</v>
      </c>
    </row>
    <row r="7839" spans="1:2" ht="13.2" x14ac:dyDescent="0.25">
      <c r="A7839" s="34" t="s">
        <v>4367</v>
      </c>
    </row>
    <row r="7840" spans="1:2" ht="13.2" x14ac:dyDescent="0.25">
      <c r="A7840" s="34" t="s">
        <v>4366</v>
      </c>
      <c r="B7840" s="35">
        <v>2.7024034380533899</v>
      </c>
    </row>
    <row r="7841" spans="1:2" ht="13.2" x14ac:dyDescent="0.25">
      <c r="A7841" s="34" t="s">
        <v>4365</v>
      </c>
      <c r="B7841" s="35">
        <v>2.4582207896038102</v>
      </c>
    </row>
    <row r="7842" spans="1:2" ht="13.2" x14ac:dyDescent="0.25">
      <c r="A7842" s="34" t="s">
        <v>4364</v>
      </c>
      <c r="B7842" s="35">
        <v>2.4752895349137498</v>
      </c>
    </row>
    <row r="7843" spans="1:2" ht="13.2" x14ac:dyDescent="0.25">
      <c r="A7843" s="34" t="s">
        <v>4363</v>
      </c>
      <c r="B7843" s="35">
        <v>2.4215793486600199</v>
      </c>
    </row>
    <row r="7844" spans="1:2" ht="13.2" x14ac:dyDescent="0.25">
      <c r="A7844" s="34" t="s">
        <v>4362</v>
      </c>
      <c r="B7844" s="35">
        <v>2.3254956897724299</v>
      </c>
    </row>
    <row r="7845" spans="1:2" ht="13.2" x14ac:dyDescent="0.25">
      <c r="A7845" s="34" t="s">
        <v>4361</v>
      </c>
    </row>
    <row r="7846" spans="1:2" ht="13.2" x14ac:dyDescent="0.25">
      <c r="A7846" s="34" t="s">
        <v>4360</v>
      </c>
    </row>
    <row r="7847" spans="1:2" ht="13.2" x14ac:dyDescent="0.25">
      <c r="A7847" s="34" t="s">
        <v>4359</v>
      </c>
      <c r="B7847" s="35">
        <v>2.2382316708793399</v>
      </c>
    </row>
    <row r="7848" spans="1:2" ht="13.2" x14ac:dyDescent="0.25">
      <c r="A7848" s="34" t="s">
        <v>4358</v>
      </c>
      <c r="B7848" s="35">
        <v>2.21842657850382</v>
      </c>
    </row>
    <row r="7849" spans="1:2" ht="13.2" x14ac:dyDescent="0.25">
      <c r="A7849" s="34" t="s">
        <v>4357</v>
      </c>
      <c r="B7849" s="35">
        <v>2.1597190249420102</v>
      </c>
    </row>
    <row r="7850" spans="1:2" ht="13.2" x14ac:dyDescent="0.25">
      <c r="A7850" s="34" t="s">
        <v>4356</v>
      </c>
    </row>
    <row r="7851" spans="1:2" ht="13.2" x14ac:dyDescent="0.25">
      <c r="A7851" s="34" t="s">
        <v>4355</v>
      </c>
      <c r="B7851" s="35">
        <v>2.4005803216632202</v>
      </c>
    </row>
    <row r="7852" spans="1:2" ht="13.2" x14ac:dyDescent="0.25">
      <c r="A7852" s="34" t="s">
        <v>4354</v>
      </c>
    </row>
    <row r="7853" spans="1:2" ht="13.2" x14ac:dyDescent="0.25">
      <c r="A7853" s="34" t="s">
        <v>4353</v>
      </c>
    </row>
    <row r="7854" spans="1:2" ht="13.2" x14ac:dyDescent="0.25">
      <c r="A7854" s="34" t="s">
        <v>4352</v>
      </c>
      <c r="B7854" s="35">
        <v>2.28404354934775</v>
      </c>
    </row>
    <row r="7855" spans="1:2" ht="13.2" x14ac:dyDescent="0.25">
      <c r="A7855" s="34" t="s">
        <v>4351</v>
      </c>
      <c r="B7855" s="35">
        <v>2.23896926113279</v>
      </c>
    </row>
    <row r="7856" spans="1:2" ht="13.2" x14ac:dyDescent="0.25">
      <c r="A7856" s="34" t="s">
        <v>4350</v>
      </c>
      <c r="B7856" s="35">
        <v>2.14056920931321</v>
      </c>
    </row>
    <row r="7857" spans="1:2" ht="13.2" x14ac:dyDescent="0.25">
      <c r="A7857" s="34" t="s">
        <v>4349</v>
      </c>
      <c r="B7857" s="35">
        <v>2.02677291824785</v>
      </c>
    </row>
    <row r="7858" spans="1:2" ht="13.2" x14ac:dyDescent="0.25">
      <c r="A7858" s="34" t="s">
        <v>4348</v>
      </c>
      <c r="B7858" s="35">
        <v>1.9332098324898299</v>
      </c>
    </row>
    <row r="7859" spans="1:2" ht="13.2" x14ac:dyDescent="0.25">
      <c r="A7859" s="34" t="s">
        <v>4347</v>
      </c>
    </row>
    <row r="7860" spans="1:2" ht="13.2" x14ac:dyDescent="0.25">
      <c r="A7860" s="34" t="s">
        <v>4346</v>
      </c>
    </row>
    <row r="7861" spans="1:2" ht="13.2" x14ac:dyDescent="0.25">
      <c r="A7861" s="34" t="s">
        <v>4345</v>
      </c>
      <c r="B7861" s="35">
        <v>2.1297642494401501</v>
      </c>
    </row>
    <row r="7862" spans="1:2" ht="13.2" x14ac:dyDescent="0.25">
      <c r="A7862" s="34" t="s">
        <v>4344</v>
      </c>
      <c r="B7862" s="35">
        <v>1.9032191860472201</v>
      </c>
    </row>
    <row r="7863" spans="1:2" ht="13.2" x14ac:dyDescent="0.25">
      <c r="A7863" s="34" t="s">
        <v>4343</v>
      </c>
      <c r="B7863" s="35">
        <v>1.92110922903755</v>
      </c>
    </row>
    <row r="7864" spans="1:2" ht="13.2" x14ac:dyDescent="0.25">
      <c r="A7864" s="34" t="s">
        <v>4342</v>
      </c>
      <c r="B7864" s="35">
        <v>1.9375784187571099</v>
      </c>
    </row>
    <row r="7865" spans="1:2" ht="13.2" x14ac:dyDescent="0.25">
      <c r="A7865" s="34" t="s">
        <v>4341</v>
      </c>
      <c r="B7865" s="35">
        <v>1.94497617569375</v>
      </c>
    </row>
    <row r="7866" spans="1:2" ht="13.2" x14ac:dyDescent="0.25">
      <c r="A7866" s="34" t="s">
        <v>4340</v>
      </c>
    </row>
    <row r="7867" spans="1:2" ht="13.2" x14ac:dyDescent="0.25">
      <c r="A7867" s="34" t="s">
        <v>4339</v>
      </c>
    </row>
    <row r="7868" spans="1:2" ht="13.2" x14ac:dyDescent="0.25">
      <c r="A7868" s="34" t="s">
        <v>4338</v>
      </c>
      <c r="B7868" s="35">
        <v>2.0305002389406002</v>
      </c>
    </row>
    <row r="7869" spans="1:2" ht="13.2" x14ac:dyDescent="0.25">
      <c r="A7869" s="34" t="s">
        <v>4337</v>
      </c>
      <c r="B7869" s="35">
        <v>2.00782754822117</v>
      </c>
    </row>
    <row r="7870" spans="1:2" ht="13.2" x14ac:dyDescent="0.25">
      <c r="A7870" s="34" t="s">
        <v>4336</v>
      </c>
      <c r="B7870" s="35">
        <v>2.0151092148513898</v>
      </c>
    </row>
    <row r="7871" spans="1:2" ht="13.2" x14ac:dyDescent="0.25">
      <c r="A7871" s="34" t="s">
        <v>4335</v>
      </c>
      <c r="B7871" s="35">
        <v>2.0245859185819901</v>
      </c>
    </row>
    <row r="7872" spans="1:2" ht="13.2" x14ac:dyDescent="0.25">
      <c r="A7872" s="34" t="s">
        <v>4334</v>
      </c>
      <c r="B7872" s="35">
        <v>2.1460061407450701</v>
      </c>
    </row>
    <row r="7873" spans="1:2" ht="13.2" x14ac:dyDescent="0.25">
      <c r="A7873" s="34" t="s">
        <v>4333</v>
      </c>
    </row>
    <row r="7874" spans="1:2" ht="13.2" x14ac:dyDescent="0.25">
      <c r="A7874" s="34" t="s">
        <v>4332</v>
      </c>
    </row>
    <row r="7875" spans="1:2" ht="13.2" x14ac:dyDescent="0.25">
      <c r="A7875" s="34" t="s">
        <v>4331</v>
      </c>
      <c r="B7875" s="35">
        <v>2.1424443809570102</v>
      </c>
    </row>
    <row r="7876" spans="1:2" ht="13.2" x14ac:dyDescent="0.25">
      <c r="A7876" s="34" t="s">
        <v>4330</v>
      </c>
      <c r="B7876" s="35">
        <v>2.1435016496715198</v>
      </c>
    </row>
    <row r="7877" spans="1:2" ht="13.2" x14ac:dyDescent="0.25">
      <c r="A7877" s="34" t="s">
        <v>4329</v>
      </c>
      <c r="B7877" s="35">
        <v>2.3108990915937899</v>
      </c>
    </row>
    <row r="7878" spans="1:2" ht="13.2" x14ac:dyDescent="0.25">
      <c r="A7878" s="34" t="s">
        <v>4328</v>
      </c>
      <c r="B7878" s="35">
        <v>2.2739127224307998</v>
      </c>
    </row>
    <row r="7879" spans="1:2" ht="13.2" x14ac:dyDescent="0.25">
      <c r="A7879" s="34" t="s">
        <v>4327</v>
      </c>
      <c r="B7879" s="35">
        <v>2.2622576578364302</v>
      </c>
    </row>
    <row r="7880" spans="1:2" ht="13.2" x14ac:dyDescent="0.25">
      <c r="A7880" s="34" t="s">
        <v>4326</v>
      </c>
    </row>
    <row r="7881" spans="1:2" ht="13.2" x14ac:dyDescent="0.25">
      <c r="A7881" s="34" t="s">
        <v>4325</v>
      </c>
    </row>
    <row r="7882" spans="1:2" ht="13.2" x14ac:dyDescent="0.25">
      <c r="A7882" s="34" t="s">
        <v>4324</v>
      </c>
      <c r="B7882" s="35">
        <v>1.9462755319112</v>
      </c>
    </row>
    <row r="7883" spans="1:2" ht="13.2" x14ac:dyDescent="0.25">
      <c r="A7883" s="34" t="s">
        <v>4323</v>
      </c>
      <c r="B7883" s="35">
        <v>1.9896833082135299</v>
      </c>
    </row>
    <row r="7884" spans="1:2" ht="13.2" x14ac:dyDescent="0.25">
      <c r="A7884" s="34" t="s">
        <v>4322</v>
      </c>
    </row>
    <row r="7885" spans="1:2" ht="13.2" x14ac:dyDescent="0.25">
      <c r="A7885" s="34" t="s">
        <v>4321</v>
      </c>
    </row>
    <row r="7886" spans="1:2" ht="13.2" x14ac:dyDescent="0.25">
      <c r="A7886" s="34" t="s">
        <v>4320</v>
      </c>
      <c r="B7886" s="35">
        <v>1.99636239855535</v>
      </c>
    </row>
    <row r="7887" spans="1:2" ht="13.2" x14ac:dyDescent="0.25">
      <c r="A7887" s="34" t="s">
        <v>4319</v>
      </c>
    </row>
    <row r="7888" spans="1:2" ht="13.2" x14ac:dyDescent="0.25">
      <c r="A7888" s="34" t="s">
        <v>4318</v>
      </c>
    </row>
    <row r="7889" spans="1:2" ht="13.2" x14ac:dyDescent="0.25">
      <c r="A7889" s="34" t="s">
        <v>4317</v>
      </c>
      <c r="B7889" s="35">
        <v>2.0167984193496702</v>
      </c>
    </row>
    <row r="7890" spans="1:2" ht="13.2" x14ac:dyDescent="0.25">
      <c r="A7890" s="34" t="s">
        <v>4316</v>
      </c>
      <c r="B7890" s="35">
        <v>2.02285472722376</v>
      </c>
    </row>
    <row r="7891" spans="1:2" ht="13.2" x14ac:dyDescent="0.25">
      <c r="A7891" s="34" t="s">
        <v>4315</v>
      </c>
    </row>
    <row r="7892" spans="1:2" ht="13.2" x14ac:dyDescent="0.25">
      <c r="A7892" s="34" t="s">
        <v>4314</v>
      </c>
    </row>
    <row r="7893" spans="1:2" ht="13.2" x14ac:dyDescent="0.25">
      <c r="A7893" s="34" t="s">
        <v>4313</v>
      </c>
      <c r="B7893" s="35">
        <v>2.09900688842519</v>
      </c>
    </row>
    <row r="7894" spans="1:2" ht="13.2" x14ac:dyDescent="0.25">
      <c r="A7894" s="34" t="s">
        <v>4312</v>
      </c>
      <c r="B7894" s="35">
        <v>1.8523769999999999</v>
      </c>
    </row>
    <row r="7895" spans="1:2" ht="13.2" x14ac:dyDescent="0.25">
      <c r="A7895" s="34" t="s">
        <v>4311</v>
      </c>
    </row>
    <row r="7896" spans="1:2" ht="13.2" x14ac:dyDescent="0.25">
      <c r="A7896" s="34" t="s">
        <v>4310</v>
      </c>
      <c r="B7896" s="35">
        <v>1.9353122817327399</v>
      </c>
    </row>
    <row r="7897" spans="1:2" ht="13.2" x14ac:dyDescent="0.25">
      <c r="A7897" s="34" t="s">
        <v>4309</v>
      </c>
      <c r="B7897" s="35">
        <v>1.9510871620323</v>
      </c>
    </row>
    <row r="7898" spans="1:2" ht="13.2" x14ac:dyDescent="0.25">
      <c r="A7898" s="34" t="s">
        <v>4308</v>
      </c>
      <c r="B7898" s="35">
        <v>2.0528523862546399</v>
      </c>
    </row>
    <row r="7899" spans="1:2" ht="13.2" x14ac:dyDescent="0.25">
      <c r="A7899" s="34" t="s">
        <v>4307</v>
      </c>
      <c r="B7899" s="35">
        <v>2.0414002469316199</v>
      </c>
    </row>
    <row r="7900" spans="1:2" ht="13.2" x14ac:dyDescent="0.25">
      <c r="A7900" s="34" t="s">
        <v>4306</v>
      </c>
      <c r="B7900" s="35">
        <v>2.0698510330238902</v>
      </c>
    </row>
    <row r="7901" spans="1:2" ht="13.2" x14ac:dyDescent="0.25">
      <c r="A7901" s="34" t="s">
        <v>4305</v>
      </c>
      <c r="B7901" s="35">
        <v>1.8803300000000001</v>
      </c>
    </row>
    <row r="7902" spans="1:2" ht="13.2" x14ac:dyDescent="0.25">
      <c r="A7902" s="34" t="s">
        <v>4304</v>
      </c>
    </row>
    <row r="7903" spans="1:2" ht="13.2" x14ac:dyDescent="0.25">
      <c r="A7903" s="34" t="s">
        <v>4303</v>
      </c>
      <c r="B7903" s="35">
        <v>1.9678099300096801</v>
      </c>
    </row>
    <row r="7904" spans="1:2" ht="13.2" x14ac:dyDescent="0.25">
      <c r="A7904" s="34" t="s">
        <v>4302</v>
      </c>
      <c r="B7904" s="35">
        <v>1.9677828632141701</v>
      </c>
    </row>
    <row r="7905" spans="1:2" ht="13.2" x14ac:dyDescent="0.25">
      <c r="A7905" s="34" t="s">
        <v>4301</v>
      </c>
      <c r="B7905" s="35">
        <v>1.95754427673803</v>
      </c>
    </row>
    <row r="7906" spans="1:2" ht="13.2" x14ac:dyDescent="0.25">
      <c r="A7906" s="34" t="s">
        <v>4300</v>
      </c>
      <c r="B7906" s="35">
        <v>1.96130289334123</v>
      </c>
    </row>
    <row r="7907" spans="1:2" ht="13.2" x14ac:dyDescent="0.25">
      <c r="A7907" s="34" t="s">
        <v>4299</v>
      </c>
      <c r="B7907" s="35">
        <v>1.8320693691654999</v>
      </c>
    </row>
    <row r="7908" spans="1:2" ht="13.2" x14ac:dyDescent="0.25">
      <c r="A7908" s="34" t="s">
        <v>4298</v>
      </c>
      <c r="B7908" s="35">
        <v>1.8398350000000001</v>
      </c>
    </row>
    <row r="7909" spans="1:2" ht="13.2" x14ac:dyDescent="0.25">
      <c r="A7909" s="34" t="s">
        <v>4297</v>
      </c>
    </row>
    <row r="7910" spans="1:2" ht="13.2" x14ac:dyDescent="0.25">
      <c r="A7910" s="34" t="s">
        <v>4296</v>
      </c>
      <c r="B7910" s="35">
        <v>1.8669737769493799</v>
      </c>
    </row>
    <row r="7911" spans="1:2" ht="13.2" x14ac:dyDescent="0.25">
      <c r="A7911" s="34" t="s">
        <v>4295</v>
      </c>
      <c r="B7911" s="35">
        <v>1.8672070121606299</v>
      </c>
    </row>
    <row r="7912" spans="1:2" ht="13.2" x14ac:dyDescent="0.25">
      <c r="A7912" s="34" t="s">
        <v>4294</v>
      </c>
      <c r="B7912" s="35">
        <v>1.80038253765865</v>
      </c>
    </row>
    <row r="7913" spans="1:2" ht="13.2" x14ac:dyDescent="0.25">
      <c r="A7913" s="34" t="s">
        <v>4293</v>
      </c>
      <c r="B7913" s="35">
        <v>1.79856886028568</v>
      </c>
    </row>
    <row r="7914" spans="1:2" ht="13.2" x14ac:dyDescent="0.25">
      <c r="A7914" s="34" t="s">
        <v>4292</v>
      </c>
      <c r="B7914" s="35">
        <v>1.7469189186517999</v>
      </c>
    </row>
    <row r="7915" spans="1:2" ht="13.2" x14ac:dyDescent="0.25">
      <c r="A7915" s="34" t="s">
        <v>4291</v>
      </c>
    </row>
    <row r="7916" spans="1:2" ht="13.2" x14ac:dyDescent="0.25">
      <c r="A7916" s="34" t="s">
        <v>4290</v>
      </c>
    </row>
    <row r="7917" spans="1:2" ht="13.2" x14ac:dyDescent="0.25">
      <c r="A7917" s="34" t="s">
        <v>4289</v>
      </c>
      <c r="B7917" s="35">
        <v>1.7320073618249401</v>
      </c>
    </row>
    <row r="7918" spans="1:2" ht="13.2" x14ac:dyDescent="0.25">
      <c r="A7918" s="34" t="s">
        <v>4288</v>
      </c>
      <c r="B7918" s="35">
        <v>1.69008848213523</v>
      </c>
    </row>
    <row r="7919" spans="1:2" ht="13.2" x14ac:dyDescent="0.25">
      <c r="A7919" s="34" t="s">
        <v>4287</v>
      </c>
      <c r="B7919" s="35">
        <v>1.70645531973452</v>
      </c>
    </row>
    <row r="7920" spans="1:2" ht="13.2" x14ac:dyDescent="0.25">
      <c r="A7920" s="34" t="s">
        <v>4286</v>
      </c>
      <c r="B7920" s="35">
        <v>1.6893743785495401</v>
      </c>
    </row>
    <row r="7921" spans="1:2" ht="13.2" x14ac:dyDescent="0.25">
      <c r="A7921" s="34" t="s">
        <v>4285</v>
      </c>
      <c r="B7921" s="35">
        <v>1.71178411440875</v>
      </c>
    </row>
    <row r="7922" spans="1:2" ht="13.2" x14ac:dyDescent="0.25">
      <c r="A7922" s="34" t="s">
        <v>4284</v>
      </c>
    </row>
    <row r="7923" spans="1:2" ht="13.2" x14ac:dyDescent="0.25">
      <c r="A7923" s="34" t="s">
        <v>4283</v>
      </c>
    </row>
    <row r="7924" spans="1:2" ht="13.2" x14ac:dyDescent="0.25">
      <c r="A7924" s="34" t="s">
        <v>4282</v>
      </c>
      <c r="B7924" s="35">
        <v>1.63795207936196</v>
      </c>
    </row>
    <row r="7925" spans="1:2" ht="13.2" x14ac:dyDescent="0.25">
      <c r="A7925" s="34" t="s">
        <v>4281</v>
      </c>
      <c r="B7925" s="35">
        <v>1.6804121399759699</v>
      </c>
    </row>
    <row r="7926" spans="1:2" ht="13.2" x14ac:dyDescent="0.25">
      <c r="A7926" s="34" t="s">
        <v>4280</v>
      </c>
      <c r="B7926" s="35">
        <v>1.6734333778580099</v>
      </c>
    </row>
    <row r="7927" spans="1:2" ht="13.2" x14ac:dyDescent="0.25">
      <c r="A7927" s="34" t="s">
        <v>4279</v>
      </c>
      <c r="B7927" s="35">
        <v>1.53873367565261</v>
      </c>
    </row>
    <row r="7928" spans="1:2" ht="13.2" x14ac:dyDescent="0.25">
      <c r="A7928" s="34" t="s">
        <v>4278</v>
      </c>
      <c r="B7928" s="35">
        <v>1.53274267936256</v>
      </c>
    </row>
    <row r="7929" spans="1:2" ht="13.2" x14ac:dyDescent="0.25">
      <c r="A7929" s="34" t="s">
        <v>4277</v>
      </c>
    </row>
    <row r="7930" spans="1:2" ht="13.2" x14ac:dyDescent="0.25">
      <c r="A7930" s="34" t="s">
        <v>4276</v>
      </c>
    </row>
    <row r="7931" spans="1:2" ht="13.2" x14ac:dyDescent="0.25">
      <c r="A7931" s="34" t="s">
        <v>4275</v>
      </c>
      <c r="B7931" s="35">
        <v>1.4773075223837799</v>
      </c>
    </row>
    <row r="7932" spans="1:2" ht="13.2" x14ac:dyDescent="0.25">
      <c r="A7932" s="34" t="s">
        <v>4274</v>
      </c>
      <c r="B7932" s="35">
        <v>1.4962675406146899</v>
      </c>
    </row>
    <row r="7933" spans="1:2" ht="13.2" x14ac:dyDescent="0.25">
      <c r="A7933" s="34" t="s">
        <v>4273</v>
      </c>
      <c r="B7933" s="35">
        <v>1.5011026965588501</v>
      </c>
    </row>
    <row r="7934" spans="1:2" ht="13.2" x14ac:dyDescent="0.25">
      <c r="A7934" s="34" t="s">
        <v>4272</v>
      </c>
      <c r="B7934" s="35">
        <v>1.5916518770080299</v>
      </c>
    </row>
    <row r="7935" spans="1:2" ht="13.2" x14ac:dyDescent="0.25">
      <c r="A7935" s="34" t="s">
        <v>4271</v>
      </c>
      <c r="B7935" s="35">
        <v>1.6472896194868401</v>
      </c>
    </row>
    <row r="7936" spans="1:2" ht="13.2" x14ac:dyDescent="0.25">
      <c r="A7936" s="34" t="s">
        <v>4270</v>
      </c>
    </row>
    <row r="7937" spans="1:2" ht="13.2" x14ac:dyDescent="0.25">
      <c r="A7937" s="34" t="s">
        <v>4269</v>
      </c>
    </row>
    <row r="7938" spans="1:2" ht="13.2" x14ac:dyDescent="0.25">
      <c r="A7938" s="34" t="s">
        <v>4268</v>
      </c>
    </row>
    <row r="7939" spans="1:2" ht="13.2" x14ac:dyDescent="0.25">
      <c r="A7939" s="34" t="s">
        <v>4267</v>
      </c>
    </row>
    <row r="7940" spans="1:2" ht="13.2" x14ac:dyDescent="0.25">
      <c r="A7940" s="34" t="s">
        <v>4266</v>
      </c>
      <c r="B7940" s="35">
        <v>1.6133873194236501</v>
      </c>
    </row>
    <row r="7941" spans="1:2" ht="13.2" x14ac:dyDescent="0.25">
      <c r="A7941" s="34" t="s">
        <v>4265</v>
      </c>
      <c r="B7941" s="35">
        <v>1.4803881536368999</v>
      </c>
    </row>
    <row r="7942" spans="1:2" ht="13.2" x14ac:dyDescent="0.25">
      <c r="A7942" s="34" t="s">
        <v>4264</v>
      </c>
      <c r="B7942" s="35">
        <v>1.4835510355925501</v>
      </c>
    </row>
    <row r="7943" spans="1:2" ht="13.2" x14ac:dyDescent="0.25">
      <c r="A7943" s="34" t="s">
        <v>4263</v>
      </c>
    </row>
    <row r="7944" spans="1:2" ht="13.2" x14ac:dyDescent="0.25">
      <c r="A7944" s="34" t="s">
        <v>4262</v>
      </c>
    </row>
    <row r="7945" spans="1:2" ht="13.2" x14ac:dyDescent="0.25">
      <c r="A7945" s="34" t="s">
        <v>4261</v>
      </c>
      <c r="B7945" s="35">
        <v>1.3733338588014801</v>
      </c>
    </row>
    <row r="7946" spans="1:2" ht="13.2" x14ac:dyDescent="0.25">
      <c r="A7946" s="34" t="s">
        <v>4260</v>
      </c>
      <c r="B7946" s="35">
        <v>1.3882873374059801</v>
      </c>
    </row>
    <row r="7947" spans="1:2" ht="13.2" x14ac:dyDescent="0.25">
      <c r="A7947" s="34" t="s">
        <v>4259</v>
      </c>
      <c r="B7947" s="35">
        <v>1.3429813110962101</v>
      </c>
    </row>
    <row r="7948" spans="1:2" ht="13.2" x14ac:dyDescent="0.25">
      <c r="A7948" s="34" t="s">
        <v>4258</v>
      </c>
      <c r="B7948" s="35">
        <v>1.3366534121214899</v>
      </c>
    </row>
    <row r="7949" spans="1:2" ht="13.2" x14ac:dyDescent="0.25">
      <c r="A7949" s="34" t="s">
        <v>4257</v>
      </c>
      <c r="B7949" s="35">
        <v>1.3429399975827601</v>
      </c>
    </row>
    <row r="7950" spans="1:2" ht="13.2" x14ac:dyDescent="0.25">
      <c r="A7950" s="34" t="s">
        <v>4256</v>
      </c>
    </row>
    <row r="7951" spans="1:2" ht="13.2" x14ac:dyDescent="0.25">
      <c r="A7951" s="34" t="s">
        <v>4255</v>
      </c>
    </row>
    <row r="7952" spans="1:2" ht="13.2" x14ac:dyDescent="0.25">
      <c r="A7952" s="34" t="s">
        <v>4254</v>
      </c>
      <c r="B7952" s="35">
        <v>1.2911662862827999</v>
      </c>
    </row>
    <row r="7953" spans="1:2" ht="13.2" x14ac:dyDescent="0.25">
      <c r="A7953" s="34" t="s">
        <v>4253</v>
      </c>
      <c r="B7953" s="35">
        <v>1.2914208549706601</v>
      </c>
    </row>
    <row r="7954" spans="1:2" ht="13.2" x14ac:dyDescent="0.25">
      <c r="A7954" s="34" t="s">
        <v>4252</v>
      </c>
      <c r="B7954" s="35">
        <v>1.27844156846903</v>
      </c>
    </row>
    <row r="7955" spans="1:2" ht="13.2" x14ac:dyDescent="0.25">
      <c r="A7955" s="34" t="s">
        <v>4251</v>
      </c>
      <c r="B7955" s="35">
        <v>1.2519440629298499</v>
      </c>
    </row>
    <row r="7956" spans="1:2" ht="13.2" x14ac:dyDescent="0.25">
      <c r="A7956" s="34" t="s">
        <v>4250</v>
      </c>
      <c r="B7956" s="35">
        <v>1.13588013490364</v>
      </c>
    </row>
    <row r="7957" spans="1:2" ht="13.2" x14ac:dyDescent="0.25">
      <c r="A7957" s="34" t="s">
        <v>4249</v>
      </c>
    </row>
    <row r="7958" spans="1:2" ht="13.2" x14ac:dyDescent="0.25">
      <c r="A7958" s="34" t="s">
        <v>4248</v>
      </c>
    </row>
    <row r="7959" spans="1:2" ht="13.2" x14ac:dyDescent="0.25">
      <c r="A7959" s="34" t="s">
        <v>4247</v>
      </c>
      <c r="B7959" s="35">
        <v>1.1860858254078199</v>
      </c>
    </row>
    <row r="7960" spans="1:2" ht="13.2" x14ac:dyDescent="0.25">
      <c r="A7960" s="34" t="s">
        <v>4246</v>
      </c>
      <c r="B7960" s="35">
        <v>1.2502588957593801</v>
      </c>
    </row>
    <row r="7961" spans="1:2" ht="13.2" x14ac:dyDescent="0.25">
      <c r="A7961" s="34" t="s">
        <v>4245</v>
      </c>
      <c r="B7961" s="35">
        <v>1.2691616695372701</v>
      </c>
    </row>
    <row r="7962" spans="1:2" ht="13.2" x14ac:dyDescent="0.25">
      <c r="A7962" s="34" t="s">
        <v>4244</v>
      </c>
      <c r="B7962" s="35">
        <v>1.2393819316122501</v>
      </c>
    </row>
    <row r="7963" spans="1:2" ht="13.2" x14ac:dyDescent="0.25">
      <c r="A7963" s="34" t="s">
        <v>4243</v>
      </c>
      <c r="B7963" s="35">
        <v>1.18169355108939</v>
      </c>
    </row>
    <row r="7964" spans="1:2" ht="13.2" x14ac:dyDescent="0.25">
      <c r="A7964" s="34" t="s">
        <v>4242</v>
      </c>
    </row>
    <row r="7965" spans="1:2" ht="13.2" x14ac:dyDescent="0.25">
      <c r="A7965" s="34" t="s">
        <v>4241</v>
      </c>
    </row>
    <row r="7966" spans="1:2" ht="13.2" x14ac:dyDescent="0.25">
      <c r="A7966" s="34" t="s">
        <v>4240</v>
      </c>
      <c r="B7966" s="35">
        <v>1.17921122328539</v>
      </c>
    </row>
    <row r="7967" spans="1:2" ht="13.2" x14ac:dyDescent="0.25">
      <c r="A7967" s="34" t="s">
        <v>4239</v>
      </c>
      <c r="B7967" s="35">
        <v>1.2080400096427899</v>
      </c>
    </row>
    <row r="7968" spans="1:2" ht="13.2" x14ac:dyDescent="0.25">
      <c r="A7968" s="34" t="s">
        <v>4238</v>
      </c>
      <c r="B7968" s="35">
        <v>1.2297162913787401</v>
      </c>
    </row>
    <row r="7969" spans="1:2" ht="13.2" x14ac:dyDescent="0.25">
      <c r="A7969" s="34" t="s">
        <v>4237</v>
      </c>
      <c r="B7969" s="35">
        <v>1.2251169113442799</v>
      </c>
    </row>
    <row r="7970" spans="1:2" ht="13.2" x14ac:dyDescent="0.25">
      <c r="A7970" s="34" t="s">
        <v>4236</v>
      </c>
      <c r="B7970" s="35">
        <v>1.3005995417520799</v>
      </c>
    </row>
    <row r="7971" spans="1:2" ht="13.2" x14ac:dyDescent="0.25">
      <c r="A7971" s="34" t="s">
        <v>4235</v>
      </c>
    </row>
    <row r="7972" spans="1:2" ht="13.2" x14ac:dyDescent="0.25">
      <c r="A7972" s="34" t="s">
        <v>4234</v>
      </c>
    </row>
    <row r="7973" spans="1:2" ht="13.2" x14ac:dyDescent="0.25">
      <c r="A7973" s="34" t="s">
        <v>4233</v>
      </c>
      <c r="B7973" s="35">
        <v>1.3006286291240301</v>
      </c>
    </row>
    <row r="7974" spans="1:2" ht="13.2" x14ac:dyDescent="0.25">
      <c r="A7974" s="34" t="s">
        <v>4232</v>
      </c>
      <c r="B7974" s="35">
        <v>1.31341824361413</v>
      </c>
    </row>
    <row r="7975" spans="1:2" ht="13.2" x14ac:dyDescent="0.25">
      <c r="A7975" s="34" t="s">
        <v>4231</v>
      </c>
      <c r="B7975" s="35">
        <v>1.2971587563965601</v>
      </c>
    </row>
    <row r="7976" spans="1:2" ht="13.2" x14ac:dyDescent="0.25">
      <c r="A7976" s="34" t="s">
        <v>4230</v>
      </c>
      <c r="B7976" s="35">
        <v>1.40692678120932</v>
      </c>
    </row>
    <row r="7977" spans="1:2" ht="13.2" x14ac:dyDescent="0.25">
      <c r="A7977" s="34" t="s">
        <v>4229</v>
      </c>
      <c r="B7977" s="35">
        <v>1.4190409382351299</v>
      </c>
    </row>
    <row r="7978" spans="1:2" ht="13.2" x14ac:dyDescent="0.25">
      <c r="A7978" s="34" t="s">
        <v>4228</v>
      </c>
    </row>
    <row r="7979" spans="1:2" ht="13.2" x14ac:dyDescent="0.25">
      <c r="A7979" s="34" t="s">
        <v>4227</v>
      </c>
    </row>
    <row r="7980" spans="1:2" ht="13.2" x14ac:dyDescent="0.25">
      <c r="A7980" s="34" t="s">
        <v>4226</v>
      </c>
      <c r="B7980" s="35">
        <v>1.5129027776213</v>
      </c>
    </row>
    <row r="7981" spans="1:2" ht="13.2" x14ac:dyDescent="0.25">
      <c r="A7981" s="34" t="s">
        <v>4225</v>
      </c>
      <c r="B7981" s="35">
        <v>1.4937904174979399</v>
      </c>
    </row>
    <row r="7982" spans="1:2" ht="13.2" x14ac:dyDescent="0.25">
      <c r="A7982" s="34" t="s">
        <v>4224</v>
      </c>
      <c r="B7982" s="35">
        <v>1.5696125331481801</v>
      </c>
    </row>
    <row r="7983" spans="1:2" ht="13.2" x14ac:dyDescent="0.25">
      <c r="A7983" s="34" t="s">
        <v>4223</v>
      </c>
      <c r="B7983" s="35">
        <v>1.5462025008126601</v>
      </c>
    </row>
    <row r="7984" spans="1:2" ht="13.2" x14ac:dyDescent="0.25">
      <c r="A7984" s="34" t="s">
        <v>4222</v>
      </c>
    </row>
    <row r="7985" spans="1:2" ht="13.2" x14ac:dyDescent="0.25">
      <c r="A7985" s="34" t="s">
        <v>4221</v>
      </c>
    </row>
    <row r="7986" spans="1:2" ht="13.2" x14ac:dyDescent="0.25">
      <c r="A7986" s="34" t="s">
        <v>4220</v>
      </c>
    </row>
    <row r="7987" spans="1:2" ht="13.2" x14ac:dyDescent="0.25">
      <c r="A7987" s="34" t="s">
        <v>4219</v>
      </c>
      <c r="B7987" s="35">
        <v>1.5547603650380399</v>
      </c>
    </row>
    <row r="7988" spans="1:2" ht="13.2" x14ac:dyDescent="0.25">
      <c r="A7988" s="34" t="s">
        <v>4218</v>
      </c>
      <c r="B7988" s="35">
        <v>1.5373686275904801</v>
      </c>
    </row>
    <row r="7989" spans="1:2" ht="13.2" x14ac:dyDescent="0.25">
      <c r="A7989" s="34" t="s">
        <v>4217</v>
      </c>
      <c r="B7989" s="35">
        <v>1.47569051525888</v>
      </c>
    </row>
    <row r="7990" spans="1:2" ht="13.2" x14ac:dyDescent="0.25">
      <c r="A7990" s="34" t="s">
        <v>4216</v>
      </c>
      <c r="B7990" s="35">
        <v>1.38498388899847</v>
      </c>
    </row>
    <row r="7991" spans="1:2" ht="13.2" x14ac:dyDescent="0.25">
      <c r="A7991" s="34" t="s">
        <v>4215</v>
      </c>
      <c r="B7991" s="35">
        <v>1.3757662322430599</v>
      </c>
    </row>
    <row r="7992" spans="1:2" ht="13.2" x14ac:dyDescent="0.25">
      <c r="A7992" s="34" t="s">
        <v>4214</v>
      </c>
    </row>
    <row r="7993" spans="1:2" ht="13.2" x14ac:dyDescent="0.25">
      <c r="A7993" s="34" t="s">
        <v>4213</v>
      </c>
    </row>
    <row r="7994" spans="1:2" ht="13.2" x14ac:dyDescent="0.25">
      <c r="A7994" s="34" t="s">
        <v>4212</v>
      </c>
      <c r="B7994" s="35">
        <v>1.3739432882581399</v>
      </c>
    </row>
    <row r="7995" spans="1:2" ht="13.2" x14ac:dyDescent="0.25">
      <c r="A7995" s="34" t="s">
        <v>4211</v>
      </c>
      <c r="B7995" s="35">
        <v>1.36997633672607</v>
      </c>
    </row>
    <row r="7996" spans="1:2" ht="13.2" x14ac:dyDescent="0.25">
      <c r="A7996" s="34" t="s">
        <v>4210</v>
      </c>
      <c r="B7996" s="35">
        <v>1.3956484181390501</v>
      </c>
    </row>
    <row r="7997" spans="1:2" ht="13.2" x14ac:dyDescent="0.25">
      <c r="A7997" s="34" t="s">
        <v>4209</v>
      </c>
      <c r="B7997" s="35">
        <v>1.30289506942509</v>
      </c>
    </row>
    <row r="7998" spans="1:2" ht="13.2" x14ac:dyDescent="0.25">
      <c r="A7998" s="34" t="s">
        <v>4208</v>
      </c>
      <c r="B7998" s="35">
        <v>1.26656182996935</v>
      </c>
    </row>
    <row r="7999" spans="1:2" ht="13.2" x14ac:dyDescent="0.25">
      <c r="A7999" s="34" t="s">
        <v>4207</v>
      </c>
    </row>
    <row r="8000" spans="1:2" ht="13.2" x14ac:dyDescent="0.25">
      <c r="A8000" s="34" t="s">
        <v>4206</v>
      </c>
    </row>
    <row r="8001" spans="1:2" ht="13.2" x14ac:dyDescent="0.25">
      <c r="A8001" s="34" t="s">
        <v>4205</v>
      </c>
      <c r="B8001" s="35">
        <v>1.2370974805808801</v>
      </c>
    </row>
    <row r="8002" spans="1:2" ht="13.2" x14ac:dyDescent="0.25">
      <c r="A8002" s="34" t="s">
        <v>4204</v>
      </c>
    </row>
    <row r="8003" spans="1:2" ht="13.2" x14ac:dyDescent="0.25">
      <c r="A8003" s="34" t="s">
        <v>4203</v>
      </c>
      <c r="B8003" s="35">
        <v>1.2128433820790601</v>
      </c>
    </row>
    <row r="8004" spans="1:2" ht="13.2" x14ac:dyDescent="0.25">
      <c r="A8004" s="34" t="s">
        <v>4202</v>
      </c>
      <c r="B8004" s="35">
        <v>1.26463199583762</v>
      </c>
    </row>
    <row r="8005" spans="1:2" ht="13.2" x14ac:dyDescent="0.25">
      <c r="A8005" s="34" t="s">
        <v>4201</v>
      </c>
      <c r="B8005" s="35">
        <v>1.26740984608179</v>
      </c>
    </row>
    <row r="8006" spans="1:2" ht="13.2" x14ac:dyDescent="0.25">
      <c r="A8006" s="34" t="s">
        <v>4200</v>
      </c>
    </row>
    <row r="8007" spans="1:2" ht="13.2" x14ac:dyDescent="0.25">
      <c r="A8007" s="34" t="s">
        <v>4199</v>
      </c>
    </row>
    <row r="8008" spans="1:2" ht="13.2" x14ac:dyDescent="0.25">
      <c r="A8008" s="34" t="s">
        <v>4198</v>
      </c>
      <c r="B8008" s="35">
        <v>1.36422303019526</v>
      </c>
    </row>
    <row r="8009" spans="1:2" ht="13.2" x14ac:dyDescent="0.25">
      <c r="A8009" s="34" t="s">
        <v>4197</v>
      </c>
      <c r="B8009" s="35">
        <v>1.2013327833627701</v>
      </c>
    </row>
    <row r="8010" spans="1:2" ht="13.2" x14ac:dyDescent="0.25">
      <c r="A8010" s="34" t="s">
        <v>4196</v>
      </c>
      <c r="B8010" s="35">
        <v>1.19628034089135</v>
      </c>
    </row>
    <row r="8011" spans="1:2" ht="13.2" x14ac:dyDescent="0.25">
      <c r="A8011" s="34" t="s">
        <v>4195</v>
      </c>
      <c r="B8011" s="35">
        <v>1.1555319272590201</v>
      </c>
    </row>
    <row r="8012" spans="1:2" ht="13.2" x14ac:dyDescent="0.25">
      <c r="A8012" s="34" t="s">
        <v>4194</v>
      </c>
    </row>
    <row r="8013" spans="1:2" ht="13.2" x14ac:dyDescent="0.25">
      <c r="A8013" s="34" t="s">
        <v>4193</v>
      </c>
    </row>
    <row r="8014" spans="1:2" ht="13.2" x14ac:dyDescent="0.25">
      <c r="A8014" s="34" t="s">
        <v>4192</v>
      </c>
    </row>
    <row r="8015" spans="1:2" ht="13.2" x14ac:dyDescent="0.25">
      <c r="A8015" s="34" t="s">
        <v>4191</v>
      </c>
      <c r="B8015" s="35">
        <v>1.1929215049787001</v>
      </c>
    </row>
    <row r="8016" spans="1:2" ht="13.2" x14ac:dyDescent="0.25">
      <c r="A8016" s="34" t="s">
        <v>4190</v>
      </c>
      <c r="B8016" s="35">
        <v>1.13776751248996</v>
      </c>
    </row>
    <row r="8017" spans="1:2" ht="13.2" x14ac:dyDescent="0.25">
      <c r="A8017" s="34" t="s">
        <v>4189</v>
      </c>
      <c r="B8017" s="35">
        <v>1.2032456569360299</v>
      </c>
    </row>
    <row r="8018" spans="1:2" ht="13.2" x14ac:dyDescent="0.25">
      <c r="A8018" s="34" t="s">
        <v>4188</v>
      </c>
      <c r="B8018" s="35">
        <v>1.1967660420537301</v>
      </c>
    </row>
    <row r="8019" spans="1:2" ht="13.2" x14ac:dyDescent="0.25">
      <c r="A8019" s="34" t="s">
        <v>4187</v>
      </c>
      <c r="B8019" s="35">
        <v>1.1951790825733899</v>
      </c>
    </row>
    <row r="8020" spans="1:2" ht="13.2" x14ac:dyDescent="0.25">
      <c r="A8020" s="34" t="s">
        <v>4186</v>
      </c>
    </row>
    <row r="8021" spans="1:2" ht="13.2" x14ac:dyDescent="0.25">
      <c r="A8021" s="34" t="s">
        <v>4185</v>
      </c>
    </row>
    <row r="8022" spans="1:2" ht="13.2" x14ac:dyDescent="0.25">
      <c r="A8022" s="34" t="s">
        <v>4184</v>
      </c>
      <c r="B8022" s="35">
        <v>1.1923546151426401</v>
      </c>
    </row>
    <row r="8023" spans="1:2" ht="13.2" x14ac:dyDescent="0.25">
      <c r="A8023" s="34" t="s">
        <v>4183</v>
      </c>
      <c r="B8023" s="35">
        <v>1.212776419623</v>
      </c>
    </row>
    <row r="8024" spans="1:2" ht="13.2" x14ac:dyDescent="0.25">
      <c r="A8024" s="34" t="s">
        <v>4182</v>
      </c>
      <c r="B8024" s="35">
        <v>1.2258643015231101</v>
      </c>
    </row>
    <row r="8025" spans="1:2" ht="13.2" x14ac:dyDescent="0.25">
      <c r="A8025" s="34" t="s">
        <v>4181</v>
      </c>
      <c r="B8025" s="35">
        <v>1.2273409931169399</v>
      </c>
    </row>
    <row r="8026" spans="1:2" ht="13.2" x14ac:dyDescent="0.25">
      <c r="A8026" s="34" t="s">
        <v>4180</v>
      </c>
      <c r="B8026" s="35">
        <v>1.2296629870408999</v>
      </c>
    </row>
    <row r="8027" spans="1:2" ht="13.2" x14ac:dyDescent="0.25">
      <c r="A8027" s="34" t="s">
        <v>4179</v>
      </c>
    </row>
    <row r="8028" spans="1:2" ht="13.2" x14ac:dyDescent="0.25">
      <c r="A8028" s="34" t="s">
        <v>4178</v>
      </c>
    </row>
    <row r="8029" spans="1:2" ht="13.2" x14ac:dyDescent="0.25">
      <c r="A8029" s="34" t="s">
        <v>4177</v>
      </c>
      <c r="B8029" s="35">
        <v>1.2661599287505301</v>
      </c>
    </row>
    <row r="8030" spans="1:2" ht="13.2" x14ac:dyDescent="0.25">
      <c r="A8030" s="34" t="s">
        <v>4176</v>
      </c>
      <c r="B8030" s="35">
        <v>1.2962371110942501</v>
      </c>
    </row>
    <row r="8031" spans="1:2" ht="13.2" x14ac:dyDescent="0.25">
      <c r="A8031" s="34" t="s">
        <v>4175</v>
      </c>
      <c r="B8031" s="35">
        <v>1.28430477022461</v>
      </c>
    </row>
    <row r="8032" spans="1:2" ht="13.2" x14ac:dyDescent="0.25">
      <c r="A8032" s="34" t="s">
        <v>4174</v>
      </c>
      <c r="B8032" s="35">
        <v>1.2817312300758901</v>
      </c>
    </row>
    <row r="8033" spans="1:2" ht="13.2" x14ac:dyDescent="0.25">
      <c r="A8033" s="34" t="s">
        <v>4173</v>
      </c>
      <c r="B8033" s="35">
        <v>1.27373477149666</v>
      </c>
    </row>
    <row r="8034" spans="1:2" ht="13.2" x14ac:dyDescent="0.25">
      <c r="A8034" s="34" t="s">
        <v>4172</v>
      </c>
    </row>
    <row r="8035" spans="1:2" ht="13.2" x14ac:dyDescent="0.25">
      <c r="A8035" s="34" t="s">
        <v>4171</v>
      </c>
    </row>
    <row r="8036" spans="1:2" ht="13.2" x14ac:dyDescent="0.25">
      <c r="A8036" s="34" t="s">
        <v>4170</v>
      </c>
      <c r="B8036" s="35">
        <v>1.1980594536058999</v>
      </c>
    </row>
    <row r="8037" spans="1:2" ht="13.2" x14ac:dyDescent="0.25">
      <c r="A8037" s="34" t="s">
        <v>4169</v>
      </c>
      <c r="B8037" s="35">
        <v>1.1866099337801099</v>
      </c>
    </row>
    <row r="8038" spans="1:2" ht="13.2" x14ac:dyDescent="0.25">
      <c r="A8038" s="34" t="s">
        <v>4168</v>
      </c>
      <c r="B8038" s="35">
        <v>1.1611743383573601</v>
      </c>
    </row>
    <row r="8039" spans="1:2" ht="13.2" x14ac:dyDescent="0.25">
      <c r="A8039" s="34" t="s">
        <v>4167</v>
      </c>
      <c r="B8039" s="35">
        <v>1.1550726098078701</v>
      </c>
    </row>
    <row r="8040" spans="1:2" ht="13.2" x14ac:dyDescent="0.25">
      <c r="A8040" s="34" t="s">
        <v>4166</v>
      </c>
      <c r="B8040" s="35">
        <v>1.2362755797679901</v>
      </c>
    </row>
    <row r="8041" spans="1:2" ht="13.2" x14ac:dyDescent="0.25">
      <c r="A8041" s="34" t="s">
        <v>4165</v>
      </c>
    </row>
    <row r="8042" spans="1:2" ht="13.2" x14ac:dyDescent="0.25">
      <c r="A8042" s="34" t="s">
        <v>4164</v>
      </c>
    </row>
    <row r="8043" spans="1:2" ht="13.2" x14ac:dyDescent="0.25">
      <c r="A8043" s="34" t="s">
        <v>4163</v>
      </c>
      <c r="B8043" s="35">
        <v>1.1756588093786999</v>
      </c>
    </row>
    <row r="8044" spans="1:2" ht="13.2" x14ac:dyDescent="0.25">
      <c r="A8044" s="34" t="s">
        <v>4162</v>
      </c>
      <c r="B8044" s="35">
        <v>1.20233593850906</v>
      </c>
    </row>
    <row r="8045" spans="1:2" ht="13.2" x14ac:dyDescent="0.25">
      <c r="A8045" s="34" t="s">
        <v>4161</v>
      </c>
      <c r="B8045" s="35">
        <v>1.17358864328702</v>
      </c>
    </row>
    <row r="8046" spans="1:2" ht="13.2" x14ac:dyDescent="0.25">
      <c r="A8046" s="34" t="s">
        <v>4160</v>
      </c>
    </row>
    <row r="8047" spans="1:2" ht="13.2" x14ac:dyDescent="0.25">
      <c r="A8047" s="34" t="s">
        <v>4159</v>
      </c>
      <c r="B8047" s="35">
        <v>1.14791934836259</v>
      </c>
    </row>
    <row r="8048" spans="1:2" ht="13.2" x14ac:dyDescent="0.25">
      <c r="A8048" s="34" t="s">
        <v>4158</v>
      </c>
    </row>
    <row r="8049" spans="1:2" ht="13.2" x14ac:dyDescent="0.25">
      <c r="A8049" s="34" t="s">
        <v>4157</v>
      </c>
    </row>
    <row r="8050" spans="1:2" ht="13.2" x14ac:dyDescent="0.25">
      <c r="A8050" s="34" t="s">
        <v>4156</v>
      </c>
      <c r="B8050" s="35">
        <v>1.1479403044799801</v>
      </c>
    </row>
    <row r="8051" spans="1:2" ht="13.2" x14ac:dyDescent="0.25">
      <c r="A8051" s="34" t="s">
        <v>4155</v>
      </c>
      <c r="B8051" s="35">
        <v>1.1382264716658399</v>
      </c>
    </row>
    <row r="8052" spans="1:2" ht="13.2" x14ac:dyDescent="0.25">
      <c r="A8052" s="34" t="s">
        <v>4154</v>
      </c>
      <c r="B8052" s="35">
        <v>1.2471834931761401</v>
      </c>
    </row>
    <row r="8053" spans="1:2" ht="13.2" x14ac:dyDescent="0.25">
      <c r="A8053" s="34" t="s">
        <v>4153</v>
      </c>
      <c r="B8053" s="35">
        <v>1.24349795071099</v>
      </c>
    </row>
    <row r="8054" spans="1:2" ht="13.2" x14ac:dyDescent="0.25">
      <c r="A8054" s="34" t="s">
        <v>4152</v>
      </c>
      <c r="B8054" s="35">
        <v>1.2417015916295</v>
      </c>
    </row>
    <row r="8055" spans="1:2" ht="13.2" x14ac:dyDescent="0.25">
      <c r="A8055" s="34" t="s">
        <v>4151</v>
      </c>
    </row>
    <row r="8056" spans="1:2" ht="13.2" x14ac:dyDescent="0.25">
      <c r="A8056" s="34" t="s">
        <v>4150</v>
      </c>
    </row>
    <row r="8057" spans="1:2" ht="13.2" x14ac:dyDescent="0.25">
      <c r="A8057" s="34" t="s">
        <v>4149</v>
      </c>
      <c r="B8057" s="35">
        <v>1.2293763925788901</v>
      </c>
    </row>
    <row r="8058" spans="1:2" ht="13.2" x14ac:dyDescent="0.25">
      <c r="A8058" s="34" t="s">
        <v>4148</v>
      </c>
      <c r="B8058" s="35">
        <v>1.2302744636181799</v>
      </c>
    </row>
    <row r="8059" spans="1:2" ht="13.2" x14ac:dyDescent="0.25">
      <c r="A8059" s="34" t="s">
        <v>4147</v>
      </c>
      <c r="B8059" s="35">
        <v>1.18647238494782</v>
      </c>
    </row>
    <row r="8060" spans="1:2" ht="13.2" x14ac:dyDescent="0.25">
      <c r="A8060" s="34" t="s">
        <v>4146</v>
      </c>
      <c r="B8060" s="35">
        <v>1.24684093426223</v>
      </c>
    </row>
    <row r="8061" spans="1:2" ht="13.2" x14ac:dyDescent="0.25">
      <c r="A8061" s="34" t="s">
        <v>4145</v>
      </c>
      <c r="B8061" s="35">
        <v>1.2405478353253001</v>
      </c>
    </row>
    <row r="8062" spans="1:2" ht="13.2" x14ac:dyDescent="0.25">
      <c r="A8062" s="34" t="s">
        <v>4144</v>
      </c>
    </row>
    <row r="8063" spans="1:2" ht="13.2" x14ac:dyDescent="0.25">
      <c r="A8063" s="34" t="s">
        <v>4143</v>
      </c>
    </row>
    <row r="8064" spans="1:2" ht="13.2" x14ac:dyDescent="0.25">
      <c r="A8064" s="34" t="s">
        <v>4142</v>
      </c>
      <c r="B8064" s="35">
        <v>1.2377809921401299</v>
      </c>
    </row>
    <row r="8065" spans="1:2" ht="13.2" x14ac:dyDescent="0.25">
      <c r="A8065" s="34" t="s">
        <v>4141</v>
      </c>
      <c r="B8065" s="35">
        <v>1.2053806286034701</v>
      </c>
    </row>
    <row r="8066" spans="1:2" ht="13.2" x14ac:dyDescent="0.25">
      <c r="A8066" s="34" t="s">
        <v>4140</v>
      </c>
      <c r="B8066" s="35">
        <v>1.2012407674548</v>
      </c>
    </row>
    <row r="8067" spans="1:2" ht="13.2" x14ac:dyDescent="0.25">
      <c r="A8067" s="34" t="s">
        <v>4139</v>
      </c>
      <c r="B8067" s="35">
        <v>1.16622261057198</v>
      </c>
    </row>
    <row r="8068" spans="1:2" ht="13.2" x14ac:dyDescent="0.25">
      <c r="A8068" s="34" t="s">
        <v>4138</v>
      </c>
      <c r="B8068" s="35">
        <v>1.1922219051353</v>
      </c>
    </row>
    <row r="8069" spans="1:2" ht="13.2" x14ac:dyDescent="0.25">
      <c r="A8069" s="34" t="s">
        <v>4137</v>
      </c>
    </row>
    <row r="8070" spans="1:2" ht="13.2" x14ac:dyDescent="0.25">
      <c r="A8070" s="34" t="s">
        <v>4136</v>
      </c>
    </row>
    <row r="8071" spans="1:2" ht="13.2" x14ac:dyDescent="0.25">
      <c r="A8071" s="34" t="s">
        <v>4135</v>
      </c>
      <c r="B8071" s="35">
        <v>1.2562574477069599</v>
      </c>
    </row>
    <row r="8072" spans="1:2" ht="13.2" x14ac:dyDescent="0.25">
      <c r="A8072" s="34" t="s">
        <v>4134</v>
      </c>
      <c r="B8072" s="35">
        <v>1.1516073944407299</v>
      </c>
    </row>
    <row r="8073" spans="1:2" ht="13.2" x14ac:dyDescent="0.25">
      <c r="A8073" s="34" t="s">
        <v>4133</v>
      </c>
      <c r="B8073" s="35">
        <v>1.1540989159649799</v>
      </c>
    </row>
    <row r="8074" spans="1:2" ht="13.2" x14ac:dyDescent="0.25">
      <c r="A8074" s="34" t="s">
        <v>4132</v>
      </c>
      <c r="B8074" s="35">
        <v>1.04461689499318</v>
      </c>
    </row>
    <row r="8075" spans="1:2" ht="13.2" x14ac:dyDescent="0.25">
      <c r="A8075" s="34" t="s">
        <v>4131</v>
      </c>
      <c r="B8075" s="35">
        <v>1.0331749397901799</v>
      </c>
    </row>
    <row r="8076" spans="1:2" ht="13.2" x14ac:dyDescent="0.25">
      <c r="A8076" s="34" t="s">
        <v>4130</v>
      </c>
    </row>
    <row r="8077" spans="1:2" ht="13.2" x14ac:dyDescent="0.25">
      <c r="A8077" s="34" t="s">
        <v>4129</v>
      </c>
    </row>
    <row r="8078" spans="1:2" ht="13.2" x14ac:dyDescent="0.25">
      <c r="A8078" s="34" t="s">
        <v>4128</v>
      </c>
      <c r="B8078" s="35">
        <v>1.0206779840078199</v>
      </c>
    </row>
    <row r="8079" spans="1:2" ht="13.2" x14ac:dyDescent="0.25">
      <c r="A8079" s="34" t="s">
        <v>4127</v>
      </c>
      <c r="B8079" s="35">
        <v>1.0237096285740599</v>
      </c>
    </row>
    <row r="8080" spans="1:2" ht="13.2" x14ac:dyDescent="0.25">
      <c r="A8080" s="34" t="s">
        <v>4126</v>
      </c>
      <c r="B8080" s="35">
        <v>1.0482370119450799</v>
      </c>
    </row>
    <row r="8081" spans="1:2" ht="13.2" x14ac:dyDescent="0.25">
      <c r="A8081" s="34" t="s">
        <v>4125</v>
      </c>
    </row>
    <row r="8082" spans="1:2" ht="13.2" x14ac:dyDescent="0.25">
      <c r="A8082" s="34" t="s">
        <v>4124</v>
      </c>
      <c r="B8082" s="35">
        <v>1.0084486627057501</v>
      </c>
    </row>
    <row r="8083" spans="1:2" ht="13.2" x14ac:dyDescent="0.25">
      <c r="A8083" s="34" t="s">
        <v>4123</v>
      </c>
    </row>
    <row r="8084" spans="1:2" ht="13.2" x14ac:dyDescent="0.25">
      <c r="A8084" s="34" t="s">
        <v>4122</v>
      </c>
    </row>
    <row r="8085" spans="1:2" ht="13.2" x14ac:dyDescent="0.25">
      <c r="A8085" s="34" t="s">
        <v>4121</v>
      </c>
      <c r="B8085" s="35">
        <v>1.03536626246778</v>
      </c>
    </row>
    <row r="8086" spans="1:2" ht="13.2" x14ac:dyDescent="0.25">
      <c r="A8086" s="34" t="s">
        <v>4120</v>
      </c>
      <c r="B8086" s="35">
        <v>1.02802876790942</v>
      </c>
    </row>
    <row r="8087" spans="1:2" ht="13.2" x14ac:dyDescent="0.25">
      <c r="A8087" s="34" t="s">
        <v>4119</v>
      </c>
      <c r="B8087" s="35">
        <v>1.0338541372358501</v>
      </c>
    </row>
    <row r="8088" spans="1:2" ht="13.2" x14ac:dyDescent="0.25">
      <c r="A8088" s="34" t="s">
        <v>4118</v>
      </c>
      <c r="B8088" s="35">
        <v>1.00761137523613</v>
      </c>
    </row>
    <row r="8089" spans="1:2" ht="13.2" x14ac:dyDescent="0.25">
      <c r="A8089" s="34" t="s">
        <v>4117</v>
      </c>
      <c r="B8089" s="35">
        <v>1.03494183154425</v>
      </c>
    </row>
    <row r="8090" spans="1:2" ht="13.2" x14ac:dyDescent="0.25">
      <c r="A8090" s="34" t="s">
        <v>4116</v>
      </c>
    </row>
    <row r="8091" spans="1:2" ht="13.2" x14ac:dyDescent="0.25">
      <c r="A8091" s="34" t="s">
        <v>4115</v>
      </c>
    </row>
    <row r="8092" spans="1:2" ht="13.2" x14ac:dyDescent="0.25">
      <c r="A8092" s="34" t="s">
        <v>4114</v>
      </c>
      <c r="B8092" s="35">
        <v>0.97526899956694602</v>
      </c>
    </row>
    <row r="8093" spans="1:2" ht="13.2" x14ac:dyDescent="0.25">
      <c r="A8093" s="34" t="s">
        <v>4113</v>
      </c>
      <c r="B8093" s="35">
        <v>0.96315134856817497</v>
      </c>
    </row>
    <row r="8094" spans="1:2" ht="13.2" x14ac:dyDescent="0.25">
      <c r="A8094" s="34" t="s">
        <v>4112</v>
      </c>
      <c r="B8094" s="35">
        <v>0.97666876275865</v>
      </c>
    </row>
    <row r="8095" spans="1:2" ht="13.2" x14ac:dyDescent="0.25">
      <c r="A8095" s="34" t="s">
        <v>4111</v>
      </c>
      <c r="B8095" s="35">
        <v>1.0633121576464399</v>
      </c>
    </row>
    <row r="8096" spans="1:2" ht="13.2" x14ac:dyDescent="0.25">
      <c r="A8096" s="34" t="s">
        <v>4110</v>
      </c>
      <c r="B8096" s="35">
        <v>1.06956970663003</v>
      </c>
    </row>
    <row r="8097" spans="1:2" ht="13.2" x14ac:dyDescent="0.25">
      <c r="A8097" s="34" t="s">
        <v>4109</v>
      </c>
    </row>
    <row r="8098" spans="1:2" ht="13.2" x14ac:dyDescent="0.25">
      <c r="A8098" s="34" t="s">
        <v>4108</v>
      </c>
    </row>
    <row r="8099" spans="1:2" ht="13.2" x14ac:dyDescent="0.25">
      <c r="A8099" s="34" t="s">
        <v>4107</v>
      </c>
      <c r="B8099" s="35">
        <v>1.06259447506669</v>
      </c>
    </row>
    <row r="8100" spans="1:2" ht="13.2" x14ac:dyDescent="0.25">
      <c r="A8100" s="34" t="s">
        <v>4106</v>
      </c>
      <c r="B8100" s="35">
        <v>1.0812008268859801</v>
      </c>
    </row>
    <row r="8101" spans="1:2" ht="13.2" x14ac:dyDescent="0.25">
      <c r="A8101" s="34" t="s">
        <v>4105</v>
      </c>
      <c r="B8101" s="35">
        <v>1.0866854134536701</v>
      </c>
    </row>
    <row r="8102" spans="1:2" ht="13.2" x14ac:dyDescent="0.25">
      <c r="A8102" s="34" t="s">
        <v>4104</v>
      </c>
      <c r="B8102" s="35">
        <v>1.0870386726196899</v>
      </c>
    </row>
    <row r="8103" spans="1:2" ht="13.2" x14ac:dyDescent="0.25">
      <c r="A8103" s="34" t="s">
        <v>4103</v>
      </c>
      <c r="B8103" s="35">
        <v>1.1861422697419299</v>
      </c>
    </row>
    <row r="8104" spans="1:2" ht="13.2" x14ac:dyDescent="0.25">
      <c r="A8104" s="34" t="s">
        <v>4102</v>
      </c>
    </row>
    <row r="8105" spans="1:2" ht="13.2" x14ac:dyDescent="0.25">
      <c r="A8105" s="34" t="s">
        <v>4101</v>
      </c>
    </row>
    <row r="8106" spans="1:2" ht="13.2" x14ac:dyDescent="0.25">
      <c r="A8106" s="34" t="s">
        <v>4100</v>
      </c>
      <c r="B8106" s="35">
        <v>1.2008258526320801</v>
      </c>
    </row>
    <row r="8107" spans="1:2" ht="13.2" x14ac:dyDescent="0.25">
      <c r="A8107" s="34" t="s">
        <v>4099</v>
      </c>
      <c r="B8107" s="35">
        <v>1.18549412209403</v>
      </c>
    </row>
    <row r="8108" spans="1:2" ht="13.2" x14ac:dyDescent="0.25">
      <c r="A8108" s="34" t="s">
        <v>4098</v>
      </c>
      <c r="B8108" s="35">
        <v>1.18919546926911</v>
      </c>
    </row>
    <row r="8109" spans="1:2" ht="13.2" x14ac:dyDescent="0.25">
      <c r="A8109" s="34" t="s">
        <v>4097</v>
      </c>
      <c r="B8109" s="35">
        <v>1.18505021604256</v>
      </c>
    </row>
    <row r="8110" spans="1:2" ht="13.2" x14ac:dyDescent="0.25">
      <c r="A8110" s="34" t="s">
        <v>4096</v>
      </c>
      <c r="B8110" s="35">
        <v>1.31208877337409</v>
      </c>
    </row>
    <row r="8111" spans="1:2" ht="13.2" x14ac:dyDescent="0.25">
      <c r="A8111" s="34" t="s">
        <v>4095</v>
      </c>
    </row>
    <row r="8112" spans="1:2" ht="13.2" x14ac:dyDescent="0.25">
      <c r="A8112" s="34" t="s">
        <v>4094</v>
      </c>
    </row>
    <row r="8113" spans="1:2" ht="13.2" x14ac:dyDescent="0.25">
      <c r="A8113" s="34" t="s">
        <v>4093</v>
      </c>
      <c r="B8113" s="35">
        <v>1.3145532179298101</v>
      </c>
    </row>
    <row r="8114" spans="1:2" ht="13.2" x14ac:dyDescent="0.25">
      <c r="A8114" s="34" t="s">
        <v>4092</v>
      </c>
      <c r="B8114" s="35">
        <v>1.28104611847131</v>
      </c>
    </row>
    <row r="8115" spans="1:2" ht="13.2" x14ac:dyDescent="0.25">
      <c r="A8115" s="34" t="s">
        <v>4091</v>
      </c>
      <c r="B8115" s="35">
        <v>1.2919918795829699</v>
      </c>
    </row>
    <row r="8116" spans="1:2" ht="13.2" x14ac:dyDescent="0.25">
      <c r="A8116" s="34" t="s">
        <v>4090</v>
      </c>
      <c r="B8116" s="35">
        <v>1.2934415282373299</v>
      </c>
    </row>
    <row r="8117" spans="1:2" ht="13.2" x14ac:dyDescent="0.25">
      <c r="A8117" s="34" t="s">
        <v>4089</v>
      </c>
      <c r="B8117" s="35">
        <v>1.28667491003733</v>
      </c>
    </row>
    <row r="8118" spans="1:2" ht="13.2" x14ac:dyDescent="0.25">
      <c r="A8118" s="34" t="s">
        <v>4088</v>
      </c>
    </row>
    <row r="8119" spans="1:2" ht="13.2" x14ac:dyDescent="0.25">
      <c r="A8119" s="34" t="s">
        <v>4087</v>
      </c>
    </row>
    <row r="8120" spans="1:2" ht="13.2" x14ac:dyDescent="0.25">
      <c r="A8120" s="34" t="s">
        <v>4086</v>
      </c>
      <c r="B8120" s="35">
        <v>1.2720225575486701</v>
      </c>
    </row>
    <row r="8121" spans="1:2" ht="13.2" x14ac:dyDescent="0.25">
      <c r="A8121" s="34" t="s">
        <v>4085</v>
      </c>
      <c r="B8121" s="35">
        <v>1.27037707871855</v>
      </c>
    </row>
    <row r="8122" spans="1:2" ht="13.2" x14ac:dyDescent="0.25">
      <c r="A8122" s="34" t="s">
        <v>4084</v>
      </c>
      <c r="B8122" s="35">
        <v>1.30758654994825</v>
      </c>
    </row>
    <row r="8123" spans="1:2" ht="13.2" x14ac:dyDescent="0.25">
      <c r="A8123" s="34" t="s">
        <v>4083</v>
      </c>
      <c r="B8123" s="35">
        <v>1.3060124377942099</v>
      </c>
    </row>
    <row r="8124" spans="1:2" ht="13.2" x14ac:dyDescent="0.25">
      <c r="A8124" s="34" t="s">
        <v>4082</v>
      </c>
      <c r="B8124" s="35">
        <v>1.29358750982082</v>
      </c>
    </row>
    <row r="8125" spans="1:2" ht="13.2" x14ac:dyDescent="0.25">
      <c r="A8125" s="34" t="s">
        <v>4081</v>
      </c>
    </row>
    <row r="8126" spans="1:2" ht="13.2" x14ac:dyDescent="0.25">
      <c r="A8126" s="34" t="s">
        <v>4080</v>
      </c>
    </row>
    <row r="8127" spans="1:2" ht="13.2" x14ac:dyDescent="0.25">
      <c r="A8127" s="34" t="s">
        <v>4079</v>
      </c>
      <c r="B8127" s="35">
        <v>1.4119269362828399</v>
      </c>
    </row>
    <row r="8128" spans="1:2" ht="13.2" x14ac:dyDescent="0.25">
      <c r="A8128" s="34" t="s">
        <v>4078</v>
      </c>
      <c r="B8128" s="35">
        <v>1.42146413529518</v>
      </c>
    </row>
    <row r="8129" spans="1:2" ht="13.2" x14ac:dyDescent="0.25">
      <c r="A8129" s="34" t="s">
        <v>4077</v>
      </c>
      <c r="B8129" s="35">
        <v>1.5713043832465401</v>
      </c>
    </row>
    <row r="8130" spans="1:2" ht="13.2" x14ac:dyDescent="0.25">
      <c r="A8130" s="34" t="s">
        <v>4076</v>
      </c>
      <c r="B8130" s="35">
        <v>1.7592412482226201</v>
      </c>
    </row>
    <row r="8131" spans="1:2" ht="13.2" x14ac:dyDescent="0.25">
      <c r="A8131" s="34" t="s">
        <v>4075</v>
      </c>
      <c r="B8131" s="35">
        <v>1.76865813905422</v>
      </c>
    </row>
    <row r="8132" spans="1:2" ht="13.2" x14ac:dyDescent="0.25">
      <c r="A8132" s="34" t="s">
        <v>4074</v>
      </c>
    </row>
    <row r="8133" spans="1:2" ht="13.2" x14ac:dyDescent="0.25">
      <c r="A8133" s="34" t="s">
        <v>4073</v>
      </c>
    </row>
    <row r="8134" spans="1:2" ht="13.2" x14ac:dyDescent="0.25">
      <c r="A8134" s="34" t="s">
        <v>4072</v>
      </c>
      <c r="B8134" s="35">
        <v>1.70375886116202</v>
      </c>
    </row>
    <row r="8135" spans="1:2" ht="13.2" x14ac:dyDescent="0.25">
      <c r="A8135" s="34" t="s">
        <v>4071</v>
      </c>
      <c r="B8135" s="35">
        <v>1.7504494256621499</v>
      </c>
    </row>
    <row r="8136" spans="1:2" ht="13.2" x14ac:dyDescent="0.25">
      <c r="A8136" s="34" t="s">
        <v>4070</v>
      </c>
      <c r="B8136" s="35">
        <v>1.8406014750314399</v>
      </c>
    </row>
    <row r="8137" spans="1:2" ht="13.2" x14ac:dyDescent="0.25">
      <c r="A8137" s="34" t="s">
        <v>4069</v>
      </c>
      <c r="B8137" s="35">
        <v>1.8997723735793</v>
      </c>
    </row>
    <row r="8138" spans="1:2" ht="13.2" x14ac:dyDescent="0.25">
      <c r="A8138" s="34" t="s">
        <v>4068</v>
      </c>
      <c r="B8138" s="35">
        <v>1.9297640639394</v>
      </c>
    </row>
    <row r="8139" spans="1:2" ht="13.2" x14ac:dyDescent="0.25">
      <c r="A8139" s="34" t="s">
        <v>4067</v>
      </c>
    </row>
    <row r="8140" spans="1:2" ht="13.2" x14ac:dyDescent="0.25">
      <c r="A8140" s="34" t="s">
        <v>4066</v>
      </c>
    </row>
    <row r="8141" spans="1:2" ht="13.2" x14ac:dyDescent="0.25">
      <c r="A8141" s="34" t="s">
        <v>4065</v>
      </c>
    </row>
    <row r="8142" spans="1:2" ht="13.2" x14ac:dyDescent="0.25">
      <c r="A8142" s="34" t="s">
        <v>4064</v>
      </c>
      <c r="B8142" s="35">
        <v>1.8462392226154101</v>
      </c>
    </row>
    <row r="8143" spans="1:2" ht="13.2" x14ac:dyDescent="0.25">
      <c r="A8143" s="34" t="s">
        <v>4063</v>
      </c>
      <c r="B8143" s="35">
        <v>1.80136867460185</v>
      </c>
    </row>
    <row r="8144" spans="1:2" ht="13.2" x14ac:dyDescent="0.25">
      <c r="A8144" s="34" t="s">
        <v>4062</v>
      </c>
      <c r="B8144" s="35">
        <v>1.8001026352670799</v>
      </c>
    </row>
    <row r="8145" spans="1:2" ht="13.2" x14ac:dyDescent="0.25">
      <c r="A8145" s="34" t="s">
        <v>4061</v>
      </c>
      <c r="B8145" s="35">
        <v>1.78079717542623</v>
      </c>
    </row>
    <row r="8146" spans="1:2" ht="13.2" x14ac:dyDescent="0.25">
      <c r="A8146" s="34" t="s">
        <v>4060</v>
      </c>
    </row>
    <row r="8147" spans="1:2" ht="13.2" x14ac:dyDescent="0.25">
      <c r="A8147" s="34" t="s">
        <v>4059</v>
      </c>
    </row>
    <row r="8148" spans="1:2" ht="13.2" x14ac:dyDescent="0.25">
      <c r="A8148" s="34" t="s">
        <v>4058</v>
      </c>
      <c r="B8148" s="35">
        <v>1.83130333386088</v>
      </c>
    </row>
    <row r="8149" spans="1:2" ht="13.2" x14ac:dyDescent="0.25">
      <c r="A8149" s="34" t="s">
        <v>4057</v>
      </c>
      <c r="B8149" s="35">
        <v>1.8180400938382999</v>
      </c>
    </row>
    <row r="8150" spans="1:2" ht="13.2" x14ac:dyDescent="0.25">
      <c r="A8150" s="34" t="s">
        <v>4056</v>
      </c>
      <c r="B8150" s="35">
        <v>1.8908827685887</v>
      </c>
    </row>
    <row r="8151" spans="1:2" ht="13.2" x14ac:dyDescent="0.25">
      <c r="A8151" s="34" t="s">
        <v>4055</v>
      </c>
      <c r="B8151" s="35">
        <v>1.8892459859970001</v>
      </c>
    </row>
    <row r="8152" spans="1:2" ht="13.2" x14ac:dyDescent="0.25">
      <c r="A8152" s="34" t="s">
        <v>4054</v>
      </c>
      <c r="B8152" s="35">
        <v>1.94145720892133</v>
      </c>
    </row>
    <row r="8153" spans="1:2" ht="13.2" x14ac:dyDescent="0.25">
      <c r="A8153" s="34" t="s">
        <v>4053</v>
      </c>
    </row>
    <row r="8154" spans="1:2" ht="13.2" x14ac:dyDescent="0.25">
      <c r="A8154" s="34" t="s">
        <v>4052</v>
      </c>
    </row>
    <row r="8155" spans="1:2" ht="13.2" x14ac:dyDescent="0.25">
      <c r="A8155" s="34" t="s">
        <v>4051</v>
      </c>
      <c r="B8155" s="35">
        <v>1.9688704076324699</v>
      </c>
    </row>
    <row r="8156" spans="1:2" ht="13.2" x14ac:dyDescent="0.25">
      <c r="A8156" s="34" t="s">
        <v>4050</v>
      </c>
      <c r="B8156" s="35">
        <v>1.9223233565440401</v>
      </c>
    </row>
    <row r="8157" spans="1:2" ht="13.2" x14ac:dyDescent="0.25">
      <c r="A8157" s="34" t="s">
        <v>4049</v>
      </c>
      <c r="B8157" s="35">
        <v>1.8488467081161799</v>
      </c>
    </row>
    <row r="8158" spans="1:2" ht="13.2" x14ac:dyDescent="0.25">
      <c r="A8158" s="34" t="s">
        <v>4048</v>
      </c>
      <c r="B8158" s="35">
        <v>1.84745504019562</v>
      </c>
    </row>
    <row r="8159" spans="1:2" ht="13.2" x14ac:dyDescent="0.25">
      <c r="A8159" s="34" t="s">
        <v>4047</v>
      </c>
      <c r="B8159" s="35">
        <v>1.7063947360907299</v>
      </c>
    </row>
    <row r="8160" spans="1:2" ht="13.2" x14ac:dyDescent="0.25">
      <c r="A8160" s="34" t="s">
        <v>4046</v>
      </c>
    </row>
    <row r="8161" spans="1:2" ht="13.2" x14ac:dyDescent="0.25">
      <c r="A8161" s="34" t="s">
        <v>4045</v>
      </c>
    </row>
    <row r="8162" spans="1:2" ht="13.2" x14ac:dyDescent="0.25">
      <c r="A8162" s="34" t="s">
        <v>4044</v>
      </c>
      <c r="B8162" s="35">
        <v>1.5238477999729001</v>
      </c>
    </row>
    <row r="8163" spans="1:2" ht="13.2" x14ac:dyDescent="0.25">
      <c r="A8163" s="34" t="s">
        <v>4043</v>
      </c>
      <c r="B8163" s="35">
        <v>1.5217899200771501</v>
      </c>
    </row>
    <row r="8164" spans="1:2" ht="13.2" x14ac:dyDescent="0.25">
      <c r="A8164" s="34" t="s">
        <v>4042</v>
      </c>
      <c r="B8164" s="35">
        <v>1.59534700413884</v>
      </c>
    </row>
    <row r="8165" spans="1:2" ht="13.2" x14ac:dyDescent="0.25">
      <c r="A8165" s="34" t="s">
        <v>4041</v>
      </c>
      <c r="B8165" s="35">
        <v>1.50902411246486</v>
      </c>
    </row>
    <row r="8166" spans="1:2" ht="13.2" x14ac:dyDescent="0.25">
      <c r="A8166" s="34" t="s">
        <v>4040</v>
      </c>
      <c r="B8166" s="35">
        <v>1.65451488268747</v>
      </c>
    </row>
    <row r="8167" spans="1:2" ht="13.2" x14ac:dyDescent="0.25">
      <c r="A8167" s="34" t="s">
        <v>4039</v>
      </c>
    </row>
    <row r="8168" spans="1:2" ht="13.2" x14ac:dyDescent="0.25">
      <c r="A8168" s="34" t="s">
        <v>4038</v>
      </c>
    </row>
    <row r="8169" spans="1:2" ht="13.2" x14ac:dyDescent="0.25">
      <c r="A8169" s="34" t="s">
        <v>4037</v>
      </c>
      <c r="B8169" s="35">
        <v>1.6207527155204899</v>
      </c>
    </row>
    <row r="8170" spans="1:2" ht="13.2" x14ac:dyDescent="0.25">
      <c r="A8170" s="34" t="s">
        <v>4036</v>
      </c>
      <c r="B8170" s="35">
        <v>1.5633571323265201</v>
      </c>
    </row>
    <row r="8171" spans="1:2" ht="13.2" x14ac:dyDescent="0.25">
      <c r="A8171" s="34" t="s">
        <v>4035</v>
      </c>
      <c r="B8171" s="35">
        <v>1.6413175087873999</v>
      </c>
    </row>
    <row r="8172" spans="1:2" ht="13.2" x14ac:dyDescent="0.25">
      <c r="A8172" s="34" t="s">
        <v>4034</v>
      </c>
      <c r="B8172" s="35">
        <v>1.6385926414651699</v>
      </c>
    </row>
    <row r="8173" spans="1:2" ht="13.2" x14ac:dyDescent="0.25">
      <c r="A8173" s="34" t="s">
        <v>4033</v>
      </c>
      <c r="B8173" s="35">
        <v>1.63390516454616</v>
      </c>
    </row>
    <row r="8174" spans="1:2" ht="13.2" x14ac:dyDescent="0.25">
      <c r="A8174" s="34" t="s">
        <v>4032</v>
      </c>
    </row>
    <row r="8175" spans="1:2" ht="13.2" x14ac:dyDescent="0.25">
      <c r="A8175" s="34" t="s">
        <v>4031</v>
      </c>
    </row>
    <row r="8176" spans="1:2" ht="13.2" x14ac:dyDescent="0.25">
      <c r="A8176" s="34" t="s">
        <v>4030</v>
      </c>
    </row>
    <row r="8177" spans="1:2" ht="13.2" x14ac:dyDescent="0.25">
      <c r="A8177" s="34" t="s">
        <v>4029</v>
      </c>
      <c r="B8177" s="35">
        <v>1.89076075507849</v>
      </c>
    </row>
    <row r="8178" spans="1:2" ht="13.2" x14ac:dyDescent="0.25">
      <c r="A8178" s="34" t="s">
        <v>4028</v>
      </c>
      <c r="B8178" s="35">
        <v>1.8710856698106499</v>
      </c>
    </row>
    <row r="8179" spans="1:2" ht="13.2" x14ac:dyDescent="0.25">
      <c r="A8179" s="34" t="s">
        <v>4027</v>
      </c>
      <c r="B8179" s="35">
        <v>1.8838032775387601</v>
      </c>
    </row>
    <row r="8180" spans="1:2" ht="13.2" x14ac:dyDescent="0.25">
      <c r="A8180" s="34" t="s">
        <v>4026</v>
      </c>
      <c r="B8180" s="35">
        <v>1.79584277117058</v>
      </c>
    </row>
    <row r="8181" spans="1:2" ht="13.2" x14ac:dyDescent="0.25">
      <c r="A8181" s="34" t="s">
        <v>4025</v>
      </c>
    </row>
    <row r="8182" spans="1:2" ht="13.2" x14ac:dyDescent="0.25">
      <c r="A8182" s="34" t="s">
        <v>4024</v>
      </c>
    </row>
    <row r="8183" spans="1:2" ht="13.2" x14ac:dyDescent="0.25">
      <c r="A8183" s="34" t="s">
        <v>4023</v>
      </c>
      <c r="B8183" s="35">
        <v>1.80010872322571</v>
      </c>
    </row>
    <row r="8184" spans="1:2" ht="13.2" x14ac:dyDescent="0.25">
      <c r="A8184" s="34" t="s">
        <v>4022</v>
      </c>
      <c r="B8184" s="35">
        <v>1.7094943045303099</v>
      </c>
    </row>
    <row r="8185" spans="1:2" ht="13.2" x14ac:dyDescent="0.25">
      <c r="A8185" s="34" t="s">
        <v>4021</v>
      </c>
      <c r="B8185" s="35">
        <v>1.6787254084230401</v>
      </c>
    </row>
    <row r="8186" spans="1:2" ht="13.2" x14ac:dyDescent="0.25">
      <c r="A8186" s="34" t="s">
        <v>4020</v>
      </c>
      <c r="B8186" s="35">
        <v>1.7014932069053099</v>
      </c>
    </row>
    <row r="8187" spans="1:2" ht="13.2" x14ac:dyDescent="0.25">
      <c r="A8187" s="34" t="s">
        <v>4019</v>
      </c>
      <c r="B8187" s="35">
        <v>1.63283329473548</v>
      </c>
    </row>
    <row r="8188" spans="1:2" ht="13.2" x14ac:dyDescent="0.25">
      <c r="A8188" s="34" t="s">
        <v>4018</v>
      </c>
    </row>
    <row r="8189" spans="1:2" ht="13.2" x14ac:dyDescent="0.25">
      <c r="A8189" s="34" t="s">
        <v>4017</v>
      </c>
    </row>
    <row r="8190" spans="1:2" ht="13.2" x14ac:dyDescent="0.25">
      <c r="A8190" s="34" t="s">
        <v>4016</v>
      </c>
      <c r="B8190" s="35">
        <v>1.6475308468432699</v>
      </c>
    </row>
    <row r="8191" spans="1:2" ht="13.2" x14ac:dyDescent="0.25">
      <c r="A8191" s="34" t="s">
        <v>4015</v>
      </c>
      <c r="B8191" s="35">
        <v>1.6290845696607199</v>
      </c>
    </row>
    <row r="8192" spans="1:2" ht="13.2" x14ac:dyDescent="0.25">
      <c r="A8192" s="34" t="s">
        <v>4014</v>
      </c>
      <c r="B8192" s="35">
        <v>1.56406078066799</v>
      </c>
    </row>
    <row r="8193" spans="1:2" ht="13.2" x14ac:dyDescent="0.25">
      <c r="A8193" s="34" t="s">
        <v>4013</v>
      </c>
      <c r="B8193" s="35">
        <v>1.6709672054822799</v>
      </c>
    </row>
    <row r="8194" spans="1:2" ht="13.2" x14ac:dyDescent="0.25">
      <c r="A8194" s="34" t="s">
        <v>4012</v>
      </c>
      <c r="B8194" s="35">
        <v>1.61519249008041</v>
      </c>
    </row>
    <row r="8195" spans="1:2" ht="13.2" x14ac:dyDescent="0.25">
      <c r="A8195" s="34" t="s">
        <v>4011</v>
      </c>
    </row>
    <row r="8196" spans="1:2" ht="13.2" x14ac:dyDescent="0.25">
      <c r="A8196" s="34" t="s">
        <v>4010</v>
      </c>
    </row>
    <row r="8197" spans="1:2" ht="13.2" x14ac:dyDescent="0.25">
      <c r="A8197" s="34" t="s">
        <v>4009</v>
      </c>
    </row>
    <row r="8198" spans="1:2" ht="13.2" x14ac:dyDescent="0.25">
      <c r="A8198" s="34" t="s">
        <v>4008</v>
      </c>
      <c r="B8198" s="35">
        <v>1.8977015834904001</v>
      </c>
    </row>
    <row r="8199" spans="1:2" ht="13.2" x14ac:dyDescent="0.25">
      <c r="A8199" s="34" t="s">
        <v>4007</v>
      </c>
      <c r="B8199" s="35">
        <v>1.73503806560408</v>
      </c>
    </row>
    <row r="8200" spans="1:2" ht="13.2" x14ac:dyDescent="0.25">
      <c r="A8200" s="34" t="s">
        <v>4006</v>
      </c>
      <c r="B8200" s="35">
        <v>1.72238088635922</v>
      </c>
    </row>
    <row r="8201" spans="1:2" ht="13.2" x14ac:dyDescent="0.25">
      <c r="A8201" s="34" t="s">
        <v>4005</v>
      </c>
      <c r="B8201" s="35">
        <v>1.7999120242897799</v>
      </c>
    </row>
    <row r="8202" spans="1:2" ht="13.2" x14ac:dyDescent="0.25">
      <c r="A8202" s="34" t="s">
        <v>4004</v>
      </c>
    </row>
    <row r="8203" spans="1:2" ht="13.2" x14ac:dyDescent="0.25">
      <c r="A8203" s="34" t="s">
        <v>4003</v>
      </c>
    </row>
    <row r="8204" spans="1:2" ht="13.2" x14ac:dyDescent="0.25">
      <c r="A8204" s="34" t="s">
        <v>4002</v>
      </c>
      <c r="B8204" s="35">
        <v>1.7297835896314</v>
      </c>
    </row>
    <row r="8205" spans="1:2" ht="13.2" x14ac:dyDescent="0.25">
      <c r="A8205" s="34" t="s">
        <v>4001</v>
      </c>
      <c r="B8205" s="35">
        <v>1.72405116075603</v>
      </c>
    </row>
    <row r="8206" spans="1:2" ht="13.2" x14ac:dyDescent="0.25">
      <c r="A8206" s="34" t="s">
        <v>4000</v>
      </c>
      <c r="B8206" s="35">
        <v>1.7829595996073799</v>
      </c>
    </row>
    <row r="8207" spans="1:2" ht="13.2" x14ac:dyDescent="0.25">
      <c r="A8207" s="34" t="s">
        <v>3999</v>
      </c>
      <c r="B8207" s="35">
        <v>1.5499611642942801</v>
      </c>
    </row>
    <row r="8208" spans="1:2" ht="13.2" x14ac:dyDescent="0.25">
      <c r="A8208" s="34" t="s">
        <v>3998</v>
      </c>
      <c r="B8208" s="35">
        <v>1.52935964060653</v>
      </c>
    </row>
    <row r="8209" spans="1:2" ht="13.2" x14ac:dyDescent="0.25">
      <c r="A8209" s="34" t="s">
        <v>3997</v>
      </c>
    </row>
    <row r="8210" spans="1:2" ht="13.2" x14ac:dyDescent="0.25">
      <c r="A8210" s="34" t="s">
        <v>3996</v>
      </c>
    </row>
    <row r="8211" spans="1:2" ht="13.2" x14ac:dyDescent="0.25">
      <c r="A8211" s="34" t="s">
        <v>3995</v>
      </c>
      <c r="B8211" s="35">
        <v>1.52220445129161</v>
      </c>
    </row>
    <row r="8212" spans="1:2" ht="13.2" x14ac:dyDescent="0.25">
      <c r="A8212" s="34" t="s">
        <v>3994</v>
      </c>
      <c r="B8212" s="35">
        <v>1.5340236784060299</v>
      </c>
    </row>
    <row r="8213" spans="1:2" ht="13.2" x14ac:dyDescent="0.25">
      <c r="A8213" s="34" t="s">
        <v>3993</v>
      </c>
      <c r="B8213" s="35">
        <v>1.5333562530568801</v>
      </c>
    </row>
    <row r="8214" spans="1:2" ht="13.2" x14ac:dyDescent="0.25">
      <c r="A8214" s="34" t="s">
        <v>3992</v>
      </c>
      <c r="B8214" s="35">
        <v>1.5546380062463701</v>
      </c>
    </row>
    <row r="8215" spans="1:2" ht="13.2" x14ac:dyDescent="0.25">
      <c r="A8215" s="34" t="s">
        <v>3991</v>
      </c>
    </row>
    <row r="8216" spans="1:2" ht="13.2" x14ac:dyDescent="0.25">
      <c r="A8216" s="34" t="s">
        <v>3990</v>
      </c>
    </row>
    <row r="8217" spans="1:2" ht="13.2" x14ac:dyDescent="0.25">
      <c r="A8217" s="34" t="s">
        <v>3989</v>
      </c>
    </row>
    <row r="8218" spans="1:2" ht="13.2" x14ac:dyDescent="0.25">
      <c r="A8218" s="34" t="s">
        <v>3988</v>
      </c>
      <c r="B8218" s="35">
        <v>1.55399576415747</v>
      </c>
    </row>
    <row r="8219" spans="1:2" ht="13.2" x14ac:dyDescent="0.25">
      <c r="A8219" s="34" t="s">
        <v>3987</v>
      </c>
      <c r="B8219" s="35">
        <v>1.51838195217803</v>
      </c>
    </row>
    <row r="8220" spans="1:2" ht="13.2" x14ac:dyDescent="0.25">
      <c r="A8220" s="34" t="s">
        <v>3986</v>
      </c>
      <c r="B8220" s="35">
        <v>1.65510832841176</v>
      </c>
    </row>
    <row r="8221" spans="1:2" ht="13.2" x14ac:dyDescent="0.25">
      <c r="A8221" s="34" t="s">
        <v>3985</v>
      </c>
      <c r="B8221" s="35">
        <v>1.6520122783435001</v>
      </c>
    </row>
    <row r="8222" spans="1:2" ht="13.2" x14ac:dyDescent="0.25">
      <c r="A8222" s="34" t="s">
        <v>3984</v>
      </c>
      <c r="B8222" s="35">
        <v>1.7557068313340201</v>
      </c>
    </row>
    <row r="8223" spans="1:2" ht="13.2" x14ac:dyDescent="0.25">
      <c r="A8223" s="34" t="s">
        <v>3983</v>
      </c>
    </row>
    <row r="8224" spans="1:2" ht="13.2" x14ac:dyDescent="0.25">
      <c r="A8224" s="34" t="s">
        <v>3982</v>
      </c>
    </row>
    <row r="8225" spans="1:2" ht="13.2" x14ac:dyDescent="0.25">
      <c r="A8225" s="34" t="s">
        <v>3981</v>
      </c>
      <c r="B8225" s="35">
        <v>1.7844262518256899</v>
      </c>
    </row>
    <row r="8226" spans="1:2" ht="13.2" x14ac:dyDescent="0.25">
      <c r="A8226" s="34" t="s">
        <v>3980</v>
      </c>
      <c r="B8226" s="35">
        <v>1.7090439388713401</v>
      </c>
    </row>
    <row r="8227" spans="1:2" ht="13.2" x14ac:dyDescent="0.25">
      <c r="A8227" s="34" t="s">
        <v>3979</v>
      </c>
      <c r="B8227" s="35">
        <v>1.7043045313620899</v>
      </c>
    </row>
    <row r="8228" spans="1:2" ht="13.2" x14ac:dyDescent="0.25">
      <c r="A8228" s="34" t="s">
        <v>3978</v>
      </c>
      <c r="B8228" s="35">
        <v>1.52546503793317</v>
      </c>
    </row>
    <row r="8229" spans="1:2" ht="13.2" x14ac:dyDescent="0.25">
      <c r="A8229" s="34" t="s">
        <v>3977</v>
      </c>
      <c r="B8229" s="35">
        <v>1.5884074807529101</v>
      </c>
    </row>
    <row r="8230" spans="1:2" ht="13.2" x14ac:dyDescent="0.25">
      <c r="A8230" s="34" t="s">
        <v>3976</v>
      </c>
    </row>
    <row r="8231" spans="1:2" ht="13.2" x14ac:dyDescent="0.25">
      <c r="A8231" s="34" t="s">
        <v>3975</v>
      </c>
    </row>
    <row r="8232" spans="1:2" ht="13.2" x14ac:dyDescent="0.25">
      <c r="A8232" s="34" t="s">
        <v>3974</v>
      </c>
      <c r="B8232" s="35">
        <v>1.5736069842656399</v>
      </c>
    </row>
    <row r="8233" spans="1:2" ht="13.2" x14ac:dyDescent="0.25">
      <c r="A8233" s="34" t="s">
        <v>3973</v>
      </c>
      <c r="B8233" s="35">
        <v>1.53713091464369</v>
      </c>
    </row>
    <row r="8234" spans="1:2" ht="13.2" x14ac:dyDescent="0.25">
      <c r="A8234" s="34" t="s">
        <v>3972</v>
      </c>
      <c r="B8234" s="35">
        <v>1.7286117072481699</v>
      </c>
    </row>
    <row r="8235" spans="1:2" ht="13.2" x14ac:dyDescent="0.25">
      <c r="A8235" s="34" t="s">
        <v>3971</v>
      </c>
      <c r="B8235" s="35">
        <v>1.7432157551485701</v>
      </c>
    </row>
    <row r="8236" spans="1:2" ht="13.2" x14ac:dyDescent="0.25">
      <c r="A8236" s="34" t="s">
        <v>3970</v>
      </c>
      <c r="B8236" s="35">
        <v>1.69059310749834</v>
      </c>
    </row>
    <row r="8237" spans="1:2" ht="13.2" x14ac:dyDescent="0.25">
      <c r="A8237" s="34" t="s">
        <v>3969</v>
      </c>
    </row>
    <row r="8238" spans="1:2" ht="13.2" x14ac:dyDescent="0.25">
      <c r="A8238" s="34" t="s">
        <v>3968</v>
      </c>
    </row>
    <row r="8239" spans="1:2" ht="13.2" x14ac:dyDescent="0.25">
      <c r="A8239" s="34" t="s">
        <v>3967</v>
      </c>
      <c r="B8239" s="35">
        <v>1.70319680234743</v>
      </c>
    </row>
    <row r="8240" spans="1:2" ht="13.2" x14ac:dyDescent="0.25">
      <c r="A8240" s="34" t="s">
        <v>3966</v>
      </c>
      <c r="B8240" s="35">
        <v>1.7014249606462399</v>
      </c>
    </row>
    <row r="8241" spans="1:2" ht="13.2" x14ac:dyDescent="0.25">
      <c r="A8241" s="34" t="s">
        <v>3965</v>
      </c>
      <c r="B8241" s="35">
        <v>1.69352028788749</v>
      </c>
    </row>
    <row r="8242" spans="1:2" ht="13.2" x14ac:dyDescent="0.25">
      <c r="A8242" s="34" t="s">
        <v>3964</v>
      </c>
      <c r="B8242" s="35">
        <v>1.68532258480075</v>
      </c>
    </row>
    <row r="8243" spans="1:2" ht="13.2" x14ac:dyDescent="0.25">
      <c r="A8243" s="34" t="s">
        <v>3963</v>
      </c>
      <c r="B8243" s="35">
        <v>1.7868638830343899</v>
      </c>
    </row>
    <row r="8244" spans="1:2" ht="13.2" x14ac:dyDescent="0.25">
      <c r="A8244" s="34" t="s">
        <v>3962</v>
      </c>
    </row>
    <row r="8245" spans="1:2" ht="13.2" x14ac:dyDescent="0.25">
      <c r="A8245" s="34" t="s">
        <v>3961</v>
      </c>
    </row>
    <row r="8246" spans="1:2" ht="13.2" x14ac:dyDescent="0.25">
      <c r="A8246" s="34" t="s">
        <v>3960</v>
      </c>
      <c r="B8246" s="35">
        <v>1.75523905079881</v>
      </c>
    </row>
    <row r="8247" spans="1:2" ht="13.2" x14ac:dyDescent="0.25">
      <c r="A8247" s="34" t="s">
        <v>3959</v>
      </c>
      <c r="B8247" s="35">
        <v>1.7692738707084401</v>
      </c>
    </row>
    <row r="8248" spans="1:2" ht="13.2" x14ac:dyDescent="0.25">
      <c r="A8248" s="34" t="s">
        <v>3958</v>
      </c>
      <c r="B8248" s="35">
        <v>1.8024955013478201</v>
      </c>
    </row>
    <row r="8249" spans="1:2" ht="13.2" x14ac:dyDescent="0.25">
      <c r="A8249" s="34" t="s">
        <v>3957</v>
      </c>
    </row>
    <row r="8250" spans="1:2" ht="13.2" x14ac:dyDescent="0.25">
      <c r="A8250" s="34" t="s">
        <v>3956</v>
      </c>
    </row>
    <row r="8251" spans="1:2" ht="13.2" x14ac:dyDescent="0.25">
      <c r="A8251" s="34" t="s">
        <v>3955</v>
      </c>
    </row>
    <row r="8252" spans="1:2" ht="13.2" x14ac:dyDescent="0.25">
      <c r="A8252" s="34" t="s">
        <v>3954</v>
      </c>
    </row>
    <row r="8253" spans="1:2" ht="13.2" x14ac:dyDescent="0.25">
      <c r="A8253" s="34" t="s">
        <v>3953</v>
      </c>
      <c r="B8253" s="35">
        <v>1.70705218088233</v>
      </c>
    </row>
    <row r="8254" spans="1:2" ht="13.2" x14ac:dyDescent="0.25">
      <c r="A8254" s="34" t="s">
        <v>3952</v>
      </c>
      <c r="B8254" s="35">
        <v>1.6941983887594201</v>
      </c>
    </row>
    <row r="8255" spans="1:2" ht="13.2" x14ac:dyDescent="0.25">
      <c r="A8255" s="34" t="s">
        <v>3951</v>
      </c>
      <c r="B8255" s="35">
        <v>1.6077638161085801</v>
      </c>
    </row>
    <row r="8256" spans="1:2" ht="13.2" x14ac:dyDescent="0.25">
      <c r="A8256" s="34" t="s">
        <v>3950</v>
      </c>
    </row>
    <row r="8257" spans="1:2" ht="13.2" x14ac:dyDescent="0.25">
      <c r="A8257" s="34" t="s">
        <v>3949</v>
      </c>
    </row>
    <row r="8258" spans="1:2" ht="13.2" x14ac:dyDescent="0.25">
      <c r="A8258" s="34" t="s">
        <v>3948</v>
      </c>
    </row>
    <row r="8259" spans="1:2" ht="13.2" x14ac:dyDescent="0.25">
      <c r="A8259" s="34" t="s">
        <v>3947</v>
      </c>
    </row>
    <row r="8260" spans="1:2" ht="13.2" x14ac:dyDescent="0.25">
      <c r="A8260" s="34" t="s">
        <v>3946</v>
      </c>
      <c r="B8260" s="35">
        <v>1.67722469175745</v>
      </c>
    </row>
    <row r="8261" spans="1:2" ht="13.2" x14ac:dyDescent="0.25">
      <c r="A8261" s="34" t="s">
        <v>3945</v>
      </c>
      <c r="B8261" s="35">
        <v>1.6906930664629201</v>
      </c>
    </row>
    <row r="8262" spans="1:2" ht="13.2" x14ac:dyDescent="0.25">
      <c r="A8262" s="34" t="s">
        <v>3944</v>
      </c>
      <c r="B8262" s="35">
        <v>1.7125113748793901</v>
      </c>
    </row>
    <row r="8263" spans="1:2" ht="13.2" x14ac:dyDescent="0.25">
      <c r="A8263" s="34" t="s">
        <v>3943</v>
      </c>
      <c r="B8263" s="35">
        <v>1.57057468507585</v>
      </c>
    </row>
    <row r="8264" spans="1:2" ht="13.2" x14ac:dyDescent="0.25">
      <c r="A8264" s="34" t="s">
        <v>3942</v>
      </c>
      <c r="B8264" s="35">
        <v>1.5275578677949599</v>
      </c>
    </row>
    <row r="8265" spans="1:2" ht="13.2" x14ac:dyDescent="0.25">
      <c r="A8265" s="34" t="s">
        <v>3941</v>
      </c>
    </row>
    <row r="8266" spans="1:2" ht="13.2" x14ac:dyDescent="0.25">
      <c r="A8266" s="34" t="s">
        <v>3940</v>
      </c>
    </row>
    <row r="8267" spans="1:2" ht="13.2" x14ac:dyDescent="0.25">
      <c r="A8267" s="34" t="s">
        <v>3939</v>
      </c>
      <c r="B8267" s="35">
        <v>1.5456628370644201</v>
      </c>
    </row>
    <row r="8268" spans="1:2" ht="13.2" x14ac:dyDescent="0.25">
      <c r="A8268" s="34" t="s">
        <v>3938</v>
      </c>
      <c r="B8268" s="35">
        <v>1.52803122081448</v>
      </c>
    </row>
    <row r="8269" spans="1:2" ht="13.2" x14ac:dyDescent="0.25">
      <c r="A8269" s="34" t="s">
        <v>3937</v>
      </c>
      <c r="B8269" s="35">
        <v>1.1892010017544701</v>
      </c>
    </row>
    <row r="8270" spans="1:2" ht="13.2" x14ac:dyDescent="0.25">
      <c r="A8270" s="34" t="s">
        <v>3936</v>
      </c>
      <c r="B8270" s="35">
        <v>1.28212189554752</v>
      </c>
    </row>
    <row r="8271" spans="1:2" ht="13.2" x14ac:dyDescent="0.25">
      <c r="A8271" s="34" t="s">
        <v>3935</v>
      </c>
      <c r="B8271" s="35">
        <v>1.3346731715928599</v>
      </c>
    </row>
    <row r="8272" spans="1:2" ht="13.2" x14ac:dyDescent="0.25">
      <c r="A8272" s="34" t="s">
        <v>3934</v>
      </c>
    </row>
    <row r="8273" spans="1:2" ht="13.2" x14ac:dyDescent="0.25">
      <c r="A8273" s="34" t="s">
        <v>3933</v>
      </c>
    </row>
    <row r="8274" spans="1:2" ht="13.2" x14ac:dyDescent="0.25">
      <c r="A8274" s="34" t="s">
        <v>3932</v>
      </c>
      <c r="B8274" s="35">
        <v>1.3464646493147401</v>
      </c>
    </row>
    <row r="8275" spans="1:2" ht="13.2" x14ac:dyDescent="0.25">
      <c r="A8275" s="34" t="s">
        <v>3931</v>
      </c>
      <c r="B8275" s="35">
        <v>1.3479456157771801</v>
      </c>
    </row>
    <row r="8276" spans="1:2" ht="13.2" x14ac:dyDescent="0.25">
      <c r="A8276" s="34" t="s">
        <v>3930</v>
      </c>
      <c r="B8276" s="35">
        <v>1.32507449646625</v>
      </c>
    </row>
    <row r="8277" spans="1:2" ht="13.2" x14ac:dyDescent="0.25">
      <c r="A8277" s="34" t="s">
        <v>3929</v>
      </c>
      <c r="B8277" s="35">
        <v>1.30869236008223</v>
      </c>
    </row>
    <row r="8278" spans="1:2" ht="13.2" x14ac:dyDescent="0.25">
      <c r="A8278" s="34" t="s">
        <v>3928</v>
      </c>
      <c r="B8278" s="35">
        <v>1.2601812130157799</v>
      </c>
    </row>
    <row r="8279" spans="1:2" ht="13.2" x14ac:dyDescent="0.25">
      <c r="A8279" s="34" t="s">
        <v>3927</v>
      </c>
    </row>
    <row r="8280" spans="1:2" ht="13.2" x14ac:dyDescent="0.25">
      <c r="A8280" s="34" t="s">
        <v>3926</v>
      </c>
    </row>
    <row r="8281" spans="1:2" ht="13.2" x14ac:dyDescent="0.25">
      <c r="A8281" s="34" t="s">
        <v>3925</v>
      </c>
    </row>
    <row r="8282" spans="1:2" ht="13.2" x14ac:dyDescent="0.25">
      <c r="A8282" s="34" t="s">
        <v>3924</v>
      </c>
      <c r="B8282" s="35">
        <v>1.25284852028324</v>
      </c>
    </row>
    <row r="8283" spans="1:2" ht="13.2" x14ac:dyDescent="0.25">
      <c r="A8283" s="34" t="s">
        <v>3923</v>
      </c>
      <c r="B8283" s="35">
        <v>1.3878236976773299</v>
      </c>
    </row>
    <row r="8284" spans="1:2" ht="13.2" x14ac:dyDescent="0.25">
      <c r="A8284" s="34" t="s">
        <v>3922</v>
      </c>
      <c r="B8284" s="35">
        <v>1.3544674048305001</v>
      </c>
    </row>
    <row r="8285" spans="1:2" ht="13.2" x14ac:dyDescent="0.25">
      <c r="A8285" s="34" t="s">
        <v>3921</v>
      </c>
      <c r="B8285" s="35">
        <v>1.75561500857612</v>
      </c>
    </row>
    <row r="8286" spans="1:2" ht="13.2" x14ac:dyDescent="0.25">
      <c r="A8286" s="34" t="s">
        <v>3920</v>
      </c>
    </row>
    <row r="8287" spans="1:2" ht="13.2" x14ac:dyDescent="0.25">
      <c r="A8287" s="34" t="s">
        <v>3919</v>
      </c>
    </row>
    <row r="8288" spans="1:2" ht="13.2" x14ac:dyDescent="0.25">
      <c r="A8288" s="34" t="s">
        <v>3918</v>
      </c>
      <c r="B8288" s="35">
        <v>1.7638480555368801</v>
      </c>
    </row>
    <row r="8289" spans="1:2" ht="13.2" x14ac:dyDescent="0.25">
      <c r="A8289" s="34" t="s">
        <v>3917</v>
      </c>
      <c r="B8289" s="35">
        <v>2.0340388473241302</v>
      </c>
    </row>
    <row r="8290" spans="1:2" ht="13.2" x14ac:dyDescent="0.25">
      <c r="A8290" s="34" t="s">
        <v>3916</v>
      </c>
      <c r="B8290" s="35">
        <v>2.07081225375837</v>
      </c>
    </row>
    <row r="8291" spans="1:2" ht="13.2" x14ac:dyDescent="0.25">
      <c r="A8291" s="34" t="s">
        <v>3915</v>
      </c>
      <c r="B8291" s="35">
        <v>2.1897075809711901</v>
      </c>
    </row>
    <row r="8292" spans="1:2" ht="13.2" x14ac:dyDescent="0.25">
      <c r="A8292" s="34" t="s">
        <v>3914</v>
      </c>
      <c r="B8292" s="35">
        <v>2.1699098690845302</v>
      </c>
    </row>
    <row r="8293" spans="1:2" ht="13.2" x14ac:dyDescent="0.25">
      <c r="A8293" s="34" t="s">
        <v>3913</v>
      </c>
    </row>
    <row r="8294" spans="1:2" ht="13.2" x14ac:dyDescent="0.25">
      <c r="A8294" s="34" t="s">
        <v>3912</v>
      </c>
    </row>
    <row r="8295" spans="1:2" ht="13.2" x14ac:dyDescent="0.25">
      <c r="A8295" s="34" t="s">
        <v>3911</v>
      </c>
    </row>
    <row r="8296" spans="1:2" ht="13.2" x14ac:dyDescent="0.25">
      <c r="A8296" s="34" t="s">
        <v>3910</v>
      </c>
    </row>
    <row r="8297" spans="1:2" ht="13.2" x14ac:dyDescent="0.25">
      <c r="A8297" s="34" t="s">
        <v>3909</v>
      </c>
      <c r="B8297" s="35">
        <v>2.0973671427828999</v>
      </c>
    </row>
    <row r="8298" spans="1:2" ht="13.2" x14ac:dyDescent="0.25">
      <c r="A8298" s="34" t="s">
        <v>3908</v>
      </c>
      <c r="B8298" s="35">
        <v>2.1740645987167699</v>
      </c>
    </row>
    <row r="8299" spans="1:2" ht="13.2" x14ac:dyDescent="0.25">
      <c r="A8299" s="34" t="s">
        <v>3907</v>
      </c>
      <c r="B8299" s="35">
        <v>2.1663025820855801</v>
      </c>
    </row>
    <row r="8300" spans="1:2" ht="13.2" x14ac:dyDescent="0.25">
      <c r="A8300" s="34" t="s">
        <v>3906</v>
      </c>
    </row>
    <row r="8301" spans="1:2" ht="13.2" x14ac:dyDescent="0.25">
      <c r="A8301" s="34" t="s">
        <v>3905</v>
      </c>
    </row>
    <row r="8302" spans="1:2" ht="13.2" x14ac:dyDescent="0.25">
      <c r="A8302" s="34" t="s">
        <v>3904</v>
      </c>
      <c r="B8302" s="35">
        <v>2.1571662338286401</v>
      </c>
    </row>
    <row r="8303" spans="1:2" ht="13.2" x14ac:dyDescent="0.25">
      <c r="A8303" s="34" t="s">
        <v>3903</v>
      </c>
      <c r="B8303" s="35">
        <v>2.1715250201854102</v>
      </c>
    </row>
    <row r="8304" spans="1:2" ht="13.2" x14ac:dyDescent="0.25">
      <c r="A8304" s="34" t="s">
        <v>3902</v>
      </c>
      <c r="B8304" s="35">
        <v>2.1785489934458999</v>
      </c>
    </row>
    <row r="8305" spans="1:2" ht="13.2" x14ac:dyDescent="0.25">
      <c r="A8305" s="34" t="s">
        <v>3901</v>
      </c>
      <c r="B8305" s="35">
        <v>2.0995821956663501</v>
      </c>
    </row>
    <row r="8306" spans="1:2" ht="13.2" x14ac:dyDescent="0.25">
      <c r="A8306" s="34" t="s">
        <v>3900</v>
      </c>
      <c r="B8306" s="35">
        <v>2.0500154746772301</v>
      </c>
    </row>
    <row r="8307" spans="1:2" ht="13.2" x14ac:dyDescent="0.25">
      <c r="A8307" s="34" t="s">
        <v>3899</v>
      </c>
    </row>
    <row r="8308" spans="1:2" ht="13.2" x14ac:dyDescent="0.25">
      <c r="A8308" s="34" t="s">
        <v>3898</v>
      </c>
    </row>
    <row r="8309" spans="1:2" ht="13.2" x14ac:dyDescent="0.25">
      <c r="A8309" s="34" t="s">
        <v>3897</v>
      </c>
      <c r="B8309" s="35">
        <v>2.1916414561173498</v>
      </c>
    </row>
    <row r="8310" spans="1:2" ht="13.2" x14ac:dyDescent="0.25">
      <c r="A8310" s="34" t="s">
        <v>3896</v>
      </c>
      <c r="B8310" s="35">
        <v>2.21741816361734</v>
      </c>
    </row>
    <row r="8311" spans="1:2" ht="13.2" x14ac:dyDescent="0.25">
      <c r="A8311" s="34" t="s">
        <v>3895</v>
      </c>
      <c r="B8311" s="35">
        <v>2.2440004081751401</v>
      </c>
    </row>
    <row r="8312" spans="1:2" ht="13.2" x14ac:dyDescent="0.25">
      <c r="A8312" s="34" t="s">
        <v>3894</v>
      </c>
      <c r="B8312" s="35">
        <v>2.25297791935439</v>
      </c>
    </row>
    <row r="8313" spans="1:2" ht="13.2" x14ac:dyDescent="0.25">
      <c r="A8313" s="34" t="s">
        <v>3893</v>
      </c>
      <c r="B8313" s="35">
        <v>2.2287166131915099</v>
      </c>
    </row>
    <row r="8314" spans="1:2" ht="13.2" x14ac:dyDescent="0.25">
      <c r="A8314" s="34" t="s">
        <v>3892</v>
      </c>
    </row>
    <row r="8315" spans="1:2" ht="13.2" x14ac:dyDescent="0.25">
      <c r="A8315" s="34" t="s">
        <v>3891</v>
      </c>
    </row>
    <row r="8316" spans="1:2" ht="13.2" x14ac:dyDescent="0.25">
      <c r="A8316" s="34" t="s">
        <v>3890</v>
      </c>
      <c r="B8316" s="35">
        <v>2.2532362854910502</v>
      </c>
    </row>
    <row r="8317" spans="1:2" ht="13.2" x14ac:dyDescent="0.25">
      <c r="A8317" s="34" t="s">
        <v>3889</v>
      </c>
      <c r="B8317" s="35">
        <v>2.32040366196934</v>
      </c>
    </row>
    <row r="8318" spans="1:2" ht="13.2" x14ac:dyDescent="0.25">
      <c r="A8318" s="34" t="s">
        <v>3888</v>
      </c>
      <c r="B8318" s="35">
        <v>2.1635180420902702</v>
      </c>
    </row>
    <row r="8319" spans="1:2" ht="13.2" x14ac:dyDescent="0.25">
      <c r="A8319" s="34" t="s">
        <v>3887</v>
      </c>
      <c r="B8319" s="35">
        <v>2.37494674719566</v>
      </c>
    </row>
    <row r="8320" spans="1:2" ht="13.2" x14ac:dyDescent="0.25">
      <c r="A8320" s="34" t="s">
        <v>3886</v>
      </c>
      <c r="B8320" s="35">
        <v>2.0826161894915298</v>
      </c>
    </row>
    <row r="8321" spans="1:2" ht="13.2" x14ac:dyDescent="0.25">
      <c r="A8321" s="34" t="s">
        <v>3885</v>
      </c>
    </row>
    <row r="8322" spans="1:2" ht="13.2" x14ac:dyDescent="0.25">
      <c r="A8322" s="34" t="s">
        <v>3884</v>
      </c>
    </row>
    <row r="8323" spans="1:2" ht="13.2" x14ac:dyDescent="0.25">
      <c r="A8323" s="34" t="s">
        <v>3883</v>
      </c>
      <c r="B8323" s="35">
        <v>2.06437983543168</v>
      </c>
    </row>
    <row r="8324" spans="1:2" ht="13.2" x14ac:dyDescent="0.25">
      <c r="A8324" s="34" t="s">
        <v>3882</v>
      </c>
      <c r="B8324" s="35">
        <v>2.0292804967823201</v>
      </c>
    </row>
    <row r="8325" spans="1:2" ht="13.2" x14ac:dyDescent="0.25">
      <c r="A8325" s="34" t="s">
        <v>3881</v>
      </c>
      <c r="B8325" s="35">
        <v>2.0422163013000998</v>
      </c>
    </row>
    <row r="8326" spans="1:2" ht="13.2" x14ac:dyDescent="0.25">
      <c r="A8326" s="34" t="s">
        <v>3880</v>
      </c>
      <c r="B8326" s="35">
        <v>2.0268286832964599</v>
      </c>
    </row>
    <row r="8327" spans="1:2" ht="13.2" x14ac:dyDescent="0.25">
      <c r="A8327" s="34" t="s">
        <v>3879</v>
      </c>
      <c r="B8327" s="35">
        <v>1.8612246346321</v>
      </c>
    </row>
    <row r="8328" spans="1:2" ht="13.2" x14ac:dyDescent="0.25">
      <c r="A8328" s="34" t="s">
        <v>3878</v>
      </c>
    </row>
    <row r="8329" spans="1:2" ht="13.2" x14ac:dyDescent="0.25">
      <c r="A8329" s="34" t="s">
        <v>3877</v>
      </c>
    </row>
    <row r="8330" spans="1:2" ht="13.2" x14ac:dyDescent="0.25">
      <c r="A8330" s="34" t="s">
        <v>3876</v>
      </c>
      <c r="B8330" s="35">
        <v>1.9501316529872801</v>
      </c>
    </row>
    <row r="8331" spans="1:2" ht="13.2" x14ac:dyDescent="0.25">
      <c r="A8331" s="34" t="s">
        <v>3875</v>
      </c>
      <c r="B8331" s="35">
        <v>2.19336357899931</v>
      </c>
    </row>
    <row r="8332" spans="1:2" ht="13.2" x14ac:dyDescent="0.25">
      <c r="A8332" s="34" t="s">
        <v>3874</v>
      </c>
      <c r="B8332" s="35">
        <v>2.17612737086966</v>
      </c>
    </row>
    <row r="8333" spans="1:2" ht="13.2" x14ac:dyDescent="0.25">
      <c r="A8333" s="34" t="s">
        <v>3873</v>
      </c>
      <c r="B8333" s="35">
        <v>2.4978022128464801</v>
      </c>
    </row>
    <row r="8334" spans="1:2" ht="13.2" x14ac:dyDescent="0.25">
      <c r="A8334" s="34" t="s">
        <v>3872</v>
      </c>
      <c r="B8334" s="35">
        <v>2.4934762871671201</v>
      </c>
    </row>
    <row r="8335" spans="1:2" ht="13.2" x14ac:dyDescent="0.25">
      <c r="A8335" s="34" t="s">
        <v>3871</v>
      </c>
    </row>
    <row r="8336" spans="1:2" ht="13.2" x14ac:dyDescent="0.25">
      <c r="A8336" s="34" t="s">
        <v>3870</v>
      </c>
    </row>
    <row r="8337" spans="1:2" ht="13.2" x14ac:dyDescent="0.25">
      <c r="A8337" s="34" t="s">
        <v>3869</v>
      </c>
      <c r="B8337" s="35">
        <v>2.4874595376376898</v>
      </c>
    </row>
    <row r="8338" spans="1:2" ht="13.2" x14ac:dyDescent="0.25">
      <c r="A8338" s="34" t="s">
        <v>3868</v>
      </c>
      <c r="B8338" s="35">
        <v>2.4039929090723402</v>
      </c>
    </row>
    <row r="8339" spans="1:2" ht="13.2" x14ac:dyDescent="0.25">
      <c r="A8339" s="34" t="s">
        <v>3867</v>
      </c>
      <c r="B8339" s="35">
        <v>2.4611732381015199</v>
      </c>
    </row>
    <row r="8340" spans="1:2" ht="13.2" x14ac:dyDescent="0.25">
      <c r="A8340" s="34" t="s">
        <v>3866</v>
      </c>
      <c r="B8340" s="35">
        <v>2.43530842560912</v>
      </c>
    </row>
    <row r="8341" spans="1:2" ht="13.2" x14ac:dyDescent="0.25">
      <c r="A8341" s="34" t="s">
        <v>3865</v>
      </c>
    </row>
    <row r="8342" spans="1:2" ht="13.2" x14ac:dyDescent="0.25">
      <c r="A8342" s="34" t="s">
        <v>3864</v>
      </c>
    </row>
    <row r="8343" spans="1:2" ht="13.2" x14ac:dyDescent="0.25">
      <c r="A8343" s="34" t="s">
        <v>3863</v>
      </c>
    </row>
    <row r="8344" spans="1:2" ht="13.2" x14ac:dyDescent="0.25">
      <c r="A8344" s="34" t="s">
        <v>3862</v>
      </c>
      <c r="B8344" s="35">
        <v>2.4402620654850198</v>
      </c>
    </row>
    <row r="8345" spans="1:2" ht="13.2" x14ac:dyDescent="0.25">
      <c r="A8345" s="34" t="s">
        <v>3861</v>
      </c>
      <c r="B8345" s="35">
        <v>2.4129923721568902</v>
      </c>
    </row>
    <row r="8346" spans="1:2" ht="13.2" x14ac:dyDescent="0.25">
      <c r="A8346" s="34" t="s">
        <v>3860</v>
      </c>
      <c r="B8346" s="35">
        <v>2.3800381715161998</v>
      </c>
    </row>
    <row r="8347" spans="1:2" ht="13.2" x14ac:dyDescent="0.25">
      <c r="A8347" s="34" t="s">
        <v>3859</v>
      </c>
      <c r="B8347" s="35">
        <v>2.4229049846037101</v>
      </c>
    </row>
    <row r="8348" spans="1:2" ht="13.2" x14ac:dyDescent="0.25">
      <c r="A8348" s="34" t="s">
        <v>3858</v>
      </c>
      <c r="B8348" s="35">
        <v>2.4111160576105899</v>
      </c>
    </row>
    <row r="8349" spans="1:2" ht="13.2" x14ac:dyDescent="0.25">
      <c r="A8349" s="34" t="s">
        <v>3857</v>
      </c>
    </row>
    <row r="8350" spans="1:2" ht="13.2" x14ac:dyDescent="0.25">
      <c r="A8350" s="34" t="s">
        <v>3856</v>
      </c>
    </row>
    <row r="8351" spans="1:2" ht="13.2" x14ac:dyDescent="0.25">
      <c r="A8351" s="34" t="s">
        <v>3855</v>
      </c>
      <c r="B8351" s="35">
        <v>2.3493908936387</v>
      </c>
    </row>
    <row r="8352" spans="1:2" ht="13.2" x14ac:dyDescent="0.25">
      <c r="A8352" s="34" t="s">
        <v>3854</v>
      </c>
      <c r="B8352" s="35">
        <v>2.18833403409046</v>
      </c>
    </row>
    <row r="8353" spans="1:2" ht="13.2" x14ac:dyDescent="0.25">
      <c r="A8353" s="34" t="s">
        <v>3853</v>
      </c>
      <c r="B8353" s="35">
        <v>2.2281500758016901</v>
      </c>
    </row>
    <row r="8354" spans="1:2" ht="13.2" x14ac:dyDescent="0.25">
      <c r="A8354" s="34" t="s">
        <v>3852</v>
      </c>
      <c r="B8354" s="35">
        <v>2.2377340730821902</v>
      </c>
    </row>
    <row r="8355" spans="1:2" ht="13.2" x14ac:dyDescent="0.25">
      <c r="A8355" s="34" t="s">
        <v>3851</v>
      </c>
      <c r="B8355" s="35">
        <v>2.3652504560021801</v>
      </c>
    </row>
    <row r="8356" spans="1:2" ht="13.2" x14ac:dyDescent="0.25">
      <c r="A8356" s="34" t="s">
        <v>3850</v>
      </c>
    </row>
    <row r="8357" spans="1:2" ht="13.2" x14ac:dyDescent="0.25">
      <c r="A8357" s="34" t="s">
        <v>3849</v>
      </c>
    </row>
    <row r="8358" spans="1:2" ht="13.2" x14ac:dyDescent="0.25">
      <c r="A8358" s="34" t="s">
        <v>3848</v>
      </c>
      <c r="B8358" s="35">
        <v>2.3345092961165999</v>
      </c>
    </row>
    <row r="8359" spans="1:2" ht="13.2" x14ac:dyDescent="0.25">
      <c r="A8359" s="34" t="s">
        <v>3847</v>
      </c>
      <c r="B8359" s="35">
        <v>2.4591878251170001</v>
      </c>
    </row>
    <row r="8360" spans="1:2" ht="13.2" x14ac:dyDescent="0.25">
      <c r="A8360" s="34" t="s">
        <v>3846</v>
      </c>
      <c r="B8360" s="35">
        <v>2.45898243120965</v>
      </c>
    </row>
    <row r="8361" spans="1:2" ht="13.2" x14ac:dyDescent="0.25">
      <c r="A8361" s="34" t="s">
        <v>3845</v>
      </c>
      <c r="B8361" s="35">
        <v>2.3214565264965001</v>
      </c>
    </row>
    <row r="8362" spans="1:2" ht="13.2" x14ac:dyDescent="0.25">
      <c r="A8362" s="34" t="s">
        <v>3844</v>
      </c>
      <c r="B8362" s="35">
        <v>2.3257106964136298</v>
      </c>
    </row>
    <row r="8363" spans="1:2" ht="13.2" x14ac:dyDescent="0.25">
      <c r="A8363" s="34" t="s">
        <v>3843</v>
      </c>
    </row>
    <row r="8364" spans="1:2" ht="13.2" x14ac:dyDescent="0.25">
      <c r="A8364" s="34" t="s">
        <v>3842</v>
      </c>
    </row>
    <row r="8365" spans="1:2" ht="13.2" x14ac:dyDescent="0.25">
      <c r="A8365" s="34" t="s">
        <v>3841</v>
      </c>
      <c r="B8365" s="35">
        <v>1.9059810792270699</v>
      </c>
    </row>
    <row r="8366" spans="1:2" ht="13.2" x14ac:dyDescent="0.25">
      <c r="A8366" s="34" t="s">
        <v>3840</v>
      </c>
      <c r="B8366" s="35">
        <v>1.92603689919258</v>
      </c>
    </row>
    <row r="8367" spans="1:2" ht="13.2" x14ac:dyDescent="0.25">
      <c r="A8367" s="34" t="s">
        <v>3839</v>
      </c>
      <c r="B8367" s="35">
        <v>1.92531582568283</v>
      </c>
    </row>
    <row r="8368" spans="1:2" ht="13.2" x14ac:dyDescent="0.25">
      <c r="A8368" s="34" t="s">
        <v>3838</v>
      </c>
    </row>
    <row r="8369" spans="1:2" ht="13.2" x14ac:dyDescent="0.25">
      <c r="A8369" s="34" t="s">
        <v>3837</v>
      </c>
      <c r="B8369" s="35">
        <v>1.9530988321295</v>
      </c>
    </row>
    <row r="8370" spans="1:2" ht="13.2" x14ac:dyDescent="0.25">
      <c r="A8370" s="34" t="s">
        <v>3836</v>
      </c>
    </row>
    <row r="8371" spans="1:2" ht="13.2" x14ac:dyDescent="0.25">
      <c r="A8371" s="34" t="s">
        <v>3835</v>
      </c>
    </row>
    <row r="8372" spans="1:2" ht="13.2" x14ac:dyDescent="0.25">
      <c r="A8372" s="34" t="s">
        <v>3834</v>
      </c>
      <c r="B8372" s="35">
        <v>1.91271166184684</v>
      </c>
    </row>
    <row r="8373" spans="1:2" ht="13.2" x14ac:dyDescent="0.25">
      <c r="A8373" s="34" t="s">
        <v>3833</v>
      </c>
      <c r="B8373" s="35">
        <v>1.9663670374753699</v>
      </c>
    </row>
    <row r="8374" spans="1:2" ht="13.2" x14ac:dyDescent="0.25">
      <c r="A8374" s="34" t="s">
        <v>3832</v>
      </c>
      <c r="B8374" s="35">
        <v>1.9796291966491</v>
      </c>
    </row>
    <row r="8375" spans="1:2" ht="13.2" x14ac:dyDescent="0.25">
      <c r="A8375" s="34" t="s">
        <v>3831</v>
      </c>
      <c r="B8375" s="35">
        <v>1.98311426652684</v>
      </c>
    </row>
    <row r="8376" spans="1:2" ht="13.2" x14ac:dyDescent="0.25">
      <c r="A8376" s="34" t="s">
        <v>3830</v>
      </c>
      <c r="B8376" s="35">
        <v>1.9957074522673699</v>
      </c>
    </row>
    <row r="8377" spans="1:2" ht="13.2" x14ac:dyDescent="0.25">
      <c r="A8377" s="34" t="s">
        <v>3829</v>
      </c>
    </row>
    <row r="8378" spans="1:2" ht="13.2" x14ac:dyDescent="0.25">
      <c r="A8378" s="34" t="s">
        <v>3828</v>
      </c>
    </row>
    <row r="8379" spans="1:2" ht="13.2" x14ac:dyDescent="0.25">
      <c r="A8379" s="34" t="s">
        <v>3827</v>
      </c>
      <c r="B8379" s="35">
        <v>1.9177982733915999</v>
      </c>
    </row>
    <row r="8380" spans="1:2" ht="13.2" x14ac:dyDescent="0.25">
      <c r="A8380" s="34" t="s">
        <v>3826</v>
      </c>
      <c r="B8380" s="35">
        <v>2.0032884899358399</v>
      </c>
    </row>
    <row r="8381" spans="1:2" ht="13.2" x14ac:dyDescent="0.25">
      <c r="A8381" s="34" t="s">
        <v>3825</v>
      </c>
      <c r="B8381" s="35">
        <v>1.8107821445038501</v>
      </c>
    </row>
    <row r="8382" spans="1:2" ht="13.2" x14ac:dyDescent="0.25">
      <c r="A8382" s="34" t="s">
        <v>3824</v>
      </c>
      <c r="B8382" s="35">
        <v>1.8639519162829099</v>
      </c>
    </row>
    <row r="8383" spans="1:2" ht="13.2" x14ac:dyDescent="0.25">
      <c r="A8383" s="34" t="s">
        <v>3823</v>
      </c>
      <c r="B8383" s="35">
        <v>1.79416782361313</v>
      </c>
    </row>
    <row r="8384" spans="1:2" ht="13.2" x14ac:dyDescent="0.25">
      <c r="A8384" s="34" t="s">
        <v>3822</v>
      </c>
    </row>
    <row r="8385" spans="1:2" ht="13.2" x14ac:dyDescent="0.25">
      <c r="A8385" s="34" t="s">
        <v>3821</v>
      </c>
    </row>
    <row r="8386" spans="1:2" ht="13.2" x14ac:dyDescent="0.25">
      <c r="A8386" s="34" t="s">
        <v>3820</v>
      </c>
      <c r="B8386" s="35">
        <v>1.8299548957370899</v>
      </c>
    </row>
    <row r="8387" spans="1:2" ht="13.2" x14ac:dyDescent="0.25">
      <c r="A8387" s="34" t="s">
        <v>3819</v>
      </c>
      <c r="B8387" s="35">
        <v>1.8680924014504201</v>
      </c>
    </row>
    <row r="8388" spans="1:2" ht="13.2" x14ac:dyDescent="0.25">
      <c r="A8388" s="34" t="s">
        <v>3818</v>
      </c>
      <c r="B8388" s="35">
        <v>1.8738804113929901</v>
      </c>
    </row>
    <row r="8389" spans="1:2" ht="13.2" x14ac:dyDescent="0.25">
      <c r="A8389" s="34" t="s">
        <v>3817</v>
      </c>
      <c r="B8389" s="35">
        <v>1.71835534662292</v>
      </c>
    </row>
    <row r="8390" spans="1:2" ht="13.2" x14ac:dyDescent="0.25">
      <c r="A8390" s="34" t="s">
        <v>3816</v>
      </c>
      <c r="B8390" s="35">
        <v>1.7567583598009999</v>
      </c>
    </row>
    <row r="8391" spans="1:2" ht="13.2" x14ac:dyDescent="0.25">
      <c r="A8391" s="34" t="s">
        <v>3815</v>
      </c>
    </row>
    <row r="8392" spans="1:2" ht="13.2" x14ac:dyDescent="0.25">
      <c r="A8392" s="34" t="s">
        <v>3814</v>
      </c>
    </row>
    <row r="8393" spans="1:2" ht="13.2" x14ac:dyDescent="0.25">
      <c r="A8393" s="34" t="s">
        <v>3813</v>
      </c>
      <c r="B8393" s="35">
        <v>1.73222445338886</v>
      </c>
    </row>
    <row r="8394" spans="1:2" ht="13.2" x14ac:dyDescent="0.25">
      <c r="A8394" s="34" t="s">
        <v>3812</v>
      </c>
      <c r="B8394" s="35">
        <v>1.7350589640796701</v>
      </c>
    </row>
    <row r="8395" spans="1:2" ht="13.2" x14ac:dyDescent="0.25">
      <c r="A8395" s="34" t="s">
        <v>3811</v>
      </c>
      <c r="B8395" s="35">
        <v>1.7341695697369299</v>
      </c>
    </row>
    <row r="8396" spans="1:2" ht="13.2" x14ac:dyDescent="0.25">
      <c r="A8396" s="34" t="s">
        <v>3810</v>
      </c>
      <c r="B8396" s="35">
        <v>1.6916773023495</v>
      </c>
    </row>
    <row r="8397" spans="1:2" ht="13.2" x14ac:dyDescent="0.25">
      <c r="A8397" s="34" t="s">
        <v>3809</v>
      </c>
      <c r="B8397" s="35">
        <v>1.6944630131571099</v>
      </c>
    </row>
    <row r="8398" spans="1:2" ht="13.2" x14ac:dyDescent="0.25">
      <c r="A8398" s="34" t="s">
        <v>3808</v>
      </c>
    </row>
    <row r="8399" spans="1:2" ht="13.2" x14ac:dyDescent="0.25">
      <c r="A8399" s="34" t="s">
        <v>3807</v>
      </c>
    </row>
    <row r="8400" spans="1:2" ht="13.2" x14ac:dyDescent="0.25">
      <c r="A8400" s="34" t="s">
        <v>3806</v>
      </c>
      <c r="B8400" s="35">
        <v>1.68230013281117</v>
      </c>
    </row>
    <row r="8401" spans="1:2" ht="13.2" x14ac:dyDescent="0.25">
      <c r="A8401" s="34" t="s">
        <v>3805</v>
      </c>
      <c r="B8401" s="35">
        <v>1.6397029840194699</v>
      </c>
    </row>
    <row r="8402" spans="1:2" ht="13.2" x14ac:dyDescent="0.25">
      <c r="A8402" s="34" t="s">
        <v>3804</v>
      </c>
      <c r="B8402" s="35">
        <v>1.53729426240964</v>
      </c>
    </row>
    <row r="8403" spans="1:2" ht="13.2" x14ac:dyDescent="0.25">
      <c r="A8403" s="34" t="s">
        <v>3803</v>
      </c>
    </row>
    <row r="8404" spans="1:2" ht="13.2" x14ac:dyDescent="0.25">
      <c r="A8404" s="34" t="s">
        <v>3802</v>
      </c>
      <c r="B8404" s="35">
        <v>1.3858263428598401</v>
      </c>
    </row>
    <row r="8405" spans="1:2" ht="13.2" x14ac:dyDescent="0.25">
      <c r="A8405" s="34" t="s">
        <v>3801</v>
      </c>
    </row>
    <row r="8406" spans="1:2" ht="13.2" x14ac:dyDescent="0.25">
      <c r="A8406" s="34" t="s">
        <v>3800</v>
      </c>
    </row>
    <row r="8407" spans="1:2" ht="13.2" x14ac:dyDescent="0.25">
      <c r="A8407" s="34" t="s">
        <v>3799</v>
      </c>
      <c r="B8407" s="35">
        <v>1.3870016933682701</v>
      </c>
    </row>
    <row r="8408" spans="1:2" ht="13.2" x14ac:dyDescent="0.25">
      <c r="A8408" s="34" t="s">
        <v>3798</v>
      </c>
      <c r="B8408" s="35">
        <v>1.39063566706608</v>
      </c>
    </row>
    <row r="8409" spans="1:2" ht="13.2" x14ac:dyDescent="0.25">
      <c r="A8409" s="34" t="s">
        <v>3797</v>
      </c>
      <c r="B8409" s="35">
        <v>1.4339117722114101</v>
      </c>
    </row>
    <row r="8410" spans="1:2" ht="13.2" x14ac:dyDescent="0.25">
      <c r="A8410" s="34" t="s">
        <v>3796</v>
      </c>
      <c r="B8410" s="35">
        <v>1.4302621506897799</v>
      </c>
    </row>
    <row r="8411" spans="1:2" ht="13.2" x14ac:dyDescent="0.25">
      <c r="A8411" s="34" t="s">
        <v>3795</v>
      </c>
      <c r="B8411" s="35">
        <v>1.4676705397143099</v>
      </c>
    </row>
    <row r="8412" spans="1:2" ht="13.2" x14ac:dyDescent="0.25">
      <c r="A8412" s="34" t="s">
        <v>3794</v>
      </c>
    </row>
    <row r="8413" spans="1:2" ht="13.2" x14ac:dyDescent="0.25">
      <c r="A8413" s="34" t="s">
        <v>3793</v>
      </c>
    </row>
    <row r="8414" spans="1:2" ht="13.2" x14ac:dyDescent="0.25">
      <c r="A8414" s="34" t="s">
        <v>3792</v>
      </c>
      <c r="B8414" s="35">
        <v>1.42727637454541</v>
      </c>
    </row>
    <row r="8415" spans="1:2" ht="13.2" x14ac:dyDescent="0.25">
      <c r="A8415" s="34" t="s">
        <v>3791</v>
      </c>
      <c r="B8415" s="35">
        <v>1.42742819213871</v>
      </c>
    </row>
    <row r="8416" spans="1:2" ht="13.2" x14ac:dyDescent="0.25">
      <c r="A8416" s="34" t="s">
        <v>3790</v>
      </c>
      <c r="B8416" s="35">
        <v>1.4821881292724399</v>
      </c>
    </row>
    <row r="8417" spans="1:2" ht="13.2" x14ac:dyDescent="0.25">
      <c r="A8417" s="34" t="s">
        <v>3789</v>
      </c>
      <c r="B8417" s="35">
        <v>1.1901801876621101</v>
      </c>
    </row>
    <row r="8418" spans="1:2" ht="13.2" x14ac:dyDescent="0.25">
      <c r="A8418" s="34" t="s">
        <v>3788</v>
      </c>
      <c r="B8418" s="35">
        <v>1.3785710778131299</v>
      </c>
    </row>
    <row r="8419" spans="1:2" ht="13.2" x14ac:dyDescent="0.25">
      <c r="A8419" s="34" t="s">
        <v>3787</v>
      </c>
    </row>
    <row r="8420" spans="1:2" ht="13.2" x14ac:dyDescent="0.25">
      <c r="A8420" s="34" t="s">
        <v>3786</v>
      </c>
    </row>
    <row r="8421" spans="1:2" ht="13.2" x14ac:dyDescent="0.25">
      <c r="A8421" s="34" t="s">
        <v>3785</v>
      </c>
      <c r="B8421" s="35">
        <v>1.3631482211344501</v>
      </c>
    </row>
    <row r="8422" spans="1:2" ht="13.2" x14ac:dyDescent="0.25">
      <c r="A8422" s="34" t="s">
        <v>3784</v>
      </c>
      <c r="B8422" s="35">
        <v>1.31054021850515</v>
      </c>
    </row>
    <row r="8423" spans="1:2" ht="13.2" x14ac:dyDescent="0.25">
      <c r="A8423" s="34" t="s">
        <v>3783</v>
      </c>
      <c r="B8423" s="35">
        <v>1.3222015072812101</v>
      </c>
    </row>
    <row r="8424" spans="1:2" ht="13.2" x14ac:dyDescent="0.25">
      <c r="A8424" s="34" t="s">
        <v>3782</v>
      </c>
      <c r="B8424" s="35">
        <v>1.2968959792069501</v>
      </c>
    </row>
    <row r="8425" spans="1:2" ht="13.2" x14ac:dyDescent="0.25">
      <c r="A8425" s="34" t="s">
        <v>3781</v>
      </c>
      <c r="B8425" s="35">
        <v>1.2958812414832399</v>
      </c>
    </row>
    <row r="8426" spans="1:2" ht="13.2" x14ac:dyDescent="0.25">
      <c r="A8426" s="34" t="s">
        <v>3780</v>
      </c>
    </row>
    <row r="8427" spans="1:2" ht="13.2" x14ac:dyDescent="0.25">
      <c r="A8427" s="34" t="s">
        <v>3779</v>
      </c>
    </row>
    <row r="8428" spans="1:2" ht="13.2" x14ac:dyDescent="0.25">
      <c r="A8428" s="34" t="s">
        <v>3778</v>
      </c>
      <c r="B8428" s="35">
        <v>1.33395908098181</v>
      </c>
    </row>
    <row r="8429" spans="1:2" ht="13.2" x14ac:dyDescent="0.25">
      <c r="A8429" s="34" t="s">
        <v>3777</v>
      </c>
      <c r="B8429" s="35">
        <v>1.3360430292291601</v>
      </c>
    </row>
    <row r="8430" spans="1:2" ht="13.2" x14ac:dyDescent="0.25">
      <c r="A8430" s="34" t="s">
        <v>3776</v>
      </c>
      <c r="B8430" s="35">
        <v>1.36010176203919</v>
      </c>
    </row>
    <row r="8431" spans="1:2" ht="13.2" x14ac:dyDescent="0.25">
      <c r="A8431" s="34" t="s">
        <v>3775</v>
      </c>
      <c r="B8431" s="35">
        <v>1.4804024521640999</v>
      </c>
    </row>
    <row r="8432" spans="1:2" ht="13.2" x14ac:dyDescent="0.25">
      <c r="A8432" s="34" t="s">
        <v>3774</v>
      </c>
      <c r="B8432" s="35">
        <v>1.6246811457243799</v>
      </c>
    </row>
    <row r="8433" spans="1:2" ht="13.2" x14ac:dyDescent="0.25">
      <c r="A8433" s="34" t="s">
        <v>3773</v>
      </c>
    </row>
    <row r="8434" spans="1:2" ht="13.2" x14ac:dyDescent="0.25">
      <c r="A8434" s="34" t="s">
        <v>3772</v>
      </c>
    </row>
    <row r="8435" spans="1:2" ht="13.2" x14ac:dyDescent="0.25">
      <c r="A8435" s="34" t="s">
        <v>3771</v>
      </c>
      <c r="B8435" s="35">
        <v>1.6595189307582501</v>
      </c>
    </row>
    <row r="8436" spans="1:2" ht="13.2" x14ac:dyDescent="0.25">
      <c r="A8436" s="34" t="s">
        <v>3770</v>
      </c>
      <c r="B8436" s="35">
        <v>1.6910952505872601</v>
      </c>
    </row>
    <row r="8437" spans="1:2" ht="13.2" x14ac:dyDescent="0.25">
      <c r="A8437" s="34" t="s">
        <v>3769</v>
      </c>
      <c r="B8437" s="35">
        <v>1.71809003570825</v>
      </c>
    </row>
    <row r="8438" spans="1:2" ht="13.2" x14ac:dyDescent="0.25">
      <c r="A8438" s="34" t="s">
        <v>3768</v>
      </c>
      <c r="B8438" s="35">
        <v>1.71602396063567</v>
      </c>
    </row>
    <row r="8439" spans="1:2" ht="13.2" x14ac:dyDescent="0.25">
      <c r="A8439" s="34" t="s">
        <v>3767</v>
      </c>
      <c r="B8439" s="35">
        <v>1.70012520728854</v>
      </c>
    </row>
    <row r="8440" spans="1:2" ht="13.2" x14ac:dyDescent="0.25">
      <c r="A8440" s="34" t="s">
        <v>3766</v>
      </c>
    </row>
    <row r="8441" spans="1:2" ht="13.2" x14ac:dyDescent="0.25">
      <c r="A8441" s="34" t="s">
        <v>3765</v>
      </c>
    </row>
    <row r="8442" spans="1:2" ht="13.2" x14ac:dyDescent="0.25">
      <c r="A8442" s="34" t="s">
        <v>3764</v>
      </c>
      <c r="B8442" s="35">
        <v>1.67962857257223</v>
      </c>
    </row>
    <row r="8443" spans="1:2" ht="13.2" x14ac:dyDescent="0.25">
      <c r="A8443" s="34" t="s">
        <v>3763</v>
      </c>
      <c r="B8443" s="35">
        <v>1.7109016786228799</v>
      </c>
    </row>
    <row r="8444" spans="1:2" ht="13.2" x14ac:dyDescent="0.25">
      <c r="A8444" s="34" t="s">
        <v>3762</v>
      </c>
      <c r="B8444" s="35">
        <v>1.71089919819049</v>
      </c>
    </row>
    <row r="8445" spans="1:2" ht="13.2" x14ac:dyDescent="0.25">
      <c r="A8445" s="34" t="s">
        <v>3761</v>
      </c>
      <c r="B8445" s="35">
        <v>1.64215482463609</v>
      </c>
    </row>
    <row r="8446" spans="1:2" ht="13.2" x14ac:dyDescent="0.25">
      <c r="A8446" s="34" t="s">
        <v>3760</v>
      </c>
      <c r="B8446" s="35">
        <v>1.68582125073262</v>
      </c>
    </row>
    <row r="8447" spans="1:2" ht="13.2" x14ac:dyDescent="0.25">
      <c r="A8447" s="34" t="s">
        <v>3759</v>
      </c>
    </row>
    <row r="8448" spans="1:2" ht="13.2" x14ac:dyDescent="0.25">
      <c r="A8448" s="34" t="s">
        <v>3758</v>
      </c>
    </row>
    <row r="8449" spans="1:2" ht="13.2" x14ac:dyDescent="0.25">
      <c r="A8449" s="34" t="s">
        <v>3757</v>
      </c>
      <c r="B8449" s="35">
        <v>1.49727980764833</v>
      </c>
    </row>
    <row r="8450" spans="1:2" ht="13.2" x14ac:dyDescent="0.25">
      <c r="A8450" s="34" t="s">
        <v>3756</v>
      </c>
      <c r="B8450" s="35">
        <v>1.49748457122867</v>
      </c>
    </row>
    <row r="8451" spans="1:2" ht="13.2" x14ac:dyDescent="0.25">
      <c r="A8451" s="34" t="s">
        <v>3755</v>
      </c>
      <c r="B8451" s="35">
        <v>1.38538313380218</v>
      </c>
    </row>
    <row r="8452" spans="1:2" ht="13.2" x14ac:dyDescent="0.25">
      <c r="A8452" s="34" t="s">
        <v>3754</v>
      </c>
      <c r="B8452" s="35">
        <v>1.40437330362016</v>
      </c>
    </row>
    <row r="8453" spans="1:2" ht="13.2" x14ac:dyDescent="0.25">
      <c r="A8453" s="34" t="s">
        <v>3753</v>
      </c>
      <c r="B8453" s="35">
        <v>1.4039886155860799</v>
      </c>
    </row>
    <row r="8454" spans="1:2" ht="13.2" x14ac:dyDescent="0.25">
      <c r="A8454" s="34" t="s">
        <v>3752</v>
      </c>
    </row>
    <row r="8455" spans="1:2" ht="13.2" x14ac:dyDescent="0.25">
      <c r="A8455" s="34" t="s">
        <v>3751</v>
      </c>
    </row>
    <row r="8456" spans="1:2" ht="13.2" x14ac:dyDescent="0.25">
      <c r="A8456" s="34" t="s">
        <v>3750</v>
      </c>
      <c r="B8456" s="35">
        <v>1.42044627425078</v>
      </c>
    </row>
    <row r="8457" spans="1:2" ht="13.2" x14ac:dyDescent="0.25">
      <c r="A8457" s="34" t="s">
        <v>3749</v>
      </c>
      <c r="B8457" s="35">
        <v>1.40372984659484</v>
      </c>
    </row>
    <row r="8458" spans="1:2" ht="13.2" x14ac:dyDescent="0.25">
      <c r="A8458" s="34" t="s">
        <v>3748</v>
      </c>
      <c r="B8458" s="35">
        <v>1.40984382163532</v>
      </c>
    </row>
    <row r="8459" spans="1:2" ht="13.2" x14ac:dyDescent="0.25">
      <c r="A8459" s="34" t="s">
        <v>3747</v>
      </c>
      <c r="B8459" s="35">
        <v>1.34815251016335</v>
      </c>
    </row>
    <row r="8460" spans="1:2" ht="13.2" x14ac:dyDescent="0.25">
      <c r="A8460" s="34" t="s">
        <v>3746</v>
      </c>
      <c r="B8460" s="35">
        <v>1.2525610949843899</v>
      </c>
    </row>
    <row r="8461" spans="1:2" ht="13.2" x14ac:dyDescent="0.25">
      <c r="A8461" s="34" t="s">
        <v>3745</v>
      </c>
    </row>
    <row r="8462" spans="1:2" ht="13.2" x14ac:dyDescent="0.25">
      <c r="A8462" s="34" t="s">
        <v>3744</v>
      </c>
    </row>
    <row r="8463" spans="1:2" ht="13.2" x14ac:dyDescent="0.25">
      <c r="A8463" s="34" t="s">
        <v>3743</v>
      </c>
      <c r="B8463" s="35">
        <v>1.00959229464359</v>
      </c>
    </row>
    <row r="8464" spans="1:2" ht="13.2" x14ac:dyDescent="0.25">
      <c r="A8464" s="34" t="s">
        <v>3742</v>
      </c>
      <c r="B8464" s="35">
        <v>0.87770157791454895</v>
      </c>
    </row>
    <row r="8465" spans="1:2" ht="13.2" x14ac:dyDescent="0.25">
      <c r="A8465" s="34" t="s">
        <v>3741</v>
      </c>
      <c r="B8465" s="35">
        <v>0.86281014631657005</v>
      </c>
    </row>
    <row r="8466" spans="1:2" ht="13.2" x14ac:dyDescent="0.25">
      <c r="A8466" s="34" t="s">
        <v>3740</v>
      </c>
      <c r="B8466" s="35">
        <v>0.82677276086335305</v>
      </c>
    </row>
    <row r="8467" spans="1:2" ht="13.2" x14ac:dyDescent="0.25">
      <c r="A8467" s="34" t="s">
        <v>3739</v>
      </c>
      <c r="B8467" s="35">
        <v>0.83024021813950899</v>
      </c>
    </row>
    <row r="8468" spans="1:2" ht="13.2" x14ac:dyDescent="0.25">
      <c r="A8468" s="34" t="s">
        <v>3738</v>
      </c>
    </row>
    <row r="8469" spans="1:2" ht="13.2" x14ac:dyDescent="0.25">
      <c r="A8469" s="34" t="s">
        <v>3737</v>
      </c>
    </row>
    <row r="8470" spans="1:2" ht="13.2" x14ac:dyDescent="0.25">
      <c r="A8470" s="34" t="s">
        <v>3736</v>
      </c>
      <c r="B8470" s="35">
        <v>0.86518632570251397</v>
      </c>
    </row>
    <row r="8471" spans="1:2" ht="13.2" x14ac:dyDescent="0.25">
      <c r="A8471" s="34" t="s">
        <v>3735</v>
      </c>
      <c r="B8471" s="35">
        <v>0.91840764398476304</v>
      </c>
    </row>
    <row r="8472" spans="1:2" ht="13.2" x14ac:dyDescent="0.25">
      <c r="A8472" s="34" t="s">
        <v>3734</v>
      </c>
      <c r="B8472" s="35">
        <v>0.87224924985741004</v>
      </c>
    </row>
    <row r="8473" spans="1:2" ht="13.2" x14ac:dyDescent="0.25">
      <c r="A8473" s="34" t="s">
        <v>3733</v>
      </c>
      <c r="B8473" s="35">
        <v>0.87368450525886598</v>
      </c>
    </row>
    <row r="8474" spans="1:2" ht="13.2" x14ac:dyDescent="0.25">
      <c r="A8474" s="34" t="s">
        <v>3732</v>
      </c>
      <c r="B8474" s="35">
        <v>0.87557226716129699</v>
      </c>
    </row>
    <row r="8475" spans="1:2" ht="13.2" x14ac:dyDescent="0.25">
      <c r="A8475" s="34" t="s">
        <v>3731</v>
      </c>
    </row>
    <row r="8476" spans="1:2" ht="13.2" x14ac:dyDescent="0.25">
      <c r="A8476" s="34" t="s">
        <v>3730</v>
      </c>
    </row>
    <row r="8477" spans="1:2" ht="13.2" x14ac:dyDescent="0.25">
      <c r="A8477" s="34" t="s">
        <v>3729</v>
      </c>
      <c r="B8477" s="35">
        <v>0.79581002239363197</v>
      </c>
    </row>
    <row r="8478" spans="1:2" ht="13.2" x14ac:dyDescent="0.25">
      <c r="A8478" s="34" t="s">
        <v>3728</v>
      </c>
      <c r="B8478" s="35">
        <v>0.75325322126598504</v>
      </c>
    </row>
    <row r="8479" spans="1:2" ht="13.2" x14ac:dyDescent="0.25">
      <c r="A8479" s="34" t="s">
        <v>3727</v>
      </c>
      <c r="B8479" s="35">
        <v>0.83311802382954603</v>
      </c>
    </row>
    <row r="8480" spans="1:2" ht="13.2" x14ac:dyDescent="0.25">
      <c r="A8480" s="34" t="s">
        <v>3726</v>
      </c>
      <c r="B8480" s="35">
        <v>0.95577222653251204</v>
      </c>
    </row>
    <row r="8481" spans="1:2" ht="13.2" x14ac:dyDescent="0.25">
      <c r="A8481" s="34" t="s">
        <v>3725</v>
      </c>
      <c r="B8481" s="35">
        <v>0.91042794770487101</v>
      </c>
    </row>
    <row r="8482" spans="1:2" ht="13.2" x14ac:dyDescent="0.25">
      <c r="A8482" s="34" t="s">
        <v>3724</v>
      </c>
    </row>
    <row r="8483" spans="1:2" ht="13.2" x14ac:dyDescent="0.25">
      <c r="A8483" s="34" t="s">
        <v>3723</v>
      </c>
    </row>
    <row r="8484" spans="1:2" ht="13.2" x14ac:dyDescent="0.25">
      <c r="A8484" s="34" t="s">
        <v>3722</v>
      </c>
      <c r="B8484" s="35">
        <v>0.94755025244736102</v>
      </c>
    </row>
    <row r="8485" spans="1:2" ht="13.2" x14ac:dyDescent="0.25">
      <c r="A8485" s="34" t="s">
        <v>3721</v>
      </c>
      <c r="B8485" s="35">
        <v>0.91170302629358801</v>
      </c>
    </row>
    <row r="8486" spans="1:2" ht="13.2" x14ac:dyDescent="0.25">
      <c r="A8486" s="34" t="s">
        <v>3720</v>
      </c>
      <c r="B8486" s="35">
        <v>0.92032792137817798</v>
      </c>
    </row>
    <row r="8487" spans="1:2" ht="13.2" x14ac:dyDescent="0.25">
      <c r="A8487" s="34" t="s">
        <v>3719</v>
      </c>
      <c r="B8487" s="35">
        <v>0.92167773008247</v>
      </c>
    </row>
    <row r="8488" spans="1:2" ht="13.2" x14ac:dyDescent="0.25">
      <c r="A8488" s="34" t="s">
        <v>3718</v>
      </c>
      <c r="B8488" s="35">
        <v>0.92421636198860402</v>
      </c>
    </row>
    <row r="8489" spans="1:2" ht="13.2" x14ac:dyDescent="0.25">
      <c r="A8489" s="34" t="s">
        <v>3717</v>
      </c>
    </row>
    <row r="8490" spans="1:2" ht="13.2" x14ac:dyDescent="0.25">
      <c r="A8490" s="34" t="s">
        <v>3716</v>
      </c>
    </row>
    <row r="8491" spans="1:2" ht="13.2" x14ac:dyDescent="0.25">
      <c r="A8491" s="34" t="s">
        <v>3715</v>
      </c>
      <c r="B8491" s="35">
        <v>1.06156301488219</v>
      </c>
    </row>
    <row r="8492" spans="1:2" ht="13.2" x14ac:dyDescent="0.25">
      <c r="A8492" s="34" t="s">
        <v>3714</v>
      </c>
      <c r="B8492" s="35">
        <v>1.0619618753178399</v>
      </c>
    </row>
    <row r="8493" spans="1:2" ht="13.2" x14ac:dyDescent="0.25">
      <c r="A8493" s="34" t="s">
        <v>3713</v>
      </c>
      <c r="B8493" s="35">
        <v>1.0692370643673601</v>
      </c>
    </row>
    <row r="8494" spans="1:2" ht="13.2" x14ac:dyDescent="0.25">
      <c r="A8494" s="34" t="s">
        <v>3712</v>
      </c>
      <c r="B8494" s="35">
        <v>1.0692910985081101</v>
      </c>
    </row>
    <row r="8495" spans="1:2" ht="13.2" x14ac:dyDescent="0.25">
      <c r="A8495" s="34" t="s">
        <v>3711</v>
      </c>
      <c r="B8495" s="35">
        <v>1.0655927393382401</v>
      </c>
    </row>
    <row r="8496" spans="1:2" ht="13.2" x14ac:dyDescent="0.25">
      <c r="A8496" s="34" t="s">
        <v>3710</v>
      </c>
    </row>
    <row r="8497" spans="1:2" ht="13.2" x14ac:dyDescent="0.25">
      <c r="A8497" s="34" t="s">
        <v>3709</v>
      </c>
    </row>
    <row r="8498" spans="1:2" ht="13.2" x14ac:dyDescent="0.25">
      <c r="A8498" s="34" t="s">
        <v>3708</v>
      </c>
      <c r="B8498" s="35">
        <v>1.08919856612898</v>
      </c>
    </row>
    <row r="8499" spans="1:2" ht="13.2" x14ac:dyDescent="0.25">
      <c r="A8499" s="34" t="s">
        <v>3707</v>
      </c>
      <c r="B8499" s="35">
        <v>1.0620796025246799</v>
      </c>
    </row>
    <row r="8500" spans="1:2" ht="13.2" x14ac:dyDescent="0.25">
      <c r="A8500" s="34" t="s">
        <v>3706</v>
      </c>
      <c r="B8500" s="35">
        <v>1.0682662221711501</v>
      </c>
    </row>
    <row r="8501" spans="1:2" ht="13.2" x14ac:dyDescent="0.25">
      <c r="A8501" s="34" t="s">
        <v>3705</v>
      </c>
      <c r="B8501" s="35">
        <v>1.0196891144556599</v>
      </c>
    </row>
    <row r="8502" spans="1:2" ht="13.2" x14ac:dyDescent="0.25">
      <c r="A8502" s="34" t="s">
        <v>3704</v>
      </c>
      <c r="B8502" s="35">
        <v>1.12010673003785</v>
      </c>
    </row>
    <row r="8503" spans="1:2" ht="13.2" x14ac:dyDescent="0.25">
      <c r="A8503" s="34" t="s">
        <v>3703</v>
      </c>
    </row>
    <row r="8504" spans="1:2" ht="13.2" x14ac:dyDescent="0.25">
      <c r="A8504" s="34" t="s">
        <v>3702</v>
      </c>
    </row>
    <row r="8505" spans="1:2" ht="13.2" x14ac:dyDescent="0.25">
      <c r="A8505" s="34" t="s">
        <v>3701</v>
      </c>
      <c r="B8505" s="35">
        <v>1.12138702297749</v>
      </c>
    </row>
    <row r="8506" spans="1:2" ht="13.2" x14ac:dyDescent="0.25">
      <c r="A8506" s="34" t="s">
        <v>3700</v>
      </c>
      <c r="B8506" s="35">
        <v>1.1331739419803499</v>
      </c>
    </row>
    <row r="8507" spans="1:2" ht="13.2" x14ac:dyDescent="0.25">
      <c r="A8507" s="34" t="s">
        <v>3699</v>
      </c>
    </row>
    <row r="8508" spans="1:2" ht="13.2" x14ac:dyDescent="0.25">
      <c r="A8508" s="34" t="s">
        <v>3698</v>
      </c>
      <c r="B8508" s="35">
        <v>1.13293053579495</v>
      </c>
    </row>
    <row r="8509" spans="1:2" ht="13.2" x14ac:dyDescent="0.25">
      <c r="A8509" s="34" t="s">
        <v>3697</v>
      </c>
      <c r="B8509" s="35">
        <v>1.3936706537296499</v>
      </c>
    </row>
    <row r="8510" spans="1:2" ht="13.2" x14ac:dyDescent="0.25">
      <c r="A8510" s="34" t="s">
        <v>3696</v>
      </c>
    </row>
    <row r="8511" spans="1:2" ht="13.2" x14ac:dyDescent="0.25">
      <c r="A8511" s="34" t="s">
        <v>3695</v>
      </c>
    </row>
    <row r="8512" spans="1:2" ht="13.2" x14ac:dyDescent="0.25">
      <c r="A8512" s="34" t="s">
        <v>3694</v>
      </c>
      <c r="B8512" s="35">
        <v>1.3091064805605499</v>
      </c>
    </row>
    <row r="8513" spans="1:2" ht="13.2" x14ac:dyDescent="0.25">
      <c r="A8513" s="34" t="s">
        <v>3693</v>
      </c>
      <c r="B8513" s="35">
        <v>1.4719095027418301</v>
      </c>
    </row>
    <row r="8514" spans="1:2" ht="13.2" x14ac:dyDescent="0.25">
      <c r="A8514" s="34" t="s">
        <v>3692</v>
      </c>
      <c r="B8514" s="35">
        <v>1.4338525290453099</v>
      </c>
    </row>
    <row r="8515" spans="1:2" ht="13.2" x14ac:dyDescent="0.25">
      <c r="A8515" s="34" t="s">
        <v>3691</v>
      </c>
      <c r="B8515" s="35">
        <v>1.47565964266131</v>
      </c>
    </row>
    <row r="8516" spans="1:2" ht="13.2" x14ac:dyDescent="0.25">
      <c r="A8516" s="34" t="s">
        <v>3690</v>
      </c>
      <c r="B8516" s="35">
        <v>1.49026033121551</v>
      </c>
    </row>
    <row r="8517" spans="1:2" ht="13.2" x14ac:dyDescent="0.25">
      <c r="A8517" s="34" t="s">
        <v>3689</v>
      </c>
    </row>
    <row r="8518" spans="1:2" ht="13.2" x14ac:dyDescent="0.25">
      <c r="A8518" s="34" t="s">
        <v>3688</v>
      </c>
    </row>
    <row r="8519" spans="1:2" ht="13.2" x14ac:dyDescent="0.25">
      <c r="A8519" s="34" t="s">
        <v>3687</v>
      </c>
      <c r="B8519" s="35">
        <v>1.49690267186677</v>
      </c>
    </row>
    <row r="8520" spans="1:2" ht="13.2" x14ac:dyDescent="0.25">
      <c r="A8520" s="34" t="s">
        <v>3686</v>
      </c>
      <c r="B8520" s="35">
        <v>1.5075645324204601</v>
      </c>
    </row>
    <row r="8521" spans="1:2" ht="13.2" x14ac:dyDescent="0.25">
      <c r="A8521" s="34" t="s">
        <v>3685</v>
      </c>
      <c r="B8521" s="35">
        <v>1.4466963493799601</v>
      </c>
    </row>
    <row r="8522" spans="1:2" ht="13.2" x14ac:dyDescent="0.25">
      <c r="A8522" s="34" t="s">
        <v>3684</v>
      </c>
      <c r="B8522" s="35">
        <v>1.4603816412298101</v>
      </c>
    </row>
    <row r="8523" spans="1:2" ht="13.2" x14ac:dyDescent="0.25">
      <c r="A8523" s="34" t="s">
        <v>3683</v>
      </c>
      <c r="B8523" s="35">
        <v>1.4600332773590301</v>
      </c>
    </row>
    <row r="8524" spans="1:2" ht="13.2" x14ac:dyDescent="0.25">
      <c r="A8524" s="34" t="s">
        <v>3682</v>
      </c>
    </row>
    <row r="8525" spans="1:2" ht="13.2" x14ac:dyDescent="0.25">
      <c r="A8525" s="34" t="s">
        <v>3681</v>
      </c>
    </row>
    <row r="8526" spans="1:2" ht="13.2" x14ac:dyDescent="0.25">
      <c r="A8526" s="34" t="s">
        <v>3680</v>
      </c>
      <c r="B8526" s="35">
        <v>1.48267070715343</v>
      </c>
    </row>
    <row r="8527" spans="1:2" ht="13.2" x14ac:dyDescent="0.25">
      <c r="A8527" s="34" t="s">
        <v>3679</v>
      </c>
      <c r="B8527" s="35">
        <v>1.4872212617507301</v>
      </c>
    </row>
    <row r="8528" spans="1:2" ht="13.2" x14ac:dyDescent="0.25">
      <c r="A8528" s="34" t="s">
        <v>3678</v>
      </c>
      <c r="B8528" s="35">
        <v>1.4932844392687401</v>
      </c>
    </row>
    <row r="8529" spans="1:2" ht="13.2" x14ac:dyDescent="0.25">
      <c r="A8529" s="34" t="s">
        <v>3677</v>
      </c>
      <c r="B8529" s="35">
        <v>1.5423963006160299</v>
      </c>
    </row>
    <row r="8530" spans="1:2" ht="13.2" x14ac:dyDescent="0.25">
      <c r="A8530" s="34" t="s">
        <v>3676</v>
      </c>
      <c r="B8530" s="35">
        <v>1.5201554457791999</v>
      </c>
    </row>
    <row r="8531" spans="1:2" ht="13.2" x14ac:dyDescent="0.25">
      <c r="A8531" s="34" t="s">
        <v>3675</v>
      </c>
    </row>
    <row r="8532" spans="1:2" ht="13.2" x14ac:dyDescent="0.25">
      <c r="A8532" s="34" t="s">
        <v>3674</v>
      </c>
    </row>
    <row r="8533" spans="1:2" ht="13.2" x14ac:dyDescent="0.25">
      <c r="A8533" s="34" t="s">
        <v>3673</v>
      </c>
      <c r="B8533" s="35">
        <v>1.5677581732581001</v>
      </c>
    </row>
    <row r="8534" spans="1:2" ht="13.2" x14ac:dyDescent="0.25">
      <c r="A8534" s="34" t="s">
        <v>3672</v>
      </c>
      <c r="B8534" s="35">
        <v>1.48172924445434</v>
      </c>
    </row>
    <row r="8535" spans="1:2" ht="13.2" x14ac:dyDescent="0.25">
      <c r="A8535" s="34" t="s">
        <v>3671</v>
      </c>
      <c r="B8535" s="35">
        <v>1.5197448909536</v>
      </c>
    </row>
    <row r="8536" spans="1:2" ht="13.2" x14ac:dyDescent="0.25">
      <c r="A8536" s="34" t="s">
        <v>3670</v>
      </c>
      <c r="B8536" s="35">
        <v>1.51248026303679</v>
      </c>
    </row>
    <row r="8537" spans="1:2" ht="13.2" x14ac:dyDescent="0.25">
      <c r="A8537" s="34" t="s">
        <v>3669</v>
      </c>
      <c r="B8537" s="35">
        <v>1.5205464338811201</v>
      </c>
    </row>
    <row r="8538" spans="1:2" ht="13.2" x14ac:dyDescent="0.25">
      <c r="A8538" s="34" t="s">
        <v>3668</v>
      </c>
    </row>
    <row r="8539" spans="1:2" ht="13.2" x14ac:dyDescent="0.25">
      <c r="A8539" s="34" t="s">
        <v>3667</v>
      </c>
    </row>
    <row r="8540" spans="1:2" ht="13.2" x14ac:dyDescent="0.25">
      <c r="A8540" s="34" t="s">
        <v>3666</v>
      </c>
      <c r="B8540" s="35">
        <v>1.2474074119146901</v>
      </c>
    </row>
    <row r="8541" spans="1:2" ht="13.2" x14ac:dyDescent="0.25">
      <c r="A8541" s="34" t="s">
        <v>3665</v>
      </c>
      <c r="B8541" s="35">
        <v>1.2692369431242201</v>
      </c>
    </row>
    <row r="8542" spans="1:2" ht="13.2" x14ac:dyDescent="0.25">
      <c r="A8542" s="34" t="s">
        <v>3664</v>
      </c>
    </row>
    <row r="8543" spans="1:2" ht="13.2" x14ac:dyDescent="0.25">
      <c r="A8543" s="34" t="s">
        <v>3663</v>
      </c>
      <c r="B8543" s="35">
        <v>1.0282410694781301</v>
      </c>
    </row>
    <row r="8544" spans="1:2" ht="13.2" x14ac:dyDescent="0.25">
      <c r="A8544" s="34" t="s">
        <v>3662</v>
      </c>
      <c r="B8544" s="35">
        <v>1.0397531458795599</v>
      </c>
    </row>
    <row r="8545" spans="1:2" ht="13.2" x14ac:dyDescent="0.25">
      <c r="A8545" s="34" t="s">
        <v>3661</v>
      </c>
    </row>
    <row r="8546" spans="1:2" ht="13.2" x14ac:dyDescent="0.25">
      <c r="A8546" s="34" t="s">
        <v>3660</v>
      </c>
    </row>
    <row r="8547" spans="1:2" ht="13.2" x14ac:dyDescent="0.25">
      <c r="A8547" s="34" t="s">
        <v>3659</v>
      </c>
      <c r="B8547" s="35">
        <v>1.0405062904223099</v>
      </c>
    </row>
    <row r="8548" spans="1:2" ht="13.2" x14ac:dyDescent="0.25">
      <c r="A8548" s="34" t="s">
        <v>3658</v>
      </c>
      <c r="B8548" s="35">
        <v>0.99141873031733996</v>
      </c>
    </row>
    <row r="8549" spans="1:2" ht="13.2" x14ac:dyDescent="0.25">
      <c r="A8549" s="34" t="s">
        <v>3657</v>
      </c>
      <c r="B8549" s="35">
        <v>1.0134595270528699</v>
      </c>
    </row>
    <row r="8550" spans="1:2" ht="13.2" x14ac:dyDescent="0.25">
      <c r="A8550" s="34" t="s">
        <v>3656</v>
      </c>
      <c r="B8550" s="35">
        <v>1.0126179790327401</v>
      </c>
    </row>
    <row r="8551" spans="1:2" ht="13.2" x14ac:dyDescent="0.25">
      <c r="A8551" s="34" t="s">
        <v>3655</v>
      </c>
      <c r="B8551" s="35">
        <v>1.0014545398766701</v>
      </c>
    </row>
    <row r="8552" spans="1:2" ht="13.2" x14ac:dyDescent="0.25">
      <c r="A8552" s="34" t="s">
        <v>3654</v>
      </c>
    </row>
    <row r="8553" spans="1:2" ht="13.2" x14ac:dyDescent="0.25">
      <c r="A8553" s="34" t="s">
        <v>3653</v>
      </c>
    </row>
    <row r="8554" spans="1:2" ht="13.2" x14ac:dyDescent="0.25">
      <c r="A8554" s="34" t="s">
        <v>3652</v>
      </c>
      <c r="B8554" s="35">
        <v>0.99842347141472398</v>
      </c>
    </row>
    <row r="8555" spans="1:2" ht="13.2" x14ac:dyDescent="0.25">
      <c r="A8555" s="34" t="s">
        <v>3651</v>
      </c>
      <c r="B8555" s="35">
        <v>0.99031012202887503</v>
      </c>
    </row>
    <row r="8556" spans="1:2" ht="13.2" x14ac:dyDescent="0.25">
      <c r="A8556" s="34" t="s">
        <v>3650</v>
      </c>
      <c r="B8556" s="35">
        <v>0.93590839669116399</v>
      </c>
    </row>
    <row r="8557" spans="1:2" ht="13.2" x14ac:dyDescent="0.25">
      <c r="A8557" s="34" t="s">
        <v>3649</v>
      </c>
      <c r="B8557" s="35">
        <v>0.93674669174055103</v>
      </c>
    </row>
    <row r="8558" spans="1:2" ht="13.2" x14ac:dyDescent="0.25">
      <c r="A8558" s="34" t="s">
        <v>3648</v>
      </c>
      <c r="B8558" s="35">
        <v>0.89807603122417801</v>
      </c>
    </row>
    <row r="8559" spans="1:2" ht="13.2" x14ac:dyDescent="0.25">
      <c r="A8559" s="34" t="s">
        <v>3647</v>
      </c>
    </row>
    <row r="8560" spans="1:2" ht="13.2" x14ac:dyDescent="0.25">
      <c r="A8560" s="34" t="s">
        <v>3646</v>
      </c>
    </row>
    <row r="8561" spans="1:2" ht="13.2" x14ac:dyDescent="0.25">
      <c r="A8561" s="34" t="s">
        <v>3645</v>
      </c>
      <c r="B8561" s="35">
        <v>0.76671212329923999</v>
      </c>
    </row>
    <row r="8562" spans="1:2" ht="13.2" x14ac:dyDescent="0.25">
      <c r="A8562" s="34" t="s">
        <v>3644</v>
      </c>
      <c r="B8562" s="35">
        <v>1.0058633757746001</v>
      </c>
    </row>
    <row r="8563" spans="1:2" ht="13.2" x14ac:dyDescent="0.25">
      <c r="A8563" s="34" t="s">
        <v>3643</v>
      </c>
    </row>
    <row r="8564" spans="1:2" ht="13.2" x14ac:dyDescent="0.25">
      <c r="A8564" s="34" t="s">
        <v>3642</v>
      </c>
      <c r="B8564" s="35">
        <v>1.1319287091238499</v>
      </c>
    </row>
    <row r="8565" spans="1:2" ht="13.2" x14ac:dyDescent="0.25">
      <c r="A8565" s="34" t="s">
        <v>3641</v>
      </c>
      <c r="B8565" s="35">
        <v>1.1326628752421299</v>
      </c>
    </row>
    <row r="8566" spans="1:2" ht="13.2" x14ac:dyDescent="0.25">
      <c r="A8566" s="34" t="s">
        <v>3640</v>
      </c>
    </row>
    <row r="8567" spans="1:2" ht="13.2" x14ac:dyDescent="0.25">
      <c r="A8567" s="34" t="s">
        <v>3639</v>
      </c>
    </row>
    <row r="8568" spans="1:2" ht="13.2" x14ac:dyDescent="0.25">
      <c r="A8568" s="34" t="s">
        <v>3638</v>
      </c>
      <c r="B8568" s="35">
        <v>1.3686459575493</v>
      </c>
    </row>
    <row r="8569" spans="1:2" ht="13.2" x14ac:dyDescent="0.25">
      <c r="A8569" s="34" t="s">
        <v>3637</v>
      </c>
      <c r="B8569" s="35">
        <v>1.36644235133242</v>
      </c>
    </row>
    <row r="8570" spans="1:2" ht="13.2" x14ac:dyDescent="0.25">
      <c r="A8570" s="34" t="s">
        <v>3636</v>
      </c>
      <c r="B8570" s="35">
        <v>1.40885862325718</v>
      </c>
    </row>
    <row r="8571" spans="1:2" ht="13.2" x14ac:dyDescent="0.25">
      <c r="A8571" s="34" t="s">
        <v>3635</v>
      </c>
      <c r="B8571" s="35">
        <v>1.58647634677066</v>
      </c>
    </row>
    <row r="8572" spans="1:2" ht="13.2" x14ac:dyDescent="0.25">
      <c r="A8572" s="34" t="s">
        <v>3634</v>
      </c>
      <c r="B8572" s="35">
        <v>1.7326575724388</v>
      </c>
    </row>
    <row r="8573" spans="1:2" ht="13.2" x14ac:dyDescent="0.25">
      <c r="A8573" s="34" t="s">
        <v>3633</v>
      </c>
    </row>
    <row r="8574" spans="1:2" ht="13.2" x14ac:dyDescent="0.25">
      <c r="A8574" s="34" t="s">
        <v>3632</v>
      </c>
    </row>
    <row r="8575" spans="1:2" ht="13.2" x14ac:dyDescent="0.25">
      <c r="A8575" s="34" t="s">
        <v>3631</v>
      </c>
      <c r="B8575" s="35">
        <v>1.74379951231088</v>
      </c>
    </row>
    <row r="8576" spans="1:2" ht="13.2" x14ac:dyDescent="0.25">
      <c r="A8576" s="34" t="s">
        <v>3630</v>
      </c>
    </row>
    <row r="8577" spans="1:2" ht="13.2" x14ac:dyDescent="0.25">
      <c r="A8577" s="34" t="s">
        <v>3629</v>
      </c>
      <c r="B8577" s="35">
        <v>1.77770830327344</v>
      </c>
    </row>
    <row r="8578" spans="1:2" ht="13.2" x14ac:dyDescent="0.25">
      <c r="A8578" s="34" t="s">
        <v>3628</v>
      </c>
      <c r="B8578" s="35">
        <v>1.77074664759923</v>
      </c>
    </row>
    <row r="8579" spans="1:2" ht="13.2" x14ac:dyDescent="0.25">
      <c r="A8579" s="34" t="s">
        <v>3627</v>
      </c>
      <c r="B8579" s="35">
        <v>1.7195332420326801</v>
      </c>
    </row>
    <row r="8580" spans="1:2" ht="13.2" x14ac:dyDescent="0.25">
      <c r="A8580" s="34" t="s">
        <v>3626</v>
      </c>
    </row>
    <row r="8581" spans="1:2" ht="13.2" x14ac:dyDescent="0.25">
      <c r="A8581" s="34" t="s">
        <v>3625</v>
      </c>
    </row>
    <row r="8582" spans="1:2" ht="13.2" x14ac:dyDescent="0.25">
      <c r="A8582" s="34" t="s">
        <v>3624</v>
      </c>
      <c r="B8582" s="35">
        <v>1.7802823475782299</v>
      </c>
    </row>
    <row r="8583" spans="1:2" ht="13.2" x14ac:dyDescent="0.25">
      <c r="A8583" s="34" t="s">
        <v>3623</v>
      </c>
      <c r="B8583" s="35">
        <v>1.8094582925681499</v>
      </c>
    </row>
    <row r="8584" spans="1:2" ht="13.2" x14ac:dyDescent="0.25">
      <c r="A8584" s="34" t="s">
        <v>3622</v>
      </c>
      <c r="B8584" s="35">
        <v>1.80547930280719</v>
      </c>
    </row>
    <row r="8585" spans="1:2" ht="13.2" x14ac:dyDescent="0.25">
      <c r="A8585" s="34" t="s">
        <v>3621</v>
      </c>
      <c r="B8585" s="35">
        <v>1.8136233166617599</v>
      </c>
    </row>
    <row r="8586" spans="1:2" ht="13.2" x14ac:dyDescent="0.25">
      <c r="A8586" s="34" t="s">
        <v>3620</v>
      </c>
      <c r="B8586" s="35">
        <v>1.8162799905138001</v>
      </c>
    </row>
    <row r="8587" spans="1:2" ht="13.2" x14ac:dyDescent="0.25">
      <c r="A8587" s="34" t="s">
        <v>3619</v>
      </c>
    </row>
    <row r="8588" spans="1:2" ht="13.2" x14ac:dyDescent="0.25">
      <c r="A8588" s="34" t="s">
        <v>3618</v>
      </c>
    </row>
    <row r="8589" spans="1:2" ht="13.2" x14ac:dyDescent="0.25">
      <c r="A8589" s="34" t="s">
        <v>3617</v>
      </c>
      <c r="B8589" s="35">
        <v>1.88211209252294</v>
      </c>
    </row>
    <row r="8590" spans="1:2" ht="13.2" x14ac:dyDescent="0.25">
      <c r="A8590" s="34" t="s">
        <v>3616</v>
      </c>
      <c r="B8590" s="35">
        <v>1.9790018531377001</v>
      </c>
    </row>
    <row r="8591" spans="1:2" ht="13.2" x14ac:dyDescent="0.25">
      <c r="A8591" s="34" t="s">
        <v>3615</v>
      </c>
      <c r="B8591" s="35">
        <v>2.0144643492708201</v>
      </c>
    </row>
    <row r="8592" spans="1:2" ht="13.2" x14ac:dyDescent="0.25">
      <c r="A8592" s="34" t="s">
        <v>3614</v>
      </c>
      <c r="B8592" s="35">
        <v>2.1557434459956402</v>
      </c>
    </row>
    <row r="8593" spans="1:2" ht="13.2" x14ac:dyDescent="0.25">
      <c r="A8593" s="34" t="s">
        <v>3613</v>
      </c>
      <c r="B8593" s="35">
        <v>2.1334958375683599</v>
      </c>
    </row>
    <row r="8594" spans="1:2" ht="13.2" x14ac:dyDescent="0.25">
      <c r="A8594" s="34" t="s">
        <v>3612</v>
      </c>
    </row>
    <row r="8595" spans="1:2" ht="13.2" x14ac:dyDescent="0.25">
      <c r="A8595" s="34" t="s">
        <v>3611</v>
      </c>
    </row>
    <row r="8596" spans="1:2" ht="13.2" x14ac:dyDescent="0.25">
      <c r="A8596" s="34" t="s">
        <v>3610</v>
      </c>
      <c r="B8596" s="35">
        <v>2.0735115203453698</v>
      </c>
    </row>
    <row r="8597" spans="1:2" ht="13.2" x14ac:dyDescent="0.25">
      <c r="A8597" s="34" t="s">
        <v>3609</v>
      </c>
      <c r="B8597" s="35">
        <v>2.1293822357012799</v>
      </c>
    </row>
    <row r="8598" spans="1:2" ht="13.2" x14ac:dyDescent="0.25">
      <c r="A8598" s="34" t="s">
        <v>3608</v>
      </c>
      <c r="B8598" s="35">
        <v>1.93517260275259</v>
      </c>
    </row>
    <row r="8599" spans="1:2" ht="13.2" x14ac:dyDescent="0.25">
      <c r="A8599" s="34" t="s">
        <v>3607</v>
      </c>
      <c r="B8599" s="35">
        <v>1.94536085160227</v>
      </c>
    </row>
    <row r="8600" spans="1:2" ht="13.2" x14ac:dyDescent="0.25">
      <c r="A8600" s="34" t="s">
        <v>3606</v>
      </c>
      <c r="B8600" s="35">
        <v>1.92760769234923</v>
      </c>
    </row>
    <row r="8601" spans="1:2" ht="13.2" x14ac:dyDescent="0.25">
      <c r="A8601" s="34" t="s">
        <v>3605</v>
      </c>
    </row>
    <row r="8602" spans="1:2" ht="13.2" x14ac:dyDescent="0.25">
      <c r="A8602" s="34" t="s">
        <v>3604</v>
      </c>
    </row>
    <row r="8603" spans="1:2" ht="13.2" x14ac:dyDescent="0.25">
      <c r="A8603" s="34" t="s">
        <v>3603</v>
      </c>
      <c r="B8603" s="35">
        <v>1.8530277029228599</v>
      </c>
    </row>
    <row r="8604" spans="1:2" ht="13.2" x14ac:dyDescent="0.25">
      <c r="A8604" s="34" t="s">
        <v>3602</v>
      </c>
      <c r="B8604" s="35">
        <v>1.70307620190377</v>
      </c>
    </row>
    <row r="8605" spans="1:2" ht="13.2" x14ac:dyDescent="0.25">
      <c r="A8605" s="34" t="s">
        <v>3601</v>
      </c>
      <c r="B8605" s="35">
        <v>1.73784521642867</v>
      </c>
    </row>
    <row r="8606" spans="1:2" ht="13.2" x14ac:dyDescent="0.25">
      <c r="A8606" s="34" t="s">
        <v>3600</v>
      </c>
      <c r="B8606" s="35">
        <v>1.68357429187931</v>
      </c>
    </row>
    <row r="8607" spans="1:2" ht="13.2" x14ac:dyDescent="0.25">
      <c r="A8607" s="34" t="s">
        <v>3599</v>
      </c>
      <c r="B8607" s="35">
        <v>1.65052040908923</v>
      </c>
    </row>
    <row r="8608" spans="1:2" ht="13.2" x14ac:dyDescent="0.25">
      <c r="A8608" s="34" t="s">
        <v>3598</v>
      </c>
      <c r="B8608" s="35">
        <v>1.7090395320662599</v>
      </c>
    </row>
    <row r="8609" spans="1:2" ht="13.2" x14ac:dyDescent="0.25">
      <c r="A8609" s="34" t="s">
        <v>3597</v>
      </c>
    </row>
    <row r="8610" spans="1:2" ht="13.2" x14ac:dyDescent="0.25">
      <c r="A8610" s="34" t="s">
        <v>3596</v>
      </c>
      <c r="B8610" s="35">
        <v>1.6440128915176799</v>
      </c>
    </row>
    <row r="8611" spans="1:2" ht="13.2" x14ac:dyDescent="0.25">
      <c r="A8611" s="34" t="s">
        <v>3595</v>
      </c>
      <c r="B8611" s="35">
        <v>1.61644185978212</v>
      </c>
    </row>
    <row r="8612" spans="1:2" ht="13.2" x14ac:dyDescent="0.25">
      <c r="A8612" s="34" t="s">
        <v>3594</v>
      </c>
      <c r="B8612" s="35">
        <v>1.61722928914719</v>
      </c>
    </row>
    <row r="8613" spans="1:2" ht="13.2" x14ac:dyDescent="0.25">
      <c r="A8613" s="34" t="s">
        <v>3593</v>
      </c>
      <c r="B8613" s="35">
        <v>1.61315439743106</v>
      </c>
    </row>
    <row r="8614" spans="1:2" ht="13.2" x14ac:dyDescent="0.25">
      <c r="A8614" s="34" t="s">
        <v>3592</v>
      </c>
      <c r="B8614" s="35">
        <v>1.6423785252100001</v>
      </c>
    </row>
    <row r="8615" spans="1:2" ht="13.2" x14ac:dyDescent="0.25">
      <c r="A8615" s="34" t="s">
        <v>3591</v>
      </c>
    </row>
    <row r="8616" spans="1:2" ht="13.2" x14ac:dyDescent="0.25">
      <c r="A8616" s="34" t="s">
        <v>3590</v>
      </c>
    </row>
    <row r="8617" spans="1:2" ht="13.2" x14ac:dyDescent="0.25">
      <c r="A8617" s="34" t="s">
        <v>3589</v>
      </c>
      <c r="B8617" s="35">
        <v>1.5876866305699799</v>
      </c>
    </row>
    <row r="8618" spans="1:2" ht="13.2" x14ac:dyDescent="0.25">
      <c r="A8618" s="34" t="s">
        <v>3588</v>
      </c>
      <c r="B8618" s="35">
        <v>1.4654275969987001</v>
      </c>
    </row>
    <row r="8619" spans="1:2" ht="13.2" x14ac:dyDescent="0.25">
      <c r="A8619" s="34" t="s">
        <v>3587</v>
      </c>
      <c r="B8619" s="35">
        <v>1.48634562805416</v>
      </c>
    </row>
    <row r="8620" spans="1:2" ht="13.2" x14ac:dyDescent="0.25">
      <c r="A8620" s="34" t="s">
        <v>3586</v>
      </c>
      <c r="B8620" s="35">
        <v>1.2170703428562599</v>
      </c>
    </row>
    <row r="8621" spans="1:2" ht="13.2" x14ac:dyDescent="0.25">
      <c r="A8621" s="34" t="s">
        <v>3585</v>
      </c>
    </row>
    <row r="8622" spans="1:2" ht="13.2" x14ac:dyDescent="0.25">
      <c r="A8622" s="34" t="s">
        <v>3584</v>
      </c>
    </row>
    <row r="8623" spans="1:2" ht="13.2" x14ac:dyDescent="0.25">
      <c r="A8623" s="34" t="s">
        <v>3583</v>
      </c>
    </row>
    <row r="8624" spans="1:2" ht="13.2" x14ac:dyDescent="0.25">
      <c r="A8624" s="34" t="s">
        <v>3582</v>
      </c>
      <c r="B8624" s="35">
        <v>1.2028050577510501</v>
      </c>
    </row>
    <row r="8625" spans="1:2" ht="13.2" x14ac:dyDescent="0.25">
      <c r="A8625" s="34" t="s">
        <v>3581</v>
      </c>
      <c r="B8625" s="35">
        <v>1.4368142285193899</v>
      </c>
    </row>
    <row r="8626" spans="1:2" ht="13.2" x14ac:dyDescent="0.25">
      <c r="A8626" s="34" t="s">
        <v>3580</v>
      </c>
      <c r="B8626" s="35">
        <v>1.37076118249982</v>
      </c>
    </row>
    <row r="8627" spans="1:2" ht="13.2" x14ac:dyDescent="0.25">
      <c r="A8627" s="34" t="s">
        <v>3579</v>
      </c>
      <c r="B8627" s="35">
        <v>1.3762632541171</v>
      </c>
    </row>
    <row r="8628" spans="1:2" ht="13.2" x14ac:dyDescent="0.25">
      <c r="A8628" s="34" t="s">
        <v>3578</v>
      </c>
      <c r="B8628" s="35">
        <v>1.3561849306989899</v>
      </c>
    </row>
    <row r="8629" spans="1:2" ht="13.2" x14ac:dyDescent="0.25">
      <c r="A8629" s="34" t="s">
        <v>3577</v>
      </c>
    </row>
    <row r="8630" spans="1:2" ht="13.2" x14ac:dyDescent="0.25">
      <c r="A8630" s="34" t="s">
        <v>3576</v>
      </c>
    </row>
    <row r="8631" spans="1:2" ht="13.2" x14ac:dyDescent="0.25">
      <c r="A8631" s="34" t="s">
        <v>3575</v>
      </c>
      <c r="B8631" s="35">
        <v>1.3535959096114001</v>
      </c>
    </row>
    <row r="8632" spans="1:2" ht="13.2" x14ac:dyDescent="0.25">
      <c r="A8632" s="34" t="s">
        <v>3574</v>
      </c>
      <c r="B8632" s="35">
        <v>1.25108851381209</v>
      </c>
    </row>
    <row r="8633" spans="1:2" ht="13.2" x14ac:dyDescent="0.25">
      <c r="A8633" s="34" t="s">
        <v>3573</v>
      </c>
      <c r="B8633" s="35">
        <v>1.2523927115264499</v>
      </c>
    </row>
    <row r="8634" spans="1:2" ht="13.2" x14ac:dyDescent="0.25">
      <c r="A8634" s="34" t="s">
        <v>3572</v>
      </c>
      <c r="B8634" s="35">
        <v>1.2414987457242701</v>
      </c>
    </row>
    <row r="8635" spans="1:2" ht="13.2" x14ac:dyDescent="0.25">
      <c r="A8635" s="34" t="s">
        <v>3571</v>
      </c>
      <c r="B8635" s="35">
        <v>1.2575374761807401</v>
      </c>
    </row>
    <row r="8636" spans="1:2" ht="13.2" x14ac:dyDescent="0.25">
      <c r="A8636" s="34" t="s">
        <v>3570</v>
      </c>
    </row>
    <row r="8637" spans="1:2" ht="13.2" x14ac:dyDescent="0.25">
      <c r="A8637" s="34" t="s">
        <v>3569</v>
      </c>
    </row>
    <row r="8638" spans="1:2" ht="13.2" x14ac:dyDescent="0.25">
      <c r="A8638" s="34" t="s">
        <v>3568</v>
      </c>
      <c r="B8638" s="35">
        <v>1.2542389750526599</v>
      </c>
    </row>
    <row r="8639" spans="1:2" ht="13.2" x14ac:dyDescent="0.25">
      <c r="A8639" s="34" t="s">
        <v>3567</v>
      </c>
      <c r="B8639" s="35">
        <v>1.10029714793069</v>
      </c>
    </row>
    <row r="8640" spans="1:2" ht="13.2" x14ac:dyDescent="0.25">
      <c r="A8640" s="34" t="s">
        <v>3566</v>
      </c>
      <c r="B8640" s="35">
        <v>1.1106781853731</v>
      </c>
    </row>
    <row r="8641" spans="1:2" ht="13.2" x14ac:dyDescent="0.25">
      <c r="A8641" s="34" t="s">
        <v>3565</v>
      </c>
      <c r="B8641" s="35">
        <v>1.12438854968487</v>
      </c>
    </row>
    <row r="8642" spans="1:2" ht="13.2" x14ac:dyDescent="0.25">
      <c r="A8642" s="34" t="s">
        <v>3564</v>
      </c>
      <c r="B8642" s="35">
        <v>1.1237415473751899</v>
      </c>
    </row>
    <row r="8643" spans="1:2" ht="13.2" x14ac:dyDescent="0.25">
      <c r="A8643" s="34" t="s">
        <v>3563</v>
      </c>
    </row>
    <row r="8644" spans="1:2" ht="13.2" x14ac:dyDescent="0.25">
      <c r="A8644" s="34" t="s">
        <v>3562</v>
      </c>
    </row>
    <row r="8645" spans="1:2" ht="13.2" x14ac:dyDescent="0.25">
      <c r="A8645" s="34" t="s">
        <v>3561</v>
      </c>
      <c r="B8645" s="35">
        <v>1.12419246018574</v>
      </c>
    </row>
    <row r="8646" spans="1:2" ht="13.2" x14ac:dyDescent="0.25">
      <c r="A8646" s="34" t="s">
        <v>3560</v>
      </c>
      <c r="B8646" s="35">
        <v>1.1229170127826</v>
      </c>
    </row>
    <row r="8647" spans="1:2" ht="13.2" x14ac:dyDescent="0.25">
      <c r="A8647" s="34" t="s">
        <v>3559</v>
      </c>
    </row>
    <row r="8648" spans="1:2" ht="13.2" x14ac:dyDescent="0.25">
      <c r="A8648" s="34" t="s">
        <v>3558</v>
      </c>
      <c r="B8648" s="35">
        <v>1.1155325035649399</v>
      </c>
    </row>
    <row r="8649" spans="1:2" ht="13.2" x14ac:dyDescent="0.25">
      <c r="A8649" s="34" t="s">
        <v>3557</v>
      </c>
      <c r="B8649" s="35">
        <v>1.1257779613704899</v>
      </c>
    </row>
    <row r="8650" spans="1:2" ht="13.2" x14ac:dyDescent="0.25">
      <c r="A8650" s="34" t="s">
        <v>3556</v>
      </c>
    </row>
    <row r="8651" spans="1:2" ht="13.2" x14ac:dyDescent="0.25">
      <c r="A8651" s="34" t="s">
        <v>3555</v>
      </c>
    </row>
    <row r="8652" spans="1:2" ht="13.2" x14ac:dyDescent="0.25">
      <c r="A8652" s="34" t="s">
        <v>3554</v>
      </c>
      <c r="B8652" s="35">
        <v>1.2871170447245599</v>
      </c>
    </row>
    <row r="8653" spans="1:2" ht="13.2" x14ac:dyDescent="0.25">
      <c r="A8653" s="34" t="s">
        <v>3553</v>
      </c>
      <c r="B8653" s="35">
        <v>1.2850499250258201</v>
      </c>
    </row>
    <row r="8654" spans="1:2" ht="13.2" x14ac:dyDescent="0.25">
      <c r="A8654" s="34" t="s">
        <v>3552</v>
      </c>
      <c r="B8654" s="35">
        <v>1.2445889393432601</v>
      </c>
    </row>
    <row r="8655" spans="1:2" ht="13.2" x14ac:dyDescent="0.25">
      <c r="A8655" s="34" t="s">
        <v>3551</v>
      </c>
      <c r="B8655" s="35">
        <v>1.00449844276905</v>
      </c>
    </row>
    <row r="8656" spans="1:2" ht="13.2" x14ac:dyDescent="0.25">
      <c r="A8656" s="34" t="s">
        <v>3550</v>
      </c>
      <c r="B8656" s="35">
        <v>0.99870115898524403</v>
      </c>
    </row>
    <row r="8657" spans="1:2" ht="13.2" x14ac:dyDescent="0.25">
      <c r="A8657" s="34" t="s">
        <v>3549</v>
      </c>
    </row>
    <row r="8658" spans="1:2" ht="13.2" x14ac:dyDescent="0.25">
      <c r="A8658" s="34" t="s">
        <v>3548</v>
      </c>
    </row>
    <row r="8659" spans="1:2" ht="13.2" x14ac:dyDescent="0.25">
      <c r="A8659" s="34" t="s">
        <v>3547</v>
      </c>
      <c r="B8659" s="35">
        <v>1.0598785059742899</v>
      </c>
    </row>
    <row r="8660" spans="1:2" ht="13.2" x14ac:dyDescent="0.25">
      <c r="A8660" s="34" t="s">
        <v>3546</v>
      </c>
      <c r="B8660" s="35">
        <v>1.04427130273069</v>
      </c>
    </row>
    <row r="8661" spans="1:2" ht="13.2" x14ac:dyDescent="0.25">
      <c r="A8661" s="34" t="s">
        <v>3545</v>
      </c>
      <c r="B8661" s="35">
        <v>1.05785625205648</v>
      </c>
    </row>
    <row r="8662" spans="1:2" ht="13.2" x14ac:dyDescent="0.25">
      <c r="A8662" s="34" t="s">
        <v>3544</v>
      </c>
      <c r="B8662" s="35">
        <v>1.0525566321025299</v>
      </c>
    </row>
    <row r="8663" spans="1:2" ht="13.2" x14ac:dyDescent="0.25">
      <c r="A8663" s="34" t="s">
        <v>3543</v>
      </c>
      <c r="B8663" s="35">
        <v>1.1050315597366001</v>
      </c>
    </row>
    <row r="8664" spans="1:2" ht="13.2" x14ac:dyDescent="0.25">
      <c r="A8664" s="34" t="s">
        <v>3542</v>
      </c>
    </row>
    <row r="8665" spans="1:2" ht="13.2" x14ac:dyDescent="0.25">
      <c r="A8665" s="34" t="s">
        <v>3541</v>
      </c>
    </row>
    <row r="8666" spans="1:2" ht="13.2" x14ac:dyDescent="0.25">
      <c r="A8666" s="34" t="s">
        <v>3540</v>
      </c>
      <c r="B8666" s="35">
        <v>1.02184607756</v>
      </c>
    </row>
    <row r="8667" spans="1:2" ht="13.2" x14ac:dyDescent="0.25">
      <c r="A8667" s="34" t="s">
        <v>3539</v>
      </c>
      <c r="B8667" s="35">
        <v>1.01892629015146</v>
      </c>
    </row>
    <row r="8668" spans="1:2" ht="13.2" x14ac:dyDescent="0.25">
      <c r="A8668" s="34" t="s">
        <v>3538</v>
      </c>
      <c r="B8668" s="35">
        <v>1.0809342838987099</v>
      </c>
    </row>
    <row r="8669" spans="1:2" ht="13.2" x14ac:dyDescent="0.25">
      <c r="A8669" s="34" t="s">
        <v>3537</v>
      </c>
      <c r="B8669" s="35">
        <v>1.08024058810653</v>
      </c>
    </row>
    <row r="8670" spans="1:2" ht="13.2" x14ac:dyDescent="0.25">
      <c r="A8670" s="34" t="s">
        <v>3536</v>
      </c>
      <c r="B8670" s="35">
        <v>1.0755224728355299</v>
      </c>
    </row>
    <row r="8671" spans="1:2" ht="13.2" x14ac:dyDescent="0.25">
      <c r="A8671" s="34" t="s">
        <v>3535</v>
      </c>
    </row>
    <row r="8672" spans="1:2" ht="13.2" x14ac:dyDescent="0.25">
      <c r="A8672" s="34" t="s">
        <v>3534</v>
      </c>
    </row>
    <row r="8673" spans="1:2" ht="13.2" x14ac:dyDescent="0.25">
      <c r="A8673" s="34" t="s">
        <v>3533</v>
      </c>
      <c r="B8673" s="35">
        <v>1.08405592723406</v>
      </c>
    </row>
    <row r="8674" spans="1:2" ht="13.2" x14ac:dyDescent="0.25">
      <c r="A8674" s="34" t="s">
        <v>3532</v>
      </c>
      <c r="B8674" s="35">
        <v>1.0810199101195901</v>
      </c>
    </row>
    <row r="8675" spans="1:2" ht="13.2" x14ac:dyDescent="0.25">
      <c r="A8675" s="34" t="s">
        <v>3531</v>
      </c>
      <c r="B8675" s="35">
        <v>1.03945690905034</v>
      </c>
    </row>
    <row r="8676" spans="1:2" ht="13.2" x14ac:dyDescent="0.25">
      <c r="A8676" s="34" t="s">
        <v>3530</v>
      </c>
      <c r="B8676" s="35">
        <v>1.11613973883208</v>
      </c>
    </row>
    <row r="8677" spans="1:2" ht="13.2" x14ac:dyDescent="0.25">
      <c r="A8677" s="34" t="s">
        <v>3529</v>
      </c>
      <c r="B8677" s="35">
        <v>1.146952202619</v>
      </c>
    </row>
    <row r="8678" spans="1:2" ht="13.2" x14ac:dyDescent="0.25">
      <c r="A8678" s="34" t="s">
        <v>3528</v>
      </c>
    </row>
    <row r="8679" spans="1:2" ht="13.2" x14ac:dyDescent="0.25">
      <c r="A8679" s="34" t="s">
        <v>3527</v>
      </c>
    </row>
    <row r="8680" spans="1:2" ht="13.2" x14ac:dyDescent="0.25">
      <c r="A8680" s="34" t="s">
        <v>3526</v>
      </c>
    </row>
    <row r="8681" spans="1:2" ht="13.2" x14ac:dyDescent="0.25">
      <c r="A8681" s="34" t="s">
        <v>3525</v>
      </c>
    </row>
    <row r="8682" spans="1:2" ht="13.2" x14ac:dyDescent="0.25">
      <c r="A8682" s="34" t="s">
        <v>3524</v>
      </c>
      <c r="B8682" s="35">
        <v>1.14932167566689</v>
      </c>
    </row>
    <row r="8683" spans="1:2" ht="13.2" x14ac:dyDescent="0.25">
      <c r="A8683" s="34" t="s">
        <v>3523</v>
      </c>
      <c r="B8683" s="35">
        <v>1.05110024476556</v>
      </c>
    </row>
    <row r="8684" spans="1:2" ht="13.2" x14ac:dyDescent="0.25">
      <c r="A8684" s="34" t="s">
        <v>3522</v>
      </c>
      <c r="B8684" s="35">
        <v>1.08437898121717</v>
      </c>
    </row>
    <row r="8685" spans="1:2" ht="13.2" x14ac:dyDescent="0.25">
      <c r="A8685" s="34" t="s">
        <v>3521</v>
      </c>
    </row>
    <row r="8686" spans="1:2" ht="13.2" x14ac:dyDescent="0.25">
      <c r="A8686" s="34" t="s">
        <v>3520</v>
      </c>
    </row>
    <row r="8687" spans="1:2" ht="13.2" x14ac:dyDescent="0.25">
      <c r="A8687" s="34" t="s">
        <v>3519</v>
      </c>
      <c r="B8687" s="35">
        <v>1.0986800939791499</v>
      </c>
    </row>
    <row r="8688" spans="1:2" ht="13.2" x14ac:dyDescent="0.25">
      <c r="A8688" s="34" t="s">
        <v>3518</v>
      </c>
      <c r="B8688" s="35">
        <v>1.1158949713474</v>
      </c>
    </row>
    <row r="8689" spans="1:2" ht="13.2" x14ac:dyDescent="0.25">
      <c r="A8689" s="34" t="s">
        <v>3517</v>
      </c>
      <c r="B8689" s="35">
        <v>1.1657082382034101</v>
      </c>
    </row>
    <row r="8690" spans="1:2" ht="13.2" x14ac:dyDescent="0.25">
      <c r="A8690" s="34" t="s">
        <v>3516</v>
      </c>
      <c r="B8690" s="35">
        <v>1.1172284365915599</v>
      </c>
    </row>
    <row r="8691" spans="1:2" ht="13.2" x14ac:dyDescent="0.25">
      <c r="A8691" s="34" t="s">
        <v>3515</v>
      </c>
      <c r="B8691" s="35">
        <v>1.1156719851036301</v>
      </c>
    </row>
    <row r="8692" spans="1:2" ht="13.2" x14ac:dyDescent="0.25">
      <c r="A8692" s="34" t="s">
        <v>3514</v>
      </c>
    </row>
    <row r="8693" spans="1:2" ht="13.2" x14ac:dyDescent="0.25">
      <c r="A8693" s="34" t="s">
        <v>3513</v>
      </c>
    </row>
    <row r="8694" spans="1:2" ht="13.2" x14ac:dyDescent="0.25">
      <c r="A8694" s="34" t="s">
        <v>3512</v>
      </c>
      <c r="B8694" s="35">
        <v>1.1321401683563199</v>
      </c>
    </row>
    <row r="8695" spans="1:2" ht="13.2" x14ac:dyDescent="0.25">
      <c r="A8695" s="34" t="s">
        <v>3511</v>
      </c>
      <c r="B8695" s="35">
        <v>1.1680288677978801</v>
      </c>
    </row>
    <row r="8696" spans="1:2" ht="13.2" x14ac:dyDescent="0.25">
      <c r="A8696" s="34" t="s">
        <v>3510</v>
      </c>
      <c r="B8696" s="35">
        <v>1.2178980140515101</v>
      </c>
    </row>
    <row r="8697" spans="1:2" ht="13.2" x14ac:dyDescent="0.25">
      <c r="A8697" s="34" t="s">
        <v>3509</v>
      </c>
      <c r="B8697" s="35">
        <v>1.1912001005588999</v>
      </c>
    </row>
    <row r="8698" spans="1:2" ht="13.2" x14ac:dyDescent="0.25">
      <c r="A8698" s="34" t="s">
        <v>3508</v>
      </c>
      <c r="B8698" s="35">
        <v>1.29511831723947</v>
      </c>
    </row>
    <row r="8699" spans="1:2" ht="13.2" x14ac:dyDescent="0.25">
      <c r="A8699" s="34" t="s">
        <v>3507</v>
      </c>
    </row>
    <row r="8700" spans="1:2" ht="13.2" x14ac:dyDescent="0.25">
      <c r="A8700" s="34" t="s">
        <v>3506</v>
      </c>
    </row>
    <row r="8701" spans="1:2" ht="13.2" x14ac:dyDescent="0.25">
      <c r="A8701" s="34" t="s">
        <v>3505</v>
      </c>
      <c r="B8701" s="35">
        <v>1.2406429355328601</v>
      </c>
    </row>
    <row r="8702" spans="1:2" ht="13.2" x14ac:dyDescent="0.25">
      <c r="A8702" s="34" t="s">
        <v>3504</v>
      </c>
      <c r="B8702" s="35">
        <v>1.37886840224554</v>
      </c>
    </row>
    <row r="8703" spans="1:2" ht="13.2" x14ac:dyDescent="0.25">
      <c r="A8703" s="34" t="s">
        <v>3503</v>
      </c>
      <c r="B8703" s="35">
        <v>1.40312947569237</v>
      </c>
    </row>
    <row r="8704" spans="1:2" ht="13.2" x14ac:dyDescent="0.25">
      <c r="A8704" s="34" t="s">
        <v>3502</v>
      </c>
      <c r="B8704" s="35">
        <v>1.3654634271581101</v>
      </c>
    </row>
    <row r="8705" spans="1:2" ht="13.2" x14ac:dyDescent="0.25">
      <c r="A8705" s="34" t="s">
        <v>3501</v>
      </c>
      <c r="B8705" s="35">
        <v>1.3563990703914</v>
      </c>
    </row>
    <row r="8706" spans="1:2" ht="13.2" x14ac:dyDescent="0.25">
      <c r="A8706" s="34" t="s">
        <v>3500</v>
      </c>
    </row>
    <row r="8707" spans="1:2" ht="13.2" x14ac:dyDescent="0.25">
      <c r="A8707" s="34" t="s">
        <v>3499</v>
      </c>
    </row>
    <row r="8708" spans="1:2" ht="13.2" x14ac:dyDescent="0.25">
      <c r="A8708" s="34" t="s">
        <v>3498</v>
      </c>
      <c r="B8708" s="35">
        <v>1.3745074064138501</v>
      </c>
    </row>
    <row r="8709" spans="1:2" ht="13.2" x14ac:dyDescent="0.25">
      <c r="A8709" s="34" t="s">
        <v>3497</v>
      </c>
      <c r="B8709" s="35">
        <v>1.3491816709737201</v>
      </c>
    </row>
    <row r="8710" spans="1:2" ht="13.2" x14ac:dyDescent="0.25">
      <c r="A8710" s="34" t="s">
        <v>3496</v>
      </c>
      <c r="B8710" s="35">
        <v>1.37070390392776</v>
      </c>
    </row>
    <row r="8711" spans="1:2" ht="13.2" x14ac:dyDescent="0.25">
      <c r="A8711" s="34" t="s">
        <v>3495</v>
      </c>
      <c r="B8711" s="35">
        <v>1.3659154194113099</v>
      </c>
    </row>
    <row r="8712" spans="1:2" ht="13.2" x14ac:dyDescent="0.25">
      <c r="A8712" s="34" t="s">
        <v>3494</v>
      </c>
      <c r="B8712" s="35">
        <v>1.3195834711207499</v>
      </c>
    </row>
    <row r="8713" spans="1:2" ht="13.2" x14ac:dyDescent="0.25">
      <c r="A8713" s="34" t="s">
        <v>3493</v>
      </c>
    </row>
    <row r="8714" spans="1:2" ht="13.2" x14ac:dyDescent="0.25">
      <c r="A8714" s="34" t="s">
        <v>3492</v>
      </c>
    </row>
    <row r="8715" spans="1:2" ht="13.2" x14ac:dyDescent="0.25">
      <c r="A8715" s="34" t="s">
        <v>3491</v>
      </c>
      <c r="B8715" s="35">
        <v>1.2804319135972899</v>
      </c>
    </row>
    <row r="8716" spans="1:2" ht="13.2" x14ac:dyDescent="0.25">
      <c r="A8716" s="34" t="s">
        <v>3490</v>
      </c>
      <c r="B8716" s="35">
        <v>1.29043910993547</v>
      </c>
    </row>
    <row r="8717" spans="1:2" ht="13.2" x14ac:dyDescent="0.25">
      <c r="A8717" s="34" t="s">
        <v>3489</v>
      </c>
      <c r="B8717" s="35">
        <v>1.31780735007536</v>
      </c>
    </row>
    <row r="8718" spans="1:2" ht="13.2" x14ac:dyDescent="0.25">
      <c r="A8718" s="34" t="s">
        <v>3488</v>
      </c>
      <c r="B8718" s="35">
        <v>1.28601704594755</v>
      </c>
    </row>
    <row r="8719" spans="1:2" ht="13.2" x14ac:dyDescent="0.25">
      <c r="A8719" s="34" t="s">
        <v>3487</v>
      </c>
      <c r="B8719" s="35">
        <v>1.29214068106498</v>
      </c>
    </row>
    <row r="8720" spans="1:2" ht="13.2" x14ac:dyDescent="0.25">
      <c r="A8720" s="34" t="s">
        <v>3486</v>
      </c>
    </row>
    <row r="8721" spans="1:2" ht="13.2" x14ac:dyDescent="0.25">
      <c r="A8721" s="34" t="s">
        <v>3485</v>
      </c>
    </row>
    <row r="8722" spans="1:2" ht="13.2" x14ac:dyDescent="0.25">
      <c r="A8722" s="34" t="s">
        <v>3484</v>
      </c>
      <c r="B8722" s="35">
        <v>1.29191477010751</v>
      </c>
    </row>
    <row r="8723" spans="1:2" ht="13.2" x14ac:dyDescent="0.25">
      <c r="A8723" s="34" t="s">
        <v>3483</v>
      </c>
      <c r="B8723" s="35">
        <v>1.25870072592146</v>
      </c>
    </row>
    <row r="8724" spans="1:2" ht="13.2" x14ac:dyDescent="0.25">
      <c r="A8724" s="34" t="s">
        <v>3482</v>
      </c>
      <c r="B8724" s="35">
        <v>1.23805057671093</v>
      </c>
    </row>
    <row r="8725" spans="1:2" ht="13.2" x14ac:dyDescent="0.25">
      <c r="A8725" s="34" t="s">
        <v>3481</v>
      </c>
      <c r="B8725" s="35">
        <v>1.15599423183844</v>
      </c>
    </row>
    <row r="8726" spans="1:2" ht="13.2" x14ac:dyDescent="0.25">
      <c r="A8726" s="34" t="s">
        <v>3480</v>
      </c>
    </row>
    <row r="8727" spans="1:2" ht="13.2" x14ac:dyDescent="0.25">
      <c r="A8727" s="34" t="s">
        <v>3479</v>
      </c>
    </row>
    <row r="8728" spans="1:2" ht="13.2" x14ac:dyDescent="0.25">
      <c r="A8728" s="34" t="s">
        <v>3478</v>
      </c>
    </row>
    <row r="8729" spans="1:2" ht="13.2" x14ac:dyDescent="0.25">
      <c r="A8729" s="34" t="s">
        <v>3477</v>
      </c>
      <c r="B8729" s="35">
        <v>1.2842239005899101</v>
      </c>
    </row>
    <row r="8730" spans="1:2" ht="13.2" x14ac:dyDescent="0.25">
      <c r="A8730" s="34" t="s">
        <v>3476</v>
      </c>
      <c r="B8730" s="35">
        <v>1.17127426388189</v>
      </c>
    </row>
    <row r="8731" spans="1:2" ht="13.2" x14ac:dyDescent="0.25">
      <c r="A8731" s="34" t="s">
        <v>3475</v>
      </c>
      <c r="B8731" s="35">
        <v>1.1722877174970101</v>
      </c>
    </row>
    <row r="8732" spans="1:2" ht="13.2" x14ac:dyDescent="0.25">
      <c r="A8732" s="34" t="s">
        <v>3474</v>
      </c>
      <c r="B8732" s="35">
        <v>0.97735671773299704</v>
      </c>
    </row>
    <row r="8733" spans="1:2" ht="13.2" x14ac:dyDescent="0.25">
      <c r="A8733" s="34" t="s">
        <v>3473</v>
      </c>
    </row>
    <row r="8734" spans="1:2" ht="13.2" x14ac:dyDescent="0.25">
      <c r="A8734" s="34" t="s">
        <v>3472</v>
      </c>
    </row>
    <row r="8735" spans="1:2" ht="13.2" x14ac:dyDescent="0.25">
      <c r="A8735" s="34" t="s">
        <v>3471</v>
      </c>
    </row>
    <row r="8736" spans="1:2" ht="13.2" x14ac:dyDescent="0.25">
      <c r="A8736" s="34" t="s">
        <v>3470</v>
      </c>
      <c r="B8736" s="35">
        <v>0.98280601720397798</v>
      </c>
    </row>
    <row r="8737" spans="1:2" ht="13.2" x14ac:dyDescent="0.25">
      <c r="A8737" s="34" t="s">
        <v>3469</v>
      </c>
      <c r="B8737" s="35">
        <v>1.01188227445776</v>
      </c>
    </row>
    <row r="8738" spans="1:2" ht="13.2" x14ac:dyDescent="0.25">
      <c r="A8738" s="34" t="s">
        <v>3468</v>
      </c>
      <c r="B8738" s="35">
        <v>1.0148521960572501</v>
      </c>
    </row>
    <row r="8739" spans="1:2" ht="13.2" x14ac:dyDescent="0.25">
      <c r="A8739" s="34" t="s">
        <v>3467</v>
      </c>
      <c r="B8739" s="35">
        <v>1.0069599733496599</v>
      </c>
    </row>
    <row r="8740" spans="1:2" ht="13.2" x14ac:dyDescent="0.25">
      <c r="A8740" s="34" t="s">
        <v>3466</v>
      </c>
      <c r="B8740" s="35">
        <v>1.0298114425931799</v>
      </c>
    </row>
    <row r="8741" spans="1:2" ht="13.2" x14ac:dyDescent="0.25">
      <c r="A8741" s="34" t="s">
        <v>3465</v>
      </c>
    </row>
    <row r="8742" spans="1:2" ht="13.2" x14ac:dyDescent="0.25">
      <c r="A8742" s="34" t="s">
        <v>3464</v>
      </c>
    </row>
    <row r="8743" spans="1:2" ht="13.2" x14ac:dyDescent="0.25">
      <c r="A8743" s="34" t="s">
        <v>3463</v>
      </c>
    </row>
    <row r="8744" spans="1:2" ht="13.2" x14ac:dyDescent="0.25">
      <c r="A8744" s="34" t="s">
        <v>3462</v>
      </c>
      <c r="B8744" s="35">
        <v>1.0780902290621599</v>
      </c>
    </row>
    <row r="8745" spans="1:2" ht="13.2" x14ac:dyDescent="0.25">
      <c r="A8745" s="34" t="s">
        <v>3461</v>
      </c>
      <c r="B8745" s="35">
        <v>1.0967897813232801</v>
      </c>
    </row>
    <row r="8746" spans="1:2" ht="13.2" x14ac:dyDescent="0.25">
      <c r="A8746" s="34" t="s">
        <v>3460</v>
      </c>
      <c r="B8746" s="35">
        <v>1.1721799031667</v>
      </c>
    </row>
    <row r="8747" spans="1:2" ht="13.2" x14ac:dyDescent="0.25">
      <c r="A8747" s="34" t="s">
        <v>3459</v>
      </c>
      <c r="B8747" s="35">
        <v>1.2044850880854601</v>
      </c>
    </row>
    <row r="8748" spans="1:2" ht="13.2" x14ac:dyDescent="0.25">
      <c r="A8748" s="34" t="s">
        <v>3458</v>
      </c>
    </row>
    <row r="8749" spans="1:2" ht="13.2" x14ac:dyDescent="0.25">
      <c r="A8749" s="34" t="s">
        <v>3457</v>
      </c>
    </row>
    <row r="8750" spans="1:2" ht="13.2" x14ac:dyDescent="0.25">
      <c r="A8750" s="34" t="s">
        <v>3456</v>
      </c>
      <c r="B8750" s="35">
        <v>1.19141690960666</v>
      </c>
    </row>
    <row r="8751" spans="1:2" ht="13.2" x14ac:dyDescent="0.25">
      <c r="A8751" s="34" t="s">
        <v>3455</v>
      </c>
      <c r="B8751" s="35">
        <v>1.1646540016557001</v>
      </c>
    </row>
    <row r="8752" spans="1:2" ht="13.2" x14ac:dyDescent="0.25">
      <c r="A8752" s="34" t="s">
        <v>3454</v>
      </c>
      <c r="B8752" s="35">
        <v>1.1862669415742599</v>
      </c>
    </row>
    <row r="8753" spans="1:2" ht="13.2" x14ac:dyDescent="0.25">
      <c r="A8753" s="34" t="s">
        <v>3453</v>
      </c>
      <c r="B8753" s="35">
        <v>1.18368081967132</v>
      </c>
    </row>
    <row r="8754" spans="1:2" ht="13.2" x14ac:dyDescent="0.25">
      <c r="A8754" s="34" t="s">
        <v>3452</v>
      </c>
      <c r="B8754" s="35">
        <v>1.1958040959029801</v>
      </c>
    </row>
    <row r="8755" spans="1:2" ht="13.2" x14ac:dyDescent="0.25">
      <c r="A8755" s="34" t="s">
        <v>3451</v>
      </c>
    </row>
    <row r="8756" spans="1:2" ht="13.2" x14ac:dyDescent="0.25">
      <c r="A8756" s="34" t="s">
        <v>3450</v>
      </c>
    </row>
    <row r="8757" spans="1:2" ht="13.2" x14ac:dyDescent="0.25">
      <c r="A8757" s="34" t="s">
        <v>3449</v>
      </c>
      <c r="B8757" s="35">
        <v>1.1849425472299699</v>
      </c>
    </row>
    <row r="8758" spans="1:2" ht="13.2" x14ac:dyDescent="0.25">
      <c r="A8758" s="34" t="s">
        <v>3448</v>
      </c>
      <c r="B8758" s="35">
        <v>1.16147374103662</v>
      </c>
    </row>
    <row r="8759" spans="1:2" ht="13.2" x14ac:dyDescent="0.25">
      <c r="A8759" s="34" t="s">
        <v>3447</v>
      </c>
      <c r="B8759" s="35">
        <v>1.1612217426157001</v>
      </c>
    </row>
    <row r="8760" spans="1:2" ht="13.2" x14ac:dyDescent="0.25">
      <c r="A8760" s="34" t="s">
        <v>3446</v>
      </c>
      <c r="B8760" s="35">
        <v>2.3212500617880001</v>
      </c>
    </row>
    <row r="8761" spans="1:2" ht="13.2" x14ac:dyDescent="0.25">
      <c r="A8761" s="34" t="s">
        <v>3445</v>
      </c>
      <c r="B8761" s="35">
        <v>2.35722199869423</v>
      </c>
    </row>
    <row r="8762" spans="1:2" ht="13.2" x14ac:dyDescent="0.25">
      <c r="A8762" s="34" t="s">
        <v>3444</v>
      </c>
    </row>
    <row r="8763" spans="1:2" ht="13.2" x14ac:dyDescent="0.25">
      <c r="A8763" s="34" t="s">
        <v>3443</v>
      </c>
    </row>
    <row r="8764" spans="1:2" ht="13.2" x14ac:dyDescent="0.25">
      <c r="A8764" s="34" t="s">
        <v>3442</v>
      </c>
      <c r="B8764" s="35">
        <v>2.3670969951946401</v>
      </c>
    </row>
    <row r="8765" spans="1:2" ht="13.2" x14ac:dyDescent="0.25">
      <c r="A8765" s="34" t="s">
        <v>3441</v>
      </c>
      <c r="B8765" s="35">
        <v>2.3927611613588602</v>
      </c>
    </row>
    <row r="8766" spans="1:2" ht="13.2" x14ac:dyDescent="0.25">
      <c r="A8766" s="34" t="s">
        <v>3440</v>
      </c>
      <c r="B8766" s="35">
        <v>2.3919947689239298</v>
      </c>
    </row>
    <row r="8767" spans="1:2" ht="13.2" x14ac:dyDescent="0.25">
      <c r="A8767" s="34" t="s">
        <v>3439</v>
      </c>
      <c r="B8767" s="35">
        <v>2.3747100875339</v>
      </c>
    </row>
    <row r="8768" spans="1:2" ht="13.2" x14ac:dyDescent="0.25">
      <c r="A8768" s="34" t="s">
        <v>3438</v>
      </c>
      <c r="B8768" s="35">
        <v>2.3954708674101299</v>
      </c>
    </row>
    <row r="8769" spans="1:2" ht="13.2" x14ac:dyDescent="0.25">
      <c r="A8769" s="34" t="s">
        <v>3437</v>
      </c>
    </row>
    <row r="8770" spans="1:2" ht="13.2" x14ac:dyDescent="0.25">
      <c r="A8770" s="34" t="s">
        <v>3436</v>
      </c>
    </row>
    <row r="8771" spans="1:2" ht="13.2" x14ac:dyDescent="0.25">
      <c r="A8771" s="34" t="s">
        <v>3435</v>
      </c>
      <c r="B8771" s="35">
        <v>2.3970107924731301</v>
      </c>
    </row>
    <row r="8772" spans="1:2" ht="13.2" x14ac:dyDescent="0.25">
      <c r="A8772" s="34" t="s">
        <v>3434</v>
      </c>
      <c r="B8772" s="35">
        <v>2.38355613203175</v>
      </c>
    </row>
    <row r="8773" spans="1:2" ht="13.2" x14ac:dyDescent="0.25">
      <c r="A8773" s="34" t="s">
        <v>3433</v>
      </c>
      <c r="B8773" s="35">
        <v>2.3658791193893598</v>
      </c>
    </row>
    <row r="8774" spans="1:2" ht="13.2" x14ac:dyDescent="0.25">
      <c r="A8774" s="34" t="s">
        <v>3432</v>
      </c>
      <c r="B8774" s="35">
        <v>2.3628954085955698</v>
      </c>
    </row>
    <row r="8775" spans="1:2" ht="13.2" x14ac:dyDescent="0.25">
      <c r="A8775" s="34" t="s">
        <v>3431</v>
      </c>
      <c r="B8775" s="35">
        <v>2.33754096310432</v>
      </c>
    </row>
    <row r="8776" spans="1:2" ht="13.2" x14ac:dyDescent="0.25">
      <c r="A8776" s="34" t="s">
        <v>3430</v>
      </c>
    </row>
    <row r="8777" spans="1:2" ht="13.2" x14ac:dyDescent="0.25">
      <c r="A8777" s="34" t="s">
        <v>3429</v>
      </c>
    </row>
    <row r="8778" spans="1:2" ht="13.2" x14ac:dyDescent="0.25">
      <c r="A8778" s="34" t="s">
        <v>3428</v>
      </c>
      <c r="B8778" s="35">
        <v>2.3132760709140001</v>
      </c>
    </row>
    <row r="8779" spans="1:2" ht="13.2" x14ac:dyDescent="0.25">
      <c r="A8779" s="34" t="s">
        <v>3427</v>
      </c>
      <c r="B8779" s="35">
        <v>2.3244893371871198</v>
      </c>
    </row>
    <row r="8780" spans="1:2" ht="13.2" x14ac:dyDescent="0.25">
      <c r="A8780" s="34" t="s">
        <v>3426</v>
      </c>
      <c r="B8780" s="35">
        <v>2.3080882096875599</v>
      </c>
    </row>
    <row r="8781" spans="1:2" ht="13.2" x14ac:dyDescent="0.25">
      <c r="A8781" s="34" t="s">
        <v>3425</v>
      </c>
      <c r="B8781" s="35">
        <v>2.2707533263686202</v>
      </c>
    </row>
    <row r="8782" spans="1:2" ht="13.2" x14ac:dyDescent="0.25">
      <c r="A8782" s="34" t="s">
        <v>3424</v>
      </c>
      <c r="B8782" s="35">
        <v>2.2690525342675198</v>
      </c>
    </row>
    <row r="8783" spans="1:2" ht="13.2" x14ac:dyDescent="0.25">
      <c r="A8783" s="34" t="s">
        <v>3423</v>
      </c>
    </row>
    <row r="8784" spans="1:2" ht="13.2" x14ac:dyDescent="0.25">
      <c r="A8784" s="34" t="s">
        <v>3422</v>
      </c>
    </row>
    <row r="8785" spans="1:2" ht="13.2" x14ac:dyDescent="0.25">
      <c r="A8785" s="34" t="s">
        <v>3421</v>
      </c>
      <c r="B8785" s="35">
        <v>2.2477003667497399</v>
      </c>
    </row>
    <row r="8786" spans="1:2" ht="13.2" x14ac:dyDescent="0.25">
      <c r="A8786" s="34" t="s">
        <v>3420</v>
      </c>
      <c r="B8786" s="35">
        <v>2.2449569591238498</v>
      </c>
    </row>
    <row r="8787" spans="1:2" ht="13.2" x14ac:dyDescent="0.25">
      <c r="A8787" s="34" t="s">
        <v>3419</v>
      </c>
      <c r="B8787" s="35">
        <v>2.2424852331958798</v>
      </c>
    </row>
    <row r="8788" spans="1:2" ht="13.2" x14ac:dyDescent="0.25">
      <c r="A8788" s="34" t="s">
        <v>3418</v>
      </c>
    </row>
    <row r="8789" spans="1:2" ht="13.2" x14ac:dyDescent="0.25">
      <c r="A8789" s="34" t="s">
        <v>3417</v>
      </c>
      <c r="B8789" s="35">
        <v>2.2259774145004001</v>
      </c>
    </row>
    <row r="8790" spans="1:2" ht="13.2" x14ac:dyDescent="0.25">
      <c r="A8790" s="34" t="s">
        <v>3416</v>
      </c>
    </row>
    <row r="8791" spans="1:2" ht="13.2" x14ac:dyDescent="0.25">
      <c r="A8791" s="34" t="s">
        <v>3415</v>
      </c>
    </row>
    <row r="8792" spans="1:2" ht="13.2" x14ac:dyDescent="0.25">
      <c r="A8792" s="34" t="s">
        <v>3414</v>
      </c>
      <c r="B8792" s="35">
        <v>0.965238291044625</v>
      </c>
    </row>
    <row r="8793" spans="1:2" ht="13.2" x14ac:dyDescent="0.25">
      <c r="A8793" s="34" t="s">
        <v>3413</v>
      </c>
      <c r="B8793" s="35">
        <v>0.98832005672880696</v>
      </c>
    </row>
    <row r="8794" spans="1:2" ht="13.2" x14ac:dyDescent="0.25">
      <c r="A8794" s="34" t="s">
        <v>3412</v>
      </c>
      <c r="B8794" s="35">
        <v>0.93417007574521604</v>
      </c>
    </row>
    <row r="8795" spans="1:2" ht="13.2" x14ac:dyDescent="0.25">
      <c r="A8795" s="34" t="s">
        <v>3411</v>
      </c>
      <c r="B8795" s="35">
        <v>0.87997110800420497</v>
      </c>
    </row>
    <row r="8796" spans="1:2" ht="13.2" x14ac:dyDescent="0.25">
      <c r="A8796" s="34" t="s">
        <v>3410</v>
      </c>
      <c r="B8796" s="35">
        <v>0.84689666278676001</v>
      </c>
    </row>
    <row r="8797" spans="1:2" ht="13.2" x14ac:dyDescent="0.25">
      <c r="A8797" s="34" t="s">
        <v>3409</v>
      </c>
    </row>
    <row r="8798" spans="1:2" ht="13.2" x14ac:dyDescent="0.25">
      <c r="A8798" s="34" t="s">
        <v>3408</v>
      </c>
    </row>
    <row r="8799" spans="1:2" ht="13.2" x14ac:dyDescent="0.25">
      <c r="A8799" s="34" t="s">
        <v>3407</v>
      </c>
      <c r="B8799" s="35">
        <v>0.94822943704076301</v>
      </c>
    </row>
    <row r="8800" spans="1:2" ht="13.2" x14ac:dyDescent="0.25">
      <c r="A8800" s="34" t="s">
        <v>3406</v>
      </c>
      <c r="B8800" s="35">
        <v>0.90230759586026399</v>
      </c>
    </row>
    <row r="8801" spans="1:2" ht="13.2" x14ac:dyDescent="0.25">
      <c r="A8801" s="34" t="s">
        <v>3405</v>
      </c>
      <c r="B8801" s="35">
        <v>0.91289927755893796</v>
      </c>
    </row>
    <row r="8802" spans="1:2" ht="13.2" x14ac:dyDescent="0.25">
      <c r="A8802" s="34" t="s">
        <v>3404</v>
      </c>
      <c r="B8802" s="35">
        <v>0.91394491917687004</v>
      </c>
    </row>
    <row r="8803" spans="1:2" ht="13.2" x14ac:dyDescent="0.25">
      <c r="A8803" s="34" t="s">
        <v>3403</v>
      </c>
      <c r="B8803" s="35">
        <v>0.84472516124010799</v>
      </c>
    </row>
    <row r="8804" spans="1:2" ht="13.2" x14ac:dyDescent="0.25">
      <c r="A8804" s="34" t="s">
        <v>3402</v>
      </c>
    </row>
    <row r="8805" spans="1:2" ht="13.2" x14ac:dyDescent="0.25">
      <c r="A8805" s="34" t="s">
        <v>3401</v>
      </c>
    </row>
    <row r="8806" spans="1:2" ht="13.2" x14ac:dyDescent="0.25">
      <c r="A8806" s="34" t="s">
        <v>3400</v>
      </c>
      <c r="B8806" s="35">
        <v>0.83856328196262797</v>
      </c>
    </row>
    <row r="8807" spans="1:2" ht="13.2" x14ac:dyDescent="0.25">
      <c r="A8807" s="34" t="s">
        <v>3399</v>
      </c>
      <c r="B8807" s="35">
        <v>0.83662926700597096</v>
      </c>
    </row>
    <row r="8808" spans="1:2" ht="13.2" x14ac:dyDescent="0.25">
      <c r="A8808" s="34" t="s">
        <v>3398</v>
      </c>
      <c r="B8808" s="35">
        <v>0.83688292064790504</v>
      </c>
    </row>
    <row r="8809" spans="1:2" ht="13.2" x14ac:dyDescent="0.25">
      <c r="A8809" s="34" t="s">
        <v>3397</v>
      </c>
      <c r="B8809" s="35">
        <v>0.85369852776077504</v>
      </c>
    </row>
    <row r="8810" spans="1:2" ht="13.2" x14ac:dyDescent="0.25">
      <c r="A8810" s="34" t="s">
        <v>3396</v>
      </c>
      <c r="B8810" s="35">
        <v>0.85018430442076698</v>
      </c>
    </row>
    <row r="8811" spans="1:2" ht="13.2" x14ac:dyDescent="0.25">
      <c r="A8811" s="34" t="s">
        <v>3395</v>
      </c>
    </row>
    <row r="8812" spans="1:2" ht="13.2" x14ac:dyDescent="0.25">
      <c r="A8812" s="34" t="s">
        <v>3394</v>
      </c>
    </row>
    <row r="8813" spans="1:2" ht="13.2" x14ac:dyDescent="0.25">
      <c r="A8813" s="34" t="s">
        <v>3393</v>
      </c>
      <c r="B8813" s="35">
        <v>0.87631365006114703</v>
      </c>
    </row>
    <row r="8814" spans="1:2" ht="13.2" x14ac:dyDescent="0.25">
      <c r="A8814" s="34" t="s">
        <v>3392</v>
      </c>
      <c r="B8814" s="35">
        <v>0.89191197304903502</v>
      </c>
    </row>
    <row r="8815" spans="1:2" ht="13.2" x14ac:dyDescent="0.25">
      <c r="A8815" s="34" t="s">
        <v>3391</v>
      </c>
      <c r="B8815" s="35">
        <v>0.91679071896166497</v>
      </c>
    </row>
    <row r="8816" spans="1:2" ht="13.2" x14ac:dyDescent="0.25">
      <c r="A8816" s="34" t="s">
        <v>3390</v>
      </c>
      <c r="B8816" s="35">
        <v>0.91893092229233897</v>
      </c>
    </row>
    <row r="8817" spans="1:2" ht="13.2" x14ac:dyDescent="0.25">
      <c r="A8817" s="34" t="s">
        <v>3389</v>
      </c>
      <c r="B8817" s="35">
        <v>0.91914931856684501</v>
      </c>
    </row>
    <row r="8818" spans="1:2" ht="13.2" x14ac:dyDescent="0.25">
      <c r="A8818" s="34" t="s">
        <v>3388</v>
      </c>
    </row>
    <row r="8819" spans="1:2" ht="13.2" x14ac:dyDescent="0.25">
      <c r="A8819" s="34" t="s">
        <v>3387</v>
      </c>
    </row>
    <row r="8820" spans="1:2" ht="13.2" x14ac:dyDescent="0.25">
      <c r="A8820" s="34" t="s">
        <v>3386</v>
      </c>
      <c r="B8820" s="35">
        <v>0.91405087108079996</v>
      </c>
    </row>
    <row r="8821" spans="1:2" ht="13.2" x14ac:dyDescent="0.25">
      <c r="A8821" s="34" t="s">
        <v>3385</v>
      </c>
      <c r="B8821" s="35">
        <v>0.91044575654708304</v>
      </c>
    </row>
    <row r="8822" spans="1:2" ht="13.2" x14ac:dyDescent="0.25">
      <c r="A8822" s="34" t="s">
        <v>3384</v>
      </c>
      <c r="B8822" s="35">
        <v>0.75698721992543105</v>
      </c>
    </row>
    <row r="8823" spans="1:2" ht="13.2" x14ac:dyDescent="0.25">
      <c r="A8823" s="34" t="s">
        <v>3383</v>
      </c>
      <c r="B8823" s="35">
        <v>0.76930395109675098</v>
      </c>
    </row>
    <row r="8824" spans="1:2" ht="13.2" x14ac:dyDescent="0.25">
      <c r="A8824" s="34" t="s">
        <v>3382</v>
      </c>
      <c r="B8824" s="35">
        <v>0.77449867543657602</v>
      </c>
    </row>
    <row r="8825" spans="1:2" ht="13.2" x14ac:dyDescent="0.25">
      <c r="A8825" s="34" t="s">
        <v>3381</v>
      </c>
    </row>
    <row r="8826" spans="1:2" ht="13.2" x14ac:dyDescent="0.25">
      <c r="A8826" s="34" t="s">
        <v>3380</v>
      </c>
    </row>
    <row r="8827" spans="1:2" ht="13.2" x14ac:dyDescent="0.25">
      <c r="A8827" s="34" t="s">
        <v>3379</v>
      </c>
      <c r="B8827" s="35">
        <v>0.76769734972811199</v>
      </c>
    </row>
    <row r="8828" spans="1:2" ht="13.2" x14ac:dyDescent="0.25">
      <c r="A8828" s="34" t="s">
        <v>3378</v>
      </c>
      <c r="B8828" s="35">
        <v>0.70238587527107499</v>
      </c>
    </row>
    <row r="8829" spans="1:2" ht="13.2" x14ac:dyDescent="0.25">
      <c r="A8829" s="34" t="s">
        <v>3377</v>
      </c>
      <c r="B8829" s="35">
        <v>0.71701614054037099</v>
      </c>
    </row>
    <row r="8830" spans="1:2" ht="13.2" x14ac:dyDescent="0.25">
      <c r="A8830" s="34" t="s">
        <v>3376</v>
      </c>
      <c r="B8830" s="35">
        <v>0.71462429962846896</v>
      </c>
    </row>
    <row r="8831" spans="1:2" ht="13.2" x14ac:dyDescent="0.25">
      <c r="A8831" s="34" t="s">
        <v>3375</v>
      </c>
      <c r="B8831" s="35">
        <v>0.714485968458618</v>
      </c>
    </row>
    <row r="8832" spans="1:2" ht="13.2" x14ac:dyDescent="0.25">
      <c r="A8832" s="34" t="s">
        <v>3374</v>
      </c>
    </row>
    <row r="8833" spans="1:2" ht="13.2" x14ac:dyDescent="0.25">
      <c r="A8833" s="34" t="s">
        <v>3373</v>
      </c>
    </row>
    <row r="8834" spans="1:2" ht="13.2" x14ac:dyDescent="0.25">
      <c r="A8834" s="34" t="s">
        <v>3372</v>
      </c>
      <c r="B8834" s="35">
        <v>0.69644068024827399</v>
      </c>
    </row>
    <row r="8835" spans="1:2" ht="13.2" x14ac:dyDescent="0.25">
      <c r="A8835" s="34" t="s">
        <v>3371</v>
      </c>
      <c r="B8835" s="35">
        <v>0.70748564578459106</v>
      </c>
    </row>
    <row r="8836" spans="1:2" ht="13.2" x14ac:dyDescent="0.25">
      <c r="A8836" s="34" t="s">
        <v>3370</v>
      </c>
      <c r="B8836" s="35">
        <v>0.71906389023543404</v>
      </c>
    </row>
    <row r="8837" spans="1:2" ht="13.2" x14ac:dyDescent="0.25">
      <c r="A8837" s="34" t="s">
        <v>3369</v>
      </c>
      <c r="B8837" s="35">
        <v>0.73622976806932905</v>
      </c>
    </row>
    <row r="8838" spans="1:2" ht="13.2" x14ac:dyDescent="0.25">
      <c r="A8838" s="34" t="s">
        <v>3368</v>
      </c>
      <c r="B8838" s="35">
        <v>0.66843395446103304</v>
      </c>
    </row>
    <row r="8839" spans="1:2" ht="13.2" x14ac:dyDescent="0.25">
      <c r="A8839" s="34" t="s">
        <v>3367</v>
      </c>
    </row>
    <row r="8840" spans="1:2" ht="13.2" x14ac:dyDescent="0.25">
      <c r="A8840" s="34" t="s">
        <v>3366</v>
      </c>
    </row>
    <row r="8841" spans="1:2" ht="13.2" x14ac:dyDescent="0.25">
      <c r="A8841" s="34" t="s">
        <v>3365</v>
      </c>
      <c r="B8841" s="35">
        <v>0.70549824885457602</v>
      </c>
    </row>
    <row r="8842" spans="1:2" ht="13.2" x14ac:dyDescent="0.25">
      <c r="A8842" s="34" t="s">
        <v>3364</v>
      </c>
      <c r="B8842" s="35">
        <v>0.69300497542508399</v>
      </c>
    </row>
    <row r="8843" spans="1:2" ht="13.2" x14ac:dyDescent="0.25">
      <c r="A8843" s="34" t="s">
        <v>3363</v>
      </c>
      <c r="B8843" s="35">
        <v>0.67518417437797795</v>
      </c>
    </row>
    <row r="8844" spans="1:2" ht="13.2" x14ac:dyDescent="0.25">
      <c r="A8844" s="34" t="s">
        <v>3362</v>
      </c>
      <c r="B8844" s="35">
        <v>0.66383515817411298</v>
      </c>
    </row>
    <row r="8845" spans="1:2" ht="13.2" x14ac:dyDescent="0.25">
      <c r="A8845" s="34" t="s">
        <v>3361</v>
      </c>
      <c r="B8845" s="35">
        <v>0.66441394882205895</v>
      </c>
    </row>
    <row r="8846" spans="1:2" ht="13.2" x14ac:dyDescent="0.25">
      <c r="A8846" s="34" t="s">
        <v>3360</v>
      </c>
    </row>
    <row r="8847" spans="1:2" ht="13.2" x14ac:dyDescent="0.25">
      <c r="A8847" s="34" t="s">
        <v>3359</v>
      </c>
    </row>
    <row r="8848" spans="1:2" ht="13.2" x14ac:dyDescent="0.25">
      <c r="A8848" s="34" t="s">
        <v>3358</v>
      </c>
      <c r="B8848" s="35">
        <v>0.71372473428489303</v>
      </c>
    </row>
    <row r="8849" spans="1:2" ht="13.2" x14ac:dyDescent="0.25">
      <c r="A8849" s="34" t="s">
        <v>3357</v>
      </c>
      <c r="B8849" s="35">
        <v>0.703234031574411</v>
      </c>
    </row>
    <row r="8850" spans="1:2" ht="13.2" x14ac:dyDescent="0.25">
      <c r="A8850" s="34" t="s">
        <v>3356</v>
      </c>
      <c r="B8850" s="35">
        <v>0.70371270510917305</v>
      </c>
    </row>
    <row r="8851" spans="1:2" ht="13.2" x14ac:dyDescent="0.25">
      <c r="A8851" s="34" t="s">
        <v>3355</v>
      </c>
      <c r="B8851" s="35">
        <v>0.73985014079282696</v>
      </c>
    </row>
    <row r="8852" spans="1:2" ht="13.2" x14ac:dyDescent="0.25">
      <c r="A8852" s="34" t="s">
        <v>3354</v>
      </c>
      <c r="B8852" s="35">
        <v>0.75146137744776598</v>
      </c>
    </row>
    <row r="8853" spans="1:2" ht="13.2" x14ac:dyDescent="0.25">
      <c r="A8853" s="34" t="s">
        <v>3353</v>
      </c>
    </row>
    <row r="8854" spans="1:2" ht="13.2" x14ac:dyDescent="0.25">
      <c r="A8854" s="34" t="s">
        <v>3352</v>
      </c>
    </row>
    <row r="8855" spans="1:2" ht="13.2" x14ac:dyDescent="0.25">
      <c r="A8855" s="34" t="s">
        <v>3351</v>
      </c>
      <c r="B8855" s="35">
        <v>0.74168581788122201</v>
      </c>
    </row>
    <row r="8856" spans="1:2" ht="13.2" x14ac:dyDescent="0.25">
      <c r="A8856" s="34" t="s">
        <v>3350</v>
      </c>
      <c r="B8856" s="35">
        <v>0.82723249990013104</v>
      </c>
    </row>
    <row r="8857" spans="1:2" ht="13.2" x14ac:dyDescent="0.25">
      <c r="A8857" s="34" t="s">
        <v>3349</v>
      </c>
      <c r="B8857" s="35">
        <v>0.82197435191252699</v>
      </c>
    </row>
    <row r="8858" spans="1:2" ht="13.2" x14ac:dyDescent="0.25">
      <c r="A8858" s="34" t="s">
        <v>3348</v>
      </c>
      <c r="B8858" s="35">
        <v>0.77072367250628704</v>
      </c>
    </row>
    <row r="8859" spans="1:2" ht="13.2" x14ac:dyDescent="0.25">
      <c r="A8859" s="34" t="s">
        <v>3347</v>
      </c>
      <c r="B8859" s="35">
        <v>0.778782830217289</v>
      </c>
    </row>
    <row r="8860" spans="1:2" ht="13.2" x14ac:dyDescent="0.25">
      <c r="A8860" s="34" t="s">
        <v>3346</v>
      </c>
    </row>
    <row r="8861" spans="1:2" ht="13.2" x14ac:dyDescent="0.25">
      <c r="A8861" s="34" t="s">
        <v>3345</v>
      </c>
    </row>
    <row r="8862" spans="1:2" ht="13.2" x14ac:dyDescent="0.25">
      <c r="A8862" s="34" t="s">
        <v>3344</v>
      </c>
      <c r="B8862" s="35">
        <v>0.78589638922124005</v>
      </c>
    </row>
    <row r="8863" spans="1:2" ht="13.2" x14ac:dyDescent="0.25">
      <c r="A8863" s="34" t="s">
        <v>3343</v>
      </c>
      <c r="B8863" s="35">
        <v>0.78380014753790395</v>
      </c>
    </row>
    <row r="8864" spans="1:2" ht="13.2" x14ac:dyDescent="0.25">
      <c r="A8864" s="34" t="s">
        <v>3342</v>
      </c>
      <c r="B8864" s="35">
        <v>0.80315379960572397</v>
      </c>
    </row>
    <row r="8865" spans="1:2" ht="13.2" x14ac:dyDescent="0.25">
      <c r="A8865" s="34" t="s">
        <v>3341</v>
      </c>
      <c r="B8865" s="35">
        <v>0.79384415889457804</v>
      </c>
    </row>
    <row r="8866" spans="1:2" ht="13.2" x14ac:dyDescent="0.25">
      <c r="A8866" s="34" t="s">
        <v>3340</v>
      </c>
      <c r="B8866" s="35">
        <v>0.81808067444855703</v>
      </c>
    </row>
    <row r="8867" spans="1:2" ht="13.2" x14ac:dyDescent="0.25">
      <c r="A8867" s="34" t="s">
        <v>3339</v>
      </c>
    </row>
    <row r="8868" spans="1:2" ht="13.2" x14ac:dyDescent="0.25">
      <c r="A8868" s="34" t="s">
        <v>3338</v>
      </c>
    </row>
    <row r="8869" spans="1:2" ht="13.2" x14ac:dyDescent="0.25">
      <c r="A8869" s="34" t="s">
        <v>3337</v>
      </c>
      <c r="B8869" s="35">
        <v>0.81729444120955597</v>
      </c>
    </row>
    <row r="8870" spans="1:2" ht="13.2" x14ac:dyDescent="0.25">
      <c r="A8870" s="34" t="s">
        <v>3336</v>
      </c>
      <c r="B8870" s="35">
        <v>0.77293371423523105</v>
      </c>
    </row>
    <row r="8871" spans="1:2" ht="13.2" x14ac:dyDescent="0.25">
      <c r="A8871" s="34" t="s">
        <v>3335</v>
      </c>
      <c r="B8871" s="35">
        <v>0.82966565593823105</v>
      </c>
    </row>
    <row r="8872" spans="1:2" ht="13.2" x14ac:dyDescent="0.25">
      <c r="A8872" s="34" t="s">
        <v>3334</v>
      </c>
    </row>
    <row r="8873" spans="1:2" ht="13.2" x14ac:dyDescent="0.25">
      <c r="A8873" s="34" t="s">
        <v>3333</v>
      </c>
      <c r="B8873" s="35">
        <v>0.83509674958462898</v>
      </c>
    </row>
    <row r="8874" spans="1:2" ht="13.2" x14ac:dyDescent="0.25">
      <c r="A8874" s="34" t="s">
        <v>3332</v>
      </c>
    </row>
    <row r="8875" spans="1:2" ht="13.2" x14ac:dyDescent="0.25">
      <c r="A8875" s="34" t="s">
        <v>3331</v>
      </c>
    </row>
    <row r="8876" spans="1:2" ht="13.2" x14ac:dyDescent="0.25">
      <c r="A8876" s="34" t="s">
        <v>3330</v>
      </c>
      <c r="B8876" s="35">
        <v>0.819954534964077</v>
      </c>
    </row>
    <row r="8877" spans="1:2" ht="13.2" x14ac:dyDescent="0.25">
      <c r="A8877" s="34" t="s">
        <v>3329</v>
      </c>
      <c r="B8877" s="35">
        <v>0.82098333476586904</v>
      </c>
    </row>
    <row r="8878" spans="1:2" ht="13.2" x14ac:dyDescent="0.25">
      <c r="A8878" s="34" t="s">
        <v>3328</v>
      </c>
      <c r="B8878" s="35">
        <v>0.79598829886309097</v>
      </c>
    </row>
    <row r="8879" spans="1:2" ht="13.2" x14ac:dyDescent="0.25">
      <c r="A8879" s="34" t="s">
        <v>3327</v>
      </c>
      <c r="B8879" s="35">
        <v>0.804026187825848</v>
      </c>
    </row>
    <row r="8880" spans="1:2" ht="13.2" x14ac:dyDescent="0.25">
      <c r="A8880" s="34" t="s">
        <v>3326</v>
      </c>
      <c r="B8880" s="35">
        <v>0.835233897954198</v>
      </c>
    </row>
    <row r="8881" spans="1:2" ht="13.2" x14ac:dyDescent="0.25">
      <c r="A8881" s="34" t="s">
        <v>3325</v>
      </c>
    </row>
    <row r="8882" spans="1:2" ht="13.2" x14ac:dyDescent="0.25">
      <c r="A8882" s="34" t="s">
        <v>3324</v>
      </c>
    </row>
    <row r="8883" spans="1:2" ht="13.2" x14ac:dyDescent="0.25">
      <c r="A8883" s="34" t="s">
        <v>3323</v>
      </c>
      <c r="B8883" s="35">
        <v>0.77508582775687596</v>
      </c>
    </row>
    <row r="8884" spans="1:2" ht="13.2" x14ac:dyDescent="0.25">
      <c r="A8884" s="34" t="s">
        <v>3322</v>
      </c>
      <c r="B8884" s="35">
        <v>0.77331143161067895</v>
      </c>
    </row>
    <row r="8885" spans="1:2" ht="13.2" x14ac:dyDescent="0.25">
      <c r="A8885" s="34" t="s">
        <v>3321</v>
      </c>
      <c r="B8885" s="35">
        <v>0.76804522088285299</v>
      </c>
    </row>
    <row r="8886" spans="1:2" ht="13.2" x14ac:dyDescent="0.25">
      <c r="A8886" s="34" t="s">
        <v>3320</v>
      </c>
      <c r="B8886" s="35">
        <v>0.71679872657751198</v>
      </c>
    </row>
    <row r="8887" spans="1:2" ht="13.2" x14ac:dyDescent="0.25">
      <c r="A8887" s="34" t="s">
        <v>3319</v>
      </c>
      <c r="B8887" s="35">
        <v>0.72683064439613199</v>
      </c>
    </row>
    <row r="8888" spans="1:2" ht="13.2" x14ac:dyDescent="0.25">
      <c r="A8888" s="34" t="s">
        <v>3318</v>
      </c>
    </row>
    <row r="8889" spans="1:2" ht="13.2" x14ac:dyDescent="0.25">
      <c r="A8889" s="34" t="s">
        <v>3317</v>
      </c>
    </row>
    <row r="8890" spans="1:2" ht="13.2" x14ac:dyDescent="0.25">
      <c r="A8890" s="34" t="s">
        <v>3316</v>
      </c>
      <c r="B8890" s="35">
        <v>0.79007275262171495</v>
      </c>
    </row>
    <row r="8891" spans="1:2" ht="13.2" x14ac:dyDescent="0.25">
      <c r="A8891" s="34" t="s">
        <v>3315</v>
      </c>
      <c r="B8891" s="35">
        <v>0.79186935724575203</v>
      </c>
    </row>
    <row r="8892" spans="1:2" ht="13.2" x14ac:dyDescent="0.25">
      <c r="A8892" s="34" t="s">
        <v>3314</v>
      </c>
      <c r="B8892" s="35">
        <v>0.81481693427398405</v>
      </c>
    </row>
    <row r="8893" spans="1:2" ht="13.2" x14ac:dyDescent="0.25">
      <c r="A8893" s="34" t="s">
        <v>3313</v>
      </c>
      <c r="B8893" s="35">
        <v>0.81947027206511802</v>
      </c>
    </row>
    <row r="8894" spans="1:2" ht="13.2" x14ac:dyDescent="0.25">
      <c r="A8894" s="34" t="s">
        <v>3312</v>
      </c>
      <c r="B8894" s="35">
        <v>0.81889659675234405</v>
      </c>
    </row>
    <row r="8895" spans="1:2" ht="13.2" x14ac:dyDescent="0.25">
      <c r="A8895" s="34" t="s">
        <v>3311</v>
      </c>
    </row>
    <row r="8896" spans="1:2" ht="13.2" x14ac:dyDescent="0.25">
      <c r="A8896" s="34" t="s">
        <v>3310</v>
      </c>
    </row>
    <row r="8897" spans="1:2" ht="13.2" x14ac:dyDescent="0.25">
      <c r="A8897" s="34" t="s">
        <v>3309</v>
      </c>
      <c r="B8897" s="35">
        <v>0.81674380566011995</v>
      </c>
    </row>
    <row r="8898" spans="1:2" ht="13.2" x14ac:dyDescent="0.25">
      <c r="A8898" s="34" t="s">
        <v>3308</v>
      </c>
      <c r="B8898" s="35">
        <v>1.0058987113039699</v>
      </c>
    </row>
    <row r="8899" spans="1:2" ht="13.2" x14ac:dyDescent="0.25">
      <c r="A8899" s="34" t="s">
        <v>3307</v>
      </c>
      <c r="B8899" s="35">
        <v>1.0126522629519601</v>
      </c>
    </row>
    <row r="8900" spans="1:2" ht="13.2" x14ac:dyDescent="0.25">
      <c r="A8900" s="34" t="s">
        <v>3306</v>
      </c>
      <c r="B8900" s="35">
        <v>1.0125929121619199</v>
      </c>
    </row>
    <row r="8901" spans="1:2" ht="13.2" x14ac:dyDescent="0.25">
      <c r="A8901" s="34" t="s">
        <v>3305</v>
      </c>
      <c r="B8901" s="35">
        <v>0.97906764591402595</v>
      </c>
    </row>
    <row r="8902" spans="1:2" ht="13.2" x14ac:dyDescent="0.25">
      <c r="A8902" s="34" t="s">
        <v>3304</v>
      </c>
    </row>
    <row r="8903" spans="1:2" ht="13.2" x14ac:dyDescent="0.25">
      <c r="A8903" s="34" t="s">
        <v>3303</v>
      </c>
    </row>
    <row r="8904" spans="1:2" ht="13.2" x14ac:dyDescent="0.25">
      <c r="A8904" s="34" t="s">
        <v>3302</v>
      </c>
      <c r="B8904" s="35">
        <v>0.97836571886934398</v>
      </c>
    </row>
    <row r="8905" spans="1:2" ht="13.2" x14ac:dyDescent="0.25">
      <c r="A8905" s="34" t="s">
        <v>3301</v>
      </c>
      <c r="B8905" s="35">
        <v>0.96729730682084503</v>
      </c>
    </row>
    <row r="8906" spans="1:2" ht="13.2" x14ac:dyDescent="0.25">
      <c r="A8906" s="34" t="s">
        <v>3300</v>
      </c>
      <c r="B8906" s="35">
        <v>0.97211242316380497</v>
      </c>
    </row>
    <row r="8907" spans="1:2" ht="13.2" x14ac:dyDescent="0.25">
      <c r="A8907" s="34" t="s">
        <v>3299</v>
      </c>
    </row>
    <row r="8908" spans="1:2" ht="13.2" x14ac:dyDescent="0.25">
      <c r="A8908" s="34" t="s">
        <v>3298</v>
      </c>
      <c r="B8908" s="35">
        <v>0.97332515778431605</v>
      </c>
    </row>
    <row r="8909" spans="1:2" ht="13.2" x14ac:dyDescent="0.25">
      <c r="A8909" s="34" t="s">
        <v>3297</v>
      </c>
    </row>
    <row r="8910" spans="1:2" ht="13.2" x14ac:dyDescent="0.25">
      <c r="A8910" s="34" t="s">
        <v>3296</v>
      </c>
    </row>
    <row r="8911" spans="1:2" ht="13.2" x14ac:dyDescent="0.25">
      <c r="A8911" s="34" t="s">
        <v>3295</v>
      </c>
      <c r="B8911" s="35">
        <v>0.97260899868958695</v>
      </c>
    </row>
    <row r="8912" spans="1:2" ht="13.2" x14ac:dyDescent="0.25">
      <c r="A8912" s="34" t="s">
        <v>3294</v>
      </c>
      <c r="B8912" s="35">
        <v>0.94849856478804795</v>
      </c>
    </row>
    <row r="8913" spans="1:2" ht="13.2" x14ac:dyDescent="0.25">
      <c r="A8913" s="34" t="s">
        <v>3293</v>
      </c>
      <c r="B8913" s="35">
        <v>0.95252308282067299</v>
      </c>
    </row>
    <row r="8914" spans="1:2" ht="13.2" x14ac:dyDescent="0.25">
      <c r="A8914" s="34" t="s">
        <v>3292</v>
      </c>
      <c r="B8914" s="35">
        <v>0.95733051665292401</v>
      </c>
    </row>
    <row r="8915" spans="1:2" ht="13.2" x14ac:dyDescent="0.25">
      <c r="A8915" s="34" t="s">
        <v>3291</v>
      </c>
      <c r="B8915" s="35">
        <v>0.957696544501763</v>
      </c>
    </row>
    <row r="8916" spans="1:2" ht="13.2" x14ac:dyDescent="0.25">
      <c r="A8916" s="34" t="s">
        <v>3290</v>
      </c>
    </row>
    <row r="8917" spans="1:2" ht="13.2" x14ac:dyDescent="0.25">
      <c r="A8917" s="34" t="s">
        <v>3289</v>
      </c>
    </row>
    <row r="8918" spans="1:2" ht="13.2" x14ac:dyDescent="0.25">
      <c r="A8918" s="34" t="s">
        <v>3288</v>
      </c>
      <c r="B8918" s="35">
        <v>0.993346203474477</v>
      </c>
    </row>
    <row r="8919" spans="1:2" ht="13.2" x14ac:dyDescent="0.25">
      <c r="A8919" s="34" t="s">
        <v>3287</v>
      </c>
      <c r="B8919" s="35">
        <v>1.02727822388833</v>
      </c>
    </row>
    <row r="8920" spans="1:2" ht="13.2" x14ac:dyDescent="0.25">
      <c r="A8920" s="34" t="s">
        <v>3286</v>
      </c>
      <c r="B8920" s="35">
        <v>0.98352000125735595</v>
      </c>
    </row>
    <row r="8921" spans="1:2" ht="13.2" x14ac:dyDescent="0.25">
      <c r="A8921" s="34" t="s">
        <v>3285</v>
      </c>
      <c r="B8921" s="35">
        <v>1.0137745740428199</v>
      </c>
    </row>
    <row r="8922" spans="1:2" ht="13.2" x14ac:dyDescent="0.25">
      <c r="A8922" s="34" t="s">
        <v>3284</v>
      </c>
      <c r="B8922" s="35">
        <v>0.996889538127956</v>
      </c>
    </row>
    <row r="8923" spans="1:2" ht="13.2" x14ac:dyDescent="0.25">
      <c r="A8923" s="34" t="s">
        <v>3283</v>
      </c>
    </row>
    <row r="8924" spans="1:2" ht="13.2" x14ac:dyDescent="0.25">
      <c r="A8924" s="34" t="s">
        <v>3282</v>
      </c>
    </row>
    <row r="8925" spans="1:2" ht="13.2" x14ac:dyDescent="0.25">
      <c r="A8925" s="34" t="s">
        <v>3281</v>
      </c>
      <c r="B8925" s="35">
        <v>1.0602708702345001</v>
      </c>
    </row>
    <row r="8926" spans="1:2" ht="13.2" x14ac:dyDescent="0.25">
      <c r="A8926" s="34" t="s">
        <v>3280</v>
      </c>
      <c r="B8926" s="35">
        <v>1.05079790283314</v>
      </c>
    </row>
    <row r="8927" spans="1:2" ht="13.2" x14ac:dyDescent="0.25">
      <c r="A8927" s="34" t="s">
        <v>3279</v>
      </c>
      <c r="B8927" s="35">
        <v>1.0601359117524201</v>
      </c>
    </row>
    <row r="8928" spans="1:2" ht="13.2" x14ac:dyDescent="0.25">
      <c r="A8928" s="34" t="s">
        <v>3278</v>
      </c>
    </row>
    <row r="8929" spans="1:2" ht="13.2" x14ac:dyDescent="0.25">
      <c r="A8929" s="34" t="s">
        <v>3277</v>
      </c>
      <c r="B8929" s="35">
        <v>0.765568077008698</v>
      </c>
    </row>
    <row r="8930" spans="1:2" ht="13.2" x14ac:dyDescent="0.25">
      <c r="A8930" s="34" t="s">
        <v>3276</v>
      </c>
    </row>
    <row r="8931" spans="1:2" ht="13.2" x14ac:dyDescent="0.25">
      <c r="A8931" s="34" t="s">
        <v>3275</v>
      </c>
    </row>
    <row r="8932" spans="1:2" ht="13.2" x14ac:dyDescent="0.25">
      <c r="A8932" s="34" t="s">
        <v>3274</v>
      </c>
      <c r="B8932" s="35">
        <v>0.78111533661735399</v>
      </c>
    </row>
    <row r="8933" spans="1:2" ht="13.2" x14ac:dyDescent="0.25">
      <c r="A8933" s="34" t="s">
        <v>3273</v>
      </c>
      <c r="B8933" s="35">
        <v>0.94341536606769205</v>
      </c>
    </row>
    <row r="8934" spans="1:2" ht="13.2" x14ac:dyDescent="0.25">
      <c r="A8934" s="34" t="s">
        <v>3272</v>
      </c>
      <c r="B8934" s="35">
        <v>1.1308803193894501</v>
      </c>
    </row>
    <row r="8935" spans="1:2" ht="13.2" x14ac:dyDescent="0.25">
      <c r="A8935" s="34" t="s">
        <v>3271</v>
      </c>
      <c r="B8935" s="35">
        <v>1.19872940092945</v>
      </c>
    </row>
    <row r="8936" spans="1:2" ht="13.2" x14ac:dyDescent="0.25">
      <c r="A8936" s="34" t="s">
        <v>3270</v>
      </c>
      <c r="B8936" s="35">
        <v>1.14573589891436</v>
      </c>
    </row>
    <row r="8937" spans="1:2" ht="13.2" x14ac:dyDescent="0.25">
      <c r="A8937" s="34" t="s">
        <v>3269</v>
      </c>
    </row>
    <row r="8938" spans="1:2" ht="13.2" x14ac:dyDescent="0.25">
      <c r="A8938" s="34" t="s">
        <v>3268</v>
      </c>
    </row>
    <row r="8939" spans="1:2" ht="13.2" x14ac:dyDescent="0.25">
      <c r="A8939" s="34" t="s">
        <v>3267</v>
      </c>
      <c r="B8939" s="35">
        <v>1.1567357681095101</v>
      </c>
    </row>
    <row r="8940" spans="1:2" ht="13.2" x14ac:dyDescent="0.25">
      <c r="A8940" s="34" t="s">
        <v>3266</v>
      </c>
      <c r="B8940" s="35">
        <v>1.22581872981736</v>
      </c>
    </row>
    <row r="8941" spans="1:2" ht="13.2" x14ac:dyDescent="0.25">
      <c r="A8941" s="34" t="s">
        <v>3265</v>
      </c>
    </row>
    <row r="8942" spans="1:2" ht="13.2" x14ac:dyDescent="0.25">
      <c r="A8942" s="34" t="s">
        <v>3264</v>
      </c>
      <c r="B8942" s="35">
        <v>1.3645772449122</v>
      </c>
    </row>
    <row r="8943" spans="1:2" ht="13.2" x14ac:dyDescent="0.25">
      <c r="A8943" s="34" t="s">
        <v>3263</v>
      </c>
      <c r="B8943" s="35">
        <v>1.3968043047468199</v>
      </c>
    </row>
    <row r="8944" spans="1:2" ht="13.2" x14ac:dyDescent="0.25">
      <c r="A8944" s="34" t="s">
        <v>3262</v>
      </c>
    </row>
    <row r="8945" spans="1:2" ht="13.2" x14ac:dyDescent="0.25">
      <c r="A8945" s="34" t="s">
        <v>3261</v>
      </c>
    </row>
    <row r="8946" spans="1:2" ht="13.2" x14ac:dyDescent="0.25">
      <c r="A8946" s="34" t="s">
        <v>3260</v>
      </c>
    </row>
    <row r="8947" spans="1:2" ht="13.2" x14ac:dyDescent="0.25">
      <c r="A8947" s="34" t="s">
        <v>3259</v>
      </c>
      <c r="B8947" s="35">
        <v>1.44094531369262</v>
      </c>
    </row>
    <row r="8948" spans="1:2" ht="13.2" x14ac:dyDescent="0.25">
      <c r="A8948" s="34" t="s">
        <v>3258</v>
      </c>
      <c r="B8948" s="35">
        <v>1.4395464276127901</v>
      </c>
    </row>
    <row r="8949" spans="1:2" ht="13.2" x14ac:dyDescent="0.25">
      <c r="A8949" s="34" t="s">
        <v>3257</v>
      </c>
      <c r="B8949" s="35">
        <v>1.4384886706770399</v>
      </c>
    </row>
    <row r="8950" spans="1:2" ht="13.2" x14ac:dyDescent="0.25">
      <c r="A8950" s="34" t="s">
        <v>3256</v>
      </c>
      <c r="B8950" s="35">
        <v>1.4158195273344301</v>
      </c>
    </row>
    <row r="8951" spans="1:2" ht="13.2" x14ac:dyDescent="0.25">
      <c r="A8951" s="34" t="s">
        <v>3255</v>
      </c>
    </row>
    <row r="8952" spans="1:2" ht="13.2" x14ac:dyDescent="0.25">
      <c r="A8952" s="34" t="s">
        <v>3254</v>
      </c>
    </row>
    <row r="8953" spans="1:2" ht="13.2" x14ac:dyDescent="0.25">
      <c r="A8953" s="34" t="s">
        <v>3253</v>
      </c>
      <c r="B8953" s="35">
        <v>1.3833998329807999</v>
      </c>
    </row>
    <row r="8954" spans="1:2" ht="13.2" x14ac:dyDescent="0.25">
      <c r="A8954" s="34" t="s">
        <v>3252</v>
      </c>
      <c r="B8954" s="35">
        <v>1.3787173156169501</v>
      </c>
    </row>
    <row r="8955" spans="1:2" ht="13.2" x14ac:dyDescent="0.25">
      <c r="A8955" s="34" t="s">
        <v>3251</v>
      </c>
      <c r="B8955" s="35">
        <v>1.4228011937601599</v>
      </c>
    </row>
    <row r="8956" spans="1:2" ht="13.2" x14ac:dyDescent="0.25">
      <c r="A8956" s="34" t="s">
        <v>3250</v>
      </c>
      <c r="B8956" s="35">
        <v>1.4313758827679799</v>
      </c>
    </row>
    <row r="8957" spans="1:2" ht="13.2" x14ac:dyDescent="0.25">
      <c r="A8957" s="34" t="s">
        <v>3249</v>
      </c>
      <c r="B8957" s="35">
        <v>1.4060284825376399</v>
      </c>
    </row>
    <row r="8958" spans="1:2" ht="13.2" x14ac:dyDescent="0.25">
      <c r="A8958" s="34" t="s">
        <v>3248</v>
      </c>
    </row>
    <row r="8959" spans="1:2" ht="13.2" x14ac:dyDescent="0.25">
      <c r="A8959" s="34" t="s">
        <v>3247</v>
      </c>
    </row>
    <row r="8960" spans="1:2" ht="13.2" x14ac:dyDescent="0.25">
      <c r="A8960" s="34" t="s">
        <v>3246</v>
      </c>
      <c r="B8960" s="35">
        <v>1.4288283255968099</v>
      </c>
    </row>
    <row r="8961" spans="1:2" ht="13.2" x14ac:dyDescent="0.25">
      <c r="A8961" s="34" t="s">
        <v>3245</v>
      </c>
      <c r="B8961" s="35">
        <v>1.4308554485189999</v>
      </c>
    </row>
    <row r="8962" spans="1:2" ht="13.2" x14ac:dyDescent="0.25">
      <c r="A8962" s="34" t="s">
        <v>3244</v>
      </c>
      <c r="B8962" s="35">
        <v>1.44949812243978</v>
      </c>
    </row>
    <row r="8963" spans="1:2" ht="13.2" x14ac:dyDescent="0.25">
      <c r="A8963" s="34" t="s">
        <v>3243</v>
      </c>
      <c r="B8963" s="35">
        <v>1.4599072867970999</v>
      </c>
    </row>
    <row r="8964" spans="1:2" ht="13.2" x14ac:dyDescent="0.25">
      <c r="A8964" s="34" t="s">
        <v>3242</v>
      </c>
      <c r="B8964" s="35">
        <v>1.3480641658196</v>
      </c>
    </row>
    <row r="8965" spans="1:2" ht="13.2" x14ac:dyDescent="0.25">
      <c r="A8965" s="34" t="s">
        <v>3241</v>
      </c>
    </row>
    <row r="8966" spans="1:2" ht="13.2" x14ac:dyDescent="0.25">
      <c r="A8966" s="34" t="s">
        <v>3240</v>
      </c>
    </row>
    <row r="8967" spans="1:2" ht="13.2" x14ac:dyDescent="0.25">
      <c r="A8967" s="34" t="s">
        <v>3239</v>
      </c>
      <c r="B8967" s="35">
        <v>1.20627701050285</v>
      </c>
    </row>
    <row r="8968" spans="1:2" ht="13.2" x14ac:dyDescent="0.25">
      <c r="A8968" s="34" t="s">
        <v>3238</v>
      </c>
      <c r="B8968" s="35">
        <v>1.1700511734241801</v>
      </c>
    </row>
    <row r="8969" spans="1:2" ht="13.2" x14ac:dyDescent="0.25">
      <c r="A8969" s="34" t="s">
        <v>3237</v>
      </c>
      <c r="B8969" s="35">
        <v>1.17880840775838</v>
      </c>
    </row>
    <row r="8970" spans="1:2" ht="13.2" x14ac:dyDescent="0.25">
      <c r="A8970" s="34" t="s">
        <v>3236</v>
      </c>
      <c r="B8970" s="35">
        <v>1.18543408407269</v>
      </c>
    </row>
    <row r="8971" spans="1:2" ht="13.2" x14ac:dyDescent="0.25">
      <c r="A8971" s="34" t="s">
        <v>3235</v>
      </c>
      <c r="B8971" s="35">
        <v>1.0625878566945199</v>
      </c>
    </row>
    <row r="8972" spans="1:2" ht="13.2" x14ac:dyDescent="0.25">
      <c r="A8972" s="34" t="s">
        <v>3234</v>
      </c>
    </row>
    <row r="8973" spans="1:2" ht="13.2" x14ac:dyDescent="0.25">
      <c r="A8973" s="34" t="s">
        <v>3233</v>
      </c>
    </row>
    <row r="8974" spans="1:2" ht="13.2" x14ac:dyDescent="0.25">
      <c r="A8974" s="34" t="s">
        <v>3232</v>
      </c>
      <c r="B8974" s="35">
        <v>0.94337318704279605</v>
      </c>
    </row>
    <row r="8975" spans="1:2" ht="13.2" x14ac:dyDescent="0.25">
      <c r="A8975" s="34" t="s">
        <v>3231</v>
      </c>
      <c r="B8975" s="35">
        <v>0.90911804172426802</v>
      </c>
    </row>
    <row r="8976" spans="1:2" ht="13.2" x14ac:dyDescent="0.25">
      <c r="A8976" s="34" t="s">
        <v>3230</v>
      </c>
      <c r="B8976" s="35">
        <v>0.86275987955450895</v>
      </c>
    </row>
    <row r="8977" spans="1:2" ht="13.2" x14ac:dyDescent="0.25">
      <c r="A8977" s="34" t="s">
        <v>3229</v>
      </c>
      <c r="B8977" s="35">
        <v>1.0157117657282799</v>
      </c>
    </row>
    <row r="8978" spans="1:2" ht="13.2" x14ac:dyDescent="0.25">
      <c r="A8978" s="34" t="s">
        <v>3228</v>
      </c>
      <c r="B8978" s="35">
        <v>1.01555713632915</v>
      </c>
    </row>
    <row r="8979" spans="1:2" ht="13.2" x14ac:dyDescent="0.25">
      <c r="A8979" s="34" t="s">
        <v>3227</v>
      </c>
    </row>
    <row r="8980" spans="1:2" ht="13.2" x14ac:dyDescent="0.25">
      <c r="A8980" s="34" t="s">
        <v>3226</v>
      </c>
    </row>
    <row r="8981" spans="1:2" ht="13.2" x14ac:dyDescent="0.25">
      <c r="A8981" s="34" t="s">
        <v>3225</v>
      </c>
    </row>
    <row r="8982" spans="1:2" ht="13.2" x14ac:dyDescent="0.25">
      <c r="A8982" s="34" t="s">
        <v>3224</v>
      </c>
      <c r="B8982" s="35">
        <v>1.0176898181354801</v>
      </c>
    </row>
    <row r="8983" spans="1:2" ht="13.2" x14ac:dyDescent="0.25">
      <c r="A8983" s="34" t="s">
        <v>3223</v>
      </c>
      <c r="B8983" s="35">
        <v>1.02004490530526</v>
      </c>
    </row>
    <row r="8984" spans="1:2" ht="13.2" x14ac:dyDescent="0.25">
      <c r="A8984" s="34" t="s">
        <v>3222</v>
      </c>
      <c r="B8984" s="35">
        <v>1.0221748495529801</v>
      </c>
    </row>
    <row r="8985" spans="1:2" ht="13.2" x14ac:dyDescent="0.25">
      <c r="A8985" s="34" t="s">
        <v>3221</v>
      </c>
      <c r="B8985" s="35">
        <v>0.90291813561286105</v>
      </c>
    </row>
    <row r="8986" spans="1:2" ht="13.2" x14ac:dyDescent="0.25">
      <c r="A8986" s="34" t="s">
        <v>3220</v>
      </c>
    </row>
    <row r="8987" spans="1:2" ht="13.2" x14ac:dyDescent="0.25">
      <c r="A8987" s="34" t="s">
        <v>3219</v>
      </c>
    </row>
    <row r="8988" spans="1:2" ht="13.2" x14ac:dyDescent="0.25">
      <c r="A8988" s="34" t="s">
        <v>3218</v>
      </c>
    </row>
    <row r="8989" spans="1:2" ht="13.2" x14ac:dyDescent="0.25">
      <c r="A8989" s="34" t="s">
        <v>3217</v>
      </c>
      <c r="B8989" s="35">
        <v>0.92774654505463106</v>
      </c>
    </row>
    <row r="8990" spans="1:2" ht="13.2" x14ac:dyDescent="0.25">
      <c r="A8990" s="34" t="s">
        <v>3216</v>
      </c>
      <c r="B8990" s="35">
        <v>0.92921679848996197</v>
      </c>
    </row>
    <row r="8991" spans="1:2" ht="13.2" x14ac:dyDescent="0.25">
      <c r="A8991" s="34" t="s">
        <v>3215</v>
      </c>
      <c r="B8991" s="35">
        <v>0.91887873898666095</v>
      </c>
    </row>
    <row r="8992" spans="1:2" ht="13.2" x14ac:dyDescent="0.25">
      <c r="A8992" s="34" t="s">
        <v>3214</v>
      </c>
      <c r="B8992" s="35">
        <v>0.88437932758758397</v>
      </c>
    </row>
    <row r="8993" spans="1:2" ht="13.2" x14ac:dyDescent="0.25">
      <c r="A8993" s="34" t="s">
        <v>3213</v>
      </c>
    </row>
    <row r="8994" spans="1:2" ht="13.2" x14ac:dyDescent="0.25">
      <c r="A8994" s="34" t="s">
        <v>3212</v>
      </c>
    </row>
    <row r="8995" spans="1:2" ht="13.2" x14ac:dyDescent="0.25">
      <c r="A8995" s="34" t="s">
        <v>3211</v>
      </c>
      <c r="B8995" s="35">
        <v>0.87433231911843501</v>
      </c>
    </row>
    <row r="8996" spans="1:2" ht="13.2" x14ac:dyDescent="0.25">
      <c r="A8996" s="34" t="s">
        <v>3210</v>
      </c>
      <c r="B8996" s="35">
        <v>0.84364896769069397</v>
      </c>
    </row>
    <row r="8997" spans="1:2" ht="13.2" x14ac:dyDescent="0.25">
      <c r="A8997" s="34" t="s">
        <v>3209</v>
      </c>
      <c r="B8997" s="35">
        <v>0.88645854482288899</v>
      </c>
    </row>
    <row r="8998" spans="1:2" ht="13.2" x14ac:dyDescent="0.25">
      <c r="A8998" s="34" t="s">
        <v>3208</v>
      </c>
      <c r="B8998" s="35">
        <v>0.91770282761669497</v>
      </c>
    </row>
    <row r="8999" spans="1:2" ht="13.2" x14ac:dyDescent="0.25">
      <c r="A8999" s="34" t="s">
        <v>3207</v>
      </c>
      <c r="B8999" s="35">
        <v>0.89417114757980598</v>
      </c>
    </row>
    <row r="9000" spans="1:2" ht="13.2" x14ac:dyDescent="0.25">
      <c r="A9000" s="34" t="s">
        <v>3206</v>
      </c>
    </row>
    <row r="9001" spans="1:2" ht="13.2" x14ac:dyDescent="0.25">
      <c r="A9001" s="34" t="s">
        <v>3205</v>
      </c>
    </row>
    <row r="9002" spans="1:2" ht="13.2" x14ac:dyDescent="0.25">
      <c r="A9002" s="34" t="s">
        <v>3204</v>
      </c>
      <c r="B9002" s="35">
        <v>0.81871105836894997</v>
      </c>
    </row>
    <row r="9003" spans="1:2" ht="13.2" x14ac:dyDescent="0.25">
      <c r="A9003" s="34" t="s">
        <v>3203</v>
      </c>
      <c r="B9003" s="35">
        <v>0.78380406506846301</v>
      </c>
    </row>
    <row r="9004" spans="1:2" ht="13.2" x14ac:dyDescent="0.25">
      <c r="A9004" s="34" t="s">
        <v>3202</v>
      </c>
      <c r="B9004" s="35">
        <v>0.82568374134189904</v>
      </c>
    </row>
    <row r="9005" spans="1:2" ht="13.2" x14ac:dyDescent="0.25">
      <c r="A9005" s="34" t="s">
        <v>3201</v>
      </c>
      <c r="B9005" s="35">
        <v>0.84321327898488896</v>
      </c>
    </row>
    <row r="9006" spans="1:2" ht="13.2" x14ac:dyDescent="0.25">
      <c r="A9006" s="34" t="s">
        <v>3200</v>
      </c>
      <c r="B9006" s="35">
        <v>0.807390386687173</v>
      </c>
    </row>
    <row r="9007" spans="1:2" ht="13.2" x14ac:dyDescent="0.25">
      <c r="A9007" s="34" t="s">
        <v>3199</v>
      </c>
    </row>
    <row r="9008" spans="1:2" ht="13.2" x14ac:dyDescent="0.25">
      <c r="A9008" s="34" t="s">
        <v>3198</v>
      </c>
    </row>
    <row r="9009" spans="1:2" ht="13.2" x14ac:dyDescent="0.25">
      <c r="A9009" s="34" t="s">
        <v>3197</v>
      </c>
      <c r="B9009" s="35">
        <v>0.80193356987208297</v>
      </c>
    </row>
    <row r="9010" spans="1:2" ht="13.2" x14ac:dyDescent="0.25">
      <c r="A9010" s="34" t="s">
        <v>3196</v>
      </c>
      <c r="B9010" s="35">
        <v>0.76740710429062597</v>
      </c>
    </row>
    <row r="9011" spans="1:2" ht="13.2" x14ac:dyDescent="0.25">
      <c r="A9011" s="34" t="s">
        <v>3195</v>
      </c>
      <c r="B9011" s="35">
        <v>1.05073346372237</v>
      </c>
    </row>
    <row r="9012" spans="1:2" ht="13.2" x14ac:dyDescent="0.25">
      <c r="A9012" s="34" t="s">
        <v>3194</v>
      </c>
    </row>
    <row r="9013" spans="1:2" ht="13.2" x14ac:dyDescent="0.25">
      <c r="A9013" s="34" t="s">
        <v>3193</v>
      </c>
      <c r="B9013" s="35">
        <v>1.11272060138879</v>
      </c>
    </row>
    <row r="9014" spans="1:2" ht="13.2" x14ac:dyDescent="0.25">
      <c r="A9014" s="34" t="s">
        <v>3192</v>
      </c>
    </row>
    <row r="9015" spans="1:2" ht="13.2" x14ac:dyDescent="0.25">
      <c r="A9015" s="34" t="s">
        <v>3191</v>
      </c>
    </row>
    <row r="9016" spans="1:2" ht="13.2" x14ac:dyDescent="0.25">
      <c r="A9016" s="34" t="s">
        <v>3190</v>
      </c>
      <c r="B9016" s="35">
        <v>1.1637980873691001</v>
      </c>
    </row>
    <row r="9017" spans="1:2" ht="13.2" x14ac:dyDescent="0.25">
      <c r="A9017" s="34" t="s">
        <v>3189</v>
      </c>
      <c r="B9017" s="35">
        <v>1.17574678474477</v>
      </c>
    </row>
    <row r="9018" spans="1:2" ht="13.2" x14ac:dyDescent="0.25">
      <c r="A9018" s="34" t="s">
        <v>3188</v>
      </c>
      <c r="B9018" s="35">
        <v>1.17061998528627</v>
      </c>
    </row>
    <row r="9019" spans="1:2" ht="13.2" x14ac:dyDescent="0.25">
      <c r="A9019" s="34" t="s">
        <v>3187</v>
      </c>
      <c r="B9019" s="35">
        <v>1.1253551159969299</v>
      </c>
    </row>
    <row r="9020" spans="1:2" ht="13.2" x14ac:dyDescent="0.25">
      <c r="A9020" s="34" t="s">
        <v>3186</v>
      </c>
      <c r="B9020" s="35">
        <v>1.21922668084206</v>
      </c>
    </row>
    <row r="9021" spans="1:2" ht="13.2" x14ac:dyDescent="0.25">
      <c r="A9021" s="34" t="s">
        <v>3185</v>
      </c>
    </row>
    <row r="9022" spans="1:2" ht="13.2" x14ac:dyDescent="0.25">
      <c r="A9022" s="34" t="s">
        <v>3184</v>
      </c>
    </row>
    <row r="9023" spans="1:2" ht="13.2" x14ac:dyDescent="0.25">
      <c r="A9023" s="34" t="s">
        <v>3183</v>
      </c>
      <c r="B9023" s="35">
        <v>1.375411763479</v>
      </c>
    </row>
    <row r="9024" spans="1:2" ht="13.2" x14ac:dyDescent="0.25">
      <c r="A9024" s="34" t="s">
        <v>3182</v>
      </c>
      <c r="B9024" s="35">
        <v>1.4604549441679699</v>
      </c>
    </row>
    <row r="9025" spans="1:2" ht="13.2" x14ac:dyDescent="0.25">
      <c r="A9025" s="34" t="s">
        <v>3181</v>
      </c>
      <c r="B9025" s="35">
        <v>1.50289850837238</v>
      </c>
    </row>
    <row r="9026" spans="1:2" ht="13.2" x14ac:dyDescent="0.25">
      <c r="A9026" s="34" t="s">
        <v>3180</v>
      </c>
      <c r="B9026" s="35">
        <v>1.5380381551411799</v>
      </c>
    </row>
    <row r="9027" spans="1:2" ht="13.2" x14ac:dyDescent="0.25">
      <c r="A9027" s="34" t="s">
        <v>3179</v>
      </c>
      <c r="B9027" s="35">
        <v>1.5360261428306401</v>
      </c>
    </row>
    <row r="9028" spans="1:2" ht="13.2" x14ac:dyDescent="0.25">
      <c r="A9028" s="34" t="s">
        <v>3178</v>
      </c>
    </row>
    <row r="9029" spans="1:2" ht="13.2" x14ac:dyDescent="0.25">
      <c r="A9029" s="34" t="s">
        <v>3177</v>
      </c>
    </row>
    <row r="9030" spans="1:2" ht="13.2" x14ac:dyDescent="0.25">
      <c r="A9030" s="34" t="s">
        <v>3176</v>
      </c>
    </row>
    <row r="9031" spans="1:2" ht="13.2" x14ac:dyDescent="0.25">
      <c r="A9031" s="34" t="s">
        <v>3175</v>
      </c>
    </row>
    <row r="9032" spans="1:2" ht="13.2" x14ac:dyDescent="0.25">
      <c r="A9032" s="34" t="s">
        <v>3174</v>
      </c>
      <c r="B9032" s="35">
        <v>1.6529011951986901</v>
      </c>
    </row>
    <row r="9033" spans="1:2" ht="13.2" x14ac:dyDescent="0.25">
      <c r="A9033" s="34" t="s">
        <v>3173</v>
      </c>
      <c r="B9033" s="35">
        <v>1.6575708588237099</v>
      </c>
    </row>
    <row r="9034" spans="1:2" ht="13.2" x14ac:dyDescent="0.25">
      <c r="A9034" s="34" t="s">
        <v>3172</v>
      </c>
      <c r="B9034" s="35">
        <v>1.65681194227813</v>
      </c>
    </row>
    <row r="9035" spans="1:2" ht="13.2" x14ac:dyDescent="0.25">
      <c r="A9035" s="34" t="s">
        <v>3171</v>
      </c>
    </row>
    <row r="9036" spans="1:2" ht="13.2" x14ac:dyDescent="0.25">
      <c r="A9036" s="34" t="s">
        <v>3170</v>
      </c>
    </row>
    <row r="9037" spans="1:2" ht="13.2" x14ac:dyDescent="0.25">
      <c r="A9037" s="34" t="s">
        <v>3169</v>
      </c>
      <c r="B9037" s="35">
        <v>1.6563319178472</v>
      </c>
    </row>
    <row r="9038" spans="1:2" ht="13.2" x14ac:dyDescent="0.25">
      <c r="A9038" s="34" t="s">
        <v>3168</v>
      </c>
      <c r="B9038" s="35">
        <v>1.6387168443025</v>
      </c>
    </row>
    <row r="9039" spans="1:2" ht="13.2" x14ac:dyDescent="0.25">
      <c r="A9039" s="34" t="s">
        <v>3167</v>
      </c>
      <c r="B9039" s="35">
        <v>1.63400412082723</v>
      </c>
    </row>
    <row r="9040" spans="1:2" ht="13.2" x14ac:dyDescent="0.25">
      <c r="A9040" s="34" t="s">
        <v>3166</v>
      </c>
      <c r="B9040" s="35">
        <v>1.63687711790431</v>
      </c>
    </row>
    <row r="9041" spans="1:2" ht="13.2" x14ac:dyDescent="0.25">
      <c r="A9041" s="34" t="s">
        <v>3165</v>
      </c>
      <c r="B9041" s="35">
        <v>1.63821438143545</v>
      </c>
    </row>
    <row r="9042" spans="1:2" ht="13.2" x14ac:dyDescent="0.25">
      <c r="A9042" s="34" t="s">
        <v>3164</v>
      </c>
    </row>
    <row r="9043" spans="1:2" ht="13.2" x14ac:dyDescent="0.25">
      <c r="A9043" s="34" t="s">
        <v>3163</v>
      </c>
    </row>
    <row r="9044" spans="1:2" ht="13.2" x14ac:dyDescent="0.25">
      <c r="A9044" s="34" t="s">
        <v>3162</v>
      </c>
      <c r="B9044" s="35">
        <v>1.5995143090405399</v>
      </c>
    </row>
    <row r="9045" spans="1:2" ht="13.2" x14ac:dyDescent="0.25">
      <c r="A9045" s="34" t="s">
        <v>3161</v>
      </c>
      <c r="B9045" s="35">
        <v>1.43315666684137</v>
      </c>
    </row>
    <row r="9046" spans="1:2" ht="13.2" x14ac:dyDescent="0.25">
      <c r="A9046" s="34" t="s">
        <v>3160</v>
      </c>
      <c r="B9046" s="35">
        <v>1.41120527822835</v>
      </c>
    </row>
    <row r="9047" spans="1:2" ht="13.2" x14ac:dyDescent="0.25">
      <c r="A9047" s="34" t="s">
        <v>3159</v>
      </c>
      <c r="B9047" s="35">
        <v>1.39385120576767</v>
      </c>
    </row>
    <row r="9048" spans="1:2" ht="13.2" x14ac:dyDescent="0.25">
      <c r="A9048" s="34" t="s">
        <v>3158</v>
      </c>
      <c r="B9048" s="35">
        <v>1.3948923592439599</v>
      </c>
    </row>
    <row r="9049" spans="1:2" ht="13.2" x14ac:dyDescent="0.25">
      <c r="A9049" s="34" t="s">
        <v>3157</v>
      </c>
    </row>
    <row r="9050" spans="1:2" ht="13.2" x14ac:dyDescent="0.25">
      <c r="A9050" s="34" t="s">
        <v>3156</v>
      </c>
    </row>
    <row r="9051" spans="1:2" ht="13.2" x14ac:dyDescent="0.25">
      <c r="A9051" s="34" t="s">
        <v>3155</v>
      </c>
      <c r="B9051" s="35">
        <v>1.39240406263068</v>
      </c>
    </row>
    <row r="9052" spans="1:2" ht="13.2" x14ac:dyDescent="0.25">
      <c r="A9052" s="34" t="s">
        <v>3154</v>
      </c>
      <c r="B9052" s="35">
        <v>1.3887709688266301</v>
      </c>
    </row>
    <row r="9053" spans="1:2" ht="13.2" x14ac:dyDescent="0.25">
      <c r="A9053" s="34" t="s">
        <v>3153</v>
      </c>
      <c r="B9053" s="35">
        <v>1.3329294128931399</v>
      </c>
    </row>
    <row r="9054" spans="1:2" ht="13.2" x14ac:dyDescent="0.25">
      <c r="A9054" s="34" t="s">
        <v>3152</v>
      </c>
      <c r="B9054" s="35">
        <v>1.19246307449217</v>
      </c>
    </row>
    <row r="9055" spans="1:2" ht="13.2" x14ac:dyDescent="0.25">
      <c r="A9055" s="34" t="s">
        <v>3151</v>
      </c>
      <c r="B9055" s="35">
        <v>1.1247939770316799</v>
      </c>
    </row>
    <row r="9056" spans="1:2" ht="13.2" x14ac:dyDescent="0.25">
      <c r="A9056" s="34" t="s">
        <v>3150</v>
      </c>
    </row>
    <row r="9057" spans="1:2" ht="13.2" x14ac:dyDescent="0.25">
      <c r="A9057" s="34" t="s">
        <v>3149</v>
      </c>
    </row>
    <row r="9058" spans="1:2" ht="13.2" x14ac:dyDescent="0.25">
      <c r="A9058" s="34" t="s">
        <v>3148</v>
      </c>
      <c r="B9058" s="35">
        <v>1.07516009358425</v>
      </c>
    </row>
    <row r="9059" spans="1:2" ht="13.2" x14ac:dyDescent="0.25">
      <c r="A9059" s="34" t="s">
        <v>3147</v>
      </c>
      <c r="B9059" s="35">
        <v>1.01876675141707</v>
      </c>
    </row>
    <row r="9060" spans="1:2" ht="13.2" x14ac:dyDescent="0.25">
      <c r="A9060" s="34" t="s">
        <v>3146</v>
      </c>
      <c r="B9060" s="35">
        <v>1.0018232282963599</v>
      </c>
    </row>
    <row r="9061" spans="1:2" ht="13.2" x14ac:dyDescent="0.25">
      <c r="A9061" s="34" t="s">
        <v>3145</v>
      </c>
      <c r="B9061" s="35">
        <v>0.81062630916823297</v>
      </c>
    </row>
    <row r="9062" spans="1:2" ht="13.2" x14ac:dyDescent="0.25">
      <c r="A9062" s="34" t="s">
        <v>3144</v>
      </c>
      <c r="B9062" s="35">
        <v>0.78915768834528499</v>
      </c>
    </row>
    <row r="9063" spans="1:2" ht="13.2" x14ac:dyDescent="0.25">
      <c r="A9063" s="34" t="s">
        <v>3143</v>
      </c>
    </row>
    <row r="9064" spans="1:2" ht="13.2" x14ac:dyDescent="0.25">
      <c r="A9064" s="34" t="s">
        <v>3142</v>
      </c>
    </row>
    <row r="9065" spans="1:2" ht="13.2" x14ac:dyDescent="0.25">
      <c r="A9065" s="34" t="s">
        <v>3141</v>
      </c>
      <c r="B9065" s="35">
        <v>0.82783005958560096</v>
      </c>
    </row>
    <row r="9066" spans="1:2" ht="13.2" x14ac:dyDescent="0.25">
      <c r="A9066" s="34" t="s">
        <v>3140</v>
      </c>
      <c r="B9066" s="35">
        <v>0.82745970165351901</v>
      </c>
    </row>
    <row r="9067" spans="1:2" ht="13.2" x14ac:dyDescent="0.25">
      <c r="A9067" s="34" t="s">
        <v>3139</v>
      </c>
      <c r="B9067" s="35">
        <v>0.81224507196476703</v>
      </c>
    </row>
    <row r="9068" spans="1:2" ht="13.2" x14ac:dyDescent="0.25">
      <c r="A9068" s="34" t="s">
        <v>3138</v>
      </c>
      <c r="B9068" s="35">
        <v>0.80960562080960596</v>
      </c>
    </row>
    <row r="9069" spans="1:2" ht="13.2" x14ac:dyDescent="0.25">
      <c r="A9069" s="34" t="s">
        <v>3137</v>
      </c>
      <c r="B9069" s="35">
        <v>0.791980638635573</v>
      </c>
    </row>
    <row r="9070" spans="1:2" ht="13.2" x14ac:dyDescent="0.25">
      <c r="A9070" s="34" t="s">
        <v>3136</v>
      </c>
    </row>
    <row r="9071" spans="1:2" ht="13.2" x14ac:dyDescent="0.25">
      <c r="A9071" s="34" t="s">
        <v>3135</v>
      </c>
    </row>
    <row r="9072" spans="1:2" ht="13.2" x14ac:dyDescent="0.25">
      <c r="A9072" s="34" t="s">
        <v>3134</v>
      </c>
      <c r="B9072" s="35">
        <v>0.79991441446228195</v>
      </c>
    </row>
    <row r="9073" spans="1:2" ht="13.2" x14ac:dyDescent="0.25">
      <c r="A9073" s="34" t="s">
        <v>3133</v>
      </c>
      <c r="B9073" s="35">
        <v>0.84495281216898599</v>
      </c>
    </row>
    <row r="9074" spans="1:2" ht="13.2" x14ac:dyDescent="0.25">
      <c r="A9074" s="34" t="s">
        <v>3132</v>
      </c>
      <c r="B9074" s="35">
        <v>0.83531181292423995</v>
      </c>
    </row>
    <row r="9075" spans="1:2" ht="13.2" x14ac:dyDescent="0.25">
      <c r="A9075" s="34" t="s">
        <v>3131</v>
      </c>
      <c r="B9075" s="35">
        <v>0.86110484159892797</v>
      </c>
    </row>
    <row r="9076" spans="1:2" ht="13.2" x14ac:dyDescent="0.25">
      <c r="A9076" s="34" t="s">
        <v>3130</v>
      </c>
    </row>
    <row r="9077" spans="1:2" ht="13.2" x14ac:dyDescent="0.25">
      <c r="A9077" s="34" t="s">
        <v>3129</v>
      </c>
    </row>
    <row r="9078" spans="1:2" ht="13.2" x14ac:dyDescent="0.25">
      <c r="A9078" s="34" t="s">
        <v>3128</v>
      </c>
    </row>
    <row r="9079" spans="1:2" ht="13.2" x14ac:dyDescent="0.25">
      <c r="A9079" s="34" t="s">
        <v>3127</v>
      </c>
      <c r="B9079" s="35">
        <v>0.87923021708651605</v>
      </c>
    </row>
    <row r="9080" spans="1:2" ht="13.2" x14ac:dyDescent="0.25">
      <c r="A9080" s="34" t="s">
        <v>3126</v>
      </c>
      <c r="B9080" s="35">
        <v>0.87211184750329496</v>
      </c>
    </row>
    <row r="9081" spans="1:2" ht="13.2" x14ac:dyDescent="0.25">
      <c r="A9081" s="34" t="s">
        <v>3125</v>
      </c>
      <c r="B9081" s="35">
        <v>0.86945189350978602</v>
      </c>
    </row>
    <row r="9082" spans="1:2" ht="13.2" x14ac:dyDescent="0.25">
      <c r="A9082" s="34" t="s">
        <v>3124</v>
      </c>
      <c r="B9082" s="35">
        <v>0.89740990358908801</v>
      </c>
    </row>
    <row r="9083" spans="1:2" ht="13.2" x14ac:dyDescent="0.25">
      <c r="A9083" s="34" t="s">
        <v>3123</v>
      </c>
      <c r="B9083" s="35">
        <v>0.90172550165716103</v>
      </c>
    </row>
    <row r="9084" spans="1:2" ht="13.2" x14ac:dyDescent="0.25">
      <c r="A9084" s="34" t="s">
        <v>3122</v>
      </c>
    </row>
    <row r="9085" spans="1:2" ht="13.2" x14ac:dyDescent="0.25">
      <c r="A9085" s="34" t="s">
        <v>3121</v>
      </c>
    </row>
    <row r="9086" spans="1:2" ht="13.2" x14ac:dyDescent="0.25">
      <c r="A9086" s="34" t="s">
        <v>3120</v>
      </c>
      <c r="B9086" s="35">
        <v>0.974642825607128</v>
      </c>
    </row>
    <row r="9087" spans="1:2" ht="13.2" x14ac:dyDescent="0.25">
      <c r="A9087" s="34" t="s">
        <v>3119</v>
      </c>
      <c r="B9087" s="35">
        <v>0.959181344091524</v>
      </c>
    </row>
    <row r="9088" spans="1:2" ht="13.2" x14ac:dyDescent="0.25">
      <c r="A9088" s="34" t="s">
        <v>3118</v>
      </c>
      <c r="B9088" s="35">
        <v>0.97030248280610398</v>
      </c>
    </row>
    <row r="9089" spans="1:2" ht="13.2" x14ac:dyDescent="0.25">
      <c r="A9089" s="34" t="s">
        <v>3117</v>
      </c>
      <c r="B9089" s="35">
        <v>0.96560138043214006</v>
      </c>
    </row>
    <row r="9090" spans="1:2" ht="13.2" x14ac:dyDescent="0.25">
      <c r="A9090" s="34" t="s">
        <v>3116</v>
      </c>
      <c r="B9090" s="35">
        <v>1.0017971230432201</v>
      </c>
    </row>
    <row r="9091" spans="1:2" ht="13.2" x14ac:dyDescent="0.25">
      <c r="A9091" s="34" t="s">
        <v>3115</v>
      </c>
    </row>
    <row r="9092" spans="1:2" ht="13.2" x14ac:dyDescent="0.25">
      <c r="A9092" s="34" t="s">
        <v>3114</v>
      </c>
    </row>
    <row r="9093" spans="1:2" ht="13.2" x14ac:dyDescent="0.25">
      <c r="A9093" s="34" t="s">
        <v>3113</v>
      </c>
      <c r="B9093" s="35">
        <v>1.03323662560282</v>
      </c>
    </row>
    <row r="9094" spans="1:2" ht="13.2" x14ac:dyDescent="0.25">
      <c r="A9094" s="34" t="s">
        <v>3112</v>
      </c>
      <c r="B9094" s="35">
        <v>1.0896194462637601</v>
      </c>
    </row>
    <row r="9095" spans="1:2" ht="13.2" x14ac:dyDescent="0.25">
      <c r="A9095" s="34" t="s">
        <v>3111</v>
      </c>
      <c r="B9095" s="35">
        <v>1.1443157176960601</v>
      </c>
    </row>
    <row r="9096" spans="1:2" ht="13.2" x14ac:dyDescent="0.25">
      <c r="A9096" s="34" t="s">
        <v>3110</v>
      </c>
      <c r="B9096" s="35">
        <v>1.1434826168757399</v>
      </c>
    </row>
    <row r="9097" spans="1:2" ht="13.2" x14ac:dyDescent="0.25">
      <c r="A9097" s="34" t="s">
        <v>3109</v>
      </c>
      <c r="B9097" s="35">
        <v>1.12892171652924</v>
      </c>
    </row>
    <row r="9098" spans="1:2" ht="13.2" x14ac:dyDescent="0.25">
      <c r="A9098" s="34" t="s">
        <v>3108</v>
      </c>
    </row>
    <row r="9099" spans="1:2" ht="13.2" x14ac:dyDescent="0.25">
      <c r="A9099" s="34" t="s">
        <v>3107</v>
      </c>
    </row>
    <row r="9100" spans="1:2" ht="13.2" x14ac:dyDescent="0.25">
      <c r="A9100" s="34" t="s">
        <v>3106</v>
      </c>
      <c r="B9100" s="35">
        <v>1.12712462808084</v>
      </c>
    </row>
    <row r="9101" spans="1:2" ht="13.2" x14ac:dyDescent="0.25">
      <c r="A9101" s="34" t="s">
        <v>3105</v>
      </c>
      <c r="B9101" s="35">
        <v>1.1221750560903401</v>
      </c>
    </row>
    <row r="9102" spans="1:2" ht="13.2" x14ac:dyDescent="0.25">
      <c r="A9102" s="34" t="s">
        <v>3104</v>
      </c>
      <c r="B9102" s="35">
        <v>1.11374438704822</v>
      </c>
    </row>
    <row r="9103" spans="1:2" ht="13.2" x14ac:dyDescent="0.25">
      <c r="A9103" s="34" t="s">
        <v>3103</v>
      </c>
      <c r="B9103" s="35">
        <v>1.1071484289259099</v>
      </c>
    </row>
    <row r="9104" spans="1:2" ht="13.2" x14ac:dyDescent="0.25">
      <c r="A9104" s="34" t="s">
        <v>3102</v>
      </c>
      <c r="B9104" s="35">
        <v>1.10717006441274</v>
      </c>
    </row>
    <row r="9105" spans="1:2" ht="13.2" x14ac:dyDescent="0.25">
      <c r="A9105" s="34" t="s">
        <v>3101</v>
      </c>
    </row>
    <row r="9106" spans="1:2" ht="13.2" x14ac:dyDescent="0.25">
      <c r="A9106" s="34" t="s">
        <v>3100</v>
      </c>
    </row>
    <row r="9107" spans="1:2" ht="13.2" x14ac:dyDescent="0.25">
      <c r="A9107" s="34" t="s">
        <v>3099</v>
      </c>
      <c r="B9107" s="35">
        <v>1.04765456649129</v>
      </c>
    </row>
    <row r="9108" spans="1:2" ht="13.2" x14ac:dyDescent="0.25">
      <c r="A9108" s="34" t="s">
        <v>3098</v>
      </c>
    </row>
    <row r="9109" spans="1:2" ht="13.2" x14ac:dyDescent="0.25">
      <c r="A9109" s="34" t="s">
        <v>3097</v>
      </c>
      <c r="B9109" s="35">
        <v>1.1109866566186199</v>
      </c>
    </row>
    <row r="9110" spans="1:2" ht="13.2" x14ac:dyDescent="0.25">
      <c r="A9110" s="34" t="s">
        <v>3096</v>
      </c>
      <c r="B9110" s="35">
        <v>1.1579013716751401</v>
      </c>
    </row>
    <row r="9111" spans="1:2" ht="13.2" x14ac:dyDescent="0.25">
      <c r="A9111" s="34" t="s">
        <v>3095</v>
      </c>
      <c r="B9111" s="35">
        <v>1.1570483897783601</v>
      </c>
    </row>
    <row r="9112" spans="1:2" ht="13.2" x14ac:dyDescent="0.25">
      <c r="A9112" s="34" t="s">
        <v>3094</v>
      </c>
    </row>
    <row r="9113" spans="1:2" ht="13.2" x14ac:dyDescent="0.25">
      <c r="A9113" s="34" t="s">
        <v>3093</v>
      </c>
    </row>
    <row r="9114" spans="1:2" ht="13.2" x14ac:dyDescent="0.25">
      <c r="A9114" s="34" t="s">
        <v>3092</v>
      </c>
      <c r="B9114" s="35">
        <v>1.1333886372914199</v>
      </c>
    </row>
    <row r="9115" spans="1:2" ht="13.2" x14ac:dyDescent="0.25">
      <c r="A9115" s="34" t="s">
        <v>3091</v>
      </c>
      <c r="B9115" s="35">
        <v>1.1347259579123199</v>
      </c>
    </row>
    <row r="9116" spans="1:2" ht="13.2" x14ac:dyDescent="0.25">
      <c r="A9116" s="34" t="s">
        <v>3090</v>
      </c>
      <c r="B9116" s="35">
        <v>1.12108325367717</v>
      </c>
    </row>
    <row r="9117" spans="1:2" ht="13.2" x14ac:dyDescent="0.25">
      <c r="A9117" s="34" t="s">
        <v>3089</v>
      </c>
      <c r="B9117" s="35">
        <v>1.1520415787420999</v>
      </c>
    </row>
    <row r="9118" spans="1:2" ht="13.2" x14ac:dyDescent="0.25">
      <c r="A9118" s="34" t="s">
        <v>3088</v>
      </c>
      <c r="B9118" s="35">
        <v>1.1505074119965899</v>
      </c>
    </row>
    <row r="9119" spans="1:2" ht="13.2" x14ac:dyDescent="0.25">
      <c r="A9119" s="34" t="s">
        <v>3087</v>
      </c>
    </row>
    <row r="9120" spans="1:2" ht="13.2" x14ac:dyDescent="0.25">
      <c r="A9120" s="34" t="s">
        <v>3086</v>
      </c>
    </row>
    <row r="9121" spans="1:2" ht="13.2" x14ac:dyDescent="0.25">
      <c r="A9121" s="34" t="s">
        <v>3085</v>
      </c>
      <c r="B9121" s="35">
        <v>1.1492786008575999</v>
      </c>
    </row>
    <row r="9122" spans="1:2" ht="13.2" x14ac:dyDescent="0.25">
      <c r="A9122" s="34" t="s">
        <v>3084</v>
      </c>
      <c r="B9122" s="35">
        <v>1.11090588213077</v>
      </c>
    </row>
    <row r="9123" spans="1:2" ht="13.2" x14ac:dyDescent="0.25">
      <c r="A9123" s="34" t="s">
        <v>3083</v>
      </c>
      <c r="B9123" s="35">
        <v>1.0819906545089999</v>
      </c>
    </row>
    <row r="9124" spans="1:2" ht="13.2" x14ac:dyDescent="0.25">
      <c r="A9124" s="34" t="s">
        <v>3082</v>
      </c>
      <c r="B9124" s="35">
        <v>1.3016768021132501</v>
      </c>
    </row>
    <row r="9125" spans="1:2" ht="13.2" x14ac:dyDescent="0.25">
      <c r="A9125" s="34" t="s">
        <v>3081</v>
      </c>
      <c r="B9125" s="35">
        <v>1.2222288423649701</v>
      </c>
    </row>
    <row r="9126" spans="1:2" ht="13.2" x14ac:dyDescent="0.25">
      <c r="A9126" s="34" t="s">
        <v>3080</v>
      </c>
    </row>
    <row r="9127" spans="1:2" ht="13.2" x14ac:dyDescent="0.25">
      <c r="A9127" s="34" t="s">
        <v>3079</v>
      </c>
    </row>
    <row r="9128" spans="1:2" ht="13.2" x14ac:dyDescent="0.25">
      <c r="A9128" s="34" t="s">
        <v>3078</v>
      </c>
      <c r="B9128" s="35">
        <v>1.2575867951979001</v>
      </c>
    </row>
    <row r="9129" spans="1:2" ht="13.2" x14ac:dyDescent="0.25">
      <c r="A9129" s="34" t="s">
        <v>3077</v>
      </c>
      <c r="B9129" s="35">
        <v>1.2912724954788299</v>
      </c>
    </row>
    <row r="9130" spans="1:2" ht="13.2" x14ac:dyDescent="0.25">
      <c r="A9130" s="34" t="s">
        <v>3076</v>
      </c>
      <c r="B9130" s="35">
        <v>1.3706022089243499</v>
      </c>
    </row>
    <row r="9131" spans="1:2" ht="13.2" x14ac:dyDescent="0.25">
      <c r="A9131" s="34" t="s">
        <v>3075</v>
      </c>
      <c r="B9131" s="35">
        <v>1.3776410817490401</v>
      </c>
    </row>
    <row r="9132" spans="1:2" ht="13.2" x14ac:dyDescent="0.25">
      <c r="A9132" s="34" t="s">
        <v>3074</v>
      </c>
      <c r="B9132" s="35">
        <v>1.4033399954825201</v>
      </c>
    </row>
    <row r="9133" spans="1:2" ht="13.2" x14ac:dyDescent="0.25">
      <c r="A9133" s="34" t="s">
        <v>3073</v>
      </c>
    </row>
    <row r="9134" spans="1:2" ht="13.2" x14ac:dyDescent="0.25">
      <c r="A9134" s="34" t="s">
        <v>3072</v>
      </c>
    </row>
    <row r="9135" spans="1:2" ht="13.2" x14ac:dyDescent="0.25">
      <c r="A9135" s="34" t="s">
        <v>3071</v>
      </c>
      <c r="B9135" s="35">
        <v>1.61001207067765</v>
      </c>
    </row>
    <row r="9136" spans="1:2" ht="13.2" x14ac:dyDescent="0.25">
      <c r="A9136" s="34" t="s">
        <v>3070</v>
      </c>
      <c r="B9136" s="35">
        <v>1.64061292644082</v>
      </c>
    </row>
    <row r="9137" spans="1:2" ht="13.2" x14ac:dyDescent="0.25">
      <c r="A9137" s="34" t="s">
        <v>3069</v>
      </c>
      <c r="B9137" s="35">
        <v>1.6726822045755001</v>
      </c>
    </row>
    <row r="9138" spans="1:2" ht="13.2" x14ac:dyDescent="0.25">
      <c r="A9138" s="34" t="s">
        <v>3068</v>
      </c>
    </row>
    <row r="9139" spans="1:2" ht="13.2" x14ac:dyDescent="0.25">
      <c r="A9139" s="34" t="s">
        <v>3067</v>
      </c>
      <c r="B9139" s="35">
        <v>1.66424852930997</v>
      </c>
    </row>
    <row r="9140" spans="1:2" ht="13.2" x14ac:dyDescent="0.25">
      <c r="A9140" s="34" t="s">
        <v>3066</v>
      </c>
    </row>
    <row r="9141" spans="1:2" ht="13.2" x14ac:dyDescent="0.25">
      <c r="A9141" s="34" t="s">
        <v>3065</v>
      </c>
    </row>
    <row r="9142" spans="1:2" ht="13.2" x14ac:dyDescent="0.25">
      <c r="A9142" s="34" t="s">
        <v>3064</v>
      </c>
      <c r="B9142" s="35">
        <v>1.7097068188814799</v>
      </c>
    </row>
    <row r="9143" spans="1:2" ht="13.2" x14ac:dyDescent="0.25">
      <c r="A9143" s="34" t="s">
        <v>3063</v>
      </c>
      <c r="B9143" s="35">
        <v>1.77800530178303</v>
      </c>
    </row>
    <row r="9144" spans="1:2" ht="13.2" x14ac:dyDescent="0.25">
      <c r="A9144" s="34" t="s">
        <v>3062</v>
      </c>
      <c r="B9144" s="35">
        <v>1.7791094857715299</v>
      </c>
    </row>
    <row r="9145" spans="1:2" ht="13.2" x14ac:dyDescent="0.25">
      <c r="A9145" s="34" t="s">
        <v>3061</v>
      </c>
      <c r="B9145" s="35">
        <v>1.86019205939959</v>
      </c>
    </row>
    <row r="9146" spans="1:2" ht="13.2" x14ac:dyDescent="0.25">
      <c r="A9146" s="34" t="s">
        <v>3060</v>
      </c>
      <c r="B9146" s="35">
        <v>1.80013465994341</v>
      </c>
    </row>
    <row r="9147" spans="1:2" ht="13.2" x14ac:dyDescent="0.25">
      <c r="A9147" s="34" t="s">
        <v>3059</v>
      </c>
    </row>
    <row r="9148" spans="1:2" ht="13.2" x14ac:dyDescent="0.25">
      <c r="A9148" s="34" t="s">
        <v>3058</v>
      </c>
    </row>
    <row r="9149" spans="1:2" ht="13.2" x14ac:dyDescent="0.25">
      <c r="A9149" s="34" t="s">
        <v>3057</v>
      </c>
      <c r="B9149" s="35">
        <v>1.70166018915812</v>
      </c>
    </row>
    <row r="9150" spans="1:2" ht="13.2" x14ac:dyDescent="0.25">
      <c r="A9150" s="34" t="s">
        <v>3056</v>
      </c>
      <c r="B9150" s="35">
        <v>1.7302172612075299</v>
      </c>
    </row>
    <row r="9151" spans="1:2" ht="13.2" x14ac:dyDescent="0.25">
      <c r="A9151" s="34" t="s">
        <v>3055</v>
      </c>
      <c r="B9151" s="35">
        <v>1.7213553117506499</v>
      </c>
    </row>
    <row r="9152" spans="1:2" ht="13.2" x14ac:dyDescent="0.25">
      <c r="A9152" s="34" t="s">
        <v>3054</v>
      </c>
      <c r="B9152" s="35">
        <v>1.71468378160007</v>
      </c>
    </row>
    <row r="9153" spans="1:2" ht="13.2" x14ac:dyDescent="0.25">
      <c r="A9153" s="34" t="s">
        <v>3053</v>
      </c>
      <c r="B9153" s="35">
        <v>1.6181717185710001</v>
      </c>
    </row>
    <row r="9154" spans="1:2" ht="13.2" x14ac:dyDescent="0.25">
      <c r="A9154" s="34" t="s">
        <v>3052</v>
      </c>
    </row>
    <row r="9155" spans="1:2" ht="13.2" x14ac:dyDescent="0.25">
      <c r="A9155" s="34" t="s">
        <v>3051</v>
      </c>
    </row>
    <row r="9156" spans="1:2" ht="13.2" x14ac:dyDescent="0.25">
      <c r="A9156" s="34" t="s">
        <v>3050</v>
      </c>
      <c r="B9156" s="35">
        <v>1.5201746990590701</v>
      </c>
    </row>
    <row r="9157" spans="1:2" ht="13.2" x14ac:dyDescent="0.25">
      <c r="A9157" s="34" t="s">
        <v>3049</v>
      </c>
      <c r="B9157" s="35">
        <v>1.6637581411648299</v>
      </c>
    </row>
    <row r="9158" spans="1:2" ht="13.2" x14ac:dyDescent="0.25">
      <c r="A9158" s="34" t="s">
        <v>3048</v>
      </c>
      <c r="B9158" s="35">
        <v>1.69422449935157</v>
      </c>
    </row>
    <row r="9159" spans="1:2" ht="13.2" x14ac:dyDescent="0.25">
      <c r="A9159" s="34" t="s">
        <v>3047</v>
      </c>
      <c r="B9159" s="35">
        <v>1.71572021289721</v>
      </c>
    </row>
    <row r="9160" spans="1:2" ht="13.2" x14ac:dyDescent="0.25">
      <c r="A9160" s="34" t="s">
        <v>3046</v>
      </c>
      <c r="B9160" s="35">
        <v>1.7135011739898101</v>
      </c>
    </row>
    <row r="9161" spans="1:2" ht="13.2" x14ac:dyDescent="0.25">
      <c r="A9161" s="34" t="s">
        <v>3045</v>
      </c>
    </row>
    <row r="9162" spans="1:2" ht="13.2" x14ac:dyDescent="0.25">
      <c r="A9162" s="34" t="s">
        <v>3044</v>
      </c>
    </row>
    <row r="9163" spans="1:2" ht="13.2" x14ac:dyDescent="0.25">
      <c r="A9163" s="34" t="s">
        <v>3043</v>
      </c>
      <c r="B9163" s="35">
        <v>1.7281429643614701</v>
      </c>
    </row>
    <row r="9164" spans="1:2" ht="13.2" x14ac:dyDescent="0.25">
      <c r="A9164" s="34" t="s">
        <v>3042</v>
      </c>
      <c r="B9164" s="35">
        <v>1.7328384445277401</v>
      </c>
    </row>
    <row r="9165" spans="1:2" ht="13.2" x14ac:dyDescent="0.25">
      <c r="A9165" s="34" t="s">
        <v>3041</v>
      </c>
      <c r="B9165" s="35">
        <v>1.4652515599839</v>
      </c>
    </row>
    <row r="9166" spans="1:2" ht="13.2" x14ac:dyDescent="0.25">
      <c r="A9166" s="34" t="s">
        <v>3040</v>
      </c>
      <c r="B9166" s="35">
        <v>1.50151737514355</v>
      </c>
    </row>
    <row r="9167" spans="1:2" ht="13.2" x14ac:dyDescent="0.25">
      <c r="A9167" s="34" t="s">
        <v>3039</v>
      </c>
      <c r="B9167" s="35">
        <v>1.5240147761682099</v>
      </c>
    </row>
    <row r="9168" spans="1:2" ht="13.2" x14ac:dyDescent="0.25">
      <c r="A9168" s="34" t="s">
        <v>3038</v>
      </c>
    </row>
    <row r="9169" spans="1:2" ht="13.2" x14ac:dyDescent="0.25">
      <c r="A9169" s="34" t="s">
        <v>3037</v>
      </c>
    </row>
    <row r="9170" spans="1:2" ht="13.2" x14ac:dyDescent="0.25">
      <c r="A9170" s="34" t="s">
        <v>3036</v>
      </c>
      <c r="B9170" s="35">
        <v>1.51302421879283</v>
      </c>
    </row>
    <row r="9171" spans="1:2" ht="13.2" x14ac:dyDescent="0.25">
      <c r="A9171" s="34" t="s">
        <v>3035</v>
      </c>
      <c r="B9171" s="35">
        <v>1.4777558994609901</v>
      </c>
    </row>
    <row r="9172" spans="1:2" ht="13.2" x14ac:dyDescent="0.25">
      <c r="A9172" s="34" t="s">
        <v>3034</v>
      </c>
      <c r="B9172" s="35">
        <v>1.4340979899145301</v>
      </c>
    </row>
    <row r="9173" spans="1:2" ht="13.2" x14ac:dyDescent="0.25">
      <c r="A9173" s="34" t="s">
        <v>3033</v>
      </c>
      <c r="B9173" s="35">
        <v>1.42862810916407</v>
      </c>
    </row>
    <row r="9174" spans="1:2" ht="13.2" x14ac:dyDescent="0.25">
      <c r="A9174" s="34" t="s">
        <v>3032</v>
      </c>
      <c r="B9174" s="35">
        <v>1.2678539354385201</v>
      </c>
    </row>
    <row r="9175" spans="1:2" ht="13.2" x14ac:dyDescent="0.25">
      <c r="A9175" s="34" t="s">
        <v>3031</v>
      </c>
    </row>
    <row r="9176" spans="1:2" ht="13.2" x14ac:dyDescent="0.25">
      <c r="A9176" s="34" t="s">
        <v>3030</v>
      </c>
    </row>
    <row r="9177" spans="1:2" ht="13.2" x14ac:dyDescent="0.25">
      <c r="A9177" s="34" t="s">
        <v>3029</v>
      </c>
    </row>
    <row r="9178" spans="1:2" ht="13.2" x14ac:dyDescent="0.25">
      <c r="A9178" s="34" t="s">
        <v>3028</v>
      </c>
      <c r="B9178" s="35">
        <v>1.2338602886972101</v>
      </c>
    </row>
    <row r="9179" spans="1:2" ht="13.2" x14ac:dyDescent="0.25">
      <c r="A9179" s="34" t="s">
        <v>3027</v>
      </c>
      <c r="B9179" s="35">
        <v>1.2248565157443201</v>
      </c>
    </row>
    <row r="9180" spans="1:2" ht="13.2" x14ac:dyDescent="0.25">
      <c r="A9180" s="34" t="s">
        <v>3026</v>
      </c>
      <c r="B9180" s="35">
        <v>1.2834639470259701</v>
      </c>
    </row>
    <row r="9181" spans="1:2" ht="13.2" x14ac:dyDescent="0.25">
      <c r="A9181" s="34" t="s">
        <v>3025</v>
      </c>
      <c r="B9181" s="35">
        <v>1.26941928688843</v>
      </c>
    </row>
    <row r="9182" spans="1:2" ht="13.2" x14ac:dyDescent="0.25">
      <c r="A9182" s="34" t="s">
        <v>3024</v>
      </c>
    </row>
    <row r="9183" spans="1:2" ht="13.2" x14ac:dyDescent="0.25">
      <c r="A9183" s="34" t="s">
        <v>3023</v>
      </c>
    </row>
    <row r="9184" spans="1:2" ht="13.2" x14ac:dyDescent="0.25">
      <c r="A9184" s="34" t="s">
        <v>3022</v>
      </c>
      <c r="B9184" s="35">
        <v>1.23741377846569</v>
      </c>
    </row>
    <row r="9185" spans="1:2" ht="13.2" x14ac:dyDescent="0.25">
      <c r="A9185" s="34" t="s">
        <v>3021</v>
      </c>
      <c r="B9185" s="35">
        <v>1.24698037215264</v>
      </c>
    </row>
    <row r="9186" spans="1:2" ht="13.2" x14ac:dyDescent="0.25">
      <c r="A9186" s="34" t="s">
        <v>3020</v>
      </c>
      <c r="B9186" s="35">
        <v>1.2233394900802399</v>
      </c>
    </row>
    <row r="9187" spans="1:2" ht="13.2" x14ac:dyDescent="0.25">
      <c r="A9187" s="34" t="s">
        <v>3019</v>
      </c>
      <c r="B9187" s="35">
        <v>1.1571451722274699</v>
      </c>
    </row>
    <row r="9188" spans="1:2" ht="13.2" x14ac:dyDescent="0.25">
      <c r="A9188" s="34" t="s">
        <v>3018</v>
      </c>
      <c r="B9188" s="35">
        <v>1.1700385291717801</v>
      </c>
    </row>
    <row r="9189" spans="1:2" ht="13.2" x14ac:dyDescent="0.25">
      <c r="A9189" s="34" t="s">
        <v>3017</v>
      </c>
    </row>
    <row r="9190" spans="1:2" ht="13.2" x14ac:dyDescent="0.25">
      <c r="A9190" s="34" t="s">
        <v>3016</v>
      </c>
    </row>
    <row r="9191" spans="1:2" ht="13.2" x14ac:dyDescent="0.25">
      <c r="A9191" s="34" t="s">
        <v>3015</v>
      </c>
      <c r="B9191" s="35">
        <v>0.93945065518510396</v>
      </c>
    </row>
    <row r="9192" spans="1:2" ht="13.2" x14ac:dyDescent="0.25">
      <c r="A9192" s="34" t="s">
        <v>3014</v>
      </c>
      <c r="B9192" s="35">
        <v>0.96110845016973201</v>
      </c>
    </row>
    <row r="9193" spans="1:2" ht="13.2" x14ac:dyDescent="0.25">
      <c r="A9193" s="34" t="s">
        <v>3013</v>
      </c>
      <c r="B9193" s="35">
        <v>0.97605791063331304</v>
      </c>
    </row>
    <row r="9194" spans="1:2" ht="13.2" x14ac:dyDescent="0.25">
      <c r="A9194" s="34" t="s">
        <v>3012</v>
      </c>
      <c r="B9194" s="35">
        <v>1.03660245843188</v>
      </c>
    </row>
    <row r="9195" spans="1:2" ht="13.2" x14ac:dyDescent="0.25">
      <c r="A9195" s="34" t="s">
        <v>3011</v>
      </c>
      <c r="B9195" s="35">
        <v>0.96727601593368395</v>
      </c>
    </row>
    <row r="9196" spans="1:2" ht="13.2" x14ac:dyDescent="0.25">
      <c r="A9196" s="34" t="s">
        <v>3010</v>
      </c>
    </row>
    <row r="9197" spans="1:2" ht="13.2" x14ac:dyDescent="0.25">
      <c r="A9197" s="34" t="s">
        <v>3009</v>
      </c>
    </row>
    <row r="9198" spans="1:2" ht="13.2" x14ac:dyDescent="0.25">
      <c r="A9198" s="34" t="s">
        <v>3008</v>
      </c>
      <c r="B9198" s="35">
        <v>0.937472188796031</v>
      </c>
    </row>
    <row r="9199" spans="1:2" ht="13.2" x14ac:dyDescent="0.25">
      <c r="A9199" s="34" t="s">
        <v>3007</v>
      </c>
      <c r="B9199" s="35">
        <v>0.99917318869587501</v>
      </c>
    </row>
    <row r="9200" spans="1:2" ht="13.2" x14ac:dyDescent="0.25">
      <c r="A9200" s="34" t="s">
        <v>3006</v>
      </c>
      <c r="B9200" s="35">
        <v>0.99920791021500599</v>
      </c>
    </row>
    <row r="9201" spans="1:2" ht="13.2" x14ac:dyDescent="0.25">
      <c r="A9201" s="34" t="s">
        <v>3005</v>
      </c>
      <c r="B9201" s="35">
        <v>0.98534848155783195</v>
      </c>
    </row>
    <row r="9202" spans="1:2" ht="13.2" x14ac:dyDescent="0.25">
      <c r="A9202" s="34" t="s">
        <v>3004</v>
      </c>
      <c r="B9202" s="35">
        <v>1.0414701622104201</v>
      </c>
    </row>
    <row r="9203" spans="1:2" ht="13.2" x14ac:dyDescent="0.25">
      <c r="A9203" s="34" t="s">
        <v>3003</v>
      </c>
    </row>
    <row r="9204" spans="1:2" ht="13.2" x14ac:dyDescent="0.25">
      <c r="A9204" s="34" t="s">
        <v>3002</v>
      </c>
    </row>
    <row r="9205" spans="1:2" ht="13.2" x14ac:dyDescent="0.25">
      <c r="A9205" s="34" t="s">
        <v>3001</v>
      </c>
      <c r="B9205" s="35">
        <v>1.0494687734272301</v>
      </c>
    </row>
    <row r="9206" spans="1:2" ht="13.2" x14ac:dyDescent="0.25">
      <c r="A9206" s="34" t="s">
        <v>3000</v>
      </c>
      <c r="B9206" s="35">
        <v>1.08377085734142</v>
      </c>
    </row>
    <row r="9207" spans="1:2" ht="13.2" x14ac:dyDescent="0.25">
      <c r="A9207" s="34" t="s">
        <v>2999</v>
      </c>
      <c r="B9207" s="35">
        <v>1.15040454638631</v>
      </c>
    </row>
    <row r="9208" spans="1:2" ht="13.2" x14ac:dyDescent="0.25">
      <c r="A9208" s="34" t="s">
        <v>2998</v>
      </c>
      <c r="B9208" s="35">
        <v>1.1456053058187901</v>
      </c>
    </row>
    <row r="9209" spans="1:2" ht="13.2" x14ac:dyDescent="0.25">
      <c r="A9209" s="34" t="s">
        <v>2997</v>
      </c>
      <c r="B9209" s="35">
        <v>1.2734040713152801</v>
      </c>
    </row>
    <row r="9210" spans="1:2" ht="13.2" x14ac:dyDescent="0.25">
      <c r="A9210" s="34" t="s">
        <v>2996</v>
      </c>
    </row>
    <row r="9211" spans="1:2" ht="13.2" x14ac:dyDescent="0.25">
      <c r="A9211" s="34" t="s">
        <v>2995</v>
      </c>
    </row>
    <row r="9212" spans="1:2" ht="13.2" x14ac:dyDescent="0.25">
      <c r="A9212" s="34" t="s">
        <v>2994</v>
      </c>
      <c r="B9212" s="35">
        <v>1.2862794620133899</v>
      </c>
    </row>
    <row r="9213" spans="1:2" ht="13.2" x14ac:dyDescent="0.25">
      <c r="A9213" s="34" t="s">
        <v>2993</v>
      </c>
      <c r="B9213" s="35">
        <v>1.32018094793742</v>
      </c>
    </row>
    <row r="9214" spans="1:2" ht="13.2" x14ac:dyDescent="0.25">
      <c r="A9214" s="34" t="s">
        <v>2992</v>
      </c>
      <c r="B9214" s="35">
        <v>1.32780287333225</v>
      </c>
    </row>
    <row r="9215" spans="1:2" ht="13.2" x14ac:dyDescent="0.25">
      <c r="A9215" s="34" t="s">
        <v>2991</v>
      </c>
      <c r="B9215" s="35">
        <v>1.3127266095533601</v>
      </c>
    </row>
    <row r="9216" spans="1:2" ht="13.2" x14ac:dyDescent="0.25">
      <c r="A9216" s="34" t="s">
        <v>2990</v>
      </c>
      <c r="B9216" s="35">
        <v>1.3296584893635199</v>
      </c>
    </row>
    <row r="9217" spans="1:2" ht="13.2" x14ac:dyDescent="0.25">
      <c r="A9217" s="34" t="s">
        <v>2989</v>
      </c>
    </row>
    <row r="9218" spans="1:2" ht="13.2" x14ac:dyDescent="0.25">
      <c r="A9218" s="34" t="s">
        <v>2988</v>
      </c>
    </row>
    <row r="9219" spans="1:2" ht="13.2" x14ac:dyDescent="0.25">
      <c r="A9219" s="34" t="s">
        <v>2987</v>
      </c>
      <c r="B9219" s="35">
        <v>1.2914380757886801</v>
      </c>
    </row>
    <row r="9220" spans="1:2" ht="13.2" x14ac:dyDescent="0.25">
      <c r="A9220" s="34" t="s">
        <v>2986</v>
      </c>
      <c r="B9220" s="35">
        <v>1.32039580277385</v>
      </c>
    </row>
    <row r="9221" spans="1:2" ht="13.2" x14ac:dyDescent="0.25">
      <c r="A9221" s="34" t="s">
        <v>2985</v>
      </c>
      <c r="B9221" s="35">
        <v>1.37965042304999</v>
      </c>
    </row>
    <row r="9222" spans="1:2" ht="13.2" x14ac:dyDescent="0.25">
      <c r="A9222" s="34" t="s">
        <v>2984</v>
      </c>
      <c r="B9222" s="35">
        <v>1.3748034739867501</v>
      </c>
    </row>
    <row r="9223" spans="1:2" ht="13.2" x14ac:dyDescent="0.25">
      <c r="A9223" s="34" t="s">
        <v>2983</v>
      </c>
      <c r="B9223" s="35">
        <v>1.3841932320822199</v>
      </c>
    </row>
    <row r="9224" spans="1:2" ht="13.2" x14ac:dyDescent="0.25">
      <c r="A9224" s="34" t="s">
        <v>2982</v>
      </c>
      <c r="B9224" s="35">
        <v>1.46884412675906</v>
      </c>
    </row>
    <row r="9225" spans="1:2" ht="13.2" x14ac:dyDescent="0.25">
      <c r="A9225" s="34" t="s">
        <v>2981</v>
      </c>
    </row>
    <row r="9226" spans="1:2" ht="13.2" x14ac:dyDescent="0.25">
      <c r="A9226" s="34" t="s">
        <v>2980</v>
      </c>
      <c r="B9226" s="35">
        <v>1.46212203561909</v>
      </c>
    </row>
    <row r="9227" spans="1:2" ht="13.2" x14ac:dyDescent="0.25">
      <c r="A9227" s="34" t="s">
        <v>2979</v>
      </c>
      <c r="B9227" s="35">
        <v>1.4410164960049501</v>
      </c>
    </row>
    <row r="9228" spans="1:2" ht="13.2" x14ac:dyDescent="0.25">
      <c r="A9228" s="34" t="s">
        <v>2978</v>
      </c>
      <c r="B9228" s="35">
        <v>1.4675557779800099</v>
      </c>
    </row>
    <row r="9229" spans="1:2" ht="13.2" x14ac:dyDescent="0.25">
      <c r="A9229" s="34" t="s">
        <v>2977</v>
      </c>
      <c r="B9229" s="35">
        <v>1.5607872959964</v>
      </c>
    </row>
    <row r="9230" spans="1:2" ht="13.2" x14ac:dyDescent="0.25">
      <c r="A9230" s="34" t="s">
        <v>2976</v>
      </c>
      <c r="B9230" s="35">
        <v>1.4655604687803601</v>
      </c>
    </row>
    <row r="9231" spans="1:2" ht="13.2" x14ac:dyDescent="0.25">
      <c r="A9231" s="34" t="s">
        <v>2975</v>
      </c>
    </row>
    <row r="9232" spans="1:2" ht="13.2" x14ac:dyDescent="0.25">
      <c r="A9232" s="34" t="s">
        <v>2974</v>
      </c>
    </row>
    <row r="9233" spans="1:2" ht="13.2" x14ac:dyDescent="0.25">
      <c r="A9233" s="34" t="s">
        <v>2973</v>
      </c>
      <c r="B9233" s="35">
        <v>1.4670127703651701</v>
      </c>
    </row>
    <row r="9234" spans="1:2" ht="13.2" x14ac:dyDescent="0.25">
      <c r="A9234" s="34" t="s">
        <v>2972</v>
      </c>
      <c r="B9234" s="35">
        <v>1.50724653129015</v>
      </c>
    </row>
    <row r="9235" spans="1:2" ht="13.2" x14ac:dyDescent="0.25">
      <c r="A9235" s="34" t="s">
        <v>2971</v>
      </c>
      <c r="B9235" s="35">
        <v>1.4940762641594501</v>
      </c>
    </row>
    <row r="9236" spans="1:2" ht="13.2" x14ac:dyDescent="0.25">
      <c r="A9236" s="34" t="s">
        <v>2970</v>
      </c>
      <c r="B9236" s="35">
        <v>1.5547716695070699</v>
      </c>
    </row>
    <row r="9237" spans="1:2" ht="13.2" x14ac:dyDescent="0.25">
      <c r="A9237" s="34" t="s">
        <v>2969</v>
      </c>
    </row>
    <row r="9238" spans="1:2" ht="13.2" x14ac:dyDescent="0.25">
      <c r="A9238" s="34" t="s">
        <v>2968</v>
      </c>
      <c r="B9238" s="35">
        <v>1.4204734163053501</v>
      </c>
    </row>
    <row r="9239" spans="1:2" ht="13.2" x14ac:dyDescent="0.25">
      <c r="A9239" s="34" t="s">
        <v>2967</v>
      </c>
    </row>
    <row r="9240" spans="1:2" ht="13.2" x14ac:dyDescent="0.25">
      <c r="A9240" s="34" t="s">
        <v>2966</v>
      </c>
      <c r="B9240" s="35">
        <v>1.3899420657941599</v>
      </c>
    </row>
    <row r="9241" spans="1:2" ht="13.2" x14ac:dyDescent="0.25">
      <c r="A9241" s="34" t="s">
        <v>2965</v>
      </c>
      <c r="B9241" s="35">
        <v>1.43185448300546</v>
      </c>
    </row>
    <row r="9242" spans="1:2" ht="13.2" x14ac:dyDescent="0.25">
      <c r="A9242" s="34" t="s">
        <v>2964</v>
      </c>
      <c r="B9242" s="35">
        <v>1.3876268099945599</v>
      </c>
    </row>
    <row r="9243" spans="1:2" ht="13.2" x14ac:dyDescent="0.25">
      <c r="A9243" s="34" t="s">
        <v>2963</v>
      </c>
      <c r="B9243" s="35">
        <v>1.3905970063056601</v>
      </c>
    </row>
    <row r="9244" spans="1:2" ht="13.2" x14ac:dyDescent="0.25">
      <c r="A9244" s="34" t="s">
        <v>2962</v>
      </c>
      <c r="B9244" s="35">
        <v>1.3951928094864601</v>
      </c>
    </row>
    <row r="9245" spans="1:2" ht="13.2" x14ac:dyDescent="0.25">
      <c r="A9245" s="34" t="s">
        <v>2961</v>
      </c>
    </row>
    <row r="9246" spans="1:2" ht="13.2" x14ac:dyDescent="0.25">
      <c r="A9246" s="34" t="s">
        <v>2960</v>
      </c>
    </row>
    <row r="9247" spans="1:2" ht="13.2" x14ac:dyDescent="0.25">
      <c r="A9247" s="34" t="s">
        <v>2959</v>
      </c>
      <c r="B9247" s="35">
        <v>1.4488452338144799</v>
      </c>
    </row>
    <row r="9248" spans="1:2" ht="13.2" x14ac:dyDescent="0.25">
      <c r="A9248" s="34" t="s">
        <v>2958</v>
      </c>
      <c r="B9248" s="35">
        <v>1.4624726851860901</v>
      </c>
    </row>
    <row r="9249" spans="1:2" ht="13.2" x14ac:dyDescent="0.25">
      <c r="A9249" s="34" t="s">
        <v>2957</v>
      </c>
      <c r="B9249" s="35">
        <v>1.3847254468887999</v>
      </c>
    </row>
    <row r="9250" spans="1:2" ht="13.2" x14ac:dyDescent="0.25">
      <c r="A9250" s="34" t="s">
        <v>2956</v>
      </c>
      <c r="B9250" s="35">
        <v>1.32703350339975</v>
      </c>
    </row>
    <row r="9251" spans="1:2" ht="13.2" x14ac:dyDescent="0.25">
      <c r="A9251" s="34" t="s">
        <v>2955</v>
      </c>
      <c r="B9251" s="35">
        <v>1.36160057805746</v>
      </c>
    </row>
    <row r="9252" spans="1:2" ht="13.2" x14ac:dyDescent="0.25">
      <c r="A9252" s="34" t="s">
        <v>2954</v>
      </c>
    </row>
    <row r="9253" spans="1:2" ht="13.2" x14ac:dyDescent="0.25">
      <c r="A9253" s="34" t="s">
        <v>2953</v>
      </c>
    </row>
    <row r="9254" spans="1:2" ht="13.2" x14ac:dyDescent="0.25">
      <c r="A9254" s="34" t="s">
        <v>2952</v>
      </c>
      <c r="B9254" s="35">
        <v>1.35350333903697</v>
      </c>
    </row>
    <row r="9255" spans="1:2" ht="13.2" x14ac:dyDescent="0.25">
      <c r="A9255" s="34" t="s">
        <v>2951</v>
      </c>
      <c r="B9255" s="35">
        <v>1.36532315359489</v>
      </c>
    </row>
    <row r="9256" spans="1:2" ht="13.2" x14ac:dyDescent="0.25">
      <c r="A9256" s="34" t="s">
        <v>2950</v>
      </c>
      <c r="B9256" s="35">
        <v>1.3576825339296601</v>
      </c>
    </row>
    <row r="9257" spans="1:2" ht="13.2" x14ac:dyDescent="0.25">
      <c r="A9257" s="34" t="s">
        <v>2949</v>
      </c>
      <c r="B9257" s="35">
        <v>1.3832442910261999</v>
      </c>
    </row>
    <row r="9258" spans="1:2" ht="13.2" x14ac:dyDescent="0.25">
      <c r="A9258" s="34" t="s">
        <v>2948</v>
      </c>
      <c r="B9258" s="35">
        <v>1.2627353801976799</v>
      </c>
    </row>
    <row r="9259" spans="1:2" ht="13.2" x14ac:dyDescent="0.25">
      <c r="A9259" s="34" t="s">
        <v>2947</v>
      </c>
    </row>
    <row r="9260" spans="1:2" ht="13.2" x14ac:dyDescent="0.25">
      <c r="A9260" s="34" t="s">
        <v>2946</v>
      </c>
    </row>
    <row r="9261" spans="1:2" ht="13.2" x14ac:dyDescent="0.25">
      <c r="A9261" s="34" t="s">
        <v>2945</v>
      </c>
      <c r="B9261" s="35">
        <v>1.28388342456681</v>
      </c>
    </row>
    <row r="9262" spans="1:2" ht="13.2" x14ac:dyDescent="0.25">
      <c r="A9262" s="34" t="s">
        <v>2944</v>
      </c>
      <c r="B9262" s="35">
        <v>1.49211410890114</v>
      </c>
    </row>
    <row r="9263" spans="1:2" ht="13.2" x14ac:dyDescent="0.25">
      <c r="A9263" s="34" t="s">
        <v>2943</v>
      </c>
      <c r="B9263" s="35">
        <v>1.43837361314087</v>
      </c>
    </row>
    <row r="9264" spans="1:2" ht="13.2" x14ac:dyDescent="0.25">
      <c r="A9264" s="34" t="s">
        <v>2942</v>
      </c>
      <c r="B9264" s="35">
        <v>1.4517793308990501</v>
      </c>
    </row>
    <row r="9265" spans="1:2" ht="13.2" x14ac:dyDescent="0.25">
      <c r="A9265" s="34" t="s">
        <v>2941</v>
      </c>
      <c r="B9265" s="35">
        <v>1.44503337669006</v>
      </c>
    </row>
    <row r="9266" spans="1:2" ht="13.2" x14ac:dyDescent="0.25">
      <c r="A9266" s="34" t="s">
        <v>2940</v>
      </c>
    </row>
    <row r="9267" spans="1:2" ht="13.2" x14ac:dyDescent="0.25">
      <c r="A9267" s="34" t="s">
        <v>2939</v>
      </c>
    </row>
    <row r="9268" spans="1:2" ht="13.2" x14ac:dyDescent="0.25">
      <c r="A9268" s="34" t="s">
        <v>2938</v>
      </c>
      <c r="B9268" s="35">
        <v>1.69764511844571</v>
      </c>
    </row>
    <row r="9269" spans="1:2" ht="13.2" x14ac:dyDescent="0.25">
      <c r="A9269" s="34" t="s">
        <v>2937</v>
      </c>
      <c r="B9269" s="35">
        <v>1.6975679549976801</v>
      </c>
    </row>
    <row r="9270" spans="1:2" ht="13.2" x14ac:dyDescent="0.25">
      <c r="A9270" s="34" t="s">
        <v>2936</v>
      </c>
      <c r="B9270" s="35">
        <v>1.74184518148587</v>
      </c>
    </row>
    <row r="9271" spans="1:2" ht="13.2" x14ac:dyDescent="0.25">
      <c r="A9271" s="34" t="s">
        <v>2935</v>
      </c>
      <c r="B9271" s="35">
        <v>1.7702190282346799</v>
      </c>
    </row>
    <row r="9272" spans="1:2" ht="13.2" x14ac:dyDescent="0.25">
      <c r="A9272" s="34" t="s">
        <v>2934</v>
      </c>
    </row>
    <row r="9273" spans="1:2" ht="13.2" x14ac:dyDescent="0.25">
      <c r="A9273" s="34" t="s">
        <v>2933</v>
      </c>
    </row>
    <row r="9274" spans="1:2" ht="13.2" x14ac:dyDescent="0.25">
      <c r="A9274" s="34" t="s">
        <v>2932</v>
      </c>
    </row>
    <row r="9275" spans="1:2" ht="13.2" x14ac:dyDescent="0.25">
      <c r="A9275" s="34" t="s">
        <v>2931</v>
      </c>
      <c r="B9275" s="35">
        <v>1.7536401591920101</v>
      </c>
    </row>
    <row r="9276" spans="1:2" ht="13.2" x14ac:dyDescent="0.25">
      <c r="A9276" s="34" t="s">
        <v>2930</v>
      </c>
      <c r="B9276" s="35">
        <v>1.82030233934248</v>
      </c>
    </row>
    <row r="9277" spans="1:2" ht="13.2" x14ac:dyDescent="0.25">
      <c r="A9277" s="34" t="s">
        <v>2929</v>
      </c>
      <c r="B9277" s="35">
        <v>1.80343369429944</v>
      </c>
    </row>
    <row r="9278" spans="1:2" ht="13.2" x14ac:dyDescent="0.25">
      <c r="A9278" s="34" t="s">
        <v>2928</v>
      </c>
      <c r="B9278" s="35">
        <v>1.8693533150849899</v>
      </c>
    </row>
    <row r="9279" spans="1:2" ht="13.2" x14ac:dyDescent="0.25">
      <c r="A9279" s="34" t="s">
        <v>2927</v>
      </c>
      <c r="B9279" s="35">
        <v>1.8658025205055</v>
      </c>
    </row>
    <row r="9280" spans="1:2" ht="13.2" x14ac:dyDescent="0.25">
      <c r="A9280" s="34" t="s">
        <v>2926</v>
      </c>
    </row>
    <row r="9281" spans="1:2" ht="13.2" x14ac:dyDescent="0.25">
      <c r="A9281" s="34" t="s">
        <v>2925</v>
      </c>
    </row>
    <row r="9282" spans="1:2" ht="13.2" x14ac:dyDescent="0.25">
      <c r="A9282" s="34" t="s">
        <v>2924</v>
      </c>
      <c r="B9282" s="35">
        <v>1.8830061653902299</v>
      </c>
    </row>
    <row r="9283" spans="1:2" ht="13.2" x14ac:dyDescent="0.25">
      <c r="A9283" s="34" t="s">
        <v>2923</v>
      </c>
      <c r="B9283" s="35">
        <v>1.86771876982352</v>
      </c>
    </row>
    <row r="9284" spans="1:2" ht="13.2" x14ac:dyDescent="0.25">
      <c r="A9284" s="34" t="s">
        <v>2922</v>
      </c>
      <c r="B9284" s="35">
        <v>1.9221753164198001</v>
      </c>
    </row>
    <row r="9285" spans="1:2" ht="13.2" x14ac:dyDescent="0.25">
      <c r="A9285" s="34" t="s">
        <v>2921</v>
      </c>
      <c r="B9285" s="35">
        <v>1.92949501377499</v>
      </c>
    </row>
    <row r="9286" spans="1:2" ht="13.2" x14ac:dyDescent="0.25">
      <c r="A9286" s="34" t="s">
        <v>2920</v>
      </c>
      <c r="B9286" s="35">
        <v>1.9594738771204101</v>
      </c>
    </row>
    <row r="9287" spans="1:2" ht="13.2" x14ac:dyDescent="0.25">
      <c r="A9287" s="34" t="s">
        <v>2919</v>
      </c>
    </row>
    <row r="9288" spans="1:2" ht="13.2" x14ac:dyDescent="0.25">
      <c r="A9288" s="34" t="s">
        <v>2918</v>
      </c>
    </row>
    <row r="9289" spans="1:2" ht="13.2" x14ac:dyDescent="0.25">
      <c r="A9289" s="34" t="s">
        <v>2917</v>
      </c>
      <c r="B9289" s="35">
        <v>2.0194833588910099</v>
      </c>
    </row>
    <row r="9290" spans="1:2" ht="13.2" x14ac:dyDescent="0.25">
      <c r="A9290" s="34" t="s">
        <v>2916</v>
      </c>
      <c r="B9290" s="35">
        <v>2.1340536843392299</v>
      </c>
    </row>
    <row r="9291" spans="1:2" ht="13.2" x14ac:dyDescent="0.25">
      <c r="A9291" s="34" t="s">
        <v>2915</v>
      </c>
      <c r="B9291" s="35">
        <v>2.1119547494379201</v>
      </c>
    </row>
    <row r="9292" spans="1:2" ht="13.2" x14ac:dyDescent="0.25">
      <c r="A9292" s="34" t="s">
        <v>2914</v>
      </c>
      <c r="B9292" s="35">
        <v>1.9859409143201501</v>
      </c>
    </row>
    <row r="9293" spans="1:2" ht="13.2" x14ac:dyDescent="0.25">
      <c r="A9293" s="34" t="s">
        <v>2913</v>
      </c>
    </row>
    <row r="9294" spans="1:2" ht="13.2" x14ac:dyDescent="0.25">
      <c r="A9294" s="34" t="s">
        <v>2912</v>
      </c>
    </row>
    <row r="9295" spans="1:2" ht="13.2" x14ac:dyDescent="0.25">
      <c r="A9295" s="34" t="s">
        <v>2911</v>
      </c>
    </row>
    <row r="9296" spans="1:2" ht="13.2" x14ac:dyDescent="0.25">
      <c r="A9296" s="34" t="s">
        <v>2910</v>
      </c>
      <c r="B9296" s="35">
        <v>1.9631388855457801</v>
      </c>
    </row>
    <row r="9297" spans="1:2" ht="13.2" x14ac:dyDescent="0.25">
      <c r="A9297" s="34" t="s">
        <v>2909</v>
      </c>
      <c r="B9297" s="35">
        <v>1.9805812893049</v>
      </c>
    </row>
    <row r="9298" spans="1:2" ht="13.2" x14ac:dyDescent="0.25">
      <c r="A9298" s="34" t="s">
        <v>2908</v>
      </c>
      <c r="B9298" s="35">
        <v>1.99049499847802</v>
      </c>
    </row>
    <row r="9299" spans="1:2" ht="13.2" x14ac:dyDescent="0.25">
      <c r="A9299" s="34" t="s">
        <v>2907</v>
      </c>
      <c r="B9299" s="35">
        <v>1.83050335623629</v>
      </c>
    </row>
    <row r="9300" spans="1:2" ht="13.2" x14ac:dyDescent="0.25">
      <c r="A9300" s="34" t="s">
        <v>2906</v>
      </c>
      <c r="B9300" s="35">
        <v>1.8305249918527799</v>
      </c>
    </row>
    <row r="9301" spans="1:2" ht="13.2" x14ac:dyDescent="0.25">
      <c r="A9301" s="34" t="s">
        <v>2905</v>
      </c>
    </row>
    <row r="9302" spans="1:2" ht="13.2" x14ac:dyDescent="0.25">
      <c r="A9302" s="34" t="s">
        <v>2904</v>
      </c>
    </row>
    <row r="9303" spans="1:2" ht="13.2" x14ac:dyDescent="0.25">
      <c r="A9303" s="34" t="s">
        <v>2903</v>
      </c>
      <c r="B9303" s="35">
        <v>1.7141413303770101</v>
      </c>
    </row>
    <row r="9304" spans="1:2" ht="13.2" x14ac:dyDescent="0.25">
      <c r="A9304" s="34" t="s">
        <v>2902</v>
      </c>
      <c r="B9304" s="35">
        <v>1.70894318668944</v>
      </c>
    </row>
    <row r="9305" spans="1:2" ht="13.2" x14ac:dyDescent="0.25">
      <c r="A9305" s="34" t="s">
        <v>2901</v>
      </c>
      <c r="B9305" s="35">
        <v>1.7245593633099401</v>
      </c>
    </row>
    <row r="9306" spans="1:2" ht="13.2" x14ac:dyDescent="0.25">
      <c r="A9306" s="34" t="s">
        <v>2900</v>
      </c>
    </row>
    <row r="9307" spans="1:2" ht="13.2" x14ac:dyDescent="0.25">
      <c r="A9307" s="34" t="s">
        <v>2899</v>
      </c>
      <c r="B9307" s="35">
        <v>1.7342800037660899</v>
      </c>
    </row>
    <row r="9308" spans="1:2" ht="13.2" x14ac:dyDescent="0.25">
      <c r="A9308" s="34" t="s">
        <v>2898</v>
      </c>
    </row>
    <row r="9309" spans="1:2" ht="13.2" x14ac:dyDescent="0.25">
      <c r="A9309" s="34" t="s">
        <v>2897</v>
      </c>
    </row>
    <row r="9310" spans="1:2" ht="13.2" x14ac:dyDescent="0.25">
      <c r="A9310" s="34" t="s">
        <v>2896</v>
      </c>
      <c r="B9310" s="35">
        <v>1.74411441475032</v>
      </c>
    </row>
    <row r="9311" spans="1:2" ht="13.2" x14ac:dyDescent="0.25">
      <c r="A9311" s="34" t="s">
        <v>2895</v>
      </c>
    </row>
    <row r="9312" spans="1:2" ht="13.2" x14ac:dyDescent="0.25">
      <c r="A9312" s="34" t="s">
        <v>2894</v>
      </c>
      <c r="B9312" s="35">
        <v>1.6699660173844599</v>
      </c>
    </row>
    <row r="9313" spans="1:2" ht="13.2" x14ac:dyDescent="0.25">
      <c r="A9313" s="34" t="s">
        <v>2893</v>
      </c>
      <c r="B9313" s="35">
        <v>1.6690082558113</v>
      </c>
    </row>
    <row r="9314" spans="1:2" ht="13.2" x14ac:dyDescent="0.25">
      <c r="A9314" s="34" t="s">
        <v>2892</v>
      </c>
      <c r="B9314" s="35">
        <v>1.6703708099494601</v>
      </c>
    </row>
    <row r="9315" spans="1:2" ht="13.2" x14ac:dyDescent="0.25">
      <c r="A9315" s="34" t="s">
        <v>2891</v>
      </c>
    </row>
    <row r="9316" spans="1:2" ht="13.2" x14ac:dyDescent="0.25">
      <c r="A9316" s="34" t="s">
        <v>2890</v>
      </c>
    </row>
    <row r="9317" spans="1:2" ht="13.2" x14ac:dyDescent="0.25">
      <c r="A9317" s="34" t="s">
        <v>2889</v>
      </c>
      <c r="B9317" s="35">
        <v>1.6783356098222799</v>
      </c>
    </row>
    <row r="9318" spans="1:2" ht="13.2" x14ac:dyDescent="0.25">
      <c r="A9318" s="34" t="s">
        <v>2888</v>
      </c>
      <c r="B9318" s="35">
        <v>1.6593955174031501</v>
      </c>
    </row>
    <row r="9319" spans="1:2" ht="13.2" x14ac:dyDescent="0.25">
      <c r="A9319" s="34" t="s">
        <v>2887</v>
      </c>
      <c r="B9319" s="35">
        <v>1.6698188271246801</v>
      </c>
    </row>
    <row r="9320" spans="1:2" ht="13.2" x14ac:dyDescent="0.25">
      <c r="A9320" s="34" t="s">
        <v>2886</v>
      </c>
      <c r="B9320" s="35">
        <v>1.62824526692537</v>
      </c>
    </row>
    <row r="9321" spans="1:2" ht="13.2" x14ac:dyDescent="0.25">
      <c r="A9321" s="34" t="s">
        <v>2885</v>
      </c>
      <c r="B9321" s="35">
        <v>1.5304761243913201</v>
      </c>
    </row>
    <row r="9322" spans="1:2" ht="13.2" x14ac:dyDescent="0.25">
      <c r="A9322" s="34" t="s">
        <v>2884</v>
      </c>
    </row>
    <row r="9323" spans="1:2" ht="13.2" x14ac:dyDescent="0.25">
      <c r="A9323" s="34" t="s">
        <v>2883</v>
      </c>
    </row>
    <row r="9324" spans="1:2" ht="13.2" x14ac:dyDescent="0.25">
      <c r="A9324" s="34" t="s">
        <v>2882</v>
      </c>
      <c r="B9324" s="35">
        <v>1.33058413103182</v>
      </c>
    </row>
    <row r="9325" spans="1:2" ht="13.2" x14ac:dyDescent="0.25">
      <c r="A9325" s="34" t="s">
        <v>2881</v>
      </c>
      <c r="B9325" s="35">
        <v>1.3649482986294701</v>
      </c>
    </row>
    <row r="9326" spans="1:2" ht="13.2" x14ac:dyDescent="0.25">
      <c r="A9326" s="34" t="s">
        <v>2880</v>
      </c>
      <c r="B9326" s="35">
        <v>1.34657726685754</v>
      </c>
    </row>
    <row r="9327" spans="1:2" ht="13.2" x14ac:dyDescent="0.25">
      <c r="A9327" s="34" t="s">
        <v>2879</v>
      </c>
      <c r="B9327" s="35">
        <v>1.31430366433816</v>
      </c>
    </row>
    <row r="9328" spans="1:2" ht="13.2" x14ac:dyDescent="0.25">
      <c r="A9328" s="34" t="s">
        <v>2878</v>
      </c>
      <c r="B9328" s="35">
        <v>1.30689042332807</v>
      </c>
    </row>
    <row r="9329" spans="1:2" ht="13.2" x14ac:dyDescent="0.25">
      <c r="A9329" s="34" t="s">
        <v>2877</v>
      </c>
    </row>
    <row r="9330" spans="1:2" ht="13.2" x14ac:dyDescent="0.25">
      <c r="A9330" s="34" t="s">
        <v>2876</v>
      </c>
    </row>
    <row r="9331" spans="1:2" ht="13.2" x14ac:dyDescent="0.25">
      <c r="A9331" s="34" t="s">
        <v>2875</v>
      </c>
      <c r="B9331" s="35">
        <v>1.3998894181111601</v>
      </c>
    </row>
    <row r="9332" spans="1:2" ht="13.2" x14ac:dyDescent="0.25">
      <c r="A9332" s="34" t="s">
        <v>2874</v>
      </c>
      <c r="B9332" s="35">
        <v>1.3011970078894199</v>
      </c>
    </row>
    <row r="9333" spans="1:2" ht="13.2" x14ac:dyDescent="0.25">
      <c r="A9333" s="34" t="s">
        <v>2873</v>
      </c>
      <c r="B9333" s="35">
        <v>1.3076985300402399</v>
      </c>
    </row>
    <row r="9334" spans="1:2" ht="13.2" x14ac:dyDescent="0.25">
      <c r="A9334" s="34" t="s">
        <v>2872</v>
      </c>
      <c r="B9334" s="35">
        <v>1.3215230015305099</v>
      </c>
    </row>
    <row r="9335" spans="1:2" ht="13.2" x14ac:dyDescent="0.25">
      <c r="A9335" s="34" t="s">
        <v>2871</v>
      </c>
      <c r="B9335" s="35">
        <v>1.3140986101846599</v>
      </c>
    </row>
    <row r="9336" spans="1:2" ht="13.2" x14ac:dyDescent="0.25">
      <c r="A9336" s="34" t="s">
        <v>2870</v>
      </c>
    </row>
    <row r="9337" spans="1:2" ht="13.2" x14ac:dyDescent="0.25">
      <c r="A9337" s="34" t="s">
        <v>2869</v>
      </c>
    </row>
    <row r="9338" spans="1:2" ht="13.2" x14ac:dyDescent="0.25">
      <c r="A9338" s="34" t="s">
        <v>2868</v>
      </c>
      <c r="B9338" s="35">
        <v>1.3202417288030299</v>
      </c>
    </row>
    <row r="9339" spans="1:2" ht="13.2" x14ac:dyDescent="0.25">
      <c r="A9339" s="34" t="s">
        <v>2867</v>
      </c>
      <c r="B9339" s="35">
        <v>1.1448868697412899</v>
      </c>
    </row>
    <row r="9340" spans="1:2" ht="13.2" x14ac:dyDescent="0.25">
      <c r="A9340" s="34" t="s">
        <v>2866</v>
      </c>
      <c r="B9340" s="35">
        <v>1.15808641755317</v>
      </c>
    </row>
    <row r="9341" spans="1:2" ht="13.2" x14ac:dyDescent="0.25">
      <c r="A9341" s="34" t="s">
        <v>2865</v>
      </c>
      <c r="B9341" s="35">
        <v>1.15292555634561</v>
      </c>
    </row>
    <row r="9342" spans="1:2" ht="13.2" x14ac:dyDescent="0.25">
      <c r="A9342" s="34" t="s">
        <v>2864</v>
      </c>
      <c r="B9342" s="35">
        <v>1.1583061828185399</v>
      </c>
    </row>
    <row r="9343" spans="1:2" ht="13.2" x14ac:dyDescent="0.25">
      <c r="A9343" s="34" t="s">
        <v>2863</v>
      </c>
    </row>
    <row r="9344" spans="1:2" ht="13.2" x14ac:dyDescent="0.25">
      <c r="A9344" s="34" t="s">
        <v>2862</v>
      </c>
    </row>
    <row r="9345" spans="1:2" ht="13.2" x14ac:dyDescent="0.25">
      <c r="A9345" s="34" t="s">
        <v>2861</v>
      </c>
    </row>
    <row r="9346" spans="1:2" ht="13.2" x14ac:dyDescent="0.25">
      <c r="A9346" s="34" t="s">
        <v>2860</v>
      </c>
    </row>
    <row r="9347" spans="1:2" ht="13.2" x14ac:dyDescent="0.25">
      <c r="A9347" s="34" t="s">
        <v>2859</v>
      </c>
      <c r="B9347" s="35">
        <v>1.12532219953255</v>
      </c>
    </row>
    <row r="9348" spans="1:2" ht="13.2" x14ac:dyDescent="0.25">
      <c r="A9348" s="34" t="s">
        <v>2858</v>
      </c>
      <c r="B9348" s="35">
        <v>1.11615512131058</v>
      </c>
    </row>
    <row r="9349" spans="1:2" ht="13.2" x14ac:dyDescent="0.25">
      <c r="A9349" s="34" t="s">
        <v>2857</v>
      </c>
      <c r="B9349" s="35">
        <v>1.1280840278153099</v>
      </c>
    </row>
    <row r="9350" spans="1:2" ht="13.2" x14ac:dyDescent="0.25">
      <c r="A9350" s="34" t="s">
        <v>2856</v>
      </c>
    </row>
    <row r="9351" spans="1:2" ht="13.2" x14ac:dyDescent="0.25">
      <c r="A9351" s="34" t="s">
        <v>2855</v>
      </c>
    </row>
    <row r="9352" spans="1:2" ht="13.2" x14ac:dyDescent="0.25">
      <c r="A9352" s="34" t="s">
        <v>2854</v>
      </c>
    </row>
    <row r="9353" spans="1:2" ht="13.2" x14ac:dyDescent="0.25">
      <c r="A9353" s="34" t="s">
        <v>2853</v>
      </c>
    </row>
    <row r="9354" spans="1:2" ht="13.2" x14ac:dyDescent="0.25">
      <c r="A9354" s="34" t="s">
        <v>2852</v>
      </c>
      <c r="B9354" s="35">
        <v>1.32513241934916</v>
      </c>
    </row>
    <row r="9355" spans="1:2" ht="13.2" x14ac:dyDescent="0.25">
      <c r="A9355" s="34" t="s">
        <v>2851</v>
      </c>
      <c r="B9355" s="35">
        <v>1.3267358482444001</v>
      </c>
    </row>
    <row r="9356" spans="1:2" ht="13.2" x14ac:dyDescent="0.25">
      <c r="A9356" s="34" t="s">
        <v>2850</v>
      </c>
      <c r="B9356" s="35">
        <v>1.32525171183422</v>
      </c>
    </row>
    <row r="9357" spans="1:2" ht="13.2" x14ac:dyDescent="0.25">
      <c r="A9357" s="34" t="s">
        <v>2849</v>
      </c>
    </row>
    <row r="9358" spans="1:2" ht="13.2" x14ac:dyDescent="0.25">
      <c r="A9358" s="34" t="s">
        <v>2848</v>
      </c>
    </row>
    <row r="9359" spans="1:2" ht="13.2" x14ac:dyDescent="0.25">
      <c r="A9359" s="34" t="s">
        <v>2847</v>
      </c>
      <c r="B9359" s="35">
        <v>1.32547776769473</v>
      </c>
    </row>
    <row r="9360" spans="1:2" ht="13.2" x14ac:dyDescent="0.25">
      <c r="A9360" s="34" t="s">
        <v>2846</v>
      </c>
      <c r="B9360" s="35">
        <v>1.2844920486437299</v>
      </c>
    </row>
    <row r="9361" spans="1:2" ht="13.2" x14ac:dyDescent="0.25">
      <c r="A9361" s="34" t="s">
        <v>2845</v>
      </c>
      <c r="B9361" s="35">
        <v>1.3259685050044201</v>
      </c>
    </row>
    <row r="9362" spans="1:2" ht="13.2" x14ac:dyDescent="0.25">
      <c r="A9362" s="34" t="s">
        <v>2844</v>
      </c>
      <c r="B9362" s="35">
        <v>1.32188977249479</v>
      </c>
    </row>
    <row r="9363" spans="1:2" ht="13.2" x14ac:dyDescent="0.25">
      <c r="A9363" s="34" t="s">
        <v>2843</v>
      </c>
      <c r="B9363" s="35">
        <v>1.30236708662149</v>
      </c>
    </row>
    <row r="9364" spans="1:2" ht="13.2" x14ac:dyDescent="0.25">
      <c r="A9364" s="34" t="s">
        <v>2842</v>
      </c>
    </row>
    <row r="9365" spans="1:2" ht="13.2" x14ac:dyDescent="0.25">
      <c r="A9365" s="34" t="s">
        <v>2841</v>
      </c>
    </row>
    <row r="9366" spans="1:2" ht="13.2" x14ac:dyDescent="0.25">
      <c r="A9366" s="34" t="s">
        <v>2840</v>
      </c>
      <c r="B9366" s="35">
        <v>1.1349117917459</v>
      </c>
    </row>
    <row r="9367" spans="1:2" ht="13.2" x14ac:dyDescent="0.25">
      <c r="A9367" s="34" t="s">
        <v>2839</v>
      </c>
      <c r="B9367" s="35">
        <v>1.1509626744300101</v>
      </c>
    </row>
    <row r="9368" spans="1:2" ht="13.2" x14ac:dyDescent="0.25">
      <c r="A9368" s="34" t="s">
        <v>2838</v>
      </c>
      <c r="B9368" s="35">
        <v>1.14967966181448</v>
      </c>
    </row>
    <row r="9369" spans="1:2" ht="13.2" x14ac:dyDescent="0.25">
      <c r="A9369" s="34" t="s">
        <v>2837</v>
      </c>
      <c r="B9369" s="35">
        <v>1.1503328137726001</v>
      </c>
    </row>
    <row r="9370" spans="1:2" ht="13.2" x14ac:dyDescent="0.25">
      <c r="A9370" s="34" t="s">
        <v>2836</v>
      </c>
      <c r="B9370" s="35">
        <v>1.13689048671255</v>
      </c>
    </row>
    <row r="9371" spans="1:2" ht="13.2" x14ac:dyDescent="0.25">
      <c r="A9371" s="34" t="s">
        <v>2835</v>
      </c>
    </row>
    <row r="9372" spans="1:2" ht="13.2" x14ac:dyDescent="0.25">
      <c r="A9372" s="34" t="s">
        <v>2834</v>
      </c>
    </row>
    <row r="9373" spans="1:2" ht="13.2" x14ac:dyDescent="0.25">
      <c r="A9373" s="34" t="s">
        <v>2833</v>
      </c>
      <c r="B9373" s="35">
        <v>1.0801987067039001</v>
      </c>
    </row>
    <row r="9374" spans="1:2" ht="13.2" x14ac:dyDescent="0.25">
      <c r="A9374" s="34" t="s">
        <v>2832</v>
      </c>
      <c r="B9374" s="35">
        <v>1.12490371940726</v>
      </c>
    </row>
    <row r="9375" spans="1:2" ht="13.2" x14ac:dyDescent="0.25">
      <c r="A9375" s="34" t="s">
        <v>2831</v>
      </c>
      <c r="B9375" s="35">
        <v>1.0906182624063401</v>
      </c>
    </row>
    <row r="9376" spans="1:2" ht="13.2" x14ac:dyDescent="0.25">
      <c r="A9376" s="34" t="s">
        <v>2830</v>
      </c>
      <c r="B9376" s="35">
        <v>1.07037532477313</v>
      </c>
    </row>
    <row r="9377" spans="1:2" ht="13.2" x14ac:dyDescent="0.25">
      <c r="A9377" s="34" t="s">
        <v>2829</v>
      </c>
    </row>
    <row r="9378" spans="1:2" ht="13.2" x14ac:dyDescent="0.25">
      <c r="A9378" s="34" t="s">
        <v>2828</v>
      </c>
    </row>
    <row r="9379" spans="1:2" ht="13.2" x14ac:dyDescent="0.25">
      <c r="A9379" s="34" t="s">
        <v>2827</v>
      </c>
    </row>
    <row r="9380" spans="1:2" ht="13.2" x14ac:dyDescent="0.25">
      <c r="A9380" s="34" t="s">
        <v>2826</v>
      </c>
      <c r="B9380" s="35">
        <v>1.2504969183333801</v>
      </c>
    </row>
    <row r="9381" spans="1:2" ht="13.2" x14ac:dyDescent="0.25">
      <c r="A9381" s="34" t="s">
        <v>2825</v>
      </c>
      <c r="B9381" s="35">
        <v>1.22406393661629</v>
      </c>
    </row>
    <row r="9382" spans="1:2" ht="13.2" x14ac:dyDescent="0.25">
      <c r="A9382" s="34" t="s">
        <v>2824</v>
      </c>
      <c r="B9382" s="35">
        <v>1.2372721592927201</v>
      </c>
    </row>
    <row r="9383" spans="1:2" ht="13.2" x14ac:dyDescent="0.25">
      <c r="A9383" s="34" t="s">
        <v>2823</v>
      </c>
      <c r="B9383" s="35">
        <v>1.13034428024074</v>
      </c>
    </row>
    <row r="9384" spans="1:2" ht="13.2" x14ac:dyDescent="0.25">
      <c r="A9384" s="34" t="s">
        <v>2822</v>
      </c>
      <c r="B9384" s="35">
        <v>0.89698342133611197</v>
      </c>
    </row>
    <row r="9385" spans="1:2" ht="13.2" x14ac:dyDescent="0.25">
      <c r="A9385" s="34" t="s">
        <v>2821</v>
      </c>
    </row>
    <row r="9386" spans="1:2" ht="13.2" x14ac:dyDescent="0.25">
      <c r="A9386" s="34" t="s">
        <v>2820</v>
      </c>
    </row>
    <row r="9387" spans="1:2" ht="13.2" x14ac:dyDescent="0.25">
      <c r="A9387" s="34" t="s">
        <v>2819</v>
      </c>
      <c r="B9387" s="35">
        <v>0.89944613084181801</v>
      </c>
    </row>
    <row r="9388" spans="1:2" ht="13.2" x14ac:dyDescent="0.25">
      <c r="A9388" s="34" t="s">
        <v>2818</v>
      </c>
      <c r="B9388" s="35">
        <v>0.91004809133849296</v>
      </c>
    </row>
    <row r="9389" spans="1:2" ht="13.2" x14ac:dyDescent="0.25">
      <c r="A9389" s="34" t="s">
        <v>2817</v>
      </c>
      <c r="B9389" s="35">
        <v>1.28038992116228</v>
      </c>
    </row>
    <row r="9390" spans="1:2" ht="13.2" x14ac:dyDescent="0.25">
      <c r="A9390" s="34" t="s">
        <v>2816</v>
      </c>
      <c r="B9390" s="35">
        <v>1.28218958065369</v>
      </c>
    </row>
    <row r="9391" spans="1:2" ht="13.2" x14ac:dyDescent="0.25">
      <c r="A9391" s="34" t="s">
        <v>2815</v>
      </c>
      <c r="B9391" s="35">
        <v>1.2470687117246599</v>
      </c>
    </row>
    <row r="9392" spans="1:2" ht="13.2" x14ac:dyDescent="0.25">
      <c r="A9392" s="34" t="s">
        <v>2814</v>
      </c>
    </row>
    <row r="9393" spans="1:2" ht="13.2" x14ac:dyDescent="0.25">
      <c r="A9393" s="34" t="s">
        <v>2813</v>
      </c>
    </row>
    <row r="9394" spans="1:2" ht="13.2" x14ac:dyDescent="0.25">
      <c r="A9394" s="34" t="s">
        <v>2812</v>
      </c>
      <c r="B9394" s="35">
        <v>1.2681063308187901</v>
      </c>
    </row>
    <row r="9395" spans="1:2" ht="13.2" x14ac:dyDescent="0.25">
      <c r="A9395" s="34" t="s">
        <v>2811</v>
      </c>
      <c r="B9395" s="35">
        <v>1.3269490187281801</v>
      </c>
    </row>
    <row r="9396" spans="1:2" ht="13.2" x14ac:dyDescent="0.25">
      <c r="A9396" s="34" t="s">
        <v>2810</v>
      </c>
      <c r="B9396" s="35">
        <v>1.3193426404549</v>
      </c>
    </row>
    <row r="9397" spans="1:2" ht="13.2" x14ac:dyDescent="0.25">
      <c r="A9397" s="34" t="s">
        <v>2809</v>
      </c>
      <c r="B9397" s="35">
        <v>1.3952051690177401</v>
      </c>
    </row>
    <row r="9398" spans="1:2" ht="13.2" x14ac:dyDescent="0.25">
      <c r="A9398" s="34" t="s">
        <v>2808</v>
      </c>
      <c r="B9398" s="35">
        <v>1.4027825446129001</v>
      </c>
    </row>
    <row r="9399" spans="1:2" ht="13.2" x14ac:dyDescent="0.25">
      <c r="A9399" s="34" t="s">
        <v>2807</v>
      </c>
    </row>
    <row r="9400" spans="1:2" ht="13.2" x14ac:dyDescent="0.25">
      <c r="A9400" s="34" t="s">
        <v>2806</v>
      </c>
    </row>
    <row r="9401" spans="1:2" ht="13.2" x14ac:dyDescent="0.25">
      <c r="A9401" s="34" t="s">
        <v>2805</v>
      </c>
      <c r="B9401" s="35">
        <v>1.4119347294379201</v>
      </c>
    </row>
    <row r="9402" spans="1:2" ht="13.2" x14ac:dyDescent="0.25">
      <c r="A9402" s="34" t="s">
        <v>2804</v>
      </c>
      <c r="B9402" s="35">
        <v>1.4249608941674701</v>
      </c>
    </row>
    <row r="9403" spans="1:2" ht="13.2" x14ac:dyDescent="0.25">
      <c r="A9403" s="34" t="s">
        <v>2803</v>
      </c>
      <c r="B9403" s="35">
        <v>1.4496096967735399</v>
      </c>
    </row>
    <row r="9404" spans="1:2" ht="13.2" x14ac:dyDescent="0.25">
      <c r="A9404" s="34" t="s">
        <v>2802</v>
      </c>
      <c r="B9404" s="35">
        <v>1.43402165741891</v>
      </c>
    </row>
    <row r="9405" spans="1:2" ht="13.2" x14ac:dyDescent="0.25">
      <c r="A9405" s="34" t="s">
        <v>2801</v>
      </c>
      <c r="B9405" s="35">
        <v>1.41184557322608</v>
      </c>
    </row>
    <row r="9406" spans="1:2" ht="13.2" x14ac:dyDescent="0.25">
      <c r="A9406" s="34" t="s">
        <v>2800</v>
      </c>
    </row>
    <row r="9407" spans="1:2" ht="13.2" x14ac:dyDescent="0.25">
      <c r="A9407" s="34" t="s">
        <v>2799</v>
      </c>
    </row>
    <row r="9408" spans="1:2" ht="13.2" x14ac:dyDescent="0.25">
      <c r="A9408" s="34" t="s">
        <v>2798</v>
      </c>
      <c r="B9408" s="35">
        <v>1.39743049053878</v>
      </c>
    </row>
    <row r="9409" spans="1:2" ht="13.2" x14ac:dyDescent="0.25">
      <c r="A9409" s="34" t="s">
        <v>2797</v>
      </c>
      <c r="B9409" s="35">
        <v>1.29649664136312</v>
      </c>
    </row>
    <row r="9410" spans="1:2" ht="13.2" x14ac:dyDescent="0.25">
      <c r="A9410" s="34" t="s">
        <v>2796</v>
      </c>
      <c r="B9410" s="35">
        <v>1.2993184841890599</v>
      </c>
    </row>
    <row r="9411" spans="1:2" ht="13.2" x14ac:dyDescent="0.25">
      <c r="A9411" s="34" t="s">
        <v>2795</v>
      </c>
      <c r="B9411" s="35">
        <v>1.32308861904136</v>
      </c>
    </row>
    <row r="9412" spans="1:2" ht="13.2" x14ac:dyDescent="0.25">
      <c r="A9412" s="34" t="s">
        <v>2794</v>
      </c>
      <c r="B9412" s="35">
        <v>1.3342749572061099</v>
      </c>
    </row>
    <row r="9413" spans="1:2" ht="13.2" x14ac:dyDescent="0.25">
      <c r="A9413" s="34" t="s">
        <v>2793</v>
      </c>
    </row>
    <row r="9414" spans="1:2" ht="13.2" x14ac:dyDescent="0.25">
      <c r="A9414" s="34" t="s">
        <v>2792</v>
      </c>
    </row>
    <row r="9415" spans="1:2" ht="13.2" x14ac:dyDescent="0.25">
      <c r="A9415" s="34" t="s">
        <v>2791</v>
      </c>
    </row>
    <row r="9416" spans="1:2" ht="13.2" x14ac:dyDescent="0.25">
      <c r="A9416" s="34" t="s">
        <v>2790</v>
      </c>
    </row>
    <row r="9417" spans="1:2" ht="13.2" x14ac:dyDescent="0.25">
      <c r="A9417" s="34" t="s">
        <v>2789</v>
      </c>
      <c r="B9417" s="35">
        <v>1.3278093425128701</v>
      </c>
    </row>
    <row r="9418" spans="1:2" ht="13.2" x14ac:dyDescent="0.25">
      <c r="A9418" s="34" t="s">
        <v>2788</v>
      </c>
      <c r="B9418" s="35">
        <v>1.31321723991075</v>
      </c>
    </row>
    <row r="9419" spans="1:2" ht="13.2" x14ac:dyDescent="0.25">
      <c r="A9419" s="34" t="s">
        <v>2787</v>
      </c>
      <c r="B9419" s="35">
        <v>1.3427999455725701</v>
      </c>
    </row>
    <row r="9420" spans="1:2" ht="13.2" x14ac:dyDescent="0.25">
      <c r="A9420" s="34" t="s">
        <v>2786</v>
      </c>
    </row>
    <row r="9421" spans="1:2" ht="13.2" x14ac:dyDescent="0.25">
      <c r="A9421" s="34" t="s">
        <v>2785</v>
      </c>
    </row>
    <row r="9422" spans="1:2" ht="13.2" x14ac:dyDescent="0.25">
      <c r="A9422" s="34" t="s">
        <v>2784</v>
      </c>
      <c r="B9422" s="35">
        <v>1.20370277744084</v>
      </c>
    </row>
    <row r="9423" spans="1:2" ht="13.2" x14ac:dyDescent="0.25">
      <c r="A9423" s="34" t="s">
        <v>2783</v>
      </c>
      <c r="B9423" s="35">
        <v>1.2030495284374001</v>
      </c>
    </row>
    <row r="9424" spans="1:2" ht="13.2" x14ac:dyDescent="0.25">
      <c r="A9424" s="34" t="s">
        <v>2782</v>
      </c>
      <c r="B9424" s="35">
        <v>1.2068796001307101</v>
      </c>
    </row>
    <row r="9425" spans="1:2" ht="13.2" x14ac:dyDescent="0.25">
      <c r="A9425" s="34" t="s">
        <v>2781</v>
      </c>
      <c r="B9425" s="35">
        <v>1.18329167359701</v>
      </c>
    </row>
    <row r="9426" spans="1:2" ht="13.2" x14ac:dyDescent="0.25">
      <c r="A9426" s="34" t="s">
        <v>2780</v>
      </c>
      <c r="B9426" s="35">
        <v>1.1260415598993301</v>
      </c>
    </row>
    <row r="9427" spans="1:2" ht="13.2" x14ac:dyDescent="0.25">
      <c r="A9427" s="34" t="s">
        <v>2779</v>
      </c>
    </row>
    <row r="9428" spans="1:2" ht="13.2" x14ac:dyDescent="0.25">
      <c r="A9428" s="34" t="s">
        <v>2778</v>
      </c>
    </row>
    <row r="9429" spans="1:2" ht="13.2" x14ac:dyDescent="0.25">
      <c r="A9429" s="34" t="s">
        <v>2777</v>
      </c>
      <c r="B9429" s="35">
        <v>1.13068063863539</v>
      </c>
    </row>
    <row r="9430" spans="1:2" ht="13.2" x14ac:dyDescent="0.25">
      <c r="A9430" s="34" t="s">
        <v>2776</v>
      </c>
      <c r="B9430" s="35">
        <v>1.0354634516316099</v>
      </c>
    </row>
    <row r="9431" spans="1:2" ht="13.2" x14ac:dyDescent="0.25">
      <c r="A9431" s="34" t="s">
        <v>2775</v>
      </c>
      <c r="B9431" s="35">
        <v>1.0897732303787799</v>
      </c>
    </row>
    <row r="9432" spans="1:2" ht="13.2" x14ac:dyDescent="0.25">
      <c r="A9432" s="34" t="s">
        <v>2774</v>
      </c>
      <c r="B9432" s="35">
        <v>1.1063736435250699</v>
      </c>
    </row>
    <row r="9433" spans="1:2" ht="13.2" x14ac:dyDescent="0.25">
      <c r="A9433" s="34" t="s">
        <v>2773</v>
      </c>
      <c r="B9433" s="35">
        <v>1.26822419950153</v>
      </c>
    </row>
    <row r="9434" spans="1:2" ht="13.2" x14ac:dyDescent="0.25">
      <c r="A9434" s="34" t="s">
        <v>2772</v>
      </c>
    </row>
    <row r="9435" spans="1:2" ht="13.2" x14ac:dyDescent="0.25">
      <c r="A9435" s="34" t="s">
        <v>2771</v>
      </c>
    </row>
    <row r="9436" spans="1:2" ht="13.2" x14ac:dyDescent="0.25">
      <c r="A9436" s="34" t="s">
        <v>2770</v>
      </c>
      <c r="B9436" s="35">
        <v>1.24941833962419</v>
      </c>
    </row>
    <row r="9437" spans="1:2" ht="13.2" x14ac:dyDescent="0.25">
      <c r="A9437" s="34" t="s">
        <v>2769</v>
      </c>
      <c r="B9437" s="35">
        <v>1.3113689272510001</v>
      </c>
    </row>
    <row r="9438" spans="1:2" ht="13.2" x14ac:dyDescent="0.25">
      <c r="A9438" s="34" t="s">
        <v>2768</v>
      </c>
      <c r="B9438" s="35">
        <v>1.4983984851121499</v>
      </c>
    </row>
    <row r="9439" spans="1:2" ht="13.2" x14ac:dyDescent="0.25">
      <c r="A9439" s="34" t="s">
        <v>2767</v>
      </c>
      <c r="B9439" s="35">
        <v>1.6288351246308901</v>
      </c>
    </row>
    <row r="9440" spans="1:2" ht="13.2" x14ac:dyDescent="0.25">
      <c r="A9440" s="34" t="s">
        <v>2766</v>
      </c>
      <c r="B9440" s="35">
        <v>1.64725478901468</v>
      </c>
    </row>
    <row r="9441" spans="1:2" ht="13.2" x14ac:dyDescent="0.25">
      <c r="A9441" s="34" t="s">
        <v>2765</v>
      </c>
    </row>
    <row r="9442" spans="1:2" ht="13.2" x14ac:dyDescent="0.25">
      <c r="A9442" s="34" t="s">
        <v>2764</v>
      </c>
    </row>
    <row r="9443" spans="1:2" ht="13.2" x14ac:dyDescent="0.25">
      <c r="A9443" s="34" t="s">
        <v>2763</v>
      </c>
      <c r="B9443" s="35">
        <v>1.6550986308195199</v>
      </c>
    </row>
    <row r="9444" spans="1:2" ht="13.2" x14ac:dyDescent="0.25">
      <c r="A9444" s="34" t="s">
        <v>2762</v>
      </c>
      <c r="B9444" s="35">
        <v>1.6149116942175901</v>
      </c>
    </row>
    <row r="9445" spans="1:2" ht="13.2" x14ac:dyDescent="0.25">
      <c r="A9445" s="34" t="s">
        <v>2761</v>
      </c>
      <c r="B9445" s="35">
        <v>1.6122774992978599</v>
      </c>
    </row>
    <row r="9446" spans="1:2" ht="13.2" x14ac:dyDescent="0.25">
      <c r="A9446" s="34" t="s">
        <v>2760</v>
      </c>
      <c r="B9446" s="35">
        <v>1.66190406780869</v>
      </c>
    </row>
    <row r="9447" spans="1:2" ht="13.2" x14ac:dyDescent="0.25">
      <c r="A9447" s="34" t="s">
        <v>2759</v>
      </c>
      <c r="B9447" s="35">
        <v>1.66927446717304</v>
      </c>
    </row>
    <row r="9448" spans="1:2" ht="13.2" x14ac:dyDescent="0.25">
      <c r="A9448" s="34" t="s">
        <v>2758</v>
      </c>
    </row>
    <row r="9449" spans="1:2" ht="13.2" x14ac:dyDescent="0.25">
      <c r="A9449" s="34" t="s">
        <v>2757</v>
      </c>
    </row>
    <row r="9450" spans="1:2" ht="13.2" x14ac:dyDescent="0.25">
      <c r="A9450" s="34" t="s">
        <v>2756</v>
      </c>
      <c r="B9450" s="35">
        <v>1.6556886753801301</v>
      </c>
    </row>
    <row r="9451" spans="1:2" ht="13.2" x14ac:dyDescent="0.25">
      <c r="A9451" s="34" t="s">
        <v>2755</v>
      </c>
      <c r="B9451" s="35">
        <v>1.55784445204376</v>
      </c>
    </row>
    <row r="9452" spans="1:2" ht="13.2" x14ac:dyDescent="0.25">
      <c r="A9452" s="34" t="s">
        <v>2754</v>
      </c>
      <c r="B9452" s="35">
        <v>1.5587525152731101</v>
      </c>
    </row>
    <row r="9453" spans="1:2" ht="13.2" x14ac:dyDescent="0.25">
      <c r="A9453" s="34" t="s">
        <v>2753</v>
      </c>
      <c r="B9453" s="35">
        <v>1.5537036788704</v>
      </c>
    </row>
    <row r="9454" spans="1:2" ht="13.2" x14ac:dyDescent="0.25">
      <c r="A9454" s="34" t="s">
        <v>2752</v>
      </c>
      <c r="B9454" s="35">
        <v>1.60268715386168</v>
      </c>
    </row>
    <row r="9455" spans="1:2" ht="13.2" x14ac:dyDescent="0.25">
      <c r="A9455" s="34" t="s">
        <v>2751</v>
      </c>
    </row>
    <row r="9456" spans="1:2" ht="13.2" x14ac:dyDescent="0.25">
      <c r="A9456" s="34" t="s">
        <v>2750</v>
      </c>
    </row>
    <row r="9457" spans="1:2" ht="13.2" x14ac:dyDescent="0.25">
      <c r="A9457" s="34" t="s">
        <v>2749</v>
      </c>
      <c r="B9457" s="35">
        <v>1.59606847930135</v>
      </c>
    </row>
    <row r="9458" spans="1:2" ht="13.2" x14ac:dyDescent="0.25">
      <c r="A9458" s="34" t="s">
        <v>2748</v>
      </c>
      <c r="B9458" s="35">
        <v>1.6164860740804201</v>
      </c>
    </row>
    <row r="9459" spans="1:2" ht="13.2" x14ac:dyDescent="0.25">
      <c r="A9459" s="34" t="s">
        <v>2747</v>
      </c>
      <c r="B9459" s="35">
        <v>1.6267269728028899</v>
      </c>
    </row>
    <row r="9460" spans="1:2" ht="13.2" x14ac:dyDescent="0.25">
      <c r="A9460" s="34" t="s">
        <v>2746</v>
      </c>
      <c r="B9460" s="35">
        <v>1.63994643155369</v>
      </c>
    </row>
    <row r="9461" spans="1:2" ht="13.2" x14ac:dyDescent="0.25">
      <c r="A9461" s="34" t="s">
        <v>2745</v>
      </c>
    </row>
    <row r="9462" spans="1:2" ht="13.2" x14ac:dyDescent="0.25">
      <c r="A9462" s="34" t="s">
        <v>2744</v>
      </c>
    </row>
    <row r="9463" spans="1:2" ht="13.2" x14ac:dyDescent="0.25">
      <c r="A9463" s="34" t="s">
        <v>2743</v>
      </c>
    </row>
    <row r="9464" spans="1:2" ht="13.2" x14ac:dyDescent="0.25">
      <c r="A9464" s="34" t="s">
        <v>2742</v>
      </c>
      <c r="B9464" s="35">
        <v>1.6178806020951</v>
      </c>
    </row>
    <row r="9465" spans="1:2" ht="13.2" x14ac:dyDescent="0.25">
      <c r="A9465" s="34" t="s">
        <v>2741</v>
      </c>
      <c r="B9465" s="35">
        <v>1.49020620432576</v>
      </c>
    </row>
    <row r="9466" spans="1:2" ht="13.2" x14ac:dyDescent="0.25">
      <c r="A9466" s="34" t="s">
        <v>2740</v>
      </c>
      <c r="B9466" s="35">
        <v>1.5067345497237401</v>
      </c>
    </row>
    <row r="9467" spans="1:2" ht="13.2" x14ac:dyDescent="0.25">
      <c r="A9467" s="34" t="s">
        <v>2739</v>
      </c>
      <c r="B9467" s="35">
        <v>1.4978398011549801</v>
      </c>
    </row>
    <row r="9468" spans="1:2" ht="13.2" x14ac:dyDescent="0.25">
      <c r="A9468" s="34" t="s">
        <v>2738</v>
      </c>
      <c r="B9468" s="35">
        <v>1.2413703832315299</v>
      </c>
    </row>
    <row r="9469" spans="1:2" ht="13.2" x14ac:dyDescent="0.25">
      <c r="A9469" s="34" t="s">
        <v>2737</v>
      </c>
    </row>
    <row r="9470" spans="1:2" ht="13.2" x14ac:dyDescent="0.25">
      <c r="A9470" s="34" t="s">
        <v>2736</v>
      </c>
    </row>
    <row r="9471" spans="1:2" ht="13.2" x14ac:dyDescent="0.25">
      <c r="A9471" s="34" t="s">
        <v>2735</v>
      </c>
      <c r="B9471" s="35">
        <v>1.1076870639926899</v>
      </c>
    </row>
    <row r="9472" spans="1:2" ht="13.2" x14ac:dyDescent="0.25">
      <c r="A9472" s="34" t="s">
        <v>2734</v>
      </c>
      <c r="B9472" s="35">
        <v>1.08453040632066</v>
      </c>
    </row>
    <row r="9473" spans="1:2" ht="13.2" x14ac:dyDescent="0.25">
      <c r="A9473" s="34" t="s">
        <v>2733</v>
      </c>
    </row>
    <row r="9474" spans="1:2" ht="13.2" x14ac:dyDescent="0.25">
      <c r="A9474" s="34" t="s">
        <v>2732</v>
      </c>
      <c r="B9474" s="35">
        <v>1.0919997252257001</v>
      </c>
    </row>
    <row r="9475" spans="1:2" ht="13.2" x14ac:dyDescent="0.25">
      <c r="A9475" s="34" t="s">
        <v>2731</v>
      </c>
      <c r="B9475" s="35">
        <v>1.0864903388232701</v>
      </c>
    </row>
    <row r="9476" spans="1:2" ht="13.2" x14ac:dyDescent="0.25">
      <c r="A9476" s="34" t="s">
        <v>2730</v>
      </c>
    </row>
    <row r="9477" spans="1:2" ht="13.2" x14ac:dyDescent="0.25">
      <c r="A9477" s="34" t="s">
        <v>2729</v>
      </c>
    </row>
    <row r="9478" spans="1:2" ht="13.2" x14ac:dyDescent="0.25">
      <c r="A9478" s="34" t="s">
        <v>2728</v>
      </c>
      <c r="B9478" s="35">
        <v>1.0912936345634401</v>
      </c>
    </row>
    <row r="9479" spans="1:2" ht="13.2" x14ac:dyDescent="0.25">
      <c r="A9479" s="34" t="s">
        <v>2727</v>
      </c>
      <c r="B9479" s="35">
        <v>1.0104406666765899</v>
      </c>
    </row>
    <row r="9480" spans="1:2" ht="13.2" x14ac:dyDescent="0.25">
      <c r="A9480" s="34" t="s">
        <v>2726</v>
      </c>
      <c r="B9480" s="35">
        <v>1.03532668906541</v>
      </c>
    </row>
    <row r="9481" spans="1:2" ht="13.2" x14ac:dyDescent="0.25">
      <c r="A9481" s="34" t="s">
        <v>2725</v>
      </c>
      <c r="B9481" s="35">
        <v>1.0447880032555299</v>
      </c>
    </row>
    <row r="9482" spans="1:2" ht="13.2" x14ac:dyDescent="0.25">
      <c r="A9482" s="34" t="s">
        <v>2724</v>
      </c>
      <c r="B9482" s="35">
        <v>1.0260181619895301</v>
      </c>
    </row>
    <row r="9483" spans="1:2" ht="13.2" x14ac:dyDescent="0.25">
      <c r="A9483" s="34" t="s">
        <v>2723</v>
      </c>
    </row>
    <row r="9484" spans="1:2" ht="13.2" x14ac:dyDescent="0.25">
      <c r="A9484" s="34" t="s">
        <v>2722</v>
      </c>
    </row>
    <row r="9485" spans="1:2" ht="13.2" x14ac:dyDescent="0.25">
      <c r="A9485" s="34" t="s">
        <v>2721</v>
      </c>
      <c r="B9485" s="35">
        <v>1.1745118375357499</v>
      </c>
    </row>
    <row r="9486" spans="1:2" ht="13.2" x14ac:dyDescent="0.25">
      <c r="A9486" s="34" t="s">
        <v>2720</v>
      </c>
      <c r="B9486" s="35">
        <v>1.1564574171945601</v>
      </c>
    </row>
    <row r="9487" spans="1:2" ht="13.2" x14ac:dyDescent="0.25">
      <c r="A9487" s="34" t="s">
        <v>2719</v>
      </c>
      <c r="B9487" s="35">
        <v>1.07916051792342</v>
      </c>
    </row>
    <row r="9488" spans="1:2" ht="13.2" x14ac:dyDescent="0.25">
      <c r="A9488" s="34" t="s">
        <v>2718</v>
      </c>
      <c r="B9488" s="35">
        <v>1.1379243879280401</v>
      </c>
    </row>
    <row r="9489" spans="1:2" ht="13.2" x14ac:dyDescent="0.25">
      <c r="A9489" s="34" t="s">
        <v>2717</v>
      </c>
      <c r="B9489" s="35">
        <v>1.0861527409370799</v>
      </c>
    </row>
    <row r="9490" spans="1:2" ht="13.2" x14ac:dyDescent="0.25">
      <c r="A9490" s="34" t="s">
        <v>2716</v>
      </c>
    </row>
    <row r="9491" spans="1:2" ht="13.2" x14ac:dyDescent="0.25">
      <c r="A9491" s="34" t="s">
        <v>2715</v>
      </c>
    </row>
    <row r="9492" spans="1:2" ht="13.2" x14ac:dyDescent="0.25">
      <c r="A9492" s="34" t="s">
        <v>2714</v>
      </c>
      <c r="B9492" s="35">
        <v>1.1813700857632601</v>
      </c>
    </row>
    <row r="9493" spans="1:2" ht="13.2" x14ac:dyDescent="0.25">
      <c r="A9493" s="34" t="s">
        <v>2713</v>
      </c>
      <c r="B9493" s="35">
        <v>1.2949296534374899</v>
      </c>
    </row>
    <row r="9494" spans="1:2" ht="13.2" x14ac:dyDescent="0.25">
      <c r="A9494" s="34" t="s">
        <v>2712</v>
      </c>
      <c r="B9494" s="35">
        <v>1.2952162377146901</v>
      </c>
    </row>
    <row r="9495" spans="1:2" ht="13.2" x14ac:dyDescent="0.25">
      <c r="A9495" s="34" t="s">
        <v>2711</v>
      </c>
      <c r="B9495" s="35">
        <v>1.2570906355615199</v>
      </c>
    </row>
    <row r="9496" spans="1:2" ht="13.2" x14ac:dyDescent="0.25">
      <c r="A9496" s="34" t="s">
        <v>2710</v>
      </c>
      <c r="B9496" s="35">
        <v>1.24413017899734</v>
      </c>
    </row>
    <row r="9497" spans="1:2" ht="13.2" x14ac:dyDescent="0.25">
      <c r="A9497" s="34" t="s">
        <v>2709</v>
      </c>
    </row>
    <row r="9498" spans="1:2" ht="13.2" x14ac:dyDescent="0.25">
      <c r="A9498" s="34" t="s">
        <v>2708</v>
      </c>
    </row>
    <row r="9499" spans="1:2" ht="13.2" x14ac:dyDescent="0.25">
      <c r="A9499" s="34" t="s">
        <v>2707</v>
      </c>
      <c r="B9499" s="35">
        <v>1.22804240844881</v>
      </c>
    </row>
    <row r="9500" spans="1:2" ht="13.2" x14ac:dyDescent="0.25">
      <c r="A9500" s="34" t="s">
        <v>2706</v>
      </c>
      <c r="B9500" s="35">
        <v>1.2797995992521101</v>
      </c>
    </row>
    <row r="9501" spans="1:2" ht="13.2" x14ac:dyDescent="0.25">
      <c r="A9501" s="34" t="s">
        <v>2705</v>
      </c>
      <c r="B9501" s="35">
        <v>1.28026712435381</v>
      </c>
    </row>
    <row r="9502" spans="1:2" ht="13.2" x14ac:dyDescent="0.25">
      <c r="A9502" s="34" t="s">
        <v>2704</v>
      </c>
      <c r="B9502" s="35">
        <v>1.29498102702606</v>
      </c>
    </row>
    <row r="9503" spans="1:2" ht="13.2" x14ac:dyDescent="0.25">
      <c r="A9503" s="34" t="s">
        <v>2703</v>
      </c>
      <c r="B9503" s="35">
        <v>1.2833313723692401</v>
      </c>
    </row>
    <row r="9504" spans="1:2" ht="13.2" x14ac:dyDescent="0.25">
      <c r="A9504" s="34" t="s">
        <v>2702</v>
      </c>
    </row>
    <row r="9505" spans="1:2" ht="13.2" x14ac:dyDescent="0.25">
      <c r="A9505" s="34" t="s">
        <v>2701</v>
      </c>
    </row>
    <row r="9506" spans="1:2" ht="13.2" x14ac:dyDescent="0.25">
      <c r="A9506" s="34" t="s">
        <v>2700</v>
      </c>
      <c r="B9506" s="35">
        <v>1.27967226508651</v>
      </c>
    </row>
    <row r="9507" spans="1:2" ht="13.2" x14ac:dyDescent="0.25">
      <c r="A9507" s="34" t="s">
        <v>2699</v>
      </c>
      <c r="B9507" s="35">
        <v>1.25613161197455</v>
      </c>
    </row>
    <row r="9508" spans="1:2" ht="13.2" x14ac:dyDescent="0.25">
      <c r="A9508" s="34" t="s">
        <v>2698</v>
      </c>
      <c r="B9508" s="35">
        <v>1.2907722537994799</v>
      </c>
    </row>
    <row r="9509" spans="1:2" ht="13.2" x14ac:dyDescent="0.25">
      <c r="A9509" s="34" t="s">
        <v>2697</v>
      </c>
      <c r="B9509" s="35">
        <v>1.2897089083364599</v>
      </c>
    </row>
    <row r="9510" spans="1:2" ht="13.2" x14ac:dyDescent="0.25">
      <c r="A9510" s="34" t="s">
        <v>2696</v>
      </c>
      <c r="B9510" s="35">
        <v>1.2776072068717601</v>
      </c>
    </row>
    <row r="9511" spans="1:2" ht="13.2" x14ac:dyDescent="0.25">
      <c r="A9511" s="34" t="s">
        <v>2695</v>
      </c>
    </row>
    <row r="9512" spans="1:2" ht="13.2" x14ac:dyDescent="0.25">
      <c r="A9512" s="34" t="s">
        <v>2694</v>
      </c>
    </row>
    <row r="9513" spans="1:2" ht="13.2" x14ac:dyDescent="0.25">
      <c r="A9513" s="34" t="s">
        <v>2693</v>
      </c>
      <c r="B9513" s="35">
        <v>1.2722208282480301</v>
      </c>
    </row>
    <row r="9514" spans="1:2" ht="13.2" x14ac:dyDescent="0.25">
      <c r="A9514" s="34" t="s">
        <v>2692</v>
      </c>
      <c r="B9514" s="35">
        <v>1.1194580103207801</v>
      </c>
    </row>
    <row r="9515" spans="1:2" ht="13.2" x14ac:dyDescent="0.25">
      <c r="A9515" s="34" t="s">
        <v>2691</v>
      </c>
      <c r="B9515" s="35">
        <v>1.1408112337762899</v>
      </c>
    </row>
    <row r="9516" spans="1:2" ht="13.2" x14ac:dyDescent="0.25">
      <c r="A9516" s="34" t="s">
        <v>2690</v>
      </c>
      <c r="B9516" s="35">
        <v>1.1253890007318399</v>
      </c>
    </row>
    <row r="9517" spans="1:2" ht="13.2" x14ac:dyDescent="0.25">
      <c r="A9517" s="34" t="s">
        <v>2689</v>
      </c>
      <c r="B9517" s="35">
        <v>1.0490789021759499</v>
      </c>
    </row>
    <row r="9518" spans="1:2" ht="13.2" x14ac:dyDescent="0.25">
      <c r="A9518" s="34" t="s">
        <v>2688</v>
      </c>
    </row>
    <row r="9519" spans="1:2" ht="13.2" x14ac:dyDescent="0.25">
      <c r="A9519" s="34" t="s">
        <v>2687</v>
      </c>
    </row>
    <row r="9520" spans="1:2" ht="13.2" x14ac:dyDescent="0.25">
      <c r="A9520" s="34" t="s">
        <v>2686</v>
      </c>
      <c r="B9520" s="35">
        <v>1.06072636810544</v>
      </c>
    </row>
    <row r="9521" spans="1:2" ht="13.2" x14ac:dyDescent="0.25">
      <c r="A9521" s="34" t="s">
        <v>2685</v>
      </c>
      <c r="B9521" s="35">
        <v>1.03487372604668</v>
      </c>
    </row>
    <row r="9522" spans="1:2" ht="13.2" x14ac:dyDescent="0.25">
      <c r="A9522" s="34" t="s">
        <v>2684</v>
      </c>
      <c r="B9522" s="35">
        <v>0.89459646580188301</v>
      </c>
    </row>
    <row r="9523" spans="1:2" ht="13.2" x14ac:dyDescent="0.25">
      <c r="A9523" s="34" t="s">
        <v>2683</v>
      </c>
    </row>
    <row r="9524" spans="1:2" ht="13.2" x14ac:dyDescent="0.25">
      <c r="A9524" s="34" t="s">
        <v>2682</v>
      </c>
      <c r="B9524" s="35">
        <v>0.93945932544676503</v>
      </c>
    </row>
    <row r="9525" spans="1:2" ht="13.2" x14ac:dyDescent="0.25">
      <c r="A9525" s="34" t="s">
        <v>2681</v>
      </c>
    </row>
    <row r="9526" spans="1:2" ht="13.2" x14ac:dyDescent="0.25">
      <c r="A9526" s="34" t="s">
        <v>2680</v>
      </c>
    </row>
    <row r="9527" spans="1:2" ht="13.2" x14ac:dyDescent="0.25">
      <c r="A9527" s="34" t="s">
        <v>2679</v>
      </c>
      <c r="B9527" s="35">
        <v>0.92249068513804999</v>
      </c>
    </row>
    <row r="9528" spans="1:2" ht="13.2" x14ac:dyDescent="0.25">
      <c r="A9528" s="34" t="s">
        <v>2678</v>
      </c>
      <c r="B9528" s="35">
        <v>1.0464486546419001</v>
      </c>
    </row>
    <row r="9529" spans="1:2" ht="13.2" x14ac:dyDescent="0.25">
      <c r="A9529" s="34" t="s">
        <v>2677</v>
      </c>
      <c r="B9529" s="35">
        <v>1.02385279137358</v>
      </c>
    </row>
    <row r="9530" spans="1:2" ht="13.2" x14ac:dyDescent="0.25">
      <c r="A9530" s="34" t="s">
        <v>2676</v>
      </c>
      <c r="B9530" s="35">
        <v>0.97932006681946104</v>
      </c>
    </row>
    <row r="9531" spans="1:2" ht="13.2" x14ac:dyDescent="0.25">
      <c r="A9531" s="34" t="s">
        <v>2675</v>
      </c>
      <c r="B9531" s="35">
        <v>0.97931983211320395</v>
      </c>
    </row>
    <row r="9532" spans="1:2" ht="13.2" x14ac:dyDescent="0.25">
      <c r="A9532" s="34" t="s">
        <v>2674</v>
      </c>
    </row>
    <row r="9533" spans="1:2" ht="13.2" x14ac:dyDescent="0.25">
      <c r="A9533" s="34" t="s">
        <v>2673</v>
      </c>
    </row>
    <row r="9534" spans="1:2" ht="13.2" x14ac:dyDescent="0.25">
      <c r="A9534" s="34" t="s">
        <v>2672</v>
      </c>
      <c r="B9534" s="35">
        <v>0.96680290173369499</v>
      </c>
    </row>
    <row r="9535" spans="1:2" ht="13.2" x14ac:dyDescent="0.25">
      <c r="A9535" s="34" t="s">
        <v>2671</v>
      </c>
      <c r="B9535" s="35">
        <v>0.97812866716084401</v>
      </c>
    </row>
    <row r="9536" spans="1:2" ht="13.2" x14ac:dyDescent="0.25">
      <c r="A9536" s="34" t="s">
        <v>2670</v>
      </c>
      <c r="B9536" s="35">
        <v>1.0138765997797099</v>
      </c>
    </row>
    <row r="9537" spans="1:2" ht="13.2" x14ac:dyDescent="0.25">
      <c r="A9537" s="34" t="s">
        <v>2669</v>
      </c>
      <c r="B9537" s="35">
        <v>1.05329245114356</v>
      </c>
    </row>
    <row r="9538" spans="1:2" ht="13.2" x14ac:dyDescent="0.25">
      <c r="A9538" s="34" t="s">
        <v>2668</v>
      </c>
      <c r="B9538" s="35">
        <v>0.97640992890013301</v>
      </c>
    </row>
    <row r="9539" spans="1:2" ht="13.2" x14ac:dyDescent="0.25">
      <c r="A9539" s="34" t="s">
        <v>2667</v>
      </c>
    </row>
    <row r="9540" spans="1:2" ht="13.2" x14ac:dyDescent="0.25">
      <c r="A9540" s="34" t="s">
        <v>2666</v>
      </c>
    </row>
    <row r="9541" spans="1:2" ht="13.2" x14ac:dyDescent="0.25">
      <c r="A9541" s="34" t="s">
        <v>2665</v>
      </c>
      <c r="B9541" s="35">
        <v>0.95633226018898099</v>
      </c>
    </row>
    <row r="9542" spans="1:2" ht="13.2" x14ac:dyDescent="0.25">
      <c r="A9542" s="34" t="s">
        <v>2664</v>
      </c>
    </row>
    <row r="9543" spans="1:2" ht="13.2" x14ac:dyDescent="0.25">
      <c r="A9543" s="34" t="s">
        <v>2663</v>
      </c>
      <c r="B9543" s="35">
        <v>0.97374338158320595</v>
      </c>
    </row>
    <row r="9544" spans="1:2" ht="13.2" x14ac:dyDescent="0.25">
      <c r="A9544" s="34" t="s">
        <v>2662</v>
      </c>
      <c r="B9544" s="35">
        <v>0.98584776387982198</v>
      </c>
    </row>
    <row r="9545" spans="1:2" ht="13.2" x14ac:dyDescent="0.25">
      <c r="A9545" s="34" t="s">
        <v>2661</v>
      </c>
      <c r="B9545" s="35">
        <v>1.00350032291262</v>
      </c>
    </row>
    <row r="9546" spans="1:2" ht="13.2" x14ac:dyDescent="0.25">
      <c r="A9546" s="34" t="s">
        <v>2660</v>
      </c>
    </row>
    <row r="9547" spans="1:2" ht="13.2" x14ac:dyDescent="0.25">
      <c r="A9547" s="34" t="s">
        <v>2659</v>
      </c>
    </row>
    <row r="9548" spans="1:2" ht="13.2" x14ac:dyDescent="0.25">
      <c r="A9548" s="34" t="s">
        <v>2658</v>
      </c>
      <c r="B9548" s="35">
        <v>0.986439882897298</v>
      </c>
    </row>
    <row r="9549" spans="1:2" ht="13.2" x14ac:dyDescent="0.25">
      <c r="A9549" s="34" t="s">
        <v>2657</v>
      </c>
      <c r="B9549" s="35">
        <v>0.98719024337162797</v>
      </c>
    </row>
    <row r="9550" spans="1:2" ht="13.2" x14ac:dyDescent="0.25">
      <c r="A9550" s="34" t="s">
        <v>2656</v>
      </c>
      <c r="B9550" s="35">
        <v>0.96230850031922199</v>
      </c>
    </row>
    <row r="9551" spans="1:2" ht="13.2" x14ac:dyDescent="0.25">
      <c r="A9551" s="34" t="s">
        <v>2655</v>
      </c>
      <c r="B9551" s="35">
        <v>0.95548402147181499</v>
      </c>
    </row>
    <row r="9552" spans="1:2" ht="13.2" x14ac:dyDescent="0.25">
      <c r="A9552" s="34" t="s">
        <v>2654</v>
      </c>
      <c r="B9552" s="35">
        <v>0.95005499954484396</v>
      </c>
    </row>
    <row r="9553" spans="1:2" ht="13.2" x14ac:dyDescent="0.25">
      <c r="A9553" s="34" t="s">
        <v>2653</v>
      </c>
    </row>
    <row r="9554" spans="1:2" ht="13.2" x14ac:dyDescent="0.25">
      <c r="A9554" s="34" t="s">
        <v>2652</v>
      </c>
    </row>
    <row r="9555" spans="1:2" ht="13.2" x14ac:dyDescent="0.25">
      <c r="A9555" s="34" t="s">
        <v>2651</v>
      </c>
      <c r="B9555" s="35">
        <v>0.93869117089825505</v>
      </c>
    </row>
    <row r="9556" spans="1:2" ht="13.2" x14ac:dyDescent="0.25">
      <c r="A9556" s="34" t="s">
        <v>2650</v>
      </c>
      <c r="B9556" s="35">
        <v>0.87461953068039799</v>
      </c>
    </row>
    <row r="9557" spans="1:2" ht="13.2" x14ac:dyDescent="0.25">
      <c r="A9557" s="34" t="s">
        <v>2649</v>
      </c>
      <c r="B9557" s="35">
        <v>0.87738465788504305</v>
      </c>
    </row>
    <row r="9558" spans="1:2" ht="13.2" x14ac:dyDescent="0.25">
      <c r="A9558" s="34" t="s">
        <v>2648</v>
      </c>
      <c r="B9558" s="35">
        <v>0.82142101031828796</v>
      </c>
    </row>
    <row r="9559" spans="1:2" ht="13.2" x14ac:dyDescent="0.25">
      <c r="A9559" s="34" t="s">
        <v>2647</v>
      </c>
      <c r="B9559" s="35">
        <v>0.81434580743495699</v>
      </c>
    </row>
    <row r="9560" spans="1:2" ht="13.2" x14ac:dyDescent="0.25">
      <c r="A9560" s="34" t="s">
        <v>2646</v>
      </c>
    </row>
    <row r="9561" spans="1:2" ht="13.2" x14ac:dyDescent="0.25">
      <c r="A9561" s="34" t="s">
        <v>2645</v>
      </c>
    </row>
    <row r="9562" spans="1:2" ht="13.2" x14ac:dyDescent="0.25">
      <c r="A9562" s="34" t="s">
        <v>2644</v>
      </c>
      <c r="B9562" s="35">
        <v>0.822717481881024</v>
      </c>
    </row>
    <row r="9563" spans="1:2" ht="13.2" x14ac:dyDescent="0.25">
      <c r="A9563" s="34" t="s">
        <v>2643</v>
      </c>
      <c r="B9563" s="35">
        <v>0.83468122195328798</v>
      </c>
    </row>
    <row r="9564" spans="1:2" ht="13.2" x14ac:dyDescent="0.25">
      <c r="A9564" s="34" t="s">
        <v>2642</v>
      </c>
      <c r="B9564" s="35">
        <v>0.87074063477032304</v>
      </c>
    </row>
    <row r="9565" spans="1:2" ht="13.2" x14ac:dyDescent="0.25">
      <c r="A9565" s="34" t="s">
        <v>2641</v>
      </c>
      <c r="B9565" s="35">
        <v>0.85533031481835997</v>
      </c>
    </row>
    <row r="9566" spans="1:2" ht="13.2" x14ac:dyDescent="0.25">
      <c r="A9566" s="34" t="s">
        <v>2640</v>
      </c>
      <c r="B9566" s="35">
        <v>0.80601154385864404</v>
      </c>
    </row>
    <row r="9567" spans="1:2" ht="13.2" x14ac:dyDescent="0.25">
      <c r="A9567" s="34" t="s">
        <v>2639</v>
      </c>
    </row>
    <row r="9568" spans="1:2" ht="13.2" x14ac:dyDescent="0.25">
      <c r="A9568" s="34" t="s">
        <v>2638</v>
      </c>
    </row>
    <row r="9569" spans="1:2" ht="13.2" x14ac:dyDescent="0.25">
      <c r="A9569" s="34" t="s">
        <v>2637</v>
      </c>
      <c r="B9569" s="35">
        <v>0.90811314073880001</v>
      </c>
    </row>
    <row r="9570" spans="1:2" ht="13.2" x14ac:dyDescent="0.25">
      <c r="A9570" s="34" t="s">
        <v>2636</v>
      </c>
      <c r="B9570" s="35">
        <v>1.02189708852226</v>
      </c>
    </row>
    <row r="9571" spans="1:2" ht="13.2" x14ac:dyDescent="0.25">
      <c r="A9571" s="34" t="s">
        <v>2635</v>
      </c>
      <c r="B9571" s="35">
        <v>1.0271550734825401</v>
      </c>
    </row>
    <row r="9572" spans="1:2" ht="13.2" x14ac:dyDescent="0.25">
      <c r="A9572" s="34" t="s">
        <v>2634</v>
      </c>
      <c r="B9572" s="35">
        <v>1.03136202315527</v>
      </c>
    </row>
    <row r="9573" spans="1:2" ht="13.2" x14ac:dyDescent="0.25">
      <c r="A9573" s="34" t="s">
        <v>2633</v>
      </c>
      <c r="B9573" s="35">
        <v>1.0234788539928601</v>
      </c>
    </row>
    <row r="9574" spans="1:2" ht="13.2" x14ac:dyDescent="0.25">
      <c r="A9574" s="34" t="s">
        <v>2632</v>
      </c>
    </row>
    <row r="9575" spans="1:2" ht="13.2" x14ac:dyDescent="0.25">
      <c r="A9575" s="34" t="s">
        <v>2631</v>
      </c>
    </row>
    <row r="9576" spans="1:2" ht="13.2" x14ac:dyDescent="0.25">
      <c r="A9576" s="34" t="s">
        <v>2630</v>
      </c>
      <c r="B9576" s="35">
        <v>1.08415724168588</v>
      </c>
    </row>
    <row r="9577" spans="1:2" ht="13.2" x14ac:dyDescent="0.25">
      <c r="A9577" s="34" t="s">
        <v>2629</v>
      </c>
      <c r="B9577" s="35">
        <v>1.12881543214874</v>
      </c>
    </row>
    <row r="9578" spans="1:2" ht="13.2" x14ac:dyDescent="0.25">
      <c r="A9578" s="34" t="s">
        <v>2628</v>
      </c>
      <c r="B9578" s="35">
        <v>1.30110739452413</v>
      </c>
    </row>
    <row r="9579" spans="1:2" ht="13.2" x14ac:dyDescent="0.25">
      <c r="A9579" s="34" t="s">
        <v>2627</v>
      </c>
      <c r="B9579" s="35">
        <v>1.31916902420476</v>
      </c>
    </row>
    <row r="9580" spans="1:2" ht="13.2" x14ac:dyDescent="0.25">
      <c r="A9580" s="34" t="s">
        <v>2626</v>
      </c>
      <c r="B9580" s="35">
        <v>1.3163794984828501</v>
      </c>
    </row>
    <row r="9581" spans="1:2" ht="13.2" x14ac:dyDescent="0.25">
      <c r="A9581" s="34" t="s">
        <v>2625</v>
      </c>
    </row>
    <row r="9582" spans="1:2" ht="13.2" x14ac:dyDescent="0.25">
      <c r="A9582" s="34" t="s">
        <v>2624</v>
      </c>
    </row>
    <row r="9583" spans="1:2" ht="13.2" x14ac:dyDescent="0.25">
      <c r="A9583" s="34" t="s">
        <v>2623</v>
      </c>
      <c r="B9583" s="35">
        <v>1.29728533706024</v>
      </c>
    </row>
    <row r="9584" spans="1:2" ht="13.2" x14ac:dyDescent="0.25">
      <c r="A9584" s="34" t="s">
        <v>2622</v>
      </c>
      <c r="B9584" s="35">
        <v>1.2882876320386001</v>
      </c>
    </row>
    <row r="9585" spans="1:2" ht="13.2" x14ac:dyDescent="0.25">
      <c r="A9585" s="34" t="s">
        <v>2621</v>
      </c>
      <c r="B9585" s="35">
        <v>1.3745822160614301</v>
      </c>
    </row>
    <row r="9586" spans="1:2" ht="13.2" x14ac:dyDescent="0.25">
      <c r="A9586" s="34" t="s">
        <v>2620</v>
      </c>
      <c r="B9586" s="35">
        <v>1.3882136999907599</v>
      </c>
    </row>
    <row r="9587" spans="1:2" ht="13.2" x14ac:dyDescent="0.25">
      <c r="A9587" s="34" t="s">
        <v>2619</v>
      </c>
      <c r="B9587" s="35">
        <v>1.44481884752149</v>
      </c>
    </row>
    <row r="9588" spans="1:2" ht="13.2" x14ac:dyDescent="0.25">
      <c r="A9588" s="34" t="s">
        <v>2618</v>
      </c>
    </row>
    <row r="9589" spans="1:2" ht="13.2" x14ac:dyDescent="0.25">
      <c r="A9589" s="34" t="s">
        <v>2617</v>
      </c>
    </row>
    <row r="9590" spans="1:2" ht="13.2" x14ac:dyDescent="0.25">
      <c r="A9590" s="34" t="s">
        <v>2616</v>
      </c>
      <c r="B9590" s="35">
        <v>1.45895338327487</v>
      </c>
    </row>
    <row r="9591" spans="1:2" ht="13.2" x14ac:dyDescent="0.25">
      <c r="A9591" s="34" t="s">
        <v>2615</v>
      </c>
      <c r="B9591" s="35">
        <v>1.4672660257652601</v>
      </c>
    </row>
    <row r="9592" spans="1:2" ht="13.2" x14ac:dyDescent="0.25">
      <c r="A9592" s="34" t="s">
        <v>2614</v>
      </c>
      <c r="B9592" s="35">
        <v>1.49029704636945</v>
      </c>
    </row>
    <row r="9593" spans="1:2" ht="13.2" x14ac:dyDescent="0.25">
      <c r="A9593" s="34" t="s">
        <v>2613</v>
      </c>
      <c r="B9593" s="35">
        <v>1.5764037823844499</v>
      </c>
    </row>
    <row r="9594" spans="1:2" ht="13.2" x14ac:dyDescent="0.25">
      <c r="A9594" s="34" t="s">
        <v>2612</v>
      </c>
      <c r="B9594" s="35">
        <v>1.58122209886568</v>
      </c>
    </row>
    <row r="9595" spans="1:2" ht="13.2" x14ac:dyDescent="0.25">
      <c r="A9595" s="34" t="s">
        <v>2611</v>
      </c>
    </row>
    <row r="9596" spans="1:2" ht="13.2" x14ac:dyDescent="0.25">
      <c r="A9596" s="34" t="s">
        <v>2610</v>
      </c>
    </row>
    <row r="9597" spans="1:2" ht="13.2" x14ac:dyDescent="0.25">
      <c r="A9597" s="34" t="s">
        <v>2609</v>
      </c>
      <c r="B9597" s="35">
        <v>1.5783760596009</v>
      </c>
    </row>
    <row r="9598" spans="1:2" ht="13.2" x14ac:dyDescent="0.25">
      <c r="A9598" s="34" t="s">
        <v>2608</v>
      </c>
      <c r="B9598" s="35">
        <v>1.49071212142565</v>
      </c>
    </row>
    <row r="9599" spans="1:2" ht="13.2" x14ac:dyDescent="0.25">
      <c r="A9599" s="34" t="s">
        <v>2607</v>
      </c>
      <c r="B9599" s="35">
        <v>1.45819363589262</v>
      </c>
    </row>
    <row r="9600" spans="1:2" ht="13.2" x14ac:dyDescent="0.25">
      <c r="A9600" s="34" t="s">
        <v>2606</v>
      </c>
      <c r="B9600" s="35">
        <v>1.4704036695760501</v>
      </c>
    </row>
    <row r="9601" spans="1:2" ht="13.2" x14ac:dyDescent="0.25">
      <c r="A9601" s="34" t="s">
        <v>2605</v>
      </c>
      <c r="B9601" s="35">
        <v>1.44892366509937</v>
      </c>
    </row>
    <row r="9602" spans="1:2" ht="13.2" x14ac:dyDescent="0.25">
      <c r="A9602" s="34" t="s">
        <v>2604</v>
      </c>
    </row>
    <row r="9603" spans="1:2" ht="13.2" x14ac:dyDescent="0.25">
      <c r="A9603" s="34" t="s">
        <v>2603</v>
      </c>
    </row>
    <row r="9604" spans="1:2" ht="13.2" x14ac:dyDescent="0.25">
      <c r="A9604" s="34" t="s">
        <v>2602</v>
      </c>
      <c r="B9604" s="35">
        <v>1.45023939617549</v>
      </c>
    </row>
    <row r="9605" spans="1:2" ht="13.2" x14ac:dyDescent="0.25">
      <c r="A9605" s="34" t="s">
        <v>2601</v>
      </c>
      <c r="B9605" s="35">
        <v>1.37789491843664</v>
      </c>
    </row>
    <row r="9606" spans="1:2" ht="13.2" x14ac:dyDescent="0.25">
      <c r="A9606" s="34" t="s">
        <v>2600</v>
      </c>
      <c r="B9606" s="35">
        <v>1.34849737763554</v>
      </c>
    </row>
    <row r="9607" spans="1:2" ht="13.2" x14ac:dyDescent="0.25">
      <c r="A9607" s="34" t="s">
        <v>2599</v>
      </c>
      <c r="B9607" s="35">
        <v>1.17183550135912</v>
      </c>
    </row>
    <row r="9608" spans="1:2" ht="13.2" x14ac:dyDescent="0.25">
      <c r="A9608" s="34" t="s">
        <v>2598</v>
      </c>
      <c r="B9608" s="35">
        <v>1.1524945864419001</v>
      </c>
    </row>
    <row r="9609" spans="1:2" ht="13.2" x14ac:dyDescent="0.25">
      <c r="A9609" s="34" t="s">
        <v>2597</v>
      </c>
    </row>
    <row r="9610" spans="1:2" ht="13.2" x14ac:dyDescent="0.25">
      <c r="A9610" s="34" t="s">
        <v>2596</v>
      </c>
    </row>
    <row r="9611" spans="1:2" ht="13.2" x14ac:dyDescent="0.25">
      <c r="A9611" s="34" t="s">
        <v>2595</v>
      </c>
      <c r="B9611" s="35">
        <v>1.14572836624189</v>
      </c>
    </row>
    <row r="9612" spans="1:2" ht="13.2" x14ac:dyDescent="0.25">
      <c r="A9612" s="34" t="s">
        <v>2594</v>
      </c>
      <c r="B9612" s="35">
        <v>1.149499246275</v>
      </c>
    </row>
    <row r="9613" spans="1:2" ht="13.2" x14ac:dyDescent="0.25">
      <c r="A9613" s="34" t="s">
        <v>2593</v>
      </c>
      <c r="B9613" s="35">
        <v>1.1465166020245401</v>
      </c>
    </row>
    <row r="9614" spans="1:2" ht="13.2" x14ac:dyDescent="0.25">
      <c r="A9614" s="34" t="s">
        <v>2592</v>
      </c>
      <c r="B9614" s="35">
        <v>1.0786695604448899</v>
      </c>
    </row>
    <row r="9615" spans="1:2" ht="13.2" x14ac:dyDescent="0.25">
      <c r="A9615" s="34" t="s">
        <v>2591</v>
      </c>
      <c r="B9615" s="35">
        <v>1.03616444646293</v>
      </c>
    </row>
    <row r="9616" spans="1:2" ht="13.2" x14ac:dyDescent="0.25">
      <c r="A9616" s="34" t="s">
        <v>2590</v>
      </c>
    </row>
    <row r="9617" spans="1:2" ht="13.2" x14ac:dyDescent="0.25">
      <c r="A9617" s="34" t="s">
        <v>2589</v>
      </c>
    </row>
    <row r="9618" spans="1:2" ht="13.2" x14ac:dyDescent="0.25">
      <c r="A9618" s="34" t="s">
        <v>2588</v>
      </c>
      <c r="B9618" s="35">
        <v>0.856238333298039</v>
      </c>
    </row>
    <row r="9619" spans="1:2" ht="13.2" x14ac:dyDescent="0.25">
      <c r="A9619" s="34" t="s">
        <v>2587</v>
      </c>
      <c r="B9619" s="35">
        <v>0.81244308567256796</v>
      </c>
    </row>
    <row r="9620" spans="1:2" ht="13.2" x14ac:dyDescent="0.25">
      <c r="A9620" s="34" t="s">
        <v>2586</v>
      </c>
      <c r="B9620" s="35">
        <v>0.805569420154154</v>
      </c>
    </row>
    <row r="9621" spans="1:2" ht="13.2" x14ac:dyDescent="0.25">
      <c r="A9621" s="34" t="s">
        <v>2585</v>
      </c>
      <c r="B9621" s="35">
        <v>0.80091785293848305</v>
      </c>
    </row>
    <row r="9622" spans="1:2" ht="13.2" x14ac:dyDescent="0.25">
      <c r="A9622" s="34" t="s">
        <v>2584</v>
      </c>
      <c r="B9622" s="35">
        <v>0.66272112849565701</v>
      </c>
    </row>
    <row r="9623" spans="1:2" ht="13.2" x14ac:dyDescent="0.25">
      <c r="A9623" s="34" t="s">
        <v>2583</v>
      </c>
    </row>
    <row r="9624" spans="1:2" ht="13.2" x14ac:dyDescent="0.25">
      <c r="A9624" s="34" t="s">
        <v>2582</v>
      </c>
    </row>
    <row r="9625" spans="1:2" ht="13.2" x14ac:dyDescent="0.25">
      <c r="A9625" s="34" t="s">
        <v>2581</v>
      </c>
      <c r="B9625" s="35">
        <v>0.66582898722851402</v>
      </c>
    </row>
    <row r="9626" spans="1:2" ht="13.2" x14ac:dyDescent="0.25">
      <c r="A9626" s="34" t="s">
        <v>2580</v>
      </c>
      <c r="B9626" s="35">
        <v>0.67464901893459805</v>
      </c>
    </row>
    <row r="9627" spans="1:2" ht="13.2" x14ac:dyDescent="0.25">
      <c r="A9627" s="34" t="s">
        <v>2579</v>
      </c>
      <c r="B9627" s="35">
        <v>0.931321478819506</v>
      </c>
    </row>
    <row r="9628" spans="1:2" ht="13.2" x14ac:dyDescent="0.25">
      <c r="A9628" s="34" t="s">
        <v>2578</v>
      </c>
      <c r="B9628" s="35">
        <v>0.87658062813614102</v>
      </c>
    </row>
    <row r="9629" spans="1:2" ht="13.2" x14ac:dyDescent="0.25">
      <c r="A9629" s="34" t="s">
        <v>2577</v>
      </c>
      <c r="B9629" s="35">
        <v>0.87600798226779497</v>
      </c>
    </row>
    <row r="9630" spans="1:2" ht="13.2" x14ac:dyDescent="0.25">
      <c r="A9630" s="34" t="s">
        <v>2576</v>
      </c>
    </row>
    <row r="9631" spans="1:2" ht="13.2" x14ac:dyDescent="0.25">
      <c r="A9631" s="34" t="s">
        <v>2575</v>
      </c>
    </row>
    <row r="9632" spans="1:2" ht="13.2" x14ac:dyDescent="0.25">
      <c r="A9632" s="34" t="s">
        <v>2574</v>
      </c>
      <c r="B9632" s="35">
        <v>0.96004678890386297</v>
      </c>
    </row>
    <row r="9633" spans="1:2" ht="13.2" x14ac:dyDescent="0.25">
      <c r="A9633" s="34" t="s">
        <v>2573</v>
      </c>
      <c r="B9633" s="35">
        <v>0.96201159467729702</v>
      </c>
    </row>
    <row r="9634" spans="1:2" ht="13.2" x14ac:dyDescent="0.25">
      <c r="A9634" s="34" t="s">
        <v>2572</v>
      </c>
      <c r="B9634" s="35">
        <v>1.0100553522831901</v>
      </c>
    </row>
    <row r="9635" spans="1:2" ht="13.2" x14ac:dyDescent="0.25">
      <c r="A9635" s="34" t="s">
        <v>2571</v>
      </c>
      <c r="B9635" s="35">
        <v>1.01443395099858</v>
      </c>
    </row>
    <row r="9636" spans="1:2" ht="13.2" x14ac:dyDescent="0.25">
      <c r="A9636" s="34" t="s">
        <v>2570</v>
      </c>
      <c r="B9636" s="35">
        <v>1.0894201683598199</v>
      </c>
    </row>
    <row r="9637" spans="1:2" ht="13.2" x14ac:dyDescent="0.25">
      <c r="A9637" s="34" t="s">
        <v>2569</v>
      </c>
    </row>
    <row r="9638" spans="1:2" ht="13.2" x14ac:dyDescent="0.25">
      <c r="A9638" s="34" t="s">
        <v>2568</v>
      </c>
    </row>
    <row r="9639" spans="1:2" ht="13.2" x14ac:dyDescent="0.25">
      <c r="A9639" s="34" t="s">
        <v>2567</v>
      </c>
      <c r="B9639" s="35">
        <v>1.07760140851039</v>
      </c>
    </row>
    <row r="9640" spans="1:2" ht="13.2" x14ac:dyDescent="0.25">
      <c r="A9640" s="34" t="s">
        <v>2566</v>
      </c>
      <c r="B9640" s="35">
        <v>1.0776485977958701</v>
      </c>
    </row>
    <row r="9641" spans="1:2" ht="13.2" x14ac:dyDescent="0.25">
      <c r="A9641" s="34" t="s">
        <v>2565</v>
      </c>
      <c r="B9641" s="35">
        <v>1.0772213115314799</v>
      </c>
    </row>
    <row r="9642" spans="1:2" ht="13.2" x14ac:dyDescent="0.25">
      <c r="A9642" s="34" t="s">
        <v>2564</v>
      </c>
      <c r="B9642" s="35">
        <v>1.08094907224079</v>
      </c>
    </row>
    <row r="9643" spans="1:2" ht="13.2" x14ac:dyDescent="0.25">
      <c r="A9643" s="34" t="s">
        <v>2563</v>
      </c>
      <c r="B9643" s="35">
        <v>1.08197255530576</v>
      </c>
    </row>
    <row r="9644" spans="1:2" ht="13.2" x14ac:dyDescent="0.25">
      <c r="A9644" s="34" t="s">
        <v>2562</v>
      </c>
    </row>
    <row r="9645" spans="1:2" ht="13.2" x14ac:dyDescent="0.25">
      <c r="A9645" s="34" t="s">
        <v>2561</v>
      </c>
    </row>
    <row r="9646" spans="1:2" ht="13.2" x14ac:dyDescent="0.25">
      <c r="A9646" s="34" t="s">
        <v>2560</v>
      </c>
      <c r="B9646" s="35">
        <v>1.11028035106126</v>
      </c>
    </row>
    <row r="9647" spans="1:2" ht="13.2" x14ac:dyDescent="0.25">
      <c r="A9647" s="34" t="s">
        <v>2559</v>
      </c>
      <c r="B9647" s="35">
        <v>1.1399741317143299</v>
      </c>
    </row>
    <row r="9648" spans="1:2" ht="13.2" x14ac:dyDescent="0.25">
      <c r="A9648" s="34" t="s">
        <v>2558</v>
      </c>
      <c r="B9648" s="35">
        <v>1.1230546118165601</v>
      </c>
    </row>
    <row r="9649" spans="1:2" ht="13.2" x14ac:dyDescent="0.25">
      <c r="A9649" s="34" t="s">
        <v>2557</v>
      </c>
      <c r="B9649" s="35">
        <v>1.1283735305800899</v>
      </c>
    </row>
    <row r="9650" spans="1:2" ht="13.2" x14ac:dyDescent="0.25">
      <c r="A9650" s="34" t="s">
        <v>2556</v>
      </c>
      <c r="B9650" s="35">
        <v>1.11897158352617</v>
      </c>
    </row>
    <row r="9651" spans="1:2" ht="13.2" x14ac:dyDescent="0.25">
      <c r="A9651" s="34" t="s">
        <v>2555</v>
      </c>
    </row>
    <row r="9652" spans="1:2" ht="13.2" x14ac:dyDescent="0.25">
      <c r="A9652" s="34" t="s">
        <v>2554</v>
      </c>
    </row>
    <row r="9653" spans="1:2" ht="13.2" x14ac:dyDescent="0.25">
      <c r="A9653" s="34" t="s">
        <v>2553</v>
      </c>
      <c r="B9653" s="35">
        <v>1.12569635194783</v>
      </c>
    </row>
    <row r="9654" spans="1:2" ht="13.2" x14ac:dyDescent="0.25">
      <c r="A9654" s="34" t="s">
        <v>2552</v>
      </c>
      <c r="B9654" s="35">
        <v>1.1326111208441001</v>
      </c>
    </row>
    <row r="9655" spans="1:2" ht="13.2" x14ac:dyDescent="0.25">
      <c r="A9655" s="34" t="s">
        <v>2551</v>
      </c>
      <c r="B9655" s="35">
        <v>1.1263390441407299</v>
      </c>
    </row>
    <row r="9656" spans="1:2" ht="13.2" x14ac:dyDescent="0.25">
      <c r="A9656" s="34" t="s">
        <v>2550</v>
      </c>
      <c r="B9656" s="35">
        <v>0.922433086674182</v>
      </c>
    </row>
    <row r="9657" spans="1:2" ht="13.2" x14ac:dyDescent="0.25">
      <c r="A9657" s="34" t="s">
        <v>2549</v>
      </c>
      <c r="B9657" s="35">
        <v>0.93163325443699596</v>
      </c>
    </row>
    <row r="9658" spans="1:2" ht="13.2" x14ac:dyDescent="0.25">
      <c r="A9658" s="34" t="s">
        <v>2548</v>
      </c>
    </row>
    <row r="9659" spans="1:2" ht="13.2" x14ac:dyDescent="0.25">
      <c r="A9659" s="34" t="s">
        <v>2547</v>
      </c>
    </row>
    <row r="9660" spans="1:2" ht="13.2" x14ac:dyDescent="0.25">
      <c r="A9660" s="34" t="s">
        <v>2546</v>
      </c>
      <c r="B9660" s="35">
        <v>0.91757237121999602</v>
      </c>
    </row>
    <row r="9661" spans="1:2" ht="13.2" x14ac:dyDescent="0.25">
      <c r="A9661" s="34" t="s">
        <v>2545</v>
      </c>
      <c r="B9661" s="35">
        <v>0.77203937711590997</v>
      </c>
    </row>
    <row r="9662" spans="1:2" ht="13.2" x14ac:dyDescent="0.25">
      <c r="A9662" s="34" t="s">
        <v>2544</v>
      </c>
      <c r="B9662" s="35">
        <v>0.74915390874741195</v>
      </c>
    </row>
    <row r="9663" spans="1:2" ht="13.2" x14ac:dyDescent="0.25">
      <c r="A9663" s="34" t="s">
        <v>2543</v>
      </c>
      <c r="B9663" s="35">
        <v>0.74267255925484998</v>
      </c>
    </row>
    <row r="9664" spans="1:2" ht="13.2" x14ac:dyDescent="0.25">
      <c r="A9664" s="34" t="s">
        <v>2542</v>
      </c>
      <c r="B9664" s="35">
        <v>0.87918811922783002</v>
      </c>
    </row>
    <row r="9665" spans="1:2" ht="13.2" x14ac:dyDescent="0.25">
      <c r="A9665" s="34" t="s">
        <v>2541</v>
      </c>
    </row>
    <row r="9666" spans="1:2" ht="13.2" x14ac:dyDescent="0.25">
      <c r="A9666" s="34" t="s">
        <v>2540</v>
      </c>
    </row>
    <row r="9667" spans="1:2" ht="13.2" x14ac:dyDescent="0.25">
      <c r="A9667" s="34" t="s">
        <v>2539</v>
      </c>
      <c r="B9667" s="35">
        <v>0.79269276381204101</v>
      </c>
    </row>
    <row r="9668" spans="1:2" ht="13.2" x14ac:dyDescent="0.25">
      <c r="A9668" s="34" t="s">
        <v>2538</v>
      </c>
      <c r="B9668" s="35">
        <v>0.85683401884470001</v>
      </c>
    </row>
    <row r="9669" spans="1:2" ht="13.2" x14ac:dyDescent="0.25">
      <c r="A9669" s="34" t="s">
        <v>2537</v>
      </c>
      <c r="B9669" s="35">
        <v>0.88028275475812201</v>
      </c>
    </row>
    <row r="9670" spans="1:2" ht="13.2" x14ac:dyDescent="0.25">
      <c r="A9670" s="34" t="s">
        <v>2536</v>
      </c>
      <c r="B9670" s="35">
        <v>0.86910327635314999</v>
      </c>
    </row>
    <row r="9671" spans="1:2" ht="13.2" x14ac:dyDescent="0.25">
      <c r="A9671" s="34" t="s">
        <v>2535</v>
      </c>
    </row>
    <row r="9672" spans="1:2" ht="13.2" x14ac:dyDescent="0.25">
      <c r="A9672" s="34" t="s">
        <v>2534</v>
      </c>
    </row>
    <row r="9673" spans="1:2" ht="13.2" x14ac:dyDescent="0.25">
      <c r="A9673" s="34" t="s">
        <v>2533</v>
      </c>
    </row>
    <row r="9674" spans="1:2" ht="13.2" x14ac:dyDescent="0.25">
      <c r="A9674" s="34" t="s">
        <v>2532</v>
      </c>
      <c r="B9674" s="35">
        <v>0.86530571087622399</v>
      </c>
    </row>
    <row r="9675" spans="1:2" ht="13.2" x14ac:dyDescent="0.25">
      <c r="A9675" s="34" t="s">
        <v>2531</v>
      </c>
      <c r="B9675" s="35">
        <v>0.877919104323724</v>
      </c>
    </row>
    <row r="9676" spans="1:2" ht="13.2" x14ac:dyDescent="0.25">
      <c r="A9676" s="34" t="s">
        <v>2530</v>
      </c>
    </row>
    <row r="9677" spans="1:2" ht="13.2" x14ac:dyDescent="0.25">
      <c r="A9677" s="34" t="s">
        <v>2529</v>
      </c>
      <c r="B9677" s="35">
        <v>0.92092130655885995</v>
      </c>
    </row>
    <row r="9678" spans="1:2" ht="13.2" x14ac:dyDescent="0.25">
      <c r="A9678" s="34" t="s">
        <v>2528</v>
      </c>
      <c r="B9678" s="35">
        <v>0.91056757444627201</v>
      </c>
    </row>
    <row r="9679" spans="1:2" ht="13.2" x14ac:dyDescent="0.25">
      <c r="A9679" s="34" t="s">
        <v>2527</v>
      </c>
    </row>
    <row r="9680" spans="1:2" ht="13.2" x14ac:dyDescent="0.25">
      <c r="A9680" s="34" t="s">
        <v>2526</v>
      </c>
    </row>
    <row r="9681" spans="1:2" ht="13.2" x14ac:dyDescent="0.25">
      <c r="A9681" s="34" t="s">
        <v>2525</v>
      </c>
      <c r="B9681" s="35">
        <v>0.91266374855092403</v>
      </c>
    </row>
    <row r="9682" spans="1:2" ht="13.2" x14ac:dyDescent="0.25">
      <c r="A9682" s="34" t="s">
        <v>2524</v>
      </c>
      <c r="B9682" s="35">
        <v>0.94934245402700801</v>
      </c>
    </row>
    <row r="9683" spans="1:2" ht="13.2" x14ac:dyDescent="0.25">
      <c r="A9683" s="34" t="s">
        <v>2523</v>
      </c>
      <c r="B9683" s="35">
        <v>0.95554302691445603</v>
      </c>
    </row>
    <row r="9684" spans="1:2" ht="13.2" x14ac:dyDescent="0.25">
      <c r="A9684" s="34" t="s">
        <v>2522</v>
      </c>
      <c r="B9684" s="35">
        <v>0.94797076419727599</v>
      </c>
    </row>
    <row r="9685" spans="1:2" ht="13.2" x14ac:dyDescent="0.25">
      <c r="A9685" s="34" t="s">
        <v>2521</v>
      </c>
      <c r="B9685" s="35">
        <v>0.93848952451013201</v>
      </c>
    </row>
    <row r="9686" spans="1:2" ht="13.2" x14ac:dyDescent="0.25">
      <c r="A9686" s="34" t="s">
        <v>2520</v>
      </c>
    </row>
    <row r="9687" spans="1:2" ht="13.2" x14ac:dyDescent="0.25">
      <c r="A9687" s="34" t="s">
        <v>2519</v>
      </c>
    </row>
    <row r="9688" spans="1:2" ht="13.2" x14ac:dyDescent="0.25">
      <c r="A9688" s="34" t="s">
        <v>2518</v>
      </c>
      <c r="B9688" s="35">
        <v>0.93741853047259105</v>
      </c>
    </row>
    <row r="9689" spans="1:2" ht="13.2" x14ac:dyDescent="0.25">
      <c r="A9689" s="34" t="s">
        <v>2517</v>
      </c>
      <c r="B9689" s="35">
        <v>0.90178927567080303</v>
      </c>
    </row>
    <row r="9690" spans="1:2" ht="13.2" x14ac:dyDescent="0.25">
      <c r="A9690" s="34" t="s">
        <v>2516</v>
      </c>
      <c r="B9690" s="35">
        <v>0.91909312825470202</v>
      </c>
    </row>
    <row r="9691" spans="1:2" ht="13.2" x14ac:dyDescent="0.25">
      <c r="A9691" s="34" t="s">
        <v>2515</v>
      </c>
      <c r="B9691" s="35">
        <v>0.91799797041513598</v>
      </c>
    </row>
    <row r="9692" spans="1:2" ht="13.2" x14ac:dyDescent="0.25">
      <c r="A9692" s="34" t="s">
        <v>2514</v>
      </c>
      <c r="B9692" s="35">
        <v>0.91981269775098895</v>
      </c>
    </row>
    <row r="9693" spans="1:2" ht="13.2" x14ac:dyDescent="0.25">
      <c r="A9693" s="34" t="s">
        <v>2513</v>
      </c>
    </row>
    <row r="9694" spans="1:2" ht="13.2" x14ac:dyDescent="0.25">
      <c r="A9694" s="34" t="s">
        <v>2512</v>
      </c>
    </row>
    <row r="9695" spans="1:2" ht="13.2" x14ac:dyDescent="0.25">
      <c r="A9695" s="34" t="s">
        <v>2511</v>
      </c>
      <c r="B9695" s="35">
        <v>0.92017204856119394</v>
      </c>
    </row>
    <row r="9696" spans="1:2" ht="13.2" x14ac:dyDescent="0.25">
      <c r="A9696" s="34" t="s">
        <v>2510</v>
      </c>
      <c r="B9696" s="35">
        <v>0.89257861144992501</v>
      </c>
    </row>
    <row r="9697" spans="1:2" ht="13.2" x14ac:dyDescent="0.25">
      <c r="A9697" s="34" t="s">
        <v>2509</v>
      </c>
      <c r="B9697" s="35">
        <v>0.78664044931272703</v>
      </c>
    </row>
    <row r="9698" spans="1:2" ht="13.2" x14ac:dyDescent="0.25">
      <c r="A9698" s="34" t="s">
        <v>2508</v>
      </c>
      <c r="B9698" s="35">
        <v>0.81021462382710696</v>
      </c>
    </row>
    <row r="9699" spans="1:2" ht="13.2" x14ac:dyDescent="0.25">
      <c r="A9699" s="34" t="s">
        <v>2507</v>
      </c>
      <c r="B9699" s="35">
        <v>0.73363556265526497</v>
      </c>
    </row>
    <row r="9700" spans="1:2" ht="13.2" x14ac:dyDescent="0.25">
      <c r="A9700" s="34" t="s">
        <v>2506</v>
      </c>
    </row>
    <row r="9701" spans="1:2" ht="13.2" x14ac:dyDescent="0.25">
      <c r="A9701" s="34" t="s">
        <v>2505</v>
      </c>
    </row>
    <row r="9702" spans="1:2" ht="13.2" x14ac:dyDescent="0.25">
      <c r="A9702" s="34" t="s">
        <v>2504</v>
      </c>
      <c r="B9702" s="35">
        <v>0.718843409636853</v>
      </c>
    </row>
    <row r="9703" spans="1:2" ht="13.2" x14ac:dyDescent="0.25">
      <c r="A9703" s="34" t="s">
        <v>2503</v>
      </c>
      <c r="B9703" s="35">
        <v>0.71974970300003105</v>
      </c>
    </row>
    <row r="9704" spans="1:2" ht="13.2" x14ac:dyDescent="0.25">
      <c r="A9704" s="34" t="s">
        <v>2502</v>
      </c>
      <c r="B9704" s="35">
        <v>0.75943190257593696</v>
      </c>
    </row>
    <row r="9705" spans="1:2" ht="13.2" x14ac:dyDescent="0.25">
      <c r="A9705" s="34" t="s">
        <v>2501</v>
      </c>
      <c r="B9705" s="35">
        <v>0.724967444059889</v>
      </c>
    </row>
    <row r="9706" spans="1:2" ht="13.2" x14ac:dyDescent="0.25">
      <c r="A9706" s="34" t="s">
        <v>2500</v>
      </c>
      <c r="B9706" s="35">
        <v>0.65984774490914799</v>
      </c>
    </row>
    <row r="9707" spans="1:2" ht="13.2" x14ac:dyDescent="0.25">
      <c r="A9707" s="34" t="s">
        <v>2499</v>
      </c>
    </row>
    <row r="9708" spans="1:2" ht="13.2" x14ac:dyDescent="0.25">
      <c r="A9708" s="34" t="s">
        <v>2498</v>
      </c>
    </row>
    <row r="9709" spans="1:2" ht="13.2" x14ac:dyDescent="0.25">
      <c r="A9709" s="34" t="s">
        <v>2497</v>
      </c>
      <c r="B9709" s="35">
        <v>0.63994267865015497</v>
      </c>
    </row>
    <row r="9710" spans="1:2" ht="13.2" x14ac:dyDescent="0.25">
      <c r="A9710" s="34" t="s">
        <v>2496</v>
      </c>
    </row>
    <row r="9711" spans="1:2" ht="13.2" x14ac:dyDescent="0.25">
      <c r="A9711" s="34" t="s">
        <v>2495</v>
      </c>
    </row>
    <row r="9712" spans="1:2" ht="13.2" x14ac:dyDescent="0.25">
      <c r="A9712" s="34" t="s">
        <v>2494</v>
      </c>
      <c r="B9712" s="35">
        <v>0.65226715669035296</v>
      </c>
    </row>
    <row r="9713" spans="1:2" ht="13.2" x14ac:dyDescent="0.25">
      <c r="A9713" s="34" t="s">
        <v>2493</v>
      </c>
      <c r="B9713" s="35">
        <v>0.578518011415878</v>
      </c>
    </row>
    <row r="9714" spans="1:2" ht="13.2" x14ac:dyDescent="0.25">
      <c r="A9714" s="34" t="s">
        <v>2492</v>
      </c>
    </row>
    <row r="9715" spans="1:2" ht="13.2" x14ac:dyDescent="0.25">
      <c r="A9715" s="34" t="s">
        <v>2491</v>
      </c>
    </row>
    <row r="9716" spans="1:2" ht="13.2" x14ac:dyDescent="0.25">
      <c r="A9716" s="34" t="s">
        <v>2490</v>
      </c>
      <c r="B9716" s="35">
        <v>0.60810694639545004</v>
      </c>
    </row>
    <row r="9717" spans="1:2" ht="13.2" x14ac:dyDescent="0.25">
      <c r="A9717" s="34" t="s">
        <v>2489</v>
      </c>
    </row>
    <row r="9718" spans="1:2" ht="13.2" x14ac:dyDescent="0.25">
      <c r="A9718" s="34" t="s">
        <v>2488</v>
      </c>
    </row>
    <row r="9719" spans="1:2" ht="13.2" x14ac:dyDescent="0.25">
      <c r="A9719" s="34" t="s">
        <v>2487</v>
      </c>
      <c r="B9719" s="35">
        <v>0.73261088951672404</v>
      </c>
    </row>
    <row r="9720" spans="1:2" ht="13.2" x14ac:dyDescent="0.25">
      <c r="A9720" s="34" t="s">
        <v>2486</v>
      </c>
      <c r="B9720" s="35">
        <v>0.76924371833477401</v>
      </c>
    </row>
    <row r="9721" spans="1:2" ht="13.2" x14ac:dyDescent="0.25">
      <c r="A9721" s="34" t="s">
        <v>2485</v>
      </c>
    </row>
    <row r="9722" spans="1:2" ht="13.2" x14ac:dyDescent="0.25">
      <c r="A9722" s="34" t="s">
        <v>2484</v>
      </c>
    </row>
    <row r="9723" spans="1:2" ht="13.2" x14ac:dyDescent="0.25">
      <c r="A9723" s="34" t="s">
        <v>2483</v>
      </c>
      <c r="B9723" s="35">
        <v>0.80076818474669598</v>
      </c>
    </row>
    <row r="9724" spans="1:2" ht="13.2" x14ac:dyDescent="0.25">
      <c r="A9724" s="34" t="s">
        <v>2482</v>
      </c>
      <c r="B9724" s="35">
        <v>0.80335568106466804</v>
      </c>
    </row>
    <row r="9725" spans="1:2" ht="13.2" x14ac:dyDescent="0.25">
      <c r="A9725" s="34" t="s">
        <v>2481</v>
      </c>
      <c r="B9725" s="35">
        <v>0.788682630237585</v>
      </c>
    </row>
    <row r="9726" spans="1:2" ht="13.2" x14ac:dyDescent="0.25">
      <c r="A9726" s="34" t="s">
        <v>2480</v>
      </c>
      <c r="B9726" s="35">
        <v>0.79633229515376802</v>
      </c>
    </row>
    <row r="9727" spans="1:2" ht="13.2" x14ac:dyDescent="0.25">
      <c r="A9727" s="34" t="s">
        <v>2479</v>
      </c>
      <c r="B9727" s="35">
        <v>0.80515015793268396</v>
      </c>
    </row>
    <row r="9728" spans="1:2" ht="13.2" x14ac:dyDescent="0.25">
      <c r="A9728" s="34" t="s">
        <v>2478</v>
      </c>
    </row>
    <row r="9729" spans="1:2" ht="13.2" x14ac:dyDescent="0.25">
      <c r="A9729" s="34" t="s">
        <v>2477</v>
      </c>
    </row>
    <row r="9730" spans="1:2" ht="13.2" x14ac:dyDescent="0.25">
      <c r="A9730" s="34" t="s">
        <v>2476</v>
      </c>
      <c r="B9730" s="35">
        <v>0.85540235410252896</v>
      </c>
    </row>
    <row r="9731" spans="1:2" ht="13.2" x14ac:dyDescent="0.25">
      <c r="A9731" s="34" t="s">
        <v>2475</v>
      </c>
      <c r="B9731" s="35">
        <v>0.84642987230717404</v>
      </c>
    </row>
    <row r="9732" spans="1:2" ht="13.2" x14ac:dyDescent="0.25">
      <c r="A9732" s="34" t="s">
        <v>2474</v>
      </c>
      <c r="B9732" s="35">
        <v>0.89496888174702405</v>
      </c>
    </row>
    <row r="9733" spans="1:2" ht="13.2" x14ac:dyDescent="0.25">
      <c r="A9733" s="34" t="s">
        <v>2473</v>
      </c>
      <c r="B9733" s="35">
        <v>0.87210476728116204</v>
      </c>
    </row>
    <row r="9734" spans="1:2" ht="13.2" x14ac:dyDescent="0.25">
      <c r="A9734" s="34" t="s">
        <v>2472</v>
      </c>
      <c r="B9734" s="35">
        <v>0.91845991433488205</v>
      </c>
    </row>
    <row r="9735" spans="1:2" ht="13.2" x14ac:dyDescent="0.25">
      <c r="A9735" s="34" t="s">
        <v>2471</v>
      </c>
    </row>
    <row r="9736" spans="1:2" ht="13.2" x14ac:dyDescent="0.25">
      <c r="A9736" s="34" t="s">
        <v>2470</v>
      </c>
    </row>
    <row r="9737" spans="1:2" ht="13.2" x14ac:dyDescent="0.25">
      <c r="A9737" s="34" t="s">
        <v>2469</v>
      </c>
      <c r="B9737" s="35">
        <v>0.89811048149351502</v>
      </c>
    </row>
    <row r="9738" spans="1:2" ht="13.2" x14ac:dyDescent="0.25">
      <c r="A9738" s="34" t="s">
        <v>2468</v>
      </c>
      <c r="B9738" s="35">
        <v>0.97923940455298397</v>
      </c>
    </row>
    <row r="9739" spans="1:2" ht="13.2" x14ac:dyDescent="0.25">
      <c r="A9739" s="34" t="s">
        <v>2467</v>
      </c>
      <c r="B9739" s="35">
        <v>0.95913818800644102</v>
      </c>
    </row>
    <row r="9740" spans="1:2" ht="13.2" x14ac:dyDescent="0.25">
      <c r="A9740" s="34" t="s">
        <v>2466</v>
      </c>
      <c r="B9740" s="35">
        <v>0.96752547354693297</v>
      </c>
    </row>
    <row r="9741" spans="1:2" ht="13.2" x14ac:dyDescent="0.25">
      <c r="A9741" s="34" t="s">
        <v>2465</v>
      </c>
      <c r="B9741" s="35">
        <v>0.99896674244921901</v>
      </c>
    </row>
    <row r="9742" spans="1:2" ht="13.2" x14ac:dyDescent="0.25">
      <c r="A9742" s="34" t="s">
        <v>2464</v>
      </c>
    </row>
    <row r="9743" spans="1:2" ht="13.2" x14ac:dyDescent="0.25">
      <c r="A9743" s="34" t="s">
        <v>2463</v>
      </c>
    </row>
    <row r="9744" spans="1:2" ht="13.2" x14ac:dyDescent="0.25">
      <c r="A9744" s="34" t="s">
        <v>2462</v>
      </c>
      <c r="B9744" s="35">
        <v>1.24570473247041</v>
      </c>
    </row>
    <row r="9745" spans="1:2" ht="13.2" x14ac:dyDescent="0.25">
      <c r="A9745" s="34" t="s">
        <v>2461</v>
      </c>
      <c r="B9745" s="35">
        <v>1.27972906783499</v>
      </c>
    </row>
    <row r="9746" spans="1:2" ht="13.2" x14ac:dyDescent="0.25">
      <c r="A9746" s="34" t="s">
        <v>2460</v>
      </c>
      <c r="B9746" s="35">
        <v>1.2901254547444201</v>
      </c>
    </row>
    <row r="9747" spans="1:2" ht="13.2" x14ac:dyDescent="0.25">
      <c r="A9747" s="34" t="s">
        <v>2459</v>
      </c>
      <c r="B9747" s="35">
        <v>1.28653390144844</v>
      </c>
    </row>
    <row r="9748" spans="1:2" ht="13.2" x14ac:dyDescent="0.25">
      <c r="A9748" s="34" t="s">
        <v>2458</v>
      </c>
      <c r="B9748" s="35">
        <v>1.2189812124627699</v>
      </c>
    </row>
    <row r="9749" spans="1:2" ht="13.2" x14ac:dyDescent="0.25">
      <c r="A9749" s="34" t="s">
        <v>2457</v>
      </c>
    </row>
    <row r="9750" spans="1:2" ht="13.2" x14ac:dyDescent="0.25">
      <c r="A9750" s="34" t="s">
        <v>2456</v>
      </c>
    </row>
    <row r="9751" spans="1:2" ht="13.2" x14ac:dyDescent="0.25">
      <c r="A9751" s="34" t="s">
        <v>2455</v>
      </c>
      <c r="B9751" s="35">
        <v>1.2296687008801801</v>
      </c>
    </row>
    <row r="9752" spans="1:2" ht="13.2" x14ac:dyDescent="0.25">
      <c r="A9752" s="34" t="s">
        <v>2454</v>
      </c>
      <c r="B9752" s="35">
        <v>1.23824703824018</v>
      </c>
    </row>
    <row r="9753" spans="1:2" ht="13.2" x14ac:dyDescent="0.25">
      <c r="A9753" s="34" t="s">
        <v>2453</v>
      </c>
      <c r="B9753" s="35">
        <v>1.2418481743377601</v>
      </c>
    </row>
    <row r="9754" spans="1:2" ht="13.2" x14ac:dyDescent="0.25">
      <c r="A9754" s="34" t="s">
        <v>2452</v>
      </c>
      <c r="B9754" s="35">
        <v>1.2493313234135199</v>
      </c>
    </row>
    <row r="9755" spans="1:2" ht="13.2" x14ac:dyDescent="0.25">
      <c r="A9755" s="34" t="s">
        <v>2451</v>
      </c>
      <c r="B9755" s="35">
        <v>1.2758735073199601</v>
      </c>
    </row>
    <row r="9756" spans="1:2" ht="13.2" x14ac:dyDescent="0.25">
      <c r="A9756" s="34" t="s">
        <v>2450</v>
      </c>
    </row>
    <row r="9757" spans="1:2" ht="13.2" x14ac:dyDescent="0.25">
      <c r="A9757" s="34" t="s">
        <v>2449</v>
      </c>
    </row>
    <row r="9758" spans="1:2" ht="13.2" x14ac:dyDescent="0.25">
      <c r="A9758" s="34" t="s">
        <v>2448</v>
      </c>
      <c r="B9758" s="35">
        <v>1.2920965333671499</v>
      </c>
    </row>
    <row r="9759" spans="1:2" ht="13.2" x14ac:dyDescent="0.25">
      <c r="A9759" s="34" t="s">
        <v>2447</v>
      </c>
      <c r="B9759" s="35">
        <v>1.36312159923924</v>
      </c>
    </row>
    <row r="9760" spans="1:2" ht="13.2" x14ac:dyDescent="0.25">
      <c r="A9760" s="34" t="s">
        <v>2446</v>
      </c>
      <c r="B9760" s="35">
        <v>1.3866773228590701</v>
      </c>
    </row>
    <row r="9761" spans="1:2" ht="13.2" x14ac:dyDescent="0.25">
      <c r="A9761" s="34" t="s">
        <v>2445</v>
      </c>
      <c r="B9761" s="35">
        <v>1.3810306077012</v>
      </c>
    </row>
    <row r="9762" spans="1:2" ht="13.2" x14ac:dyDescent="0.25">
      <c r="A9762" s="34" t="s">
        <v>2444</v>
      </c>
      <c r="B9762" s="35">
        <v>1.3991224919499801</v>
      </c>
    </row>
    <row r="9763" spans="1:2" ht="13.2" x14ac:dyDescent="0.25">
      <c r="A9763" s="34" t="s">
        <v>2443</v>
      </c>
    </row>
    <row r="9764" spans="1:2" ht="13.2" x14ac:dyDescent="0.25">
      <c r="A9764" s="34" t="s">
        <v>2442</v>
      </c>
    </row>
    <row r="9765" spans="1:2" ht="13.2" x14ac:dyDescent="0.25">
      <c r="A9765" s="34" t="s">
        <v>2441</v>
      </c>
      <c r="B9765" s="35">
        <v>1.3669359189232999</v>
      </c>
    </row>
    <row r="9766" spans="1:2" ht="13.2" x14ac:dyDescent="0.25">
      <c r="A9766" s="34" t="s">
        <v>2440</v>
      </c>
      <c r="B9766" s="35">
        <v>1.3633207930515601</v>
      </c>
    </row>
    <row r="9767" spans="1:2" ht="13.2" x14ac:dyDescent="0.25">
      <c r="A9767" s="34" t="s">
        <v>2439</v>
      </c>
      <c r="B9767" s="35">
        <v>1.36086242265706</v>
      </c>
    </row>
    <row r="9768" spans="1:2" ht="13.2" x14ac:dyDescent="0.25">
      <c r="A9768" s="34" t="s">
        <v>2438</v>
      </c>
      <c r="B9768" s="35">
        <v>1.37823448536906</v>
      </c>
    </row>
    <row r="9769" spans="1:2" ht="13.2" x14ac:dyDescent="0.25">
      <c r="A9769" s="34" t="s">
        <v>2437</v>
      </c>
      <c r="B9769" s="35">
        <v>1.36044350818457</v>
      </c>
    </row>
    <row r="9770" spans="1:2" ht="13.2" x14ac:dyDescent="0.25">
      <c r="A9770" s="34" t="s">
        <v>2436</v>
      </c>
    </row>
    <row r="9771" spans="1:2" ht="13.2" x14ac:dyDescent="0.25">
      <c r="A9771" s="34" t="s">
        <v>2435</v>
      </c>
    </row>
    <row r="9772" spans="1:2" ht="13.2" x14ac:dyDescent="0.25">
      <c r="A9772" s="34" t="s">
        <v>2434</v>
      </c>
    </row>
    <row r="9773" spans="1:2" ht="13.2" x14ac:dyDescent="0.25">
      <c r="A9773" s="34" t="s">
        <v>2433</v>
      </c>
    </row>
    <row r="9774" spans="1:2" ht="13.2" x14ac:dyDescent="0.25">
      <c r="A9774" s="34" t="s">
        <v>2432</v>
      </c>
      <c r="B9774" s="35">
        <v>2.0484633696455798</v>
      </c>
    </row>
    <row r="9775" spans="1:2" ht="13.2" x14ac:dyDescent="0.25">
      <c r="A9775" s="34" t="s">
        <v>2431</v>
      </c>
      <c r="B9775" s="35">
        <v>2.00445524249074</v>
      </c>
    </row>
    <row r="9776" spans="1:2" ht="13.2" x14ac:dyDescent="0.25">
      <c r="A9776" s="34" t="s">
        <v>2430</v>
      </c>
      <c r="B9776" s="35">
        <v>1.9758359710433</v>
      </c>
    </row>
    <row r="9777" spans="1:2" ht="13.2" x14ac:dyDescent="0.25">
      <c r="A9777" s="34" t="s">
        <v>2429</v>
      </c>
    </row>
    <row r="9778" spans="1:2" ht="13.2" x14ac:dyDescent="0.25">
      <c r="A9778" s="34" t="s">
        <v>2428</v>
      </c>
    </row>
    <row r="9779" spans="1:2" ht="13.2" x14ac:dyDescent="0.25">
      <c r="A9779" s="34" t="s">
        <v>2427</v>
      </c>
      <c r="B9779" s="35">
        <v>2.0685072770123201</v>
      </c>
    </row>
    <row r="9780" spans="1:2" ht="13.2" x14ac:dyDescent="0.25">
      <c r="A9780" s="34" t="s">
        <v>2426</v>
      </c>
      <c r="B9780" s="35">
        <v>2.0698277983289</v>
      </c>
    </row>
    <row r="9781" spans="1:2" ht="13.2" x14ac:dyDescent="0.25">
      <c r="A9781" s="34" t="s">
        <v>2425</v>
      </c>
      <c r="B9781" s="35">
        <v>2.0982278353927502</v>
      </c>
    </row>
    <row r="9782" spans="1:2" ht="13.2" x14ac:dyDescent="0.25">
      <c r="A9782" s="34" t="s">
        <v>2424</v>
      </c>
      <c r="B9782" s="35">
        <v>2.2980874942665102</v>
      </c>
    </row>
    <row r="9783" spans="1:2" ht="13.2" x14ac:dyDescent="0.25">
      <c r="A9783" s="34" t="s">
        <v>2423</v>
      </c>
      <c r="B9783" s="35">
        <v>2.4102056866949702</v>
      </c>
    </row>
    <row r="9784" spans="1:2" ht="13.2" x14ac:dyDescent="0.25">
      <c r="A9784" s="34" t="s">
        <v>2422</v>
      </c>
    </row>
    <row r="9785" spans="1:2" ht="13.2" x14ac:dyDescent="0.25">
      <c r="A9785" s="34" t="s">
        <v>2421</v>
      </c>
    </row>
    <row r="9786" spans="1:2" ht="13.2" x14ac:dyDescent="0.25">
      <c r="A9786" s="34" t="s">
        <v>2420</v>
      </c>
      <c r="B9786" s="35">
        <v>3.57053122038826</v>
      </c>
    </row>
    <row r="9787" spans="1:2" ht="13.2" x14ac:dyDescent="0.25">
      <c r="A9787" s="34" t="s">
        <v>2419</v>
      </c>
      <c r="B9787" s="35">
        <v>4.0059880708838298</v>
      </c>
    </row>
    <row r="9788" spans="1:2" ht="13.2" x14ac:dyDescent="0.25">
      <c r="A9788" s="34" t="s">
        <v>2418</v>
      </c>
      <c r="B9788" s="35">
        <v>4.2790094573822799</v>
      </c>
    </row>
    <row r="9789" spans="1:2" ht="13.2" x14ac:dyDescent="0.25">
      <c r="A9789" s="34" t="s">
        <v>2417</v>
      </c>
      <c r="B9789" s="35">
        <v>5.3341289387399398</v>
      </c>
    </row>
    <row r="9790" spans="1:2" ht="13.2" x14ac:dyDescent="0.25">
      <c r="A9790" s="34" t="s">
        <v>2416</v>
      </c>
      <c r="B9790" s="35">
        <v>6.2106243900629403</v>
      </c>
    </row>
    <row r="9791" spans="1:2" ht="13.2" x14ac:dyDescent="0.25">
      <c r="A9791" s="34" t="s">
        <v>2415</v>
      </c>
    </row>
    <row r="9792" spans="1:2" ht="13.2" x14ac:dyDescent="0.25">
      <c r="A9792" s="34" t="s">
        <v>2414</v>
      </c>
    </row>
    <row r="9793" spans="1:2" ht="13.2" x14ac:dyDescent="0.25">
      <c r="A9793" s="34" t="s">
        <v>2413</v>
      </c>
      <c r="B9793" s="35">
        <v>6.8242450924820899</v>
      </c>
    </row>
    <row r="9794" spans="1:2" ht="13.2" x14ac:dyDescent="0.25">
      <c r="A9794" s="34" t="s">
        <v>2412</v>
      </c>
      <c r="B9794" s="35">
        <v>6.9926065811900502</v>
      </c>
    </row>
    <row r="9795" spans="1:2" ht="13.2" x14ac:dyDescent="0.25">
      <c r="A9795" s="34" t="s">
        <v>2411</v>
      </c>
      <c r="B9795" s="35">
        <v>7.2474031799680896</v>
      </c>
    </row>
    <row r="9796" spans="1:2" ht="13.2" x14ac:dyDescent="0.25">
      <c r="A9796" s="34" t="s">
        <v>2410</v>
      </c>
      <c r="B9796" s="35">
        <v>7.2835728388485297</v>
      </c>
    </row>
    <row r="9797" spans="1:2" ht="13.2" x14ac:dyDescent="0.25">
      <c r="A9797" s="34" t="s">
        <v>2409</v>
      </c>
      <c r="B9797" s="35">
        <v>7.2678320629946302</v>
      </c>
    </row>
    <row r="9798" spans="1:2" ht="13.2" x14ac:dyDescent="0.25">
      <c r="A9798" s="34" t="s">
        <v>2408</v>
      </c>
    </row>
    <row r="9799" spans="1:2" ht="13.2" x14ac:dyDescent="0.25">
      <c r="A9799" s="34" t="s">
        <v>2407</v>
      </c>
    </row>
    <row r="9800" spans="1:2" ht="13.2" x14ac:dyDescent="0.25">
      <c r="A9800" s="34" t="s">
        <v>2406</v>
      </c>
      <c r="B9800" s="35">
        <v>7.2349609298435897</v>
      </c>
    </row>
    <row r="9801" spans="1:2" ht="13.2" x14ac:dyDescent="0.25">
      <c r="A9801" s="34" t="s">
        <v>2405</v>
      </c>
      <c r="B9801" s="35">
        <v>7.7037208794969896</v>
      </c>
    </row>
    <row r="9802" spans="1:2" ht="13.2" x14ac:dyDescent="0.25">
      <c r="A9802" s="34" t="s">
        <v>2404</v>
      </c>
      <c r="B9802" s="35">
        <v>7.9795071145083796</v>
      </c>
    </row>
    <row r="9803" spans="1:2" ht="13.2" x14ac:dyDescent="0.25">
      <c r="A9803" s="34" t="s">
        <v>2403</v>
      </c>
      <c r="B9803" s="35">
        <v>7.9725270619986199</v>
      </c>
    </row>
    <row r="9804" spans="1:2" ht="13.2" x14ac:dyDescent="0.25">
      <c r="A9804" s="34" t="s">
        <v>2402</v>
      </c>
      <c r="B9804" s="35">
        <v>8.0221442326891701</v>
      </c>
    </row>
    <row r="9805" spans="1:2" ht="13.2" x14ac:dyDescent="0.25">
      <c r="A9805" s="34" t="s">
        <v>2401</v>
      </c>
    </row>
    <row r="9806" spans="1:2" ht="13.2" x14ac:dyDescent="0.25">
      <c r="A9806" s="34" t="s">
        <v>2400</v>
      </c>
    </row>
    <row r="9807" spans="1:2" ht="13.2" x14ac:dyDescent="0.25">
      <c r="A9807" s="34" t="s">
        <v>2399</v>
      </c>
      <c r="B9807" s="35">
        <v>8.0312494613673593</v>
      </c>
    </row>
    <row r="9808" spans="1:2" ht="13.2" x14ac:dyDescent="0.25">
      <c r="A9808" s="34" t="s">
        <v>2398</v>
      </c>
      <c r="B9808" s="35">
        <v>7.9815016223873796</v>
      </c>
    </row>
    <row r="9809" spans="1:2" ht="13.2" x14ac:dyDescent="0.25">
      <c r="A9809" s="34" t="s">
        <v>2397</v>
      </c>
      <c r="B9809" s="35">
        <v>7.9825594856342299</v>
      </c>
    </row>
    <row r="9810" spans="1:2" ht="13.2" x14ac:dyDescent="0.25">
      <c r="A9810" s="34" t="s">
        <v>2396</v>
      </c>
      <c r="B9810" s="35">
        <v>7.9872621673196296</v>
      </c>
    </row>
    <row r="9811" spans="1:2" ht="13.2" x14ac:dyDescent="0.25">
      <c r="A9811" s="34" t="s">
        <v>2395</v>
      </c>
      <c r="B9811" s="35">
        <v>7.9729397490879501</v>
      </c>
    </row>
    <row r="9812" spans="1:2" ht="13.2" x14ac:dyDescent="0.25">
      <c r="A9812" s="34" t="s">
        <v>2394</v>
      </c>
    </row>
    <row r="9813" spans="1:2" ht="13.2" x14ac:dyDescent="0.25">
      <c r="A9813" s="34" t="s">
        <v>2393</v>
      </c>
    </row>
    <row r="9814" spans="1:2" ht="13.2" x14ac:dyDescent="0.25">
      <c r="A9814" s="34" t="s">
        <v>2392</v>
      </c>
      <c r="B9814" s="35">
        <v>8.1448820078663804</v>
      </c>
    </row>
    <row r="9815" spans="1:2" ht="13.2" x14ac:dyDescent="0.25">
      <c r="A9815" s="34" t="s">
        <v>2391</v>
      </c>
      <c r="B9815" s="35">
        <v>7.7394600741425901</v>
      </c>
    </row>
    <row r="9816" spans="1:2" ht="13.2" x14ac:dyDescent="0.25">
      <c r="A9816" s="34" t="s">
        <v>2390</v>
      </c>
      <c r="B9816" s="35">
        <v>7.5949769646174801</v>
      </c>
    </row>
    <row r="9817" spans="1:2" ht="13.2" x14ac:dyDescent="0.25">
      <c r="A9817" s="34" t="s">
        <v>2389</v>
      </c>
      <c r="B9817" s="35">
        <v>7.4164469462385298</v>
      </c>
    </row>
    <row r="9818" spans="1:2" ht="13.2" x14ac:dyDescent="0.25">
      <c r="A9818" s="34" t="s">
        <v>2388</v>
      </c>
    </row>
    <row r="9819" spans="1:2" ht="13.2" x14ac:dyDescent="0.25">
      <c r="A9819" s="34" t="s">
        <v>2387</v>
      </c>
    </row>
    <row r="9820" spans="1:2" ht="13.2" x14ac:dyDescent="0.25">
      <c r="A9820" s="34" t="s">
        <v>2386</v>
      </c>
    </row>
    <row r="9821" spans="1:2" ht="13.2" x14ac:dyDescent="0.25">
      <c r="A9821" s="34" t="s">
        <v>2385</v>
      </c>
      <c r="B9821" s="35">
        <v>6.5086598376830898</v>
      </c>
    </row>
    <row r="9822" spans="1:2" ht="13.2" x14ac:dyDescent="0.25">
      <c r="A9822" s="34" t="s">
        <v>2384</v>
      </c>
      <c r="B9822" s="35">
        <v>5.8405242107942801</v>
      </c>
    </row>
    <row r="9823" spans="1:2" ht="13.2" x14ac:dyDescent="0.25">
      <c r="A9823" s="34" t="s">
        <v>2383</v>
      </c>
      <c r="B9823" s="35">
        <v>4.7694240832657204</v>
      </c>
    </row>
    <row r="9824" spans="1:2" ht="13.2" x14ac:dyDescent="0.25">
      <c r="A9824" s="34" t="s">
        <v>2382</v>
      </c>
      <c r="B9824" s="35">
        <v>4.6818107358419798</v>
      </c>
    </row>
    <row r="9825" spans="1:2" ht="13.2" x14ac:dyDescent="0.25">
      <c r="A9825" s="34" t="s">
        <v>2381</v>
      </c>
      <c r="B9825" s="35">
        <v>3.9305592951624702</v>
      </c>
    </row>
    <row r="9826" spans="1:2" ht="13.2" x14ac:dyDescent="0.25">
      <c r="A9826" s="34" t="s">
        <v>2380</v>
      </c>
    </row>
    <row r="9827" spans="1:2" ht="13.2" x14ac:dyDescent="0.25">
      <c r="A9827" s="34" t="s">
        <v>2379</v>
      </c>
    </row>
    <row r="9828" spans="1:2" ht="13.2" x14ac:dyDescent="0.25">
      <c r="A9828" s="34" t="s">
        <v>2378</v>
      </c>
      <c r="B9828" s="35">
        <v>3.9220390302649402</v>
      </c>
    </row>
    <row r="9829" spans="1:2" ht="13.2" x14ac:dyDescent="0.25">
      <c r="A9829" s="34" t="s">
        <v>2377</v>
      </c>
    </row>
    <row r="9830" spans="1:2" ht="13.2" x14ac:dyDescent="0.25">
      <c r="A9830" s="34" t="s">
        <v>2376</v>
      </c>
      <c r="B9830" s="35">
        <v>3.8889565704034199</v>
      </c>
    </row>
    <row r="9831" spans="1:2" ht="13.2" x14ac:dyDescent="0.25">
      <c r="A9831" s="34" t="s">
        <v>2375</v>
      </c>
      <c r="B9831" s="35">
        <v>3.6562702172053698</v>
      </c>
    </row>
    <row r="9832" spans="1:2" ht="13.2" x14ac:dyDescent="0.25">
      <c r="A9832" s="34" t="s">
        <v>2374</v>
      </c>
      <c r="B9832" s="35">
        <v>3.4255461735455799</v>
      </c>
    </row>
    <row r="9833" spans="1:2" ht="13.2" x14ac:dyDescent="0.25">
      <c r="A9833" s="34" t="s">
        <v>2373</v>
      </c>
    </row>
    <row r="9834" spans="1:2" ht="13.2" x14ac:dyDescent="0.25">
      <c r="A9834" s="34" t="s">
        <v>2372</v>
      </c>
    </row>
    <row r="9835" spans="1:2" ht="13.2" x14ac:dyDescent="0.25">
      <c r="A9835" s="34" t="s">
        <v>2371</v>
      </c>
      <c r="B9835" s="35">
        <v>3.1523878730563002</v>
      </c>
    </row>
    <row r="9836" spans="1:2" ht="13.2" x14ac:dyDescent="0.25">
      <c r="A9836" s="34" t="s">
        <v>2370</v>
      </c>
      <c r="B9836" s="35">
        <v>3.1659979629348798</v>
      </c>
    </row>
    <row r="9837" spans="1:2" ht="13.2" x14ac:dyDescent="0.25">
      <c r="A9837" s="34" t="s">
        <v>2369</v>
      </c>
      <c r="B9837" s="35">
        <v>2.8901438397711998</v>
      </c>
    </row>
    <row r="9838" spans="1:2" ht="13.2" x14ac:dyDescent="0.25">
      <c r="A9838" s="34" t="s">
        <v>2368</v>
      </c>
      <c r="B9838" s="35">
        <v>2.9971151197030701</v>
      </c>
    </row>
    <row r="9839" spans="1:2" ht="13.2" x14ac:dyDescent="0.25">
      <c r="A9839" s="34" t="s">
        <v>2367</v>
      </c>
    </row>
    <row r="9840" spans="1:2" ht="13.2" x14ac:dyDescent="0.25">
      <c r="A9840" s="34" t="s">
        <v>2366</v>
      </c>
    </row>
    <row r="9841" spans="1:2" ht="13.2" x14ac:dyDescent="0.25">
      <c r="A9841" s="34" t="s">
        <v>2365</v>
      </c>
    </row>
    <row r="9842" spans="1:2" ht="13.2" x14ac:dyDescent="0.25">
      <c r="A9842" s="34" t="s">
        <v>2364</v>
      </c>
      <c r="B9842" s="35">
        <v>2.9909413315914901</v>
      </c>
    </row>
    <row r="9843" spans="1:2" ht="13.2" x14ac:dyDescent="0.25">
      <c r="A9843" s="34" t="s">
        <v>2363</v>
      </c>
      <c r="B9843" s="35">
        <v>2.8989714160808302</v>
      </c>
    </row>
    <row r="9844" spans="1:2" ht="13.2" x14ac:dyDescent="0.25">
      <c r="A9844" s="34" t="s">
        <v>2362</v>
      </c>
      <c r="B9844" s="35">
        <v>2.8927008202445701</v>
      </c>
    </row>
    <row r="9845" spans="1:2" ht="13.2" x14ac:dyDescent="0.25">
      <c r="A9845" s="34" t="s">
        <v>2361</v>
      </c>
      <c r="B9845" s="35">
        <v>2.7527061555508401</v>
      </c>
    </row>
    <row r="9846" spans="1:2" ht="13.2" x14ac:dyDescent="0.25">
      <c r="A9846" s="34" t="s">
        <v>2360</v>
      </c>
      <c r="B9846" s="35">
        <v>2.4733027351563299</v>
      </c>
    </row>
    <row r="9847" spans="1:2" ht="13.2" x14ac:dyDescent="0.25">
      <c r="A9847" s="34" t="s">
        <v>2359</v>
      </c>
    </row>
    <row r="9848" spans="1:2" ht="13.2" x14ac:dyDescent="0.25">
      <c r="A9848" s="34" t="s">
        <v>2358</v>
      </c>
    </row>
    <row r="9849" spans="1:2" ht="13.2" x14ac:dyDescent="0.25">
      <c r="A9849" s="34" t="s">
        <v>2357</v>
      </c>
      <c r="B9849" s="35">
        <v>2.4276011133159101</v>
      </c>
    </row>
    <row r="9850" spans="1:2" ht="13.2" x14ac:dyDescent="0.25">
      <c r="A9850" s="34" t="s">
        <v>2356</v>
      </c>
      <c r="B9850" s="35">
        <v>2.3680231855068801</v>
      </c>
    </row>
    <row r="9851" spans="1:2" ht="13.2" x14ac:dyDescent="0.25">
      <c r="A9851" s="34" t="s">
        <v>2355</v>
      </c>
      <c r="B9851" s="35">
        <v>2.3532395724156001</v>
      </c>
    </row>
    <row r="9852" spans="1:2" ht="13.2" x14ac:dyDescent="0.25">
      <c r="A9852" s="34" t="s">
        <v>2354</v>
      </c>
      <c r="B9852" s="35">
        <v>2.3566576383657298</v>
      </c>
    </row>
    <row r="9853" spans="1:2" ht="13.2" x14ac:dyDescent="0.25">
      <c r="A9853" s="34" t="s">
        <v>2353</v>
      </c>
      <c r="B9853" s="35">
        <v>2.36899332531822</v>
      </c>
    </row>
    <row r="9854" spans="1:2" ht="13.2" x14ac:dyDescent="0.25">
      <c r="A9854" s="34" t="s">
        <v>2352</v>
      </c>
    </row>
    <row r="9855" spans="1:2" ht="13.2" x14ac:dyDescent="0.25">
      <c r="A9855" s="34" t="s">
        <v>2351</v>
      </c>
    </row>
    <row r="9856" spans="1:2" ht="13.2" x14ac:dyDescent="0.25">
      <c r="A9856" s="34" t="s">
        <v>2350</v>
      </c>
      <c r="B9856" s="35">
        <v>2.5630274569640901</v>
      </c>
    </row>
    <row r="9857" spans="1:2" ht="13.2" x14ac:dyDescent="0.25">
      <c r="A9857" s="34" t="s">
        <v>2349</v>
      </c>
      <c r="B9857" s="35">
        <v>2.5472126108180402</v>
      </c>
    </row>
    <row r="9858" spans="1:2" ht="13.2" x14ac:dyDescent="0.25">
      <c r="A9858" s="34" t="s">
        <v>2348</v>
      </c>
      <c r="B9858" s="35">
        <v>2.5324270121514498</v>
      </c>
    </row>
    <row r="9859" spans="1:2" ht="13.2" x14ac:dyDescent="0.25">
      <c r="A9859" s="34" t="s">
        <v>2347</v>
      </c>
      <c r="B9859" s="35">
        <v>2.5670282326476199</v>
      </c>
    </row>
    <row r="9860" spans="1:2" ht="13.2" x14ac:dyDescent="0.25">
      <c r="A9860" s="34" t="s">
        <v>2346</v>
      </c>
      <c r="B9860" s="35">
        <v>2.5425002460966599</v>
      </c>
    </row>
    <row r="9861" spans="1:2" ht="13.2" x14ac:dyDescent="0.25">
      <c r="A9861" s="34" t="s">
        <v>2345</v>
      </c>
    </row>
    <row r="9862" spans="1:2" ht="13.2" x14ac:dyDescent="0.25">
      <c r="A9862" s="34" t="s">
        <v>2344</v>
      </c>
    </row>
    <row r="9863" spans="1:2" ht="13.2" x14ac:dyDescent="0.25">
      <c r="A9863" s="34" t="s">
        <v>2343</v>
      </c>
      <c r="B9863" s="35">
        <v>2.6706163039025701</v>
      </c>
    </row>
    <row r="9864" spans="1:2" ht="13.2" x14ac:dyDescent="0.25">
      <c r="A9864" s="34" t="s">
        <v>2342</v>
      </c>
      <c r="B9864" s="35">
        <v>2.3043691496127501</v>
      </c>
    </row>
    <row r="9865" spans="1:2" ht="13.2" x14ac:dyDescent="0.25">
      <c r="A9865" s="34" t="s">
        <v>2341</v>
      </c>
      <c r="B9865" s="35">
        <v>2.2482883501981501</v>
      </c>
    </row>
    <row r="9866" spans="1:2" ht="13.2" x14ac:dyDescent="0.25">
      <c r="A9866" s="34" t="s">
        <v>2340</v>
      </c>
      <c r="B9866" s="35">
        <v>2.14392134399673</v>
      </c>
    </row>
    <row r="9867" spans="1:2" ht="13.2" x14ac:dyDescent="0.25">
      <c r="A9867" s="34" t="s">
        <v>2339</v>
      </c>
      <c r="B9867" s="35">
        <v>2.0982817806167602</v>
      </c>
    </row>
    <row r="9868" spans="1:2" ht="13.2" x14ac:dyDescent="0.25">
      <c r="A9868" s="34" t="s">
        <v>2338</v>
      </c>
    </row>
    <row r="9869" spans="1:2" ht="13.2" x14ac:dyDescent="0.25">
      <c r="A9869" s="34" t="s">
        <v>2337</v>
      </c>
    </row>
    <row r="9870" spans="1:2" ht="13.2" x14ac:dyDescent="0.25">
      <c r="A9870" s="34" t="s">
        <v>2336</v>
      </c>
      <c r="B9870" s="35">
        <v>1.9512019112560699</v>
      </c>
    </row>
    <row r="9871" spans="1:2" ht="13.2" x14ac:dyDescent="0.25">
      <c r="A9871" s="34" t="s">
        <v>2335</v>
      </c>
      <c r="B9871" s="35">
        <v>1.9214646647653</v>
      </c>
    </row>
    <row r="9872" spans="1:2" ht="13.2" x14ac:dyDescent="0.25">
      <c r="A9872" s="34" t="s">
        <v>2334</v>
      </c>
      <c r="B9872" s="35">
        <v>1.9471298963755601</v>
      </c>
    </row>
    <row r="9873" spans="1:2" ht="13.2" x14ac:dyDescent="0.25">
      <c r="A9873" s="34" t="s">
        <v>2333</v>
      </c>
      <c r="B9873" s="35">
        <v>1.92560037200797</v>
      </c>
    </row>
    <row r="9874" spans="1:2" ht="13.2" x14ac:dyDescent="0.25">
      <c r="A9874" s="34" t="s">
        <v>2332</v>
      </c>
      <c r="B9874" s="35">
        <v>1.8693199337731601</v>
      </c>
    </row>
    <row r="9875" spans="1:2" ht="13.2" x14ac:dyDescent="0.25">
      <c r="A9875" s="34" t="s">
        <v>2331</v>
      </c>
    </row>
    <row r="9876" spans="1:2" ht="13.2" x14ac:dyDescent="0.25">
      <c r="A9876" s="34" t="s">
        <v>2330</v>
      </c>
    </row>
    <row r="9877" spans="1:2" ht="13.2" x14ac:dyDescent="0.25">
      <c r="A9877" s="34" t="s">
        <v>2329</v>
      </c>
      <c r="B9877" s="35">
        <v>1.8916735848788599</v>
      </c>
    </row>
    <row r="9878" spans="1:2" ht="13.2" x14ac:dyDescent="0.25">
      <c r="A9878" s="34" t="s">
        <v>2328</v>
      </c>
      <c r="B9878" s="35">
        <v>1.8582508996582101</v>
      </c>
    </row>
    <row r="9879" spans="1:2" ht="13.2" x14ac:dyDescent="0.25">
      <c r="A9879" s="34" t="s">
        <v>2327</v>
      </c>
      <c r="B9879" s="35">
        <v>1.9050546862540101</v>
      </c>
    </row>
    <row r="9880" spans="1:2" ht="13.2" x14ac:dyDescent="0.25">
      <c r="A9880" s="34" t="s">
        <v>2326</v>
      </c>
    </row>
    <row r="9881" spans="1:2" ht="13.2" x14ac:dyDescent="0.25">
      <c r="A9881" s="34" t="s">
        <v>2325</v>
      </c>
      <c r="B9881" s="35">
        <v>1.9998094831123201</v>
      </c>
    </row>
    <row r="9882" spans="1:2" ht="13.2" x14ac:dyDescent="0.25">
      <c r="A9882" s="34" t="s">
        <v>2324</v>
      </c>
    </row>
    <row r="9883" spans="1:2" ht="13.2" x14ac:dyDescent="0.25">
      <c r="A9883" s="34" t="s">
        <v>2323</v>
      </c>
    </row>
    <row r="9884" spans="1:2" ht="13.2" x14ac:dyDescent="0.25">
      <c r="A9884" s="34" t="s">
        <v>2322</v>
      </c>
      <c r="B9884" s="35">
        <v>2.0113960644764202</v>
      </c>
    </row>
    <row r="9885" spans="1:2" ht="13.2" x14ac:dyDescent="0.25">
      <c r="A9885" s="34" t="s">
        <v>2321</v>
      </c>
      <c r="B9885" s="35">
        <v>1.92271704223739</v>
      </c>
    </row>
    <row r="9886" spans="1:2" ht="13.2" x14ac:dyDescent="0.25">
      <c r="A9886" s="34" t="s">
        <v>2320</v>
      </c>
      <c r="B9886" s="35">
        <v>1.7545191398798501</v>
      </c>
    </row>
    <row r="9887" spans="1:2" ht="13.2" x14ac:dyDescent="0.25">
      <c r="A9887" s="34" t="s">
        <v>2319</v>
      </c>
      <c r="B9887" s="35">
        <v>1.72849965717353</v>
      </c>
    </row>
    <row r="9888" spans="1:2" ht="13.2" x14ac:dyDescent="0.25">
      <c r="A9888" s="34" t="s">
        <v>2318</v>
      </c>
      <c r="B9888" s="35">
        <v>1.7301964766952</v>
      </c>
    </row>
    <row r="9889" spans="1:2" ht="13.2" x14ac:dyDescent="0.25">
      <c r="A9889" s="34" t="s">
        <v>2317</v>
      </c>
    </row>
    <row r="9890" spans="1:2" ht="13.2" x14ac:dyDescent="0.25">
      <c r="A9890" s="34" t="s">
        <v>2316</v>
      </c>
    </row>
    <row r="9891" spans="1:2" ht="13.2" x14ac:dyDescent="0.25">
      <c r="A9891" s="34" t="s">
        <v>2315</v>
      </c>
      <c r="B9891" s="35">
        <v>1.7632729006488901</v>
      </c>
    </row>
    <row r="9892" spans="1:2" ht="13.2" x14ac:dyDescent="0.25">
      <c r="A9892" s="34" t="s">
        <v>2314</v>
      </c>
      <c r="B9892" s="35">
        <v>1.72019250025864</v>
      </c>
    </row>
    <row r="9893" spans="1:2" ht="13.2" x14ac:dyDescent="0.25">
      <c r="A9893" s="34" t="s">
        <v>2313</v>
      </c>
      <c r="B9893" s="35">
        <v>1.6079424837540699</v>
      </c>
    </row>
    <row r="9894" spans="1:2" ht="13.2" x14ac:dyDescent="0.25">
      <c r="A9894" s="34" t="s">
        <v>2312</v>
      </c>
      <c r="B9894" s="35">
        <v>1.62118660897911</v>
      </c>
    </row>
    <row r="9895" spans="1:2" ht="13.2" x14ac:dyDescent="0.25">
      <c r="A9895" s="34" t="s">
        <v>2311</v>
      </c>
      <c r="B9895" s="35">
        <v>1.6422554334733701</v>
      </c>
    </row>
    <row r="9896" spans="1:2" ht="13.2" x14ac:dyDescent="0.25">
      <c r="A9896" s="34" t="s">
        <v>2310</v>
      </c>
    </row>
    <row r="9897" spans="1:2" ht="13.2" x14ac:dyDescent="0.25">
      <c r="A9897" s="34" t="s">
        <v>2309</v>
      </c>
    </row>
    <row r="9898" spans="1:2" ht="13.2" x14ac:dyDescent="0.25">
      <c r="A9898" s="34" t="s">
        <v>2308</v>
      </c>
      <c r="B9898" s="35">
        <v>1.64696859758099</v>
      </c>
    </row>
    <row r="9899" spans="1:2" ht="13.2" x14ac:dyDescent="0.25">
      <c r="A9899" s="34" t="s">
        <v>2307</v>
      </c>
      <c r="B9899" s="35">
        <v>1.6664808442582599</v>
      </c>
    </row>
    <row r="9900" spans="1:2" ht="13.2" x14ac:dyDescent="0.25">
      <c r="A9900" s="34" t="s">
        <v>2306</v>
      </c>
      <c r="B9900" s="35">
        <v>1.6615454405049701</v>
      </c>
    </row>
    <row r="9901" spans="1:2" ht="13.2" x14ac:dyDescent="0.25">
      <c r="A9901" s="34" t="s">
        <v>2305</v>
      </c>
      <c r="B9901" s="35">
        <v>1.57589309489312</v>
      </c>
    </row>
    <row r="9902" spans="1:2" ht="13.2" x14ac:dyDescent="0.25">
      <c r="A9902" s="34" t="s">
        <v>2304</v>
      </c>
      <c r="B9902" s="35">
        <v>1.51930942902221</v>
      </c>
    </row>
    <row r="9903" spans="1:2" ht="13.2" x14ac:dyDescent="0.25">
      <c r="A9903" s="34" t="s">
        <v>2303</v>
      </c>
    </row>
    <row r="9904" spans="1:2" ht="13.2" x14ac:dyDescent="0.25">
      <c r="A9904" s="34" t="s">
        <v>2302</v>
      </c>
    </row>
    <row r="9905" spans="1:2" ht="13.2" x14ac:dyDescent="0.25">
      <c r="A9905" s="34" t="s">
        <v>2301</v>
      </c>
      <c r="B9905" s="35">
        <v>1.5767186286632699</v>
      </c>
    </row>
    <row r="9906" spans="1:2" ht="13.2" x14ac:dyDescent="0.25">
      <c r="A9906" s="34" t="s">
        <v>2300</v>
      </c>
      <c r="B9906" s="35">
        <v>1.60080065949882</v>
      </c>
    </row>
    <row r="9907" spans="1:2" ht="13.2" x14ac:dyDescent="0.25">
      <c r="A9907" s="34" t="s">
        <v>2299</v>
      </c>
      <c r="B9907" s="35">
        <v>1.51459739513281</v>
      </c>
    </row>
    <row r="9908" spans="1:2" ht="13.2" x14ac:dyDescent="0.25">
      <c r="A9908" s="34" t="s">
        <v>2298</v>
      </c>
      <c r="B9908" s="35">
        <v>1.50556169439145</v>
      </c>
    </row>
    <row r="9909" spans="1:2" ht="13.2" x14ac:dyDescent="0.25">
      <c r="A9909" s="34" t="s">
        <v>2297</v>
      </c>
      <c r="B9909" s="35">
        <v>1.41979973062062</v>
      </c>
    </row>
    <row r="9910" spans="1:2" ht="13.2" x14ac:dyDescent="0.25">
      <c r="A9910" s="34" t="s">
        <v>2296</v>
      </c>
    </row>
    <row r="9911" spans="1:2" ht="13.2" x14ac:dyDescent="0.25">
      <c r="A9911" s="34" t="s">
        <v>2295</v>
      </c>
    </row>
    <row r="9912" spans="1:2" ht="13.2" x14ac:dyDescent="0.25">
      <c r="A9912" s="34" t="s">
        <v>2294</v>
      </c>
      <c r="B9912" s="35">
        <v>1.3725533274555599</v>
      </c>
    </row>
    <row r="9913" spans="1:2" ht="13.2" x14ac:dyDescent="0.25">
      <c r="A9913" s="34" t="s">
        <v>2293</v>
      </c>
      <c r="B9913" s="35">
        <v>1.39665475315947</v>
      </c>
    </row>
    <row r="9914" spans="1:2" ht="13.2" x14ac:dyDescent="0.25">
      <c r="A9914" s="34" t="s">
        <v>2292</v>
      </c>
      <c r="B9914" s="35">
        <v>1.3996272777946901</v>
      </c>
    </row>
    <row r="9915" spans="1:2" ht="13.2" x14ac:dyDescent="0.25">
      <c r="A9915" s="34" t="s">
        <v>2291</v>
      </c>
      <c r="B9915" s="35">
        <v>1.3837897874784699</v>
      </c>
    </row>
    <row r="9916" spans="1:2" ht="13.2" x14ac:dyDescent="0.25">
      <c r="A9916" s="34" t="s">
        <v>2290</v>
      </c>
      <c r="B9916" s="35">
        <v>1.4533409286205199</v>
      </c>
    </row>
    <row r="9917" spans="1:2" ht="13.2" x14ac:dyDescent="0.25">
      <c r="A9917" s="34" t="s">
        <v>2289</v>
      </c>
    </row>
    <row r="9918" spans="1:2" ht="13.2" x14ac:dyDescent="0.25">
      <c r="A9918" s="34" t="s">
        <v>2288</v>
      </c>
    </row>
    <row r="9919" spans="1:2" ht="13.2" x14ac:dyDescent="0.25">
      <c r="A9919" s="34" t="s">
        <v>2287</v>
      </c>
      <c r="B9919" s="35">
        <v>1.4751341789292101</v>
      </c>
    </row>
    <row r="9920" spans="1:2" ht="13.2" x14ac:dyDescent="0.25">
      <c r="A9920" s="34" t="s">
        <v>2286</v>
      </c>
      <c r="B9920" s="35">
        <v>1.4305776465617199</v>
      </c>
    </row>
    <row r="9921" spans="1:2" ht="13.2" x14ac:dyDescent="0.25">
      <c r="A9921" s="34" t="s">
        <v>2285</v>
      </c>
      <c r="B9921" s="35">
        <v>1.4326799390668501</v>
      </c>
    </row>
    <row r="9922" spans="1:2" ht="13.2" x14ac:dyDescent="0.25">
      <c r="A9922" s="34" t="s">
        <v>2284</v>
      </c>
      <c r="B9922" s="35">
        <v>1.4520438513307801</v>
      </c>
    </row>
    <row r="9923" spans="1:2" ht="13.2" x14ac:dyDescent="0.25">
      <c r="A9923" s="34" t="s">
        <v>2283</v>
      </c>
      <c r="B9923" s="35">
        <v>1.4218764407325499</v>
      </c>
    </row>
    <row r="9924" spans="1:2" ht="13.2" x14ac:dyDescent="0.25">
      <c r="A9924" s="34" t="s">
        <v>2282</v>
      </c>
    </row>
    <row r="9925" spans="1:2" ht="13.2" x14ac:dyDescent="0.25">
      <c r="A9925" s="34" t="s">
        <v>2281</v>
      </c>
    </row>
    <row r="9926" spans="1:2" ht="13.2" x14ac:dyDescent="0.25">
      <c r="A9926" s="34" t="s">
        <v>2280</v>
      </c>
      <c r="B9926" s="35">
        <v>1.33972026173322</v>
      </c>
    </row>
    <row r="9927" spans="1:2" ht="13.2" x14ac:dyDescent="0.25">
      <c r="A9927" s="34" t="s">
        <v>2279</v>
      </c>
      <c r="B9927" s="35">
        <v>1.30666059280738</v>
      </c>
    </row>
    <row r="9928" spans="1:2" ht="13.2" x14ac:dyDescent="0.25">
      <c r="A9928" s="34" t="s">
        <v>2278</v>
      </c>
      <c r="B9928" s="35">
        <v>1.2990488019317401</v>
      </c>
    </row>
    <row r="9929" spans="1:2" ht="13.2" x14ac:dyDescent="0.25">
      <c r="A9929" s="34" t="s">
        <v>2277</v>
      </c>
      <c r="B9929" s="35">
        <v>1.3086872289531899</v>
      </c>
    </row>
    <row r="9930" spans="1:2" ht="13.2" x14ac:dyDescent="0.25">
      <c r="A9930" s="34" t="s">
        <v>2276</v>
      </c>
      <c r="B9930" s="35">
        <v>1.4112285586055999</v>
      </c>
    </row>
    <row r="9931" spans="1:2" ht="13.2" x14ac:dyDescent="0.25">
      <c r="A9931" s="34" t="s">
        <v>2275</v>
      </c>
    </row>
    <row r="9932" spans="1:2" ht="13.2" x14ac:dyDescent="0.25">
      <c r="A9932" s="34" t="s">
        <v>2274</v>
      </c>
    </row>
    <row r="9933" spans="1:2" ht="13.2" x14ac:dyDescent="0.25">
      <c r="A9933" s="34" t="s">
        <v>2273</v>
      </c>
      <c r="B9933" s="35">
        <v>1.4127809150072099</v>
      </c>
    </row>
    <row r="9934" spans="1:2" ht="13.2" x14ac:dyDescent="0.25">
      <c r="A9934" s="34" t="s">
        <v>2272</v>
      </c>
      <c r="B9934" s="35">
        <v>1.39655281949847</v>
      </c>
    </row>
    <row r="9935" spans="1:2" ht="13.2" x14ac:dyDescent="0.25">
      <c r="A9935" s="34" t="s">
        <v>2271</v>
      </c>
      <c r="B9935" s="35">
        <v>1.3971027223838399</v>
      </c>
    </row>
    <row r="9936" spans="1:2" ht="13.2" x14ac:dyDescent="0.25">
      <c r="A9936" s="34" t="s">
        <v>2270</v>
      </c>
      <c r="B9936" s="35">
        <v>1.35778886700284</v>
      </c>
    </row>
    <row r="9937" spans="1:2" ht="13.2" x14ac:dyDescent="0.25">
      <c r="A9937" s="34" t="s">
        <v>2269</v>
      </c>
      <c r="B9937" s="35">
        <v>1.38667612154061</v>
      </c>
    </row>
    <row r="9938" spans="1:2" ht="13.2" x14ac:dyDescent="0.25">
      <c r="A9938" s="34" t="s">
        <v>2268</v>
      </c>
    </row>
    <row r="9939" spans="1:2" ht="13.2" x14ac:dyDescent="0.25">
      <c r="A9939" s="34" t="s">
        <v>2267</v>
      </c>
    </row>
    <row r="9940" spans="1:2" ht="13.2" x14ac:dyDescent="0.25">
      <c r="A9940" s="34" t="s">
        <v>2266</v>
      </c>
      <c r="B9940" s="35">
        <v>1.3817697460378799</v>
      </c>
    </row>
    <row r="9941" spans="1:2" ht="13.2" x14ac:dyDescent="0.25">
      <c r="A9941" s="34" t="s">
        <v>2265</v>
      </c>
      <c r="B9941" s="35">
        <v>1.37607186403566</v>
      </c>
    </row>
    <row r="9942" spans="1:2" ht="13.2" x14ac:dyDescent="0.25">
      <c r="A9942" s="34" t="s">
        <v>2264</v>
      </c>
      <c r="B9942" s="35">
        <v>1.3275916093931801</v>
      </c>
    </row>
    <row r="9943" spans="1:2" ht="13.2" x14ac:dyDescent="0.25">
      <c r="A9943" s="34" t="s">
        <v>2263</v>
      </c>
      <c r="B9943" s="35">
        <v>1.34516615524451</v>
      </c>
    </row>
    <row r="9944" spans="1:2" ht="13.2" x14ac:dyDescent="0.25">
      <c r="A9944" s="34" t="s">
        <v>2262</v>
      </c>
      <c r="B9944" s="35">
        <v>1.3327783580730199</v>
      </c>
    </row>
    <row r="9945" spans="1:2" ht="13.2" x14ac:dyDescent="0.25">
      <c r="A9945" s="34" t="s">
        <v>2261</v>
      </c>
    </row>
    <row r="9946" spans="1:2" ht="13.2" x14ac:dyDescent="0.25">
      <c r="A9946" s="34" t="s">
        <v>2260</v>
      </c>
    </row>
    <row r="9947" spans="1:2" ht="13.2" x14ac:dyDescent="0.25">
      <c r="A9947" s="34" t="s">
        <v>2259</v>
      </c>
      <c r="B9947" s="35">
        <v>1.2814798050823</v>
      </c>
    </row>
    <row r="9948" spans="1:2" ht="13.2" x14ac:dyDescent="0.25">
      <c r="A9948" s="34" t="s">
        <v>2258</v>
      </c>
      <c r="B9948" s="35">
        <v>1.3582811654598601</v>
      </c>
    </row>
    <row r="9949" spans="1:2" ht="13.2" x14ac:dyDescent="0.25">
      <c r="A9949" s="34" t="s">
        <v>2257</v>
      </c>
      <c r="B9949" s="35">
        <v>1.3787551828340601</v>
      </c>
    </row>
    <row r="9950" spans="1:2" ht="13.2" x14ac:dyDescent="0.25">
      <c r="A9950" s="34" t="s">
        <v>2256</v>
      </c>
      <c r="B9950" s="35">
        <v>1.3886971155388601</v>
      </c>
    </row>
    <row r="9951" spans="1:2" ht="13.2" x14ac:dyDescent="0.25">
      <c r="A9951" s="34" t="s">
        <v>2255</v>
      </c>
      <c r="B9951" s="35">
        <v>1.3259940777414101</v>
      </c>
    </row>
    <row r="9952" spans="1:2" ht="13.2" x14ac:dyDescent="0.25">
      <c r="A9952" s="34" t="s">
        <v>2254</v>
      </c>
    </row>
    <row r="9953" spans="1:2" ht="13.2" x14ac:dyDescent="0.25">
      <c r="A9953" s="34" t="s">
        <v>2253</v>
      </c>
    </row>
    <row r="9954" spans="1:2" ht="13.2" x14ac:dyDescent="0.25">
      <c r="A9954" s="34" t="s">
        <v>2252</v>
      </c>
      <c r="B9954" s="35">
        <v>1.3372728257072299</v>
      </c>
    </row>
    <row r="9955" spans="1:2" ht="13.2" x14ac:dyDescent="0.25">
      <c r="A9955" s="34" t="s">
        <v>2251</v>
      </c>
      <c r="B9955" s="35">
        <v>1.2539113013464001</v>
      </c>
    </row>
    <row r="9956" spans="1:2" ht="13.2" x14ac:dyDescent="0.25">
      <c r="A9956" s="34" t="s">
        <v>2250</v>
      </c>
      <c r="B9956" s="35">
        <v>1.2880615198663401</v>
      </c>
    </row>
    <row r="9957" spans="1:2" ht="13.2" x14ac:dyDescent="0.25">
      <c r="A9957" s="34" t="s">
        <v>2249</v>
      </c>
      <c r="B9957" s="35">
        <v>1.2366480743472199</v>
      </c>
    </row>
    <row r="9958" spans="1:2" ht="13.2" x14ac:dyDescent="0.25">
      <c r="A9958" s="34" t="s">
        <v>2248</v>
      </c>
      <c r="B9958" s="35">
        <v>1.2895250024273599</v>
      </c>
    </row>
    <row r="9959" spans="1:2" ht="13.2" x14ac:dyDescent="0.25">
      <c r="A9959" s="34" t="s">
        <v>2247</v>
      </c>
    </row>
    <row r="9960" spans="1:2" ht="13.2" x14ac:dyDescent="0.25">
      <c r="A9960" s="34" t="s">
        <v>2246</v>
      </c>
    </row>
    <row r="9961" spans="1:2" ht="13.2" x14ac:dyDescent="0.25">
      <c r="A9961" s="34" t="s">
        <v>2245</v>
      </c>
      <c r="B9961" s="35">
        <v>1.3518439809954701</v>
      </c>
    </row>
    <row r="9962" spans="1:2" ht="13.2" x14ac:dyDescent="0.25">
      <c r="A9962" s="34" t="s">
        <v>2244</v>
      </c>
      <c r="B9962" s="35">
        <v>1.4970679190266101</v>
      </c>
    </row>
    <row r="9963" spans="1:2" ht="13.2" x14ac:dyDescent="0.25">
      <c r="A9963" s="34" t="s">
        <v>2243</v>
      </c>
      <c r="B9963" s="35">
        <v>1.4557202837955201</v>
      </c>
    </row>
    <row r="9964" spans="1:2" ht="13.2" x14ac:dyDescent="0.25">
      <c r="A9964" s="34" t="s">
        <v>2242</v>
      </c>
      <c r="B9964" s="35">
        <v>1.43470847310516</v>
      </c>
    </row>
    <row r="9965" spans="1:2" ht="13.2" x14ac:dyDescent="0.25">
      <c r="A9965" s="34" t="s">
        <v>2241</v>
      </c>
      <c r="B9965" s="35">
        <v>1.4074768789076599</v>
      </c>
    </row>
    <row r="9966" spans="1:2" ht="13.2" x14ac:dyDescent="0.25">
      <c r="A9966" s="34" t="s">
        <v>2240</v>
      </c>
    </row>
    <row r="9967" spans="1:2" ht="13.2" x14ac:dyDescent="0.25">
      <c r="A9967" s="34" t="s">
        <v>2239</v>
      </c>
    </row>
    <row r="9968" spans="1:2" ht="13.2" x14ac:dyDescent="0.25">
      <c r="A9968" s="34" t="s">
        <v>2238</v>
      </c>
    </row>
    <row r="9969" spans="1:2" ht="13.2" x14ac:dyDescent="0.25">
      <c r="A9969" s="34" t="s">
        <v>2237</v>
      </c>
      <c r="B9969" s="35">
        <v>1.40269613910459</v>
      </c>
    </row>
    <row r="9970" spans="1:2" ht="13.2" x14ac:dyDescent="0.25">
      <c r="A9970" s="34" t="s">
        <v>2236</v>
      </c>
      <c r="B9970" s="35">
        <v>1.4245555918266399</v>
      </c>
    </row>
    <row r="9971" spans="1:2" ht="13.2" x14ac:dyDescent="0.25">
      <c r="A9971" s="34" t="s">
        <v>2235</v>
      </c>
      <c r="B9971" s="35">
        <v>1.4962576755453301</v>
      </c>
    </row>
    <row r="9972" spans="1:2" ht="13.2" x14ac:dyDescent="0.25">
      <c r="A9972" s="34" t="s">
        <v>2234</v>
      </c>
      <c r="B9972" s="35">
        <v>1.49765164575664</v>
      </c>
    </row>
    <row r="9973" spans="1:2" ht="13.2" x14ac:dyDescent="0.25">
      <c r="A9973" s="34" t="s">
        <v>2233</v>
      </c>
    </row>
    <row r="9974" spans="1:2" ht="13.2" x14ac:dyDescent="0.25">
      <c r="A9974" s="34" t="s">
        <v>2232</v>
      </c>
    </row>
    <row r="9975" spans="1:2" ht="13.2" x14ac:dyDescent="0.25">
      <c r="A9975" s="34" t="s">
        <v>2231</v>
      </c>
      <c r="B9975" s="35">
        <v>1.5257115498685501</v>
      </c>
    </row>
    <row r="9976" spans="1:2" ht="13.2" x14ac:dyDescent="0.25">
      <c r="A9976" s="34" t="s">
        <v>2230</v>
      </c>
      <c r="B9976" s="35">
        <v>1.5120268410574</v>
      </c>
    </row>
    <row r="9977" spans="1:2" ht="13.2" x14ac:dyDescent="0.25">
      <c r="A9977" s="34" t="s">
        <v>2229</v>
      </c>
      <c r="B9977" s="35">
        <v>1.4680205189505</v>
      </c>
    </row>
    <row r="9978" spans="1:2" ht="13.2" x14ac:dyDescent="0.25">
      <c r="A9978" s="34" t="s">
        <v>2228</v>
      </c>
      <c r="B9978" s="35">
        <v>1.36195966598381</v>
      </c>
    </row>
    <row r="9979" spans="1:2" ht="13.2" x14ac:dyDescent="0.25">
      <c r="A9979" s="34" t="s">
        <v>2227</v>
      </c>
      <c r="B9979" s="35">
        <v>1.39393239612402</v>
      </c>
    </row>
    <row r="9980" spans="1:2" ht="13.2" x14ac:dyDescent="0.25">
      <c r="A9980" s="34" t="s">
        <v>2226</v>
      </c>
    </row>
    <row r="9981" spans="1:2" ht="13.2" x14ac:dyDescent="0.25">
      <c r="A9981" s="34" t="s">
        <v>2225</v>
      </c>
    </row>
    <row r="9982" spans="1:2" ht="13.2" x14ac:dyDescent="0.25">
      <c r="A9982" s="34" t="s">
        <v>2224</v>
      </c>
      <c r="B9982" s="35">
        <v>1.4072787341600499</v>
      </c>
    </row>
    <row r="9983" spans="1:2" ht="13.2" x14ac:dyDescent="0.25">
      <c r="A9983" s="34" t="s">
        <v>2223</v>
      </c>
      <c r="B9983" s="35">
        <v>1.4108796423707399</v>
      </c>
    </row>
    <row r="9984" spans="1:2" ht="13.2" x14ac:dyDescent="0.25">
      <c r="A9984" s="34" t="s">
        <v>2222</v>
      </c>
      <c r="B9984" s="35">
        <v>1.42490892624784</v>
      </c>
    </row>
    <row r="9985" spans="1:2" ht="13.2" x14ac:dyDescent="0.25">
      <c r="A9985" s="34" t="s">
        <v>2221</v>
      </c>
      <c r="B9985" s="35">
        <v>1.4692307029657801</v>
      </c>
    </row>
    <row r="9986" spans="1:2" ht="13.2" x14ac:dyDescent="0.25">
      <c r="A9986" s="34" t="s">
        <v>2220</v>
      </c>
      <c r="B9986" s="35">
        <v>1.44257448139992</v>
      </c>
    </row>
    <row r="9987" spans="1:2" ht="13.2" x14ac:dyDescent="0.25">
      <c r="A9987" s="34" t="s">
        <v>2219</v>
      </c>
    </row>
    <row r="9988" spans="1:2" ht="13.2" x14ac:dyDescent="0.25">
      <c r="A9988" s="34" t="s">
        <v>2218</v>
      </c>
    </row>
    <row r="9989" spans="1:2" ht="13.2" x14ac:dyDescent="0.25">
      <c r="A9989" s="34" t="s">
        <v>2217</v>
      </c>
      <c r="B9989" s="35">
        <v>1.5234115991723101</v>
      </c>
    </row>
    <row r="9990" spans="1:2" ht="13.2" x14ac:dyDescent="0.25">
      <c r="A9990" s="34" t="s">
        <v>2216</v>
      </c>
      <c r="B9990" s="35">
        <v>1.47691331948348</v>
      </c>
    </row>
    <row r="9991" spans="1:2" ht="13.2" x14ac:dyDescent="0.25">
      <c r="A9991" s="34" t="s">
        <v>2215</v>
      </c>
      <c r="B9991" s="35">
        <v>1.4093754719070299</v>
      </c>
    </row>
    <row r="9992" spans="1:2" ht="13.2" x14ac:dyDescent="0.25">
      <c r="A9992" s="34" t="s">
        <v>2214</v>
      </c>
      <c r="B9992" s="35">
        <v>1.2614886979292601</v>
      </c>
    </row>
    <row r="9993" spans="1:2" ht="13.2" x14ac:dyDescent="0.25">
      <c r="A9993" s="34" t="s">
        <v>2213</v>
      </c>
      <c r="B9993" s="35">
        <v>1.28909100015606</v>
      </c>
    </row>
    <row r="9994" spans="1:2" ht="13.2" x14ac:dyDescent="0.25">
      <c r="A9994" s="34" t="s">
        <v>2212</v>
      </c>
    </row>
    <row r="9995" spans="1:2" ht="13.2" x14ac:dyDescent="0.25">
      <c r="A9995" s="34" t="s">
        <v>2211</v>
      </c>
    </row>
    <row r="9996" spans="1:2" ht="13.2" x14ac:dyDescent="0.25">
      <c r="A9996" s="34" t="s">
        <v>2210</v>
      </c>
      <c r="B9996" s="35">
        <v>1.39019693853795</v>
      </c>
    </row>
    <row r="9997" spans="1:2" ht="13.2" x14ac:dyDescent="0.25">
      <c r="A9997" s="34" t="s">
        <v>2209</v>
      </c>
      <c r="B9997" s="35">
        <v>1.38075380743706</v>
      </c>
    </row>
    <row r="9998" spans="1:2" ht="13.2" x14ac:dyDescent="0.25">
      <c r="A9998" s="34" t="s">
        <v>2208</v>
      </c>
      <c r="B9998" s="35">
        <v>1.36515881491442</v>
      </c>
    </row>
    <row r="9999" spans="1:2" ht="13.2" x14ac:dyDescent="0.25">
      <c r="A9999" s="34" t="s">
        <v>2207</v>
      </c>
      <c r="B9999" s="35">
        <v>1.4551901148369999</v>
      </c>
    </row>
    <row r="10000" spans="1:2" ht="13.2" x14ac:dyDescent="0.25">
      <c r="A10000" s="34" t="s">
        <v>2206</v>
      </c>
      <c r="B10000" s="35">
        <v>1.3597303452290399</v>
      </c>
    </row>
    <row r="10001" spans="1:2" ht="13.2" x14ac:dyDescent="0.25">
      <c r="A10001" s="34" t="s">
        <v>2205</v>
      </c>
    </row>
    <row r="10002" spans="1:2" ht="13.2" x14ac:dyDescent="0.25">
      <c r="A10002" s="34" t="s">
        <v>2204</v>
      </c>
    </row>
    <row r="10003" spans="1:2" ht="13.2" x14ac:dyDescent="0.25">
      <c r="A10003" s="34" t="s">
        <v>2203</v>
      </c>
    </row>
    <row r="10004" spans="1:2" ht="13.2" x14ac:dyDescent="0.25">
      <c r="A10004" s="34" t="s">
        <v>2202</v>
      </c>
      <c r="B10004" s="35">
        <v>1.37697172279753</v>
      </c>
    </row>
    <row r="10005" spans="1:2" ht="13.2" x14ac:dyDescent="0.25">
      <c r="A10005" s="34" t="s">
        <v>2201</v>
      </c>
      <c r="B10005" s="35">
        <v>1.32058942530765</v>
      </c>
    </row>
    <row r="10006" spans="1:2" ht="13.2" x14ac:dyDescent="0.25">
      <c r="A10006" s="34" t="s">
        <v>2200</v>
      </c>
      <c r="B10006" s="35">
        <v>1.32148476630773</v>
      </c>
    </row>
    <row r="10007" spans="1:2" ht="13.2" x14ac:dyDescent="0.25">
      <c r="A10007" s="34" t="s">
        <v>2199</v>
      </c>
      <c r="B10007" s="35">
        <v>1.32462785500983</v>
      </c>
    </row>
    <row r="10008" spans="1:2" ht="13.2" x14ac:dyDescent="0.25">
      <c r="A10008" s="34" t="s">
        <v>2198</v>
      </c>
    </row>
    <row r="10009" spans="1:2" ht="13.2" x14ac:dyDescent="0.25">
      <c r="A10009" s="34" t="s">
        <v>2197</v>
      </c>
    </row>
    <row r="10010" spans="1:2" ht="13.2" x14ac:dyDescent="0.25">
      <c r="A10010" s="34" t="s">
        <v>2196</v>
      </c>
      <c r="B10010" s="35">
        <v>1.3234556089181999</v>
      </c>
    </row>
    <row r="10011" spans="1:2" ht="13.2" x14ac:dyDescent="0.25">
      <c r="A10011" s="34" t="s">
        <v>2195</v>
      </c>
      <c r="B10011" s="35">
        <v>1.3254258179682601</v>
      </c>
    </row>
    <row r="10012" spans="1:2" ht="13.2" x14ac:dyDescent="0.25">
      <c r="A10012" s="34" t="s">
        <v>2194</v>
      </c>
      <c r="B10012" s="35">
        <v>1.28432995205253</v>
      </c>
    </row>
    <row r="10013" spans="1:2" ht="13.2" x14ac:dyDescent="0.25">
      <c r="A10013" s="34" t="s">
        <v>2193</v>
      </c>
      <c r="B10013" s="35">
        <v>1.30969524822794</v>
      </c>
    </row>
    <row r="10014" spans="1:2" ht="13.2" x14ac:dyDescent="0.25">
      <c r="A10014" s="34" t="s">
        <v>2192</v>
      </c>
      <c r="B10014" s="35">
        <v>1.2578508885006101</v>
      </c>
    </row>
    <row r="10015" spans="1:2" ht="13.2" x14ac:dyDescent="0.25">
      <c r="A10015" s="34" t="s">
        <v>2191</v>
      </c>
    </row>
    <row r="10016" spans="1:2" ht="13.2" x14ac:dyDescent="0.25">
      <c r="A10016" s="34" t="s">
        <v>2190</v>
      </c>
    </row>
    <row r="10017" spans="1:2" ht="13.2" x14ac:dyDescent="0.25">
      <c r="A10017" s="34" t="s">
        <v>2189</v>
      </c>
      <c r="B10017" s="35">
        <v>1.2382539423244501</v>
      </c>
    </row>
    <row r="10018" spans="1:2" ht="13.2" x14ac:dyDescent="0.25">
      <c r="A10018" s="34" t="s">
        <v>2188</v>
      </c>
      <c r="B10018" s="35">
        <v>1.2862400118120001</v>
      </c>
    </row>
    <row r="10019" spans="1:2" ht="13.2" x14ac:dyDescent="0.25">
      <c r="A10019" s="34" t="s">
        <v>2187</v>
      </c>
      <c r="B10019" s="35">
        <v>1.52258630084693</v>
      </c>
    </row>
    <row r="10020" spans="1:2" ht="13.2" x14ac:dyDescent="0.25">
      <c r="A10020" s="34" t="s">
        <v>2186</v>
      </c>
      <c r="B10020" s="35">
        <v>1.51958486994091</v>
      </c>
    </row>
    <row r="10021" spans="1:2" ht="13.2" x14ac:dyDescent="0.25">
      <c r="A10021" s="34" t="s">
        <v>2185</v>
      </c>
      <c r="B10021" s="35">
        <v>1.6290325723255801</v>
      </c>
    </row>
    <row r="10022" spans="1:2" ht="13.2" x14ac:dyDescent="0.25">
      <c r="A10022" s="34" t="s">
        <v>2184</v>
      </c>
    </row>
    <row r="10023" spans="1:2" ht="13.2" x14ac:dyDescent="0.25">
      <c r="A10023" s="34" t="s">
        <v>2183</v>
      </c>
    </row>
    <row r="10024" spans="1:2" ht="13.2" x14ac:dyDescent="0.25">
      <c r="A10024" s="34" t="s">
        <v>2182</v>
      </c>
    </row>
    <row r="10025" spans="1:2" ht="13.2" x14ac:dyDescent="0.25">
      <c r="A10025" s="34" t="s">
        <v>2181</v>
      </c>
      <c r="B10025" s="35">
        <v>1.6616870720038801</v>
      </c>
    </row>
    <row r="10026" spans="1:2" ht="13.2" x14ac:dyDescent="0.25">
      <c r="A10026" s="34" t="s">
        <v>2180</v>
      </c>
      <c r="B10026" s="35">
        <v>1.6938823071419</v>
      </c>
    </row>
    <row r="10027" spans="1:2" ht="13.2" x14ac:dyDescent="0.25">
      <c r="A10027" s="34" t="s">
        <v>2179</v>
      </c>
      <c r="B10027" s="35">
        <v>1.74929697857424</v>
      </c>
    </row>
    <row r="10028" spans="1:2" ht="13.2" x14ac:dyDescent="0.25">
      <c r="A10028" s="34" t="s">
        <v>2178</v>
      </c>
      <c r="B10028" s="35">
        <v>1.7422482033026701</v>
      </c>
    </row>
    <row r="10029" spans="1:2" ht="13.2" x14ac:dyDescent="0.25">
      <c r="A10029" s="34" t="s">
        <v>2177</v>
      </c>
    </row>
    <row r="10030" spans="1:2" ht="13.2" x14ac:dyDescent="0.25">
      <c r="A10030" s="34" t="s">
        <v>2176</v>
      </c>
    </row>
    <row r="10031" spans="1:2" ht="13.2" x14ac:dyDescent="0.25">
      <c r="A10031" s="34" t="s">
        <v>2175</v>
      </c>
      <c r="B10031" s="35">
        <v>1.8427165210473699</v>
      </c>
    </row>
    <row r="10032" spans="1:2" ht="13.2" x14ac:dyDescent="0.25">
      <c r="A10032" s="34" t="s">
        <v>2174</v>
      </c>
      <c r="B10032" s="35">
        <v>1.7958115467940901</v>
      </c>
    </row>
    <row r="10033" spans="1:2" ht="13.2" x14ac:dyDescent="0.25">
      <c r="A10033" s="34" t="s">
        <v>2173</v>
      </c>
      <c r="B10033" s="35">
        <v>1.8046413802112899</v>
      </c>
    </row>
    <row r="10034" spans="1:2" ht="13.2" x14ac:dyDescent="0.25">
      <c r="A10034" s="34" t="s">
        <v>2172</v>
      </c>
      <c r="B10034" s="35">
        <v>1.8832885797449199</v>
      </c>
    </row>
    <row r="10035" spans="1:2" ht="13.2" x14ac:dyDescent="0.25">
      <c r="A10035" s="34" t="s">
        <v>2171</v>
      </c>
      <c r="B10035" s="35">
        <v>1.9332928068569799</v>
      </c>
    </row>
    <row r="10036" spans="1:2" ht="13.2" x14ac:dyDescent="0.25">
      <c r="A10036" s="34" t="s">
        <v>2170</v>
      </c>
    </row>
    <row r="10037" spans="1:2" ht="13.2" x14ac:dyDescent="0.25">
      <c r="A10037" s="34" t="s">
        <v>2169</v>
      </c>
    </row>
    <row r="10038" spans="1:2" ht="13.2" x14ac:dyDescent="0.25">
      <c r="A10038" s="34" t="s">
        <v>2168</v>
      </c>
      <c r="B10038" s="35">
        <v>1.9589927256308499</v>
      </c>
    </row>
    <row r="10039" spans="1:2" ht="13.2" x14ac:dyDescent="0.25">
      <c r="A10039" s="34" t="s">
        <v>2167</v>
      </c>
      <c r="B10039" s="35">
        <v>1.9443111888707001</v>
      </c>
    </row>
    <row r="10040" spans="1:2" ht="13.2" x14ac:dyDescent="0.25">
      <c r="A10040" s="34" t="s">
        <v>2166</v>
      </c>
      <c r="B10040" s="35">
        <v>1.9594205132563001</v>
      </c>
    </row>
    <row r="10041" spans="1:2" ht="13.2" x14ac:dyDescent="0.25">
      <c r="A10041" s="34" t="s">
        <v>2165</v>
      </c>
      <c r="B10041" s="35">
        <v>1.92876823084752</v>
      </c>
    </row>
    <row r="10042" spans="1:2" ht="13.2" x14ac:dyDescent="0.25">
      <c r="A10042" s="34" t="s">
        <v>2164</v>
      </c>
      <c r="B10042" s="35">
        <v>1.93448003781358</v>
      </c>
    </row>
    <row r="10043" spans="1:2" ht="13.2" x14ac:dyDescent="0.25">
      <c r="A10043" s="34" t="s">
        <v>2163</v>
      </c>
    </row>
    <row r="10044" spans="1:2" ht="13.2" x14ac:dyDescent="0.25">
      <c r="A10044" s="34" t="s">
        <v>2162</v>
      </c>
    </row>
    <row r="10045" spans="1:2" ht="13.2" x14ac:dyDescent="0.25">
      <c r="A10045" s="34" t="s">
        <v>2161</v>
      </c>
      <c r="B10045" s="35">
        <v>1.93184913607124</v>
      </c>
    </row>
    <row r="10046" spans="1:2" ht="13.2" x14ac:dyDescent="0.25">
      <c r="A10046" s="34" t="s">
        <v>2160</v>
      </c>
      <c r="B10046" s="35">
        <v>1.96622657110384</v>
      </c>
    </row>
    <row r="10047" spans="1:2" ht="13.2" x14ac:dyDescent="0.25">
      <c r="A10047" s="34" t="s">
        <v>2159</v>
      </c>
      <c r="B10047" s="35">
        <v>1.96112385745085</v>
      </c>
    </row>
    <row r="10048" spans="1:2" ht="13.2" x14ac:dyDescent="0.25">
      <c r="A10048" s="34" t="s">
        <v>2158</v>
      </c>
      <c r="B10048" s="35">
        <v>1.9185295303036101</v>
      </c>
    </row>
    <row r="10049" spans="1:2" ht="13.2" x14ac:dyDescent="0.25">
      <c r="A10049" s="34" t="s">
        <v>2157</v>
      </c>
      <c r="B10049" s="35">
        <v>1.5697993142120601</v>
      </c>
    </row>
    <row r="10050" spans="1:2" ht="13.2" x14ac:dyDescent="0.25">
      <c r="A10050" s="34" t="s">
        <v>2156</v>
      </c>
    </row>
    <row r="10051" spans="1:2" ht="13.2" x14ac:dyDescent="0.25">
      <c r="A10051" s="34" t="s">
        <v>2155</v>
      </c>
    </row>
    <row r="10052" spans="1:2" ht="13.2" x14ac:dyDescent="0.25">
      <c r="A10052" s="34" t="s">
        <v>2154</v>
      </c>
      <c r="B10052" s="35">
        <v>1.6374506243981899</v>
      </c>
    </row>
    <row r="10053" spans="1:2" ht="13.2" x14ac:dyDescent="0.25">
      <c r="A10053" s="34" t="s">
        <v>2153</v>
      </c>
      <c r="B10053" s="35">
        <v>1.48437684355722</v>
      </c>
    </row>
    <row r="10054" spans="1:2" ht="13.2" x14ac:dyDescent="0.25">
      <c r="A10054" s="34" t="s">
        <v>2152</v>
      </c>
      <c r="B10054" s="35">
        <v>1.4712324445289</v>
      </c>
    </row>
    <row r="10055" spans="1:2" ht="13.2" x14ac:dyDescent="0.25">
      <c r="A10055" s="34" t="s">
        <v>2151</v>
      </c>
      <c r="B10055" s="35">
        <v>1.4291794688797099</v>
      </c>
    </row>
    <row r="10056" spans="1:2" ht="13.2" x14ac:dyDescent="0.25">
      <c r="A10056" s="34" t="s">
        <v>2150</v>
      </c>
      <c r="B10056" s="35">
        <v>1.3286311945439899</v>
      </c>
    </row>
    <row r="10057" spans="1:2" ht="13.2" x14ac:dyDescent="0.25">
      <c r="A10057" s="34" t="s">
        <v>2149</v>
      </c>
    </row>
    <row r="10058" spans="1:2" ht="13.2" x14ac:dyDescent="0.25">
      <c r="A10058" s="34" t="s">
        <v>2148</v>
      </c>
    </row>
    <row r="10059" spans="1:2" ht="13.2" x14ac:dyDescent="0.25">
      <c r="A10059" s="34" t="s">
        <v>2147</v>
      </c>
      <c r="B10059" s="35">
        <v>1.33027984949595</v>
      </c>
    </row>
    <row r="10060" spans="1:2" ht="13.2" x14ac:dyDescent="0.25">
      <c r="A10060" s="34" t="s">
        <v>2146</v>
      </c>
      <c r="B10060" s="35">
        <v>1.20847447467279</v>
      </c>
    </row>
    <row r="10061" spans="1:2" ht="13.2" x14ac:dyDescent="0.25">
      <c r="A10061" s="34" t="s">
        <v>2145</v>
      </c>
      <c r="B10061" s="35">
        <v>1.2137918135938801</v>
      </c>
    </row>
    <row r="10062" spans="1:2" ht="13.2" x14ac:dyDescent="0.25">
      <c r="A10062" s="34" t="s">
        <v>2144</v>
      </c>
      <c r="B10062" s="35">
        <v>1.2385204952791</v>
      </c>
    </row>
    <row r="10063" spans="1:2" ht="13.2" x14ac:dyDescent="0.25">
      <c r="A10063" s="34" t="s">
        <v>2143</v>
      </c>
      <c r="B10063" s="35">
        <v>1.0703618600873399</v>
      </c>
    </row>
    <row r="10064" spans="1:2" ht="13.2" x14ac:dyDescent="0.25">
      <c r="A10064" s="34" t="s">
        <v>2142</v>
      </c>
    </row>
    <row r="10065" spans="1:2" ht="13.2" x14ac:dyDescent="0.25">
      <c r="A10065" s="34" t="s">
        <v>2141</v>
      </c>
    </row>
    <row r="10066" spans="1:2" ht="13.2" x14ac:dyDescent="0.25">
      <c r="A10066" s="34" t="s">
        <v>2140</v>
      </c>
      <c r="B10066" s="35">
        <v>1.01323995853285</v>
      </c>
    </row>
    <row r="10067" spans="1:2" ht="13.2" x14ac:dyDescent="0.25">
      <c r="A10067" s="34" t="s">
        <v>2139</v>
      </c>
      <c r="B10067" s="35">
        <v>0.97348895966214599</v>
      </c>
    </row>
    <row r="10068" spans="1:2" ht="13.2" x14ac:dyDescent="0.25">
      <c r="A10068" s="34" t="s">
        <v>2138</v>
      </c>
      <c r="B10068" s="35">
        <v>1.0018530668079599</v>
      </c>
    </row>
    <row r="10069" spans="1:2" ht="13.2" x14ac:dyDescent="0.25">
      <c r="A10069" s="34" t="s">
        <v>2137</v>
      </c>
      <c r="B10069" s="35">
        <v>0.96920218064921304</v>
      </c>
    </row>
    <row r="10070" spans="1:2" ht="13.2" x14ac:dyDescent="0.25">
      <c r="A10070" s="34" t="s">
        <v>2136</v>
      </c>
      <c r="B10070" s="35">
        <v>0.98423833967344798</v>
      </c>
    </row>
    <row r="10071" spans="1:2" ht="13.2" x14ac:dyDescent="0.25">
      <c r="A10071" s="34" t="s">
        <v>2135</v>
      </c>
    </row>
    <row r="10072" spans="1:2" ht="13.2" x14ac:dyDescent="0.25">
      <c r="A10072" s="34" t="s">
        <v>2134</v>
      </c>
    </row>
    <row r="10073" spans="1:2" ht="13.2" x14ac:dyDescent="0.25">
      <c r="A10073" s="34" t="s">
        <v>2133</v>
      </c>
      <c r="B10073" s="35">
        <v>1.0507712727265901</v>
      </c>
    </row>
    <row r="10074" spans="1:2" ht="13.2" x14ac:dyDescent="0.25">
      <c r="A10074" s="34" t="s">
        <v>2132</v>
      </c>
      <c r="B10074" s="35">
        <v>1.03388669620492</v>
      </c>
    </row>
    <row r="10075" spans="1:2" ht="13.2" x14ac:dyDescent="0.25">
      <c r="A10075" s="34" t="s">
        <v>2131</v>
      </c>
      <c r="B10075" s="35">
        <v>0.96934944624199704</v>
      </c>
    </row>
    <row r="10076" spans="1:2" ht="13.2" x14ac:dyDescent="0.25">
      <c r="A10076" s="34" t="s">
        <v>2130</v>
      </c>
    </row>
    <row r="10077" spans="1:2" ht="13.2" x14ac:dyDescent="0.25">
      <c r="A10077" s="34" t="s">
        <v>2129</v>
      </c>
    </row>
    <row r="10078" spans="1:2" ht="13.2" x14ac:dyDescent="0.25">
      <c r="A10078" s="34" t="s">
        <v>2128</v>
      </c>
    </row>
    <row r="10079" spans="1:2" ht="13.2" x14ac:dyDescent="0.25">
      <c r="A10079" s="34" t="s">
        <v>2127</v>
      </c>
    </row>
    <row r="10080" spans="1:2" ht="13.2" x14ac:dyDescent="0.25">
      <c r="A10080" s="34" t="s">
        <v>2126</v>
      </c>
      <c r="B10080" s="35">
        <v>0.98027027462001104</v>
      </c>
    </row>
    <row r="10081" spans="1:2" ht="13.2" x14ac:dyDescent="0.25">
      <c r="A10081" s="34" t="s">
        <v>2125</v>
      </c>
      <c r="B10081" s="35">
        <v>0.97810693883380495</v>
      </c>
    </row>
    <row r="10082" spans="1:2" ht="13.2" x14ac:dyDescent="0.25">
      <c r="A10082" s="34" t="s">
        <v>2124</v>
      </c>
      <c r="B10082" s="35">
        <v>0.98476081783897396</v>
      </c>
    </row>
    <row r="10083" spans="1:2" ht="13.2" x14ac:dyDescent="0.25">
      <c r="A10083" s="34" t="s">
        <v>2123</v>
      </c>
    </row>
    <row r="10084" spans="1:2" ht="13.2" x14ac:dyDescent="0.25">
      <c r="A10084" s="34" t="s">
        <v>2122</v>
      </c>
    </row>
    <row r="10085" spans="1:2" ht="13.2" x14ac:dyDescent="0.25">
      <c r="A10085" s="34" t="s">
        <v>2121</v>
      </c>
    </row>
    <row r="10086" spans="1:2" ht="13.2" x14ac:dyDescent="0.25">
      <c r="A10086" s="34" t="s">
        <v>2120</v>
      </c>
    </row>
    <row r="10087" spans="1:2" ht="13.2" x14ac:dyDescent="0.25">
      <c r="A10087" s="34" t="s">
        <v>2119</v>
      </c>
      <c r="B10087" s="35">
        <v>0.91460711123965899</v>
      </c>
    </row>
    <row r="10088" spans="1:2" ht="13.2" x14ac:dyDescent="0.25">
      <c r="A10088" s="34" t="s">
        <v>2118</v>
      </c>
      <c r="B10088" s="35">
        <v>0.81608429778807101</v>
      </c>
    </row>
    <row r="10089" spans="1:2" ht="13.2" x14ac:dyDescent="0.25">
      <c r="A10089" s="34" t="s">
        <v>2117</v>
      </c>
      <c r="B10089" s="35">
        <v>0.81696118720753597</v>
      </c>
    </row>
    <row r="10090" spans="1:2" ht="13.2" x14ac:dyDescent="0.25">
      <c r="A10090" s="34" t="s">
        <v>2116</v>
      </c>
      <c r="B10090" s="35">
        <v>0.86268886644121601</v>
      </c>
    </row>
    <row r="10091" spans="1:2" ht="13.2" x14ac:dyDescent="0.25">
      <c r="A10091" s="34" t="s">
        <v>2115</v>
      </c>
      <c r="B10091" s="35">
        <v>0.98218718158838703</v>
      </c>
    </row>
    <row r="10092" spans="1:2" ht="13.2" x14ac:dyDescent="0.25">
      <c r="A10092" s="34" t="s">
        <v>2114</v>
      </c>
    </row>
    <row r="10093" spans="1:2" ht="13.2" x14ac:dyDescent="0.25">
      <c r="A10093" s="34" t="s">
        <v>2113</v>
      </c>
    </row>
    <row r="10094" spans="1:2" ht="13.2" x14ac:dyDescent="0.25">
      <c r="A10094" s="34" t="s">
        <v>2112</v>
      </c>
      <c r="B10094" s="35">
        <v>1.0980763208997599</v>
      </c>
    </row>
    <row r="10095" spans="1:2" ht="13.2" x14ac:dyDescent="0.25">
      <c r="A10095" s="34" t="s">
        <v>2111</v>
      </c>
      <c r="B10095" s="35">
        <v>1.1010530099851701</v>
      </c>
    </row>
    <row r="10096" spans="1:2" ht="13.2" x14ac:dyDescent="0.25">
      <c r="A10096" s="34" t="s">
        <v>2110</v>
      </c>
      <c r="B10096" s="35">
        <v>1.15945617384942</v>
      </c>
    </row>
    <row r="10097" spans="1:2" ht="13.2" x14ac:dyDescent="0.25">
      <c r="A10097" s="34" t="s">
        <v>2109</v>
      </c>
      <c r="B10097" s="35">
        <v>1.11529539877318</v>
      </c>
    </row>
    <row r="10098" spans="1:2" ht="13.2" x14ac:dyDescent="0.25">
      <c r="A10098" s="34" t="s">
        <v>2108</v>
      </c>
      <c r="B10098" s="35">
        <v>1.26995337270872</v>
      </c>
    </row>
    <row r="10099" spans="1:2" ht="13.2" x14ac:dyDescent="0.25">
      <c r="A10099" s="34" t="s">
        <v>2107</v>
      </c>
    </row>
    <row r="10100" spans="1:2" ht="13.2" x14ac:dyDescent="0.25">
      <c r="A10100" s="34" t="s">
        <v>2106</v>
      </c>
    </row>
    <row r="10101" spans="1:2" ht="13.2" x14ac:dyDescent="0.25">
      <c r="A10101" s="34" t="s">
        <v>2105</v>
      </c>
      <c r="B10101" s="35">
        <v>1.26721568580598</v>
      </c>
    </row>
    <row r="10102" spans="1:2" ht="13.2" x14ac:dyDescent="0.25">
      <c r="A10102" s="34" t="s">
        <v>2104</v>
      </c>
      <c r="B10102" s="35">
        <v>1.26404727074235</v>
      </c>
    </row>
    <row r="10103" spans="1:2" ht="13.2" x14ac:dyDescent="0.25">
      <c r="A10103" s="34" t="s">
        <v>2103</v>
      </c>
      <c r="B10103" s="35">
        <v>1.24146807889456</v>
      </c>
    </row>
    <row r="10104" spans="1:2" ht="13.2" x14ac:dyDescent="0.25">
      <c r="A10104" s="34" t="s">
        <v>2102</v>
      </c>
      <c r="B10104" s="35">
        <v>1.2653780413864999</v>
      </c>
    </row>
    <row r="10105" spans="1:2" ht="13.2" x14ac:dyDescent="0.25">
      <c r="A10105" s="34" t="s">
        <v>2101</v>
      </c>
      <c r="B10105" s="35">
        <v>1.2848583032899801</v>
      </c>
    </row>
    <row r="10106" spans="1:2" ht="13.2" x14ac:dyDescent="0.25">
      <c r="A10106" s="34" t="s">
        <v>2100</v>
      </c>
    </row>
    <row r="10107" spans="1:2" ht="13.2" x14ac:dyDescent="0.25">
      <c r="A10107" s="34" t="s">
        <v>2099</v>
      </c>
    </row>
    <row r="10108" spans="1:2" ht="13.2" x14ac:dyDescent="0.25">
      <c r="A10108" s="34" t="s">
        <v>2098</v>
      </c>
    </row>
    <row r="10109" spans="1:2" ht="13.2" x14ac:dyDescent="0.25">
      <c r="A10109" s="34" t="s">
        <v>2097</v>
      </c>
      <c r="B10109" s="35">
        <v>1.25221232936174</v>
      </c>
    </row>
    <row r="10110" spans="1:2" ht="13.2" x14ac:dyDescent="0.25">
      <c r="A10110" s="34" t="s">
        <v>2096</v>
      </c>
      <c r="B10110" s="35">
        <v>1.2555763415276799</v>
      </c>
    </row>
    <row r="10111" spans="1:2" ht="13.2" x14ac:dyDescent="0.25">
      <c r="A10111" s="34" t="s">
        <v>2095</v>
      </c>
      <c r="B10111" s="35">
        <v>1.3842509759594099</v>
      </c>
    </row>
    <row r="10112" spans="1:2" ht="13.2" x14ac:dyDescent="0.25">
      <c r="A10112" s="34" t="s">
        <v>2094</v>
      </c>
      <c r="B10112" s="35">
        <v>1.4993340944414399</v>
      </c>
    </row>
    <row r="10113" spans="1:2" ht="13.2" x14ac:dyDescent="0.25">
      <c r="A10113" s="34" t="s">
        <v>2093</v>
      </c>
    </row>
    <row r="10114" spans="1:2" ht="13.2" x14ac:dyDescent="0.25">
      <c r="A10114" s="34" t="s">
        <v>2092</v>
      </c>
    </row>
    <row r="10115" spans="1:2" ht="13.2" x14ac:dyDescent="0.25">
      <c r="A10115" s="34" t="s">
        <v>2091</v>
      </c>
      <c r="B10115" s="35">
        <v>1.52243916343232</v>
      </c>
    </row>
    <row r="10116" spans="1:2" ht="13.2" x14ac:dyDescent="0.25">
      <c r="A10116" s="34" t="s">
        <v>2090</v>
      </c>
      <c r="B10116" s="35">
        <v>1.5328564056999201</v>
      </c>
    </row>
    <row r="10117" spans="1:2" ht="13.2" x14ac:dyDescent="0.25">
      <c r="A10117" s="34" t="s">
        <v>2089</v>
      </c>
      <c r="B10117" s="35">
        <v>1.5517887751992101</v>
      </c>
    </row>
    <row r="10118" spans="1:2" ht="13.2" x14ac:dyDescent="0.25">
      <c r="A10118" s="34" t="s">
        <v>2088</v>
      </c>
      <c r="B10118" s="35">
        <v>1.5499117692951201</v>
      </c>
    </row>
    <row r="10119" spans="1:2" ht="13.2" x14ac:dyDescent="0.25">
      <c r="A10119" s="34" t="s">
        <v>2087</v>
      </c>
      <c r="B10119" s="35">
        <v>1.5504299227201199</v>
      </c>
    </row>
    <row r="10120" spans="1:2" ht="13.2" x14ac:dyDescent="0.25">
      <c r="A10120" s="34" t="s">
        <v>2086</v>
      </c>
    </row>
    <row r="10121" spans="1:2" ht="13.2" x14ac:dyDescent="0.25">
      <c r="A10121" s="34" t="s">
        <v>2085</v>
      </c>
    </row>
    <row r="10122" spans="1:2" ht="13.2" x14ac:dyDescent="0.25">
      <c r="A10122" s="34" t="s">
        <v>2084</v>
      </c>
      <c r="B10122" s="35">
        <v>1.49946017740703</v>
      </c>
    </row>
    <row r="10123" spans="1:2" ht="13.2" x14ac:dyDescent="0.25">
      <c r="A10123" s="34" t="s">
        <v>2083</v>
      </c>
      <c r="B10123" s="35">
        <v>1.3741424836006999</v>
      </c>
    </row>
    <row r="10124" spans="1:2" ht="13.2" x14ac:dyDescent="0.25">
      <c r="A10124" s="34" t="s">
        <v>2082</v>
      </c>
      <c r="B10124" s="35">
        <v>1.3324019434907799</v>
      </c>
    </row>
    <row r="10125" spans="1:2" ht="13.2" x14ac:dyDescent="0.25">
      <c r="A10125" s="34" t="s">
        <v>2081</v>
      </c>
      <c r="B10125" s="35">
        <v>1.3215505986990299</v>
      </c>
    </row>
    <row r="10126" spans="1:2" ht="13.2" x14ac:dyDescent="0.25">
      <c r="A10126" s="34" t="s">
        <v>2080</v>
      </c>
      <c r="B10126" s="35">
        <v>1.2817379281805299</v>
      </c>
    </row>
    <row r="10127" spans="1:2" ht="13.2" x14ac:dyDescent="0.25">
      <c r="A10127" s="34" t="s">
        <v>2079</v>
      </c>
    </row>
    <row r="10128" spans="1:2" ht="13.2" x14ac:dyDescent="0.25">
      <c r="A10128" s="34" t="s">
        <v>2078</v>
      </c>
    </row>
    <row r="10129" spans="1:2" ht="13.2" x14ac:dyDescent="0.25">
      <c r="A10129" s="34" t="s">
        <v>2077</v>
      </c>
    </row>
    <row r="10130" spans="1:2" ht="13.2" x14ac:dyDescent="0.25">
      <c r="A10130" s="34" t="s">
        <v>2076</v>
      </c>
    </row>
    <row r="10131" spans="1:2" ht="13.2" x14ac:dyDescent="0.25">
      <c r="A10131" s="34" t="s">
        <v>2075</v>
      </c>
      <c r="B10131" s="35">
        <v>1.2764587117305799</v>
      </c>
    </row>
    <row r="10132" spans="1:2" ht="13.2" x14ac:dyDescent="0.25">
      <c r="A10132" s="34" t="s">
        <v>2074</v>
      </c>
      <c r="B10132" s="35">
        <v>1.18233873021381</v>
      </c>
    </row>
    <row r="10133" spans="1:2" ht="13.2" x14ac:dyDescent="0.25">
      <c r="A10133" s="34" t="s">
        <v>2073</v>
      </c>
      <c r="B10133" s="35">
        <v>1.1736291302591699</v>
      </c>
    </row>
    <row r="10134" spans="1:2" ht="13.2" x14ac:dyDescent="0.25">
      <c r="A10134" s="34" t="s">
        <v>2072</v>
      </c>
    </row>
    <row r="10135" spans="1:2" ht="13.2" x14ac:dyDescent="0.25">
      <c r="A10135" s="34" t="s">
        <v>2071</v>
      </c>
    </row>
    <row r="10136" spans="1:2" ht="13.2" x14ac:dyDescent="0.25">
      <c r="A10136" s="34" t="s">
        <v>2070</v>
      </c>
      <c r="B10136" s="35">
        <v>1.6265401906844199</v>
      </c>
    </row>
    <row r="10137" spans="1:2" ht="13.2" x14ac:dyDescent="0.25">
      <c r="A10137" s="34" t="s">
        <v>2069</v>
      </c>
      <c r="B10137" s="35">
        <v>1.7155509541415299</v>
      </c>
    </row>
    <row r="10138" spans="1:2" ht="13.2" x14ac:dyDescent="0.25">
      <c r="A10138" s="34" t="s">
        <v>2068</v>
      </c>
      <c r="B10138" s="35">
        <v>1.7074113129334401</v>
      </c>
    </row>
    <row r="10139" spans="1:2" ht="13.2" x14ac:dyDescent="0.25">
      <c r="A10139" s="34" t="s">
        <v>2067</v>
      </c>
      <c r="B10139" s="35">
        <v>1.80968478898068</v>
      </c>
    </row>
    <row r="10140" spans="1:2" ht="13.2" x14ac:dyDescent="0.25">
      <c r="A10140" s="34" t="s">
        <v>2066</v>
      </c>
      <c r="B10140" s="35">
        <v>1.85019754117672</v>
      </c>
    </row>
    <row r="10141" spans="1:2" ht="13.2" x14ac:dyDescent="0.25">
      <c r="A10141" s="34" t="s">
        <v>2065</v>
      </c>
    </row>
    <row r="10142" spans="1:2" ht="13.2" x14ac:dyDescent="0.25">
      <c r="A10142" s="34" t="s">
        <v>2064</v>
      </c>
    </row>
    <row r="10143" spans="1:2" ht="13.2" x14ac:dyDescent="0.25">
      <c r="A10143" s="34" t="s">
        <v>2063</v>
      </c>
      <c r="B10143" s="35">
        <v>1.8530713522550599</v>
      </c>
    </row>
    <row r="10144" spans="1:2" ht="13.2" x14ac:dyDescent="0.25">
      <c r="A10144" s="34" t="s">
        <v>2062</v>
      </c>
      <c r="B10144" s="35">
        <v>1.7367071530857101</v>
      </c>
    </row>
    <row r="10145" spans="1:2" ht="13.2" x14ac:dyDescent="0.25">
      <c r="A10145" s="34" t="s">
        <v>2061</v>
      </c>
      <c r="B10145" s="35">
        <v>1.6405415267412999</v>
      </c>
    </row>
    <row r="10146" spans="1:2" ht="13.2" x14ac:dyDescent="0.25">
      <c r="A10146" s="34" t="s">
        <v>2060</v>
      </c>
      <c r="B10146" s="35">
        <v>1.6485611793094299</v>
      </c>
    </row>
    <row r="10147" spans="1:2" ht="13.2" x14ac:dyDescent="0.25">
      <c r="A10147" s="34" t="s">
        <v>2059</v>
      </c>
      <c r="B10147" s="35">
        <v>1.71954567720297</v>
      </c>
    </row>
    <row r="10148" spans="1:2" ht="13.2" x14ac:dyDescent="0.25">
      <c r="A10148" s="34" t="s">
        <v>2058</v>
      </c>
    </row>
    <row r="10149" spans="1:2" ht="13.2" x14ac:dyDescent="0.25">
      <c r="A10149" s="34" t="s">
        <v>2057</v>
      </c>
    </row>
    <row r="10150" spans="1:2" ht="13.2" x14ac:dyDescent="0.25">
      <c r="A10150" s="34" t="s">
        <v>2056</v>
      </c>
      <c r="B10150" s="35">
        <v>1.88989699346731</v>
      </c>
    </row>
    <row r="10151" spans="1:2" ht="13.2" x14ac:dyDescent="0.25">
      <c r="A10151" s="34" t="s">
        <v>2055</v>
      </c>
      <c r="B10151" s="35">
        <v>1.90306852161236</v>
      </c>
    </row>
    <row r="10152" spans="1:2" ht="13.2" x14ac:dyDescent="0.25">
      <c r="A10152" s="34" t="s">
        <v>2054</v>
      </c>
      <c r="B10152" s="35">
        <v>1.92670307858209</v>
      </c>
    </row>
    <row r="10153" spans="1:2" ht="13.2" x14ac:dyDescent="0.25">
      <c r="A10153" s="34" t="s">
        <v>2053</v>
      </c>
      <c r="B10153" s="35">
        <v>1.98713085444044</v>
      </c>
    </row>
    <row r="10154" spans="1:2" ht="13.2" x14ac:dyDescent="0.25">
      <c r="A10154" s="34" t="s">
        <v>2052</v>
      </c>
      <c r="B10154" s="35">
        <v>1.9903248276452401</v>
      </c>
    </row>
    <row r="10155" spans="1:2" ht="13.2" x14ac:dyDescent="0.25">
      <c r="A10155" s="34" t="s">
        <v>2051</v>
      </c>
    </row>
    <row r="10156" spans="1:2" ht="13.2" x14ac:dyDescent="0.25">
      <c r="A10156" s="34" t="s">
        <v>2050</v>
      </c>
    </row>
    <row r="10157" spans="1:2" ht="13.2" x14ac:dyDescent="0.25">
      <c r="A10157" s="34" t="s">
        <v>2049</v>
      </c>
      <c r="B10157" s="35">
        <v>1.9925800652033301</v>
      </c>
    </row>
    <row r="10158" spans="1:2" ht="13.2" x14ac:dyDescent="0.25">
      <c r="A10158" s="34" t="s">
        <v>2048</v>
      </c>
      <c r="B10158" s="35">
        <v>1.9871186772901399</v>
      </c>
    </row>
    <row r="10159" spans="1:2" ht="13.2" x14ac:dyDescent="0.25">
      <c r="A10159" s="34" t="s">
        <v>2047</v>
      </c>
      <c r="B10159" s="35">
        <v>2.0555558690134199</v>
      </c>
    </row>
    <row r="10160" spans="1:2" ht="13.2" x14ac:dyDescent="0.25">
      <c r="A10160" s="34" t="s">
        <v>2046</v>
      </c>
      <c r="B10160" s="35">
        <v>2.0582827671047301</v>
      </c>
    </row>
    <row r="10161" spans="1:2" ht="13.2" x14ac:dyDescent="0.25">
      <c r="A10161" s="34" t="s">
        <v>2045</v>
      </c>
      <c r="B10161" s="35">
        <v>2.0718484798598</v>
      </c>
    </row>
    <row r="10162" spans="1:2" ht="13.2" x14ac:dyDescent="0.25">
      <c r="A10162" s="34" t="s">
        <v>2044</v>
      </c>
    </row>
    <row r="10163" spans="1:2" ht="13.2" x14ac:dyDescent="0.25">
      <c r="A10163" s="34" t="s">
        <v>2043</v>
      </c>
    </row>
    <row r="10164" spans="1:2" ht="13.2" x14ac:dyDescent="0.25">
      <c r="A10164" s="34" t="s">
        <v>2042</v>
      </c>
      <c r="B10164" s="35">
        <v>2.0820196642037501</v>
      </c>
    </row>
    <row r="10165" spans="1:2" ht="13.2" x14ac:dyDescent="0.25">
      <c r="A10165" s="34" t="s">
        <v>2041</v>
      </c>
      <c r="B10165" s="35">
        <v>1.7581026660699901</v>
      </c>
    </row>
    <row r="10166" spans="1:2" ht="13.2" x14ac:dyDescent="0.25">
      <c r="A10166" s="34" t="s">
        <v>2040</v>
      </c>
      <c r="B10166" s="35">
        <v>1.6963131552966599</v>
      </c>
    </row>
    <row r="10167" spans="1:2" ht="13.2" x14ac:dyDescent="0.25">
      <c r="A10167" s="34" t="s">
        <v>2039</v>
      </c>
      <c r="B10167" s="35">
        <v>1.7301640098530799</v>
      </c>
    </row>
    <row r="10168" spans="1:2" ht="13.2" x14ac:dyDescent="0.25">
      <c r="A10168" s="34" t="s">
        <v>2038</v>
      </c>
      <c r="B10168" s="35">
        <v>1.60648283335232</v>
      </c>
    </row>
    <row r="10169" spans="1:2" ht="13.2" x14ac:dyDescent="0.25">
      <c r="A10169" s="34" t="s">
        <v>2037</v>
      </c>
    </row>
    <row r="10170" spans="1:2" ht="13.2" x14ac:dyDescent="0.25">
      <c r="A10170" s="34" t="s">
        <v>2036</v>
      </c>
    </row>
    <row r="10171" spans="1:2" ht="13.2" x14ac:dyDescent="0.25">
      <c r="A10171" s="34" t="s">
        <v>2035</v>
      </c>
      <c r="B10171" s="35">
        <v>1.5342512579170999</v>
      </c>
    </row>
    <row r="10172" spans="1:2" ht="13.2" x14ac:dyDescent="0.25">
      <c r="A10172" s="34" t="s">
        <v>2034</v>
      </c>
      <c r="B10172" s="35">
        <v>1.54987310200669</v>
      </c>
    </row>
    <row r="10173" spans="1:2" ht="13.2" x14ac:dyDescent="0.25">
      <c r="A10173" s="34" t="s">
        <v>2033</v>
      </c>
      <c r="B10173" s="35">
        <v>1.54133286498445</v>
      </c>
    </row>
    <row r="10174" spans="1:2" ht="13.2" x14ac:dyDescent="0.25">
      <c r="A10174" s="34" t="s">
        <v>2032</v>
      </c>
      <c r="B10174" s="35">
        <v>1.5678832829826199</v>
      </c>
    </row>
    <row r="10175" spans="1:2" ht="13.2" x14ac:dyDescent="0.25">
      <c r="A10175" s="34" t="s">
        <v>2031</v>
      </c>
    </row>
    <row r="10176" spans="1:2" ht="13.2" x14ac:dyDescent="0.25">
      <c r="A10176" s="34" t="s">
        <v>2030</v>
      </c>
    </row>
    <row r="10177" spans="1:2" ht="13.2" x14ac:dyDescent="0.25">
      <c r="A10177" s="34" t="s">
        <v>2029</v>
      </c>
    </row>
    <row r="10178" spans="1:2" ht="13.2" x14ac:dyDescent="0.25">
      <c r="A10178" s="34" t="s">
        <v>2028</v>
      </c>
      <c r="B10178" s="35">
        <v>1.59561564457983</v>
      </c>
    </row>
    <row r="10179" spans="1:2" ht="13.2" x14ac:dyDescent="0.25">
      <c r="A10179" s="34" t="s">
        <v>2027</v>
      </c>
      <c r="B10179" s="35">
        <v>1.5282674272435199</v>
      </c>
    </row>
    <row r="10180" spans="1:2" ht="13.2" x14ac:dyDescent="0.25">
      <c r="A10180" s="34" t="s">
        <v>2026</v>
      </c>
      <c r="B10180" s="35">
        <v>1.19538252098608</v>
      </c>
    </row>
    <row r="10181" spans="1:2" ht="13.2" x14ac:dyDescent="0.25">
      <c r="A10181" s="34" t="s">
        <v>2025</v>
      </c>
      <c r="B10181" s="35">
        <v>1.19451457289386</v>
      </c>
    </row>
    <row r="10182" spans="1:2" ht="13.2" x14ac:dyDescent="0.25">
      <c r="A10182" s="34" t="s">
        <v>2024</v>
      </c>
      <c r="B10182" s="35">
        <v>1.1847728472472301</v>
      </c>
    </row>
    <row r="10183" spans="1:2" ht="13.2" x14ac:dyDescent="0.25">
      <c r="A10183" s="34" t="s">
        <v>2023</v>
      </c>
    </row>
    <row r="10184" spans="1:2" ht="13.2" x14ac:dyDescent="0.25">
      <c r="A10184" s="34" t="s">
        <v>2022</v>
      </c>
    </row>
    <row r="10185" spans="1:2" ht="13.2" x14ac:dyDescent="0.25">
      <c r="A10185" s="34" t="s">
        <v>2021</v>
      </c>
      <c r="B10185" s="35">
        <v>1.1312751063111299</v>
      </c>
    </row>
    <row r="10186" spans="1:2" ht="13.2" x14ac:dyDescent="0.25">
      <c r="A10186" s="34" t="s">
        <v>2020</v>
      </c>
      <c r="B10186" s="35">
        <v>1.1142835460834499</v>
      </c>
    </row>
    <row r="10187" spans="1:2" ht="13.2" x14ac:dyDescent="0.25">
      <c r="A10187" s="34" t="s">
        <v>2019</v>
      </c>
      <c r="B10187" s="35">
        <v>1.1194564233661899</v>
      </c>
    </row>
    <row r="10188" spans="1:2" ht="13.2" x14ac:dyDescent="0.25">
      <c r="A10188" s="34" t="s">
        <v>2018</v>
      </c>
      <c r="B10188" s="35">
        <v>1.0983027805724901</v>
      </c>
    </row>
    <row r="10189" spans="1:2" ht="13.2" x14ac:dyDescent="0.25">
      <c r="A10189" s="34" t="s">
        <v>2017</v>
      </c>
      <c r="B10189" s="35">
        <v>1.00665462725043</v>
      </c>
    </row>
    <row r="10190" spans="1:2" ht="13.2" x14ac:dyDescent="0.25">
      <c r="A10190" s="34" t="s">
        <v>2016</v>
      </c>
    </row>
    <row r="10191" spans="1:2" ht="13.2" x14ac:dyDescent="0.25">
      <c r="A10191" s="34" t="s">
        <v>2015</v>
      </c>
    </row>
    <row r="10192" spans="1:2" ht="13.2" x14ac:dyDescent="0.25">
      <c r="A10192" s="34" t="s">
        <v>2014</v>
      </c>
      <c r="B10192" s="35">
        <v>0.93600026801113101</v>
      </c>
    </row>
    <row r="10193" spans="1:2" ht="13.2" x14ac:dyDescent="0.25">
      <c r="A10193" s="34" t="s">
        <v>2013</v>
      </c>
      <c r="B10193" s="35">
        <v>0.93210128320766295</v>
      </c>
    </row>
    <row r="10194" spans="1:2" ht="13.2" x14ac:dyDescent="0.25">
      <c r="A10194" s="34" t="s">
        <v>2012</v>
      </c>
    </row>
    <row r="10195" spans="1:2" ht="13.2" x14ac:dyDescent="0.25">
      <c r="A10195" s="34" t="s">
        <v>2011</v>
      </c>
      <c r="B10195" s="35">
        <v>0.90518543737963697</v>
      </c>
    </row>
    <row r="10196" spans="1:2" ht="13.2" x14ac:dyDescent="0.25">
      <c r="A10196" s="34" t="s">
        <v>2010</v>
      </c>
      <c r="B10196" s="35">
        <v>0.83319387005323398</v>
      </c>
    </row>
    <row r="10197" spans="1:2" ht="13.2" x14ac:dyDescent="0.25">
      <c r="A10197" s="34" t="s">
        <v>2009</v>
      </c>
    </row>
    <row r="10198" spans="1:2" ht="13.2" x14ac:dyDescent="0.25">
      <c r="A10198" s="34" t="s">
        <v>2008</v>
      </c>
    </row>
    <row r="10199" spans="1:2" ht="13.2" x14ac:dyDescent="0.25">
      <c r="A10199" s="34" t="s">
        <v>2007</v>
      </c>
      <c r="B10199" s="35">
        <v>0.77573115734845299</v>
      </c>
    </row>
    <row r="10200" spans="1:2" ht="13.2" x14ac:dyDescent="0.25">
      <c r="A10200" s="34" t="s">
        <v>2006</v>
      </c>
      <c r="B10200" s="35">
        <v>0.78313411418811296</v>
      </c>
    </row>
    <row r="10201" spans="1:2" ht="13.2" x14ac:dyDescent="0.25">
      <c r="A10201" s="34" t="s">
        <v>2005</v>
      </c>
      <c r="B10201" s="35">
        <v>0.810448525589754</v>
      </c>
    </row>
    <row r="10202" spans="1:2" ht="13.2" x14ac:dyDescent="0.25">
      <c r="A10202" s="34" t="s">
        <v>2004</v>
      </c>
      <c r="B10202" s="35">
        <v>0.83980499880442705</v>
      </c>
    </row>
    <row r="10203" spans="1:2" ht="13.2" x14ac:dyDescent="0.25">
      <c r="A10203" s="34" t="s">
        <v>2003</v>
      </c>
      <c r="B10203" s="35">
        <v>0.84107292955324597</v>
      </c>
    </row>
    <row r="10204" spans="1:2" ht="13.2" x14ac:dyDescent="0.25">
      <c r="A10204" s="34" t="s">
        <v>2002</v>
      </c>
    </row>
    <row r="10205" spans="1:2" ht="13.2" x14ac:dyDescent="0.25">
      <c r="A10205" s="34" t="s">
        <v>2001</v>
      </c>
    </row>
    <row r="10206" spans="1:2" ht="13.2" x14ac:dyDescent="0.25">
      <c r="A10206" s="34" t="s">
        <v>2000</v>
      </c>
      <c r="B10206" s="35">
        <v>0.83964176652973499</v>
      </c>
    </row>
    <row r="10207" spans="1:2" ht="13.2" x14ac:dyDescent="0.25">
      <c r="A10207" s="34" t="s">
        <v>1999</v>
      </c>
      <c r="B10207" s="35">
        <v>0.84537218023731797</v>
      </c>
    </row>
    <row r="10208" spans="1:2" ht="13.2" x14ac:dyDescent="0.25">
      <c r="A10208" s="34" t="s">
        <v>1998</v>
      </c>
      <c r="B10208" s="35">
        <v>0.80662292630283206</v>
      </c>
    </row>
    <row r="10209" spans="1:2" ht="13.2" x14ac:dyDescent="0.25">
      <c r="A10209" s="34" t="s">
        <v>1997</v>
      </c>
      <c r="B10209" s="35">
        <v>0.80762198358445503</v>
      </c>
    </row>
    <row r="10210" spans="1:2" ht="13.2" x14ac:dyDescent="0.25">
      <c r="A10210" s="34" t="s">
        <v>1996</v>
      </c>
      <c r="B10210" s="35">
        <v>0.88453342161292103</v>
      </c>
    </row>
    <row r="10211" spans="1:2" ht="13.2" x14ac:dyDescent="0.25">
      <c r="A10211" s="34" t="s">
        <v>1995</v>
      </c>
    </row>
    <row r="10212" spans="1:2" ht="13.2" x14ac:dyDescent="0.25">
      <c r="A10212" s="34" t="s">
        <v>1994</v>
      </c>
    </row>
    <row r="10213" spans="1:2" ht="13.2" x14ac:dyDescent="0.25">
      <c r="A10213" s="34" t="s">
        <v>1993</v>
      </c>
      <c r="B10213" s="35">
        <v>0.88140272075121995</v>
      </c>
    </row>
    <row r="10214" spans="1:2" ht="13.2" x14ac:dyDescent="0.25">
      <c r="A10214" s="34" t="s">
        <v>1992</v>
      </c>
      <c r="B10214" s="35">
        <v>0.87998856489413102</v>
      </c>
    </row>
    <row r="10215" spans="1:2" ht="13.2" x14ac:dyDescent="0.25">
      <c r="A10215" s="34" t="s">
        <v>1991</v>
      </c>
      <c r="B10215" s="35">
        <v>1.0640214519051401</v>
      </c>
    </row>
    <row r="10216" spans="1:2" ht="13.2" x14ac:dyDescent="0.25">
      <c r="A10216" s="34" t="s">
        <v>1990</v>
      </c>
      <c r="B10216" s="35">
        <v>1.07528486219024</v>
      </c>
    </row>
    <row r="10217" spans="1:2" ht="13.2" x14ac:dyDescent="0.25">
      <c r="A10217" s="34" t="s">
        <v>1989</v>
      </c>
      <c r="B10217" s="35">
        <v>1.0805811622801</v>
      </c>
    </row>
    <row r="10218" spans="1:2" ht="13.2" x14ac:dyDescent="0.25">
      <c r="A10218" s="34" t="s">
        <v>1988</v>
      </c>
    </row>
    <row r="10219" spans="1:2" ht="13.2" x14ac:dyDescent="0.25">
      <c r="A10219" s="34" t="s">
        <v>1987</v>
      </c>
    </row>
    <row r="10220" spans="1:2" ht="13.2" x14ac:dyDescent="0.25">
      <c r="A10220" s="34" t="s">
        <v>1986</v>
      </c>
      <c r="B10220" s="35">
        <v>1.09330534221395</v>
      </c>
    </row>
    <row r="10221" spans="1:2" ht="13.2" x14ac:dyDescent="0.25">
      <c r="A10221" s="34" t="s">
        <v>1985</v>
      </c>
      <c r="B10221" s="35">
        <v>1.09178946709123</v>
      </c>
    </row>
    <row r="10222" spans="1:2" ht="13.2" x14ac:dyDescent="0.25">
      <c r="A10222" s="34" t="s">
        <v>1984</v>
      </c>
      <c r="B10222" s="35">
        <v>1.0934975042800399</v>
      </c>
    </row>
    <row r="10223" spans="1:2" ht="13.2" x14ac:dyDescent="0.25">
      <c r="A10223" s="34" t="s">
        <v>1983</v>
      </c>
      <c r="B10223" s="35">
        <v>1.0784654067813599</v>
      </c>
    </row>
    <row r="10224" spans="1:2" ht="13.2" x14ac:dyDescent="0.25">
      <c r="A10224" s="34" t="s">
        <v>1982</v>
      </c>
      <c r="B10224" s="35">
        <v>1.06827011361905</v>
      </c>
    </row>
    <row r="10225" spans="1:2" ht="13.2" x14ac:dyDescent="0.25">
      <c r="A10225" s="34" t="s">
        <v>1981</v>
      </c>
    </row>
    <row r="10226" spans="1:2" ht="13.2" x14ac:dyDescent="0.25">
      <c r="A10226" s="34" t="s">
        <v>1980</v>
      </c>
    </row>
    <row r="10227" spans="1:2" ht="13.2" x14ac:dyDescent="0.25">
      <c r="A10227" s="34" t="s">
        <v>1979</v>
      </c>
      <c r="B10227" s="35">
        <v>1.0770579834032801</v>
      </c>
    </row>
    <row r="10228" spans="1:2" ht="13.2" x14ac:dyDescent="0.25">
      <c r="A10228" s="34" t="s">
        <v>1978</v>
      </c>
      <c r="B10228" s="35">
        <v>1.0981676147955099</v>
      </c>
    </row>
    <row r="10229" spans="1:2" ht="13.2" x14ac:dyDescent="0.25">
      <c r="A10229" s="34" t="s">
        <v>1977</v>
      </c>
      <c r="B10229" s="35">
        <v>1.07860099825754</v>
      </c>
    </row>
    <row r="10230" spans="1:2" ht="13.2" x14ac:dyDescent="0.25">
      <c r="A10230" s="34" t="s">
        <v>1976</v>
      </c>
      <c r="B10230" s="35">
        <v>1.04344744791938</v>
      </c>
    </row>
    <row r="10231" spans="1:2" ht="13.2" x14ac:dyDescent="0.25">
      <c r="A10231" s="34" t="s">
        <v>1975</v>
      </c>
      <c r="B10231" s="35">
        <v>1.0347004990666999</v>
      </c>
    </row>
    <row r="10232" spans="1:2" ht="13.2" x14ac:dyDescent="0.25">
      <c r="A10232" s="34" t="s">
        <v>1974</v>
      </c>
    </row>
    <row r="10233" spans="1:2" ht="13.2" x14ac:dyDescent="0.25">
      <c r="A10233" s="34" t="s">
        <v>1973</v>
      </c>
    </row>
    <row r="10234" spans="1:2" ht="13.2" x14ac:dyDescent="0.25">
      <c r="A10234" s="34" t="s">
        <v>1972</v>
      </c>
      <c r="B10234" s="35">
        <v>0.99933663947334195</v>
      </c>
    </row>
    <row r="10235" spans="1:2" ht="13.2" x14ac:dyDescent="0.25">
      <c r="A10235" s="34" t="s">
        <v>1971</v>
      </c>
      <c r="B10235" s="35">
        <v>1.04039613825914</v>
      </c>
    </row>
    <row r="10236" spans="1:2" ht="13.2" x14ac:dyDescent="0.25">
      <c r="A10236" s="34" t="s">
        <v>1970</v>
      </c>
      <c r="B10236" s="35">
        <v>0.981512525242347</v>
      </c>
    </row>
    <row r="10237" spans="1:2" ht="13.2" x14ac:dyDescent="0.25">
      <c r="A10237" s="34" t="s">
        <v>1969</v>
      </c>
    </row>
    <row r="10238" spans="1:2" ht="13.2" x14ac:dyDescent="0.25">
      <c r="A10238" s="34" t="s">
        <v>1968</v>
      </c>
      <c r="B10238" s="35">
        <v>0.94842349800558901</v>
      </c>
    </row>
    <row r="10239" spans="1:2" ht="13.2" x14ac:dyDescent="0.25">
      <c r="A10239" s="34" t="s">
        <v>1967</v>
      </c>
    </row>
    <row r="10240" spans="1:2" ht="13.2" x14ac:dyDescent="0.25">
      <c r="A10240" s="34" t="s">
        <v>1966</v>
      </c>
    </row>
    <row r="10241" spans="1:2" ht="13.2" x14ac:dyDescent="0.25">
      <c r="A10241" s="34" t="s">
        <v>1965</v>
      </c>
      <c r="B10241" s="35">
        <v>0.94832156280600699</v>
      </c>
    </row>
    <row r="10242" spans="1:2" ht="13.2" x14ac:dyDescent="0.25">
      <c r="A10242" s="34" t="s">
        <v>1964</v>
      </c>
      <c r="B10242" s="35">
        <v>0.92927823096076001</v>
      </c>
    </row>
    <row r="10243" spans="1:2" ht="13.2" x14ac:dyDescent="0.25">
      <c r="A10243" s="34" t="s">
        <v>1963</v>
      </c>
      <c r="B10243" s="35">
        <v>0.92602519823918505</v>
      </c>
    </row>
    <row r="10244" spans="1:2" ht="13.2" x14ac:dyDescent="0.25">
      <c r="A10244" s="34" t="s">
        <v>1962</v>
      </c>
      <c r="B10244" s="35">
        <v>0.91766464612312304</v>
      </c>
    </row>
    <row r="10245" spans="1:2" ht="13.2" x14ac:dyDescent="0.25">
      <c r="A10245" s="34" t="s">
        <v>1961</v>
      </c>
      <c r="B10245" s="35">
        <v>0.651374140733325</v>
      </c>
    </row>
    <row r="10246" spans="1:2" ht="13.2" x14ac:dyDescent="0.25">
      <c r="A10246" s="34" t="s">
        <v>1960</v>
      </c>
    </row>
    <row r="10247" spans="1:2" ht="13.2" x14ac:dyDescent="0.25">
      <c r="A10247" s="34" t="s">
        <v>1959</v>
      </c>
    </row>
    <row r="10248" spans="1:2" ht="13.2" x14ac:dyDescent="0.25">
      <c r="A10248" s="34" t="s">
        <v>1958</v>
      </c>
      <c r="B10248" s="35">
        <v>0.645080087557657</v>
      </c>
    </row>
    <row r="10249" spans="1:2" ht="13.2" x14ac:dyDescent="0.25">
      <c r="A10249" s="34" t="s">
        <v>1957</v>
      </c>
      <c r="B10249" s="35">
        <v>0.63650686569317805</v>
      </c>
    </row>
    <row r="10250" spans="1:2" ht="13.2" x14ac:dyDescent="0.25">
      <c r="A10250" s="34" t="s">
        <v>1956</v>
      </c>
      <c r="B10250" s="35">
        <v>0.65556899921246403</v>
      </c>
    </row>
    <row r="10251" spans="1:2" ht="13.2" x14ac:dyDescent="0.25">
      <c r="A10251" s="34" t="s">
        <v>1955</v>
      </c>
      <c r="B10251" s="35">
        <v>0.70302451408501598</v>
      </c>
    </row>
    <row r="10252" spans="1:2" ht="13.2" x14ac:dyDescent="0.25">
      <c r="A10252" s="34" t="s">
        <v>1954</v>
      </c>
      <c r="B10252" s="35">
        <v>0.69473360667195105</v>
      </c>
    </row>
    <row r="10253" spans="1:2" ht="13.2" x14ac:dyDescent="0.25">
      <c r="A10253" s="34" t="s">
        <v>1953</v>
      </c>
    </row>
    <row r="10254" spans="1:2" ht="13.2" x14ac:dyDescent="0.25">
      <c r="A10254" s="34" t="s">
        <v>1952</v>
      </c>
    </row>
    <row r="10255" spans="1:2" ht="13.2" x14ac:dyDescent="0.25">
      <c r="A10255" s="34" t="s">
        <v>1951</v>
      </c>
      <c r="B10255" s="35">
        <v>0.70031599192180005</v>
      </c>
    </row>
    <row r="10256" spans="1:2" ht="13.2" x14ac:dyDescent="0.25">
      <c r="A10256" s="34" t="s">
        <v>1950</v>
      </c>
      <c r="B10256" s="35">
        <v>0.71039472872403597</v>
      </c>
    </row>
    <row r="10257" spans="1:2" ht="13.2" x14ac:dyDescent="0.25">
      <c r="A10257" s="34" t="s">
        <v>1949</v>
      </c>
      <c r="B10257" s="35">
        <v>0.68452004540772704</v>
      </c>
    </row>
    <row r="10258" spans="1:2" ht="13.2" x14ac:dyDescent="0.25">
      <c r="A10258" s="34" t="s">
        <v>1948</v>
      </c>
      <c r="B10258" s="35">
        <v>0.65843145742238396</v>
      </c>
    </row>
    <row r="10259" spans="1:2" ht="13.2" x14ac:dyDescent="0.25">
      <c r="A10259" s="34" t="s">
        <v>1947</v>
      </c>
      <c r="B10259" s="35">
        <v>0.77646018063692201</v>
      </c>
    </row>
    <row r="10260" spans="1:2" ht="13.2" x14ac:dyDescent="0.25">
      <c r="A10260" s="34" t="s">
        <v>1946</v>
      </c>
    </row>
    <row r="10261" spans="1:2" ht="13.2" x14ac:dyDescent="0.25">
      <c r="A10261" s="34" t="s">
        <v>1945</v>
      </c>
    </row>
    <row r="10262" spans="1:2" ht="13.2" x14ac:dyDescent="0.25">
      <c r="A10262" s="34" t="s">
        <v>1944</v>
      </c>
      <c r="B10262" s="35">
        <v>0.77537086823101198</v>
      </c>
    </row>
    <row r="10263" spans="1:2" ht="13.2" x14ac:dyDescent="0.25">
      <c r="A10263" s="34" t="s">
        <v>1943</v>
      </c>
      <c r="B10263" s="35">
        <v>0.75187362651677203</v>
      </c>
    </row>
    <row r="10264" spans="1:2" ht="13.2" x14ac:dyDescent="0.25">
      <c r="A10264" s="34" t="s">
        <v>1942</v>
      </c>
      <c r="B10264" s="35">
        <v>0.75129733983866498</v>
      </c>
    </row>
    <row r="10265" spans="1:2" ht="13.2" x14ac:dyDescent="0.25">
      <c r="A10265" s="34" t="s">
        <v>1941</v>
      </c>
      <c r="B10265" s="35">
        <v>0.68230700664962796</v>
      </c>
    </row>
    <row r="10266" spans="1:2" ht="13.2" x14ac:dyDescent="0.25">
      <c r="A10266" s="34" t="s">
        <v>1940</v>
      </c>
      <c r="B10266" s="35">
        <v>0.73188106599554104</v>
      </c>
    </row>
    <row r="10267" spans="1:2" ht="13.2" x14ac:dyDescent="0.25">
      <c r="A10267" s="34" t="s">
        <v>1939</v>
      </c>
    </row>
    <row r="10268" spans="1:2" ht="13.2" x14ac:dyDescent="0.25">
      <c r="A10268" s="34" t="s">
        <v>1938</v>
      </c>
    </row>
    <row r="10269" spans="1:2" ht="13.2" x14ac:dyDescent="0.25">
      <c r="A10269" s="34" t="s">
        <v>1937</v>
      </c>
      <c r="B10269" s="35">
        <v>0.73041825154721596</v>
      </c>
    </row>
    <row r="10270" spans="1:2" ht="13.2" x14ac:dyDescent="0.25">
      <c r="A10270" s="34" t="s">
        <v>1936</v>
      </c>
      <c r="B10270" s="35">
        <v>0.77060799314786199</v>
      </c>
    </row>
    <row r="10271" spans="1:2" ht="13.2" x14ac:dyDescent="0.25">
      <c r="A10271" s="34" t="s">
        <v>1935</v>
      </c>
      <c r="B10271" s="35">
        <v>0.84699713285668299</v>
      </c>
    </row>
    <row r="10272" spans="1:2" ht="13.2" x14ac:dyDescent="0.25">
      <c r="A10272" s="34" t="s">
        <v>1934</v>
      </c>
      <c r="B10272" s="35">
        <v>0.88214010498602702</v>
      </c>
    </row>
    <row r="10273" spans="1:2" ht="13.2" x14ac:dyDescent="0.25">
      <c r="A10273" s="34" t="s">
        <v>1933</v>
      </c>
    </row>
    <row r="10274" spans="1:2" ht="13.2" x14ac:dyDescent="0.25">
      <c r="A10274" s="34" t="s">
        <v>1932</v>
      </c>
    </row>
    <row r="10275" spans="1:2" ht="13.2" x14ac:dyDescent="0.25">
      <c r="A10275" s="34" t="s">
        <v>1931</v>
      </c>
    </row>
    <row r="10276" spans="1:2" ht="13.2" x14ac:dyDescent="0.25">
      <c r="A10276" s="34" t="s">
        <v>1930</v>
      </c>
      <c r="B10276" s="35">
        <v>0.97178844198026704</v>
      </c>
    </row>
    <row r="10277" spans="1:2" ht="13.2" x14ac:dyDescent="0.25">
      <c r="A10277" s="34" t="s">
        <v>1929</v>
      </c>
      <c r="B10277" s="35">
        <v>0.97415788891327004</v>
      </c>
    </row>
    <row r="10278" spans="1:2" ht="13.2" x14ac:dyDescent="0.25">
      <c r="A10278" s="34" t="s">
        <v>1928</v>
      </c>
      <c r="B10278" s="35">
        <v>0.96486969130394895</v>
      </c>
    </row>
    <row r="10279" spans="1:2" ht="13.2" x14ac:dyDescent="0.25">
      <c r="A10279" s="34" t="s">
        <v>1927</v>
      </c>
      <c r="B10279" s="35">
        <v>0.97583021445459595</v>
      </c>
    </row>
    <row r="10280" spans="1:2" ht="13.2" x14ac:dyDescent="0.25">
      <c r="A10280" s="34" t="s">
        <v>1926</v>
      </c>
      <c r="B10280" s="35">
        <v>0.99821927862389104</v>
      </c>
    </row>
    <row r="10281" spans="1:2" ht="13.2" x14ac:dyDescent="0.25">
      <c r="A10281" s="34" t="s">
        <v>1925</v>
      </c>
    </row>
    <row r="10282" spans="1:2" ht="13.2" x14ac:dyDescent="0.25">
      <c r="A10282" s="34" t="s">
        <v>1924</v>
      </c>
    </row>
    <row r="10283" spans="1:2" ht="13.2" x14ac:dyDescent="0.25">
      <c r="A10283" s="34" t="s">
        <v>1923</v>
      </c>
      <c r="B10283" s="35">
        <v>1.0133244174446101</v>
      </c>
    </row>
    <row r="10284" spans="1:2" ht="13.2" x14ac:dyDescent="0.25">
      <c r="A10284" s="34" t="s">
        <v>1922</v>
      </c>
      <c r="B10284" s="35">
        <v>1.0306706194026101</v>
      </c>
    </row>
    <row r="10285" spans="1:2" ht="13.2" x14ac:dyDescent="0.25">
      <c r="A10285" s="34" t="s">
        <v>1921</v>
      </c>
      <c r="B10285" s="35">
        <v>1.0226903008609101</v>
      </c>
    </row>
    <row r="10286" spans="1:2" ht="13.2" x14ac:dyDescent="0.25">
      <c r="A10286" s="34" t="s">
        <v>1920</v>
      </c>
      <c r="B10286" s="35">
        <v>1.02281818524308</v>
      </c>
    </row>
    <row r="10287" spans="1:2" ht="13.2" x14ac:dyDescent="0.25">
      <c r="A10287" s="34" t="s">
        <v>1919</v>
      </c>
      <c r="B10287" s="35">
        <v>1.0362394999131299</v>
      </c>
    </row>
    <row r="10288" spans="1:2" ht="13.2" x14ac:dyDescent="0.25">
      <c r="A10288" s="34" t="s">
        <v>1918</v>
      </c>
    </row>
    <row r="10289" spans="1:2" ht="13.2" x14ac:dyDescent="0.25">
      <c r="A10289" s="34" t="s">
        <v>1917</v>
      </c>
    </row>
    <row r="10290" spans="1:2" ht="13.2" x14ac:dyDescent="0.25">
      <c r="A10290" s="34" t="s">
        <v>1916</v>
      </c>
      <c r="B10290" s="35">
        <v>1.0324482767633201</v>
      </c>
    </row>
    <row r="10291" spans="1:2" ht="13.2" x14ac:dyDescent="0.25">
      <c r="A10291" s="34" t="s">
        <v>1915</v>
      </c>
      <c r="B10291" s="35">
        <v>0.99018043393058097</v>
      </c>
    </row>
    <row r="10292" spans="1:2" ht="13.2" x14ac:dyDescent="0.25">
      <c r="A10292" s="34" t="s">
        <v>1914</v>
      </c>
      <c r="B10292" s="35">
        <v>1.0378497758269301</v>
      </c>
    </row>
    <row r="10293" spans="1:2" ht="13.2" x14ac:dyDescent="0.25">
      <c r="A10293" s="34" t="s">
        <v>1913</v>
      </c>
      <c r="B10293" s="35">
        <v>1.042326684414</v>
      </c>
    </row>
    <row r="10294" spans="1:2" ht="13.2" x14ac:dyDescent="0.25">
      <c r="A10294" s="34" t="s">
        <v>1912</v>
      </c>
      <c r="B10294" s="35">
        <v>1.23838509389198</v>
      </c>
    </row>
    <row r="10295" spans="1:2" ht="13.2" x14ac:dyDescent="0.25">
      <c r="A10295" s="34" t="s">
        <v>1911</v>
      </c>
    </row>
    <row r="10296" spans="1:2" ht="13.2" x14ac:dyDescent="0.25">
      <c r="A10296" s="34" t="s">
        <v>1910</v>
      </c>
    </row>
    <row r="10297" spans="1:2" ht="13.2" x14ac:dyDescent="0.25">
      <c r="A10297" s="34" t="s">
        <v>1909</v>
      </c>
      <c r="B10297" s="35">
        <v>1.23832155671817</v>
      </c>
    </row>
    <row r="10298" spans="1:2" ht="13.2" x14ac:dyDescent="0.25">
      <c r="A10298" s="34" t="s">
        <v>1908</v>
      </c>
      <c r="B10298" s="35">
        <v>1.2008265946006</v>
      </c>
    </row>
    <row r="10299" spans="1:2" ht="13.2" x14ac:dyDescent="0.25">
      <c r="A10299" s="34" t="s">
        <v>1907</v>
      </c>
      <c r="B10299" s="35">
        <v>1.2312165363141301</v>
      </c>
    </row>
    <row r="10300" spans="1:2" ht="13.2" x14ac:dyDescent="0.25">
      <c r="A10300" s="34" t="s">
        <v>1906</v>
      </c>
      <c r="B10300" s="35">
        <v>1.19731374869792</v>
      </c>
    </row>
    <row r="10301" spans="1:2" ht="13.2" x14ac:dyDescent="0.25">
      <c r="A10301" s="34" t="s">
        <v>1905</v>
      </c>
      <c r="B10301" s="35">
        <v>1.1641146825598701</v>
      </c>
    </row>
    <row r="10302" spans="1:2" ht="13.2" x14ac:dyDescent="0.25">
      <c r="A10302" s="34" t="s">
        <v>1904</v>
      </c>
    </row>
    <row r="10303" spans="1:2" ht="13.2" x14ac:dyDescent="0.25">
      <c r="A10303" s="34" t="s">
        <v>1903</v>
      </c>
    </row>
    <row r="10304" spans="1:2" ht="13.2" x14ac:dyDescent="0.25">
      <c r="A10304" s="34" t="s">
        <v>1902</v>
      </c>
      <c r="B10304" s="35">
        <v>1.1380909777160499</v>
      </c>
    </row>
    <row r="10305" spans="1:2" ht="13.2" x14ac:dyDescent="0.25">
      <c r="A10305" s="34" t="s">
        <v>1901</v>
      </c>
      <c r="B10305" s="35">
        <v>1.0655726176867899</v>
      </c>
    </row>
    <row r="10306" spans="1:2" ht="13.2" x14ac:dyDescent="0.25">
      <c r="A10306" s="34" t="s">
        <v>1900</v>
      </c>
      <c r="B10306" s="35">
        <v>1.0552866460391599</v>
      </c>
    </row>
    <row r="10307" spans="1:2" ht="13.2" x14ac:dyDescent="0.25">
      <c r="A10307" s="34" t="s">
        <v>1899</v>
      </c>
      <c r="B10307" s="35">
        <v>1.0676408378060001</v>
      </c>
    </row>
    <row r="10308" spans="1:2" ht="13.2" x14ac:dyDescent="0.25">
      <c r="A10308" s="34" t="s">
        <v>1898</v>
      </c>
      <c r="B10308" s="35">
        <v>1.0732054948007399</v>
      </c>
    </row>
    <row r="10309" spans="1:2" ht="13.2" x14ac:dyDescent="0.25">
      <c r="A10309" s="34" t="s">
        <v>1897</v>
      </c>
    </row>
    <row r="10310" spans="1:2" ht="13.2" x14ac:dyDescent="0.25">
      <c r="A10310" s="34" t="s">
        <v>1896</v>
      </c>
    </row>
    <row r="10311" spans="1:2" ht="13.2" x14ac:dyDescent="0.25">
      <c r="A10311" s="34" t="s">
        <v>1895</v>
      </c>
      <c r="B10311" s="35">
        <v>1.0996035783845</v>
      </c>
    </row>
    <row r="10312" spans="1:2" ht="13.2" x14ac:dyDescent="0.25">
      <c r="A10312" s="34" t="s">
        <v>1894</v>
      </c>
      <c r="B10312" s="35">
        <v>1.09243529167197</v>
      </c>
    </row>
    <row r="10313" spans="1:2" ht="13.2" x14ac:dyDescent="0.25">
      <c r="A10313" s="34" t="s">
        <v>1893</v>
      </c>
      <c r="B10313" s="35">
        <v>1.0781324920280899</v>
      </c>
    </row>
    <row r="10314" spans="1:2" ht="13.2" x14ac:dyDescent="0.25">
      <c r="A10314" s="34" t="s">
        <v>1892</v>
      </c>
      <c r="B10314" s="35">
        <v>1.0790823617257601</v>
      </c>
    </row>
    <row r="10315" spans="1:2" ht="13.2" x14ac:dyDescent="0.25">
      <c r="A10315" s="34" t="s">
        <v>1891</v>
      </c>
      <c r="B10315" s="35">
        <v>1.10027981380063</v>
      </c>
    </row>
    <row r="10316" spans="1:2" ht="13.2" x14ac:dyDescent="0.25">
      <c r="A10316" s="34" t="s">
        <v>1890</v>
      </c>
    </row>
    <row r="10317" spans="1:2" ht="13.2" x14ac:dyDescent="0.25">
      <c r="A10317" s="34" t="s">
        <v>1889</v>
      </c>
    </row>
    <row r="10318" spans="1:2" ht="13.2" x14ac:dyDescent="0.25">
      <c r="A10318" s="34" t="s">
        <v>1888</v>
      </c>
      <c r="B10318" s="35">
        <v>1.0938181683869801</v>
      </c>
    </row>
    <row r="10319" spans="1:2" ht="13.2" x14ac:dyDescent="0.25">
      <c r="A10319" s="34" t="s">
        <v>1887</v>
      </c>
      <c r="B10319" s="35">
        <v>1.21397464192801</v>
      </c>
    </row>
    <row r="10320" spans="1:2" ht="13.2" x14ac:dyDescent="0.25">
      <c r="A10320" s="34" t="s">
        <v>1886</v>
      </c>
      <c r="B10320" s="35">
        <v>1.20610753756398</v>
      </c>
    </row>
    <row r="10321" spans="1:2" ht="13.2" x14ac:dyDescent="0.25">
      <c r="A10321" s="34" t="s">
        <v>1885</v>
      </c>
      <c r="B10321" s="35">
        <v>1.2043606104654601</v>
      </c>
    </row>
    <row r="10322" spans="1:2" ht="13.2" x14ac:dyDescent="0.25">
      <c r="A10322" s="34" t="s">
        <v>1884</v>
      </c>
      <c r="B10322" s="35">
        <v>1.27418647575908</v>
      </c>
    </row>
    <row r="10323" spans="1:2" ht="13.2" x14ac:dyDescent="0.25">
      <c r="A10323" s="34" t="s">
        <v>1883</v>
      </c>
    </row>
    <row r="10324" spans="1:2" ht="13.2" x14ac:dyDescent="0.25">
      <c r="A10324" s="34" t="s">
        <v>1882</v>
      </c>
    </row>
    <row r="10325" spans="1:2" ht="13.2" x14ac:dyDescent="0.25">
      <c r="A10325" s="34" t="s">
        <v>1881</v>
      </c>
      <c r="B10325" s="35">
        <v>1.09365355847031</v>
      </c>
    </row>
    <row r="10326" spans="1:2" ht="13.2" x14ac:dyDescent="0.25">
      <c r="A10326" s="34" t="s">
        <v>1880</v>
      </c>
      <c r="B10326" s="35">
        <v>1.0933398479666501</v>
      </c>
    </row>
    <row r="10327" spans="1:2" ht="13.2" x14ac:dyDescent="0.25">
      <c r="A10327" s="34" t="s">
        <v>1879</v>
      </c>
      <c r="B10327" s="35">
        <v>1.0798919026870899</v>
      </c>
    </row>
    <row r="10328" spans="1:2" ht="13.2" x14ac:dyDescent="0.25">
      <c r="A10328" s="34" t="s">
        <v>1878</v>
      </c>
      <c r="B10328" s="35">
        <v>1.1449675275425699</v>
      </c>
    </row>
    <row r="10329" spans="1:2" ht="13.2" x14ac:dyDescent="0.25">
      <c r="A10329" s="34" t="s">
        <v>1877</v>
      </c>
      <c r="B10329" s="35">
        <v>1.1486542045228401</v>
      </c>
    </row>
    <row r="10330" spans="1:2" ht="13.2" x14ac:dyDescent="0.25">
      <c r="A10330" s="34" t="s">
        <v>1876</v>
      </c>
    </row>
    <row r="10331" spans="1:2" ht="13.2" x14ac:dyDescent="0.25">
      <c r="A10331" s="34" t="s">
        <v>1875</v>
      </c>
    </row>
    <row r="10332" spans="1:2" ht="13.2" x14ac:dyDescent="0.25">
      <c r="A10332" s="34" t="s">
        <v>1874</v>
      </c>
      <c r="B10332" s="35">
        <v>1.14089582253011</v>
      </c>
    </row>
    <row r="10333" spans="1:2" ht="13.2" x14ac:dyDescent="0.25">
      <c r="A10333" s="34" t="s">
        <v>1873</v>
      </c>
    </row>
    <row r="10334" spans="1:2" ht="13.2" x14ac:dyDescent="0.25">
      <c r="A10334" s="34" t="s">
        <v>1872</v>
      </c>
      <c r="B10334" s="35">
        <v>1.38764005190894</v>
      </c>
    </row>
    <row r="10335" spans="1:2" ht="13.2" x14ac:dyDescent="0.25">
      <c r="A10335" s="34" t="s">
        <v>1871</v>
      </c>
      <c r="B10335" s="35">
        <v>1.45832971007518</v>
      </c>
    </row>
    <row r="10336" spans="1:2" ht="13.2" x14ac:dyDescent="0.25">
      <c r="A10336" s="34" t="s">
        <v>1870</v>
      </c>
      <c r="B10336" s="35">
        <v>1.46487031680288</v>
      </c>
    </row>
    <row r="10337" spans="1:2" ht="13.2" x14ac:dyDescent="0.25">
      <c r="A10337" s="34" t="s">
        <v>1869</v>
      </c>
    </row>
    <row r="10338" spans="1:2" ht="13.2" x14ac:dyDescent="0.25">
      <c r="A10338" s="34" t="s">
        <v>1868</v>
      </c>
    </row>
    <row r="10339" spans="1:2" ht="13.2" x14ac:dyDescent="0.25">
      <c r="A10339" s="34" t="s">
        <v>1867</v>
      </c>
      <c r="B10339" s="35">
        <v>1.5244192401360399</v>
      </c>
    </row>
    <row r="10340" spans="1:2" ht="13.2" x14ac:dyDescent="0.25">
      <c r="A10340" s="34" t="s">
        <v>1866</v>
      </c>
      <c r="B10340" s="35">
        <v>1.5186123655731001</v>
      </c>
    </row>
    <row r="10341" spans="1:2" ht="13.2" x14ac:dyDescent="0.25">
      <c r="A10341" s="34" t="s">
        <v>1865</v>
      </c>
      <c r="B10341" s="35">
        <v>1.4918399974883201</v>
      </c>
    </row>
    <row r="10342" spans="1:2" ht="13.2" x14ac:dyDescent="0.25">
      <c r="A10342" s="34" t="s">
        <v>1864</v>
      </c>
      <c r="B10342" s="35">
        <v>1.4928491474424599</v>
      </c>
    </row>
    <row r="10343" spans="1:2" ht="13.2" x14ac:dyDescent="0.25">
      <c r="A10343" s="34" t="s">
        <v>1863</v>
      </c>
      <c r="B10343" s="35">
        <v>1.53942514567121</v>
      </c>
    </row>
    <row r="10344" spans="1:2" ht="13.2" x14ac:dyDescent="0.25">
      <c r="A10344" s="34" t="s">
        <v>1862</v>
      </c>
    </row>
    <row r="10345" spans="1:2" ht="13.2" x14ac:dyDescent="0.25">
      <c r="A10345" s="34" t="s">
        <v>1861</v>
      </c>
    </row>
    <row r="10346" spans="1:2" ht="13.2" x14ac:dyDescent="0.25">
      <c r="A10346" s="34" t="s">
        <v>1860</v>
      </c>
      <c r="B10346" s="35">
        <v>1.59931928981109</v>
      </c>
    </row>
    <row r="10347" spans="1:2" ht="13.2" x14ac:dyDescent="0.25">
      <c r="A10347" s="34" t="s">
        <v>1859</v>
      </c>
      <c r="B10347" s="35">
        <v>1.6215907624761801</v>
      </c>
    </row>
    <row r="10348" spans="1:2" ht="13.2" x14ac:dyDescent="0.25">
      <c r="A10348" s="34" t="s">
        <v>1858</v>
      </c>
      <c r="B10348" s="35">
        <v>1.6872700912363401</v>
      </c>
    </row>
    <row r="10349" spans="1:2" ht="13.2" x14ac:dyDescent="0.25">
      <c r="A10349" s="34" t="s">
        <v>1857</v>
      </c>
      <c r="B10349" s="35">
        <v>1.63958865689217</v>
      </c>
    </row>
    <row r="10350" spans="1:2" ht="13.2" x14ac:dyDescent="0.25">
      <c r="A10350" s="34" t="s">
        <v>1856</v>
      </c>
      <c r="B10350" s="35">
        <v>1.63279857020205</v>
      </c>
    </row>
    <row r="10351" spans="1:2" ht="13.2" x14ac:dyDescent="0.25">
      <c r="A10351" s="34" t="s">
        <v>1855</v>
      </c>
    </row>
    <row r="10352" spans="1:2" ht="13.2" x14ac:dyDescent="0.25">
      <c r="A10352" s="34" t="s">
        <v>1854</v>
      </c>
    </row>
    <row r="10353" spans="1:2" ht="13.2" x14ac:dyDescent="0.25">
      <c r="A10353" s="34" t="s">
        <v>1853</v>
      </c>
      <c r="B10353" s="35">
        <v>1.60273638549535</v>
      </c>
    </row>
    <row r="10354" spans="1:2" ht="13.2" x14ac:dyDescent="0.25">
      <c r="A10354" s="34" t="s">
        <v>1852</v>
      </c>
      <c r="B10354" s="35">
        <v>1.66162346223213</v>
      </c>
    </row>
    <row r="10355" spans="1:2" ht="13.2" x14ac:dyDescent="0.25">
      <c r="A10355" s="34" t="s">
        <v>1851</v>
      </c>
      <c r="B10355" s="35">
        <v>1.6840836227390901</v>
      </c>
    </row>
    <row r="10356" spans="1:2" ht="13.2" x14ac:dyDescent="0.25">
      <c r="A10356" s="34" t="s">
        <v>1850</v>
      </c>
      <c r="B10356" s="35">
        <v>1.68163228509808</v>
      </c>
    </row>
    <row r="10357" spans="1:2" ht="13.2" x14ac:dyDescent="0.25">
      <c r="A10357" s="34" t="s">
        <v>1849</v>
      </c>
      <c r="B10357" s="35">
        <v>1.7312416952354299</v>
      </c>
    </row>
    <row r="10358" spans="1:2" ht="13.2" x14ac:dyDescent="0.25">
      <c r="A10358" s="34" t="s">
        <v>1848</v>
      </c>
    </row>
    <row r="10359" spans="1:2" ht="13.2" x14ac:dyDescent="0.25">
      <c r="A10359" s="34" t="s">
        <v>1847</v>
      </c>
    </row>
    <row r="10360" spans="1:2" ht="13.2" x14ac:dyDescent="0.25">
      <c r="A10360" s="34" t="s">
        <v>1846</v>
      </c>
      <c r="B10360" s="35">
        <v>1.7278691309462899</v>
      </c>
    </row>
    <row r="10361" spans="1:2" ht="13.2" x14ac:dyDescent="0.25">
      <c r="A10361" s="34" t="s">
        <v>1845</v>
      </c>
      <c r="B10361" s="35">
        <v>1.7259825831836599</v>
      </c>
    </row>
    <row r="10362" spans="1:2" ht="13.2" x14ac:dyDescent="0.25">
      <c r="A10362" s="34" t="s">
        <v>1844</v>
      </c>
      <c r="B10362" s="35">
        <v>1.7109509021227201</v>
      </c>
    </row>
    <row r="10363" spans="1:2" ht="13.2" x14ac:dyDescent="0.25">
      <c r="A10363" s="34" t="s">
        <v>1843</v>
      </c>
      <c r="B10363" s="35">
        <v>1.5057177676064699</v>
      </c>
    </row>
    <row r="10364" spans="1:2" ht="13.2" x14ac:dyDescent="0.25">
      <c r="A10364" s="34" t="s">
        <v>1842</v>
      </c>
      <c r="B10364" s="35">
        <v>1.5258303553110499</v>
      </c>
    </row>
    <row r="10365" spans="1:2" ht="13.2" x14ac:dyDescent="0.25">
      <c r="A10365" s="34" t="s">
        <v>1841</v>
      </c>
    </row>
    <row r="10366" spans="1:2" ht="13.2" x14ac:dyDescent="0.25">
      <c r="A10366" s="34" t="s">
        <v>1840</v>
      </c>
    </row>
    <row r="10367" spans="1:2" ht="13.2" x14ac:dyDescent="0.25">
      <c r="A10367" s="34" t="s">
        <v>1839</v>
      </c>
      <c r="B10367" s="35">
        <v>1.51810047165551</v>
      </c>
    </row>
    <row r="10368" spans="1:2" ht="13.2" x14ac:dyDescent="0.25">
      <c r="A10368" s="34" t="s">
        <v>1838</v>
      </c>
    </row>
    <row r="10369" spans="1:2" ht="13.2" x14ac:dyDescent="0.25">
      <c r="A10369" s="34" t="s">
        <v>1837</v>
      </c>
      <c r="B10369" s="35">
        <v>1.4807309908495701</v>
      </c>
    </row>
    <row r="10370" spans="1:2" ht="13.2" x14ac:dyDescent="0.25">
      <c r="A10370" s="34" t="s">
        <v>1836</v>
      </c>
      <c r="B10370" s="35">
        <v>1.4808784691982</v>
      </c>
    </row>
    <row r="10371" spans="1:2" ht="13.2" x14ac:dyDescent="0.25">
      <c r="A10371" s="34" t="s">
        <v>1835</v>
      </c>
      <c r="B10371" s="35">
        <v>1.4982195740909099</v>
      </c>
    </row>
    <row r="10372" spans="1:2" ht="13.2" x14ac:dyDescent="0.25">
      <c r="A10372" s="34" t="s">
        <v>1834</v>
      </c>
    </row>
    <row r="10373" spans="1:2" ht="13.2" x14ac:dyDescent="0.25">
      <c r="A10373" s="34" t="s">
        <v>1833</v>
      </c>
    </row>
    <row r="10374" spans="1:2" ht="13.2" x14ac:dyDescent="0.25">
      <c r="A10374" s="34" t="s">
        <v>1832</v>
      </c>
      <c r="B10374" s="35">
        <v>1.47803527535045</v>
      </c>
    </row>
    <row r="10375" spans="1:2" ht="13.2" x14ac:dyDescent="0.25">
      <c r="A10375" s="34" t="s">
        <v>1831</v>
      </c>
      <c r="B10375" s="35">
        <v>1.5881331736076401</v>
      </c>
    </row>
    <row r="10376" spans="1:2" ht="13.2" x14ac:dyDescent="0.25">
      <c r="A10376" s="34" t="s">
        <v>1830</v>
      </c>
      <c r="B10376" s="35">
        <v>1.49626111856934</v>
      </c>
    </row>
    <row r="10377" spans="1:2" ht="13.2" x14ac:dyDescent="0.25">
      <c r="A10377" s="34" t="s">
        <v>1829</v>
      </c>
      <c r="B10377" s="35">
        <v>1.5940911305355601</v>
      </c>
    </row>
    <row r="10378" spans="1:2" ht="13.2" x14ac:dyDescent="0.25">
      <c r="A10378" s="34" t="s">
        <v>1828</v>
      </c>
      <c r="B10378" s="35">
        <v>1.5511223042842099</v>
      </c>
    </row>
    <row r="10379" spans="1:2" ht="13.2" x14ac:dyDescent="0.25">
      <c r="A10379" s="34" t="s">
        <v>1827</v>
      </c>
    </row>
    <row r="10380" spans="1:2" ht="13.2" x14ac:dyDescent="0.25">
      <c r="A10380" s="34" t="s">
        <v>1826</v>
      </c>
    </row>
    <row r="10381" spans="1:2" ht="13.2" x14ac:dyDescent="0.25">
      <c r="A10381" s="34" t="s">
        <v>1825</v>
      </c>
      <c r="B10381" s="35">
        <v>1.59741088085205</v>
      </c>
    </row>
    <row r="10382" spans="1:2" ht="13.2" x14ac:dyDescent="0.25">
      <c r="A10382" s="34" t="s">
        <v>1824</v>
      </c>
      <c r="B10382" s="35">
        <v>1.6485355893777101</v>
      </c>
    </row>
    <row r="10383" spans="1:2" ht="13.2" x14ac:dyDescent="0.25">
      <c r="A10383" s="34" t="s">
        <v>1823</v>
      </c>
      <c r="B10383" s="35">
        <v>1.64456981331859</v>
      </c>
    </row>
    <row r="10384" spans="1:2" ht="13.2" x14ac:dyDescent="0.25">
      <c r="A10384" s="34" t="s">
        <v>1822</v>
      </c>
      <c r="B10384" s="35">
        <v>1.51933957448162</v>
      </c>
    </row>
    <row r="10385" spans="1:2" ht="13.2" x14ac:dyDescent="0.25">
      <c r="A10385" s="34" t="s">
        <v>1821</v>
      </c>
      <c r="B10385" s="35">
        <v>1.5527735247054499</v>
      </c>
    </row>
    <row r="10386" spans="1:2" ht="13.2" x14ac:dyDescent="0.25">
      <c r="A10386" s="34" t="s">
        <v>1820</v>
      </c>
    </row>
    <row r="10387" spans="1:2" ht="13.2" x14ac:dyDescent="0.25">
      <c r="A10387" s="34" t="s">
        <v>1819</v>
      </c>
    </row>
    <row r="10388" spans="1:2" ht="13.2" x14ac:dyDescent="0.25">
      <c r="A10388" s="34" t="s">
        <v>1818</v>
      </c>
      <c r="B10388" s="35">
        <v>1.63175666664654</v>
      </c>
    </row>
    <row r="10389" spans="1:2" ht="13.2" x14ac:dyDescent="0.25">
      <c r="A10389" s="34" t="s">
        <v>1817</v>
      </c>
    </row>
    <row r="10390" spans="1:2" ht="13.2" x14ac:dyDescent="0.25">
      <c r="A10390" s="34" t="s">
        <v>1816</v>
      </c>
      <c r="B10390" s="35">
        <v>1.57148604580938</v>
      </c>
    </row>
    <row r="10391" spans="1:2" ht="13.2" x14ac:dyDescent="0.25">
      <c r="A10391" s="34" t="s">
        <v>1815</v>
      </c>
      <c r="B10391" s="35">
        <v>1.5634175467800799</v>
      </c>
    </row>
    <row r="10392" spans="1:2" ht="13.2" x14ac:dyDescent="0.25">
      <c r="A10392" s="34" t="s">
        <v>1814</v>
      </c>
      <c r="B10392" s="35">
        <v>1.6038736028538001</v>
      </c>
    </row>
    <row r="10393" spans="1:2" ht="13.2" x14ac:dyDescent="0.25">
      <c r="A10393" s="34" t="s">
        <v>1813</v>
      </c>
    </row>
    <row r="10394" spans="1:2" ht="13.2" x14ac:dyDescent="0.25">
      <c r="A10394" s="34" t="s">
        <v>1812</v>
      </c>
    </row>
    <row r="10395" spans="1:2" ht="13.2" x14ac:dyDescent="0.25">
      <c r="A10395" s="34" t="s">
        <v>1811</v>
      </c>
      <c r="B10395" s="35">
        <v>1.60271723268818</v>
      </c>
    </row>
    <row r="10396" spans="1:2" ht="13.2" x14ac:dyDescent="0.25">
      <c r="A10396" s="34" t="s">
        <v>1810</v>
      </c>
      <c r="B10396" s="35">
        <v>1.61585490943954</v>
      </c>
    </row>
    <row r="10397" spans="1:2" ht="13.2" x14ac:dyDescent="0.25">
      <c r="A10397" s="34" t="s">
        <v>1809</v>
      </c>
      <c r="B10397" s="35">
        <v>1.5411283674185501</v>
      </c>
    </row>
    <row r="10398" spans="1:2" ht="13.2" x14ac:dyDescent="0.25">
      <c r="A10398" s="34" t="s">
        <v>1808</v>
      </c>
      <c r="B10398" s="35">
        <v>1.5962963828365599</v>
      </c>
    </row>
    <row r="10399" spans="1:2" ht="13.2" x14ac:dyDescent="0.25">
      <c r="A10399" s="34" t="s">
        <v>1807</v>
      </c>
      <c r="B10399" s="35">
        <v>1.5842205483619001</v>
      </c>
    </row>
    <row r="10400" spans="1:2" ht="13.2" x14ac:dyDescent="0.25">
      <c r="A10400" s="34" t="s">
        <v>1806</v>
      </c>
    </row>
    <row r="10401" spans="1:2" ht="13.2" x14ac:dyDescent="0.25">
      <c r="A10401" s="34" t="s">
        <v>1805</v>
      </c>
    </row>
    <row r="10402" spans="1:2" ht="13.2" x14ac:dyDescent="0.25">
      <c r="A10402" s="34" t="s">
        <v>1804</v>
      </c>
    </row>
    <row r="10403" spans="1:2" ht="13.2" x14ac:dyDescent="0.25">
      <c r="A10403" s="34" t="s">
        <v>1803</v>
      </c>
      <c r="B10403" s="35">
        <v>1.6132546227304201</v>
      </c>
    </row>
    <row r="10404" spans="1:2" ht="13.2" x14ac:dyDescent="0.25">
      <c r="A10404" s="34" t="s">
        <v>1802</v>
      </c>
      <c r="B10404" s="35">
        <v>1.58401188331511</v>
      </c>
    </row>
    <row r="10405" spans="1:2" ht="13.2" x14ac:dyDescent="0.25">
      <c r="A10405" s="34" t="s">
        <v>1801</v>
      </c>
      <c r="B10405" s="35">
        <v>1.5825200748697099</v>
      </c>
    </row>
    <row r="10406" spans="1:2" ht="13.2" x14ac:dyDescent="0.25">
      <c r="A10406" s="34" t="s">
        <v>1800</v>
      </c>
      <c r="B10406" s="35">
        <v>1.4579553170462101</v>
      </c>
    </row>
    <row r="10407" spans="1:2" ht="13.2" x14ac:dyDescent="0.25">
      <c r="A10407" s="34" t="s">
        <v>1799</v>
      </c>
    </row>
    <row r="10408" spans="1:2" ht="13.2" x14ac:dyDescent="0.25">
      <c r="A10408" s="34" t="s">
        <v>1798</v>
      </c>
    </row>
    <row r="10409" spans="1:2" ht="13.2" x14ac:dyDescent="0.25">
      <c r="A10409" s="34" t="s">
        <v>1797</v>
      </c>
      <c r="B10409" s="35">
        <v>1.45897063633179</v>
      </c>
    </row>
    <row r="10410" spans="1:2" ht="13.2" x14ac:dyDescent="0.25">
      <c r="A10410" s="34" t="s">
        <v>1796</v>
      </c>
      <c r="B10410" s="35">
        <v>1.4047648420680501</v>
      </c>
    </row>
    <row r="10411" spans="1:2" ht="13.2" x14ac:dyDescent="0.25">
      <c r="A10411" s="34" t="s">
        <v>1795</v>
      </c>
      <c r="B10411" s="35">
        <v>1.3946027331033899</v>
      </c>
    </row>
    <row r="10412" spans="1:2" ht="13.2" x14ac:dyDescent="0.25">
      <c r="A10412" s="34" t="s">
        <v>1794</v>
      </c>
      <c r="B10412" s="35">
        <v>1.3255762793460399</v>
      </c>
    </row>
    <row r="10413" spans="1:2" ht="13.2" x14ac:dyDescent="0.25">
      <c r="A10413" s="34" t="s">
        <v>1793</v>
      </c>
      <c r="B10413" s="35">
        <v>1.45023133136821</v>
      </c>
    </row>
    <row r="10414" spans="1:2" ht="13.2" x14ac:dyDescent="0.25">
      <c r="A10414" s="34" t="s">
        <v>1792</v>
      </c>
    </row>
    <row r="10415" spans="1:2" ht="13.2" x14ac:dyDescent="0.25">
      <c r="A10415" s="34" t="s">
        <v>1791</v>
      </c>
    </row>
    <row r="10416" spans="1:2" ht="13.2" x14ac:dyDescent="0.25">
      <c r="A10416" s="34" t="s">
        <v>1790</v>
      </c>
      <c r="B10416" s="35">
        <v>1.4596903548504401</v>
      </c>
    </row>
    <row r="10417" spans="1:2" ht="13.2" x14ac:dyDescent="0.25">
      <c r="A10417" s="34" t="s">
        <v>1789</v>
      </c>
      <c r="B10417" s="35">
        <v>1.4648154594377101</v>
      </c>
    </row>
    <row r="10418" spans="1:2" ht="13.2" x14ac:dyDescent="0.25">
      <c r="A10418" s="34" t="s">
        <v>1788</v>
      </c>
      <c r="B10418" s="35">
        <v>1.4148290889176001</v>
      </c>
    </row>
    <row r="10419" spans="1:2" ht="13.2" x14ac:dyDescent="0.25">
      <c r="A10419" s="34" t="s">
        <v>1787</v>
      </c>
      <c r="B10419" s="35">
        <v>1.5718766283537899</v>
      </c>
    </row>
    <row r="10420" spans="1:2" ht="13.2" x14ac:dyDescent="0.25">
      <c r="A10420" s="34" t="s">
        <v>1786</v>
      </c>
      <c r="B10420" s="35">
        <v>1.5776942512254</v>
      </c>
    </row>
    <row r="10421" spans="1:2" ht="13.2" x14ac:dyDescent="0.25">
      <c r="A10421" s="34" t="s">
        <v>1785</v>
      </c>
    </row>
    <row r="10422" spans="1:2" ht="13.2" x14ac:dyDescent="0.25">
      <c r="A10422" s="34" t="s">
        <v>1784</v>
      </c>
    </row>
    <row r="10423" spans="1:2" ht="13.2" x14ac:dyDescent="0.25">
      <c r="A10423" s="34" t="s">
        <v>1783</v>
      </c>
      <c r="B10423" s="35">
        <v>1.5440588504161099</v>
      </c>
    </row>
    <row r="10424" spans="1:2" ht="13.2" x14ac:dyDescent="0.25">
      <c r="A10424" s="34" t="s">
        <v>1782</v>
      </c>
      <c r="B10424" s="35">
        <v>1.52421354329877</v>
      </c>
    </row>
    <row r="10425" spans="1:2" ht="13.2" x14ac:dyDescent="0.25">
      <c r="A10425" s="34" t="s">
        <v>1781</v>
      </c>
      <c r="B10425" s="35">
        <v>1.5258687657147301</v>
      </c>
    </row>
    <row r="10426" spans="1:2" ht="13.2" x14ac:dyDescent="0.25">
      <c r="A10426" s="34" t="s">
        <v>1780</v>
      </c>
      <c r="B10426" s="35">
        <v>1.5704245086247</v>
      </c>
    </row>
    <row r="10427" spans="1:2" ht="13.2" x14ac:dyDescent="0.25">
      <c r="A10427" s="34" t="s">
        <v>1779</v>
      </c>
      <c r="B10427" s="35">
        <v>1.59572204420639</v>
      </c>
    </row>
    <row r="10428" spans="1:2" ht="13.2" x14ac:dyDescent="0.25">
      <c r="A10428" s="34" t="s">
        <v>1778</v>
      </c>
    </row>
    <row r="10429" spans="1:2" ht="13.2" x14ac:dyDescent="0.25">
      <c r="A10429" s="34" t="s">
        <v>1777</v>
      </c>
    </row>
    <row r="10430" spans="1:2" ht="13.2" x14ac:dyDescent="0.25">
      <c r="A10430" s="34" t="s">
        <v>1776</v>
      </c>
      <c r="B10430" s="35">
        <v>1.55680251437579</v>
      </c>
    </row>
    <row r="10431" spans="1:2" ht="13.2" x14ac:dyDescent="0.25">
      <c r="A10431" s="34" t="s">
        <v>1775</v>
      </c>
      <c r="B10431" s="35">
        <v>1.53401928417167</v>
      </c>
    </row>
    <row r="10432" spans="1:2" ht="13.2" x14ac:dyDescent="0.25">
      <c r="A10432" s="34" t="s">
        <v>1774</v>
      </c>
      <c r="B10432" s="35">
        <v>1.4852723100156799</v>
      </c>
    </row>
    <row r="10433" spans="1:2" ht="13.2" x14ac:dyDescent="0.25">
      <c r="A10433" s="34" t="s">
        <v>1773</v>
      </c>
      <c r="B10433" s="35">
        <v>1.44260492302965</v>
      </c>
    </row>
    <row r="10434" spans="1:2" ht="13.2" x14ac:dyDescent="0.25">
      <c r="A10434" s="34" t="s">
        <v>1772</v>
      </c>
      <c r="B10434" s="35">
        <v>1.45899546749703</v>
      </c>
    </row>
    <row r="10435" spans="1:2" ht="13.2" x14ac:dyDescent="0.25">
      <c r="A10435" s="34" t="s">
        <v>1771</v>
      </c>
    </row>
    <row r="10436" spans="1:2" ht="13.2" x14ac:dyDescent="0.25">
      <c r="A10436" s="34" t="s">
        <v>1770</v>
      </c>
    </row>
    <row r="10437" spans="1:2" ht="13.2" x14ac:dyDescent="0.25">
      <c r="A10437" s="34" t="s">
        <v>1769</v>
      </c>
      <c r="B10437" s="35">
        <v>1.5382676077906601</v>
      </c>
    </row>
    <row r="10438" spans="1:2" ht="13.2" x14ac:dyDescent="0.25">
      <c r="A10438" s="34" t="s">
        <v>1768</v>
      </c>
      <c r="B10438" s="35">
        <v>1.5233218027442701</v>
      </c>
    </row>
    <row r="10439" spans="1:2" ht="13.2" x14ac:dyDescent="0.25">
      <c r="A10439" s="34" t="s">
        <v>1767</v>
      </c>
      <c r="B10439" s="35">
        <v>1.4936747620181701</v>
      </c>
    </row>
    <row r="10440" spans="1:2" ht="13.2" x14ac:dyDescent="0.25">
      <c r="A10440" s="34" t="s">
        <v>1766</v>
      </c>
      <c r="B10440" s="35">
        <v>1.4860796558681999</v>
      </c>
    </row>
    <row r="10441" spans="1:2" ht="13.2" x14ac:dyDescent="0.25">
      <c r="A10441" s="34" t="s">
        <v>1765</v>
      </c>
    </row>
    <row r="10442" spans="1:2" ht="13.2" x14ac:dyDescent="0.25">
      <c r="A10442" s="34" t="s">
        <v>1764</v>
      </c>
    </row>
    <row r="10443" spans="1:2" ht="13.2" x14ac:dyDescent="0.25">
      <c r="A10443" s="34" t="s">
        <v>1763</v>
      </c>
    </row>
    <row r="10444" spans="1:2" ht="13.2" x14ac:dyDescent="0.25">
      <c r="A10444" s="34" t="s">
        <v>1762</v>
      </c>
      <c r="B10444" s="35">
        <v>1.4666352349782099</v>
      </c>
    </row>
    <row r="10445" spans="1:2" ht="13.2" x14ac:dyDescent="0.25">
      <c r="A10445" s="34" t="s">
        <v>1761</v>
      </c>
      <c r="B10445" s="35">
        <v>1.24943842314272</v>
      </c>
    </row>
    <row r="10446" spans="1:2" ht="13.2" x14ac:dyDescent="0.25">
      <c r="A10446" s="34" t="s">
        <v>1760</v>
      </c>
      <c r="B10446" s="35">
        <v>1.25799129897627</v>
      </c>
    </row>
    <row r="10447" spans="1:2" ht="13.2" x14ac:dyDescent="0.25">
      <c r="A10447" s="34" t="s">
        <v>1759</v>
      </c>
      <c r="B10447" s="35">
        <v>1.2459076683107</v>
      </c>
    </row>
    <row r="10448" spans="1:2" ht="13.2" x14ac:dyDescent="0.25">
      <c r="A10448" s="34" t="s">
        <v>1758</v>
      </c>
    </row>
    <row r="10449" spans="1:2" ht="13.2" x14ac:dyDescent="0.25">
      <c r="A10449" s="34" t="s">
        <v>1757</v>
      </c>
    </row>
    <row r="10450" spans="1:2" ht="13.2" x14ac:dyDescent="0.25">
      <c r="A10450" s="34" t="s">
        <v>1756</v>
      </c>
    </row>
    <row r="10451" spans="1:2" ht="13.2" x14ac:dyDescent="0.25">
      <c r="A10451" s="34" t="s">
        <v>1755</v>
      </c>
      <c r="B10451" s="35">
        <v>1.23390262726866</v>
      </c>
    </row>
    <row r="10452" spans="1:2" ht="13.2" x14ac:dyDescent="0.25">
      <c r="A10452" s="34" t="s">
        <v>1754</v>
      </c>
      <c r="B10452" s="35">
        <v>0.95068512882946599</v>
      </c>
    </row>
    <row r="10453" spans="1:2" ht="13.2" x14ac:dyDescent="0.25">
      <c r="A10453" s="34" t="s">
        <v>1753</v>
      </c>
      <c r="B10453" s="35">
        <v>1.0737392373705501</v>
      </c>
    </row>
    <row r="10454" spans="1:2" ht="13.2" x14ac:dyDescent="0.25">
      <c r="A10454" s="34" t="s">
        <v>1752</v>
      </c>
      <c r="B10454" s="35">
        <v>1.0004435216132299</v>
      </c>
    </row>
    <row r="10455" spans="1:2" ht="13.2" x14ac:dyDescent="0.25">
      <c r="A10455" s="34" t="s">
        <v>1751</v>
      </c>
      <c r="B10455" s="35">
        <v>1.02713877220782</v>
      </c>
    </row>
    <row r="10456" spans="1:2" ht="13.2" x14ac:dyDescent="0.25">
      <c r="A10456" s="34" t="s">
        <v>1750</v>
      </c>
    </row>
    <row r="10457" spans="1:2" ht="13.2" x14ac:dyDescent="0.25">
      <c r="A10457" s="34" t="s">
        <v>1749</v>
      </c>
    </row>
    <row r="10458" spans="1:2" ht="13.2" x14ac:dyDescent="0.25">
      <c r="A10458" s="34" t="s">
        <v>1748</v>
      </c>
      <c r="B10458" s="35">
        <v>1.01975581083727</v>
      </c>
    </row>
    <row r="10459" spans="1:2" ht="13.2" x14ac:dyDescent="0.25">
      <c r="A10459" s="34" t="s">
        <v>1747</v>
      </c>
      <c r="B10459" s="35">
        <v>1.06074738594535</v>
      </c>
    </row>
    <row r="10460" spans="1:2" ht="13.2" x14ac:dyDescent="0.25">
      <c r="A10460" s="34" t="s">
        <v>1746</v>
      </c>
      <c r="B10460" s="35">
        <v>1.09620416910326</v>
      </c>
    </row>
    <row r="10461" spans="1:2" ht="13.2" x14ac:dyDescent="0.25">
      <c r="A10461" s="34" t="s">
        <v>1745</v>
      </c>
      <c r="B10461" s="35">
        <v>1.0947325867081701</v>
      </c>
    </row>
    <row r="10462" spans="1:2" ht="13.2" x14ac:dyDescent="0.25">
      <c r="A10462" s="34" t="s">
        <v>1744</v>
      </c>
      <c r="B10462" s="35">
        <v>1.1292764827644901</v>
      </c>
    </row>
    <row r="10463" spans="1:2" ht="13.2" x14ac:dyDescent="0.25">
      <c r="A10463" s="34" t="s">
        <v>1743</v>
      </c>
    </row>
    <row r="10464" spans="1:2" ht="13.2" x14ac:dyDescent="0.25">
      <c r="A10464" s="34" t="s">
        <v>1742</v>
      </c>
    </row>
    <row r="10465" spans="1:2" ht="13.2" x14ac:dyDescent="0.25">
      <c r="A10465" s="34" t="s">
        <v>1741</v>
      </c>
      <c r="B10465" s="35">
        <v>1.1227551593202201</v>
      </c>
    </row>
    <row r="10466" spans="1:2" ht="13.2" x14ac:dyDescent="0.25">
      <c r="A10466" s="34" t="s">
        <v>1740</v>
      </c>
      <c r="B10466" s="35">
        <v>1.10742824338496</v>
      </c>
    </row>
    <row r="10467" spans="1:2" ht="13.2" x14ac:dyDescent="0.25">
      <c r="A10467" s="34" t="s">
        <v>1739</v>
      </c>
      <c r="B10467" s="35">
        <v>1.1329128934999999</v>
      </c>
    </row>
    <row r="10468" spans="1:2" ht="13.2" x14ac:dyDescent="0.25">
      <c r="A10468" s="34" t="s">
        <v>1738</v>
      </c>
      <c r="B10468" s="35">
        <v>1.0436924820404201</v>
      </c>
    </row>
    <row r="10469" spans="1:2" ht="13.2" x14ac:dyDescent="0.25">
      <c r="A10469" s="34" t="s">
        <v>1737</v>
      </c>
      <c r="B10469" s="35">
        <v>1.0440563736994899</v>
      </c>
    </row>
    <row r="10470" spans="1:2" ht="13.2" x14ac:dyDescent="0.25">
      <c r="A10470" s="34" t="s">
        <v>1736</v>
      </c>
    </row>
    <row r="10471" spans="1:2" ht="13.2" x14ac:dyDescent="0.25">
      <c r="A10471" s="34" t="s">
        <v>1735</v>
      </c>
    </row>
    <row r="10472" spans="1:2" ht="13.2" x14ac:dyDescent="0.25">
      <c r="A10472" s="34" t="s">
        <v>1734</v>
      </c>
      <c r="B10472" s="35">
        <v>1.0764545311857701</v>
      </c>
    </row>
    <row r="10473" spans="1:2" ht="13.2" x14ac:dyDescent="0.25">
      <c r="A10473" s="34" t="s">
        <v>1733</v>
      </c>
      <c r="B10473" s="35">
        <v>1.1404645509812601</v>
      </c>
    </row>
    <row r="10474" spans="1:2" ht="13.2" x14ac:dyDescent="0.25">
      <c r="A10474" s="34" t="s">
        <v>1732</v>
      </c>
      <c r="B10474" s="35">
        <v>1.17510905015648</v>
      </c>
    </row>
    <row r="10475" spans="1:2" ht="13.2" x14ac:dyDescent="0.25">
      <c r="A10475" s="34" t="s">
        <v>1731</v>
      </c>
      <c r="B10475" s="35">
        <v>1.15946581712175</v>
      </c>
    </row>
    <row r="10476" spans="1:2" ht="13.2" x14ac:dyDescent="0.25">
      <c r="A10476" s="34" t="s">
        <v>1730</v>
      </c>
      <c r="B10476" s="35">
        <v>1.16054260975219</v>
      </c>
    </row>
    <row r="10477" spans="1:2" ht="13.2" x14ac:dyDescent="0.25">
      <c r="A10477" s="34" t="s">
        <v>1729</v>
      </c>
    </row>
    <row r="10478" spans="1:2" ht="13.2" x14ac:dyDescent="0.25">
      <c r="A10478" s="34" t="s">
        <v>1728</v>
      </c>
    </row>
    <row r="10479" spans="1:2" ht="13.2" x14ac:dyDescent="0.25">
      <c r="A10479" s="34" t="s">
        <v>1727</v>
      </c>
      <c r="B10479" s="35">
        <v>1.16286578038585</v>
      </c>
    </row>
    <row r="10480" spans="1:2" ht="13.2" x14ac:dyDescent="0.25">
      <c r="A10480" s="34" t="s">
        <v>1726</v>
      </c>
      <c r="B10480" s="35">
        <v>1.1318840533030701</v>
      </c>
    </row>
    <row r="10481" spans="1:2" ht="13.2" x14ac:dyDescent="0.25">
      <c r="A10481" s="34" t="s">
        <v>1725</v>
      </c>
      <c r="B10481" s="35">
        <v>1.15355543221822</v>
      </c>
    </row>
    <row r="10482" spans="1:2" ht="13.2" x14ac:dyDescent="0.25">
      <c r="A10482" s="34" t="s">
        <v>1724</v>
      </c>
      <c r="B10482" s="35">
        <v>0.97510059950327899</v>
      </c>
    </row>
    <row r="10483" spans="1:2" ht="13.2" x14ac:dyDescent="0.25">
      <c r="A10483" s="34" t="s">
        <v>1723</v>
      </c>
      <c r="B10483" s="35">
        <v>0.97497801426150799</v>
      </c>
    </row>
    <row r="10484" spans="1:2" ht="13.2" x14ac:dyDescent="0.25">
      <c r="A10484" s="34" t="s">
        <v>1722</v>
      </c>
      <c r="B10484" s="35">
        <v>2.5852885514360602</v>
      </c>
    </row>
    <row r="10485" spans="1:2" ht="13.2" x14ac:dyDescent="0.25">
      <c r="A10485" s="34" t="s">
        <v>1721</v>
      </c>
      <c r="B10485" s="35">
        <v>2.58390126986261</v>
      </c>
    </row>
    <row r="10486" spans="1:2" ht="13.2" x14ac:dyDescent="0.25">
      <c r="A10486" s="34" t="s">
        <v>1720</v>
      </c>
      <c r="B10486" s="35">
        <v>3.3410177411522799</v>
      </c>
    </row>
    <row r="10487" spans="1:2" ht="13.2" x14ac:dyDescent="0.25">
      <c r="A10487" s="34" t="s">
        <v>1719</v>
      </c>
      <c r="B10487" s="35">
        <v>3.3243165360784799</v>
      </c>
    </row>
    <row r="10488" spans="1:2" ht="13.2" x14ac:dyDescent="0.25">
      <c r="A10488" s="34" t="s">
        <v>1718</v>
      </c>
      <c r="B10488" s="35">
        <v>3.3229094354956299</v>
      </c>
    </row>
    <row r="10489" spans="1:2" ht="13.2" x14ac:dyDescent="0.25">
      <c r="A10489" s="34" t="s">
        <v>1717</v>
      </c>
      <c r="B10489" s="35">
        <v>3.31690870044973</v>
      </c>
    </row>
    <row r="10490" spans="1:2" ht="13.2" x14ac:dyDescent="0.25">
      <c r="A10490" s="34" t="s">
        <v>1716</v>
      </c>
      <c r="B10490" s="35">
        <v>3.3150325453823899</v>
      </c>
    </row>
    <row r="10491" spans="1:2" ht="13.2" x14ac:dyDescent="0.25">
      <c r="A10491" s="34" t="s">
        <v>1715</v>
      </c>
      <c r="B10491" s="35">
        <v>3.6972083194126202</v>
      </c>
    </row>
    <row r="10492" spans="1:2" ht="13.2" x14ac:dyDescent="0.25">
      <c r="A10492" s="34" t="s">
        <v>1714</v>
      </c>
      <c r="B10492" s="35">
        <v>3.6827209222877602</v>
      </c>
    </row>
    <row r="10493" spans="1:2" ht="13.2" x14ac:dyDescent="0.25">
      <c r="A10493" s="34" t="s">
        <v>1713</v>
      </c>
      <c r="B10493" s="35">
        <v>4.0414973256413997</v>
      </c>
    </row>
    <row r="10494" spans="1:2" ht="13.2" x14ac:dyDescent="0.25">
      <c r="A10494" s="34" t="s">
        <v>1712</v>
      </c>
      <c r="B10494" s="35">
        <v>4.04235562206624</v>
      </c>
    </row>
    <row r="10495" spans="1:2" ht="13.2" x14ac:dyDescent="0.25">
      <c r="A10495" s="34" t="s">
        <v>1711</v>
      </c>
      <c r="B10495" s="35">
        <v>4.0307650774733004</v>
      </c>
    </row>
    <row r="10496" spans="1:2" ht="13.2" x14ac:dyDescent="0.25">
      <c r="A10496" s="34" t="s">
        <v>1710</v>
      </c>
      <c r="B10496" s="35">
        <v>4.0306869854083098</v>
      </c>
    </row>
    <row r="10497" spans="1:2" ht="13.2" x14ac:dyDescent="0.25">
      <c r="A10497" s="34" t="s">
        <v>1709</v>
      </c>
      <c r="B10497" s="35">
        <v>4.0212401215669296</v>
      </c>
    </row>
    <row r="10498" spans="1:2" ht="13.2" x14ac:dyDescent="0.25">
      <c r="A10498" s="34" t="s">
        <v>1708</v>
      </c>
      <c r="B10498" s="35">
        <v>4.1282680103210003</v>
      </c>
    </row>
    <row r="10499" spans="1:2" ht="13.2" x14ac:dyDescent="0.25">
      <c r="A10499" s="34" t="s">
        <v>1707</v>
      </c>
      <c r="B10499" s="35">
        <v>4.1340236354094797</v>
      </c>
    </row>
    <row r="10500" spans="1:2" ht="13.2" x14ac:dyDescent="0.25">
      <c r="A10500" s="34" t="s">
        <v>1706</v>
      </c>
      <c r="B10500" s="35">
        <v>4.1652764034015703</v>
      </c>
    </row>
    <row r="10501" spans="1:2" ht="13.2" x14ac:dyDescent="0.25">
      <c r="A10501" s="34" t="s">
        <v>1705</v>
      </c>
      <c r="B10501" s="35">
        <v>4.1691217735602297</v>
      </c>
    </row>
    <row r="10502" spans="1:2" ht="13.2" x14ac:dyDescent="0.25">
      <c r="A10502" s="34" t="s">
        <v>1704</v>
      </c>
      <c r="B10502" s="35">
        <v>4.1682430378114699</v>
      </c>
    </row>
    <row r="10503" spans="1:2" ht="13.2" x14ac:dyDescent="0.25">
      <c r="A10503" s="34" t="s">
        <v>1703</v>
      </c>
      <c r="B10503" s="35">
        <v>4.1680411108467599</v>
      </c>
    </row>
    <row r="10504" spans="1:2" ht="13.2" x14ac:dyDescent="0.25">
      <c r="A10504" s="34" t="s">
        <v>1702</v>
      </c>
      <c r="B10504" s="35">
        <v>4.1778224178946202</v>
      </c>
    </row>
    <row r="10505" spans="1:2" ht="13.2" x14ac:dyDescent="0.25">
      <c r="A10505" s="34" t="s">
        <v>1701</v>
      </c>
      <c r="B10505" s="35">
        <v>3.4354442109676699</v>
      </c>
    </row>
    <row r="10506" spans="1:2" ht="13.2" x14ac:dyDescent="0.25">
      <c r="A10506" s="34" t="s">
        <v>1700</v>
      </c>
      <c r="B10506" s="35">
        <v>3.43901730830436</v>
      </c>
    </row>
    <row r="10507" spans="1:2" ht="13.2" x14ac:dyDescent="0.25">
      <c r="A10507" s="34" t="s">
        <v>1699</v>
      </c>
      <c r="B10507" s="35">
        <v>2.7051116398016601</v>
      </c>
    </row>
    <row r="10508" spans="1:2" ht="13.2" x14ac:dyDescent="0.25">
      <c r="A10508" s="34" t="s">
        <v>1698</v>
      </c>
    </row>
    <row r="10509" spans="1:2" ht="13.2" x14ac:dyDescent="0.25">
      <c r="A10509" s="34" t="s">
        <v>1697</v>
      </c>
      <c r="B10509" s="35">
        <v>2.7771744881353899</v>
      </c>
    </row>
    <row r="10510" spans="1:2" ht="13.2" x14ac:dyDescent="0.25">
      <c r="A10510" s="34" t="s">
        <v>1696</v>
      </c>
      <c r="B10510" s="35">
        <v>2.7772520179912998</v>
      </c>
    </row>
    <row r="10511" spans="1:2" ht="13.2" x14ac:dyDescent="0.25">
      <c r="A10511" s="34" t="s">
        <v>1695</v>
      </c>
      <c r="B10511" s="35">
        <v>2.7768385483301099</v>
      </c>
    </row>
    <row r="10512" spans="1:2" ht="13.2" x14ac:dyDescent="0.25">
      <c r="A10512" s="34" t="s">
        <v>1694</v>
      </c>
    </row>
    <row r="10513" spans="1:2" ht="13.2" x14ac:dyDescent="0.25">
      <c r="A10513" s="34" t="s">
        <v>1693</v>
      </c>
    </row>
    <row r="10514" spans="1:2" ht="13.2" x14ac:dyDescent="0.25">
      <c r="A10514" s="34" t="s">
        <v>1692</v>
      </c>
      <c r="B10514" s="35">
        <v>2.8335223207963098</v>
      </c>
    </row>
    <row r="10515" spans="1:2" ht="13.2" x14ac:dyDescent="0.25">
      <c r="A10515" s="34" t="s">
        <v>1691</v>
      </c>
      <c r="B10515" s="35">
        <v>2.3218519701782498</v>
      </c>
    </row>
    <row r="10516" spans="1:2" ht="13.2" x14ac:dyDescent="0.25">
      <c r="A10516" s="34" t="s">
        <v>1690</v>
      </c>
      <c r="B10516" s="35">
        <v>2.3664242116381899</v>
      </c>
    </row>
    <row r="10517" spans="1:2" ht="13.2" x14ac:dyDescent="0.25">
      <c r="A10517" s="34" t="s">
        <v>1689</v>
      </c>
      <c r="B10517" s="35">
        <v>1.69990368299424</v>
      </c>
    </row>
    <row r="10518" spans="1:2" ht="13.2" x14ac:dyDescent="0.25">
      <c r="A10518" s="34" t="s">
        <v>1688</v>
      </c>
      <c r="B10518" s="35">
        <v>1.7307274664331</v>
      </c>
    </row>
    <row r="10519" spans="1:2" ht="13.2" x14ac:dyDescent="0.25">
      <c r="A10519" s="34" t="s">
        <v>1687</v>
      </c>
    </row>
    <row r="10520" spans="1:2" ht="13.2" x14ac:dyDescent="0.25">
      <c r="A10520" s="34" t="s">
        <v>1686</v>
      </c>
    </row>
    <row r="10521" spans="1:2" ht="13.2" x14ac:dyDescent="0.25">
      <c r="A10521" s="34" t="s">
        <v>1685</v>
      </c>
      <c r="B10521" s="35">
        <v>1.75474473926358</v>
      </c>
    </row>
    <row r="10522" spans="1:2" ht="13.2" x14ac:dyDescent="0.25">
      <c r="A10522" s="34" t="s">
        <v>1684</v>
      </c>
      <c r="B10522" s="35">
        <v>1.7394111495478899</v>
      </c>
    </row>
    <row r="10523" spans="1:2" ht="13.2" x14ac:dyDescent="0.25">
      <c r="A10523" s="34" t="s">
        <v>1683</v>
      </c>
      <c r="B10523" s="35">
        <v>1.79705099372871</v>
      </c>
    </row>
    <row r="10524" spans="1:2" ht="13.2" x14ac:dyDescent="0.25">
      <c r="A10524" s="34" t="s">
        <v>1682</v>
      </c>
      <c r="B10524" s="35">
        <v>1.55253058843786</v>
      </c>
    </row>
    <row r="10525" spans="1:2" ht="13.2" x14ac:dyDescent="0.25">
      <c r="A10525" s="34" t="s">
        <v>1681</v>
      </c>
      <c r="B10525" s="35">
        <v>1.59016792085383</v>
      </c>
    </row>
    <row r="10526" spans="1:2" ht="13.2" x14ac:dyDescent="0.25">
      <c r="A10526" s="34" t="s">
        <v>1680</v>
      </c>
    </row>
    <row r="10527" spans="1:2" ht="13.2" x14ac:dyDescent="0.25">
      <c r="A10527" s="34" t="s">
        <v>1679</v>
      </c>
    </row>
    <row r="10528" spans="1:2" ht="13.2" x14ac:dyDescent="0.25">
      <c r="A10528" s="34" t="s">
        <v>1678</v>
      </c>
      <c r="B10528" s="35">
        <v>1.5198555909378</v>
      </c>
    </row>
    <row r="10529" spans="1:2" ht="13.2" x14ac:dyDescent="0.25">
      <c r="A10529" s="34" t="s">
        <v>1677</v>
      </c>
      <c r="B10529" s="35">
        <v>1.51765418440747</v>
      </c>
    </row>
    <row r="10530" spans="1:2" ht="13.2" x14ac:dyDescent="0.25">
      <c r="A10530" s="34" t="s">
        <v>1676</v>
      </c>
      <c r="B10530" s="35">
        <v>1.50146237655239</v>
      </c>
    </row>
    <row r="10531" spans="1:2" ht="13.2" x14ac:dyDescent="0.25">
      <c r="A10531" s="34" t="s">
        <v>1675</v>
      </c>
      <c r="B10531" s="35">
        <v>1.51411360820379</v>
      </c>
    </row>
    <row r="10532" spans="1:2" ht="13.2" x14ac:dyDescent="0.25">
      <c r="A10532" s="34" t="s">
        <v>1674</v>
      </c>
      <c r="B10532" s="35">
        <v>1.4949369452637999</v>
      </c>
    </row>
    <row r="10533" spans="1:2" ht="13.2" x14ac:dyDescent="0.25">
      <c r="A10533" s="34" t="s">
        <v>1673</v>
      </c>
    </row>
    <row r="10534" spans="1:2" ht="13.2" x14ac:dyDescent="0.25">
      <c r="A10534" s="34" t="s">
        <v>1672</v>
      </c>
    </row>
    <row r="10535" spans="1:2" ht="13.2" x14ac:dyDescent="0.25">
      <c r="A10535" s="34" t="s">
        <v>1671</v>
      </c>
      <c r="B10535" s="35">
        <v>1.4370317150342</v>
      </c>
    </row>
    <row r="10536" spans="1:2" ht="13.2" x14ac:dyDescent="0.25">
      <c r="A10536" s="34" t="s">
        <v>1670</v>
      </c>
      <c r="B10536" s="35">
        <v>1.4338237543050301</v>
      </c>
    </row>
    <row r="10537" spans="1:2" ht="13.2" x14ac:dyDescent="0.25">
      <c r="A10537" s="34" t="s">
        <v>1669</v>
      </c>
      <c r="B10537" s="35">
        <v>1.41831877466158</v>
      </c>
    </row>
    <row r="10538" spans="1:2" ht="13.2" x14ac:dyDescent="0.25">
      <c r="A10538" s="34" t="s">
        <v>1668</v>
      </c>
      <c r="B10538" s="35">
        <v>1.2976715585404099</v>
      </c>
    </row>
    <row r="10539" spans="1:2" ht="13.2" x14ac:dyDescent="0.25">
      <c r="A10539" s="34" t="s">
        <v>1667</v>
      </c>
      <c r="B10539" s="35">
        <v>1.3186781860650401</v>
      </c>
    </row>
    <row r="10540" spans="1:2" ht="13.2" x14ac:dyDescent="0.25">
      <c r="A10540" s="34" t="s">
        <v>1666</v>
      </c>
    </row>
    <row r="10541" spans="1:2" ht="13.2" x14ac:dyDescent="0.25">
      <c r="A10541" s="34" t="s">
        <v>1665</v>
      </c>
    </row>
    <row r="10542" spans="1:2" ht="13.2" x14ac:dyDescent="0.25">
      <c r="A10542" s="34" t="s">
        <v>1664</v>
      </c>
      <c r="B10542" s="35">
        <v>1.3091643351801501</v>
      </c>
    </row>
    <row r="10543" spans="1:2" ht="13.2" x14ac:dyDescent="0.25">
      <c r="A10543" s="34" t="s">
        <v>1663</v>
      </c>
      <c r="B10543" s="35">
        <v>1.2537880231493901</v>
      </c>
    </row>
    <row r="10544" spans="1:2" ht="13.2" x14ac:dyDescent="0.25">
      <c r="A10544" s="34" t="s">
        <v>1662</v>
      </c>
      <c r="B10544" s="35">
        <v>1.2598662971494199</v>
      </c>
    </row>
    <row r="10545" spans="1:2" ht="13.2" x14ac:dyDescent="0.25">
      <c r="A10545" s="34" t="s">
        <v>1661</v>
      </c>
      <c r="B10545" s="35">
        <v>1.1664006393298101</v>
      </c>
    </row>
    <row r="10546" spans="1:2" ht="13.2" x14ac:dyDescent="0.25">
      <c r="A10546" s="34" t="s">
        <v>1660</v>
      </c>
      <c r="B10546" s="35">
        <v>1.1719894394341599</v>
      </c>
    </row>
    <row r="10547" spans="1:2" ht="13.2" x14ac:dyDescent="0.25">
      <c r="A10547" s="34" t="s">
        <v>1659</v>
      </c>
    </row>
    <row r="10548" spans="1:2" ht="13.2" x14ac:dyDescent="0.25">
      <c r="A10548" s="34" t="s">
        <v>1658</v>
      </c>
    </row>
    <row r="10549" spans="1:2" ht="13.2" x14ac:dyDescent="0.25">
      <c r="A10549" s="34" t="s">
        <v>1657</v>
      </c>
      <c r="B10549" s="35">
        <v>1.13134481638658</v>
      </c>
    </row>
    <row r="10550" spans="1:2" ht="13.2" x14ac:dyDescent="0.25">
      <c r="A10550" s="34" t="s">
        <v>1656</v>
      </c>
      <c r="B10550" s="35">
        <v>1.0733367680065899</v>
      </c>
    </row>
    <row r="10551" spans="1:2" ht="13.2" x14ac:dyDescent="0.25">
      <c r="A10551" s="34" t="s">
        <v>1655</v>
      </c>
      <c r="B10551" s="35">
        <v>1.0418044843732901</v>
      </c>
    </row>
    <row r="10552" spans="1:2" ht="13.2" x14ac:dyDescent="0.25">
      <c r="A10552" s="34" t="s">
        <v>1654</v>
      </c>
      <c r="B10552" s="35">
        <v>0.98704351889502595</v>
      </c>
    </row>
    <row r="10553" spans="1:2" ht="13.2" x14ac:dyDescent="0.25">
      <c r="A10553" s="34" t="s">
        <v>1653</v>
      </c>
    </row>
    <row r="10554" spans="1:2" ht="13.2" x14ac:dyDescent="0.25">
      <c r="A10554" s="34" t="s">
        <v>1652</v>
      </c>
    </row>
    <row r="10555" spans="1:2" ht="13.2" x14ac:dyDescent="0.25">
      <c r="A10555" s="34" t="s">
        <v>1651</v>
      </c>
    </row>
    <row r="10556" spans="1:2" ht="13.2" x14ac:dyDescent="0.25">
      <c r="A10556" s="34" t="s">
        <v>1650</v>
      </c>
      <c r="B10556" s="35">
        <v>0.92998025702945297</v>
      </c>
    </row>
    <row r="10557" spans="1:2" ht="13.2" x14ac:dyDescent="0.25">
      <c r="A10557" s="34" t="s">
        <v>1649</v>
      </c>
      <c r="B10557" s="35">
        <v>0.83697052862977195</v>
      </c>
    </row>
    <row r="10558" spans="1:2" ht="13.2" x14ac:dyDescent="0.25">
      <c r="A10558" s="34" t="s">
        <v>1648</v>
      </c>
      <c r="B10558" s="35">
        <v>0.82914724804328499</v>
      </c>
    </row>
    <row r="10559" spans="1:2" ht="13.2" x14ac:dyDescent="0.25">
      <c r="A10559" s="34" t="s">
        <v>1647</v>
      </c>
    </row>
    <row r="10560" spans="1:2" ht="13.2" x14ac:dyDescent="0.25">
      <c r="A10560" s="34" t="s">
        <v>1646</v>
      </c>
      <c r="B10560" s="35">
        <v>0.998671523252881</v>
      </c>
    </row>
    <row r="10561" spans="1:2" ht="13.2" x14ac:dyDescent="0.25">
      <c r="A10561" s="34" t="s">
        <v>1645</v>
      </c>
    </row>
    <row r="10562" spans="1:2" ht="13.2" x14ac:dyDescent="0.25">
      <c r="A10562" s="34" t="s">
        <v>1644</v>
      </c>
    </row>
    <row r="10563" spans="1:2" ht="13.2" x14ac:dyDescent="0.25">
      <c r="A10563" s="34" t="s">
        <v>1643</v>
      </c>
      <c r="B10563" s="35">
        <v>0.99424734766663603</v>
      </c>
    </row>
    <row r="10564" spans="1:2" ht="13.2" x14ac:dyDescent="0.25">
      <c r="A10564" s="34" t="s">
        <v>1642</v>
      </c>
      <c r="B10564" s="35">
        <v>1.0097009921582301</v>
      </c>
    </row>
    <row r="10565" spans="1:2" ht="13.2" x14ac:dyDescent="0.25">
      <c r="A10565" s="34" t="s">
        <v>1641</v>
      </c>
      <c r="B10565" s="35">
        <v>1.05731851517638</v>
      </c>
    </row>
    <row r="10566" spans="1:2" ht="13.2" x14ac:dyDescent="0.25">
      <c r="A10566" s="34" t="s">
        <v>1640</v>
      </c>
      <c r="B10566" s="35">
        <v>1.0763555276096</v>
      </c>
    </row>
    <row r="10567" spans="1:2" ht="13.2" x14ac:dyDescent="0.25">
      <c r="A10567" s="34" t="s">
        <v>1639</v>
      </c>
      <c r="B10567" s="35">
        <v>1.07169290500994</v>
      </c>
    </row>
    <row r="10568" spans="1:2" ht="13.2" x14ac:dyDescent="0.25">
      <c r="A10568" s="34" t="s">
        <v>1638</v>
      </c>
    </row>
    <row r="10569" spans="1:2" ht="13.2" x14ac:dyDescent="0.25">
      <c r="A10569" s="34" t="s">
        <v>1637</v>
      </c>
    </row>
    <row r="10570" spans="1:2" ht="13.2" x14ac:dyDescent="0.25">
      <c r="A10570" s="34" t="s">
        <v>1636</v>
      </c>
      <c r="B10570" s="35">
        <v>1.0675152629715099</v>
      </c>
    </row>
    <row r="10571" spans="1:2" ht="13.2" x14ac:dyDescent="0.25">
      <c r="A10571" s="34" t="s">
        <v>1635</v>
      </c>
      <c r="B10571" s="35">
        <v>1.06968018305611</v>
      </c>
    </row>
    <row r="10572" spans="1:2" ht="13.2" x14ac:dyDescent="0.25">
      <c r="A10572" s="34" t="s">
        <v>1634</v>
      </c>
      <c r="B10572" s="35">
        <v>1.1064468418803</v>
      </c>
    </row>
    <row r="10573" spans="1:2" ht="13.2" x14ac:dyDescent="0.25">
      <c r="A10573" s="34" t="s">
        <v>1633</v>
      </c>
      <c r="B10573" s="35">
        <v>1.2112710092633501</v>
      </c>
    </row>
    <row r="10574" spans="1:2" ht="13.2" x14ac:dyDescent="0.25">
      <c r="A10574" s="34" t="s">
        <v>1632</v>
      </c>
      <c r="B10574" s="35">
        <v>1.1768200113146701</v>
      </c>
    </row>
    <row r="10575" spans="1:2" ht="13.2" x14ac:dyDescent="0.25">
      <c r="A10575" s="34" t="s">
        <v>1631</v>
      </c>
    </row>
    <row r="10576" spans="1:2" ht="13.2" x14ac:dyDescent="0.25">
      <c r="A10576" s="34" t="s">
        <v>1630</v>
      </c>
    </row>
    <row r="10577" spans="1:2" ht="13.2" x14ac:dyDescent="0.25">
      <c r="A10577" s="34" t="s">
        <v>1629</v>
      </c>
      <c r="B10577" s="35">
        <v>1.2066499987822901</v>
      </c>
    </row>
    <row r="10578" spans="1:2" ht="13.2" x14ac:dyDescent="0.25">
      <c r="A10578" s="34" t="s">
        <v>1628</v>
      </c>
      <c r="B10578" s="35">
        <v>1.1824979722864699</v>
      </c>
    </row>
    <row r="10579" spans="1:2" ht="13.2" x14ac:dyDescent="0.25">
      <c r="A10579" s="34" t="s">
        <v>1627</v>
      </c>
      <c r="B10579" s="35">
        <v>1.2541240584609199</v>
      </c>
    </row>
    <row r="10580" spans="1:2" ht="13.2" x14ac:dyDescent="0.25">
      <c r="A10580" s="34" t="s">
        <v>1626</v>
      </c>
      <c r="B10580" s="35">
        <v>1.30754428686138</v>
      </c>
    </row>
    <row r="10581" spans="1:2" ht="13.2" x14ac:dyDescent="0.25">
      <c r="A10581" s="34" t="s">
        <v>1625</v>
      </c>
      <c r="B10581" s="35">
        <v>1.3544721755938101</v>
      </c>
    </row>
    <row r="10582" spans="1:2" ht="13.2" x14ac:dyDescent="0.25">
      <c r="A10582" s="34" t="s">
        <v>1624</v>
      </c>
    </row>
    <row r="10583" spans="1:2" ht="13.2" x14ac:dyDescent="0.25">
      <c r="A10583" s="34" t="s">
        <v>1623</v>
      </c>
    </row>
    <row r="10584" spans="1:2" ht="13.2" x14ac:dyDescent="0.25">
      <c r="A10584" s="34" t="s">
        <v>1622</v>
      </c>
      <c r="B10584" s="35">
        <v>1.3853326926576</v>
      </c>
    </row>
    <row r="10585" spans="1:2" ht="13.2" x14ac:dyDescent="0.25">
      <c r="A10585" s="34" t="s">
        <v>1621</v>
      </c>
      <c r="B10585" s="35">
        <v>1.39774472001665</v>
      </c>
    </row>
    <row r="10586" spans="1:2" ht="13.2" x14ac:dyDescent="0.25">
      <c r="A10586" s="34" t="s">
        <v>1620</v>
      </c>
      <c r="B10586" s="35">
        <v>1.4678190015631301</v>
      </c>
    </row>
    <row r="10587" spans="1:2" ht="13.2" x14ac:dyDescent="0.25">
      <c r="A10587" s="34" t="s">
        <v>1619</v>
      </c>
      <c r="B10587" s="35">
        <v>1.48729296816644</v>
      </c>
    </row>
    <row r="10588" spans="1:2" ht="13.2" x14ac:dyDescent="0.25">
      <c r="A10588" s="34" t="s">
        <v>1618</v>
      </c>
      <c r="B10588" s="35">
        <v>1.5319815828885801</v>
      </c>
    </row>
    <row r="10589" spans="1:2" ht="13.2" x14ac:dyDescent="0.25">
      <c r="A10589" s="34" t="s">
        <v>1617</v>
      </c>
    </row>
    <row r="10590" spans="1:2" ht="13.2" x14ac:dyDescent="0.25">
      <c r="A10590" s="34" t="s">
        <v>1616</v>
      </c>
    </row>
    <row r="10591" spans="1:2" ht="13.2" x14ac:dyDescent="0.25">
      <c r="A10591" s="34" t="s">
        <v>1615</v>
      </c>
      <c r="B10591" s="35">
        <v>1.4615159664392801</v>
      </c>
    </row>
    <row r="10592" spans="1:2" ht="13.2" x14ac:dyDescent="0.25">
      <c r="A10592" s="34" t="s">
        <v>1614</v>
      </c>
      <c r="B10592" s="35">
        <v>1.4604898191635101</v>
      </c>
    </row>
    <row r="10593" spans="1:2" ht="13.2" x14ac:dyDescent="0.25">
      <c r="A10593" s="34" t="s">
        <v>1613</v>
      </c>
      <c r="B10593" s="35">
        <v>1.3663169138649101</v>
      </c>
    </row>
    <row r="10594" spans="1:2" ht="13.2" x14ac:dyDescent="0.25">
      <c r="A10594" s="34" t="s">
        <v>1612</v>
      </c>
      <c r="B10594" s="35">
        <v>1.3712129415715</v>
      </c>
    </row>
    <row r="10595" spans="1:2" ht="13.2" x14ac:dyDescent="0.25">
      <c r="A10595" s="34" t="s">
        <v>1611</v>
      </c>
      <c r="B10595" s="35">
        <v>1.3680141477716801</v>
      </c>
    </row>
    <row r="10596" spans="1:2" ht="13.2" x14ac:dyDescent="0.25">
      <c r="A10596" s="34" t="s">
        <v>1610</v>
      </c>
    </row>
    <row r="10597" spans="1:2" ht="13.2" x14ac:dyDescent="0.25">
      <c r="A10597" s="34" t="s">
        <v>1609</v>
      </c>
    </row>
    <row r="10598" spans="1:2" ht="13.2" x14ac:dyDescent="0.25">
      <c r="A10598" s="34" t="s">
        <v>1608</v>
      </c>
      <c r="B10598" s="35">
        <v>1.3103063889375499</v>
      </c>
    </row>
    <row r="10599" spans="1:2" ht="13.2" x14ac:dyDescent="0.25">
      <c r="A10599" s="34" t="s">
        <v>1607</v>
      </c>
      <c r="B10599" s="35">
        <v>1.27663508054332</v>
      </c>
    </row>
    <row r="10600" spans="1:2" ht="13.2" x14ac:dyDescent="0.25">
      <c r="A10600" s="34" t="s">
        <v>1606</v>
      </c>
      <c r="B10600" s="35">
        <v>1.27550673441714</v>
      </c>
    </row>
    <row r="10601" spans="1:2" ht="13.2" x14ac:dyDescent="0.25">
      <c r="A10601" s="34" t="s">
        <v>1605</v>
      </c>
      <c r="B10601" s="35">
        <v>1.24156486289749</v>
      </c>
    </row>
    <row r="10602" spans="1:2" ht="13.2" x14ac:dyDescent="0.25">
      <c r="A10602" s="34" t="s">
        <v>1604</v>
      </c>
      <c r="B10602" s="35">
        <v>1.08022658653147</v>
      </c>
    </row>
    <row r="10603" spans="1:2" ht="13.2" x14ac:dyDescent="0.25">
      <c r="A10603" s="34" t="s">
        <v>1603</v>
      </c>
    </row>
    <row r="10604" spans="1:2" ht="13.2" x14ac:dyDescent="0.25">
      <c r="A10604" s="34" t="s">
        <v>1602</v>
      </c>
    </row>
    <row r="10605" spans="1:2" ht="13.2" x14ac:dyDescent="0.25">
      <c r="A10605" s="34" t="s">
        <v>1601</v>
      </c>
      <c r="B10605" s="35">
        <v>1.10265114343686</v>
      </c>
    </row>
    <row r="10606" spans="1:2" ht="13.2" x14ac:dyDescent="0.25">
      <c r="A10606" s="34" t="s">
        <v>1600</v>
      </c>
      <c r="B10606" s="35">
        <v>1.0038668194045</v>
      </c>
    </row>
    <row r="10607" spans="1:2" ht="13.2" x14ac:dyDescent="0.25">
      <c r="A10607" s="34" t="s">
        <v>1599</v>
      </c>
      <c r="B10607" s="35">
        <v>1.0801702017097601</v>
      </c>
    </row>
    <row r="10608" spans="1:2" ht="13.2" x14ac:dyDescent="0.25">
      <c r="A10608" s="34" t="s">
        <v>1598</v>
      </c>
      <c r="B10608" s="35">
        <v>1.0968890028404199</v>
      </c>
    </row>
    <row r="10609" spans="1:2" ht="13.2" x14ac:dyDescent="0.25">
      <c r="A10609" s="34" t="s">
        <v>1597</v>
      </c>
      <c r="B10609" s="35">
        <v>1.1216922073186699</v>
      </c>
    </row>
    <row r="10610" spans="1:2" ht="13.2" x14ac:dyDescent="0.25">
      <c r="A10610" s="34" t="s">
        <v>1596</v>
      </c>
    </row>
    <row r="10611" spans="1:2" ht="13.2" x14ac:dyDescent="0.25">
      <c r="A10611" s="34" t="s">
        <v>1595</v>
      </c>
    </row>
    <row r="10612" spans="1:2" ht="13.2" x14ac:dyDescent="0.25">
      <c r="A10612" s="34" t="s">
        <v>1594</v>
      </c>
      <c r="B10612" s="35">
        <v>1.23857548782793</v>
      </c>
    </row>
    <row r="10613" spans="1:2" ht="13.2" x14ac:dyDescent="0.25">
      <c r="A10613" s="34" t="s">
        <v>1593</v>
      </c>
      <c r="B10613" s="35">
        <v>1.19678240342866</v>
      </c>
    </row>
    <row r="10614" spans="1:2" ht="13.2" x14ac:dyDescent="0.25">
      <c r="A10614" s="34" t="s">
        <v>1592</v>
      </c>
      <c r="B10614" s="35">
        <v>1.2047439926980199</v>
      </c>
    </row>
    <row r="10615" spans="1:2" ht="13.2" x14ac:dyDescent="0.25">
      <c r="A10615" s="34" t="s">
        <v>1591</v>
      </c>
    </row>
    <row r="10616" spans="1:2" ht="13.2" x14ac:dyDescent="0.25">
      <c r="A10616" s="34" t="s">
        <v>1590</v>
      </c>
      <c r="B10616" s="35">
        <v>1.2604385261918001</v>
      </c>
    </row>
    <row r="10617" spans="1:2" ht="13.2" x14ac:dyDescent="0.25">
      <c r="A10617" s="34" t="s">
        <v>1589</v>
      </c>
    </row>
    <row r="10618" spans="1:2" ht="13.2" x14ac:dyDescent="0.25">
      <c r="A10618" s="34" t="s">
        <v>1588</v>
      </c>
    </row>
    <row r="10619" spans="1:2" ht="13.2" x14ac:dyDescent="0.25">
      <c r="A10619" s="34" t="s">
        <v>1587</v>
      </c>
      <c r="B10619" s="35">
        <v>1.2418099455893099</v>
      </c>
    </row>
    <row r="10620" spans="1:2" ht="13.2" x14ac:dyDescent="0.25">
      <c r="A10620" s="34" t="s">
        <v>1586</v>
      </c>
      <c r="B10620" s="35">
        <v>1.1799223449596099</v>
      </c>
    </row>
    <row r="10621" spans="1:2" ht="13.2" x14ac:dyDescent="0.25">
      <c r="A10621" s="34" t="s">
        <v>1585</v>
      </c>
      <c r="B10621" s="35">
        <v>1.07985905272289</v>
      </c>
    </row>
    <row r="10622" spans="1:2" ht="13.2" x14ac:dyDescent="0.25">
      <c r="A10622" s="34" t="s">
        <v>1584</v>
      </c>
      <c r="B10622" s="35">
        <v>1.0869552107393401</v>
      </c>
    </row>
    <row r="10623" spans="1:2" ht="13.2" x14ac:dyDescent="0.25">
      <c r="A10623" s="34" t="s">
        <v>1583</v>
      </c>
      <c r="B10623" s="35">
        <v>1.1104693179666001</v>
      </c>
    </row>
    <row r="10624" spans="1:2" ht="13.2" x14ac:dyDescent="0.25">
      <c r="A10624" s="34" t="s">
        <v>1582</v>
      </c>
    </row>
    <row r="10625" spans="1:2" ht="13.2" x14ac:dyDescent="0.25">
      <c r="A10625" s="34" t="s">
        <v>1581</v>
      </c>
    </row>
    <row r="10626" spans="1:2" ht="13.2" x14ac:dyDescent="0.25">
      <c r="A10626" s="34" t="s">
        <v>1580</v>
      </c>
      <c r="B10626" s="35">
        <v>1.19657301919874</v>
      </c>
    </row>
    <row r="10627" spans="1:2" ht="13.2" x14ac:dyDescent="0.25">
      <c r="A10627" s="34" t="s">
        <v>1579</v>
      </c>
      <c r="B10627" s="35">
        <v>1.19254120938543</v>
      </c>
    </row>
    <row r="10628" spans="1:2" ht="13.2" x14ac:dyDescent="0.25">
      <c r="A10628" s="34" t="s">
        <v>1578</v>
      </c>
      <c r="B10628" s="35">
        <v>1.19495219563523</v>
      </c>
    </row>
    <row r="10629" spans="1:2" ht="13.2" x14ac:dyDescent="0.25">
      <c r="A10629" s="34" t="s">
        <v>1577</v>
      </c>
      <c r="B10629" s="35">
        <v>1.18641908512733</v>
      </c>
    </row>
    <row r="10630" spans="1:2" ht="13.2" x14ac:dyDescent="0.25">
      <c r="A10630" s="34" t="s">
        <v>1576</v>
      </c>
      <c r="B10630" s="35">
        <v>1.1998755219478601</v>
      </c>
    </row>
    <row r="10631" spans="1:2" ht="13.2" x14ac:dyDescent="0.25">
      <c r="A10631" s="34" t="s">
        <v>1575</v>
      </c>
    </row>
    <row r="10632" spans="1:2" ht="13.2" x14ac:dyDescent="0.25">
      <c r="A10632" s="34" t="s">
        <v>1574</v>
      </c>
    </row>
    <row r="10633" spans="1:2" ht="13.2" x14ac:dyDescent="0.25">
      <c r="A10633" s="34" t="s">
        <v>1573</v>
      </c>
      <c r="B10633" s="35">
        <v>1.15227566163529</v>
      </c>
    </row>
    <row r="10634" spans="1:2" ht="13.2" x14ac:dyDescent="0.25">
      <c r="A10634" s="34" t="s">
        <v>1572</v>
      </c>
      <c r="B10634" s="35">
        <v>1.1474027718334301</v>
      </c>
    </row>
    <row r="10635" spans="1:2" ht="13.2" x14ac:dyDescent="0.25">
      <c r="A10635" s="34" t="s">
        <v>1571</v>
      </c>
      <c r="B10635" s="35">
        <v>1.1666806751433201</v>
      </c>
    </row>
    <row r="10636" spans="1:2" ht="13.2" x14ac:dyDescent="0.25">
      <c r="A10636" s="34" t="s">
        <v>1570</v>
      </c>
      <c r="B10636" s="35">
        <v>1.29005748777937</v>
      </c>
    </row>
    <row r="10637" spans="1:2" ht="13.2" x14ac:dyDescent="0.25">
      <c r="A10637" s="34" t="s">
        <v>1569</v>
      </c>
      <c r="B10637" s="35">
        <v>1.2636215182265</v>
      </c>
    </row>
    <row r="10638" spans="1:2" ht="13.2" x14ac:dyDescent="0.25">
      <c r="A10638" s="34" t="s">
        <v>1568</v>
      </c>
    </row>
    <row r="10639" spans="1:2" ht="13.2" x14ac:dyDescent="0.25">
      <c r="A10639" s="34" t="s">
        <v>1567</v>
      </c>
    </row>
    <row r="10640" spans="1:2" ht="13.2" x14ac:dyDescent="0.25">
      <c r="A10640" s="34" t="s">
        <v>1566</v>
      </c>
      <c r="B10640" s="35">
        <v>1.3077629378840001</v>
      </c>
    </row>
    <row r="10641" spans="1:2" ht="13.2" x14ac:dyDescent="0.25">
      <c r="A10641" s="34" t="s">
        <v>1565</v>
      </c>
      <c r="B10641" s="35">
        <v>1.2862288522369201</v>
      </c>
    </row>
    <row r="10642" spans="1:2" ht="13.2" x14ac:dyDescent="0.25">
      <c r="A10642" s="34" t="s">
        <v>1564</v>
      </c>
      <c r="B10642" s="35">
        <v>1.1597043714134601</v>
      </c>
    </row>
    <row r="10643" spans="1:2" ht="13.2" x14ac:dyDescent="0.25">
      <c r="A10643" s="34" t="s">
        <v>1563</v>
      </c>
      <c r="B10643" s="35">
        <v>1.20952064786453</v>
      </c>
    </row>
    <row r="10644" spans="1:2" ht="13.2" x14ac:dyDescent="0.25">
      <c r="A10644" s="34" t="s">
        <v>1562</v>
      </c>
      <c r="B10644" s="35">
        <v>1.19930888166215</v>
      </c>
    </row>
    <row r="10645" spans="1:2" ht="13.2" x14ac:dyDescent="0.25">
      <c r="A10645" s="34" t="s">
        <v>1561</v>
      </c>
    </row>
    <row r="10646" spans="1:2" ht="13.2" x14ac:dyDescent="0.25">
      <c r="A10646" s="34" t="s">
        <v>1560</v>
      </c>
    </row>
    <row r="10647" spans="1:2" ht="13.2" x14ac:dyDescent="0.25">
      <c r="A10647" s="34" t="s">
        <v>1559</v>
      </c>
      <c r="B10647" s="35">
        <v>1.0417677615342</v>
      </c>
    </row>
    <row r="10648" spans="1:2" ht="13.2" x14ac:dyDescent="0.25">
      <c r="A10648" s="34" t="s">
        <v>1558</v>
      </c>
      <c r="B10648" s="35">
        <v>1.09203401499983</v>
      </c>
    </row>
    <row r="10649" spans="1:2" ht="13.2" x14ac:dyDescent="0.25">
      <c r="A10649" s="34" t="s">
        <v>1557</v>
      </c>
      <c r="B10649" s="35">
        <v>1.0921254348424101</v>
      </c>
    </row>
    <row r="10650" spans="1:2" ht="13.2" x14ac:dyDescent="0.25">
      <c r="A10650" s="34" t="s">
        <v>1556</v>
      </c>
      <c r="B10650" s="35">
        <v>1.1064165821380001</v>
      </c>
    </row>
    <row r="10651" spans="1:2" ht="13.2" x14ac:dyDescent="0.25">
      <c r="A10651" s="34" t="s">
        <v>1555</v>
      </c>
      <c r="B10651" s="35">
        <v>1.05691424977658</v>
      </c>
    </row>
    <row r="10652" spans="1:2" ht="13.2" x14ac:dyDescent="0.25">
      <c r="A10652" s="34" t="s">
        <v>1554</v>
      </c>
    </row>
    <row r="10653" spans="1:2" ht="13.2" x14ac:dyDescent="0.25">
      <c r="A10653" s="34" t="s">
        <v>1553</v>
      </c>
    </row>
    <row r="10654" spans="1:2" ht="13.2" x14ac:dyDescent="0.25">
      <c r="A10654" s="34" t="s">
        <v>1552</v>
      </c>
      <c r="B10654" s="35">
        <v>1.0889236529245101</v>
      </c>
    </row>
    <row r="10655" spans="1:2" ht="13.2" x14ac:dyDescent="0.25">
      <c r="A10655" s="34" t="s">
        <v>1551</v>
      </c>
      <c r="B10655" s="35">
        <v>0.99090140519748204</v>
      </c>
    </row>
    <row r="10656" spans="1:2" ht="13.2" x14ac:dyDescent="0.25">
      <c r="A10656" s="34" t="s">
        <v>1550</v>
      </c>
      <c r="B10656" s="35">
        <v>1.05744301484784</v>
      </c>
    </row>
    <row r="10657" spans="1:2" ht="13.2" x14ac:dyDescent="0.25">
      <c r="A10657" s="34" t="s">
        <v>1549</v>
      </c>
      <c r="B10657" s="35">
        <v>1.0568491213345399</v>
      </c>
    </row>
    <row r="10658" spans="1:2" ht="13.2" x14ac:dyDescent="0.25">
      <c r="A10658" s="34" t="s">
        <v>1548</v>
      </c>
      <c r="B10658" s="35">
        <v>1.02143708343185</v>
      </c>
    </row>
    <row r="10659" spans="1:2" ht="13.2" x14ac:dyDescent="0.25">
      <c r="A10659" s="34" t="s">
        <v>1547</v>
      </c>
    </row>
    <row r="10660" spans="1:2" ht="13.2" x14ac:dyDescent="0.25">
      <c r="A10660" s="34" t="s">
        <v>1546</v>
      </c>
    </row>
    <row r="10661" spans="1:2" ht="13.2" x14ac:dyDescent="0.25">
      <c r="A10661" s="34" t="s">
        <v>1545</v>
      </c>
      <c r="B10661" s="35">
        <v>1.0494696031495301</v>
      </c>
    </row>
    <row r="10662" spans="1:2" ht="13.2" x14ac:dyDescent="0.25">
      <c r="A10662" s="34" t="s">
        <v>1544</v>
      </c>
      <c r="B10662" s="35">
        <v>1.0624878194060201</v>
      </c>
    </row>
    <row r="10663" spans="1:2" ht="13.2" x14ac:dyDescent="0.25">
      <c r="A10663" s="34" t="s">
        <v>1543</v>
      </c>
      <c r="B10663" s="35">
        <v>1.05566576058635</v>
      </c>
    </row>
    <row r="10664" spans="1:2" ht="13.2" x14ac:dyDescent="0.25">
      <c r="A10664" s="34" t="s">
        <v>1542</v>
      </c>
      <c r="B10664" s="35">
        <v>1.1233942014113301</v>
      </c>
    </row>
    <row r="10665" spans="1:2" ht="13.2" x14ac:dyDescent="0.25">
      <c r="A10665" s="34" t="s">
        <v>1541</v>
      </c>
      <c r="B10665" s="35">
        <v>1.0571468069190999</v>
      </c>
    </row>
    <row r="10666" spans="1:2" ht="13.2" x14ac:dyDescent="0.25">
      <c r="A10666" s="34" t="s">
        <v>1540</v>
      </c>
    </row>
    <row r="10667" spans="1:2" ht="13.2" x14ac:dyDescent="0.25">
      <c r="A10667" s="34" t="s">
        <v>1539</v>
      </c>
    </row>
    <row r="10668" spans="1:2" ht="13.2" x14ac:dyDescent="0.25">
      <c r="A10668" s="34" t="s">
        <v>1538</v>
      </c>
      <c r="B10668" s="35">
        <v>1.0947107454517899</v>
      </c>
    </row>
    <row r="10669" spans="1:2" ht="13.2" x14ac:dyDescent="0.25">
      <c r="A10669" s="34" t="s">
        <v>1537</v>
      </c>
      <c r="B10669" s="35">
        <v>0.93977671792620598</v>
      </c>
    </row>
    <row r="10670" spans="1:2" ht="13.2" x14ac:dyDescent="0.25">
      <c r="A10670" s="34" t="s">
        <v>1536</v>
      </c>
      <c r="B10670" s="35">
        <v>0.95734543332283295</v>
      </c>
    </row>
    <row r="10671" spans="1:2" ht="13.2" x14ac:dyDescent="0.25">
      <c r="A10671" s="34" t="s">
        <v>1535</v>
      </c>
      <c r="B10671" s="35">
        <v>0.96109160711019004</v>
      </c>
    </row>
    <row r="10672" spans="1:2" ht="13.2" x14ac:dyDescent="0.25">
      <c r="A10672" s="34" t="s">
        <v>1534</v>
      </c>
      <c r="B10672" s="35">
        <v>0.91496484926113997</v>
      </c>
    </row>
    <row r="10673" spans="1:2" ht="13.2" x14ac:dyDescent="0.25">
      <c r="A10673" s="34" t="s">
        <v>1533</v>
      </c>
    </row>
    <row r="10674" spans="1:2" ht="13.2" x14ac:dyDescent="0.25">
      <c r="A10674" s="34" t="s">
        <v>1532</v>
      </c>
    </row>
    <row r="10675" spans="1:2" ht="13.2" x14ac:dyDescent="0.25">
      <c r="A10675" s="34" t="s">
        <v>1531</v>
      </c>
      <c r="B10675" s="35">
        <v>0.91967569614359401</v>
      </c>
    </row>
    <row r="10676" spans="1:2" ht="13.2" x14ac:dyDescent="0.25">
      <c r="A10676" s="34" t="s">
        <v>1530</v>
      </c>
      <c r="B10676" s="35">
        <v>0.91878909107950801</v>
      </c>
    </row>
    <row r="10677" spans="1:2" ht="13.2" x14ac:dyDescent="0.25">
      <c r="A10677" s="34" t="s">
        <v>1529</v>
      </c>
      <c r="B10677" s="35">
        <v>0.91600917877119503</v>
      </c>
    </row>
    <row r="10678" spans="1:2" ht="13.2" x14ac:dyDescent="0.25">
      <c r="A10678" s="34" t="s">
        <v>1528</v>
      </c>
      <c r="B10678" s="35">
        <v>0.91430417409650899</v>
      </c>
    </row>
    <row r="10679" spans="1:2" ht="13.2" x14ac:dyDescent="0.25">
      <c r="A10679" s="34" t="s">
        <v>1527</v>
      </c>
      <c r="B10679" s="35">
        <v>1.0938484760804901</v>
      </c>
    </row>
    <row r="10680" spans="1:2" ht="13.2" x14ac:dyDescent="0.25">
      <c r="A10680" s="34" t="s">
        <v>1526</v>
      </c>
    </row>
    <row r="10681" spans="1:2" ht="13.2" x14ac:dyDescent="0.25">
      <c r="A10681" s="34" t="s">
        <v>1525</v>
      </c>
    </row>
    <row r="10682" spans="1:2" ht="13.2" x14ac:dyDescent="0.25">
      <c r="A10682" s="34" t="s">
        <v>1524</v>
      </c>
      <c r="B10682" s="35">
        <v>1.1309513300404599</v>
      </c>
    </row>
    <row r="10683" spans="1:2" ht="13.2" x14ac:dyDescent="0.25">
      <c r="A10683" s="34" t="s">
        <v>1523</v>
      </c>
      <c r="B10683" s="35">
        <v>1.17005275171821</v>
      </c>
    </row>
    <row r="10684" spans="1:2" ht="13.2" x14ac:dyDescent="0.25">
      <c r="A10684" s="34" t="s">
        <v>1522</v>
      </c>
      <c r="B10684" s="35">
        <v>1.1514911968946699</v>
      </c>
    </row>
    <row r="10685" spans="1:2" ht="13.2" x14ac:dyDescent="0.25">
      <c r="A10685" s="34" t="s">
        <v>1521</v>
      </c>
      <c r="B10685" s="35">
        <v>1.1252283954468101</v>
      </c>
    </row>
    <row r="10686" spans="1:2" ht="13.2" x14ac:dyDescent="0.25">
      <c r="A10686" s="34" t="s">
        <v>1520</v>
      </c>
      <c r="B10686" s="35">
        <v>1.17000467223375</v>
      </c>
    </row>
    <row r="10687" spans="1:2" ht="13.2" x14ac:dyDescent="0.25">
      <c r="A10687" s="34" t="s">
        <v>1519</v>
      </c>
    </row>
    <row r="10688" spans="1:2" ht="13.2" x14ac:dyDescent="0.25">
      <c r="A10688" s="34" t="s">
        <v>1518</v>
      </c>
    </row>
    <row r="10689" spans="1:2" ht="13.2" x14ac:dyDescent="0.25">
      <c r="A10689" s="34" t="s">
        <v>1517</v>
      </c>
      <c r="B10689" s="35">
        <v>1.1729697768585701</v>
      </c>
    </row>
    <row r="10690" spans="1:2" ht="13.2" x14ac:dyDescent="0.25">
      <c r="A10690" s="34" t="s">
        <v>1516</v>
      </c>
      <c r="B10690" s="35">
        <v>1.22822039374248</v>
      </c>
    </row>
    <row r="10691" spans="1:2" ht="13.2" x14ac:dyDescent="0.25">
      <c r="A10691" s="34" t="s">
        <v>1515</v>
      </c>
      <c r="B10691" s="35">
        <v>1.2424080295734301</v>
      </c>
    </row>
    <row r="10692" spans="1:2" ht="13.2" x14ac:dyDescent="0.25">
      <c r="A10692" s="34" t="s">
        <v>1514</v>
      </c>
      <c r="B10692" s="35">
        <v>1.2475123749814701</v>
      </c>
    </row>
    <row r="10693" spans="1:2" ht="13.2" x14ac:dyDescent="0.25">
      <c r="A10693" s="34" t="s">
        <v>1513</v>
      </c>
      <c r="B10693" s="35">
        <v>1.18413349373622</v>
      </c>
    </row>
    <row r="10694" spans="1:2" ht="13.2" x14ac:dyDescent="0.25">
      <c r="A10694" s="34" t="s">
        <v>1512</v>
      </c>
    </row>
    <row r="10695" spans="1:2" ht="13.2" x14ac:dyDescent="0.25">
      <c r="A10695" s="34" t="s">
        <v>1511</v>
      </c>
    </row>
    <row r="10696" spans="1:2" ht="13.2" x14ac:dyDescent="0.25">
      <c r="A10696" s="34" t="s">
        <v>1510</v>
      </c>
      <c r="B10696" s="35">
        <v>1.20166702243378</v>
      </c>
    </row>
    <row r="10697" spans="1:2" ht="13.2" x14ac:dyDescent="0.25">
      <c r="A10697" s="34" t="s">
        <v>1509</v>
      </c>
      <c r="B10697" s="35">
        <v>1.2593138661676799</v>
      </c>
    </row>
    <row r="10698" spans="1:2" ht="13.2" x14ac:dyDescent="0.25">
      <c r="A10698" s="34" t="s">
        <v>1508</v>
      </c>
    </row>
    <row r="10699" spans="1:2" ht="13.2" x14ac:dyDescent="0.25">
      <c r="A10699" s="34" t="s">
        <v>1507</v>
      </c>
      <c r="B10699" s="35">
        <v>1.25885602105299</v>
      </c>
    </row>
    <row r="10700" spans="1:2" ht="13.2" x14ac:dyDescent="0.25">
      <c r="A10700" s="34" t="s">
        <v>1506</v>
      </c>
      <c r="B10700" s="35">
        <v>1.30577680868844</v>
      </c>
    </row>
    <row r="10701" spans="1:2" ht="13.2" x14ac:dyDescent="0.25">
      <c r="A10701" s="34" t="s">
        <v>1505</v>
      </c>
    </row>
    <row r="10702" spans="1:2" ht="13.2" x14ac:dyDescent="0.25">
      <c r="A10702" s="34" t="s">
        <v>1504</v>
      </c>
    </row>
    <row r="10703" spans="1:2" ht="13.2" x14ac:dyDescent="0.25">
      <c r="A10703" s="34" t="s">
        <v>1503</v>
      </c>
      <c r="B10703" s="35">
        <v>1.3130980202145801</v>
      </c>
    </row>
    <row r="10704" spans="1:2" ht="13.2" x14ac:dyDescent="0.25">
      <c r="A10704" s="34" t="s">
        <v>1502</v>
      </c>
      <c r="B10704" s="35">
        <v>1.28047837357144</v>
      </c>
    </row>
    <row r="10705" spans="1:2" ht="13.2" x14ac:dyDescent="0.25">
      <c r="A10705" s="34" t="s">
        <v>1501</v>
      </c>
      <c r="B10705" s="35">
        <v>1.27864283345574</v>
      </c>
    </row>
    <row r="10706" spans="1:2" ht="13.2" x14ac:dyDescent="0.25">
      <c r="A10706" s="34" t="s">
        <v>1500</v>
      </c>
      <c r="B10706" s="35">
        <v>1.27594382153902</v>
      </c>
    </row>
    <row r="10707" spans="1:2" ht="13.2" x14ac:dyDescent="0.25">
      <c r="A10707" s="34" t="s">
        <v>1499</v>
      </c>
      <c r="B10707" s="35">
        <v>1.2775096201315701</v>
      </c>
    </row>
    <row r="10708" spans="1:2" ht="13.2" x14ac:dyDescent="0.25">
      <c r="A10708" s="34" t="s">
        <v>1498</v>
      </c>
    </row>
    <row r="10709" spans="1:2" ht="13.2" x14ac:dyDescent="0.25">
      <c r="A10709" s="34" t="s">
        <v>1497</v>
      </c>
    </row>
    <row r="10710" spans="1:2" ht="13.2" x14ac:dyDescent="0.25">
      <c r="A10710" s="34" t="s">
        <v>1496</v>
      </c>
      <c r="B10710" s="35">
        <v>1.38800691811818</v>
      </c>
    </row>
    <row r="10711" spans="1:2" ht="13.2" x14ac:dyDescent="0.25">
      <c r="A10711" s="34" t="s">
        <v>1495</v>
      </c>
      <c r="B10711" s="35">
        <v>1.3189193114542499</v>
      </c>
    </row>
    <row r="10712" spans="1:2" ht="13.2" x14ac:dyDescent="0.25">
      <c r="A10712" s="34" t="s">
        <v>1494</v>
      </c>
      <c r="B10712" s="35">
        <v>1.3079700725743499</v>
      </c>
    </row>
    <row r="10713" spans="1:2" ht="13.2" x14ac:dyDescent="0.25">
      <c r="A10713" s="34" t="s">
        <v>1493</v>
      </c>
      <c r="B10713" s="35">
        <v>1.29143692010718</v>
      </c>
    </row>
    <row r="10714" spans="1:2" ht="13.2" x14ac:dyDescent="0.25">
      <c r="A10714" s="34" t="s">
        <v>1492</v>
      </c>
      <c r="B10714" s="35">
        <v>1.37303954852804</v>
      </c>
    </row>
    <row r="10715" spans="1:2" ht="13.2" x14ac:dyDescent="0.25">
      <c r="A10715" s="34" t="s">
        <v>1491</v>
      </c>
    </row>
    <row r="10716" spans="1:2" ht="13.2" x14ac:dyDescent="0.25">
      <c r="A10716" s="34" t="s">
        <v>1490</v>
      </c>
    </row>
    <row r="10717" spans="1:2" ht="13.2" x14ac:dyDescent="0.25">
      <c r="A10717" s="34" t="s">
        <v>1489</v>
      </c>
      <c r="B10717" s="35">
        <v>1.4534030999271399</v>
      </c>
    </row>
    <row r="10718" spans="1:2" ht="13.2" x14ac:dyDescent="0.25">
      <c r="A10718" s="34" t="s">
        <v>1488</v>
      </c>
      <c r="B10718" s="35">
        <v>1.4433273173566199</v>
      </c>
    </row>
    <row r="10719" spans="1:2" ht="13.2" x14ac:dyDescent="0.25">
      <c r="A10719" s="34" t="s">
        <v>1487</v>
      </c>
      <c r="B10719" s="35">
        <v>1.4436808202539799</v>
      </c>
    </row>
    <row r="10720" spans="1:2" ht="13.2" x14ac:dyDescent="0.25">
      <c r="A10720" s="34" t="s">
        <v>1486</v>
      </c>
      <c r="B10720" s="35">
        <v>1.4072717508804</v>
      </c>
    </row>
    <row r="10721" spans="1:2" ht="13.2" x14ac:dyDescent="0.25">
      <c r="A10721" s="34" t="s">
        <v>1485</v>
      </c>
      <c r="B10721" s="35">
        <v>1.4828319438120401</v>
      </c>
    </row>
    <row r="10722" spans="1:2" ht="13.2" x14ac:dyDescent="0.25">
      <c r="A10722" s="34" t="s">
        <v>1484</v>
      </c>
    </row>
    <row r="10723" spans="1:2" ht="13.2" x14ac:dyDescent="0.25">
      <c r="A10723" s="34" t="s">
        <v>1483</v>
      </c>
    </row>
    <row r="10724" spans="1:2" ht="13.2" x14ac:dyDescent="0.25">
      <c r="A10724" s="34" t="s">
        <v>1482</v>
      </c>
      <c r="B10724" s="35">
        <v>1.88688268958492</v>
      </c>
    </row>
    <row r="10725" spans="1:2" ht="13.2" x14ac:dyDescent="0.25">
      <c r="A10725" s="34" t="s">
        <v>1481</v>
      </c>
      <c r="B10725" s="35">
        <v>1.8867438941348</v>
      </c>
    </row>
    <row r="10726" spans="1:2" ht="13.2" x14ac:dyDescent="0.25">
      <c r="A10726" s="34" t="s">
        <v>1480</v>
      </c>
      <c r="B10726" s="35">
        <v>1.8788710539887901</v>
      </c>
    </row>
    <row r="10727" spans="1:2" ht="13.2" x14ac:dyDescent="0.25">
      <c r="A10727" s="34" t="s">
        <v>1479</v>
      </c>
      <c r="B10727" s="35">
        <v>1.7962409551726599</v>
      </c>
    </row>
    <row r="10728" spans="1:2" ht="13.2" x14ac:dyDescent="0.25">
      <c r="A10728" s="34" t="s">
        <v>1478</v>
      </c>
      <c r="B10728" s="35">
        <v>1.8197321525094201</v>
      </c>
    </row>
    <row r="10729" spans="1:2" ht="13.2" x14ac:dyDescent="0.25">
      <c r="A10729" s="34" t="s">
        <v>1477</v>
      </c>
    </row>
    <row r="10730" spans="1:2" ht="13.2" x14ac:dyDescent="0.25">
      <c r="A10730" s="34" t="s">
        <v>1476</v>
      </c>
    </row>
    <row r="10731" spans="1:2" ht="13.2" x14ac:dyDescent="0.25">
      <c r="A10731" s="34" t="s">
        <v>1475</v>
      </c>
      <c r="B10731" s="35">
        <v>1.7724521281957699</v>
      </c>
    </row>
    <row r="10732" spans="1:2" ht="13.2" x14ac:dyDescent="0.25">
      <c r="A10732" s="34" t="s">
        <v>1474</v>
      </c>
      <c r="B10732" s="35">
        <v>1.7778180259423499</v>
      </c>
    </row>
    <row r="10733" spans="1:2" ht="13.2" x14ac:dyDescent="0.25">
      <c r="A10733" s="34" t="s">
        <v>1473</v>
      </c>
    </row>
    <row r="10734" spans="1:2" ht="13.2" x14ac:dyDescent="0.25">
      <c r="A10734" s="34" t="s">
        <v>1472</v>
      </c>
      <c r="B10734" s="35">
        <v>1.69708738381922</v>
      </c>
    </row>
    <row r="10735" spans="1:2" ht="13.2" x14ac:dyDescent="0.25">
      <c r="A10735" s="34" t="s">
        <v>1471</v>
      </c>
      <c r="B10735" s="35">
        <v>1.75784102205696</v>
      </c>
    </row>
    <row r="10736" spans="1:2" ht="13.2" x14ac:dyDescent="0.25">
      <c r="A10736" s="34" t="s">
        <v>1470</v>
      </c>
    </row>
    <row r="10737" spans="1:2" ht="13.2" x14ac:dyDescent="0.25">
      <c r="A10737" s="34" t="s">
        <v>1469</v>
      </c>
    </row>
    <row r="10738" spans="1:2" ht="13.2" x14ac:dyDescent="0.25">
      <c r="A10738" s="34" t="s">
        <v>1468</v>
      </c>
      <c r="B10738" s="35">
        <v>1.77451928450439</v>
      </c>
    </row>
    <row r="10739" spans="1:2" ht="13.2" x14ac:dyDescent="0.25">
      <c r="A10739" s="34" t="s">
        <v>1467</v>
      </c>
      <c r="B10739" s="35">
        <v>1.80216051441686</v>
      </c>
    </row>
    <row r="10740" spans="1:2" ht="13.2" x14ac:dyDescent="0.25">
      <c r="A10740" s="34" t="s">
        <v>1466</v>
      </c>
      <c r="B10740" s="35">
        <v>1.7423585880007799</v>
      </c>
    </row>
    <row r="10741" spans="1:2" ht="13.2" x14ac:dyDescent="0.25">
      <c r="A10741" s="34" t="s">
        <v>1465</v>
      </c>
      <c r="B10741" s="35">
        <v>1.74453543439522</v>
      </c>
    </row>
    <row r="10742" spans="1:2" ht="13.2" x14ac:dyDescent="0.25">
      <c r="A10742" s="34" t="s">
        <v>1464</v>
      </c>
      <c r="B10742" s="35">
        <v>1.7962430331558099</v>
      </c>
    </row>
    <row r="10743" spans="1:2" ht="13.2" x14ac:dyDescent="0.25">
      <c r="A10743" s="34" t="s">
        <v>1463</v>
      </c>
    </row>
    <row r="10744" spans="1:2" ht="13.2" x14ac:dyDescent="0.25">
      <c r="A10744" s="34" t="s">
        <v>1462</v>
      </c>
    </row>
    <row r="10745" spans="1:2" ht="13.2" x14ac:dyDescent="0.25">
      <c r="A10745" s="34" t="s">
        <v>1461</v>
      </c>
      <c r="B10745" s="35">
        <v>1.92501534023486</v>
      </c>
    </row>
    <row r="10746" spans="1:2" ht="13.2" x14ac:dyDescent="0.25">
      <c r="A10746" s="34" t="s">
        <v>1460</v>
      </c>
      <c r="B10746" s="35">
        <v>1.88458308268923</v>
      </c>
    </row>
    <row r="10747" spans="1:2" ht="13.2" x14ac:dyDescent="0.25">
      <c r="A10747" s="34" t="s">
        <v>1459</v>
      </c>
      <c r="B10747" s="35">
        <v>1.8433761626487699</v>
      </c>
    </row>
    <row r="10748" spans="1:2" ht="13.2" x14ac:dyDescent="0.25">
      <c r="A10748" s="34" t="s">
        <v>1458</v>
      </c>
      <c r="B10748" s="35">
        <v>1.8606047789064499</v>
      </c>
    </row>
    <row r="10749" spans="1:2" ht="13.2" x14ac:dyDescent="0.25">
      <c r="A10749" s="34" t="s">
        <v>1457</v>
      </c>
      <c r="B10749" s="35">
        <v>1.8617682141410701</v>
      </c>
    </row>
    <row r="10750" spans="1:2" ht="13.2" x14ac:dyDescent="0.25">
      <c r="A10750" s="34" t="s">
        <v>1456</v>
      </c>
    </row>
    <row r="10751" spans="1:2" ht="13.2" x14ac:dyDescent="0.25">
      <c r="A10751" s="34" t="s">
        <v>1455</v>
      </c>
    </row>
    <row r="10752" spans="1:2" ht="13.2" x14ac:dyDescent="0.25">
      <c r="A10752" s="34" t="s">
        <v>1454</v>
      </c>
      <c r="B10752" s="35">
        <v>1.8605244542776</v>
      </c>
    </row>
    <row r="10753" spans="1:2" ht="13.2" x14ac:dyDescent="0.25">
      <c r="A10753" s="34" t="s">
        <v>1453</v>
      </c>
      <c r="B10753" s="35">
        <v>1.81628743699489</v>
      </c>
    </row>
    <row r="10754" spans="1:2" ht="13.2" x14ac:dyDescent="0.25">
      <c r="A10754" s="34" t="s">
        <v>1452</v>
      </c>
    </row>
    <row r="10755" spans="1:2" ht="13.2" x14ac:dyDescent="0.25">
      <c r="A10755" s="34" t="s">
        <v>1451</v>
      </c>
      <c r="B10755" s="35">
        <v>1.38984779004989</v>
      </c>
    </row>
    <row r="10756" spans="1:2" ht="13.2" x14ac:dyDescent="0.25">
      <c r="A10756" s="34" t="s">
        <v>1450</v>
      </c>
      <c r="B10756" s="35">
        <v>1.40830043981511</v>
      </c>
    </row>
    <row r="10757" spans="1:2" ht="13.2" x14ac:dyDescent="0.25">
      <c r="A10757" s="34" t="s">
        <v>1449</v>
      </c>
    </row>
    <row r="10758" spans="1:2" ht="13.2" x14ac:dyDescent="0.25">
      <c r="A10758" s="34" t="s">
        <v>1448</v>
      </c>
    </row>
    <row r="10759" spans="1:2" ht="13.2" x14ac:dyDescent="0.25">
      <c r="A10759" s="34" t="s">
        <v>1447</v>
      </c>
      <c r="B10759" s="35">
        <v>1.49652088496168</v>
      </c>
    </row>
    <row r="10760" spans="1:2" ht="13.2" x14ac:dyDescent="0.25">
      <c r="A10760" s="34" t="s">
        <v>1446</v>
      </c>
      <c r="B10760" s="35">
        <v>1.50413051916065</v>
      </c>
    </row>
    <row r="10761" spans="1:2" ht="13.2" x14ac:dyDescent="0.25">
      <c r="A10761" s="34" t="s">
        <v>1445</v>
      </c>
      <c r="B10761" s="35">
        <v>1.5660793706724101</v>
      </c>
    </row>
    <row r="10762" spans="1:2" ht="13.2" x14ac:dyDescent="0.25">
      <c r="A10762" s="34" t="s">
        <v>1444</v>
      </c>
      <c r="B10762" s="35">
        <v>1.72311612220444</v>
      </c>
    </row>
    <row r="10763" spans="1:2" ht="13.2" x14ac:dyDescent="0.25">
      <c r="A10763" s="34" t="s">
        <v>1443</v>
      </c>
      <c r="B10763" s="35">
        <v>1.79736913240175</v>
      </c>
    </row>
    <row r="10764" spans="1:2" ht="13.2" x14ac:dyDescent="0.25">
      <c r="A10764" s="34" t="s">
        <v>1442</v>
      </c>
    </row>
    <row r="10765" spans="1:2" ht="13.2" x14ac:dyDescent="0.25">
      <c r="A10765" s="34" t="s">
        <v>1441</v>
      </c>
    </row>
    <row r="10766" spans="1:2" ht="13.2" x14ac:dyDescent="0.25">
      <c r="A10766" s="34" t="s">
        <v>1440</v>
      </c>
      <c r="B10766" s="35">
        <v>1.8061720553427401</v>
      </c>
    </row>
    <row r="10767" spans="1:2" ht="13.2" x14ac:dyDescent="0.25">
      <c r="A10767" s="34" t="s">
        <v>1439</v>
      </c>
    </row>
    <row r="10768" spans="1:2" ht="13.2" x14ac:dyDescent="0.25">
      <c r="A10768" s="34" t="s">
        <v>1438</v>
      </c>
      <c r="B10768" s="35">
        <v>1.8454525110031901</v>
      </c>
    </row>
    <row r="10769" spans="1:2" ht="13.2" x14ac:dyDescent="0.25">
      <c r="A10769" s="34" t="s">
        <v>1437</v>
      </c>
      <c r="B10769" s="35">
        <v>1.81666110646417</v>
      </c>
    </row>
    <row r="10770" spans="1:2" ht="13.2" x14ac:dyDescent="0.25">
      <c r="A10770" s="34" t="s">
        <v>1436</v>
      </c>
      <c r="B10770" s="35">
        <v>1.7602002402880399</v>
      </c>
    </row>
    <row r="10771" spans="1:2" ht="13.2" x14ac:dyDescent="0.25">
      <c r="A10771" s="34" t="s">
        <v>1435</v>
      </c>
    </row>
    <row r="10772" spans="1:2" ht="13.2" x14ac:dyDescent="0.25">
      <c r="A10772" s="34" t="s">
        <v>1434</v>
      </c>
    </row>
    <row r="10773" spans="1:2" ht="13.2" x14ac:dyDescent="0.25">
      <c r="A10773" s="34" t="s">
        <v>1433</v>
      </c>
      <c r="B10773" s="35">
        <v>1.76886261231494</v>
      </c>
    </row>
    <row r="10774" spans="1:2" ht="13.2" x14ac:dyDescent="0.25">
      <c r="A10774" s="34" t="s">
        <v>1432</v>
      </c>
      <c r="B10774" s="35">
        <v>1.75404150842761</v>
      </c>
    </row>
    <row r="10775" spans="1:2" ht="13.2" x14ac:dyDescent="0.25">
      <c r="A10775" s="34" t="s">
        <v>1431</v>
      </c>
      <c r="B10775" s="35">
        <v>1.6442977884712899</v>
      </c>
    </row>
    <row r="10776" spans="1:2" ht="13.2" x14ac:dyDescent="0.25">
      <c r="A10776" s="34" t="s">
        <v>1430</v>
      </c>
      <c r="B10776" s="35">
        <v>1.66104463845276</v>
      </c>
    </row>
    <row r="10777" spans="1:2" ht="13.2" x14ac:dyDescent="0.25">
      <c r="A10777" s="34" t="s">
        <v>1429</v>
      </c>
      <c r="B10777" s="35">
        <v>1.7297920625264001</v>
      </c>
    </row>
    <row r="10778" spans="1:2" ht="13.2" x14ac:dyDescent="0.25">
      <c r="A10778" s="34" t="s">
        <v>1428</v>
      </c>
    </row>
    <row r="10779" spans="1:2" ht="13.2" x14ac:dyDescent="0.25">
      <c r="A10779" s="34" t="s">
        <v>1427</v>
      </c>
    </row>
    <row r="10780" spans="1:2" ht="13.2" x14ac:dyDescent="0.25">
      <c r="A10780" s="34" t="s">
        <v>1426</v>
      </c>
      <c r="B10780" s="35">
        <v>1.6999148211826001</v>
      </c>
    </row>
    <row r="10781" spans="1:2" ht="13.2" x14ac:dyDescent="0.25">
      <c r="A10781" s="34" t="s">
        <v>1425</v>
      </c>
      <c r="B10781" s="35">
        <v>1.7163380929846399</v>
      </c>
    </row>
    <row r="10782" spans="1:2" ht="13.2" x14ac:dyDescent="0.25">
      <c r="A10782" s="34" t="s">
        <v>1424</v>
      </c>
      <c r="B10782" s="35">
        <v>1.7502108740754401</v>
      </c>
    </row>
    <row r="10783" spans="1:2" ht="13.2" x14ac:dyDescent="0.25">
      <c r="A10783" s="34" t="s">
        <v>1423</v>
      </c>
      <c r="B10783" s="35">
        <v>1.7423584110358601</v>
      </c>
    </row>
    <row r="10784" spans="1:2" ht="13.2" x14ac:dyDescent="0.25">
      <c r="A10784" s="34" t="s">
        <v>1422</v>
      </c>
      <c r="B10784" s="35">
        <v>1.7462387294606401</v>
      </c>
    </row>
    <row r="10785" spans="1:2" ht="13.2" x14ac:dyDescent="0.25">
      <c r="A10785" s="34" t="s">
        <v>1421</v>
      </c>
    </row>
    <row r="10786" spans="1:2" ht="13.2" x14ac:dyDescent="0.25">
      <c r="A10786" s="34" t="s">
        <v>1420</v>
      </c>
    </row>
    <row r="10787" spans="1:2" ht="13.2" x14ac:dyDescent="0.25">
      <c r="A10787" s="34" t="s">
        <v>1419</v>
      </c>
      <c r="B10787" s="35">
        <v>1.8028448282096801</v>
      </c>
    </row>
    <row r="10788" spans="1:2" ht="13.2" x14ac:dyDescent="0.25">
      <c r="A10788" s="34" t="s">
        <v>1418</v>
      </c>
      <c r="B10788" s="35">
        <v>1.7780454278439</v>
      </c>
    </row>
    <row r="10789" spans="1:2" ht="13.2" x14ac:dyDescent="0.25">
      <c r="A10789" s="34" t="s">
        <v>1417</v>
      </c>
      <c r="B10789" s="35">
        <v>1.71510074551887</v>
      </c>
    </row>
    <row r="10790" spans="1:2" ht="13.2" x14ac:dyDescent="0.25">
      <c r="A10790" s="34" t="s">
        <v>1416</v>
      </c>
      <c r="B10790" s="35">
        <v>1.7387239358619899</v>
      </c>
    </row>
    <row r="10791" spans="1:2" ht="13.2" x14ac:dyDescent="0.25">
      <c r="A10791" s="34" t="s">
        <v>1415</v>
      </c>
      <c r="B10791" s="35">
        <v>1.69225470595685</v>
      </c>
    </row>
    <row r="10792" spans="1:2" ht="13.2" x14ac:dyDescent="0.25">
      <c r="A10792" s="34" t="s">
        <v>1414</v>
      </c>
    </row>
    <row r="10793" spans="1:2" ht="13.2" x14ac:dyDescent="0.25">
      <c r="A10793" s="34" t="s">
        <v>1413</v>
      </c>
    </row>
    <row r="10794" spans="1:2" ht="13.2" x14ac:dyDescent="0.25">
      <c r="A10794" s="34" t="s">
        <v>1412</v>
      </c>
      <c r="B10794" s="35">
        <v>1.60255248338228</v>
      </c>
    </row>
    <row r="10795" spans="1:2" ht="13.2" x14ac:dyDescent="0.25">
      <c r="A10795" s="34" t="s">
        <v>1411</v>
      </c>
      <c r="B10795" s="35">
        <v>1.5180131132700001</v>
      </c>
    </row>
    <row r="10796" spans="1:2" ht="13.2" x14ac:dyDescent="0.25">
      <c r="A10796" s="34" t="s">
        <v>1410</v>
      </c>
      <c r="B10796" s="35">
        <v>1.4958387929544901</v>
      </c>
    </row>
    <row r="10797" spans="1:2" ht="13.2" x14ac:dyDescent="0.25">
      <c r="A10797" s="34" t="s">
        <v>1409</v>
      </c>
      <c r="B10797" s="35">
        <v>1.4091874287651101</v>
      </c>
    </row>
    <row r="10798" spans="1:2" ht="13.2" x14ac:dyDescent="0.25">
      <c r="A10798" s="34" t="s">
        <v>1408</v>
      </c>
      <c r="B10798" s="35">
        <v>1.41459456059962</v>
      </c>
    </row>
    <row r="10799" spans="1:2" ht="13.2" x14ac:dyDescent="0.25">
      <c r="A10799" s="34" t="s">
        <v>1407</v>
      </c>
    </row>
    <row r="10800" spans="1:2" ht="13.2" x14ac:dyDescent="0.25">
      <c r="A10800" s="34" t="s">
        <v>1406</v>
      </c>
    </row>
    <row r="10801" spans="1:2" ht="13.2" x14ac:dyDescent="0.25">
      <c r="A10801" s="34" t="s">
        <v>1405</v>
      </c>
      <c r="B10801" s="35">
        <v>1.47247766094096</v>
      </c>
    </row>
    <row r="10802" spans="1:2" ht="13.2" x14ac:dyDescent="0.25">
      <c r="A10802" s="34" t="s">
        <v>1404</v>
      </c>
      <c r="B10802" s="35">
        <v>1.55847807518918</v>
      </c>
    </row>
    <row r="10803" spans="1:2" ht="13.2" x14ac:dyDescent="0.25">
      <c r="A10803" s="34" t="s">
        <v>1403</v>
      </c>
      <c r="B10803" s="35">
        <v>1.55630679430856</v>
      </c>
    </row>
    <row r="10804" spans="1:2" ht="13.2" x14ac:dyDescent="0.25">
      <c r="A10804" s="34" t="s">
        <v>1402</v>
      </c>
      <c r="B10804" s="35">
        <v>1.55532723235342</v>
      </c>
    </row>
    <row r="10805" spans="1:2" ht="13.2" x14ac:dyDescent="0.25">
      <c r="A10805" s="34" t="s">
        <v>1401</v>
      </c>
      <c r="B10805" s="35">
        <v>1.49904773820446</v>
      </c>
    </row>
    <row r="10806" spans="1:2" ht="13.2" x14ac:dyDescent="0.25">
      <c r="A10806" s="34" t="s">
        <v>1400</v>
      </c>
    </row>
    <row r="10807" spans="1:2" ht="13.2" x14ac:dyDescent="0.25">
      <c r="A10807" s="34" t="s">
        <v>1399</v>
      </c>
    </row>
    <row r="10808" spans="1:2" ht="13.2" x14ac:dyDescent="0.25">
      <c r="A10808" s="34" t="s">
        <v>1398</v>
      </c>
      <c r="B10808" s="35">
        <v>1.40011714316209</v>
      </c>
    </row>
    <row r="10809" spans="1:2" ht="13.2" x14ac:dyDescent="0.25">
      <c r="A10809" s="34" t="s">
        <v>1397</v>
      </c>
      <c r="B10809" s="35">
        <v>1.4017649405371799</v>
      </c>
    </row>
    <row r="10810" spans="1:2" ht="13.2" x14ac:dyDescent="0.25">
      <c r="A10810" s="34" t="s">
        <v>1396</v>
      </c>
      <c r="B10810" s="35">
        <v>1.3879187988242501</v>
      </c>
    </row>
    <row r="10811" spans="1:2" ht="13.2" x14ac:dyDescent="0.25">
      <c r="A10811" s="34" t="s">
        <v>1395</v>
      </c>
      <c r="B10811" s="35">
        <v>1.34826342668004</v>
      </c>
    </row>
    <row r="10812" spans="1:2" ht="13.2" x14ac:dyDescent="0.25">
      <c r="A10812" s="34" t="s">
        <v>1394</v>
      </c>
    </row>
    <row r="10813" spans="1:2" ht="13.2" x14ac:dyDescent="0.25">
      <c r="A10813" s="34" t="s">
        <v>1393</v>
      </c>
    </row>
    <row r="10814" spans="1:2" ht="13.2" x14ac:dyDescent="0.25">
      <c r="A10814" s="34" t="s">
        <v>1392</v>
      </c>
    </row>
    <row r="10815" spans="1:2" ht="13.2" x14ac:dyDescent="0.25">
      <c r="A10815" s="34" t="s">
        <v>1391</v>
      </c>
      <c r="B10815" s="35">
        <v>1.50357609280353</v>
      </c>
    </row>
    <row r="10816" spans="1:2" ht="13.2" x14ac:dyDescent="0.25">
      <c r="A10816" s="34" t="s">
        <v>1390</v>
      </c>
      <c r="B10816" s="35">
        <v>1.5362010227999401</v>
      </c>
    </row>
    <row r="10817" spans="1:2" ht="13.2" x14ac:dyDescent="0.25">
      <c r="A10817" s="34" t="s">
        <v>1389</v>
      </c>
      <c r="B10817" s="35">
        <v>1.5002830851278699</v>
      </c>
    </row>
    <row r="10818" spans="1:2" ht="13.2" x14ac:dyDescent="0.25">
      <c r="A10818" s="34" t="s">
        <v>1388</v>
      </c>
      <c r="B10818" s="35">
        <v>1.5769151796943599</v>
      </c>
    </row>
    <row r="10819" spans="1:2" ht="13.2" x14ac:dyDescent="0.25">
      <c r="A10819" s="34" t="s">
        <v>1387</v>
      </c>
      <c r="B10819" s="35">
        <v>1.6022818970434101</v>
      </c>
    </row>
    <row r="10820" spans="1:2" ht="13.2" x14ac:dyDescent="0.25">
      <c r="A10820" s="34" t="s">
        <v>1386</v>
      </c>
    </row>
    <row r="10821" spans="1:2" ht="13.2" x14ac:dyDescent="0.25">
      <c r="A10821" s="34" t="s">
        <v>1385</v>
      </c>
    </row>
    <row r="10822" spans="1:2" ht="13.2" x14ac:dyDescent="0.25">
      <c r="A10822" s="34" t="s">
        <v>1384</v>
      </c>
      <c r="B10822" s="35">
        <v>1.5412429744309999</v>
      </c>
    </row>
    <row r="10823" spans="1:2" ht="13.2" x14ac:dyDescent="0.25">
      <c r="A10823" s="34" t="s">
        <v>1383</v>
      </c>
      <c r="B10823" s="35">
        <v>1.5720539674377301</v>
      </c>
    </row>
    <row r="10824" spans="1:2" ht="13.2" x14ac:dyDescent="0.25">
      <c r="A10824" s="34" t="s">
        <v>1382</v>
      </c>
      <c r="B10824" s="35">
        <v>1.4752774985267301</v>
      </c>
    </row>
    <row r="10825" spans="1:2" ht="13.2" x14ac:dyDescent="0.25">
      <c r="A10825" s="34" t="s">
        <v>1381</v>
      </c>
      <c r="B10825" s="35">
        <v>1.4303166323744601</v>
      </c>
    </row>
    <row r="10826" spans="1:2" ht="13.2" x14ac:dyDescent="0.25">
      <c r="A10826" s="34" t="s">
        <v>1380</v>
      </c>
      <c r="B10826" s="35">
        <v>1.45210538195984</v>
      </c>
    </row>
    <row r="10827" spans="1:2" ht="13.2" x14ac:dyDescent="0.25">
      <c r="A10827" s="34" t="s">
        <v>1379</v>
      </c>
    </row>
    <row r="10828" spans="1:2" ht="13.2" x14ac:dyDescent="0.25">
      <c r="A10828" s="34" t="s">
        <v>1378</v>
      </c>
    </row>
    <row r="10829" spans="1:2" ht="13.2" x14ac:dyDescent="0.25">
      <c r="A10829" s="34" t="s">
        <v>1377</v>
      </c>
      <c r="B10829" s="35">
        <v>1.5065626760167901</v>
      </c>
    </row>
    <row r="10830" spans="1:2" ht="13.2" x14ac:dyDescent="0.25">
      <c r="A10830" s="34" t="s">
        <v>1376</v>
      </c>
      <c r="B10830" s="35">
        <v>1.5307203708722701</v>
      </c>
    </row>
    <row r="10831" spans="1:2" ht="13.2" x14ac:dyDescent="0.25">
      <c r="A10831" s="34" t="s">
        <v>1375</v>
      </c>
      <c r="B10831" s="35">
        <v>1.50859265939681</v>
      </c>
    </row>
    <row r="10832" spans="1:2" ht="13.2" x14ac:dyDescent="0.25">
      <c r="A10832" s="34" t="s">
        <v>1374</v>
      </c>
      <c r="B10832" s="35">
        <v>1.4405940578420999</v>
      </c>
    </row>
    <row r="10833" spans="1:2" ht="13.2" x14ac:dyDescent="0.25">
      <c r="A10833" s="34" t="s">
        <v>1373</v>
      </c>
      <c r="B10833" s="35">
        <v>1.4534135944768001</v>
      </c>
    </row>
    <row r="10834" spans="1:2" ht="13.2" x14ac:dyDescent="0.25">
      <c r="A10834" s="34" t="s">
        <v>1372</v>
      </c>
    </row>
    <row r="10835" spans="1:2" ht="13.2" x14ac:dyDescent="0.25">
      <c r="A10835" s="34" t="s">
        <v>1371</v>
      </c>
    </row>
    <row r="10836" spans="1:2" ht="13.2" x14ac:dyDescent="0.25">
      <c r="A10836" s="34" t="s">
        <v>1370</v>
      </c>
      <c r="B10836" s="35">
        <v>1.46192328316051</v>
      </c>
    </row>
    <row r="10837" spans="1:2" ht="13.2" x14ac:dyDescent="0.25">
      <c r="A10837" s="34" t="s">
        <v>1369</v>
      </c>
      <c r="B10837" s="35">
        <v>1.40796154654269</v>
      </c>
    </row>
    <row r="10838" spans="1:2" ht="13.2" x14ac:dyDescent="0.25">
      <c r="A10838" s="34" t="s">
        <v>1368</v>
      </c>
      <c r="B10838" s="35">
        <v>1.40024501174615</v>
      </c>
    </row>
    <row r="10839" spans="1:2" ht="13.2" x14ac:dyDescent="0.25">
      <c r="A10839" s="34" t="s">
        <v>1367</v>
      </c>
      <c r="B10839" s="35">
        <v>1.3955807357744301</v>
      </c>
    </row>
    <row r="10840" spans="1:2" ht="13.2" x14ac:dyDescent="0.25">
      <c r="A10840" s="34" t="s">
        <v>1366</v>
      </c>
      <c r="B10840" s="35">
        <v>1.39741467863351</v>
      </c>
    </row>
    <row r="10841" spans="1:2" ht="13.2" x14ac:dyDescent="0.25">
      <c r="A10841" s="34" t="s">
        <v>1365</v>
      </c>
    </row>
    <row r="10842" spans="1:2" ht="13.2" x14ac:dyDescent="0.25">
      <c r="A10842" s="34" t="s">
        <v>1364</v>
      </c>
    </row>
    <row r="10843" spans="1:2" ht="13.2" x14ac:dyDescent="0.25">
      <c r="A10843" s="34" t="s">
        <v>1363</v>
      </c>
      <c r="B10843" s="35">
        <v>1.4032722733746299</v>
      </c>
    </row>
    <row r="10844" spans="1:2" ht="13.2" x14ac:dyDescent="0.25">
      <c r="A10844" s="34" t="s">
        <v>1362</v>
      </c>
      <c r="B10844" s="35">
        <v>1.18772319644484</v>
      </c>
    </row>
    <row r="10845" spans="1:2" ht="13.2" x14ac:dyDescent="0.25">
      <c r="A10845" s="34" t="s">
        <v>1361</v>
      </c>
      <c r="B10845" s="35">
        <v>1.1026166239113799</v>
      </c>
    </row>
    <row r="10846" spans="1:2" ht="13.2" x14ac:dyDescent="0.25">
      <c r="A10846" s="34" t="s">
        <v>1360</v>
      </c>
      <c r="B10846" s="35">
        <v>1.2132022677959899</v>
      </c>
    </row>
    <row r="10847" spans="1:2" ht="13.2" x14ac:dyDescent="0.25">
      <c r="A10847" s="34" t="s">
        <v>1359</v>
      </c>
      <c r="B10847" s="35">
        <v>1.17915543458158</v>
      </c>
    </row>
    <row r="10848" spans="1:2" ht="13.2" x14ac:dyDescent="0.25">
      <c r="A10848" s="34" t="s">
        <v>1358</v>
      </c>
    </row>
    <row r="10849" spans="1:2" ht="13.2" x14ac:dyDescent="0.25">
      <c r="A10849" s="34" t="s">
        <v>1357</v>
      </c>
    </row>
    <row r="10850" spans="1:2" ht="13.2" x14ac:dyDescent="0.25">
      <c r="A10850" s="34" t="s">
        <v>1356</v>
      </c>
      <c r="B10850" s="35">
        <v>1.14798532338496</v>
      </c>
    </row>
    <row r="10851" spans="1:2" ht="13.2" x14ac:dyDescent="0.25">
      <c r="A10851" s="34" t="s">
        <v>1355</v>
      </c>
      <c r="B10851" s="35">
        <v>1.1491535376687501</v>
      </c>
    </row>
    <row r="10852" spans="1:2" ht="13.2" x14ac:dyDescent="0.25">
      <c r="A10852" s="34" t="s">
        <v>1354</v>
      </c>
      <c r="B10852" s="35">
        <v>1.1692113818013099</v>
      </c>
    </row>
    <row r="10853" spans="1:2" ht="13.2" x14ac:dyDescent="0.25">
      <c r="A10853" s="34" t="s">
        <v>1353</v>
      </c>
      <c r="B10853" s="35">
        <v>1.2225414085679001</v>
      </c>
    </row>
    <row r="10854" spans="1:2" ht="13.2" x14ac:dyDescent="0.25">
      <c r="A10854" s="34" t="s">
        <v>1352</v>
      </c>
      <c r="B10854" s="35">
        <v>1.2263112620843799</v>
      </c>
    </row>
    <row r="10855" spans="1:2" ht="13.2" x14ac:dyDescent="0.25">
      <c r="A10855" s="34" t="s">
        <v>1351</v>
      </c>
    </row>
    <row r="10856" spans="1:2" ht="13.2" x14ac:dyDescent="0.25">
      <c r="A10856" s="34" t="s">
        <v>1350</v>
      </c>
    </row>
    <row r="10857" spans="1:2" ht="13.2" x14ac:dyDescent="0.25">
      <c r="A10857" s="34" t="s">
        <v>1349</v>
      </c>
      <c r="B10857" s="35">
        <v>1.2272261651374801</v>
      </c>
    </row>
    <row r="10858" spans="1:2" ht="13.2" x14ac:dyDescent="0.25">
      <c r="A10858" s="34" t="s">
        <v>1348</v>
      </c>
      <c r="B10858" s="35">
        <v>1.2041820814100801</v>
      </c>
    </row>
    <row r="10859" spans="1:2" ht="13.2" x14ac:dyDescent="0.25">
      <c r="A10859" s="34" t="s">
        <v>1347</v>
      </c>
      <c r="B10859" s="35">
        <v>1.1740969953251701</v>
      </c>
    </row>
    <row r="10860" spans="1:2" ht="13.2" x14ac:dyDescent="0.25">
      <c r="A10860" s="34" t="s">
        <v>1346</v>
      </c>
      <c r="B10860" s="35">
        <v>1.15834362014017</v>
      </c>
    </row>
    <row r="10861" spans="1:2" ht="13.2" x14ac:dyDescent="0.25">
      <c r="A10861" s="34" t="s">
        <v>1345</v>
      </c>
      <c r="B10861" s="35">
        <v>1.1536184984640401</v>
      </c>
    </row>
    <row r="10862" spans="1:2" ht="13.2" x14ac:dyDescent="0.25">
      <c r="A10862" s="34" t="s">
        <v>1344</v>
      </c>
    </row>
    <row r="10863" spans="1:2" ht="13.2" x14ac:dyDescent="0.25">
      <c r="A10863" s="34" t="s">
        <v>1343</v>
      </c>
    </row>
    <row r="10864" spans="1:2" ht="13.2" x14ac:dyDescent="0.25">
      <c r="A10864" s="34" t="s">
        <v>1342</v>
      </c>
    </row>
    <row r="10865" spans="1:2" ht="13.2" x14ac:dyDescent="0.25">
      <c r="A10865" s="34" t="s">
        <v>1341</v>
      </c>
    </row>
    <row r="10866" spans="1:2" ht="13.2" x14ac:dyDescent="0.25">
      <c r="A10866" s="34" t="s">
        <v>1340</v>
      </c>
      <c r="B10866" s="35">
        <v>1.21768264889408</v>
      </c>
    </row>
    <row r="10867" spans="1:2" ht="13.2" x14ac:dyDescent="0.25">
      <c r="A10867" s="34" t="s">
        <v>1339</v>
      </c>
      <c r="B10867" s="35">
        <v>1.22626506480163</v>
      </c>
    </row>
    <row r="10868" spans="1:2" ht="13.2" x14ac:dyDescent="0.25">
      <c r="A10868" s="34" t="s">
        <v>1338</v>
      </c>
      <c r="B10868" s="35">
        <v>1.23046701451285</v>
      </c>
    </row>
    <row r="10869" spans="1:2" ht="13.2" x14ac:dyDescent="0.25">
      <c r="A10869" s="34" t="s">
        <v>1337</v>
      </c>
    </row>
    <row r="10870" spans="1:2" ht="13.2" x14ac:dyDescent="0.25">
      <c r="A10870" s="34" t="s">
        <v>1336</v>
      </c>
    </row>
    <row r="10871" spans="1:2" ht="13.2" x14ac:dyDescent="0.25">
      <c r="A10871" s="34" t="s">
        <v>1335</v>
      </c>
      <c r="B10871" s="35">
        <v>1.19264079561365</v>
      </c>
    </row>
    <row r="10872" spans="1:2" ht="13.2" x14ac:dyDescent="0.25">
      <c r="A10872" s="34" t="s">
        <v>1334</v>
      </c>
      <c r="B10872" s="35">
        <v>1.1933107334008599</v>
      </c>
    </row>
    <row r="10873" spans="1:2" ht="13.2" x14ac:dyDescent="0.25">
      <c r="A10873" s="34" t="s">
        <v>1333</v>
      </c>
      <c r="B10873" s="35">
        <v>1.1708616634106701</v>
      </c>
    </row>
    <row r="10874" spans="1:2" ht="13.2" x14ac:dyDescent="0.25">
      <c r="A10874" s="34" t="s">
        <v>1332</v>
      </c>
      <c r="B10874" s="35">
        <v>1.17921710053846</v>
      </c>
    </row>
    <row r="10875" spans="1:2" ht="13.2" x14ac:dyDescent="0.25">
      <c r="A10875" s="34" t="s">
        <v>1331</v>
      </c>
      <c r="B10875" s="35">
        <v>1.1225551099668101</v>
      </c>
    </row>
    <row r="10876" spans="1:2" ht="13.2" x14ac:dyDescent="0.25">
      <c r="A10876" s="34" t="s">
        <v>1330</v>
      </c>
    </row>
    <row r="10877" spans="1:2" ht="13.2" x14ac:dyDescent="0.25">
      <c r="A10877" s="34" t="s">
        <v>1329</v>
      </c>
    </row>
    <row r="10878" spans="1:2" ht="13.2" x14ac:dyDescent="0.25">
      <c r="A10878" s="34" t="s">
        <v>1328</v>
      </c>
      <c r="B10878" s="35">
        <v>1.1421016749990101</v>
      </c>
    </row>
    <row r="10879" spans="1:2" ht="13.2" x14ac:dyDescent="0.25">
      <c r="A10879" s="34" t="s">
        <v>1327</v>
      </c>
      <c r="B10879" s="35">
        <v>1.06623709396313</v>
      </c>
    </row>
    <row r="10880" spans="1:2" ht="13.2" x14ac:dyDescent="0.25">
      <c r="A10880" s="34" t="s">
        <v>1326</v>
      </c>
      <c r="B10880" s="35">
        <v>1.16182288378214</v>
      </c>
    </row>
    <row r="10881" spans="1:2" ht="13.2" x14ac:dyDescent="0.25">
      <c r="A10881" s="34" t="s">
        <v>1325</v>
      </c>
      <c r="B10881" s="35">
        <v>1.19585234713858</v>
      </c>
    </row>
    <row r="10882" spans="1:2" ht="13.2" x14ac:dyDescent="0.25">
      <c r="A10882" s="34" t="s">
        <v>1324</v>
      </c>
      <c r="B10882" s="35">
        <v>1.2244529132950801</v>
      </c>
    </row>
    <row r="10883" spans="1:2" ht="13.2" x14ac:dyDescent="0.25">
      <c r="A10883" s="34" t="s">
        <v>1323</v>
      </c>
    </row>
    <row r="10884" spans="1:2" ht="13.2" x14ac:dyDescent="0.25">
      <c r="A10884" s="34" t="s">
        <v>1322</v>
      </c>
    </row>
    <row r="10885" spans="1:2" ht="13.2" x14ac:dyDescent="0.25">
      <c r="A10885" s="34" t="s">
        <v>1321</v>
      </c>
      <c r="B10885" s="35">
        <v>1.1366273378895799</v>
      </c>
    </row>
    <row r="10886" spans="1:2" ht="13.2" x14ac:dyDescent="0.25">
      <c r="A10886" s="34" t="s">
        <v>1320</v>
      </c>
      <c r="B10886" s="35">
        <v>1.07384005617233</v>
      </c>
    </row>
    <row r="10887" spans="1:2" ht="13.2" x14ac:dyDescent="0.25">
      <c r="A10887" s="34" t="s">
        <v>1319</v>
      </c>
      <c r="B10887" s="35">
        <v>1.06616840930565</v>
      </c>
    </row>
    <row r="10888" spans="1:2" ht="13.2" x14ac:dyDescent="0.25">
      <c r="A10888" s="34" t="s">
        <v>1318</v>
      </c>
      <c r="B10888" s="35">
        <v>1.07036705359809</v>
      </c>
    </row>
    <row r="10889" spans="1:2" ht="13.2" x14ac:dyDescent="0.25">
      <c r="A10889" s="34" t="s">
        <v>1317</v>
      </c>
      <c r="B10889" s="35">
        <v>1.08520525656314</v>
      </c>
    </row>
    <row r="10890" spans="1:2" ht="13.2" x14ac:dyDescent="0.25">
      <c r="A10890" s="34" t="s">
        <v>1316</v>
      </c>
    </row>
    <row r="10891" spans="1:2" ht="13.2" x14ac:dyDescent="0.25">
      <c r="A10891" s="34" t="s">
        <v>1315</v>
      </c>
    </row>
    <row r="10892" spans="1:2" ht="13.2" x14ac:dyDescent="0.25">
      <c r="A10892" s="34" t="s">
        <v>1314</v>
      </c>
      <c r="B10892" s="35">
        <v>1.0053668347322999</v>
      </c>
    </row>
    <row r="10893" spans="1:2" ht="13.2" x14ac:dyDescent="0.25">
      <c r="A10893" s="34" t="s">
        <v>1313</v>
      </c>
      <c r="B10893" s="35">
        <v>0.99419062237997502</v>
      </c>
    </row>
    <row r="10894" spans="1:2" ht="13.2" x14ac:dyDescent="0.25">
      <c r="A10894" s="34" t="s">
        <v>1312</v>
      </c>
      <c r="B10894" s="35">
        <v>0.99702468313536197</v>
      </c>
    </row>
    <row r="10895" spans="1:2" ht="13.2" x14ac:dyDescent="0.25">
      <c r="A10895" s="34" t="s">
        <v>1311</v>
      </c>
      <c r="B10895" s="35">
        <v>1.02519089642398</v>
      </c>
    </row>
    <row r="10896" spans="1:2" ht="13.2" x14ac:dyDescent="0.25">
      <c r="A10896" s="34" t="s">
        <v>1310</v>
      </c>
      <c r="B10896" s="35">
        <v>1.0466586352709699</v>
      </c>
    </row>
    <row r="10897" spans="1:2" ht="13.2" x14ac:dyDescent="0.25">
      <c r="A10897" s="34" t="s">
        <v>1309</v>
      </c>
    </row>
    <row r="10898" spans="1:2" ht="13.2" x14ac:dyDescent="0.25">
      <c r="A10898" s="34" t="s">
        <v>1308</v>
      </c>
    </row>
    <row r="10899" spans="1:2" ht="13.2" x14ac:dyDescent="0.25">
      <c r="A10899" s="34" t="s">
        <v>1307</v>
      </c>
      <c r="B10899" s="35">
        <v>1.03524520186339</v>
      </c>
    </row>
    <row r="10900" spans="1:2" ht="13.2" x14ac:dyDescent="0.25">
      <c r="A10900" s="34" t="s">
        <v>1306</v>
      </c>
      <c r="B10900" s="35">
        <v>1.10704602640793</v>
      </c>
    </row>
    <row r="10901" spans="1:2" ht="13.2" x14ac:dyDescent="0.25">
      <c r="A10901" s="34" t="s">
        <v>1305</v>
      </c>
      <c r="B10901" s="35">
        <v>1.1134498587838999</v>
      </c>
    </row>
    <row r="10902" spans="1:2" ht="13.2" x14ac:dyDescent="0.25">
      <c r="A10902" s="34" t="s">
        <v>1304</v>
      </c>
      <c r="B10902" s="35">
        <v>1.19233675343747</v>
      </c>
    </row>
    <row r="10903" spans="1:2" ht="13.2" x14ac:dyDescent="0.25">
      <c r="A10903" s="34" t="s">
        <v>1303</v>
      </c>
      <c r="B10903" s="35">
        <v>1.23474380500376</v>
      </c>
    </row>
    <row r="10904" spans="1:2" ht="13.2" x14ac:dyDescent="0.25">
      <c r="A10904" s="34" t="s">
        <v>1302</v>
      </c>
    </row>
    <row r="10905" spans="1:2" ht="13.2" x14ac:dyDescent="0.25">
      <c r="A10905" s="34" t="s">
        <v>1301</v>
      </c>
    </row>
    <row r="10906" spans="1:2" ht="13.2" x14ac:dyDescent="0.25">
      <c r="A10906" s="34" t="s">
        <v>1300</v>
      </c>
      <c r="B10906" s="35">
        <v>1.22881271354281</v>
      </c>
    </row>
    <row r="10907" spans="1:2" ht="13.2" x14ac:dyDescent="0.25">
      <c r="A10907" s="34" t="s">
        <v>1299</v>
      </c>
      <c r="B10907" s="35">
        <v>1.21616586746441</v>
      </c>
    </row>
    <row r="10908" spans="1:2" ht="13.2" x14ac:dyDescent="0.25">
      <c r="A10908" s="34" t="s">
        <v>1298</v>
      </c>
      <c r="B10908" s="35">
        <v>1.22533146611647</v>
      </c>
    </row>
    <row r="10909" spans="1:2" ht="13.2" x14ac:dyDescent="0.25">
      <c r="A10909" s="34" t="s">
        <v>1297</v>
      </c>
      <c r="B10909" s="35">
        <v>1.10154278501596</v>
      </c>
    </row>
    <row r="10910" spans="1:2" ht="13.2" x14ac:dyDescent="0.25">
      <c r="A10910" s="34" t="s">
        <v>1296</v>
      </c>
    </row>
    <row r="10911" spans="1:2" ht="13.2" x14ac:dyDescent="0.25">
      <c r="A10911" s="34" t="s">
        <v>1295</v>
      </c>
    </row>
    <row r="10912" spans="1:2" ht="13.2" x14ac:dyDescent="0.25">
      <c r="A10912" s="34" t="s">
        <v>1294</v>
      </c>
    </row>
    <row r="10913" spans="1:2" ht="13.2" x14ac:dyDescent="0.25">
      <c r="A10913" s="34" t="s">
        <v>1293</v>
      </c>
      <c r="B10913" s="35">
        <v>1.10340288410064</v>
      </c>
    </row>
    <row r="10914" spans="1:2" ht="13.2" x14ac:dyDescent="0.25">
      <c r="A10914" s="34" t="s">
        <v>1292</v>
      </c>
      <c r="B10914" s="35">
        <v>1.4178947897652601</v>
      </c>
    </row>
    <row r="10915" spans="1:2" ht="13.2" x14ac:dyDescent="0.25">
      <c r="A10915" s="34" t="s">
        <v>1291</v>
      </c>
      <c r="B10915" s="35">
        <v>1.41523499948243</v>
      </c>
    </row>
    <row r="10916" spans="1:2" ht="13.2" x14ac:dyDescent="0.25">
      <c r="A10916" s="34" t="s">
        <v>1290</v>
      </c>
      <c r="B10916" s="35">
        <v>1.4188296137579499</v>
      </c>
    </row>
    <row r="10917" spans="1:2" ht="13.2" x14ac:dyDescent="0.25">
      <c r="A10917" s="34" t="s">
        <v>1289</v>
      </c>
      <c r="B10917" s="35">
        <v>1.4177595761947701</v>
      </c>
    </row>
    <row r="10918" spans="1:2" ht="13.2" x14ac:dyDescent="0.25">
      <c r="A10918" s="34" t="s">
        <v>1288</v>
      </c>
    </row>
    <row r="10919" spans="1:2" ht="13.2" x14ac:dyDescent="0.25">
      <c r="A10919" s="34" t="s">
        <v>1287</v>
      </c>
    </row>
    <row r="10920" spans="1:2" ht="13.2" x14ac:dyDescent="0.25">
      <c r="A10920" s="34" t="s">
        <v>1286</v>
      </c>
      <c r="B10920" s="35">
        <v>1.41414030163698</v>
      </c>
    </row>
    <row r="10921" spans="1:2" ht="13.2" x14ac:dyDescent="0.25">
      <c r="A10921" s="34" t="s">
        <v>1285</v>
      </c>
      <c r="B10921" s="35">
        <v>1.36993016817225</v>
      </c>
    </row>
    <row r="10922" spans="1:2" ht="13.2" x14ac:dyDescent="0.25">
      <c r="A10922" s="34" t="s">
        <v>1284</v>
      </c>
      <c r="B10922" s="35">
        <v>1.4386844718077101</v>
      </c>
    </row>
    <row r="10923" spans="1:2" ht="13.2" x14ac:dyDescent="0.25">
      <c r="A10923" s="34" t="s">
        <v>1283</v>
      </c>
      <c r="B10923" s="35">
        <v>1.44003477595813</v>
      </c>
    </row>
    <row r="10924" spans="1:2" ht="13.2" x14ac:dyDescent="0.25">
      <c r="A10924" s="34" t="s">
        <v>1282</v>
      </c>
    </row>
    <row r="10925" spans="1:2" ht="13.2" x14ac:dyDescent="0.25">
      <c r="A10925" s="34" t="s">
        <v>1281</v>
      </c>
    </row>
    <row r="10926" spans="1:2" ht="13.2" x14ac:dyDescent="0.25">
      <c r="A10926" s="34" t="s">
        <v>1280</v>
      </c>
    </row>
    <row r="10927" spans="1:2" ht="13.2" x14ac:dyDescent="0.25">
      <c r="A10927" s="34" t="s">
        <v>1279</v>
      </c>
      <c r="B10927" s="35">
        <v>1.43035561771673</v>
      </c>
    </row>
    <row r="10928" spans="1:2" ht="13.2" x14ac:dyDescent="0.25">
      <c r="A10928" s="34" t="s">
        <v>1278</v>
      </c>
      <c r="B10928" s="35">
        <v>1.3296418565038199</v>
      </c>
    </row>
    <row r="10929" spans="1:2" ht="13.2" x14ac:dyDescent="0.25">
      <c r="A10929" s="34" t="s">
        <v>1277</v>
      </c>
      <c r="B10929" s="35">
        <v>1.34249541080421</v>
      </c>
    </row>
    <row r="10930" spans="1:2" ht="13.2" x14ac:dyDescent="0.25">
      <c r="A10930" s="34" t="s">
        <v>1276</v>
      </c>
      <c r="B10930" s="35">
        <v>1.33720714973807</v>
      </c>
    </row>
    <row r="10931" spans="1:2" ht="13.2" x14ac:dyDescent="0.25">
      <c r="A10931" s="34" t="s">
        <v>1275</v>
      </c>
      <c r="B10931" s="35">
        <v>1.3345641627850999</v>
      </c>
    </row>
    <row r="10932" spans="1:2" ht="13.2" x14ac:dyDescent="0.25">
      <c r="A10932" s="34" t="s">
        <v>1274</v>
      </c>
    </row>
    <row r="10933" spans="1:2" ht="13.2" x14ac:dyDescent="0.25">
      <c r="A10933" s="34" t="s">
        <v>1273</v>
      </c>
    </row>
    <row r="10934" spans="1:2" ht="13.2" x14ac:dyDescent="0.25">
      <c r="A10934" s="34" t="s">
        <v>1272</v>
      </c>
    </row>
    <row r="10935" spans="1:2" ht="13.2" x14ac:dyDescent="0.25">
      <c r="A10935" s="34" t="s">
        <v>1271</v>
      </c>
      <c r="B10935" s="35">
        <v>1.44276487023421</v>
      </c>
    </row>
    <row r="10936" spans="1:2" ht="13.2" x14ac:dyDescent="0.25">
      <c r="A10936" s="34" t="s">
        <v>1270</v>
      </c>
      <c r="B10936" s="35">
        <v>1.3782458671686899</v>
      </c>
    </row>
    <row r="10937" spans="1:2" ht="13.2" x14ac:dyDescent="0.25">
      <c r="A10937" s="34" t="s">
        <v>1269</v>
      </c>
      <c r="B10937" s="35">
        <v>1.32508141668029</v>
      </c>
    </row>
    <row r="10938" spans="1:2" ht="13.2" x14ac:dyDescent="0.25">
      <c r="A10938" s="34" t="s">
        <v>1268</v>
      </c>
      <c r="B10938" s="35">
        <v>1.4598695606636001</v>
      </c>
    </row>
    <row r="10939" spans="1:2" ht="13.2" x14ac:dyDescent="0.25">
      <c r="A10939" s="34" t="s">
        <v>1267</v>
      </c>
    </row>
    <row r="10940" spans="1:2" ht="13.2" x14ac:dyDescent="0.25">
      <c r="A10940" s="34" t="s">
        <v>1266</v>
      </c>
    </row>
    <row r="10941" spans="1:2" ht="13.2" x14ac:dyDescent="0.25">
      <c r="A10941" s="34" t="s">
        <v>1265</v>
      </c>
      <c r="B10941" s="35">
        <v>1.4669344806279601</v>
      </c>
    </row>
    <row r="10942" spans="1:2" ht="13.2" x14ac:dyDescent="0.25">
      <c r="A10942" s="34" t="s">
        <v>1264</v>
      </c>
      <c r="B10942" s="35">
        <v>1.4558213911305</v>
      </c>
    </row>
    <row r="10943" spans="1:2" ht="13.2" x14ac:dyDescent="0.25">
      <c r="A10943" s="34" t="s">
        <v>1263</v>
      </c>
      <c r="B10943" s="35">
        <v>1.452398529916</v>
      </c>
    </row>
    <row r="10944" spans="1:2" ht="13.2" x14ac:dyDescent="0.25">
      <c r="A10944" s="34" t="s">
        <v>1262</v>
      </c>
      <c r="B10944" s="35">
        <v>1.4471194186123399</v>
      </c>
    </row>
    <row r="10945" spans="1:2" ht="13.2" x14ac:dyDescent="0.25">
      <c r="A10945" s="34" t="s">
        <v>1261</v>
      </c>
      <c r="B10945" s="35">
        <v>1.1370445360542101</v>
      </c>
    </row>
    <row r="10946" spans="1:2" ht="13.2" x14ac:dyDescent="0.25">
      <c r="A10946" s="34" t="s">
        <v>1260</v>
      </c>
    </row>
    <row r="10947" spans="1:2" ht="13.2" x14ac:dyDescent="0.25">
      <c r="A10947" s="34" t="s">
        <v>1259</v>
      </c>
    </row>
    <row r="10948" spans="1:2" ht="13.2" x14ac:dyDescent="0.25">
      <c r="A10948" s="34" t="s">
        <v>1258</v>
      </c>
      <c r="B10948" s="35">
        <v>1.13461767029191</v>
      </c>
    </row>
    <row r="10949" spans="1:2" ht="13.2" x14ac:dyDescent="0.25">
      <c r="A10949" s="34" t="s">
        <v>1257</v>
      </c>
      <c r="B10949" s="35">
        <v>1.1453502807067599</v>
      </c>
    </row>
    <row r="10950" spans="1:2" ht="13.2" x14ac:dyDescent="0.25">
      <c r="A10950" s="34" t="s">
        <v>1256</v>
      </c>
      <c r="B10950" s="35">
        <v>1.1677324865182199</v>
      </c>
    </row>
    <row r="10951" spans="1:2" ht="13.2" x14ac:dyDescent="0.25">
      <c r="A10951" s="34" t="s">
        <v>1255</v>
      </c>
      <c r="B10951" s="35">
        <v>1.1681218564137199</v>
      </c>
    </row>
    <row r="10952" spans="1:2" ht="13.2" x14ac:dyDescent="0.25">
      <c r="A10952" s="34" t="s">
        <v>1254</v>
      </c>
      <c r="B10952" s="35">
        <v>1.17124941975866</v>
      </c>
    </row>
    <row r="10953" spans="1:2" ht="13.2" x14ac:dyDescent="0.25">
      <c r="A10953" s="34" t="s">
        <v>1253</v>
      </c>
    </row>
    <row r="10954" spans="1:2" ht="13.2" x14ac:dyDescent="0.25">
      <c r="A10954" s="34" t="s">
        <v>1252</v>
      </c>
    </row>
    <row r="10955" spans="1:2" ht="13.2" x14ac:dyDescent="0.25">
      <c r="A10955" s="34" t="s">
        <v>1251</v>
      </c>
      <c r="B10955" s="35">
        <v>1.05546022106357</v>
      </c>
    </row>
    <row r="10956" spans="1:2" ht="13.2" x14ac:dyDescent="0.25">
      <c r="A10956" s="34" t="s">
        <v>1250</v>
      </c>
      <c r="B10956" s="35">
        <v>1.06119117686963</v>
      </c>
    </row>
    <row r="10957" spans="1:2" ht="13.2" x14ac:dyDescent="0.25">
      <c r="A10957" s="34" t="s">
        <v>1249</v>
      </c>
      <c r="B10957" s="35">
        <v>1.0889877921069699</v>
      </c>
    </row>
    <row r="10958" spans="1:2" ht="13.2" x14ac:dyDescent="0.25">
      <c r="A10958" s="34" t="s">
        <v>1248</v>
      </c>
      <c r="B10958" s="35">
        <v>1.08565539396944</v>
      </c>
    </row>
    <row r="10959" spans="1:2" ht="13.2" x14ac:dyDescent="0.25">
      <c r="A10959" s="34" t="s">
        <v>1247</v>
      </c>
      <c r="B10959" s="35">
        <v>1.0546629171047699</v>
      </c>
    </row>
    <row r="10960" spans="1:2" ht="13.2" x14ac:dyDescent="0.25">
      <c r="A10960" s="34" t="s">
        <v>1246</v>
      </c>
    </row>
    <row r="10961" spans="1:2" ht="13.2" x14ac:dyDescent="0.25">
      <c r="A10961" s="34" t="s">
        <v>1245</v>
      </c>
    </row>
    <row r="10962" spans="1:2" ht="13.2" x14ac:dyDescent="0.25">
      <c r="A10962" s="34" t="s">
        <v>1244</v>
      </c>
      <c r="B10962" s="35">
        <v>1.07136149894782</v>
      </c>
    </row>
    <row r="10963" spans="1:2" ht="13.2" x14ac:dyDescent="0.25">
      <c r="A10963" s="34" t="s">
        <v>1243</v>
      </c>
      <c r="B10963" s="35">
        <v>1.0915798188969701</v>
      </c>
    </row>
    <row r="10964" spans="1:2" ht="13.2" x14ac:dyDescent="0.25">
      <c r="A10964" s="34" t="s">
        <v>1242</v>
      </c>
      <c r="B10964" s="35">
        <v>0.93179099733173298</v>
      </c>
    </row>
    <row r="10965" spans="1:2" ht="13.2" x14ac:dyDescent="0.25">
      <c r="A10965" s="34" t="s">
        <v>1241</v>
      </c>
      <c r="B10965" s="35">
        <v>1.00048581176136</v>
      </c>
    </row>
    <row r="10966" spans="1:2" ht="13.2" x14ac:dyDescent="0.25">
      <c r="A10966" s="34" t="s">
        <v>1240</v>
      </c>
      <c r="B10966" s="35">
        <v>1.04555976910612</v>
      </c>
    </row>
    <row r="10967" spans="1:2" ht="13.2" x14ac:dyDescent="0.25">
      <c r="A10967" s="34" t="s">
        <v>1239</v>
      </c>
    </row>
    <row r="10968" spans="1:2" ht="13.2" x14ac:dyDescent="0.25">
      <c r="A10968" s="34" t="s">
        <v>1238</v>
      </c>
    </row>
    <row r="10969" spans="1:2" ht="13.2" x14ac:dyDescent="0.25">
      <c r="A10969" s="34" t="s">
        <v>1237</v>
      </c>
      <c r="B10969" s="35">
        <v>0.88936745104521897</v>
      </c>
    </row>
    <row r="10970" spans="1:2" ht="13.2" x14ac:dyDescent="0.25">
      <c r="A10970" s="34" t="s">
        <v>1236</v>
      </c>
      <c r="B10970" s="35">
        <v>0.93146660989409402</v>
      </c>
    </row>
    <row r="10971" spans="1:2" ht="13.2" x14ac:dyDescent="0.25">
      <c r="A10971" s="34" t="s">
        <v>1235</v>
      </c>
      <c r="B10971" s="35">
        <v>0.92466398721063403</v>
      </c>
    </row>
    <row r="10972" spans="1:2" ht="13.2" x14ac:dyDescent="0.25">
      <c r="A10972" s="34" t="s">
        <v>1234</v>
      </c>
    </row>
    <row r="10973" spans="1:2" ht="13.2" x14ac:dyDescent="0.25">
      <c r="A10973" s="34" t="s">
        <v>1233</v>
      </c>
      <c r="B10973" s="35">
        <v>0.94785191964909599</v>
      </c>
    </row>
    <row r="10974" spans="1:2" ht="13.2" x14ac:dyDescent="0.25">
      <c r="A10974" s="34" t="s">
        <v>1232</v>
      </c>
    </row>
    <row r="10975" spans="1:2" ht="13.2" x14ac:dyDescent="0.25">
      <c r="A10975" s="34" t="s">
        <v>1231</v>
      </c>
    </row>
    <row r="10976" spans="1:2" ht="13.2" x14ac:dyDescent="0.25">
      <c r="A10976" s="34" t="s">
        <v>1230</v>
      </c>
      <c r="B10976" s="35">
        <v>0.94494582474959199</v>
      </c>
    </row>
    <row r="10977" spans="1:2" ht="13.2" x14ac:dyDescent="0.25">
      <c r="A10977" s="34" t="s">
        <v>1229</v>
      </c>
      <c r="B10977" s="35">
        <v>0.96413097956296401</v>
      </c>
    </row>
    <row r="10978" spans="1:2" ht="13.2" x14ac:dyDescent="0.25">
      <c r="A10978" s="34" t="s">
        <v>1228</v>
      </c>
      <c r="B10978" s="35">
        <v>1.02699605967619</v>
      </c>
    </row>
    <row r="10979" spans="1:2" ht="13.2" x14ac:dyDescent="0.25">
      <c r="A10979" s="34" t="s">
        <v>1227</v>
      </c>
      <c r="B10979" s="35">
        <v>0.99321123636181297</v>
      </c>
    </row>
    <row r="10980" spans="1:2" ht="13.2" x14ac:dyDescent="0.25">
      <c r="A10980" s="34" t="s">
        <v>1226</v>
      </c>
      <c r="B10980" s="35">
        <v>0.99618329498111102</v>
      </c>
    </row>
    <row r="10981" spans="1:2" ht="13.2" x14ac:dyDescent="0.25">
      <c r="A10981" s="34" t="s">
        <v>1225</v>
      </c>
    </row>
    <row r="10982" spans="1:2" ht="13.2" x14ac:dyDescent="0.25">
      <c r="A10982" s="34" t="s">
        <v>1224</v>
      </c>
    </row>
    <row r="10983" spans="1:2" ht="13.2" x14ac:dyDescent="0.25">
      <c r="A10983" s="34" t="s">
        <v>1223</v>
      </c>
      <c r="B10983" s="35">
        <v>1.0021593831682001</v>
      </c>
    </row>
    <row r="10984" spans="1:2" ht="13.2" x14ac:dyDescent="0.25">
      <c r="A10984" s="34" t="s">
        <v>1222</v>
      </c>
      <c r="B10984" s="35">
        <v>1.0096886574567601</v>
      </c>
    </row>
    <row r="10985" spans="1:2" ht="13.2" x14ac:dyDescent="0.25">
      <c r="A10985" s="34" t="s">
        <v>1221</v>
      </c>
      <c r="B10985" s="35">
        <v>0.99234960968632502</v>
      </c>
    </row>
    <row r="10986" spans="1:2" ht="13.2" x14ac:dyDescent="0.25">
      <c r="A10986" s="34" t="s">
        <v>1220</v>
      </c>
      <c r="B10986" s="35">
        <v>1.04771334423634</v>
      </c>
    </row>
    <row r="10987" spans="1:2" ht="13.2" x14ac:dyDescent="0.25">
      <c r="A10987" s="34" t="s">
        <v>1219</v>
      </c>
      <c r="B10987" s="35">
        <v>1.0008518036565299</v>
      </c>
    </row>
    <row r="10988" spans="1:2" ht="13.2" x14ac:dyDescent="0.25">
      <c r="A10988" s="34" t="s">
        <v>1218</v>
      </c>
    </row>
    <row r="10989" spans="1:2" ht="13.2" x14ac:dyDescent="0.25">
      <c r="A10989" s="34" t="s">
        <v>1217</v>
      </c>
    </row>
    <row r="10990" spans="1:2" ht="13.2" x14ac:dyDescent="0.25">
      <c r="A10990" s="34" t="s">
        <v>1216</v>
      </c>
      <c r="B10990" s="35">
        <v>1.01139486650768</v>
      </c>
    </row>
    <row r="10991" spans="1:2" ht="13.2" x14ac:dyDescent="0.25">
      <c r="A10991" s="34" t="s">
        <v>1215</v>
      </c>
      <c r="B10991" s="35">
        <v>1.0268978443564001</v>
      </c>
    </row>
    <row r="10992" spans="1:2" ht="13.2" x14ac:dyDescent="0.25">
      <c r="A10992" s="34" t="s">
        <v>1214</v>
      </c>
      <c r="B10992" s="35">
        <v>1.0355701421760499</v>
      </c>
    </row>
    <row r="10993" spans="1:2" ht="13.2" x14ac:dyDescent="0.25">
      <c r="A10993" s="34" t="s">
        <v>1213</v>
      </c>
      <c r="B10993" s="35">
        <v>1.00529547865238</v>
      </c>
    </row>
    <row r="10994" spans="1:2" ht="13.2" x14ac:dyDescent="0.25">
      <c r="A10994" s="34" t="s">
        <v>1212</v>
      </c>
      <c r="B10994" s="35">
        <v>0.99171425935881896</v>
      </c>
    </row>
    <row r="10995" spans="1:2" ht="13.2" x14ac:dyDescent="0.25">
      <c r="A10995" s="34" t="s">
        <v>1211</v>
      </c>
    </row>
    <row r="10996" spans="1:2" ht="13.2" x14ac:dyDescent="0.25">
      <c r="A10996" s="34" t="s">
        <v>1210</v>
      </c>
    </row>
    <row r="10997" spans="1:2" ht="13.2" x14ac:dyDescent="0.25">
      <c r="A10997" s="34" t="s">
        <v>1209</v>
      </c>
      <c r="B10997" s="35">
        <v>0.94477999372826404</v>
      </c>
    </row>
    <row r="10998" spans="1:2" ht="13.2" x14ac:dyDescent="0.25">
      <c r="A10998" s="34" t="s">
        <v>1208</v>
      </c>
      <c r="B10998" s="35">
        <v>0.90514044132263005</v>
      </c>
    </row>
    <row r="10999" spans="1:2" ht="13.2" x14ac:dyDescent="0.25">
      <c r="A10999" s="34" t="s">
        <v>1207</v>
      </c>
      <c r="B10999" s="35">
        <v>0.90491191308531305</v>
      </c>
    </row>
    <row r="11000" spans="1:2" ht="13.2" x14ac:dyDescent="0.25">
      <c r="A11000" s="34" t="s">
        <v>1206</v>
      </c>
      <c r="B11000" s="35">
        <v>0.95211571775507398</v>
      </c>
    </row>
    <row r="11001" spans="1:2" ht="13.2" x14ac:dyDescent="0.25">
      <c r="A11001" s="34" t="s">
        <v>1205</v>
      </c>
      <c r="B11001" s="35">
        <v>0.97409825041838505</v>
      </c>
    </row>
    <row r="11002" spans="1:2" ht="13.2" x14ac:dyDescent="0.25">
      <c r="A11002" s="34" t="s">
        <v>1204</v>
      </c>
    </row>
    <row r="11003" spans="1:2" ht="13.2" x14ac:dyDescent="0.25">
      <c r="A11003" s="34" t="s">
        <v>1203</v>
      </c>
    </row>
    <row r="11004" spans="1:2" ht="13.2" x14ac:dyDescent="0.25">
      <c r="A11004" s="34" t="s">
        <v>1202</v>
      </c>
      <c r="B11004" s="35">
        <v>0.95573287960361897</v>
      </c>
    </row>
    <row r="11005" spans="1:2" ht="13.2" x14ac:dyDescent="0.25">
      <c r="A11005" s="34" t="s">
        <v>1201</v>
      </c>
      <c r="B11005" s="35">
        <v>0.96439882032927304</v>
      </c>
    </row>
    <row r="11006" spans="1:2" ht="13.2" x14ac:dyDescent="0.25">
      <c r="A11006" s="34" t="s">
        <v>1200</v>
      </c>
      <c r="B11006" s="35">
        <v>0.96072212400635004</v>
      </c>
    </row>
    <row r="11007" spans="1:2" ht="13.2" x14ac:dyDescent="0.25">
      <c r="A11007" s="34" t="s">
        <v>1199</v>
      </c>
      <c r="B11007" s="35">
        <v>0.90596952747927695</v>
      </c>
    </row>
    <row r="11008" spans="1:2" ht="13.2" x14ac:dyDescent="0.25">
      <c r="A11008" s="34" t="s">
        <v>1198</v>
      </c>
      <c r="B11008" s="35">
        <v>0.94976830603165496</v>
      </c>
    </row>
    <row r="11009" spans="1:2" ht="13.2" x14ac:dyDescent="0.25">
      <c r="A11009" s="34" t="s">
        <v>1197</v>
      </c>
    </row>
    <row r="11010" spans="1:2" ht="13.2" x14ac:dyDescent="0.25">
      <c r="A11010" s="34" t="s">
        <v>1196</v>
      </c>
    </row>
    <row r="11011" spans="1:2" ht="13.2" x14ac:dyDescent="0.25">
      <c r="A11011" s="34" t="s">
        <v>1195</v>
      </c>
      <c r="B11011" s="35">
        <v>0.95243770274692696</v>
      </c>
    </row>
    <row r="11012" spans="1:2" ht="13.2" x14ac:dyDescent="0.25">
      <c r="A11012" s="34" t="s">
        <v>1194</v>
      </c>
      <c r="B11012" s="35">
        <v>0.92919179411797803</v>
      </c>
    </row>
    <row r="11013" spans="1:2" ht="13.2" x14ac:dyDescent="0.25">
      <c r="A11013" s="34" t="s">
        <v>1193</v>
      </c>
      <c r="B11013" s="35">
        <v>0.92955504755406804</v>
      </c>
    </row>
    <row r="11014" spans="1:2" ht="13.2" x14ac:dyDescent="0.25">
      <c r="A11014" s="34" t="s">
        <v>1192</v>
      </c>
      <c r="B11014" s="35">
        <v>0.92208225974025604</v>
      </c>
    </row>
    <row r="11015" spans="1:2" ht="13.2" x14ac:dyDescent="0.25">
      <c r="A11015" s="34" t="s">
        <v>1191</v>
      </c>
      <c r="B11015" s="35">
        <v>0.96950787601783195</v>
      </c>
    </row>
    <row r="11016" spans="1:2" ht="13.2" x14ac:dyDescent="0.25">
      <c r="A11016" s="34" t="s">
        <v>1190</v>
      </c>
    </row>
    <row r="11017" spans="1:2" ht="13.2" x14ac:dyDescent="0.25">
      <c r="A11017" s="34" t="s">
        <v>1189</v>
      </c>
    </row>
    <row r="11018" spans="1:2" ht="13.2" x14ac:dyDescent="0.25">
      <c r="A11018" s="34" t="s">
        <v>1188</v>
      </c>
      <c r="B11018" s="35">
        <v>0.98832065748042897</v>
      </c>
    </row>
    <row r="11019" spans="1:2" ht="13.2" x14ac:dyDescent="0.25">
      <c r="A11019" s="34" t="s">
        <v>1187</v>
      </c>
      <c r="B11019" s="35">
        <v>0.97900017638602899</v>
      </c>
    </row>
    <row r="11020" spans="1:2" ht="13.2" x14ac:dyDescent="0.25">
      <c r="A11020" s="34" t="s">
        <v>1186</v>
      </c>
      <c r="B11020" s="35">
        <v>0.96510976361898104</v>
      </c>
    </row>
    <row r="11021" spans="1:2" ht="13.2" x14ac:dyDescent="0.25">
      <c r="A11021" s="34" t="s">
        <v>1185</v>
      </c>
      <c r="B11021" s="35">
        <v>1.0739910743199601</v>
      </c>
    </row>
    <row r="11022" spans="1:2" ht="13.2" x14ac:dyDescent="0.25">
      <c r="A11022" s="34" t="s">
        <v>1184</v>
      </c>
      <c r="B11022" s="35">
        <v>1.0310773044200201</v>
      </c>
    </row>
    <row r="11023" spans="1:2" ht="13.2" x14ac:dyDescent="0.25">
      <c r="A11023" s="34" t="s">
        <v>1183</v>
      </c>
    </row>
    <row r="11024" spans="1:2" ht="13.2" x14ac:dyDescent="0.25">
      <c r="A11024" s="34" t="s">
        <v>1182</v>
      </c>
    </row>
    <row r="11025" spans="1:2" ht="13.2" x14ac:dyDescent="0.25">
      <c r="A11025" s="34" t="s">
        <v>1181</v>
      </c>
      <c r="B11025" s="35">
        <v>1.07053509989923</v>
      </c>
    </row>
    <row r="11026" spans="1:2" ht="13.2" x14ac:dyDescent="0.25">
      <c r="A11026" s="34" t="s">
        <v>1180</v>
      </c>
      <c r="B11026" s="35">
        <v>1.04589481190756</v>
      </c>
    </row>
    <row r="11027" spans="1:2" ht="13.2" x14ac:dyDescent="0.25">
      <c r="A11027" s="34" t="s">
        <v>1179</v>
      </c>
      <c r="B11027" s="35">
        <v>1.0418083449614299</v>
      </c>
    </row>
    <row r="11028" spans="1:2" ht="13.2" x14ac:dyDescent="0.25">
      <c r="A11028" s="34" t="s">
        <v>1178</v>
      </c>
      <c r="B11028" s="35">
        <v>1.0409355308927299</v>
      </c>
    </row>
    <row r="11029" spans="1:2" ht="13.2" x14ac:dyDescent="0.25">
      <c r="A11029" s="34" t="s">
        <v>1177</v>
      </c>
      <c r="B11029" s="35">
        <v>0.978652468240364</v>
      </c>
    </row>
    <row r="11030" spans="1:2" ht="13.2" x14ac:dyDescent="0.25">
      <c r="A11030" s="34" t="s">
        <v>1176</v>
      </c>
    </row>
    <row r="11031" spans="1:2" ht="13.2" x14ac:dyDescent="0.25">
      <c r="A11031" s="34" t="s">
        <v>1175</v>
      </c>
    </row>
    <row r="11032" spans="1:2" ht="13.2" x14ac:dyDescent="0.25">
      <c r="A11032" s="34" t="s">
        <v>1174</v>
      </c>
      <c r="B11032" s="35">
        <v>0.94217996441465501</v>
      </c>
    </row>
    <row r="11033" spans="1:2" ht="13.2" x14ac:dyDescent="0.25">
      <c r="A11033" s="34" t="s">
        <v>1173</v>
      </c>
      <c r="B11033" s="35">
        <v>0.92532686268905895</v>
      </c>
    </row>
    <row r="11034" spans="1:2" ht="13.2" x14ac:dyDescent="0.25">
      <c r="A11034" s="34" t="s">
        <v>1172</v>
      </c>
      <c r="B11034" s="35">
        <v>0.92392094762303101</v>
      </c>
    </row>
    <row r="11035" spans="1:2" ht="13.2" x14ac:dyDescent="0.25">
      <c r="A11035" s="34" t="s">
        <v>1171</v>
      </c>
      <c r="B11035" s="35">
        <v>0.92096059876641501</v>
      </c>
    </row>
    <row r="11036" spans="1:2" ht="13.2" x14ac:dyDescent="0.25">
      <c r="A11036" s="34" t="s">
        <v>1170</v>
      </c>
      <c r="B11036" s="35">
        <v>0.87089710499905004</v>
      </c>
    </row>
    <row r="11037" spans="1:2" ht="13.2" x14ac:dyDescent="0.25">
      <c r="A11037" s="34" t="s">
        <v>1169</v>
      </c>
    </row>
    <row r="11038" spans="1:2" ht="13.2" x14ac:dyDescent="0.25">
      <c r="A11038" s="34" t="s">
        <v>1168</v>
      </c>
    </row>
    <row r="11039" spans="1:2" ht="13.2" x14ac:dyDescent="0.25">
      <c r="A11039" s="34" t="s">
        <v>1167</v>
      </c>
      <c r="B11039" s="35">
        <v>0.85480496398802996</v>
      </c>
    </row>
    <row r="11040" spans="1:2" ht="13.2" x14ac:dyDescent="0.25">
      <c r="A11040" s="34" t="s">
        <v>1166</v>
      </c>
      <c r="B11040" s="35">
        <v>0.85475056605963495</v>
      </c>
    </row>
    <row r="11041" spans="1:2" ht="13.2" x14ac:dyDescent="0.25">
      <c r="A11041" s="34" t="s">
        <v>1165</v>
      </c>
      <c r="B11041" s="35">
        <v>0.85812777881564795</v>
      </c>
    </row>
    <row r="11042" spans="1:2" ht="13.2" x14ac:dyDescent="0.25">
      <c r="A11042" s="34" t="s">
        <v>1164</v>
      </c>
      <c r="B11042" s="35">
        <v>0.86288661714086101</v>
      </c>
    </row>
    <row r="11043" spans="1:2" ht="13.2" x14ac:dyDescent="0.25">
      <c r="A11043" s="34" t="s">
        <v>1163</v>
      </c>
      <c r="B11043" s="35">
        <v>0.86048200343654002</v>
      </c>
    </row>
    <row r="11044" spans="1:2" ht="13.2" x14ac:dyDescent="0.25">
      <c r="A11044" s="34" t="s">
        <v>1162</v>
      </c>
    </row>
    <row r="11045" spans="1:2" ht="13.2" x14ac:dyDescent="0.25">
      <c r="A11045" s="34" t="s">
        <v>1161</v>
      </c>
    </row>
    <row r="11046" spans="1:2" ht="13.2" x14ac:dyDescent="0.25">
      <c r="A11046" s="34" t="s">
        <v>1160</v>
      </c>
      <c r="B11046" s="35">
        <v>0.75558900154233399</v>
      </c>
    </row>
    <row r="11047" spans="1:2" ht="13.2" x14ac:dyDescent="0.25">
      <c r="A11047" s="34" t="s">
        <v>1159</v>
      </c>
      <c r="B11047" s="35">
        <v>0.80763544919354802</v>
      </c>
    </row>
    <row r="11048" spans="1:2" ht="13.2" x14ac:dyDescent="0.25">
      <c r="A11048" s="34" t="s">
        <v>1158</v>
      </c>
      <c r="B11048" s="35">
        <v>0.89478793553208402</v>
      </c>
    </row>
    <row r="11049" spans="1:2" ht="13.2" x14ac:dyDescent="0.25">
      <c r="A11049" s="34" t="s">
        <v>1157</v>
      </c>
      <c r="B11049" s="35">
        <v>0.89937971828079699</v>
      </c>
    </row>
    <row r="11050" spans="1:2" ht="13.2" x14ac:dyDescent="0.25">
      <c r="A11050" s="34" t="s">
        <v>1156</v>
      </c>
      <c r="B11050" s="35">
        <v>0.81102332738723104</v>
      </c>
    </row>
    <row r="11051" spans="1:2" ht="13.2" x14ac:dyDescent="0.25">
      <c r="A11051" s="34" t="s">
        <v>1155</v>
      </c>
    </row>
    <row r="11052" spans="1:2" ht="13.2" x14ac:dyDescent="0.25">
      <c r="A11052" s="34" t="s">
        <v>1154</v>
      </c>
    </row>
    <row r="11053" spans="1:2" ht="13.2" x14ac:dyDescent="0.25">
      <c r="A11053" s="34" t="s">
        <v>1153</v>
      </c>
      <c r="B11053" s="35">
        <v>0.85487730447413501</v>
      </c>
    </row>
    <row r="11054" spans="1:2" ht="13.2" x14ac:dyDescent="0.25">
      <c r="A11054" s="34" t="s">
        <v>1152</v>
      </c>
      <c r="B11054" s="35">
        <v>0.82475262978305097</v>
      </c>
    </row>
    <row r="11055" spans="1:2" ht="13.2" x14ac:dyDescent="0.25">
      <c r="A11055" s="34" t="s">
        <v>1151</v>
      </c>
      <c r="B11055" s="35">
        <v>0.82983977532412201</v>
      </c>
    </row>
    <row r="11056" spans="1:2" ht="13.2" x14ac:dyDescent="0.25">
      <c r="A11056" s="34" t="s">
        <v>1150</v>
      </c>
      <c r="B11056" s="35">
        <v>0.883233157656099</v>
      </c>
    </row>
    <row r="11057" spans="1:2" ht="13.2" x14ac:dyDescent="0.25">
      <c r="A11057" s="34" t="s">
        <v>1149</v>
      </c>
      <c r="B11057" s="35">
        <v>0.98969347823951703</v>
      </c>
    </row>
    <row r="11058" spans="1:2" ht="13.2" x14ac:dyDescent="0.25">
      <c r="A11058" s="34" t="s">
        <v>1148</v>
      </c>
    </row>
    <row r="11059" spans="1:2" ht="13.2" x14ac:dyDescent="0.25">
      <c r="A11059" s="34" t="s">
        <v>1147</v>
      </c>
    </row>
    <row r="11060" spans="1:2" ht="13.2" x14ac:dyDescent="0.25">
      <c r="A11060" s="34" t="s">
        <v>1146</v>
      </c>
      <c r="B11060" s="35">
        <v>0.97300347647848495</v>
      </c>
    </row>
    <row r="11061" spans="1:2" ht="13.2" x14ac:dyDescent="0.25">
      <c r="A11061" s="34" t="s">
        <v>1145</v>
      </c>
      <c r="B11061" s="35">
        <v>0.97534143021019803</v>
      </c>
    </row>
    <row r="11062" spans="1:2" ht="13.2" x14ac:dyDescent="0.25">
      <c r="A11062" s="34" t="s">
        <v>1144</v>
      </c>
      <c r="B11062" s="35">
        <v>1.0027043689805499</v>
      </c>
    </row>
    <row r="11063" spans="1:2" ht="13.2" x14ac:dyDescent="0.25">
      <c r="A11063" s="34" t="s">
        <v>1143</v>
      </c>
    </row>
    <row r="11064" spans="1:2" ht="13.2" x14ac:dyDescent="0.25">
      <c r="A11064" s="34" t="s">
        <v>1142</v>
      </c>
      <c r="B11064" s="35">
        <v>1.0028752143353099</v>
      </c>
    </row>
    <row r="11065" spans="1:2" ht="13.2" x14ac:dyDescent="0.25">
      <c r="A11065" s="34" t="s">
        <v>1141</v>
      </c>
    </row>
    <row r="11066" spans="1:2" ht="13.2" x14ac:dyDescent="0.25">
      <c r="A11066" s="34" t="s">
        <v>1140</v>
      </c>
    </row>
    <row r="11067" spans="1:2" ht="13.2" x14ac:dyDescent="0.25">
      <c r="A11067" s="34" t="s">
        <v>1139</v>
      </c>
      <c r="B11067" s="35">
        <v>1.05360480494138</v>
      </c>
    </row>
    <row r="11068" spans="1:2" ht="13.2" x14ac:dyDescent="0.25">
      <c r="A11068" s="34" t="s">
        <v>1138</v>
      </c>
      <c r="B11068" s="35">
        <v>1.0740359028906901</v>
      </c>
    </row>
    <row r="11069" spans="1:2" ht="13.2" x14ac:dyDescent="0.25">
      <c r="A11069" s="34" t="s">
        <v>1137</v>
      </c>
      <c r="B11069" s="35">
        <v>1.0463270989076301</v>
      </c>
    </row>
    <row r="11070" spans="1:2" ht="13.2" x14ac:dyDescent="0.25">
      <c r="A11070" s="34" t="s">
        <v>1136</v>
      </c>
      <c r="B11070" s="35">
        <v>1.0571493591605701</v>
      </c>
    </row>
    <row r="11071" spans="1:2" ht="13.2" x14ac:dyDescent="0.25">
      <c r="A11071" s="34" t="s">
        <v>1135</v>
      </c>
      <c r="B11071" s="35">
        <v>1.05814994803644</v>
      </c>
    </row>
    <row r="11072" spans="1:2" ht="13.2" x14ac:dyDescent="0.25">
      <c r="A11072" s="34" t="s">
        <v>1134</v>
      </c>
    </row>
    <row r="11073" spans="1:2" ht="13.2" x14ac:dyDescent="0.25">
      <c r="A11073" s="34" t="s">
        <v>1133</v>
      </c>
    </row>
    <row r="11074" spans="1:2" ht="13.2" x14ac:dyDescent="0.25">
      <c r="A11074" s="34" t="s">
        <v>1132</v>
      </c>
      <c r="B11074" s="35">
        <v>1.0544183491625001</v>
      </c>
    </row>
    <row r="11075" spans="1:2" ht="13.2" x14ac:dyDescent="0.25">
      <c r="A11075" s="34" t="s">
        <v>1131</v>
      </c>
      <c r="B11075" s="35">
        <v>1.05861736998658</v>
      </c>
    </row>
    <row r="11076" spans="1:2" ht="13.2" x14ac:dyDescent="0.25">
      <c r="A11076" s="34" t="s">
        <v>1130</v>
      </c>
      <c r="B11076" s="35">
        <v>1.04334661538851</v>
      </c>
    </row>
    <row r="11077" spans="1:2" ht="13.2" x14ac:dyDescent="0.25">
      <c r="A11077" s="34" t="s">
        <v>1129</v>
      </c>
      <c r="B11077" s="35">
        <v>1.1153957786431801</v>
      </c>
    </row>
    <row r="11078" spans="1:2" ht="13.2" x14ac:dyDescent="0.25">
      <c r="A11078" s="34" t="s">
        <v>1128</v>
      </c>
      <c r="B11078" s="35">
        <v>1.04605914608525</v>
      </c>
    </row>
    <row r="11079" spans="1:2" ht="13.2" x14ac:dyDescent="0.25">
      <c r="A11079" s="34" t="s">
        <v>1127</v>
      </c>
    </row>
    <row r="11080" spans="1:2" ht="13.2" x14ac:dyDescent="0.25">
      <c r="A11080" s="34" t="s">
        <v>1126</v>
      </c>
    </row>
    <row r="11081" spans="1:2" ht="13.2" x14ac:dyDescent="0.25">
      <c r="A11081" s="34" t="s">
        <v>1125</v>
      </c>
      <c r="B11081" s="35">
        <v>1.0274952307971399</v>
      </c>
    </row>
    <row r="11082" spans="1:2" ht="13.2" x14ac:dyDescent="0.25">
      <c r="A11082" s="34" t="s">
        <v>1124</v>
      </c>
      <c r="B11082" s="35">
        <v>1.05554182710928</v>
      </c>
    </row>
    <row r="11083" spans="1:2" ht="13.2" x14ac:dyDescent="0.25">
      <c r="A11083" s="34" t="s">
        <v>1123</v>
      </c>
      <c r="B11083" s="35">
        <v>1.0222921638842799</v>
      </c>
    </row>
    <row r="11084" spans="1:2" ht="13.2" x14ac:dyDescent="0.25">
      <c r="A11084" s="34" t="s">
        <v>1122</v>
      </c>
      <c r="B11084" s="35">
        <v>1.03038260035263</v>
      </c>
    </row>
    <row r="11085" spans="1:2" ht="13.2" x14ac:dyDescent="0.25">
      <c r="A11085" s="34" t="s">
        <v>1121</v>
      </c>
      <c r="B11085" s="35">
        <v>1.0349471813414399</v>
      </c>
    </row>
    <row r="11086" spans="1:2" ht="13.2" x14ac:dyDescent="0.25">
      <c r="A11086" s="34" t="s">
        <v>1120</v>
      </c>
    </row>
    <row r="11087" spans="1:2" ht="13.2" x14ac:dyDescent="0.25">
      <c r="A11087" s="34" t="s">
        <v>1119</v>
      </c>
    </row>
    <row r="11088" spans="1:2" ht="13.2" x14ac:dyDescent="0.25">
      <c r="A11088" s="34" t="s">
        <v>1118</v>
      </c>
      <c r="B11088" s="35">
        <v>1.0190839579923501</v>
      </c>
    </row>
    <row r="11089" spans="1:2" ht="13.2" x14ac:dyDescent="0.25">
      <c r="A11089" s="34" t="s">
        <v>1117</v>
      </c>
      <c r="B11089" s="35">
        <v>0.96798630235186001</v>
      </c>
    </row>
    <row r="11090" spans="1:2" ht="13.2" x14ac:dyDescent="0.25">
      <c r="A11090" s="34" t="s">
        <v>1116</v>
      </c>
      <c r="B11090" s="35">
        <v>0.97086727146784402</v>
      </c>
    </row>
    <row r="11091" spans="1:2" ht="13.2" x14ac:dyDescent="0.25">
      <c r="A11091" s="34" t="s">
        <v>1115</v>
      </c>
      <c r="B11091" s="35">
        <v>0.97007380389436404</v>
      </c>
    </row>
    <row r="11092" spans="1:2" ht="13.2" x14ac:dyDescent="0.25">
      <c r="A11092" s="34" t="s">
        <v>1114</v>
      </c>
      <c r="B11092" s="35">
        <v>0.96345122459412702</v>
      </c>
    </row>
    <row r="11093" spans="1:2" ht="13.2" x14ac:dyDescent="0.25">
      <c r="A11093" s="34" t="s">
        <v>1113</v>
      </c>
    </row>
    <row r="11094" spans="1:2" ht="13.2" x14ac:dyDescent="0.25">
      <c r="A11094" s="34" t="s">
        <v>1112</v>
      </c>
    </row>
    <row r="11095" spans="1:2" ht="13.2" x14ac:dyDescent="0.25">
      <c r="A11095" s="34" t="s">
        <v>1111</v>
      </c>
      <c r="B11095" s="35">
        <v>0.97683557931400899</v>
      </c>
    </row>
    <row r="11096" spans="1:2" ht="13.2" x14ac:dyDescent="0.25">
      <c r="A11096" s="34" t="s">
        <v>1110</v>
      </c>
      <c r="B11096" s="35">
        <v>0.97762113077707002</v>
      </c>
    </row>
    <row r="11097" spans="1:2" ht="13.2" x14ac:dyDescent="0.25">
      <c r="A11097" s="34" t="s">
        <v>1109</v>
      </c>
      <c r="B11097" s="35">
        <v>0.95668681916063503</v>
      </c>
    </row>
    <row r="11098" spans="1:2" ht="13.2" x14ac:dyDescent="0.25">
      <c r="A11098" s="34" t="s">
        <v>1108</v>
      </c>
    </row>
    <row r="11099" spans="1:2" ht="13.2" x14ac:dyDescent="0.25">
      <c r="A11099" s="34" t="s">
        <v>1107</v>
      </c>
      <c r="B11099" s="35">
        <v>0.98336952000074096</v>
      </c>
    </row>
    <row r="11100" spans="1:2" ht="13.2" x14ac:dyDescent="0.25">
      <c r="A11100" s="34" t="s">
        <v>1106</v>
      </c>
    </row>
    <row r="11101" spans="1:2" ht="13.2" x14ac:dyDescent="0.25">
      <c r="A11101" s="34" t="s">
        <v>1105</v>
      </c>
    </row>
    <row r="11102" spans="1:2" ht="13.2" x14ac:dyDescent="0.25">
      <c r="A11102" s="34" t="s">
        <v>1104</v>
      </c>
      <c r="B11102" s="35">
        <v>0.96612602824164295</v>
      </c>
    </row>
    <row r="11103" spans="1:2" ht="13.2" x14ac:dyDescent="0.25">
      <c r="A11103" s="34" t="s">
        <v>1103</v>
      </c>
      <c r="B11103" s="35">
        <v>0.96626060237796796</v>
      </c>
    </row>
    <row r="11104" spans="1:2" ht="13.2" x14ac:dyDescent="0.25">
      <c r="A11104" s="34" t="s">
        <v>1102</v>
      </c>
      <c r="B11104" s="35">
        <v>1.0185579135391101</v>
      </c>
    </row>
    <row r="11105" spans="1:2" ht="13.2" x14ac:dyDescent="0.25">
      <c r="A11105" s="34" t="s">
        <v>1101</v>
      </c>
      <c r="B11105" s="35">
        <v>1.0178206615010399</v>
      </c>
    </row>
    <row r="11106" spans="1:2" ht="13.2" x14ac:dyDescent="0.25">
      <c r="A11106" s="34" t="s">
        <v>1100</v>
      </c>
      <c r="B11106" s="35">
        <v>1.00493309619365</v>
      </c>
    </row>
    <row r="11107" spans="1:2" ht="13.2" x14ac:dyDescent="0.25">
      <c r="A11107" s="34" t="s">
        <v>1099</v>
      </c>
    </row>
    <row r="11108" spans="1:2" ht="13.2" x14ac:dyDescent="0.25">
      <c r="A11108" s="34" t="s">
        <v>1098</v>
      </c>
    </row>
    <row r="11109" spans="1:2" ht="13.2" x14ac:dyDescent="0.25">
      <c r="A11109" s="34" t="s">
        <v>1097</v>
      </c>
      <c r="B11109" s="35">
        <v>0.90183290824283302</v>
      </c>
    </row>
    <row r="11110" spans="1:2" ht="13.2" x14ac:dyDescent="0.25">
      <c r="A11110" s="34" t="s">
        <v>1096</v>
      </c>
      <c r="B11110" s="35">
        <v>0.92802106769938497</v>
      </c>
    </row>
    <row r="11111" spans="1:2" ht="13.2" x14ac:dyDescent="0.25">
      <c r="A11111" s="34" t="s">
        <v>1095</v>
      </c>
      <c r="B11111" s="35">
        <v>0.94152505357312399</v>
      </c>
    </row>
    <row r="11112" spans="1:2" ht="13.2" x14ac:dyDescent="0.25">
      <c r="A11112" s="34" t="s">
        <v>1094</v>
      </c>
      <c r="B11112" s="35">
        <v>0.96764626967374501</v>
      </c>
    </row>
    <row r="11113" spans="1:2" ht="13.2" x14ac:dyDescent="0.25">
      <c r="A11113" s="34" t="s">
        <v>1093</v>
      </c>
      <c r="B11113" s="35">
        <v>1.0090086520744801</v>
      </c>
    </row>
    <row r="11114" spans="1:2" ht="13.2" x14ac:dyDescent="0.25">
      <c r="A11114" s="34" t="s">
        <v>1092</v>
      </c>
    </row>
    <row r="11115" spans="1:2" ht="13.2" x14ac:dyDescent="0.25">
      <c r="A11115" s="34" t="s">
        <v>1091</v>
      </c>
    </row>
    <row r="11116" spans="1:2" ht="13.2" x14ac:dyDescent="0.25">
      <c r="A11116" s="34" t="s">
        <v>1090</v>
      </c>
      <c r="B11116" s="35">
        <v>0.97469257999285797</v>
      </c>
    </row>
    <row r="11117" spans="1:2" ht="13.2" x14ac:dyDescent="0.25">
      <c r="A11117" s="34" t="s">
        <v>1089</v>
      </c>
      <c r="B11117" s="35">
        <v>0.96774766206472196</v>
      </c>
    </row>
    <row r="11118" spans="1:2" ht="13.2" x14ac:dyDescent="0.25">
      <c r="A11118" s="34" t="s">
        <v>1088</v>
      </c>
      <c r="B11118" s="35">
        <v>1.0064073793184301</v>
      </c>
    </row>
    <row r="11119" spans="1:2" ht="13.2" x14ac:dyDescent="0.25">
      <c r="A11119" s="34" t="s">
        <v>1087</v>
      </c>
    </row>
    <row r="11120" spans="1:2" ht="13.2" x14ac:dyDescent="0.25">
      <c r="A11120" s="34" t="s">
        <v>1086</v>
      </c>
      <c r="B11120" s="35">
        <v>1.1068663576486699</v>
      </c>
    </row>
    <row r="11121" spans="1:2" ht="13.2" x14ac:dyDescent="0.25">
      <c r="A11121" s="34" t="s">
        <v>1085</v>
      </c>
    </row>
    <row r="11122" spans="1:2" ht="13.2" x14ac:dyDescent="0.25">
      <c r="A11122" s="34" t="s">
        <v>1084</v>
      </c>
    </row>
    <row r="11123" spans="1:2" ht="13.2" x14ac:dyDescent="0.25">
      <c r="A11123" s="34" t="s">
        <v>1083</v>
      </c>
      <c r="B11123" s="35">
        <v>1.1069831612362599</v>
      </c>
    </row>
    <row r="11124" spans="1:2" ht="13.2" x14ac:dyDescent="0.25">
      <c r="A11124" s="34" t="s">
        <v>1082</v>
      </c>
      <c r="B11124" s="35">
        <v>1.1054267155736499</v>
      </c>
    </row>
    <row r="11125" spans="1:2" ht="13.2" x14ac:dyDescent="0.25">
      <c r="A11125" s="34" t="s">
        <v>1081</v>
      </c>
      <c r="B11125" s="35">
        <v>1.1014443831374601</v>
      </c>
    </row>
    <row r="11126" spans="1:2" ht="13.2" x14ac:dyDescent="0.25">
      <c r="A11126" s="34" t="s">
        <v>1080</v>
      </c>
      <c r="B11126" s="35">
        <v>1.0923276031173099</v>
      </c>
    </row>
    <row r="11127" spans="1:2" ht="13.2" x14ac:dyDescent="0.25">
      <c r="A11127" s="34" t="s">
        <v>1079</v>
      </c>
      <c r="B11127" s="35">
        <v>1.09187388123601</v>
      </c>
    </row>
    <row r="11128" spans="1:2" ht="13.2" x14ac:dyDescent="0.25">
      <c r="A11128" s="34" t="s">
        <v>1078</v>
      </c>
    </row>
    <row r="11129" spans="1:2" ht="13.2" x14ac:dyDescent="0.25">
      <c r="A11129" s="34" t="s">
        <v>1077</v>
      </c>
    </row>
    <row r="11130" spans="1:2" ht="13.2" x14ac:dyDescent="0.25">
      <c r="A11130" s="34" t="s">
        <v>1076</v>
      </c>
      <c r="B11130" s="35">
        <v>1.0944988281397601</v>
      </c>
    </row>
    <row r="11131" spans="1:2" ht="13.2" x14ac:dyDescent="0.25">
      <c r="A11131" s="34" t="s">
        <v>1075</v>
      </c>
      <c r="B11131" s="35">
        <v>1.16291339604888</v>
      </c>
    </row>
    <row r="11132" spans="1:2" ht="13.2" x14ac:dyDescent="0.25">
      <c r="A11132" s="34" t="s">
        <v>1074</v>
      </c>
    </row>
    <row r="11133" spans="1:2" ht="13.2" x14ac:dyDescent="0.25">
      <c r="A11133" s="34" t="s">
        <v>1073</v>
      </c>
      <c r="B11133" s="35">
        <v>1.1705201359666699</v>
      </c>
    </row>
    <row r="11134" spans="1:2" ht="13.2" x14ac:dyDescent="0.25">
      <c r="A11134" s="34" t="s">
        <v>1072</v>
      </c>
      <c r="B11134" s="35">
        <v>1.15397212281158</v>
      </c>
    </row>
    <row r="11135" spans="1:2" ht="13.2" x14ac:dyDescent="0.25">
      <c r="A11135" s="34" t="s">
        <v>1071</v>
      </c>
    </row>
    <row r="11136" spans="1:2" ht="13.2" x14ac:dyDescent="0.25">
      <c r="A11136" s="34" t="s">
        <v>1070</v>
      </c>
    </row>
    <row r="11137" spans="1:2" ht="13.2" x14ac:dyDescent="0.25">
      <c r="A11137" s="34" t="s">
        <v>1069</v>
      </c>
      <c r="B11137" s="35">
        <v>1.0650446034707799</v>
      </c>
    </row>
    <row r="11138" spans="1:2" ht="13.2" x14ac:dyDescent="0.25">
      <c r="A11138" s="34" t="s">
        <v>1068</v>
      </c>
      <c r="B11138" s="35">
        <v>1.0759278281546001</v>
      </c>
    </row>
    <row r="11139" spans="1:2" ht="13.2" x14ac:dyDescent="0.25">
      <c r="A11139" s="34" t="s">
        <v>1067</v>
      </c>
      <c r="B11139" s="35">
        <v>1.0404092685240101</v>
      </c>
    </row>
    <row r="11140" spans="1:2" ht="13.2" x14ac:dyDescent="0.25">
      <c r="A11140" s="34" t="s">
        <v>1066</v>
      </c>
      <c r="B11140" s="35">
        <v>1.0227904546825299</v>
      </c>
    </row>
    <row r="11141" spans="1:2" ht="13.2" x14ac:dyDescent="0.25">
      <c r="A11141" s="34" t="s">
        <v>1065</v>
      </c>
      <c r="B11141" s="35">
        <v>1.0621874311900401</v>
      </c>
    </row>
    <row r="11142" spans="1:2" ht="13.2" x14ac:dyDescent="0.25">
      <c r="A11142" s="34" t="s">
        <v>1064</v>
      </c>
    </row>
    <row r="11143" spans="1:2" ht="13.2" x14ac:dyDescent="0.25">
      <c r="A11143" s="34" t="s">
        <v>1063</v>
      </c>
    </row>
    <row r="11144" spans="1:2" ht="13.2" x14ac:dyDescent="0.25">
      <c r="A11144" s="34" t="s">
        <v>1062</v>
      </c>
      <c r="B11144" s="35">
        <v>1.0242513787507199</v>
      </c>
    </row>
    <row r="11145" spans="1:2" ht="13.2" x14ac:dyDescent="0.25">
      <c r="A11145" s="34" t="s">
        <v>1061</v>
      </c>
      <c r="B11145" s="35">
        <v>0.98804816346205004</v>
      </c>
    </row>
    <row r="11146" spans="1:2" ht="13.2" x14ac:dyDescent="0.25">
      <c r="A11146" s="34" t="s">
        <v>1060</v>
      </c>
      <c r="B11146" s="35">
        <v>0.92318207330061597</v>
      </c>
    </row>
    <row r="11147" spans="1:2" ht="13.2" x14ac:dyDescent="0.25">
      <c r="A11147" s="34" t="s">
        <v>1059</v>
      </c>
      <c r="B11147" s="35">
        <v>0.88628631573161198</v>
      </c>
    </row>
    <row r="11148" spans="1:2" ht="13.2" x14ac:dyDescent="0.25">
      <c r="A11148" s="34" t="s">
        <v>1058</v>
      </c>
      <c r="B11148" s="35">
        <v>0.88622884721437001</v>
      </c>
    </row>
    <row r="11149" spans="1:2" ht="13.2" x14ac:dyDescent="0.25">
      <c r="A11149" s="34" t="s">
        <v>1057</v>
      </c>
    </row>
    <row r="11150" spans="1:2" ht="13.2" x14ac:dyDescent="0.25">
      <c r="A11150" s="34" t="s">
        <v>1056</v>
      </c>
    </row>
    <row r="11151" spans="1:2" ht="13.2" x14ac:dyDescent="0.25">
      <c r="A11151" s="34" t="s">
        <v>1055</v>
      </c>
      <c r="B11151" s="35">
        <v>0.91620166847303897</v>
      </c>
    </row>
    <row r="11152" spans="1:2" ht="13.2" x14ac:dyDescent="0.25">
      <c r="A11152" s="34" t="s">
        <v>1054</v>
      </c>
      <c r="B11152" s="35">
        <v>0.76715729195479798</v>
      </c>
    </row>
    <row r="11153" spans="1:2" ht="13.2" x14ac:dyDescent="0.25">
      <c r="A11153" s="34" t="s">
        <v>1053</v>
      </c>
      <c r="B11153" s="35">
        <v>0.82218535446706797</v>
      </c>
    </row>
    <row r="11154" spans="1:2" ht="13.2" x14ac:dyDescent="0.25">
      <c r="A11154" s="34" t="s">
        <v>1052</v>
      </c>
      <c r="B11154" s="35">
        <v>0.817665909153515</v>
      </c>
    </row>
    <row r="11155" spans="1:2" ht="13.2" x14ac:dyDescent="0.25">
      <c r="A11155" s="34" t="s">
        <v>1051</v>
      </c>
      <c r="B11155" s="35">
        <v>0.822035582281747</v>
      </c>
    </row>
    <row r="11156" spans="1:2" ht="13.2" x14ac:dyDescent="0.25">
      <c r="A11156" s="34" t="s">
        <v>1050</v>
      </c>
    </row>
    <row r="11157" spans="1:2" ht="13.2" x14ac:dyDescent="0.25">
      <c r="A11157" s="34" t="s">
        <v>1049</v>
      </c>
    </row>
    <row r="11158" spans="1:2" ht="13.2" x14ac:dyDescent="0.25">
      <c r="A11158" s="34" t="s">
        <v>1048</v>
      </c>
      <c r="B11158" s="35">
        <v>0.82372459310784696</v>
      </c>
    </row>
    <row r="11159" spans="1:2" ht="13.2" x14ac:dyDescent="0.25">
      <c r="A11159" s="34" t="s">
        <v>1047</v>
      </c>
      <c r="B11159" s="35">
        <v>0.80087463142882798</v>
      </c>
    </row>
    <row r="11160" spans="1:2" ht="13.2" x14ac:dyDescent="0.25">
      <c r="A11160" s="34" t="s">
        <v>1046</v>
      </c>
      <c r="B11160" s="35">
        <v>0.92265392489120102</v>
      </c>
    </row>
    <row r="11161" spans="1:2" ht="13.2" x14ac:dyDescent="0.25">
      <c r="A11161" s="34" t="s">
        <v>1045</v>
      </c>
      <c r="B11161" s="35">
        <v>0.81033744154433496</v>
      </c>
    </row>
    <row r="11162" spans="1:2" ht="13.2" x14ac:dyDescent="0.25">
      <c r="A11162" s="34" t="s">
        <v>1044</v>
      </c>
      <c r="B11162" s="35">
        <v>0.80936990737119097</v>
      </c>
    </row>
    <row r="11163" spans="1:2" ht="13.2" x14ac:dyDescent="0.25">
      <c r="A11163" s="34" t="s">
        <v>1043</v>
      </c>
    </row>
    <row r="11164" spans="1:2" ht="13.2" x14ac:dyDescent="0.25">
      <c r="A11164" s="34" t="s">
        <v>1042</v>
      </c>
    </row>
    <row r="11165" spans="1:2" ht="13.2" x14ac:dyDescent="0.25">
      <c r="A11165" s="34" t="s">
        <v>1041</v>
      </c>
      <c r="B11165" s="35">
        <v>0.81502348676644698</v>
      </c>
    </row>
    <row r="11166" spans="1:2" ht="13.2" x14ac:dyDescent="0.25">
      <c r="A11166" s="34" t="s">
        <v>1040</v>
      </c>
      <c r="B11166" s="35">
        <v>0.80787920967678895</v>
      </c>
    </row>
    <row r="11167" spans="1:2" ht="13.2" x14ac:dyDescent="0.25">
      <c r="A11167" s="34" t="s">
        <v>1039</v>
      </c>
      <c r="B11167" s="35">
        <v>0.82778970020692799</v>
      </c>
    </row>
    <row r="11168" spans="1:2" ht="13.2" x14ac:dyDescent="0.25">
      <c r="A11168" s="34" t="s">
        <v>1038</v>
      </c>
      <c r="B11168" s="35">
        <v>0.84823642757919704</v>
      </c>
    </row>
    <row r="11169" spans="1:2" ht="13.2" x14ac:dyDescent="0.25">
      <c r="A11169" s="34" t="s">
        <v>1037</v>
      </c>
      <c r="B11169" s="35">
        <v>0.84826898309000498</v>
      </c>
    </row>
    <row r="11170" spans="1:2" ht="13.2" x14ac:dyDescent="0.25">
      <c r="A11170" s="34" t="s">
        <v>1036</v>
      </c>
    </row>
    <row r="11171" spans="1:2" ht="13.2" x14ac:dyDescent="0.25">
      <c r="A11171" s="34" t="s">
        <v>1035</v>
      </c>
    </row>
    <row r="11172" spans="1:2" ht="13.2" x14ac:dyDescent="0.25">
      <c r="A11172" s="34" t="s">
        <v>1034</v>
      </c>
    </row>
    <row r="11173" spans="1:2" ht="13.2" x14ac:dyDescent="0.25">
      <c r="A11173" s="34" t="s">
        <v>1033</v>
      </c>
      <c r="B11173" s="35">
        <v>0.81637558689409795</v>
      </c>
    </row>
    <row r="11174" spans="1:2" ht="13.2" x14ac:dyDescent="0.25">
      <c r="A11174" s="34" t="s">
        <v>1032</v>
      </c>
      <c r="B11174" s="35">
        <v>0.81637758791162196</v>
      </c>
    </row>
    <row r="11175" spans="1:2" ht="13.2" x14ac:dyDescent="0.25">
      <c r="A11175" s="34" t="s">
        <v>1031</v>
      </c>
      <c r="B11175" s="35">
        <v>0.814701806874363</v>
      </c>
    </row>
    <row r="11176" spans="1:2" ht="13.2" x14ac:dyDescent="0.25">
      <c r="A11176" s="34" t="s">
        <v>1030</v>
      </c>
    </row>
    <row r="11177" spans="1:2" ht="13.2" x14ac:dyDescent="0.25">
      <c r="A11177" s="34" t="s">
        <v>1029</v>
      </c>
    </row>
    <row r="11178" spans="1:2" ht="13.2" x14ac:dyDescent="0.25">
      <c r="A11178" s="34" t="s">
        <v>1028</v>
      </c>
    </row>
    <row r="11179" spans="1:2" ht="13.2" x14ac:dyDescent="0.25">
      <c r="A11179" s="34" t="s">
        <v>1027</v>
      </c>
    </row>
    <row r="11180" spans="1:2" ht="13.2" x14ac:dyDescent="0.25">
      <c r="A11180" s="34" t="s">
        <v>1026</v>
      </c>
      <c r="B11180" s="35">
        <v>0.86023919965696405</v>
      </c>
    </row>
    <row r="11181" spans="1:2" ht="13.2" x14ac:dyDescent="0.25">
      <c r="A11181" s="34" t="s">
        <v>1025</v>
      </c>
      <c r="B11181" s="35">
        <v>0.84421707351252595</v>
      </c>
    </row>
    <row r="11182" spans="1:2" ht="13.2" x14ac:dyDescent="0.25">
      <c r="A11182" s="34" t="s">
        <v>1024</v>
      </c>
      <c r="B11182" s="35">
        <v>0.89297799113762399</v>
      </c>
    </row>
    <row r="11183" spans="1:2" ht="13.2" x14ac:dyDescent="0.25">
      <c r="A11183" s="34" t="s">
        <v>1023</v>
      </c>
      <c r="B11183" s="35">
        <v>0.85952748951497304</v>
      </c>
    </row>
    <row r="11184" spans="1:2" ht="13.2" x14ac:dyDescent="0.25">
      <c r="A11184" s="34" t="s">
        <v>1022</v>
      </c>
    </row>
    <row r="11185" spans="1:2" ht="13.2" x14ac:dyDescent="0.25">
      <c r="A11185" s="34" t="s">
        <v>1021</v>
      </c>
    </row>
    <row r="11186" spans="1:2" ht="13.2" x14ac:dyDescent="0.25">
      <c r="A11186" s="34" t="s">
        <v>1020</v>
      </c>
      <c r="B11186" s="35">
        <v>0.85945740257415504</v>
      </c>
    </row>
    <row r="11187" spans="1:2" ht="13.2" x14ac:dyDescent="0.25">
      <c r="A11187" s="34" t="s">
        <v>1019</v>
      </c>
      <c r="B11187" s="35">
        <v>0.84213669761580701</v>
      </c>
    </row>
    <row r="11188" spans="1:2" ht="13.2" x14ac:dyDescent="0.25">
      <c r="A11188" s="34" t="s">
        <v>1018</v>
      </c>
      <c r="B11188" s="35">
        <v>0.85459885870113605</v>
      </c>
    </row>
    <row r="11189" spans="1:2" ht="13.2" x14ac:dyDescent="0.25">
      <c r="A11189" s="34" t="s">
        <v>1017</v>
      </c>
      <c r="B11189" s="35">
        <v>0.842799441883611</v>
      </c>
    </row>
    <row r="11190" spans="1:2" ht="13.2" x14ac:dyDescent="0.25">
      <c r="A11190" s="34" t="s">
        <v>1016</v>
      </c>
      <c r="B11190" s="35">
        <v>0.84086942076924698</v>
      </c>
    </row>
    <row r="11191" spans="1:2" ht="13.2" x14ac:dyDescent="0.25">
      <c r="A11191" s="34" t="s">
        <v>1015</v>
      </c>
    </row>
    <row r="11192" spans="1:2" ht="13.2" x14ac:dyDescent="0.25">
      <c r="A11192" s="34" t="s">
        <v>1014</v>
      </c>
    </row>
    <row r="11193" spans="1:2" ht="13.2" x14ac:dyDescent="0.25">
      <c r="A11193" s="34" t="s">
        <v>1013</v>
      </c>
      <c r="B11193" s="35">
        <v>0.83267059237649299</v>
      </c>
    </row>
    <row r="11194" spans="1:2" ht="13.2" x14ac:dyDescent="0.25">
      <c r="A11194" s="34" t="s">
        <v>1012</v>
      </c>
      <c r="B11194" s="35">
        <v>0.768232188450375</v>
      </c>
    </row>
    <row r="11195" spans="1:2" ht="13.2" x14ac:dyDescent="0.25">
      <c r="A11195" s="34" t="s">
        <v>1011</v>
      </c>
      <c r="B11195" s="35">
        <v>0.73789384482291698</v>
      </c>
    </row>
    <row r="11196" spans="1:2" ht="13.2" x14ac:dyDescent="0.25">
      <c r="A11196" s="34" t="s">
        <v>1010</v>
      </c>
      <c r="B11196" s="35">
        <v>0.75667163957268302</v>
      </c>
    </row>
    <row r="11197" spans="1:2" ht="13.2" x14ac:dyDescent="0.25">
      <c r="A11197" s="34" t="s">
        <v>1009</v>
      </c>
      <c r="B11197" s="35">
        <v>0.74003860399507304</v>
      </c>
    </row>
    <row r="11198" spans="1:2" ht="13.2" x14ac:dyDescent="0.25">
      <c r="A11198" s="34" t="s">
        <v>1008</v>
      </c>
    </row>
    <row r="11199" spans="1:2" ht="13.2" x14ac:dyDescent="0.25">
      <c r="A11199" s="34" t="s">
        <v>1007</v>
      </c>
    </row>
    <row r="11200" spans="1:2" ht="13.2" x14ac:dyDescent="0.25">
      <c r="A11200" s="34" t="s">
        <v>1006</v>
      </c>
      <c r="B11200" s="35">
        <v>0.73576133867016003</v>
      </c>
    </row>
    <row r="11201" spans="1:2" ht="13.2" x14ac:dyDescent="0.25">
      <c r="A11201" s="34" t="s">
        <v>1005</v>
      </c>
      <c r="B11201" s="35">
        <v>0.79034477048470897</v>
      </c>
    </row>
    <row r="11202" spans="1:2" ht="13.2" x14ac:dyDescent="0.25">
      <c r="A11202" s="34" t="s">
        <v>1004</v>
      </c>
      <c r="B11202" s="35">
        <v>0.74707975301625995</v>
      </c>
    </row>
    <row r="11203" spans="1:2" ht="13.2" x14ac:dyDescent="0.25">
      <c r="A11203" s="34" t="s">
        <v>1003</v>
      </c>
      <c r="B11203" s="35">
        <v>0.74168769533682499</v>
      </c>
    </row>
    <row r="11204" spans="1:2" ht="13.2" x14ac:dyDescent="0.25">
      <c r="A11204" s="34" t="s">
        <v>1002</v>
      </c>
      <c r="B11204" s="35">
        <v>0.74349382446265799</v>
      </c>
    </row>
    <row r="11205" spans="1:2" ht="13.2" x14ac:dyDescent="0.25">
      <c r="A11205" s="34" t="s">
        <v>1001</v>
      </c>
    </row>
    <row r="11206" spans="1:2" ht="13.2" x14ac:dyDescent="0.25">
      <c r="A11206" s="34" t="s">
        <v>1000</v>
      </c>
    </row>
    <row r="11207" spans="1:2" ht="13.2" x14ac:dyDescent="0.25">
      <c r="A11207" s="34" t="s">
        <v>999</v>
      </c>
      <c r="B11207" s="35">
        <v>0.72883298681152697</v>
      </c>
    </row>
    <row r="11208" spans="1:2" ht="13.2" x14ac:dyDescent="0.25">
      <c r="A11208" s="34" t="s">
        <v>998</v>
      </c>
      <c r="B11208" s="35">
        <v>0.74085299291937801</v>
      </c>
    </row>
    <row r="11209" spans="1:2" ht="13.2" x14ac:dyDescent="0.25">
      <c r="A11209" s="34" t="s">
        <v>997</v>
      </c>
      <c r="B11209" s="35">
        <v>0.72123296992986297</v>
      </c>
    </row>
    <row r="11210" spans="1:2" ht="13.2" x14ac:dyDescent="0.25">
      <c r="A11210" s="34" t="s">
        <v>996</v>
      </c>
      <c r="B11210" s="35">
        <v>0.73738799831808899</v>
      </c>
    </row>
    <row r="11211" spans="1:2" ht="13.2" x14ac:dyDescent="0.25">
      <c r="A11211" s="34" t="s">
        <v>995</v>
      </c>
      <c r="B11211" s="35">
        <v>0.72409290248383296</v>
      </c>
    </row>
    <row r="11212" spans="1:2" ht="13.2" x14ac:dyDescent="0.25">
      <c r="A11212" s="34" t="s">
        <v>994</v>
      </c>
    </row>
    <row r="11213" spans="1:2" ht="13.2" x14ac:dyDescent="0.25">
      <c r="A11213" s="34" t="s">
        <v>993</v>
      </c>
    </row>
    <row r="11214" spans="1:2" ht="13.2" x14ac:dyDescent="0.25">
      <c r="A11214" s="34" t="s">
        <v>992</v>
      </c>
      <c r="B11214" s="35">
        <v>0.71188207663787295</v>
      </c>
    </row>
    <row r="11215" spans="1:2" ht="13.2" x14ac:dyDescent="0.25">
      <c r="A11215" s="34" t="s">
        <v>991</v>
      </c>
      <c r="B11215" s="35">
        <v>0.87391070979018903</v>
      </c>
    </row>
    <row r="11216" spans="1:2" ht="13.2" x14ac:dyDescent="0.25">
      <c r="A11216" s="34" t="s">
        <v>990</v>
      </c>
      <c r="B11216" s="35">
        <v>0.86965198162714896</v>
      </c>
    </row>
    <row r="11217" spans="1:2" ht="13.2" x14ac:dyDescent="0.25">
      <c r="A11217" s="34" t="s">
        <v>989</v>
      </c>
      <c r="B11217" s="35">
        <v>0.89374989339927902</v>
      </c>
    </row>
    <row r="11218" spans="1:2" ht="13.2" x14ac:dyDescent="0.25">
      <c r="A11218" s="34" t="s">
        <v>988</v>
      </c>
      <c r="B11218" s="35">
        <v>0.89375630084977897</v>
      </c>
    </row>
    <row r="11219" spans="1:2" ht="13.2" x14ac:dyDescent="0.25">
      <c r="A11219" s="34" t="s">
        <v>987</v>
      </c>
    </row>
    <row r="11220" spans="1:2" ht="13.2" x14ac:dyDescent="0.25">
      <c r="A11220" s="34" t="s">
        <v>986</v>
      </c>
    </row>
    <row r="11221" spans="1:2" ht="13.2" x14ac:dyDescent="0.25">
      <c r="A11221" s="34" t="s">
        <v>985</v>
      </c>
    </row>
    <row r="11222" spans="1:2" ht="13.2" x14ac:dyDescent="0.25">
      <c r="A11222" s="34" t="s">
        <v>984</v>
      </c>
    </row>
    <row r="11223" spans="1:2" ht="13.2" x14ac:dyDescent="0.25">
      <c r="A11223" s="34" t="s">
        <v>983</v>
      </c>
      <c r="B11223" s="35">
        <v>0.90217748011689503</v>
      </c>
    </row>
    <row r="11224" spans="1:2" ht="13.2" x14ac:dyDescent="0.25">
      <c r="A11224" s="34" t="s">
        <v>982</v>
      </c>
      <c r="B11224" s="35">
        <v>0.90977550058418599</v>
      </c>
    </row>
    <row r="11225" spans="1:2" ht="13.2" x14ac:dyDescent="0.25">
      <c r="A11225" s="34" t="s">
        <v>981</v>
      </c>
      <c r="B11225" s="35">
        <v>0.85253231538928897</v>
      </c>
    </row>
    <row r="11226" spans="1:2" ht="13.2" x14ac:dyDescent="0.25">
      <c r="A11226" s="34" t="s">
        <v>980</v>
      </c>
    </row>
    <row r="11227" spans="1:2" ht="13.2" x14ac:dyDescent="0.25">
      <c r="A11227" s="34" t="s">
        <v>979</v>
      </c>
    </row>
    <row r="11228" spans="1:2" ht="13.2" x14ac:dyDescent="0.25">
      <c r="A11228" s="34" t="s">
        <v>978</v>
      </c>
      <c r="B11228" s="35">
        <v>0.84377106610125996</v>
      </c>
    </row>
    <row r="11229" spans="1:2" ht="13.2" x14ac:dyDescent="0.25">
      <c r="A11229" s="34" t="s">
        <v>977</v>
      </c>
      <c r="B11229" s="35">
        <v>0.82528969581216705</v>
      </c>
    </row>
    <row r="11230" spans="1:2" ht="13.2" x14ac:dyDescent="0.25">
      <c r="A11230" s="34" t="s">
        <v>976</v>
      </c>
      <c r="B11230" s="35">
        <v>0.824527544508734</v>
      </c>
    </row>
    <row r="11231" spans="1:2" ht="13.2" x14ac:dyDescent="0.25">
      <c r="A11231" s="34" t="s">
        <v>975</v>
      </c>
      <c r="B11231" s="35">
        <v>0.79822810398027</v>
      </c>
    </row>
    <row r="11232" spans="1:2" ht="13.2" x14ac:dyDescent="0.25">
      <c r="A11232" s="34" t="s">
        <v>974</v>
      </c>
      <c r="B11232" s="35">
        <v>0.76776649427671695</v>
      </c>
    </row>
    <row r="11233" spans="1:2" ht="13.2" x14ac:dyDescent="0.25">
      <c r="A11233" s="34" t="s">
        <v>973</v>
      </c>
    </row>
    <row r="11234" spans="1:2" ht="13.2" x14ac:dyDescent="0.25">
      <c r="A11234" s="34" t="s">
        <v>972</v>
      </c>
    </row>
    <row r="11235" spans="1:2" ht="13.2" x14ac:dyDescent="0.25">
      <c r="A11235" s="34" t="s">
        <v>971</v>
      </c>
      <c r="B11235" s="35">
        <v>0.76272133083008398</v>
      </c>
    </row>
    <row r="11236" spans="1:2" ht="13.2" x14ac:dyDescent="0.25">
      <c r="A11236" s="34" t="s">
        <v>970</v>
      </c>
      <c r="B11236" s="35">
        <v>0.83175746659913496</v>
      </c>
    </row>
    <row r="11237" spans="1:2" ht="13.2" x14ac:dyDescent="0.25">
      <c r="A11237" s="34" t="s">
        <v>969</v>
      </c>
      <c r="B11237" s="35">
        <v>0.86987236632929799</v>
      </c>
    </row>
    <row r="11238" spans="1:2" ht="13.2" x14ac:dyDescent="0.25">
      <c r="A11238" s="34" t="s">
        <v>968</v>
      </c>
      <c r="B11238" s="35">
        <v>0.88890783939266405</v>
      </c>
    </row>
    <row r="11239" spans="1:2" ht="13.2" x14ac:dyDescent="0.25">
      <c r="A11239" s="34" t="s">
        <v>967</v>
      </c>
      <c r="B11239" s="35">
        <v>0.86586041558425697</v>
      </c>
    </row>
    <row r="11240" spans="1:2" ht="13.2" x14ac:dyDescent="0.25">
      <c r="A11240" s="34" t="s">
        <v>966</v>
      </c>
    </row>
    <row r="11241" spans="1:2" ht="13.2" x14ac:dyDescent="0.25">
      <c r="A11241" s="34" t="s">
        <v>965</v>
      </c>
    </row>
    <row r="11242" spans="1:2" ht="13.2" x14ac:dyDescent="0.25">
      <c r="A11242" s="34" t="s">
        <v>964</v>
      </c>
      <c r="B11242" s="35">
        <v>0.87820823338598097</v>
      </c>
    </row>
    <row r="11243" spans="1:2" ht="13.2" x14ac:dyDescent="0.25">
      <c r="A11243" s="34" t="s">
        <v>963</v>
      </c>
      <c r="B11243" s="35">
        <v>0.87014266060755996</v>
      </c>
    </row>
    <row r="11244" spans="1:2" ht="13.2" x14ac:dyDescent="0.25">
      <c r="A11244" s="34" t="s">
        <v>962</v>
      </c>
      <c r="B11244" s="35">
        <v>0.848815035157093</v>
      </c>
    </row>
    <row r="11245" spans="1:2" ht="13.2" x14ac:dyDescent="0.25">
      <c r="A11245" s="34" t="s">
        <v>961</v>
      </c>
      <c r="B11245" s="35">
        <v>0.85314216205478899</v>
      </c>
    </row>
    <row r="11246" spans="1:2" ht="13.2" x14ac:dyDescent="0.25">
      <c r="A11246" s="34" t="s">
        <v>960</v>
      </c>
      <c r="B11246" s="35">
        <v>0.72284803068507497</v>
      </c>
    </row>
    <row r="11247" spans="1:2" ht="13.2" x14ac:dyDescent="0.25">
      <c r="A11247" s="34" t="s">
        <v>959</v>
      </c>
    </row>
    <row r="11248" spans="1:2" ht="13.2" x14ac:dyDescent="0.25">
      <c r="A11248" s="34" t="s">
        <v>958</v>
      </c>
    </row>
    <row r="11249" spans="1:2" ht="13.2" x14ac:dyDescent="0.25">
      <c r="A11249" s="34" t="s">
        <v>957</v>
      </c>
      <c r="B11249" s="35">
        <v>0.727716701410836</v>
      </c>
    </row>
    <row r="11250" spans="1:2" ht="13.2" x14ac:dyDescent="0.25">
      <c r="A11250" s="34" t="s">
        <v>956</v>
      </c>
      <c r="B11250" s="35">
        <v>0.75008069658266296</v>
      </c>
    </row>
    <row r="11251" spans="1:2" ht="13.2" x14ac:dyDescent="0.25">
      <c r="A11251" s="34" t="s">
        <v>955</v>
      </c>
      <c r="B11251" s="35">
        <v>0.75195945097503003</v>
      </c>
    </row>
    <row r="11252" spans="1:2" ht="13.2" x14ac:dyDescent="0.25">
      <c r="A11252" s="34" t="s">
        <v>954</v>
      </c>
      <c r="B11252" s="35">
        <v>0.73252594157127504</v>
      </c>
    </row>
    <row r="11253" spans="1:2" ht="13.2" x14ac:dyDescent="0.25">
      <c r="A11253" s="34" t="s">
        <v>953</v>
      </c>
      <c r="B11253" s="35">
        <v>0.73779164875976</v>
      </c>
    </row>
    <row r="11254" spans="1:2" ht="13.2" x14ac:dyDescent="0.25">
      <c r="A11254" s="34" t="s">
        <v>952</v>
      </c>
    </row>
    <row r="11255" spans="1:2" ht="13.2" x14ac:dyDescent="0.25">
      <c r="A11255" s="34" t="s">
        <v>951</v>
      </c>
    </row>
    <row r="11256" spans="1:2" ht="13.2" x14ac:dyDescent="0.25">
      <c r="A11256" s="34" t="s">
        <v>950</v>
      </c>
      <c r="B11256" s="35">
        <v>0.71901364871811102</v>
      </c>
    </row>
    <row r="11257" spans="1:2" ht="13.2" x14ac:dyDescent="0.25">
      <c r="A11257" s="34" t="s">
        <v>949</v>
      </c>
      <c r="B11257" s="35">
        <v>0.72497391397802102</v>
      </c>
    </row>
    <row r="11258" spans="1:2" ht="13.2" x14ac:dyDescent="0.25">
      <c r="A11258" s="34" t="s">
        <v>948</v>
      </c>
      <c r="B11258" s="35">
        <v>0.76303930559342104</v>
      </c>
    </row>
    <row r="11259" spans="1:2" ht="13.2" x14ac:dyDescent="0.25">
      <c r="A11259" s="34" t="s">
        <v>947</v>
      </c>
      <c r="B11259" s="35">
        <v>0.77839646005073304</v>
      </c>
    </row>
    <row r="11260" spans="1:2" ht="13.2" x14ac:dyDescent="0.25">
      <c r="A11260" s="34" t="s">
        <v>946</v>
      </c>
      <c r="B11260" s="35">
        <v>0.79631305844455702</v>
      </c>
    </row>
    <row r="11261" spans="1:2" ht="13.2" x14ac:dyDescent="0.25">
      <c r="A11261" s="34" t="s">
        <v>945</v>
      </c>
    </row>
    <row r="11262" spans="1:2" ht="13.2" x14ac:dyDescent="0.25">
      <c r="A11262" s="34" t="s">
        <v>944</v>
      </c>
    </row>
    <row r="11263" spans="1:2" ht="13.2" x14ac:dyDescent="0.25">
      <c r="A11263" s="34" t="s">
        <v>943</v>
      </c>
      <c r="B11263" s="35">
        <v>0.78756005806400298</v>
      </c>
    </row>
    <row r="11264" spans="1:2" ht="13.2" x14ac:dyDescent="0.25">
      <c r="A11264" s="34" t="s">
        <v>942</v>
      </c>
      <c r="B11264" s="35">
        <v>0.78572987526515503</v>
      </c>
    </row>
    <row r="11265" spans="1:2" ht="13.2" x14ac:dyDescent="0.25">
      <c r="A11265" s="34" t="s">
        <v>941</v>
      </c>
      <c r="B11265" s="35">
        <v>0.70716593014358697</v>
      </c>
    </row>
    <row r="11266" spans="1:2" ht="13.2" x14ac:dyDescent="0.25">
      <c r="A11266" s="34" t="s">
        <v>940</v>
      </c>
      <c r="B11266" s="35">
        <v>0.67330436117070402</v>
      </c>
    </row>
    <row r="11267" spans="1:2" ht="13.2" x14ac:dyDescent="0.25">
      <c r="A11267" s="34" t="s">
        <v>939</v>
      </c>
    </row>
    <row r="11268" spans="1:2" ht="13.2" x14ac:dyDescent="0.25">
      <c r="A11268" s="34" t="s">
        <v>938</v>
      </c>
    </row>
    <row r="11269" spans="1:2" ht="13.2" x14ac:dyDescent="0.25">
      <c r="A11269" s="34" t="s">
        <v>937</v>
      </c>
    </row>
    <row r="11270" spans="1:2" ht="13.2" x14ac:dyDescent="0.25">
      <c r="A11270" s="34" t="s">
        <v>936</v>
      </c>
      <c r="B11270" s="35">
        <v>0.67325141181431902</v>
      </c>
    </row>
    <row r="11271" spans="1:2" ht="13.2" x14ac:dyDescent="0.25">
      <c r="A11271" s="34" t="s">
        <v>935</v>
      </c>
      <c r="B11271" s="35">
        <v>0.68138816011013104</v>
      </c>
    </row>
    <row r="11272" spans="1:2" ht="13.2" x14ac:dyDescent="0.25">
      <c r="A11272" s="34" t="s">
        <v>934</v>
      </c>
      <c r="B11272" s="35">
        <v>0.668597594035517</v>
      </c>
    </row>
    <row r="11273" spans="1:2" ht="13.2" x14ac:dyDescent="0.25">
      <c r="A11273" s="34" t="s">
        <v>933</v>
      </c>
      <c r="B11273" s="35">
        <v>0.66818404397265296</v>
      </c>
    </row>
    <row r="11274" spans="1:2" ht="13.2" x14ac:dyDescent="0.25">
      <c r="A11274" s="34" t="s">
        <v>932</v>
      </c>
      <c r="B11274" s="35">
        <v>0.65888870856954196</v>
      </c>
    </row>
    <row r="11275" spans="1:2" ht="13.2" x14ac:dyDescent="0.25">
      <c r="A11275" s="34" t="s">
        <v>931</v>
      </c>
    </row>
    <row r="11276" spans="1:2" ht="13.2" x14ac:dyDescent="0.25">
      <c r="A11276" s="34" t="s">
        <v>930</v>
      </c>
    </row>
    <row r="11277" spans="1:2" ht="13.2" x14ac:dyDescent="0.25">
      <c r="A11277" s="34" t="s">
        <v>929</v>
      </c>
      <c r="B11277" s="35">
        <v>0.74907631603467595</v>
      </c>
    </row>
    <row r="11278" spans="1:2" ht="13.2" x14ac:dyDescent="0.25">
      <c r="A11278" s="34" t="s">
        <v>928</v>
      </c>
      <c r="B11278" s="35">
        <v>0.72975512601484005</v>
      </c>
    </row>
    <row r="11279" spans="1:2" ht="13.2" x14ac:dyDescent="0.25">
      <c r="A11279" s="34" t="s">
        <v>927</v>
      </c>
      <c r="B11279" s="35">
        <v>0.78221879350547996</v>
      </c>
    </row>
    <row r="11280" spans="1:2" ht="13.2" x14ac:dyDescent="0.25">
      <c r="A11280" s="34" t="s">
        <v>926</v>
      </c>
      <c r="B11280" s="35">
        <v>0.74598523740612499</v>
      </c>
    </row>
    <row r="11281" spans="1:2" ht="13.2" x14ac:dyDescent="0.25">
      <c r="A11281" s="34" t="s">
        <v>925</v>
      </c>
      <c r="B11281" s="35">
        <v>0.78253305450339095</v>
      </c>
    </row>
    <row r="11282" spans="1:2" ht="13.2" x14ac:dyDescent="0.25">
      <c r="A11282" s="34" t="s">
        <v>924</v>
      </c>
      <c r="B11282" s="35">
        <v>0.78687976647841495</v>
      </c>
    </row>
    <row r="11283" spans="1:2" ht="13.2" x14ac:dyDescent="0.25">
      <c r="A11283" s="34" t="s">
        <v>923</v>
      </c>
    </row>
    <row r="11284" spans="1:2" ht="13.2" x14ac:dyDescent="0.25">
      <c r="A11284" s="34" t="s">
        <v>922</v>
      </c>
      <c r="B11284" s="35">
        <v>0.77246443404822995</v>
      </c>
    </row>
    <row r="11285" spans="1:2" ht="13.2" x14ac:dyDescent="0.25">
      <c r="A11285" s="34" t="s">
        <v>921</v>
      </c>
      <c r="B11285" s="35">
        <v>0.78549174556092805</v>
      </c>
    </row>
    <row r="11286" spans="1:2" ht="13.2" x14ac:dyDescent="0.25">
      <c r="A11286" s="34" t="s">
        <v>920</v>
      </c>
      <c r="B11286" s="35">
        <v>0.77542960301513197</v>
      </c>
    </row>
    <row r="11287" spans="1:2" ht="13.2" x14ac:dyDescent="0.25">
      <c r="A11287" s="34" t="s">
        <v>919</v>
      </c>
      <c r="B11287" s="35">
        <v>0.71053342609478798</v>
      </c>
    </row>
    <row r="11288" spans="1:2" ht="13.2" x14ac:dyDescent="0.25">
      <c r="A11288" s="34" t="s">
        <v>918</v>
      </c>
      <c r="B11288" s="35">
        <v>0.72578362916949901</v>
      </c>
    </row>
    <row r="11289" spans="1:2" ht="13.2" x14ac:dyDescent="0.25">
      <c r="A11289" s="34" t="s">
        <v>917</v>
      </c>
    </row>
    <row r="11290" spans="1:2" ht="13.2" x14ac:dyDescent="0.25">
      <c r="A11290" s="34" t="s">
        <v>916</v>
      </c>
    </row>
    <row r="11291" spans="1:2" ht="13.2" x14ac:dyDescent="0.25">
      <c r="A11291" s="34" t="s">
        <v>915</v>
      </c>
      <c r="B11291" s="35">
        <v>0.710169905742007</v>
      </c>
    </row>
    <row r="11292" spans="1:2" ht="13.2" x14ac:dyDescent="0.25">
      <c r="A11292" s="34" t="s">
        <v>914</v>
      </c>
      <c r="B11292" s="35">
        <v>0.71287657750303302</v>
      </c>
    </row>
    <row r="11293" spans="1:2" ht="13.2" x14ac:dyDescent="0.25">
      <c r="A11293" s="34" t="s">
        <v>913</v>
      </c>
      <c r="B11293" s="35">
        <v>0.715084038249167</v>
      </c>
    </row>
    <row r="11294" spans="1:2" ht="13.2" x14ac:dyDescent="0.25">
      <c r="A11294" s="34" t="s">
        <v>912</v>
      </c>
      <c r="B11294" s="35">
        <v>0.69525499972765603</v>
      </c>
    </row>
    <row r="11295" spans="1:2" ht="13.2" x14ac:dyDescent="0.25">
      <c r="A11295" s="34" t="s">
        <v>911</v>
      </c>
      <c r="B11295" s="35">
        <v>0.77483539708918303</v>
      </c>
    </row>
    <row r="11296" spans="1:2" ht="13.2" x14ac:dyDescent="0.25">
      <c r="A11296" s="34" t="s">
        <v>910</v>
      </c>
    </row>
    <row r="11297" spans="1:2" ht="13.2" x14ac:dyDescent="0.25">
      <c r="A11297" s="34" t="s">
        <v>909</v>
      </c>
    </row>
    <row r="11298" spans="1:2" ht="13.2" x14ac:dyDescent="0.25">
      <c r="A11298" s="34" t="s">
        <v>908</v>
      </c>
      <c r="B11298" s="35">
        <v>0.765987198057128</v>
      </c>
    </row>
    <row r="11299" spans="1:2" ht="13.2" x14ac:dyDescent="0.25">
      <c r="A11299" s="34" t="s">
        <v>907</v>
      </c>
      <c r="B11299" s="35">
        <v>0.79808961084470897</v>
      </c>
    </row>
    <row r="11300" spans="1:2" ht="13.2" x14ac:dyDescent="0.25">
      <c r="A11300" s="34" t="s">
        <v>906</v>
      </c>
      <c r="B11300" s="35">
        <v>0.827048313967503</v>
      </c>
    </row>
    <row r="11301" spans="1:2" ht="13.2" x14ac:dyDescent="0.25">
      <c r="A11301" s="34" t="s">
        <v>905</v>
      </c>
      <c r="B11301" s="35">
        <v>0.82677369906376896</v>
      </c>
    </row>
    <row r="11302" spans="1:2" ht="13.2" x14ac:dyDescent="0.25">
      <c r="A11302" s="34" t="s">
        <v>904</v>
      </c>
      <c r="B11302" s="35">
        <v>0.85198566183484503</v>
      </c>
    </row>
    <row r="11303" spans="1:2" ht="13.2" x14ac:dyDescent="0.25">
      <c r="A11303" s="34" t="s">
        <v>903</v>
      </c>
    </row>
    <row r="11304" spans="1:2" ht="13.2" x14ac:dyDescent="0.25">
      <c r="A11304" s="34" t="s">
        <v>902</v>
      </c>
    </row>
    <row r="11305" spans="1:2" ht="13.2" x14ac:dyDescent="0.25">
      <c r="A11305" s="34" t="s">
        <v>901</v>
      </c>
      <c r="B11305" s="35">
        <v>0.77452776152259895</v>
      </c>
    </row>
    <row r="11306" spans="1:2" ht="13.2" x14ac:dyDescent="0.25">
      <c r="A11306" s="34" t="s">
        <v>900</v>
      </c>
      <c r="B11306" s="35">
        <v>0.76436461705862702</v>
      </c>
    </row>
    <row r="11307" spans="1:2" ht="13.2" x14ac:dyDescent="0.25">
      <c r="A11307" s="34" t="s">
        <v>899</v>
      </c>
      <c r="B11307" s="35">
        <v>0.69487389764819696</v>
      </c>
    </row>
    <row r="11308" spans="1:2" ht="13.2" x14ac:dyDescent="0.25">
      <c r="A11308" s="34" t="s">
        <v>898</v>
      </c>
      <c r="B11308" s="35">
        <v>0.72246253218393897</v>
      </c>
    </row>
    <row r="11309" spans="1:2" ht="13.2" x14ac:dyDescent="0.25">
      <c r="A11309" s="34" t="s">
        <v>897</v>
      </c>
      <c r="B11309" s="35">
        <v>0.68107586586694702</v>
      </c>
    </row>
    <row r="11310" spans="1:2" ht="13.2" x14ac:dyDescent="0.25">
      <c r="A11310" s="34" t="s">
        <v>896</v>
      </c>
    </row>
    <row r="11311" spans="1:2" ht="13.2" x14ac:dyDescent="0.25">
      <c r="A11311" s="34" t="s">
        <v>895</v>
      </c>
    </row>
    <row r="11312" spans="1:2" ht="13.2" x14ac:dyDescent="0.25">
      <c r="A11312" s="34" t="s">
        <v>894</v>
      </c>
      <c r="B11312" s="35">
        <v>0.67355084249253805</v>
      </c>
    </row>
    <row r="11313" spans="1:2" ht="13.2" x14ac:dyDescent="0.25">
      <c r="A11313" s="34" t="s">
        <v>893</v>
      </c>
      <c r="B11313" s="35">
        <v>0.67412575370804095</v>
      </c>
    </row>
    <row r="11314" spans="1:2" ht="13.2" x14ac:dyDescent="0.25">
      <c r="A11314" s="34" t="s">
        <v>892</v>
      </c>
      <c r="B11314" s="35">
        <v>0.65434847252542006</v>
      </c>
    </row>
    <row r="11315" spans="1:2" ht="13.2" x14ac:dyDescent="0.25">
      <c r="A11315" s="34" t="s">
        <v>891</v>
      </c>
      <c r="B11315" s="35">
        <v>0.65049370124691297</v>
      </c>
    </row>
    <row r="11316" spans="1:2" ht="13.2" x14ac:dyDescent="0.25">
      <c r="A11316" s="34" t="s">
        <v>890</v>
      </c>
      <c r="B11316" s="35">
        <v>0.65233832440334005</v>
      </c>
    </row>
    <row r="11317" spans="1:2" ht="13.2" x14ac:dyDescent="0.25">
      <c r="A11317" s="34" t="s">
        <v>889</v>
      </c>
    </row>
    <row r="11318" spans="1:2" ht="13.2" x14ac:dyDescent="0.25">
      <c r="A11318" s="34" t="s">
        <v>888</v>
      </c>
    </row>
    <row r="11319" spans="1:2" ht="13.2" x14ac:dyDescent="0.25">
      <c r="A11319" s="34" t="s">
        <v>887</v>
      </c>
      <c r="B11319" s="35">
        <v>0.64485826272028202</v>
      </c>
    </row>
    <row r="11320" spans="1:2" ht="13.2" x14ac:dyDescent="0.25">
      <c r="A11320" s="34" t="s">
        <v>886</v>
      </c>
      <c r="B11320" s="35">
        <v>0.64668633520063501</v>
      </c>
    </row>
    <row r="11321" spans="1:2" ht="13.2" x14ac:dyDescent="0.25">
      <c r="A11321" s="34" t="s">
        <v>885</v>
      </c>
      <c r="B11321" s="35">
        <v>0.71698647837589502</v>
      </c>
    </row>
    <row r="11322" spans="1:2" ht="13.2" x14ac:dyDescent="0.25">
      <c r="A11322" s="34" t="s">
        <v>884</v>
      </c>
      <c r="B11322" s="35">
        <v>0.73226177878390697</v>
      </c>
    </row>
    <row r="11323" spans="1:2" ht="13.2" x14ac:dyDescent="0.25">
      <c r="A11323" s="34" t="s">
        <v>883</v>
      </c>
      <c r="B11323" s="35">
        <v>0.735873543262346</v>
      </c>
    </row>
    <row r="11324" spans="1:2" ht="13.2" x14ac:dyDescent="0.25">
      <c r="A11324" s="34" t="s">
        <v>882</v>
      </c>
    </row>
    <row r="11325" spans="1:2" ht="13.2" x14ac:dyDescent="0.25">
      <c r="A11325" s="34" t="s">
        <v>881</v>
      </c>
    </row>
    <row r="11326" spans="1:2" ht="13.2" x14ac:dyDescent="0.25">
      <c r="A11326" s="34" t="s">
        <v>880</v>
      </c>
      <c r="B11326" s="35">
        <v>0.65159280952295295</v>
      </c>
    </row>
    <row r="11327" spans="1:2" ht="13.2" x14ac:dyDescent="0.25">
      <c r="A11327" s="34" t="s">
        <v>879</v>
      </c>
      <c r="B11327" s="35">
        <v>0.63796100317106197</v>
      </c>
    </row>
    <row r="11328" spans="1:2" ht="13.2" x14ac:dyDescent="0.25">
      <c r="A11328" s="34" t="s">
        <v>878</v>
      </c>
      <c r="B11328" s="35">
        <v>0.62019443092972304</v>
      </c>
    </row>
    <row r="11329" spans="1:2" ht="13.2" x14ac:dyDescent="0.25">
      <c r="A11329" s="34" t="s">
        <v>877</v>
      </c>
    </row>
    <row r="11330" spans="1:2" ht="13.2" x14ac:dyDescent="0.25">
      <c r="A11330" s="34" t="s">
        <v>876</v>
      </c>
      <c r="B11330" s="35">
        <v>0.57393410541357803</v>
      </c>
    </row>
    <row r="11331" spans="1:2" ht="13.2" x14ac:dyDescent="0.25">
      <c r="A11331" s="34" t="s">
        <v>875</v>
      </c>
    </row>
    <row r="11332" spans="1:2" ht="13.2" x14ac:dyDescent="0.25">
      <c r="A11332" s="34" t="s">
        <v>874</v>
      </c>
    </row>
    <row r="11333" spans="1:2" ht="13.2" x14ac:dyDescent="0.25">
      <c r="A11333" s="34" t="s">
        <v>873</v>
      </c>
      <c r="B11333" s="35">
        <v>0.57315366836775095</v>
      </c>
    </row>
    <row r="11334" spans="1:2" ht="13.2" x14ac:dyDescent="0.25">
      <c r="A11334" s="34" t="s">
        <v>872</v>
      </c>
      <c r="B11334" s="35">
        <v>0.49270110412884</v>
      </c>
    </row>
    <row r="11335" spans="1:2" ht="13.2" x14ac:dyDescent="0.25">
      <c r="A11335" s="34" t="s">
        <v>871</v>
      </c>
      <c r="B11335" s="35">
        <v>0.49023966818297798</v>
      </c>
    </row>
    <row r="11336" spans="1:2" ht="13.2" x14ac:dyDescent="0.25">
      <c r="A11336" s="34" t="s">
        <v>870</v>
      </c>
      <c r="B11336" s="35">
        <v>0.560891722302027</v>
      </c>
    </row>
    <row r="11337" spans="1:2" ht="13.2" x14ac:dyDescent="0.25">
      <c r="A11337" s="34" t="s">
        <v>869</v>
      </c>
      <c r="B11337" s="35">
        <v>0.64004582250374598</v>
      </c>
    </row>
    <row r="11338" spans="1:2" ht="13.2" x14ac:dyDescent="0.25">
      <c r="A11338" s="34" t="s">
        <v>868</v>
      </c>
    </row>
    <row r="11339" spans="1:2" ht="13.2" x14ac:dyDescent="0.25">
      <c r="A11339" s="34" t="s">
        <v>867</v>
      </c>
    </row>
    <row r="11340" spans="1:2" ht="13.2" x14ac:dyDescent="0.25">
      <c r="A11340" s="34" t="s">
        <v>866</v>
      </c>
      <c r="B11340" s="35">
        <v>0.62452499105674397</v>
      </c>
    </row>
    <row r="11341" spans="1:2" ht="13.2" x14ac:dyDescent="0.25">
      <c r="A11341" s="34" t="s">
        <v>865</v>
      </c>
      <c r="B11341" s="35">
        <v>0.66014396725557201</v>
      </c>
    </row>
    <row r="11342" spans="1:2" ht="13.2" x14ac:dyDescent="0.25">
      <c r="A11342" s="34" t="s">
        <v>864</v>
      </c>
      <c r="B11342" s="35">
        <v>0.68940191481019797</v>
      </c>
    </row>
    <row r="11343" spans="1:2" ht="13.2" x14ac:dyDescent="0.25">
      <c r="A11343" s="34" t="s">
        <v>863</v>
      </c>
      <c r="B11343" s="35">
        <v>0.67578569160380098</v>
      </c>
    </row>
    <row r="11344" spans="1:2" ht="13.2" x14ac:dyDescent="0.25">
      <c r="A11344" s="34" t="s">
        <v>862</v>
      </c>
      <c r="B11344" s="35">
        <v>0.68193421468985105</v>
      </c>
    </row>
    <row r="11345" spans="1:2" ht="13.2" x14ac:dyDescent="0.25">
      <c r="A11345" s="34" t="s">
        <v>861</v>
      </c>
      <c r="B11345" s="35">
        <v>0.67167581550884103</v>
      </c>
    </row>
    <row r="11346" spans="1:2" ht="13.2" x14ac:dyDescent="0.25">
      <c r="A11346" s="34" t="s">
        <v>860</v>
      </c>
    </row>
    <row r="11347" spans="1:2" ht="13.2" x14ac:dyDescent="0.25">
      <c r="A11347" s="34" t="s">
        <v>859</v>
      </c>
      <c r="B11347" s="35">
        <v>0.67397507306258297</v>
      </c>
    </row>
    <row r="11348" spans="1:2" ht="13.2" x14ac:dyDescent="0.25">
      <c r="A11348" s="34" t="s">
        <v>858</v>
      </c>
      <c r="B11348" s="35">
        <v>0.69409306182158104</v>
      </c>
    </row>
    <row r="11349" spans="1:2" ht="13.2" x14ac:dyDescent="0.25">
      <c r="A11349" s="34" t="s">
        <v>857</v>
      </c>
      <c r="B11349" s="35">
        <v>0.71787452583987998</v>
      </c>
    </row>
    <row r="11350" spans="1:2" ht="13.2" x14ac:dyDescent="0.25">
      <c r="A11350" s="34" t="s">
        <v>856</v>
      </c>
      <c r="B11350" s="35">
        <v>0.67557497214469298</v>
      </c>
    </row>
    <row r="11351" spans="1:2" ht="13.2" x14ac:dyDescent="0.25">
      <c r="A11351" s="34" t="s">
        <v>855</v>
      </c>
      <c r="B11351" s="35">
        <v>0.69374834275666497</v>
      </c>
    </row>
    <row r="11352" spans="1:2" ht="13.2" x14ac:dyDescent="0.25">
      <c r="A11352" s="34" t="s">
        <v>854</v>
      </c>
    </row>
    <row r="11353" spans="1:2" ht="13.2" x14ac:dyDescent="0.25">
      <c r="A11353" s="34" t="s">
        <v>853</v>
      </c>
    </row>
    <row r="11354" spans="1:2" ht="13.2" x14ac:dyDescent="0.25">
      <c r="A11354" s="34" t="s">
        <v>852</v>
      </c>
      <c r="B11354" s="35">
        <v>0.73868624303470698</v>
      </c>
    </row>
    <row r="11355" spans="1:2" ht="13.2" x14ac:dyDescent="0.25">
      <c r="A11355" s="34" t="s">
        <v>851</v>
      </c>
      <c r="B11355" s="35">
        <v>0.73799366084822604</v>
      </c>
    </row>
    <row r="11356" spans="1:2" ht="13.2" x14ac:dyDescent="0.25">
      <c r="A11356" s="34" t="s">
        <v>850</v>
      </c>
      <c r="B11356" s="35">
        <v>0.73245925671387702</v>
      </c>
    </row>
    <row r="11357" spans="1:2" ht="13.2" x14ac:dyDescent="0.25">
      <c r="A11357" s="34" t="s">
        <v>849</v>
      </c>
      <c r="B11357" s="35">
        <v>0.76666015641398</v>
      </c>
    </row>
    <row r="11358" spans="1:2" ht="13.2" x14ac:dyDescent="0.25">
      <c r="A11358" s="34" t="s">
        <v>848</v>
      </c>
      <c r="B11358" s="35">
        <v>0.76122350540468797</v>
      </c>
    </row>
    <row r="11359" spans="1:2" ht="13.2" x14ac:dyDescent="0.25">
      <c r="A11359" s="34" t="s">
        <v>847</v>
      </c>
    </row>
    <row r="11360" spans="1:2" ht="13.2" x14ac:dyDescent="0.25">
      <c r="A11360" s="34" t="s">
        <v>846</v>
      </c>
    </row>
    <row r="11361" spans="1:2" ht="13.2" x14ac:dyDescent="0.25">
      <c r="A11361" s="34" t="s">
        <v>845</v>
      </c>
      <c r="B11361" s="35">
        <v>0.77101215598101902</v>
      </c>
    </row>
    <row r="11362" spans="1:2" ht="13.2" x14ac:dyDescent="0.25">
      <c r="A11362" s="34" t="s">
        <v>844</v>
      </c>
      <c r="B11362" s="35">
        <v>0.768220149848586</v>
      </c>
    </row>
    <row r="11363" spans="1:2" ht="13.2" x14ac:dyDescent="0.25">
      <c r="A11363" s="34" t="s">
        <v>843</v>
      </c>
      <c r="B11363" s="35">
        <v>0.77136471859646105</v>
      </c>
    </row>
    <row r="11364" spans="1:2" ht="13.2" x14ac:dyDescent="0.25">
      <c r="A11364" s="34" t="s">
        <v>842</v>
      </c>
      <c r="B11364" s="35">
        <v>0.73501037131826197</v>
      </c>
    </row>
    <row r="11365" spans="1:2" ht="13.2" x14ac:dyDescent="0.25">
      <c r="A11365" s="34" t="s">
        <v>841</v>
      </c>
      <c r="B11365" s="35">
        <v>0.59715630779249196</v>
      </c>
    </row>
    <row r="11366" spans="1:2" ht="13.2" x14ac:dyDescent="0.25">
      <c r="A11366" s="34" t="s">
        <v>840</v>
      </c>
    </row>
    <row r="11367" spans="1:2" ht="13.2" x14ac:dyDescent="0.25">
      <c r="A11367" s="34" t="s">
        <v>839</v>
      </c>
    </row>
    <row r="11368" spans="1:2" ht="13.2" x14ac:dyDescent="0.25">
      <c r="A11368" s="34" t="s">
        <v>838</v>
      </c>
      <c r="B11368" s="35">
        <v>0.59506606404447304</v>
      </c>
    </row>
    <row r="11369" spans="1:2" ht="13.2" x14ac:dyDescent="0.25">
      <c r="A11369" s="34" t="s">
        <v>837</v>
      </c>
      <c r="B11369" s="35">
        <v>0.58639095276466302</v>
      </c>
    </row>
    <row r="11370" spans="1:2" ht="13.2" x14ac:dyDescent="0.25">
      <c r="A11370" s="34" t="s">
        <v>836</v>
      </c>
      <c r="B11370" s="35">
        <v>0.45682950551465301</v>
      </c>
    </row>
    <row r="11371" spans="1:2" ht="13.2" x14ac:dyDescent="0.25">
      <c r="A11371" s="34" t="s">
        <v>835</v>
      </c>
      <c r="B11371" s="35">
        <v>0.45169393769913102</v>
      </c>
    </row>
    <row r="11372" spans="1:2" ht="13.2" x14ac:dyDescent="0.25">
      <c r="A11372" s="34" t="s">
        <v>834</v>
      </c>
      <c r="B11372" s="35">
        <v>0.44861708199959499</v>
      </c>
    </row>
    <row r="11373" spans="1:2" ht="13.2" x14ac:dyDescent="0.25">
      <c r="A11373" s="34" t="s">
        <v>833</v>
      </c>
    </row>
    <row r="11374" spans="1:2" ht="13.2" x14ac:dyDescent="0.25">
      <c r="A11374" s="34" t="s">
        <v>832</v>
      </c>
    </row>
    <row r="11375" spans="1:2" ht="13.2" x14ac:dyDescent="0.25">
      <c r="A11375" s="34" t="s">
        <v>831</v>
      </c>
      <c r="B11375" s="35">
        <v>0.41042200777766702</v>
      </c>
    </row>
    <row r="11376" spans="1:2" ht="13.2" x14ac:dyDescent="0.25">
      <c r="A11376" s="34" t="s">
        <v>830</v>
      </c>
      <c r="B11376" s="35">
        <v>0.41964026102551</v>
      </c>
    </row>
    <row r="11377" spans="1:2" ht="13.2" x14ac:dyDescent="0.25">
      <c r="A11377" s="34" t="s">
        <v>829</v>
      </c>
      <c r="B11377" s="35">
        <v>0.42037992834378801</v>
      </c>
    </row>
    <row r="11378" spans="1:2" ht="13.2" x14ac:dyDescent="0.25">
      <c r="A11378" s="34" t="s">
        <v>828</v>
      </c>
      <c r="B11378" s="35">
        <v>0.56937280241674504</v>
      </c>
    </row>
    <row r="11379" spans="1:2" ht="13.2" x14ac:dyDescent="0.25">
      <c r="A11379" s="34" t="s">
        <v>827</v>
      </c>
      <c r="B11379" s="35">
        <v>0.57282788265947104</v>
      </c>
    </row>
    <row r="11380" spans="1:2" ht="13.2" x14ac:dyDescent="0.25">
      <c r="A11380" s="34" t="s">
        <v>826</v>
      </c>
    </row>
    <row r="11381" spans="1:2" ht="13.2" x14ac:dyDescent="0.25">
      <c r="A11381" s="34" t="s">
        <v>825</v>
      </c>
    </row>
    <row r="11382" spans="1:2" ht="13.2" x14ac:dyDescent="0.25">
      <c r="A11382" s="34" t="s">
        <v>824</v>
      </c>
      <c r="B11382" s="35">
        <v>0.56299120639036904</v>
      </c>
    </row>
    <row r="11383" spans="1:2" ht="13.2" x14ac:dyDescent="0.25">
      <c r="A11383" s="34" t="s">
        <v>823</v>
      </c>
      <c r="B11383" s="35">
        <v>0.59294914430432299</v>
      </c>
    </row>
    <row r="11384" spans="1:2" ht="13.2" x14ac:dyDescent="0.25">
      <c r="A11384" s="34" t="s">
        <v>822</v>
      </c>
      <c r="B11384" s="35">
        <v>0.58951364180096799</v>
      </c>
    </row>
    <row r="11385" spans="1:2" ht="13.2" x14ac:dyDescent="0.25">
      <c r="A11385" s="34" t="s">
        <v>821</v>
      </c>
      <c r="B11385" s="35">
        <v>0.60007482907981002</v>
      </c>
    </row>
    <row r="11386" spans="1:2" ht="13.2" x14ac:dyDescent="0.25">
      <c r="A11386" s="34" t="s">
        <v>820</v>
      </c>
      <c r="B11386" s="35">
        <v>0.58676276118371795</v>
      </c>
    </row>
    <row r="11387" spans="1:2" ht="13.2" x14ac:dyDescent="0.25">
      <c r="A11387" s="34" t="s">
        <v>819</v>
      </c>
    </row>
    <row r="11388" spans="1:2" ht="13.2" x14ac:dyDescent="0.25">
      <c r="A11388" s="34" t="s">
        <v>818</v>
      </c>
    </row>
    <row r="11389" spans="1:2" ht="13.2" x14ac:dyDescent="0.25">
      <c r="A11389" s="34" t="s">
        <v>817</v>
      </c>
      <c r="B11389" s="35">
        <v>0.59092293258525397</v>
      </c>
    </row>
    <row r="11390" spans="1:2" ht="13.2" x14ac:dyDescent="0.25">
      <c r="A11390" s="34" t="s">
        <v>816</v>
      </c>
      <c r="B11390" s="35">
        <v>0.59970329294927405</v>
      </c>
    </row>
    <row r="11391" spans="1:2" ht="13.2" x14ac:dyDescent="0.25">
      <c r="A11391" s="34" t="s">
        <v>815</v>
      </c>
      <c r="B11391" s="35">
        <v>0.64912386606594197</v>
      </c>
    </row>
    <row r="11392" spans="1:2" ht="13.2" x14ac:dyDescent="0.25">
      <c r="A11392" s="34" t="s">
        <v>814</v>
      </c>
      <c r="B11392" s="35">
        <v>0.63779442688221299</v>
      </c>
    </row>
    <row r="11393" spans="1:2" ht="13.2" x14ac:dyDescent="0.25">
      <c r="A11393" s="34" t="s">
        <v>813</v>
      </c>
      <c r="B11393" s="35">
        <v>0.69080461816240502</v>
      </c>
    </row>
    <row r="11394" spans="1:2" ht="13.2" x14ac:dyDescent="0.25">
      <c r="A11394" s="34" t="s">
        <v>812</v>
      </c>
    </row>
    <row r="11395" spans="1:2" ht="13.2" x14ac:dyDescent="0.25">
      <c r="A11395" s="34" t="s">
        <v>811</v>
      </c>
    </row>
    <row r="11396" spans="1:2" ht="13.2" x14ac:dyDescent="0.25">
      <c r="A11396" s="34" t="s">
        <v>810</v>
      </c>
      <c r="B11396" s="35">
        <v>0.69738242906209102</v>
      </c>
    </row>
    <row r="11397" spans="1:2" ht="13.2" x14ac:dyDescent="0.25">
      <c r="A11397" s="34" t="s">
        <v>809</v>
      </c>
      <c r="B11397" s="35">
        <v>0.71879838526806805</v>
      </c>
    </row>
    <row r="11398" spans="1:2" ht="13.2" x14ac:dyDescent="0.25">
      <c r="A11398" s="34" t="s">
        <v>808</v>
      </c>
      <c r="B11398" s="35">
        <v>0.74504226841121501</v>
      </c>
    </row>
    <row r="11399" spans="1:2" ht="13.2" x14ac:dyDescent="0.25">
      <c r="A11399" s="34" t="s">
        <v>807</v>
      </c>
      <c r="B11399" s="35">
        <v>0.76942965719051204</v>
      </c>
    </row>
    <row r="11400" spans="1:2" ht="13.2" x14ac:dyDescent="0.25">
      <c r="A11400" s="34" t="s">
        <v>806</v>
      </c>
      <c r="B11400" s="35">
        <v>0.81579831542701398</v>
      </c>
    </row>
    <row r="11401" spans="1:2" ht="13.2" x14ac:dyDescent="0.25">
      <c r="A11401" s="34" t="s">
        <v>805</v>
      </c>
    </row>
    <row r="11402" spans="1:2" ht="13.2" x14ac:dyDescent="0.25">
      <c r="A11402" s="34" t="s">
        <v>804</v>
      </c>
    </row>
    <row r="11403" spans="1:2" ht="13.2" x14ac:dyDescent="0.25">
      <c r="A11403" s="34" t="s">
        <v>803</v>
      </c>
      <c r="B11403" s="35">
        <v>0.81398917180228803</v>
      </c>
    </row>
    <row r="11404" spans="1:2" ht="13.2" x14ac:dyDescent="0.25">
      <c r="A11404" s="34" t="s">
        <v>802</v>
      </c>
      <c r="B11404" s="35">
        <v>0.83564030550221502</v>
      </c>
    </row>
    <row r="11405" spans="1:2" ht="13.2" x14ac:dyDescent="0.25">
      <c r="A11405" s="34" t="s">
        <v>801</v>
      </c>
      <c r="B11405" s="35">
        <v>0.842384238788772</v>
      </c>
    </row>
    <row r="11406" spans="1:2" ht="13.2" x14ac:dyDescent="0.25">
      <c r="A11406" s="34" t="s">
        <v>800</v>
      </c>
      <c r="B11406" s="35">
        <v>0.84841891157148297</v>
      </c>
    </row>
    <row r="11407" spans="1:2" ht="13.2" x14ac:dyDescent="0.25">
      <c r="A11407" s="34" t="s">
        <v>799</v>
      </c>
      <c r="B11407" s="35">
        <v>0.77340839130017303</v>
      </c>
    </row>
    <row r="11408" spans="1:2" ht="13.2" x14ac:dyDescent="0.25">
      <c r="A11408" s="34" t="s">
        <v>798</v>
      </c>
    </row>
    <row r="11409" spans="1:2" ht="13.2" x14ac:dyDescent="0.25">
      <c r="A11409" s="34" t="s">
        <v>797</v>
      </c>
    </row>
    <row r="11410" spans="1:2" ht="13.2" x14ac:dyDescent="0.25">
      <c r="A11410" s="34" t="s">
        <v>796</v>
      </c>
      <c r="B11410" s="35">
        <v>0.80835806794402298</v>
      </c>
    </row>
    <row r="11411" spans="1:2" ht="13.2" x14ac:dyDescent="0.25">
      <c r="A11411" s="34" t="s">
        <v>795</v>
      </c>
      <c r="B11411" s="35">
        <v>0.808162883731388</v>
      </c>
    </row>
    <row r="11412" spans="1:2" ht="13.2" x14ac:dyDescent="0.25">
      <c r="A11412" s="34" t="s">
        <v>794</v>
      </c>
      <c r="B11412" s="35">
        <v>0.75193272123407195</v>
      </c>
    </row>
    <row r="11413" spans="1:2" ht="13.2" x14ac:dyDescent="0.25">
      <c r="A11413" s="34" t="s">
        <v>793</v>
      </c>
      <c r="B11413" s="35">
        <v>0.79836565815041205</v>
      </c>
    </row>
    <row r="11414" spans="1:2" ht="13.2" x14ac:dyDescent="0.25">
      <c r="A11414" s="34" t="s">
        <v>792</v>
      </c>
      <c r="B11414" s="35">
        <v>0.78257017901175696</v>
      </c>
    </row>
    <row r="11415" spans="1:2" ht="13.2" x14ac:dyDescent="0.25">
      <c r="A11415" s="34" t="s">
        <v>791</v>
      </c>
    </row>
    <row r="11416" spans="1:2" ht="13.2" x14ac:dyDescent="0.25">
      <c r="A11416" s="34" t="s">
        <v>790</v>
      </c>
    </row>
    <row r="11417" spans="1:2" ht="13.2" x14ac:dyDescent="0.25">
      <c r="A11417" s="34" t="s">
        <v>789</v>
      </c>
      <c r="B11417" s="35">
        <v>0.76967720224782599</v>
      </c>
    </row>
    <row r="11418" spans="1:2" ht="13.2" x14ac:dyDescent="0.25">
      <c r="A11418" s="34" t="s">
        <v>788</v>
      </c>
      <c r="B11418" s="35">
        <v>0.75630858528085099</v>
      </c>
    </row>
    <row r="11419" spans="1:2" ht="13.2" x14ac:dyDescent="0.25">
      <c r="A11419" s="34" t="s">
        <v>787</v>
      </c>
      <c r="B11419" s="35">
        <v>0.72084918730150804</v>
      </c>
    </row>
    <row r="11420" spans="1:2" ht="13.2" x14ac:dyDescent="0.25">
      <c r="A11420" s="34" t="s">
        <v>786</v>
      </c>
      <c r="B11420" s="35">
        <v>0.754959984885746</v>
      </c>
    </row>
    <row r="11421" spans="1:2" ht="13.2" x14ac:dyDescent="0.25">
      <c r="A11421" s="34" t="s">
        <v>785</v>
      </c>
      <c r="B11421" s="35">
        <v>0.75007648068546096</v>
      </c>
    </row>
    <row r="11422" spans="1:2" ht="13.2" x14ac:dyDescent="0.25">
      <c r="A11422" s="34" t="s">
        <v>784</v>
      </c>
    </row>
    <row r="11423" spans="1:2" ht="13.2" x14ac:dyDescent="0.25">
      <c r="A11423" s="34" t="s">
        <v>783</v>
      </c>
    </row>
    <row r="11424" spans="1:2" ht="13.2" x14ac:dyDescent="0.25">
      <c r="A11424" s="34" t="s">
        <v>782</v>
      </c>
      <c r="B11424" s="35">
        <v>0.70863968394833698</v>
      </c>
    </row>
    <row r="11425" spans="1:2" ht="13.2" x14ac:dyDescent="0.25">
      <c r="A11425" s="34" t="s">
        <v>781</v>
      </c>
      <c r="B11425" s="35">
        <v>0.70870883887889402</v>
      </c>
    </row>
    <row r="11426" spans="1:2" ht="13.2" x14ac:dyDescent="0.25">
      <c r="A11426" s="34" t="s">
        <v>780</v>
      </c>
      <c r="B11426" s="35">
        <v>0.73336639665621295</v>
      </c>
    </row>
    <row r="11427" spans="1:2" ht="13.2" x14ac:dyDescent="0.25">
      <c r="A11427" s="34" t="s">
        <v>779</v>
      </c>
      <c r="B11427" s="35">
        <v>0.71928801727607095</v>
      </c>
    </row>
    <row r="11428" spans="1:2" ht="13.2" x14ac:dyDescent="0.25">
      <c r="A11428" s="34" t="s">
        <v>778</v>
      </c>
      <c r="B11428" s="35">
        <v>0.80068095482986701</v>
      </c>
    </row>
    <row r="11429" spans="1:2" ht="13.2" x14ac:dyDescent="0.25">
      <c r="A11429" s="34" t="s">
        <v>777</v>
      </c>
    </row>
    <row r="11430" spans="1:2" ht="13.2" x14ac:dyDescent="0.25">
      <c r="A11430" s="34" t="s">
        <v>776</v>
      </c>
    </row>
    <row r="11431" spans="1:2" ht="13.2" x14ac:dyDescent="0.25">
      <c r="A11431" s="34" t="s">
        <v>775</v>
      </c>
      <c r="B11431" s="35">
        <v>0.74383918864435405</v>
      </c>
    </row>
    <row r="11432" spans="1:2" ht="13.2" x14ac:dyDescent="0.25">
      <c r="A11432" s="34" t="s">
        <v>774</v>
      </c>
      <c r="B11432" s="35">
        <v>0.74825152476680201</v>
      </c>
    </row>
    <row r="11433" spans="1:2" ht="13.2" x14ac:dyDescent="0.25">
      <c r="A11433" s="34" t="s">
        <v>773</v>
      </c>
      <c r="B11433" s="35">
        <v>0.72319298852089298</v>
      </c>
    </row>
    <row r="11434" spans="1:2" ht="13.2" x14ac:dyDescent="0.25">
      <c r="A11434" s="34" t="s">
        <v>772</v>
      </c>
      <c r="B11434" s="35">
        <v>0.71897500068724995</v>
      </c>
    </row>
    <row r="11435" spans="1:2" ht="13.2" x14ac:dyDescent="0.25">
      <c r="A11435" s="34" t="s">
        <v>771</v>
      </c>
      <c r="B11435" s="35">
        <v>0.71939664371871304</v>
      </c>
    </row>
    <row r="11436" spans="1:2" ht="13.2" x14ac:dyDescent="0.25">
      <c r="A11436" s="34" t="s">
        <v>770</v>
      </c>
    </row>
    <row r="11437" spans="1:2" ht="13.2" x14ac:dyDescent="0.25">
      <c r="A11437" s="34" t="s">
        <v>769</v>
      </c>
    </row>
    <row r="11438" spans="1:2" ht="13.2" x14ac:dyDescent="0.25">
      <c r="A11438" s="34" t="s">
        <v>768</v>
      </c>
      <c r="B11438" s="35">
        <v>0.71893008930652702</v>
      </c>
    </row>
    <row r="11439" spans="1:2" ht="13.2" x14ac:dyDescent="0.25">
      <c r="A11439" s="34" t="s">
        <v>767</v>
      </c>
      <c r="B11439" s="35">
        <v>0.65337633894207303</v>
      </c>
    </row>
    <row r="11440" spans="1:2" ht="13.2" x14ac:dyDescent="0.25">
      <c r="A11440" s="34" t="s">
        <v>766</v>
      </c>
      <c r="B11440" s="35">
        <v>0.67728811950363799</v>
      </c>
    </row>
    <row r="11441" spans="1:2" ht="13.2" x14ac:dyDescent="0.25">
      <c r="A11441" s="34" t="s">
        <v>765</v>
      </c>
      <c r="B11441" s="35">
        <v>0.67704481692792295</v>
      </c>
    </row>
    <row r="11442" spans="1:2" ht="13.2" x14ac:dyDescent="0.25">
      <c r="A11442" s="34" t="s">
        <v>764</v>
      </c>
      <c r="B11442" s="35">
        <v>0.72562705744382805</v>
      </c>
    </row>
    <row r="11443" spans="1:2" ht="13.2" x14ac:dyDescent="0.25">
      <c r="A11443" s="34" t="s">
        <v>763</v>
      </c>
    </row>
    <row r="11444" spans="1:2" ht="13.2" x14ac:dyDescent="0.25">
      <c r="A11444" s="34" t="s">
        <v>762</v>
      </c>
    </row>
    <row r="11445" spans="1:2" ht="13.2" x14ac:dyDescent="0.25">
      <c r="A11445" s="34" t="s">
        <v>761</v>
      </c>
      <c r="B11445" s="35">
        <v>0.71910657595433403</v>
      </c>
    </row>
    <row r="11446" spans="1:2" ht="13.2" x14ac:dyDescent="0.25">
      <c r="A11446" s="34" t="s">
        <v>760</v>
      </c>
      <c r="B11446" s="35">
        <v>0.74206459872529396</v>
      </c>
    </row>
    <row r="11447" spans="1:2" ht="13.2" x14ac:dyDescent="0.25">
      <c r="A11447" s="34" t="s">
        <v>759</v>
      </c>
      <c r="B11447" s="35">
        <v>0.74398290758718699</v>
      </c>
    </row>
    <row r="11448" spans="1:2" ht="13.2" x14ac:dyDescent="0.25">
      <c r="A11448" s="34" t="s">
        <v>758</v>
      </c>
      <c r="B11448" s="35">
        <v>0.78358302641850197</v>
      </c>
    </row>
    <row r="11449" spans="1:2" ht="13.2" x14ac:dyDescent="0.25">
      <c r="A11449" s="34" t="s">
        <v>757</v>
      </c>
      <c r="B11449" s="35">
        <v>0.76211142095519402</v>
      </c>
    </row>
    <row r="11450" spans="1:2" ht="13.2" x14ac:dyDescent="0.25">
      <c r="A11450" s="34" t="s">
        <v>756</v>
      </c>
    </row>
    <row r="11451" spans="1:2" ht="13.2" x14ac:dyDescent="0.25">
      <c r="A11451" s="34" t="s">
        <v>755</v>
      </c>
    </row>
    <row r="11452" spans="1:2" ht="13.2" x14ac:dyDescent="0.25">
      <c r="A11452" s="34" t="s">
        <v>754</v>
      </c>
      <c r="B11452" s="35">
        <v>0.77188942608264399</v>
      </c>
    </row>
    <row r="11453" spans="1:2" ht="13.2" x14ac:dyDescent="0.25">
      <c r="A11453" s="34" t="s">
        <v>753</v>
      </c>
      <c r="B11453" s="35">
        <v>0.77173415359642195</v>
      </c>
    </row>
    <row r="11454" spans="1:2" ht="13.2" x14ac:dyDescent="0.25">
      <c r="A11454" s="34" t="s">
        <v>752</v>
      </c>
      <c r="B11454" s="35">
        <v>0.78829037997425899</v>
      </c>
    </row>
    <row r="11455" spans="1:2" ht="13.2" x14ac:dyDescent="0.25">
      <c r="A11455" s="34" t="s">
        <v>751</v>
      </c>
      <c r="B11455" s="35">
        <v>0.77991051239335596</v>
      </c>
    </row>
    <row r="11456" spans="1:2" ht="13.2" x14ac:dyDescent="0.25">
      <c r="A11456" s="34" t="s">
        <v>750</v>
      </c>
      <c r="B11456" s="35">
        <v>0.77548628801686303</v>
      </c>
    </row>
    <row r="11457" spans="1:2" ht="13.2" x14ac:dyDescent="0.25">
      <c r="A11457" s="34" t="s">
        <v>749</v>
      </c>
    </row>
    <row r="11458" spans="1:2" ht="13.2" x14ac:dyDescent="0.25">
      <c r="A11458" s="34" t="s">
        <v>748</v>
      </c>
    </row>
    <row r="11459" spans="1:2" ht="13.2" x14ac:dyDescent="0.25">
      <c r="A11459" s="34" t="s">
        <v>747</v>
      </c>
      <c r="B11459" s="35">
        <v>0.72254786515119596</v>
      </c>
    </row>
    <row r="11460" spans="1:2" ht="13.2" x14ac:dyDescent="0.25">
      <c r="A11460" s="34" t="s">
        <v>746</v>
      </c>
      <c r="B11460" s="35">
        <v>0.72350897250791402</v>
      </c>
    </row>
    <row r="11461" spans="1:2" ht="13.2" x14ac:dyDescent="0.25">
      <c r="A11461" s="34" t="s">
        <v>745</v>
      </c>
      <c r="B11461" s="35">
        <v>0.75961588192252605</v>
      </c>
    </row>
    <row r="11462" spans="1:2" ht="13.2" x14ac:dyDescent="0.25">
      <c r="A11462" s="34" t="s">
        <v>744</v>
      </c>
      <c r="B11462" s="35">
        <v>0.76062618857460895</v>
      </c>
    </row>
    <row r="11463" spans="1:2" ht="13.2" x14ac:dyDescent="0.25">
      <c r="A11463" s="34" t="s">
        <v>743</v>
      </c>
      <c r="B11463" s="35">
        <v>0.75753003951711695</v>
      </c>
    </row>
    <row r="11464" spans="1:2" ht="13.2" x14ac:dyDescent="0.25">
      <c r="A11464" s="34" t="s">
        <v>742</v>
      </c>
    </row>
    <row r="11465" spans="1:2" ht="13.2" x14ac:dyDescent="0.25">
      <c r="A11465" s="34" t="s">
        <v>741</v>
      </c>
    </row>
    <row r="11466" spans="1:2" ht="13.2" x14ac:dyDescent="0.25">
      <c r="A11466" s="34" t="s">
        <v>740</v>
      </c>
      <c r="B11466" s="35">
        <v>0.76542436812136005</v>
      </c>
    </row>
    <row r="11467" spans="1:2" ht="13.2" x14ac:dyDescent="0.25">
      <c r="A11467" s="34" t="s">
        <v>739</v>
      </c>
      <c r="B11467" s="35">
        <v>0.76309425329560299</v>
      </c>
    </row>
    <row r="11468" spans="1:2" ht="13.2" x14ac:dyDescent="0.25">
      <c r="A11468" s="34" t="s">
        <v>738</v>
      </c>
      <c r="B11468" s="35">
        <v>0.77758275726233295</v>
      </c>
    </row>
    <row r="11469" spans="1:2" ht="13.2" x14ac:dyDescent="0.25">
      <c r="A11469" s="34" t="s">
        <v>737</v>
      </c>
      <c r="B11469" s="35">
        <v>0.76969623029865897</v>
      </c>
    </row>
    <row r="11470" spans="1:2" ht="13.2" x14ac:dyDescent="0.25">
      <c r="A11470" s="34" t="s">
        <v>736</v>
      </c>
      <c r="B11470" s="35">
        <v>0.76579553787341403</v>
      </c>
    </row>
    <row r="11471" spans="1:2" ht="13.2" x14ac:dyDescent="0.25">
      <c r="A11471" s="34" t="s">
        <v>735</v>
      </c>
    </row>
    <row r="11472" spans="1:2" ht="13.2" x14ac:dyDescent="0.25">
      <c r="A11472" s="34" t="s">
        <v>734</v>
      </c>
    </row>
    <row r="11473" spans="1:2" ht="13.2" x14ac:dyDescent="0.25">
      <c r="A11473" s="34" t="s">
        <v>733</v>
      </c>
      <c r="B11473" s="35">
        <v>0.68874660050763503</v>
      </c>
    </row>
    <row r="11474" spans="1:2" ht="13.2" x14ac:dyDescent="0.25">
      <c r="A11474" s="34" t="s">
        <v>732</v>
      </c>
      <c r="B11474" s="35">
        <v>0.69208639903652103</v>
      </c>
    </row>
    <row r="11475" spans="1:2" ht="13.2" x14ac:dyDescent="0.25">
      <c r="A11475" s="34" t="s">
        <v>731</v>
      </c>
      <c r="B11475" s="35">
        <v>0.63412443742597202</v>
      </c>
    </row>
    <row r="11476" spans="1:2" ht="13.2" x14ac:dyDescent="0.25">
      <c r="A11476" s="34" t="s">
        <v>730</v>
      </c>
      <c r="B11476" s="35">
        <v>0.64974056750628595</v>
      </c>
    </row>
    <row r="11477" spans="1:2" ht="13.2" x14ac:dyDescent="0.25">
      <c r="A11477" s="34" t="s">
        <v>729</v>
      </c>
      <c r="B11477" s="35">
        <v>0.59577820596498998</v>
      </c>
    </row>
    <row r="11478" spans="1:2" ht="13.2" x14ac:dyDescent="0.25">
      <c r="A11478" s="34" t="s">
        <v>728</v>
      </c>
    </row>
    <row r="11479" spans="1:2" ht="13.2" x14ac:dyDescent="0.25">
      <c r="A11479" s="34" t="s">
        <v>727</v>
      </c>
    </row>
    <row r="11480" spans="1:2" ht="13.2" x14ac:dyDescent="0.25">
      <c r="A11480" s="34" t="s">
        <v>726</v>
      </c>
      <c r="B11480" s="35">
        <v>0.64349756111392897</v>
      </c>
    </row>
    <row r="11481" spans="1:2" ht="13.2" x14ac:dyDescent="0.25">
      <c r="A11481" s="34" t="s">
        <v>725</v>
      </c>
      <c r="B11481" s="35">
        <v>0.63129375238444796</v>
      </c>
    </row>
    <row r="11482" spans="1:2" ht="13.2" x14ac:dyDescent="0.25">
      <c r="A11482" s="34" t="s">
        <v>724</v>
      </c>
      <c r="B11482" s="35">
        <v>0.61843870494427899</v>
      </c>
    </row>
    <row r="11483" spans="1:2" ht="13.2" x14ac:dyDescent="0.25">
      <c r="A11483" s="34" t="s">
        <v>723</v>
      </c>
      <c r="B11483" s="35">
        <v>0.60268387012961699</v>
      </c>
    </row>
    <row r="11484" spans="1:2" ht="13.2" x14ac:dyDescent="0.25">
      <c r="A11484" s="34" t="s">
        <v>722</v>
      </c>
      <c r="B11484" s="35">
        <v>0.58732626389381803</v>
      </c>
    </row>
    <row r="11485" spans="1:2" ht="13.2" x14ac:dyDescent="0.25">
      <c r="A11485" s="34" t="s">
        <v>721</v>
      </c>
    </row>
    <row r="11486" spans="1:2" ht="13.2" x14ac:dyDescent="0.25">
      <c r="A11486" s="34" t="s">
        <v>720</v>
      </c>
      <c r="B11486" s="35">
        <v>0.66187922304472002</v>
      </c>
    </row>
    <row r="11487" spans="1:2" ht="13.2" x14ac:dyDescent="0.25">
      <c r="A11487" s="34" t="s">
        <v>719</v>
      </c>
      <c r="B11487" s="35">
        <v>1.02991734403166</v>
      </c>
    </row>
    <row r="11488" spans="1:2" ht="13.2" x14ac:dyDescent="0.25">
      <c r="A11488" s="34" t="s">
        <v>718</v>
      </c>
      <c r="B11488" s="35">
        <v>1.02766694348066</v>
      </c>
    </row>
    <row r="11489" spans="1:2" ht="13.2" x14ac:dyDescent="0.25">
      <c r="A11489" s="34" t="s">
        <v>717</v>
      </c>
      <c r="B11489" s="35">
        <v>0.99479891436458601</v>
      </c>
    </row>
    <row r="11490" spans="1:2" ht="13.2" x14ac:dyDescent="0.25">
      <c r="A11490" s="34" t="s">
        <v>716</v>
      </c>
      <c r="B11490" s="35">
        <v>0.99876262634231305</v>
      </c>
    </row>
    <row r="11491" spans="1:2" ht="13.2" x14ac:dyDescent="0.25">
      <c r="A11491" s="34" t="s">
        <v>715</v>
      </c>
      <c r="B11491" s="35">
        <v>1.04454224776214</v>
      </c>
    </row>
    <row r="11492" spans="1:2" ht="13.2" x14ac:dyDescent="0.25">
      <c r="A11492" s="34" t="s">
        <v>714</v>
      </c>
    </row>
    <row r="11493" spans="1:2" ht="13.2" x14ac:dyDescent="0.25">
      <c r="A11493" s="34" t="s">
        <v>713</v>
      </c>
    </row>
    <row r="11494" spans="1:2" ht="13.2" x14ac:dyDescent="0.25">
      <c r="A11494" s="34" t="s">
        <v>712</v>
      </c>
      <c r="B11494" s="35">
        <v>1.02653000660814</v>
      </c>
    </row>
    <row r="11495" spans="1:2" ht="13.2" x14ac:dyDescent="0.25">
      <c r="A11495" s="34" t="s">
        <v>711</v>
      </c>
      <c r="B11495" s="35">
        <v>1.0260036460617801</v>
      </c>
    </row>
    <row r="11496" spans="1:2" ht="13.2" x14ac:dyDescent="0.25">
      <c r="A11496" s="34" t="s">
        <v>710</v>
      </c>
      <c r="B11496" s="35">
        <v>1.01555414017187</v>
      </c>
    </row>
    <row r="11497" spans="1:2" ht="13.2" x14ac:dyDescent="0.25">
      <c r="A11497" s="34" t="s">
        <v>709</v>
      </c>
      <c r="B11497" s="35">
        <v>1.00740614545205</v>
      </c>
    </row>
    <row r="11498" spans="1:2" ht="13.2" x14ac:dyDescent="0.25">
      <c r="A11498" s="34" t="s">
        <v>708</v>
      </c>
    </row>
    <row r="11499" spans="1:2" ht="13.2" x14ac:dyDescent="0.25">
      <c r="A11499" s="34" t="s">
        <v>707</v>
      </c>
    </row>
    <row r="11500" spans="1:2" ht="13.2" x14ac:dyDescent="0.25">
      <c r="A11500" s="34" t="s">
        <v>706</v>
      </c>
    </row>
    <row r="11501" spans="1:2" ht="13.2" x14ac:dyDescent="0.25">
      <c r="A11501" s="34" t="s">
        <v>705</v>
      </c>
      <c r="B11501" s="35">
        <v>1.00723940862257</v>
      </c>
    </row>
    <row r="11502" spans="1:2" ht="13.2" x14ac:dyDescent="0.25">
      <c r="A11502" s="34" t="s">
        <v>704</v>
      </c>
      <c r="B11502" s="35">
        <v>1.0117163087929999</v>
      </c>
    </row>
    <row r="11503" spans="1:2" ht="13.2" x14ac:dyDescent="0.25">
      <c r="A11503" s="34" t="s">
        <v>703</v>
      </c>
    </row>
    <row r="11504" spans="1:2" ht="13.2" x14ac:dyDescent="0.25">
      <c r="A11504" s="34" t="s">
        <v>702</v>
      </c>
      <c r="B11504" s="35">
        <v>1.02797093758708</v>
      </c>
    </row>
    <row r="11505" spans="1:2" ht="13.2" x14ac:dyDescent="0.25">
      <c r="A11505" s="34" t="s">
        <v>701</v>
      </c>
      <c r="B11505" s="35">
        <v>1.0996038446888901</v>
      </c>
    </row>
    <row r="11506" spans="1:2" ht="13.2" x14ac:dyDescent="0.25">
      <c r="A11506" s="34" t="s">
        <v>700</v>
      </c>
    </row>
    <row r="11507" spans="1:2" ht="13.2" x14ac:dyDescent="0.25">
      <c r="A11507" s="34" t="s">
        <v>699</v>
      </c>
    </row>
    <row r="11508" spans="1:2" ht="13.2" x14ac:dyDescent="0.25">
      <c r="A11508" s="34" t="s">
        <v>698</v>
      </c>
      <c r="B11508" s="35">
        <v>1.08958252923487</v>
      </c>
    </row>
    <row r="11509" spans="1:2" ht="13.2" x14ac:dyDescent="0.25">
      <c r="A11509" s="34" t="s">
        <v>697</v>
      </c>
      <c r="B11509" s="35">
        <v>1.10055124158003</v>
      </c>
    </row>
    <row r="11510" spans="1:2" ht="13.2" x14ac:dyDescent="0.25">
      <c r="A11510" s="34" t="s">
        <v>696</v>
      </c>
      <c r="B11510" s="35">
        <v>1.1380931734103801</v>
      </c>
    </row>
    <row r="11511" spans="1:2" ht="13.2" x14ac:dyDescent="0.25">
      <c r="A11511" s="34" t="s">
        <v>695</v>
      </c>
      <c r="B11511" s="35">
        <v>1.2432445214469099</v>
      </c>
    </row>
    <row r="11512" spans="1:2" ht="13.2" x14ac:dyDescent="0.25">
      <c r="A11512" s="34" t="s">
        <v>694</v>
      </c>
      <c r="B11512" s="35">
        <v>1.2649323711263101</v>
      </c>
    </row>
    <row r="11513" spans="1:2" ht="13.2" x14ac:dyDescent="0.25">
      <c r="A11513" s="34" t="s">
        <v>693</v>
      </c>
    </row>
    <row r="11514" spans="1:2" ht="13.2" x14ac:dyDescent="0.25">
      <c r="A11514" s="34" t="s">
        <v>692</v>
      </c>
    </row>
    <row r="11515" spans="1:2" ht="13.2" x14ac:dyDescent="0.25">
      <c r="A11515" s="34" t="s">
        <v>691</v>
      </c>
      <c r="B11515" s="35">
        <v>1.25981788494744</v>
      </c>
    </row>
    <row r="11516" spans="1:2" ht="13.2" x14ac:dyDescent="0.25">
      <c r="A11516" s="34" t="s">
        <v>690</v>
      </c>
      <c r="B11516" s="35">
        <v>1.2491138766104699</v>
      </c>
    </row>
    <row r="11517" spans="1:2" ht="13.2" x14ac:dyDescent="0.25">
      <c r="A11517" s="34" t="s">
        <v>689</v>
      </c>
      <c r="B11517" s="35">
        <v>1.20193352023544</v>
      </c>
    </row>
    <row r="11518" spans="1:2" ht="13.2" x14ac:dyDescent="0.25">
      <c r="A11518" s="34" t="s">
        <v>688</v>
      </c>
      <c r="B11518" s="35">
        <v>0.97487144566650996</v>
      </c>
    </row>
    <row r="11519" spans="1:2" ht="13.2" x14ac:dyDescent="0.25">
      <c r="A11519" s="34" t="s">
        <v>687</v>
      </c>
      <c r="B11519" s="35">
        <v>1.0203763917083499</v>
      </c>
    </row>
    <row r="11520" spans="1:2" ht="13.2" x14ac:dyDescent="0.25">
      <c r="A11520" s="34" t="s">
        <v>686</v>
      </c>
    </row>
    <row r="11521" spans="1:2" ht="13.2" x14ac:dyDescent="0.25">
      <c r="A11521" s="34" t="s">
        <v>685</v>
      </c>
    </row>
    <row r="11522" spans="1:2" ht="13.2" x14ac:dyDescent="0.25">
      <c r="A11522" s="34" t="s">
        <v>684</v>
      </c>
      <c r="B11522" s="35">
        <v>1.0517161476166399</v>
      </c>
    </row>
    <row r="11523" spans="1:2" ht="13.2" x14ac:dyDescent="0.25">
      <c r="A11523" s="34" t="s">
        <v>683</v>
      </c>
      <c r="B11523" s="35">
        <v>1.0658685309696201</v>
      </c>
    </row>
    <row r="11524" spans="1:2" ht="13.2" x14ac:dyDescent="0.25">
      <c r="A11524" s="34" t="s">
        <v>682</v>
      </c>
      <c r="B11524" s="35">
        <v>1.0427113476118599</v>
      </c>
    </row>
    <row r="11525" spans="1:2" ht="13.2" x14ac:dyDescent="0.25">
      <c r="A11525" s="34" t="s">
        <v>681</v>
      </c>
      <c r="B11525" s="35">
        <v>1.21353238315585</v>
      </c>
    </row>
    <row r="11526" spans="1:2" ht="13.2" x14ac:dyDescent="0.25">
      <c r="A11526" s="34" t="s">
        <v>680</v>
      </c>
      <c r="B11526" s="35">
        <v>1.2359282666437099</v>
      </c>
    </row>
    <row r="11527" spans="1:2" ht="13.2" x14ac:dyDescent="0.25">
      <c r="A11527" s="34" t="s">
        <v>679</v>
      </c>
    </row>
    <row r="11528" spans="1:2" ht="13.2" x14ac:dyDescent="0.25">
      <c r="A11528" s="34" t="s">
        <v>678</v>
      </c>
    </row>
    <row r="11529" spans="1:2" ht="13.2" x14ac:dyDescent="0.25">
      <c r="A11529" s="34" t="s">
        <v>677</v>
      </c>
      <c r="B11529" s="35">
        <v>1.24554644630234</v>
      </c>
    </row>
    <row r="11530" spans="1:2" ht="13.2" x14ac:dyDescent="0.25">
      <c r="A11530" s="34" t="s">
        <v>676</v>
      </c>
      <c r="B11530" s="35">
        <v>1.26699903799282</v>
      </c>
    </row>
    <row r="11531" spans="1:2" ht="13.2" x14ac:dyDescent="0.25">
      <c r="A11531" s="34" t="s">
        <v>675</v>
      </c>
      <c r="B11531" s="35">
        <v>1.43379295507297</v>
      </c>
    </row>
    <row r="11532" spans="1:2" ht="13.2" x14ac:dyDescent="0.25">
      <c r="A11532" s="34" t="s">
        <v>674</v>
      </c>
      <c r="B11532" s="35">
        <v>1.4339763230331299</v>
      </c>
    </row>
    <row r="11533" spans="1:2" ht="13.2" x14ac:dyDescent="0.25">
      <c r="A11533" s="34" t="s">
        <v>673</v>
      </c>
      <c r="B11533" s="35">
        <v>1.4401878853669601</v>
      </c>
    </row>
    <row r="11534" spans="1:2" ht="13.2" x14ac:dyDescent="0.25">
      <c r="A11534" s="34" t="s">
        <v>672</v>
      </c>
    </row>
    <row r="11535" spans="1:2" ht="13.2" x14ac:dyDescent="0.25">
      <c r="A11535" s="34" t="s">
        <v>671</v>
      </c>
    </row>
    <row r="11536" spans="1:2" ht="13.2" x14ac:dyDescent="0.25">
      <c r="A11536" s="34" t="s">
        <v>670</v>
      </c>
      <c r="B11536" s="35">
        <v>1.38398784027037</v>
      </c>
    </row>
    <row r="11537" spans="1:2" ht="13.2" x14ac:dyDescent="0.25">
      <c r="A11537" s="34" t="s">
        <v>669</v>
      </c>
    </row>
    <row r="11538" spans="1:2" ht="13.2" x14ac:dyDescent="0.25">
      <c r="A11538" s="34" t="s">
        <v>668</v>
      </c>
    </row>
    <row r="11539" spans="1:2" ht="13.2" x14ac:dyDescent="0.25">
      <c r="A11539" s="34" t="s">
        <v>667</v>
      </c>
      <c r="B11539" s="35">
        <v>1.38875867270764</v>
      </c>
    </row>
    <row r="11540" spans="1:2" ht="13.2" x14ac:dyDescent="0.25">
      <c r="A11540" s="34" t="s">
        <v>666</v>
      </c>
      <c r="B11540" s="35">
        <v>1.37196101560886</v>
      </c>
    </row>
    <row r="11541" spans="1:2" ht="13.2" x14ac:dyDescent="0.25">
      <c r="A11541" s="34" t="s">
        <v>665</v>
      </c>
    </row>
    <row r="11542" spans="1:2" ht="13.2" x14ac:dyDescent="0.25">
      <c r="A11542" s="34" t="s">
        <v>664</v>
      </c>
    </row>
    <row r="11543" spans="1:2" ht="13.2" x14ac:dyDescent="0.25">
      <c r="A11543" s="34" t="s">
        <v>663</v>
      </c>
      <c r="B11543" s="35">
        <v>1.3366496149339999</v>
      </c>
    </row>
    <row r="11544" spans="1:2" ht="13.2" x14ac:dyDescent="0.25">
      <c r="A11544" s="34" t="s">
        <v>662</v>
      </c>
    </row>
    <row r="11545" spans="1:2" ht="13.2" x14ac:dyDescent="0.25">
      <c r="A11545" s="34" t="s">
        <v>661</v>
      </c>
    </row>
    <row r="11546" spans="1:2" ht="13.2" x14ac:dyDescent="0.25">
      <c r="A11546" s="34" t="s">
        <v>660</v>
      </c>
      <c r="B11546" s="35">
        <v>1.24337396372313</v>
      </c>
    </row>
    <row r="11547" spans="1:2" ht="13.2" x14ac:dyDescent="0.25">
      <c r="A11547" s="34" t="s">
        <v>659</v>
      </c>
      <c r="B11547" s="35">
        <v>1.24494127426039</v>
      </c>
    </row>
    <row r="11548" spans="1:2" ht="13.2" x14ac:dyDescent="0.25">
      <c r="A11548" s="34" t="s">
        <v>658</v>
      </c>
    </row>
    <row r="11549" spans="1:2" ht="13.2" x14ac:dyDescent="0.25">
      <c r="A11549" s="34" t="s">
        <v>657</v>
      </c>
    </row>
    <row r="11550" spans="1:2" ht="13.2" x14ac:dyDescent="0.25">
      <c r="A11550" s="34" t="s">
        <v>656</v>
      </c>
      <c r="B11550" s="35">
        <v>1.2884731332288599</v>
      </c>
    </row>
    <row r="11551" spans="1:2" ht="13.2" x14ac:dyDescent="0.25">
      <c r="A11551" s="34" t="s">
        <v>655</v>
      </c>
      <c r="B11551" s="35">
        <v>1.2975376434467301</v>
      </c>
    </row>
    <row r="11552" spans="1:2" ht="13.2" x14ac:dyDescent="0.25">
      <c r="A11552" s="34" t="s">
        <v>654</v>
      </c>
      <c r="B11552" s="35">
        <v>1.3182509073466799</v>
      </c>
    </row>
    <row r="11553" spans="1:2" ht="13.2" x14ac:dyDescent="0.25">
      <c r="A11553" s="34" t="s">
        <v>653</v>
      </c>
      <c r="B11553" s="35">
        <v>1.26723078158844</v>
      </c>
    </row>
    <row r="11554" spans="1:2" ht="13.2" x14ac:dyDescent="0.25">
      <c r="A11554" s="34" t="s">
        <v>652</v>
      </c>
      <c r="B11554" s="35">
        <v>1.2425262665253001</v>
      </c>
    </row>
    <row r="11555" spans="1:2" ht="13.2" x14ac:dyDescent="0.25">
      <c r="A11555" s="34" t="s">
        <v>651</v>
      </c>
    </row>
    <row r="11556" spans="1:2" ht="13.2" x14ac:dyDescent="0.25">
      <c r="A11556" s="34" t="s">
        <v>650</v>
      </c>
    </row>
    <row r="11557" spans="1:2" ht="13.2" x14ac:dyDescent="0.25">
      <c r="A11557" s="34" t="s">
        <v>649</v>
      </c>
      <c r="B11557" s="35">
        <v>1.2120062404646299</v>
      </c>
    </row>
    <row r="11558" spans="1:2" ht="13.2" x14ac:dyDescent="0.25">
      <c r="A11558" s="34" t="s">
        <v>648</v>
      </c>
      <c r="B11558" s="35">
        <v>1.1924551639789001</v>
      </c>
    </row>
    <row r="11559" spans="1:2" ht="13.2" x14ac:dyDescent="0.25">
      <c r="A11559" s="34" t="s">
        <v>647</v>
      </c>
      <c r="B11559" s="35">
        <v>1.34217273727067</v>
      </c>
    </row>
    <row r="11560" spans="1:2" ht="13.2" x14ac:dyDescent="0.25">
      <c r="A11560" s="34" t="s">
        <v>646</v>
      </c>
      <c r="B11560" s="35">
        <v>1.23250230017377</v>
      </c>
    </row>
    <row r="11561" spans="1:2" ht="13.2" x14ac:dyDescent="0.25">
      <c r="A11561" s="34" t="s">
        <v>645</v>
      </c>
      <c r="B11561" s="35">
        <v>1.2344926108688401</v>
      </c>
    </row>
    <row r="11562" spans="1:2" ht="13.2" x14ac:dyDescent="0.25">
      <c r="A11562" s="34" t="s">
        <v>644</v>
      </c>
    </row>
    <row r="11563" spans="1:2" ht="13.2" x14ac:dyDescent="0.25">
      <c r="A11563" s="34" t="s">
        <v>643</v>
      </c>
    </row>
    <row r="11564" spans="1:2" ht="13.2" x14ac:dyDescent="0.25">
      <c r="A11564" s="34" t="s">
        <v>642</v>
      </c>
      <c r="B11564" s="35">
        <v>1.22296339537452</v>
      </c>
    </row>
    <row r="11565" spans="1:2" ht="13.2" x14ac:dyDescent="0.25">
      <c r="A11565" s="34" t="s">
        <v>641</v>
      </c>
      <c r="B11565" s="35">
        <v>1.21378958760199</v>
      </c>
    </row>
    <row r="11566" spans="1:2" ht="13.2" x14ac:dyDescent="0.25">
      <c r="A11566" s="34" t="s">
        <v>640</v>
      </c>
      <c r="B11566" s="35">
        <v>0.98036438065962195</v>
      </c>
    </row>
    <row r="11567" spans="1:2" ht="13.2" x14ac:dyDescent="0.25">
      <c r="A11567" s="34" t="s">
        <v>639</v>
      </c>
      <c r="B11567" s="35">
        <v>0.98397631167628896</v>
      </c>
    </row>
    <row r="11568" spans="1:2" ht="13.2" x14ac:dyDescent="0.25">
      <c r="A11568" s="34" t="s">
        <v>638</v>
      </c>
      <c r="B11568" s="35">
        <v>0.970837355862881</v>
      </c>
    </row>
    <row r="11569" spans="1:2" ht="13.2" x14ac:dyDescent="0.25">
      <c r="A11569" s="34" t="s">
        <v>637</v>
      </c>
    </row>
    <row r="11570" spans="1:2" ht="13.2" x14ac:dyDescent="0.25">
      <c r="A11570" s="34" t="s">
        <v>636</v>
      </c>
    </row>
    <row r="11571" spans="1:2" ht="13.2" x14ac:dyDescent="0.25">
      <c r="A11571" s="34" t="s">
        <v>635</v>
      </c>
      <c r="B11571" s="35">
        <v>1.0230033231869999</v>
      </c>
    </row>
    <row r="11572" spans="1:2" ht="13.2" x14ac:dyDescent="0.25">
      <c r="A11572" s="34" t="s">
        <v>634</v>
      </c>
      <c r="B11572" s="35">
        <v>1.0376011851796501</v>
      </c>
    </row>
    <row r="11573" spans="1:2" ht="13.2" x14ac:dyDescent="0.25">
      <c r="A11573" s="34" t="s">
        <v>633</v>
      </c>
      <c r="B11573" s="35">
        <v>1.03192550639428</v>
      </c>
    </row>
    <row r="11574" spans="1:2" ht="13.2" x14ac:dyDescent="0.25">
      <c r="A11574" s="34" t="s">
        <v>632</v>
      </c>
      <c r="B11574" s="35">
        <v>1.18283684273895</v>
      </c>
    </row>
    <row r="11575" spans="1:2" ht="13.2" x14ac:dyDescent="0.25">
      <c r="A11575" s="34" t="s">
        <v>631</v>
      </c>
      <c r="B11575" s="35">
        <v>1.1953829365686399</v>
      </c>
    </row>
    <row r="11576" spans="1:2" ht="13.2" x14ac:dyDescent="0.25">
      <c r="A11576" s="34" t="s">
        <v>630</v>
      </c>
    </row>
    <row r="11577" spans="1:2" ht="13.2" x14ac:dyDescent="0.25">
      <c r="A11577" s="34" t="s">
        <v>629</v>
      </c>
    </row>
    <row r="11578" spans="1:2" ht="13.2" x14ac:dyDescent="0.25">
      <c r="A11578" s="34" t="s">
        <v>628</v>
      </c>
      <c r="B11578" s="35">
        <v>1.14428142344144</v>
      </c>
    </row>
    <row r="11579" spans="1:2" ht="13.2" x14ac:dyDescent="0.25">
      <c r="A11579" s="34" t="s">
        <v>627</v>
      </c>
      <c r="B11579" s="35">
        <v>1.1399471850035301</v>
      </c>
    </row>
    <row r="11580" spans="1:2" ht="13.2" x14ac:dyDescent="0.25">
      <c r="A11580" s="34" t="s">
        <v>626</v>
      </c>
      <c r="B11580" s="35">
        <v>1.1274789600073301</v>
      </c>
    </row>
    <row r="11581" spans="1:2" ht="13.2" x14ac:dyDescent="0.25">
      <c r="A11581" s="34" t="s">
        <v>625</v>
      </c>
      <c r="B11581" s="35">
        <v>1.0797735738062999</v>
      </c>
    </row>
    <row r="11582" spans="1:2" ht="13.2" x14ac:dyDescent="0.25">
      <c r="A11582" s="34" t="s">
        <v>624</v>
      </c>
      <c r="B11582" s="35">
        <v>1.1306570886737</v>
      </c>
    </row>
    <row r="11583" spans="1:2" ht="13.2" x14ac:dyDescent="0.25">
      <c r="A11583" s="34" t="s">
        <v>623</v>
      </c>
    </row>
    <row r="11584" spans="1:2" ht="13.2" x14ac:dyDescent="0.25">
      <c r="A11584" s="34" t="s">
        <v>622</v>
      </c>
    </row>
    <row r="11585" spans="1:2" ht="13.2" x14ac:dyDescent="0.25">
      <c r="A11585" s="34" t="s">
        <v>621</v>
      </c>
      <c r="B11585" s="35">
        <v>1.1147858144745799</v>
      </c>
    </row>
    <row r="11586" spans="1:2" ht="13.2" x14ac:dyDescent="0.25">
      <c r="A11586" s="34" t="s">
        <v>620</v>
      </c>
      <c r="B11586" s="35">
        <v>1.11937678400385</v>
      </c>
    </row>
    <row r="11587" spans="1:2" ht="13.2" x14ac:dyDescent="0.25">
      <c r="A11587" s="34" t="s">
        <v>619</v>
      </c>
      <c r="B11587" s="35">
        <v>1.20151287081533</v>
      </c>
    </row>
    <row r="11588" spans="1:2" ht="13.2" x14ac:dyDescent="0.25">
      <c r="A11588" s="34" t="s">
        <v>618</v>
      </c>
      <c r="B11588" s="35">
        <v>1.0492586709194101</v>
      </c>
    </row>
    <row r="11589" spans="1:2" ht="13.2" x14ac:dyDescent="0.25">
      <c r="A11589" s="34" t="s">
        <v>617</v>
      </c>
      <c r="B11589" s="35">
        <v>1.1492720089514099</v>
      </c>
    </row>
    <row r="11590" spans="1:2" ht="13.2" x14ac:dyDescent="0.25">
      <c r="A11590" s="34" t="s">
        <v>616</v>
      </c>
    </row>
    <row r="11591" spans="1:2" ht="13.2" x14ac:dyDescent="0.25">
      <c r="A11591" s="34" t="s">
        <v>615</v>
      </c>
    </row>
    <row r="11592" spans="1:2" ht="13.2" x14ac:dyDescent="0.25">
      <c r="A11592" s="34" t="s">
        <v>614</v>
      </c>
      <c r="B11592" s="35">
        <v>1.14113160156803</v>
      </c>
    </row>
    <row r="11593" spans="1:2" ht="13.2" x14ac:dyDescent="0.25">
      <c r="A11593" s="34" t="s">
        <v>613</v>
      </c>
      <c r="B11593" s="35">
        <v>1.1464368267459999</v>
      </c>
    </row>
    <row r="11594" spans="1:2" ht="13.2" x14ac:dyDescent="0.25">
      <c r="A11594" s="34" t="s">
        <v>612</v>
      </c>
      <c r="B11594" s="35">
        <v>1.1702194415801199</v>
      </c>
    </row>
    <row r="11595" spans="1:2" ht="13.2" x14ac:dyDescent="0.25">
      <c r="A11595" s="34" t="s">
        <v>611</v>
      </c>
      <c r="B11595" s="35">
        <v>1.1657704919276299</v>
      </c>
    </row>
    <row r="11596" spans="1:2" ht="13.2" x14ac:dyDescent="0.25">
      <c r="A11596" s="34" t="s">
        <v>610</v>
      </c>
      <c r="B11596" s="35">
        <v>1.16511840273121</v>
      </c>
    </row>
    <row r="11597" spans="1:2" ht="13.2" x14ac:dyDescent="0.25">
      <c r="A11597" s="34" t="s">
        <v>609</v>
      </c>
    </row>
    <row r="11598" spans="1:2" ht="13.2" x14ac:dyDescent="0.25">
      <c r="A11598" s="34" t="s">
        <v>608</v>
      </c>
    </row>
    <row r="11599" spans="1:2" ht="13.2" x14ac:dyDescent="0.25">
      <c r="A11599" s="34" t="s">
        <v>607</v>
      </c>
      <c r="B11599" s="35">
        <v>1.21262412664942</v>
      </c>
    </row>
    <row r="11600" spans="1:2" ht="13.2" x14ac:dyDescent="0.25">
      <c r="A11600" s="34" t="s">
        <v>606</v>
      </c>
      <c r="B11600" s="35">
        <v>1.1410428409725399</v>
      </c>
    </row>
    <row r="11601" spans="1:2" ht="13.2" x14ac:dyDescent="0.25">
      <c r="A11601" s="34" t="s">
        <v>605</v>
      </c>
      <c r="B11601" s="35">
        <v>1.1527222204819301</v>
      </c>
    </row>
    <row r="11602" spans="1:2" ht="13.2" x14ac:dyDescent="0.25">
      <c r="A11602" s="34" t="s">
        <v>604</v>
      </c>
      <c r="B11602" s="35">
        <v>1.14628826665946</v>
      </c>
    </row>
    <row r="11603" spans="1:2" ht="13.2" x14ac:dyDescent="0.25">
      <c r="A11603" s="34" t="s">
        <v>603</v>
      </c>
      <c r="B11603" s="35">
        <v>1.01723854480572</v>
      </c>
    </row>
    <row r="11604" spans="1:2" ht="13.2" x14ac:dyDescent="0.25">
      <c r="A11604" s="34" t="s">
        <v>602</v>
      </c>
    </row>
    <row r="11605" spans="1:2" ht="13.2" x14ac:dyDescent="0.25">
      <c r="A11605" s="34" t="s">
        <v>601</v>
      </c>
    </row>
    <row r="11606" spans="1:2" ht="13.2" x14ac:dyDescent="0.25">
      <c r="A11606" s="34" t="s">
        <v>600</v>
      </c>
    </row>
    <row r="11607" spans="1:2" ht="13.2" x14ac:dyDescent="0.25">
      <c r="A11607" s="34" t="s">
        <v>599</v>
      </c>
    </row>
    <row r="11608" spans="1:2" ht="13.2" x14ac:dyDescent="0.25">
      <c r="A11608" s="34" t="s">
        <v>598</v>
      </c>
      <c r="B11608" s="35">
        <v>1.0144609445892601</v>
      </c>
    </row>
    <row r="11609" spans="1:2" ht="13.2" x14ac:dyDescent="0.25">
      <c r="A11609" s="34" t="s">
        <v>597</v>
      </c>
      <c r="B11609" s="35">
        <v>1.01766149409077</v>
      </c>
    </row>
    <row r="11610" spans="1:2" ht="13.2" x14ac:dyDescent="0.25">
      <c r="A11610" s="34" t="s">
        <v>596</v>
      </c>
      <c r="B11610" s="35">
        <v>1.0562917209304601</v>
      </c>
    </row>
    <row r="11611" spans="1:2" ht="13.2" x14ac:dyDescent="0.25">
      <c r="A11611" s="34" t="s">
        <v>595</v>
      </c>
      <c r="B11611" s="35">
        <v>1.0573432358450301</v>
      </c>
    </row>
    <row r="11612" spans="1:2" ht="13.2" x14ac:dyDescent="0.25">
      <c r="A11612" s="34" t="s">
        <v>594</v>
      </c>
    </row>
    <row r="11613" spans="1:2" ht="13.2" x14ac:dyDescent="0.25">
      <c r="A11613" s="34" t="s">
        <v>593</v>
      </c>
      <c r="B11613" s="35">
        <v>1.04884090838429</v>
      </c>
    </row>
    <row r="11614" spans="1:2" ht="13.2" x14ac:dyDescent="0.25">
      <c r="A11614" s="34" t="s">
        <v>592</v>
      </c>
      <c r="B11614" s="35">
        <v>1.0265849214085601</v>
      </c>
    </row>
    <row r="11615" spans="1:2" ht="13.2" x14ac:dyDescent="0.25">
      <c r="A11615" s="34" t="s">
        <v>591</v>
      </c>
      <c r="B11615" s="35">
        <v>1.0131489250760499</v>
      </c>
    </row>
    <row r="11616" spans="1:2" ht="13.2" x14ac:dyDescent="0.25">
      <c r="A11616" s="34" t="s">
        <v>590</v>
      </c>
      <c r="B11616" s="35">
        <v>1.0499332535711701</v>
      </c>
    </row>
    <row r="11617" spans="1:2" ht="13.2" x14ac:dyDescent="0.25">
      <c r="A11617" s="34" t="s">
        <v>589</v>
      </c>
      <c r="B11617" s="35">
        <v>1.1255247500430301</v>
      </c>
    </row>
    <row r="11618" spans="1:2" ht="13.2" x14ac:dyDescent="0.25">
      <c r="A11618" s="34" t="s">
        <v>588</v>
      </c>
    </row>
    <row r="11619" spans="1:2" ht="13.2" x14ac:dyDescent="0.25">
      <c r="A11619" s="34" t="s">
        <v>587</v>
      </c>
    </row>
    <row r="11620" spans="1:2" ht="13.2" x14ac:dyDescent="0.25">
      <c r="A11620" s="34" t="s">
        <v>586</v>
      </c>
      <c r="B11620" s="35">
        <v>1.1588821975930499</v>
      </c>
    </row>
    <row r="11621" spans="1:2" ht="13.2" x14ac:dyDescent="0.25">
      <c r="A11621" s="34" t="s">
        <v>585</v>
      </c>
      <c r="B11621" s="35">
        <v>1.0186619723999799</v>
      </c>
    </row>
    <row r="11622" spans="1:2" ht="13.2" x14ac:dyDescent="0.25">
      <c r="A11622" s="34" t="s">
        <v>584</v>
      </c>
      <c r="B11622" s="35">
        <v>1.0256816641662401</v>
      </c>
    </row>
    <row r="11623" spans="1:2" ht="13.2" x14ac:dyDescent="0.25">
      <c r="A11623" s="34" t="s">
        <v>583</v>
      </c>
      <c r="B11623" s="35">
        <v>1.0292495474138199</v>
      </c>
    </row>
    <row r="11624" spans="1:2" ht="13.2" x14ac:dyDescent="0.25">
      <c r="A11624" s="34" t="s">
        <v>582</v>
      </c>
      <c r="B11624" s="35">
        <v>0.99930928508287098</v>
      </c>
    </row>
    <row r="11625" spans="1:2" ht="13.2" x14ac:dyDescent="0.25">
      <c r="A11625" s="34" t="s">
        <v>581</v>
      </c>
    </row>
    <row r="11626" spans="1:2" ht="13.2" x14ac:dyDescent="0.25">
      <c r="A11626" s="34" t="s">
        <v>580</v>
      </c>
    </row>
    <row r="11627" spans="1:2" ht="13.2" x14ac:dyDescent="0.25">
      <c r="A11627" s="34" t="s">
        <v>579</v>
      </c>
      <c r="B11627" s="35">
        <v>1.0209476786207401</v>
      </c>
    </row>
    <row r="11628" spans="1:2" ht="13.2" x14ac:dyDescent="0.25">
      <c r="A11628" s="34" t="s">
        <v>578</v>
      </c>
      <c r="B11628" s="35">
        <v>1.0181276535060999</v>
      </c>
    </row>
    <row r="11629" spans="1:2" ht="13.2" x14ac:dyDescent="0.25">
      <c r="A11629" s="34" t="s">
        <v>577</v>
      </c>
      <c r="B11629" s="35">
        <v>0.95440483206284898</v>
      </c>
    </row>
    <row r="11630" spans="1:2" ht="13.2" x14ac:dyDescent="0.25">
      <c r="A11630" s="34" t="s">
        <v>576</v>
      </c>
      <c r="B11630" s="35">
        <v>0.95454222347274198</v>
      </c>
    </row>
    <row r="11631" spans="1:2" ht="13.2" x14ac:dyDescent="0.25">
      <c r="A11631" s="34" t="s">
        <v>575</v>
      </c>
      <c r="B11631" s="35">
        <v>0.95294926180876005</v>
      </c>
    </row>
    <row r="11632" spans="1:2" ht="13.2" x14ac:dyDescent="0.25">
      <c r="A11632" s="34" t="s">
        <v>574</v>
      </c>
    </row>
    <row r="11633" spans="1:2" ht="13.2" x14ac:dyDescent="0.25">
      <c r="A11633" s="34" t="s">
        <v>573</v>
      </c>
    </row>
    <row r="11634" spans="1:2" ht="13.2" x14ac:dyDescent="0.25">
      <c r="A11634" s="34" t="s">
        <v>572</v>
      </c>
      <c r="B11634" s="35">
        <v>1.00819745934427</v>
      </c>
    </row>
    <row r="11635" spans="1:2" ht="13.2" x14ac:dyDescent="0.25">
      <c r="A11635" s="34" t="s">
        <v>571</v>
      </c>
      <c r="B11635" s="35">
        <v>0.92177444841852896</v>
      </c>
    </row>
    <row r="11636" spans="1:2" ht="13.2" x14ac:dyDescent="0.25">
      <c r="A11636" s="34" t="s">
        <v>570</v>
      </c>
      <c r="B11636" s="35">
        <v>0.92353162808252398</v>
      </c>
    </row>
    <row r="11637" spans="1:2" ht="13.2" x14ac:dyDescent="0.25">
      <c r="A11637" s="34" t="s">
        <v>569</v>
      </c>
      <c r="B11637" s="35">
        <v>0.92651883298918902</v>
      </c>
    </row>
    <row r="11638" spans="1:2" ht="13.2" x14ac:dyDescent="0.25">
      <c r="A11638" s="34" t="s">
        <v>568</v>
      </c>
      <c r="B11638" s="35">
        <v>1.14069588117487</v>
      </c>
    </row>
    <row r="11639" spans="1:2" ht="13.2" x14ac:dyDescent="0.25">
      <c r="A11639" s="34" t="s">
        <v>567</v>
      </c>
    </row>
    <row r="11640" spans="1:2" ht="13.2" x14ac:dyDescent="0.25">
      <c r="A11640" s="34" t="s">
        <v>566</v>
      </c>
    </row>
    <row r="11641" spans="1:2" ht="13.2" x14ac:dyDescent="0.25">
      <c r="A11641" s="34" t="s">
        <v>565</v>
      </c>
      <c r="B11641" s="35">
        <v>1.17700198472438</v>
      </c>
    </row>
    <row r="11642" spans="1:2" ht="13.2" x14ac:dyDescent="0.25">
      <c r="A11642" s="34" t="s">
        <v>564</v>
      </c>
      <c r="B11642" s="35">
        <v>1.2143459021645999</v>
      </c>
    </row>
    <row r="11643" spans="1:2" ht="13.2" x14ac:dyDescent="0.25">
      <c r="A11643" s="34" t="s">
        <v>563</v>
      </c>
      <c r="B11643" s="35">
        <v>1.3731122084024301</v>
      </c>
    </row>
    <row r="11644" spans="1:2" ht="13.2" x14ac:dyDescent="0.25">
      <c r="A11644" s="34" t="s">
        <v>562</v>
      </c>
      <c r="B11644" s="35">
        <v>1.4013831926806299</v>
      </c>
    </row>
    <row r="11645" spans="1:2" ht="13.2" x14ac:dyDescent="0.25">
      <c r="A11645" s="34" t="s">
        <v>561</v>
      </c>
      <c r="B11645" s="35">
        <v>1.38588679524664</v>
      </c>
    </row>
    <row r="11646" spans="1:2" ht="13.2" x14ac:dyDescent="0.25">
      <c r="A11646" s="34" t="s">
        <v>560</v>
      </c>
    </row>
    <row r="11647" spans="1:2" ht="13.2" x14ac:dyDescent="0.25">
      <c r="A11647" s="34" t="s">
        <v>559</v>
      </c>
    </row>
    <row r="11648" spans="1:2" ht="13.2" x14ac:dyDescent="0.25">
      <c r="A11648" s="34" t="s">
        <v>558</v>
      </c>
      <c r="B11648" s="35">
        <v>1.2966798872718499</v>
      </c>
    </row>
    <row r="11649" spans="1:2" ht="13.2" x14ac:dyDescent="0.25">
      <c r="A11649" s="34" t="s">
        <v>557</v>
      </c>
      <c r="B11649" s="35">
        <v>1.25502001400729</v>
      </c>
    </row>
    <row r="11650" spans="1:2" ht="13.2" x14ac:dyDescent="0.25">
      <c r="A11650" s="34" t="s">
        <v>556</v>
      </c>
      <c r="B11650" s="35">
        <v>1.25641416968</v>
      </c>
    </row>
    <row r="11651" spans="1:2" ht="13.2" x14ac:dyDescent="0.25">
      <c r="A11651" s="34" t="s">
        <v>555</v>
      </c>
      <c r="B11651" s="35">
        <v>1.26653421937834</v>
      </c>
    </row>
    <row r="11652" spans="1:2" ht="13.2" x14ac:dyDescent="0.25">
      <c r="A11652" s="34" t="s">
        <v>554</v>
      </c>
    </row>
    <row r="11653" spans="1:2" ht="13.2" x14ac:dyDescent="0.25">
      <c r="A11653" s="34" t="s">
        <v>553</v>
      </c>
    </row>
    <row r="11654" spans="1:2" ht="13.2" x14ac:dyDescent="0.25">
      <c r="A11654" s="34" t="s">
        <v>552</v>
      </c>
    </row>
    <row r="11655" spans="1:2" ht="13.2" x14ac:dyDescent="0.25">
      <c r="A11655" s="34" t="s">
        <v>551</v>
      </c>
    </row>
    <row r="11656" spans="1:2" ht="13.2" x14ac:dyDescent="0.25">
      <c r="A11656" s="34" t="s">
        <v>550</v>
      </c>
      <c r="B11656" s="35">
        <v>1.27404702405412</v>
      </c>
    </row>
    <row r="11657" spans="1:2" ht="13.2" x14ac:dyDescent="0.25">
      <c r="A11657" s="34" t="s">
        <v>549</v>
      </c>
      <c r="B11657" s="35">
        <v>1.3080006637583901</v>
      </c>
    </row>
    <row r="11658" spans="1:2" ht="13.2" x14ac:dyDescent="0.25">
      <c r="A11658" s="34" t="s">
        <v>548</v>
      </c>
      <c r="B11658" s="35">
        <v>1.35035032110789</v>
      </c>
    </row>
    <row r="11659" spans="1:2" ht="13.2" x14ac:dyDescent="0.25">
      <c r="A11659" s="34" t="s">
        <v>547</v>
      </c>
      <c r="B11659" s="35">
        <v>1.3464095664226801</v>
      </c>
    </row>
    <row r="11660" spans="1:2" ht="13.2" x14ac:dyDescent="0.25">
      <c r="A11660" s="34" t="s">
        <v>546</v>
      </c>
    </row>
    <row r="11661" spans="1:2" ht="13.2" x14ac:dyDescent="0.25">
      <c r="A11661" s="34" t="s">
        <v>545</v>
      </c>
    </row>
    <row r="11662" spans="1:2" ht="13.2" x14ac:dyDescent="0.25">
      <c r="A11662" s="34" t="s">
        <v>544</v>
      </c>
      <c r="B11662" s="35">
        <v>1.3454910461243099</v>
      </c>
    </row>
    <row r="11663" spans="1:2" ht="13.2" x14ac:dyDescent="0.25">
      <c r="A11663" s="34" t="s">
        <v>543</v>
      </c>
      <c r="B11663" s="35">
        <v>1.3426039556385201</v>
      </c>
    </row>
    <row r="11664" spans="1:2" ht="13.2" x14ac:dyDescent="0.25">
      <c r="A11664" s="34" t="s">
        <v>542</v>
      </c>
      <c r="B11664" s="35">
        <v>1.3228564724529499</v>
      </c>
    </row>
    <row r="11665" spans="1:2" ht="13.2" x14ac:dyDescent="0.25">
      <c r="A11665" s="34" t="s">
        <v>541</v>
      </c>
    </row>
    <row r="11666" spans="1:2" ht="13.2" x14ac:dyDescent="0.25">
      <c r="A11666" s="34" t="s">
        <v>540</v>
      </c>
      <c r="B11666" s="35">
        <v>1.2856399389906401</v>
      </c>
    </row>
    <row r="11667" spans="1:2" ht="13.2" x14ac:dyDescent="0.25">
      <c r="A11667" s="34" t="s">
        <v>539</v>
      </c>
    </row>
    <row r="11668" spans="1:2" ht="13.2" x14ac:dyDescent="0.25">
      <c r="A11668" s="34" t="s">
        <v>538</v>
      </c>
    </row>
    <row r="11669" spans="1:2" ht="13.2" x14ac:dyDescent="0.25">
      <c r="A11669" s="34" t="s">
        <v>537</v>
      </c>
      <c r="B11669" s="35">
        <v>1.3150362695554001</v>
      </c>
    </row>
    <row r="11670" spans="1:2" ht="13.2" x14ac:dyDescent="0.25">
      <c r="A11670" s="34" t="s">
        <v>536</v>
      </c>
      <c r="B11670" s="35">
        <v>1.3150674106750599</v>
      </c>
    </row>
    <row r="11671" spans="1:2" ht="13.2" x14ac:dyDescent="0.25">
      <c r="A11671" s="34" t="s">
        <v>535</v>
      </c>
      <c r="B11671" s="35">
        <v>1.3153495794060399</v>
      </c>
    </row>
    <row r="11672" spans="1:2" ht="13.2" x14ac:dyDescent="0.25">
      <c r="A11672" s="34" t="s">
        <v>534</v>
      </c>
      <c r="B11672" s="35">
        <v>1.1812126677128201</v>
      </c>
    </row>
    <row r="11673" spans="1:2" ht="13.2" x14ac:dyDescent="0.25">
      <c r="A11673" s="34" t="s">
        <v>533</v>
      </c>
      <c r="B11673" s="35">
        <v>1.1204046287525899</v>
      </c>
    </row>
    <row r="11674" spans="1:2" ht="13.2" x14ac:dyDescent="0.25">
      <c r="A11674" s="34" t="s">
        <v>532</v>
      </c>
    </row>
    <row r="11675" spans="1:2" ht="13.2" x14ac:dyDescent="0.25">
      <c r="A11675" s="34" t="s">
        <v>531</v>
      </c>
    </row>
    <row r="11676" spans="1:2" ht="13.2" x14ac:dyDescent="0.25">
      <c r="A11676" s="34" t="s">
        <v>530</v>
      </c>
      <c r="B11676" s="35">
        <v>1.05292159998984</v>
      </c>
    </row>
    <row r="11677" spans="1:2" ht="13.2" x14ac:dyDescent="0.25">
      <c r="A11677" s="34" t="s">
        <v>529</v>
      </c>
      <c r="B11677" s="35">
        <v>0.91992704316155705</v>
      </c>
    </row>
    <row r="11678" spans="1:2" ht="13.2" x14ac:dyDescent="0.25">
      <c r="A11678" s="34" t="s">
        <v>528</v>
      </c>
      <c r="B11678" s="35">
        <v>0.87093317692828498</v>
      </c>
    </row>
    <row r="11679" spans="1:2" ht="13.2" x14ac:dyDescent="0.25">
      <c r="A11679" s="34" t="s">
        <v>527</v>
      </c>
      <c r="B11679" s="35">
        <v>0.86139002596014103</v>
      </c>
    </row>
    <row r="11680" spans="1:2" ht="13.2" x14ac:dyDescent="0.25">
      <c r="A11680" s="34" t="s">
        <v>526</v>
      </c>
      <c r="B11680" s="35">
        <v>0.83906611937390696</v>
      </c>
    </row>
    <row r="11681" spans="1:2" ht="13.2" x14ac:dyDescent="0.25">
      <c r="A11681" s="34" t="s">
        <v>525</v>
      </c>
    </row>
    <row r="11682" spans="1:2" ht="13.2" x14ac:dyDescent="0.25">
      <c r="A11682" s="34" t="s">
        <v>524</v>
      </c>
    </row>
    <row r="11683" spans="1:2" ht="13.2" x14ac:dyDescent="0.25">
      <c r="A11683" s="34" t="s">
        <v>523</v>
      </c>
      <c r="B11683" s="35">
        <v>0.83105981208174695</v>
      </c>
    </row>
    <row r="11684" spans="1:2" ht="13.2" x14ac:dyDescent="0.25">
      <c r="A11684" s="34" t="s">
        <v>522</v>
      </c>
      <c r="B11684" s="35">
        <v>0.79293893768967305</v>
      </c>
    </row>
    <row r="11685" spans="1:2" ht="13.2" x14ac:dyDescent="0.25">
      <c r="A11685" s="34" t="s">
        <v>521</v>
      </c>
      <c r="B11685" s="35">
        <v>0.89319327554363603</v>
      </c>
    </row>
    <row r="11686" spans="1:2" ht="13.2" x14ac:dyDescent="0.25">
      <c r="A11686" s="34" t="s">
        <v>520</v>
      </c>
      <c r="B11686" s="35">
        <v>0.90363532146630099</v>
      </c>
    </row>
    <row r="11687" spans="1:2" ht="13.2" x14ac:dyDescent="0.25">
      <c r="A11687" s="34" t="s">
        <v>519</v>
      </c>
      <c r="B11687" s="35">
        <v>0.869566031640716</v>
      </c>
    </row>
    <row r="11688" spans="1:2" ht="13.2" x14ac:dyDescent="0.25">
      <c r="A11688" s="34" t="s">
        <v>518</v>
      </c>
    </row>
    <row r="11689" spans="1:2" ht="13.2" x14ac:dyDescent="0.25">
      <c r="A11689" s="34" t="s">
        <v>517</v>
      </c>
    </row>
    <row r="11690" spans="1:2" ht="13.2" x14ac:dyDescent="0.25">
      <c r="A11690" s="34" t="s">
        <v>516</v>
      </c>
      <c r="B11690" s="35">
        <v>0.79155613717856499</v>
      </c>
    </row>
    <row r="11691" spans="1:2" ht="13.2" x14ac:dyDescent="0.25">
      <c r="A11691" s="34" t="s">
        <v>515</v>
      </c>
      <c r="B11691" s="35">
        <v>0.81490178243456401</v>
      </c>
    </row>
    <row r="11692" spans="1:2" ht="13.2" x14ac:dyDescent="0.25">
      <c r="A11692" s="34" t="s">
        <v>514</v>
      </c>
      <c r="B11692" s="35">
        <v>0.82651108584768096</v>
      </c>
    </row>
    <row r="11693" spans="1:2" ht="13.2" x14ac:dyDescent="0.25">
      <c r="A11693" s="34" t="s">
        <v>513</v>
      </c>
      <c r="B11693" s="35">
        <v>0.83077448454453695</v>
      </c>
    </row>
    <row r="11694" spans="1:2" ht="13.2" x14ac:dyDescent="0.25">
      <c r="A11694" s="34" t="s">
        <v>512</v>
      </c>
      <c r="B11694" s="35">
        <v>0.87184076633423502</v>
      </c>
    </row>
    <row r="11695" spans="1:2" ht="13.2" x14ac:dyDescent="0.25">
      <c r="A11695" s="34" t="s">
        <v>511</v>
      </c>
    </row>
    <row r="11696" spans="1:2" ht="13.2" x14ac:dyDescent="0.25">
      <c r="A11696" s="34" t="s">
        <v>510</v>
      </c>
    </row>
    <row r="11697" spans="1:2" ht="13.2" x14ac:dyDescent="0.25">
      <c r="A11697" s="34" t="s">
        <v>509</v>
      </c>
      <c r="B11697" s="35">
        <v>0.87346570863305095</v>
      </c>
    </row>
    <row r="11698" spans="1:2" ht="13.2" x14ac:dyDescent="0.25">
      <c r="A11698" s="34" t="s">
        <v>508</v>
      </c>
      <c r="B11698" s="35">
        <v>0.82802762092694304</v>
      </c>
    </row>
    <row r="11699" spans="1:2" ht="13.2" x14ac:dyDescent="0.25">
      <c r="A11699" s="34" t="s">
        <v>507</v>
      </c>
      <c r="B11699" s="35">
        <v>0.83604315874300705</v>
      </c>
    </row>
    <row r="11700" spans="1:2" ht="13.2" x14ac:dyDescent="0.25">
      <c r="A11700" s="34" t="s">
        <v>506</v>
      </c>
      <c r="B11700" s="35">
        <v>0.84826938293752496</v>
      </c>
    </row>
    <row r="11701" spans="1:2" ht="13.2" x14ac:dyDescent="0.25">
      <c r="A11701" s="34" t="s">
        <v>505</v>
      </c>
      <c r="B11701" s="35">
        <v>0.71386913646509798</v>
      </c>
    </row>
    <row r="11702" spans="1:2" ht="13.2" x14ac:dyDescent="0.25">
      <c r="A11702" s="34" t="s">
        <v>504</v>
      </c>
    </row>
    <row r="11703" spans="1:2" ht="13.2" x14ac:dyDescent="0.25">
      <c r="A11703" s="34" t="s">
        <v>503</v>
      </c>
    </row>
    <row r="11704" spans="1:2" ht="13.2" x14ac:dyDescent="0.25">
      <c r="A11704" s="34" t="s">
        <v>502</v>
      </c>
      <c r="B11704" s="35">
        <v>0.71489180637736405</v>
      </c>
    </row>
    <row r="11705" spans="1:2" ht="13.2" x14ac:dyDescent="0.25">
      <c r="A11705" s="34" t="s">
        <v>501</v>
      </c>
      <c r="B11705" s="35">
        <v>0.72560208624060196</v>
      </c>
    </row>
    <row r="11706" spans="1:2" ht="13.2" x14ac:dyDescent="0.25">
      <c r="A11706" s="34" t="s">
        <v>500</v>
      </c>
      <c r="B11706" s="35">
        <v>0.61915439019774698</v>
      </c>
    </row>
    <row r="11707" spans="1:2" ht="13.2" x14ac:dyDescent="0.25">
      <c r="A11707" s="34" t="s">
        <v>499</v>
      </c>
      <c r="B11707" s="35">
        <v>0.62565504207635902</v>
      </c>
    </row>
    <row r="11708" spans="1:2" ht="13.2" x14ac:dyDescent="0.25">
      <c r="A11708" s="34" t="s">
        <v>498</v>
      </c>
      <c r="B11708" s="35">
        <v>0.61149256027101095</v>
      </c>
    </row>
    <row r="11709" spans="1:2" ht="13.2" x14ac:dyDescent="0.25">
      <c r="A11709" s="34" t="s">
        <v>497</v>
      </c>
    </row>
    <row r="11710" spans="1:2" ht="13.2" x14ac:dyDescent="0.25">
      <c r="A11710" s="34" t="s">
        <v>496</v>
      </c>
    </row>
    <row r="11711" spans="1:2" ht="13.2" x14ac:dyDescent="0.25">
      <c r="A11711" s="34" t="s">
        <v>495</v>
      </c>
      <c r="B11711" s="35">
        <v>0.69869835918577206</v>
      </c>
    </row>
    <row r="11712" spans="1:2" ht="13.2" x14ac:dyDescent="0.25">
      <c r="A11712" s="34" t="s">
        <v>494</v>
      </c>
      <c r="B11712" s="35">
        <v>0.69763604449925498</v>
      </c>
    </row>
    <row r="11713" spans="1:2" ht="13.2" x14ac:dyDescent="0.25">
      <c r="A11713" s="34" t="s">
        <v>493</v>
      </c>
      <c r="B11713" s="35">
        <v>0.69263836010017599</v>
      </c>
    </row>
    <row r="11714" spans="1:2" ht="13.2" x14ac:dyDescent="0.25">
      <c r="A11714" s="34" t="s">
        <v>492</v>
      </c>
    </row>
    <row r="11715" spans="1:2" ht="13.2" x14ac:dyDescent="0.25">
      <c r="A11715" s="34" t="s">
        <v>491</v>
      </c>
      <c r="B11715" s="35">
        <v>0.64821123776879397</v>
      </c>
    </row>
    <row r="11716" spans="1:2" ht="13.2" x14ac:dyDescent="0.25">
      <c r="A11716" s="34" t="s">
        <v>490</v>
      </c>
    </row>
    <row r="11717" spans="1:2" ht="13.2" x14ac:dyDescent="0.25">
      <c r="A11717" s="34" t="s">
        <v>489</v>
      </c>
    </row>
    <row r="11718" spans="1:2" ht="13.2" x14ac:dyDescent="0.25">
      <c r="A11718" s="34" t="s">
        <v>488</v>
      </c>
      <c r="B11718" s="35">
        <v>0.64731147880616102</v>
      </c>
    </row>
    <row r="11719" spans="1:2" ht="13.2" x14ac:dyDescent="0.25">
      <c r="A11719" s="34" t="s">
        <v>487</v>
      </c>
      <c r="B11719" s="35">
        <v>0.648974408639722</v>
      </c>
    </row>
    <row r="11720" spans="1:2" ht="13.2" x14ac:dyDescent="0.25">
      <c r="A11720" s="34" t="s">
        <v>486</v>
      </c>
      <c r="B11720" s="35">
        <v>0.68154776305395304</v>
      </c>
    </row>
    <row r="11721" spans="1:2" ht="13.2" x14ac:dyDescent="0.25">
      <c r="A11721" s="34" t="s">
        <v>485</v>
      </c>
      <c r="B11721" s="35">
        <v>0.679581316885844</v>
      </c>
    </row>
    <row r="11722" spans="1:2" ht="13.2" x14ac:dyDescent="0.25">
      <c r="A11722" s="34" t="s">
        <v>484</v>
      </c>
      <c r="B11722" s="35">
        <v>0.67429778688804798</v>
      </c>
    </row>
    <row r="11723" spans="1:2" ht="13.2" x14ac:dyDescent="0.25">
      <c r="A11723" s="34" t="s">
        <v>483</v>
      </c>
    </row>
    <row r="11724" spans="1:2" ht="13.2" x14ac:dyDescent="0.25">
      <c r="A11724" s="34" t="s">
        <v>482</v>
      </c>
    </row>
    <row r="11725" spans="1:2" ht="13.2" x14ac:dyDescent="0.25">
      <c r="A11725" s="34" t="s">
        <v>481</v>
      </c>
      <c r="B11725" s="35">
        <v>0.74866291098180904</v>
      </c>
    </row>
    <row r="11726" spans="1:2" ht="13.2" x14ac:dyDescent="0.25">
      <c r="A11726" s="34" t="s">
        <v>480</v>
      </c>
      <c r="B11726" s="35">
        <v>0.71085476164276995</v>
      </c>
    </row>
    <row r="11727" spans="1:2" ht="13.2" x14ac:dyDescent="0.25">
      <c r="A11727" s="34" t="s">
        <v>479</v>
      </c>
      <c r="B11727" s="35">
        <v>0.71531228357667498</v>
      </c>
    </row>
    <row r="11728" spans="1:2" ht="13.2" x14ac:dyDescent="0.25">
      <c r="A11728" s="34" t="s">
        <v>478</v>
      </c>
      <c r="B11728" s="35">
        <v>0.76067189915581501</v>
      </c>
    </row>
    <row r="11729" spans="1:2" ht="13.2" x14ac:dyDescent="0.25">
      <c r="A11729" s="34" t="s">
        <v>477</v>
      </c>
      <c r="B11729" s="35">
        <v>0.75352233889466003</v>
      </c>
    </row>
    <row r="11730" spans="1:2" ht="13.2" x14ac:dyDescent="0.25">
      <c r="A11730" s="34" t="s">
        <v>476</v>
      </c>
    </row>
    <row r="11731" spans="1:2" ht="13.2" x14ac:dyDescent="0.25">
      <c r="A11731" s="34" t="s">
        <v>475</v>
      </c>
    </row>
    <row r="11732" spans="1:2" ht="13.2" x14ac:dyDescent="0.25">
      <c r="A11732" s="34" t="s">
        <v>474</v>
      </c>
      <c r="B11732" s="35">
        <v>0.81458562633865705</v>
      </c>
    </row>
    <row r="11733" spans="1:2" ht="13.2" x14ac:dyDescent="0.25">
      <c r="A11733" s="34" t="s">
        <v>473</v>
      </c>
      <c r="B11733" s="35">
        <v>0.81508530903952603</v>
      </c>
    </row>
    <row r="11734" spans="1:2" ht="13.2" x14ac:dyDescent="0.25">
      <c r="A11734" s="34" t="s">
        <v>472</v>
      </c>
      <c r="B11734" s="35">
        <v>0.86916586142181296</v>
      </c>
    </row>
    <row r="11735" spans="1:2" ht="13.2" x14ac:dyDescent="0.25">
      <c r="A11735" s="34" t="s">
        <v>471</v>
      </c>
      <c r="B11735" s="35">
        <v>0.871319842079746</v>
      </c>
    </row>
    <row r="11736" spans="1:2" ht="13.2" x14ac:dyDescent="0.25">
      <c r="A11736" s="34" t="s">
        <v>470</v>
      </c>
      <c r="B11736" s="35">
        <v>0.86815441687059702</v>
      </c>
    </row>
    <row r="11737" spans="1:2" ht="13.2" x14ac:dyDescent="0.25">
      <c r="A11737" s="34" t="s">
        <v>469</v>
      </c>
    </row>
    <row r="11738" spans="1:2" ht="13.2" x14ac:dyDescent="0.25">
      <c r="A11738" s="34" t="s">
        <v>468</v>
      </c>
    </row>
    <row r="11739" spans="1:2" ht="13.2" x14ac:dyDescent="0.25">
      <c r="A11739" s="34" t="s">
        <v>467</v>
      </c>
      <c r="B11739" s="35">
        <v>0.86964466675430696</v>
      </c>
    </row>
    <row r="11740" spans="1:2" ht="13.2" x14ac:dyDescent="0.25">
      <c r="A11740" s="34" t="s">
        <v>466</v>
      </c>
      <c r="B11740" s="35">
        <v>0.86618689246246705</v>
      </c>
    </row>
    <row r="11741" spans="1:2" ht="13.2" x14ac:dyDescent="0.25">
      <c r="A11741" s="34" t="s">
        <v>465</v>
      </c>
      <c r="B11741" s="35">
        <v>0.79383275422305699</v>
      </c>
    </row>
    <row r="11742" spans="1:2" ht="13.2" x14ac:dyDescent="0.25">
      <c r="A11742" s="34" t="s">
        <v>464</v>
      </c>
      <c r="B11742" s="35">
        <v>0.79366351112575695</v>
      </c>
    </row>
    <row r="11743" spans="1:2" ht="13.2" x14ac:dyDescent="0.25">
      <c r="A11743" s="34" t="s">
        <v>463</v>
      </c>
      <c r="B11743" s="35">
        <v>0.85920116228515098</v>
      </c>
    </row>
    <row r="11744" spans="1:2" ht="13.2" x14ac:dyDescent="0.25">
      <c r="A11744" s="34" t="s">
        <v>462</v>
      </c>
    </row>
    <row r="11745" spans="1:2" ht="13.2" x14ac:dyDescent="0.25">
      <c r="A11745" s="34" t="s">
        <v>461</v>
      </c>
    </row>
    <row r="11746" spans="1:2" ht="13.2" x14ac:dyDescent="0.25">
      <c r="A11746" s="34" t="s">
        <v>460</v>
      </c>
      <c r="B11746" s="35">
        <v>0.84464819608805897</v>
      </c>
    </row>
    <row r="11747" spans="1:2" ht="13.2" x14ac:dyDescent="0.25">
      <c r="A11747" s="34" t="s">
        <v>459</v>
      </c>
      <c r="B11747" s="35">
        <v>0.84167093585709996</v>
      </c>
    </row>
    <row r="11748" spans="1:2" ht="13.2" x14ac:dyDescent="0.25">
      <c r="A11748" s="34" t="s">
        <v>458</v>
      </c>
      <c r="B11748" s="35">
        <v>0.86679021958414504</v>
      </c>
    </row>
    <row r="11749" spans="1:2" ht="13.2" x14ac:dyDescent="0.25">
      <c r="A11749" s="34" t="s">
        <v>457</v>
      </c>
      <c r="B11749" s="35">
        <v>0.87472218203497198</v>
      </c>
    </row>
    <row r="11750" spans="1:2" ht="13.2" x14ac:dyDescent="0.25">
      <c r="A11750" s="34" t="s">
        <v>456</v>
      </c>
      <c r="B11750" s="35">
        <v>0.84079275349187899</v>
      </c>
    </row>
    <row r="11751" spans="1:2" ht="13.2" x14ac:dyDescent="0.25">
      <c r="A11751" s="34" t="s">
        <v>455</v>
      </c>
    </row>
    <row r="11752" spans="1:2" ht="13.2" x14ac:dyDescent="0.25">
      <c r="A11752" s="34" t="s">
        <v>454</v>
      </c>
    </row>
    <row r="11753" spans="1:2" ht="13.2" x14ac:dyDescent="0.25">
      <c r="A11753" s="34" t="s">
        <v>453</v>
      </c>
      <c r="B11753" s="35">
        <v>0.86467601506550995</v>
      </c>
    </row>
    <row r="11754" spans="1:2" ht="13.2" x14ac:dyDescent="0.25">
      <c r="A11754" s="34" t="s">
        <v>452</v>
      </c>
      <c r="B11754" s="35">
        <v>0.79672014355709997</v>
      </c>
    </row>
    <row r="11755" spans="1:2" ht="13.2" x14ac:dyDescent="0.25">
      <c r="A11755" s="34" t="s">
        <v>451</v>
      </c>
      <c r="B11755" s="35">
        <v>0.82245466553393998</v>
      </c>
    </row>
    <row r="11756" spans="1:2" ht="13.2" x14ac:dyDescent="0.25">
      <c r="A11756" s="34" t="s">
        <v>450</v>
      </c>
      <c r="B11756" s="35">
        <v>0.82889207842361201</v>
      </c>
    </row>
    <row r="11757" spans="1:2" ht="13.2" x14ac:dyDescent="0.25">
      <c r="A11757" s="34" t="s">
        <v>449</v>
      </c>
      <c r="B11757" s="35">
        <v>0.75009170988257901</v>
      </c>
    </row>
    <row r="11758" spans="1:2" ht="13.2" x14ac:dyDescent="0.25">
      <c r="A11758" s="34" t="s">
        <v>448</v>
      </c>
    </row>
    <row r="11759" spans="1:2" ht="13.2" x14ac:dyDescent="0.25">
      <c r="A11759" s="34" t="s">
        <v>447</v>
      </c>
    </row>
    <row r="11760" spans="1:2" ht="13.2" x14ac:dyDescent="0.25">
      <c r="A11760" s="34" t="s">
        <v>446</v>
      </c>
      <c r="B11760" s="35">
        <v>0.75068565000766496</v>
      </c>
    </row>
    <row r="11761" spans="1:2" ht="13.2" x14ac:dyDescent="0.25">
      <c r="A11761" s="34" t="s">
        <v>445</v>
      </c>
      <c r="B11761" s="35">
        <v>0.71019328614336497</v>
      </c>
    </row>
    <row r="11762" spans="1:2" ht="13.2" x14ac:dyDescent="0.25">
      <c r="A11762" s="34" t="s">
        <v>444</v>
      </c>
      <c r="B11762" s="35">
        <v>0.76146525070229698</v>
      </c>
    </row>
    <row r="11763" spans="1:2" ht="13.2" x14ac:dyDescent="0.25">
      <c r="A11763" s="34" t="s">
        <v>443</v>
      </c>
      <c r="B11763" s="35">
        <v>0.79287290865520899</v>
      </c>
    </row>
    <row r="11764" spans="1:2" ht="13.2" x14ac:dyDescent="0.25">
      <c r="A11764" s="34" t="s">
        <v>442</v>
      </c>
      <c r="B11764" s="35">
        <v>0.79033088107744098</v>
      </c>
    </row>
    <row r="11765" spans="1:2" ht="13.2" x14ac:dyDescent="0.25">
      <c r="A11765" s="34" t="s">
        <v>441</v>
      </c>
    </row>
    <row r="11766" spans="1:2" ht="13.2" x14ac:dyDescent="0.25">
      <c r="A11766" s="34" t="s">
        <v>440</v>
      </c>
    </row>
    <row r="11767" spans="1:2" ht="13.2" x14ac:dyDescent="0.25">
      <c r="A11767" s="34" t="s">
        <v>439</v>
      </c>
      <c r="B11767" s="35">
        <v>0.78681423447231302</v>
      </c>
    </row>
    <row r="11768" spans="1:2" ht="13.2" x14ac:dyDescent="0.25">
      <c r="A11768" s="34" t="s">
        <v>438</v>
      </c>
      <c r="B11768" s="35">
        <v>0.85420567132098701</v>
      </c>
    </row>
    <row r="11769" spans="1:2" ht="13.2" x14ac:dyDescent="0.25">
      <c r="A11769" s="34" t="s">
        <v>437</v>
      </c>
      <c r="B11769" s="35">
        <v>0.88068125082068804</v>
      </c>
    </row>
    <row r="11770" spans="1:2" ht="13.2" x14ac:dyDescent="0.25">
      <c r="A11770" s="34" t="s">
        <v>436</v>
      </c>
      <c r="B11770" s="35">
        <v>0.88228093711823796</v>
      </c>
    </row>
    <row r="11771" spans="1:2" ht="13.2" x14ac:dyDescent="0.25">
      <c r="A11771" s="34" t="s">
        <v>435</v>
      </c>
      <c r="B11771" s="35">
        <v>0.88232119055979297</v>
      </c>
    </row>
    <row r="11772" spans="1:2" ht="13.2" x14ac:dyDescent="0.25">
      <c r="A11772" s="34" t="s">
        <v>434</v>
      </c>
    </row>
    <row r="11773" spans="1:2" ht="13.2" x14ac:dyDescent="0.25">
      <c r="A11773" s="34" t="s">
        <v>433</v>
      </c>
    </row>
    <row r="11774" spans="1:2" ht="13.2" x14ac:dyDescent="0.25">
      <c r="A11774" s="34" t="s">
        <v>432</v>
      </c>
      <c r="B11774" s="35">
        <v>0.808094618897927</v>
      </c>
    </row>
    <row r="11775" spans="1:2" ht="13.2" x14ac:dyDescent="0.25">
      <c r="A11775" s="34" t="s">
        <v>431</v>
      </c>
      <c r="B11775" s="35">
        <v>0.93919754398178801</v>
      </c>
    </row>
    <row r="11776" spans="1:2" ht="13.2" x14ac:dyDescent="0.25">
      <c r="A11776" s="34" t="s">
        <v>430</v>
      </c>
      <c r="B11776" s="35">
        <v>0.93952522115949499</v>
      </c>
    </row>
    <row r="11777" spans="1:2" ht="13.2" x14ac:dyDescent="0.25">
      <c r="A11777" s="34" t="s">
        <v>429</v>
      </c>
      <c r="B11777" s="35">
        <v>0.91326461383831303</v>
      </c>
    </row>
    <row r="11778" spans="1:2" ht="13.2" x14ac:dyDescent="0.25">
      <c r="A11778" s="34" t="s">
        <v>428</v>
      </c>
      <c r="B11778" s="35">
        <v>1.0331913618392301</v>
      </c>
    </row>
    <row r="11779" spans="1:2" ht="13.2" x14ac:dyDescent="0.25">
      <c r="A11779" s="34" t="s">
        <v>427</v>
      </c>
    </row>
    <row r="11780" spans="1:2" ht="13.2" x14ac:dyDescent="0.25">
      <c r="A11780" s="34" t="s">
        <v>426</v>
      </c>
    </row>
    <row r="11781" spans="1:2" ht="13.2" x14ac:dyDescent="0.25">
      <c r="A11781" s="34" t="s">
        <v>425</v>
      </c>
      <c r="B11781" s="35">
        <v>1.03027151818747</v>
      </c>
    </row>
    <row r="11782" spans="1:2" ht="13.2" x14ac:dyDescent="0.25">
      <c r="A11782" s="34" t="s">
        <v>424</v>
      </c>
      <c r="B11782" s="35">
        <v>0.99626585613339202</v>
      </c>
    </row>
    <row r="11783" spans="1:2" ht="13.2" x14ac:dyDescent="0.25">
      <c r="A11783" s="34" t="s">
        <v>423</v>
      </c>
      <c r="B11783" s="35">
        <v>1.0117299141751199</v>
      </c>
    </row>
    <row r="11784" spans="1:2" ht="13.2" x14ac:dyDescent="0.25">
      <c r="A11784" s="34" t="s">
        <v>422</v>
      </c>
      <c r="B11784" s="35">
        <v>1.0278671140106901</v>
      </c>
    </row>
    <row r="11785" spans="1:2" ht="13.2" x14ac:dyDescent="0.25">
      <c r="A11785" s="34" t="s">
        <v>421</v>
      </c>
      <c r="B11785" s="35">
        <v>1.00542139579746</v>
      </c>
    </row>
    <row r="11786" spans="1:2" ht="13.2" x14ac:dyDescent="0.25">
      <c r="A11786" s="34" t="s">
        <v>420</v>
      </c>
    </row>
    <row r="11787" spans="1:2" ht="13.2" x14ac:dyDescent="0.25">
      <c r="A11787" s="34" t="s">
        <v>419</v>
      </c>
    </row>
    <row r="11788" spans="1:2" ht="13.2" x14ac:dyDescent="0.25">
      <c r="A11788" s="34" t="s">
        <v>418</v>
      </c>
      <c r="B11788" s="35">
        <v>0.99687476020878596</v>
      </c>
    </row>
    <row r="11789" spans="1:2" ht="13.2" x14ac:dyDescent="0.25">
      <c r="A11789" s="34" t="s">
        <v>417</v>
      </c>
      <c r="B11789" s="35">
        <v>1.0140847607882699</v>
      </c>
    </row>
    <row r="11790" spans="1:2" ht="13.2" x14ac:dyDescent="0.25">
      <c r="A11790" s="34" t="s">
        <v>416</v>
      </c>
      <c r="B11790" s="35">
        <v>1.02209399592582</v>
      </c>
    </row>
    <row r="11791" spans="1:2" ht="13.2" x14ac:dyDescent="0.25">
      <c r="A11791" s="34" t="s">
        <v>415</v>
      </c>
      <c r="B11791" s="35">
        <v>1.01420562038731</v>
      </c>
    </row>
    <row r="11792" spans="1:2" ht="13.2" x14ac:dyDescent="0.25">
      <c r="A11792" s="34" t="s">
        <v>414</v>
      </c>
      <c r="B11792" s="35">
        <v>0.99743761665792097</v>
      </c>
    </row>
    <row r="11793" spans="1:2" ht="13.2" x14ac:dyDescent="0.25">
      <c r="A11793" s="34" t="s">
        <v>413</v>
      </c>
    </row>
    <row r="11794" spans="1:2" ht="13.2" x14ac:dyDescent="0.25">
      <c r="A11794" s="34" t="s">
        <v>412</v>
      </c>
    </row>
    <row r="11795" spans="1:2" ht="13.2" x14ac:dyDescent="0.25">
      <c r="A11795" s="34" t="s">
        <v>411</v>
      </c>
      <c r="B11795" s="35">
        <v>1.0027150917329299</v>
      </c>
    </row>
    <row r="11796" spans="1:2" ht="13.2" x14ac:dyDescent="0.25">
      <c r="A11796" s="34" t="s">
        <v>410</v>
      </c>
      <c r="B11796" s="35">
        <v>1.00102916609412</v>
      </c>
    </row>
    <row r="11797" spans="1:2" ht="13.2" x14ac:dyDescent="0.25">
      <c r="A11797" s="34" t="s">
        <v>409</v>
      </c>
      <c r="B11797" s="35">
        <v>0.946415750005277</v>
      </c>
    </row>
    <row r="11798" spans="1:2" ht="13.2" x14ac:dyDescent="0.25">
      <c r="A11798" s="34" t="s">
        <v>408</v>
      </c>
      <c r="B11798" s="35">
        <v>0.91900587541220102</v>
      </c>
    </row>
    <row r="11799" spans="1:2" ht="13.2" x14ac:dyDescent="0.25">
      <c r="A11799" s="34" t="s">
        <v>407</v>
      </c>
      <c r="B11799" s="35">
        <v>0.93192630392948705</v>
      </c>
    </row>
    <row r="11800" spans="1:2" ht="13.2" x14ac:dyDescent="0.25">
      <c r="A11800" s="34" t="s">
        <v>406</v>
      </c>
    </row>
    <row r="11801" spans="1:2" ht="13.2" x14ac:dyDescent="0.25">
      <c r="A11801" s="34" t="s">
        <v>405</v>
      </c>
    </row>
    <row r="11802" spans="1:2" ht="13.2" x14ac:dyDescent="0.25">
      <c r="A11802" s="34" t="s">
        <v>404</v>
      </c>
      <c r="B11802" s="35">
        <v>0.94237523766754205</v>
      </c>
    </row>
    <row r="11803" spans="1:2" ht="13.2" x14ac:dyDescent="0.25">
      <c r="A11803" s="34" t="s">
        <v>403</v>
      </c>
      <c r="B11803" s="35">
        <v>0.93663067058788396</v>
      </c>
    </row>
    <row r="11804" spans="1:2" ht="13.2" x14ac:dyDescent="0.25">
      <c r="A11804" s="34" t="s">
        <v>402</v>
      </c>
      <c r="B11804" s="35">
        <v>0.78115364056637804</v>
      </c>
    </row>
    <row r="11805" spans="1:2" ht="13.2" x14ac:dyDescent="0.25">
      <c r="A11805" s="34" t="s">
        <v>401</v>
      </c>
      <c r="B11805" s="35">
        <v>0.78602482376121896</v>
      </c>
    </row>
    <row r="11806" spans="1:2" ht="13.2" x14ac:dyDescent="0.25">
      <c r="A11806" s="34" t="s">
        <v>400</v>
      </c>
      <c r="B11806" s="35">
        <v>0.778768785568555</v>
      </c>
    </row>
    <row r="11807" spans="1:2" ht="13.2" x14ac:dyDescent="0.25">
      <c r="A11807" s="34" t="s">
        <v>399</v>
      </c>
    </row>
    <row r="11808" spans="1:2" ht="13.2" x14ac:dyDescent="0.25">
      <c r="A11808" s="34" t="s">
        <v>398</v>
      </c>
    </row>
    <row r="11809" spans="1:2" ht="13.2" x14ac:dyDescent="0.25">
      <c r="A11809" s="34" t="s">
        <v>397</v>
      </c>
      <c r="B11809" s="35">
        <v>0.62748352813566999</v>
      </c>
    </row>
    <row r="11810" spans="1:2" ht="13.2" x14ac:dyDescent="0.25">
      <c r="A11810" s="34" t="s">
        <v>396</v>
      </c>
      <c r="B11810" s="35">
        <v>0.64182142711371903</v>
      </c>
    </row>
    <row r="11811" spans="1:2" ht="13.2" x14ac:dyDescent="0.25">
      <c r="A11811" s="34" t="s">
        <v>395</v>
      </c>
      <c r="B11811" s="35">
        <v>0.63541189598527104</v>
      </c>
    </row>
    <row r="11812" spans="1:2" ht="13.2" x14ac:dyDescent="0.25">
      <c r="A11812" s="34" t="s">
        <v>394</v>
      </c>
      <c r="B11812" s="35">
        <v>0.65498608822863402</v>
      </c>
    </row>
    <row r="11813" spans="1:2" ht="13.2" x14ac:dyDescent="0.25">
      <c r="A11813" s="34" t="s">
        <v>393</v>
      </c>
      <c r="B11813" s="35">
        <v>0.60359680542893202</v>
      </c>
    </row>
    <row r="11814" spans="1:2" ht="13.2" x14ac:dyDescent="0.25">
      <c r="A11814" s="34" t="s">
        <v>392</v>
      </c>
    </row>
    <row r="11815" spans="1:2" ht="13.2" x14ac:dyDescent="0.25">
      <c r="A11815" s="34" t="s">
        <v>391</v>
      </c>
    </row>
    <row r="11816" spans="1:2" ht="13.2" x14ac:dyDescent="0.25">
      <c r="A11816" s="34" t="s">
        <v>390</v>
      </c>
      <c r="B11816" s="35">
        <v>0.61164224978225201</v>
      </c>
    </row>
    <row r="11817" spans="1:2" ht="13.2" x14ac:dyDescent="0.25">
      <c r="A11817" s="34" t="s">
        <v>389</v>
      </c>
      <c r="B11817" s="35">
        <v>0.60809051811038195</v>
      </c>
    </row>
    <row r="11818" spans="1:2" ht="13.2" x14ac:dyDescent="0.25">
      <c r="A11818" s="34" t="s">
        <v>388</v>
      </c>
      <c r="B11818" s="35">
        <v>0.60418427475322301</v>
      </c>
    </row>
    <row r="11819" spans="1:2" ht="13.2" x14ac:dyDescent="0.25">
      <c r="A11819" s="34" t="s">
        <v>387</v>
      </c>
      <c r="B11819" s="35">
        <v>0.65540924566890002</v>
      </c>
    </row>
    <row r="11820" spans="1:2" ht="13.2" x14ac:dyDescent="0.25">
      <c r="A11820" s="34" t="s">
        <v>386</v>
      </c>
      <c r="B11820" s="35">
        <v>0.63753533329382195</v>
      </c>
    </row>
    <row r="11821" spans="1:2" ht="13.2" x14ac:dyDescent="0.25">
      <c r="A11821" s="34" t="s">
        <v>385</v>
      </c>
    </row>
    <row r="11822" spans="1:2" ht="13.2" x14ac:dyDescent="0.25">
      <c r="A11822" s="34" t="s">
        <v>384</v>
      </c>
    </row>
    <row r="11823" spans="1:2" ht="13.2" x14ac:dyDescent="0.25">
      <c r="A11823" s="34" t="s">
        <v>383</v>
      </c>
      <c r="B11823" s="35">
        <v>0.59871915146035404</v>
      </c>
    </row>
    <row r="11824" spans="1:2" ht="13.2" x14ac:dyDescent="0.25">
      <c r="A11824" s="34" t="s">
        <v>382</v>
      </c>
      <c r="B11824" s="35">
        <v>0.68298079786629595</v>
      </c>
    </row>
    <row r="11825" spans="1:2" ht="13.2" x14ac:dyDescent="0.25">
      <c r="A11825" s="34" t="s">
        <v>381</v>
      </c>
      <c r="B11825" s="35">
        <v>0.69361166331976198</v>
      </c>
    </row>
    <row r="11826" spans="1:2" ht="13.2" x14ac:dyDescent="0.25">
      <c r="A11826" s="34" t="s">
        <v>380</v>
      </c>
      <c r="B11826" s="35">
        <v>0.68733358285611001</v>
      </c>
    </row>
    <row r="11827" spans="1:2" ht="13.2" x14ac:dyDescent="0.25">
      <c r="A11827" s="34" t="s">
        <v>379</v>
      </c>
      <c r="B11827" s="35">
        <v>0.69022929258739996</v>
      </c>
    </row>
    <row r="11828" spans="1:2" ht="13.2" x14ac:dyDescent="0.25">
      <c r="A11828" s="34" t="s">
        <v>378</v>
      </c>
    </row>
    <row r="11829" spans="1:2" ht="13.2" x14ac:dyDescent="0.25">
      <c r="A11829" s="34" t="s">
        <v>377</v>
      </c>
    </row>
    <row r="11830" spans="1:2" ht="13.2" x14ac:dyDescent="0.25">
      <c r="A11830" s="34" t="s">
        <v>376</v>
      </c>
      <c r="B11830" s="35">
        <v>0.70347836261100105</v>
      </c>
    </row>
    <row r="11831" spans="1:2" ht="13.2" x14ac:dyDescent="0.25">
      <c r="A11831" s="34" t="s">
        <v>375</v>
      </c>
      <c r="B11831" s="35">
        <v>0.67197196252323599</v>
      </c>
    </row>
    <row r="11832" spans="1:2" ht="13.2" x14ac:dyDescent="0.25">
      <c r="A11832" s="34" t="s">
        <v>374</v>
      </c>
      <c r="B11832" s="35">
        <v>0.68390692775267903</v>
      </c>
    </row>
    <row r="11833" spans="1:2" ht="13.2" x14ac:dyDescent="0.25">
      <c r="A11833" s="34" t="s">
        <v>373</v>
      </c>
      <c r="B11833" s="35">
        <v>0.63641273338775295</v>
      </c>
    </row>
    <row r="11834" spans="1:2" ht="13.2" x14ac:dyDescent="0.25">
      <c r="A11834" s="34" t="s">
        <v>372</v>
      </c>
      <c r="B11834" s="35">
        <v>0.669531429336922</v>
      </c>
    </row>
    <row r="11835" spans="1:2" ht="13.2" x14ac:dyDescent="0.25">
      <c r="A11835" s="34" t="s">
        <v>371</v>
      </c>
    </row>
    <row r="11836" spans="1:2" ht="13.2" x14ac:dyDescent="0.25">
      <c r="A11836" s="34" t="s">
        <v>370</v>
      </c>
    </row>
    <row r="11837" spans="1:2" ht="13.2" x14ac:dyDescent="0.25">
      <c r="A11837" s="34" t="s">
        <v>369</v>
      </c>
      <c r="B11837" s="35">
        <v>0.691247003103446</v>
      </c>
    </row>
    <row r="11838" spans="1:2" ht="13.2" x14ac:dyDescent="0.25">
      <c r="A11838" s="34" t="s">
        <v>368</v>
      </c>
      <c r="B11838" s="35">
        <v>0.68521622633639401</v>
      </c>
    </row>
    <row r="11839" spans="1:2" ht="13.2" x14ac:dyDescent="0.25">
      <c r="A11839" s="34" t="s">
        <v>367</v>
      </c>
      <c r="B11839" s="35">
        <v>0.66492970834843101</v>
      </c>
    </row>
    <row r="11840" spans="1:2" ht="13.2" x14ac:dyDescent="0.25">
      <c r="A11840" s="34" t="s">
        <v>366</v>
      </c>
      <c r="B11840" s="35">
        <v>0.67904255545550996</v>
      </c>
    </row>
    <row r="11841" spans="1:2" ht="13.2" x14ac:dyDescent="0.25">
      <c r="A11841" s="34" t="s">
        <v>365</v>
      </c>
      <c r="B11841" s="35">
        <v>0.65776572158188495</v>
      </c>
    </row>
    <row r="11842" spans="1:2" ht="13.2" x14ac:dyDescent="0.25">
      <c r="A11842" s="34" t="s">
        <v>364</v>
      </c>
    </row>
    <row r="11843" spans="1:2" ht="13.2" x14ac:dyDescent="0.25">
      <c r="A11843" s="34" t="s">
        <v>363</v>
      </c>
    </row>
    <row r="11844" spans="1:2" ht="13.2" x14ac:dyDescent="0.25">
      <c r="A11844" s="34" t="s">
        <v>362</v>
      </c>
      <c r="B11844" s="35">
        <v>0.66725561892094198</v>
      </c>
    </row>
    <row r="11845" spans="1:2" ht="13.2" x14ac:dyDescent="0.25">
      <c r="A11845" s="34" t="s">
        <v>361</v>
      </c>
      <c r="B11845" s="35">
        <v>0.65785220557027102</v>
      </c>
    </row>
    <row r="11846" spans="1:2" ht="13.2" x14ac:dyDescent="0.25">
      <c r="A11846" s="34" t="s">
        <v>360</v>
      </c>
      <c r="B11846" s="35">
        <v>0.67870477354201897</v>
      </c>
    </row>
    <row r="11847" spans="1:2" ht="13.2" x14ac:dyDescent="0.25">
      <c r="A11847" s="34" t="s">
        <v>359</v>
      </c>
      <c r="B11847" s="35">
        <v>0.66597901172430796</v>
      </c>
    </row>
    <row r="11848" spans="1:2" ht="13.2" x14ac:dyDescent="0.25">
      <c r="A11848" s="34" t="s">
        <v>358</v>
      </c>
      <c r="B11848" s="35">
        <v>0.61241171440761699</v>
      </c>
    </row>
    <row r="11849" spans="1:2" ht="13.2" x14ac:dyDescent="0.25">
      <c r="A11849" s="34" t="s">
        <v>357</v>
      </c>
    </row>
    <row r="11850" spans="1:2" ht="13.2" x14ac:dyDescent="0.25">
      <c r="A11850" s="34" t="s">
        <v>356</v>
      </c>
    </row>
    <row r="11851" spans="1:2" ht="13.2" x14ac:dyDescent="0.25">
      <c r="A11851" s="34" t="s">
        <v>355</v>
      </c>
      <c r="B11851" s="35">
        <v>0.61947627552818696</v>
      </c>
    </row>
    <row r="11852" spans="1:2" ht="13.2" x14ac:dyDescent="0.25">
      <c r="A11852" s="34" t="s">
        <v>354</v>
      </c>
      <c r="B11852" s="35">
        <v>0.60345431579539499</v>
      </c>
    </row>
    <row r="11853" spans="1:2" ht="13.2" x14ac:dyDescent="0.25">
      <c r="A11853" s="34" t="s">
        <v>353</v>
      </c>
      <c r="B11853" s="35">
        <v>0.53226162279495304</v>
      </c>
    </row>
    <row r="11854" spans="1:2" ht="13.2" x14ac:dyDescent="0.25">
      <c r="A11854" s="34" t="s">
        <v>352</v>
      </c>
      <c r="B11854" s="35">
        <v>0.53623599618862205</v>
      </c>
    </row>
    <row r="11855" spans="1:2" ht="13.2" x14ac:dyDescent="0.25">
      <c r="A11855" s="34" t="s">
        <v>351</v>
      </c>
      <c r="B11855" s="35">
        <v>0.51414517925268199</v>
      </c>
    </row>
    <row r="11856" spans="1:2" ht="13.2" x14ac:dyDescent="0.25">
      <c r="A11856" s="34" t="s">
        <v>350</v>
      </c>
    </row>
    <row r="11857" spans="1:2" ht="13.2" x14ac:dyDescent="0.25">
      <c r="A11857" s="34" t="s">
        <v>349</v>
      </c>
    </row>
    <row r="11858" spans="1:2" ht="13.2" x14ac:dyDescent="0.25">
      <c r="A11858" s="34" t="s">
        <v>348</v>
      </c>
      <c r="B11858" s="35">
        <v>0.45005073466212903</v>
      </c>
    </row>
    <row r="11859" spans="1:2" ht="13.2" x14ac:dyDescent="0.25">
      <c r="A11859" s="34" t="s">
        <v>347</v>
      </c>
      <c r="B11859" s="35">
        <v>0.50908284664633197</v>
      </c>
    </row>
    <row r="11860" spans="1:2" ht="13.2" x14ac:dyDescent="0.25">
      <c r="A11860" s="34" t="s">
        <v>346</v>
      </c>
      <c r="B11860" s="35">
        <v>0.50925411194024095</v>
      </c>
    </row>
    <row r="11861" spans="1:2" ht="13.2" x14ac:dyDescent="0.25">
      <c r="A11861" s="34" t="s">
        <v>345</v>
      </c>
      <c r="B11861" s="35">
        <v>0.53740615239178902</v>
      </c>
    </row>
    <row r="11862" spans="1:2" ht="13.2" x14ac:dyDescent="0.25">
      <c r="A11862" s="34" t="s">
        <v>344</v>
      </c>
      <c r="B11862" s="35">
        <v>0.51028821988036599</v>
      </c>
    </row>
    <row r="11863" spans="1:2" ht="13.2" x14ac:dyDescent="0.25">
      <c r="A11863" s="34" t="s">
        <v>343</v>
      </c>
    </row>
    <row r="11864" spans="1:2" ht="13.2" x14ac:dyDescent="0.25">
      <c r="A11864" s="34" t="s">
        <v>342</v>
      </c>
    </row>
    <row r="11865" spans="1:2" ht="13.2" x14ac:dyDescent="0.25">
      <c r="A11865" s="34" t="s">
        <v>341</v>
      </c>
      <c r="B11865" s="35">
        <v>0.54511243589065805</v>
      </c>
    </row>
    <row r="11866" spans="1:2" ht="13.2" x14ac:dyDescent="0.25">
      <c r="A11866" s="34" t="s">
        <v>340</v>
      </c>
      <c r="B11866" s="35">
        <v>0.56161698483548494</v>
      </c>
    </row>
    <row r="11867" spans="1:2" ht="13.2" x14ac:dyDescent="0.25">
      <c r="A11867" s="34" t="s">
        <v>339</v>
      </c>
      <c r="B11867" s="35">
        <v>0.59502357932282401</v>
      </c>
    </row>
    <row r="11868" spans="1:2" ht="13.2" x14ac:dyDescent="0.25">
      <c r="A11868" s="34" t="s">
        <v>338</v>
      </c>
    </row>
    <row r="11869" spans="1:2" ht="13.2" x14ac:dyDescent="0.25">
      <c r="A11869" s="34" t="s">
        <v>337</v>
      </c>
      <c r="B11869" s="35">
        <v>0.61530795966656704</v>
      </c>
    </row>
    <row r="11870" spans="1:2" ht="13.2" x14ac:dyDescent="0.25">
      <c r="A11870" s="34" t="s">
        <v>336</v>
      </c>
    </row>
    <row r="11871" spans="1:2" ht="13.2" x14ac:dyDescent="0.25">
      <c r="A11871" s="34" t="s">
        <v>335</v>
      </c>
    </row>
    <row r="11872" spans="1:2" ht="13.2" x14ac:dyDescent="0.25">
      <c r="A11872" s="34" t="s">
        <v>334</v>
      </c>
      <c r="B11872" s="35">
        <v>0.61224142000850801</v>
      </c>
    </row>
    <row r="11873" spans="1:2" ht="13.2" x14ac:dyDescent="0.25">
      <c r="A11873" s="34" t="s">
        <v>333</v>
      </c>
      <c r="B11873" s="35">
        <v>0.61266024235540295</v>
      </c>
    </row>
    <row r="11874" spans="1:2" ht="13.2" x14ac:dyDescent="0.25">
      <c r="A11874" s="34" t="s">
        <v>332</v>
      </c>
      <c r="B11874" s="35">
        <v>0.68118813705463399</v>
      </c>
    </row>
    <row r="11875" spans="1:2" ht="13.2" x14ac:dyDescent="0.25">
      <c r="A11875" s="34" t="s">
        <v>331</v>
      </c>
      <c r="B11875" s="35">
        <v>0.69083821100018405</v>
      </c>
    </row>
    <row r="11876" spans="1:2" ht="13.2" x14ac:dyDescent="0.25">
      <c r="A11876" s="34" t="s">
        <v>330</v>
      </c>
      <c r="B11876" s="35">
        <v>0.68330781563953902</v>
      </c>
    </row>
    <row r="11877" spans="1:2" ht="13.2" x14ac:dyDescent="0.25">
      <c r="A11877" s="34" t="s">
        <v>329</v>
      </c>
    </row>
    <row r="11878" spans="1:2" ht="13.2" x14ac:dyDescent="0.25">
      <c r="A11878" s="34" t="s">
        <v>328</v>
      </c>
    </row>
    <row r="11879" spans="1:2" ht="13.2" x14ac:dyDescent="0.25">
      <c r="A11879" s="34" t="s">
        <v>327</v>
      </c>
      <c r="B11879" s="35">
        <v>0.69487267627943505</v>
      </c>
    </row>
    <row r="11880" spans="1:2" ht="13.2" x14ac:dyDescent="0.25">
      <c r="A11880" s="34" t="s">
        <v>326</v>
      </c>
      <c r="B11880" s="35">
        <v>0.74562918571505599</v>
      </c>
    </row>
    <row r="11881" spans="1:2" ht="13.2" x14ac:dyDescent="0.25">
      <c r="A11881" s="34" t="s">
        <v>325</v>
      </c>
      <c r="B11881" s="35">
        <v>0.74348939663061897</v>
      </c>
    </row>
    <row r="11882" spans="1:2" ht="13.2" x14ac:dyDescent="0.25">
      <c r="A11882" s="34" t="s">
        <v>324</v>
      </c>
      <c r="B11882" s="35">
        <v>0.79488692635974501</v>
      </c>
    </row>
    <row r="11883" spans="1:2" ht="13.2" x14ac:dyDescent="0.25">
      <c r="A11883" s="34" t="s">
        <v>323</v>
      </c>
      <c r="B11883" s="35">
        <v>1.27358887644003</v>
      </c>
    </row>
    <row r="11884" spans="1:2" ht="13.2" x14ac:dyDescent="0.25">
      <c r="A11884" s="34" t="s">
        <v>322</v>
      </c>
    </row>
    <row r="11885" spans="1:2" ht="13.2" x14ac:dyDescent="0.25">
      <c r="A11885" s="34" t="s">
        <v>321</v>
      </c>
    </row>
    <row r="11886" spans="1:2" ht="13.2" x14ac:dyDescent="0.25">
      <c r="A11886" s="34" t="s">
        <v>320</v>
      </c>
      <c r="B11886" s="35">
        <v>1.27622299657199</v>
      </c>
    </row>
    <row r="11887" spans="1:2" ht="13.2" x14ac:dyDescent="0.25">
      <c r="A11887" s="34" t="s">
        <v>319</v>
      </c>
      <c r="B11887" s="35">
        <v>1.27535468924534</v>
      </c>
    </row>
    <row r="11888" spans="1:2" ht="13.2" x14ac:dyDescent="0.25">
      <c r="A11888" s="34" t="s">
        <v>318</v>
      </c>
      <c r="B11888" s="35">
        <v>1.27339971950352</v>
      </c>
    </row>
    <row r="11889" spans="1:2" ht="13.2" x14ac:dyDescent="0.25">
      <c r="A11889" s="34" t="s">
        <v>317</v>
      </c>
      <c r="B11889" s="35">
        <v>1.22764535967406</v>
      </c>
    </row>
    <row r="11890" spans="1:2" ht="13.2" x14ac:dyDescent="0.25">
      <c r="A11890" s="34" t="s">
        <v>316</v>
      </c>
      <c r="B11890" s="35">
        <v>1.2442564368075399</v>
      </c>
    </row>
    <row r="11891" spans="1:2" ht="13.2" x14ac:dyDescent="0.25">
      <c r="A11891" s="34" t="s">
        <v>315</v>
      </c>
    </row>
    <row r="11892" spans="1:2" ht="13.2" x14ac:dyDescent="0.25">
      <c r="A11892" s="34" t="s">
        <v>314</v>
      </c>
    </row>
    <row r="11893" spans="1:2" ht="13.2" x14ac:dyDescent="0.25">
      <c r="A11893" s="34" t="s">
        <v>313</v>
      </c>
      <c r="B11893" s="35">
        <v>1.2581319591537701</v>
      </c>
    </row>
    <row r="11894" spans="1:2" ht="13.2" x14ac:dyDescent="0.25">
      <c r="A11894" s="34" t="s">
        <v>312</v>
      </c>
      <c r="B11894" s="35">
        <v>1.3775501491559099</v>
      </c>
    </row>
    <row r="11895" spans="1:2" ht="13.2" x14ac:dyDescent="0.25">
      <c r="A11895" s="34" t="s">
        <v>311</v>
      </c>
      <c r="B11895" s="35">
        <v>1.38503965095757</v>
      </c>
    </row>
    <row r="11896" spans="1:2" ht="13.2" x14ac:dyDescent="0.25">
      <c r="A11896" s="34" t="s">
        <v>310</v>
      </c>
      <c r="B11896" s="35">
        <v>1.38534699269104</v>
      </c>
    </row>
    <row r="11897" spans="1:2" ht="13.2" x14ac:dyDescent="0.25">
      <c r="A11897" s="34" t="s">
        <v>309</v>
      </c>
      <c r="B11897" s="35">
        <v>1.37517690008392</v>
      </c>
    </row>
    <row r="11898" spans="1:2" ht="13.2" x14ac:dyDescent="0.25">
      <c r="A11898" s="34" t="s">
        <v>308</v>
      </c>
    </row>
    <row r="11899" spans="1:2" ht="13.2" x14ac:dyDescent="0.25">
      <c r="A11899" s="34" t="s">
        <v>307</v>
      </c>
    </row>
    <row r="11900" spans="1:2" ht="13.2" x14ac:dyDescent="0.25">
      <c r="A11900" s="34" t="s">
        <v>306</v>
      </c>
      <c r="B11900" s="35">
        <v>1.3724864420924601</v>
      </c>
    </row>
    <row r="11901" spans="1:2" ht="13.2" x14ac:dyDescent="0.25">
      <c r="A11901" s="34" t="s">
        <v>305</v>
      </c>
      <c r="B11901" s="35">
        <v>1.4033171828601401</v>
      </c>
    </row>
    <row r="11902" spans="1:2" ht="13.2" x14ac:dyDescent="0.25">
      <c r="A11902" s="34" t="s">
        <v>304</v>
      </c>
    </row>
    <row r="11903" spans="1:2" ht="13.2" x14ac:dyDescent="0.25">
      <c r="A11903" s="34" t="s">
        <v>303</v>
      </c>
    </row>
    <row r="11904" spans="1:2" ht="13.2" x14ac:dyDescent="0.25">
      <c r="A11904" s="34" t="s">
        <v>302</v>
      </c>
      <c r="B11904" s="35">
        <v>1.4024380659964799</v>
      </c>
    </row>
    <row r="11905" spans="1:2" ht="13.2" x14ac:dyDescent="0.25">
      <c r="A11905" s="34" t="s">
        <v>301</v>
      </c>
    </row>
    <row r="11906" spans="1:2" ht="13.2" x14ac:dyDescent="0.25">
      <c r="A11906" s="34" t="s">
        <v>300</v>
      </c>
    </row>
    <row r="11907" spans="1:2" ht="13.2" x14ac:dyDescent="0.25">
      <c r="A11907" s="34" t="s">
        <v>299</v>
      </c>
      <c r="B11907" s="35">
        <v>1.35964689389631</v>
      </c>
    </row>
    <row r="11908" spans="1:2" ht="13.2" x14ac:dyDescent="0.25">
      <c r="A11908" s="34" t="s">
        <v>298</v>
      </c>
      <c r="B11908" s="35">
        <v>1.36054011567319</v>
      </c>
    </row>
    <row r="11909" spans="1:2" ht="13.2" x14ac:dyDescent="0.25">
      <c r="A11909" s="34" t="s">
        <v>297</v>
      </c>
    </row>
    <row r="11910" spans="1:2" ht="13.2" x14ac:dyDescent="0.25">
      <c r="A11910" s="34" t="s">
        <v>296</v>
      </c>
    </row>
    <row r="11911" spans="1:2" ht="13.2" x14ac:dyDescent="0.25">
      <c r="A11911" s="34" t="s">
        <v>295</v>
      </c>
      <c r="B11911" s="35">
        <v>1.3605557072421099</v>
      </c>
    </row>
    <row r="11912" spans="1:2" ht="13.2" x14ac:dyDescent="0.25">
      <c r="A11912" s="34" t="s">
        <v>294</v>
      </c>
    </row>
    <row r="11913" spans="1:2" ht="13.2" x14ac:dyDescent="0.25">
      <c r="A11913" s="34" t="s">
        <v>293</v>
      </c>
    </row>
    <row r="11914" spans="1:2" ht="13.2" x14ac:dyDescent="0.25">
      <c r="A11914" s="34" t="s">
        <v>292</v>
      </c>
      <c r="B11914" s="35">
        <v>1.36862832762722</v>
      </c>
    </row>
    <row r="11915" spans="1:2" ht="13.2" x14ac:dyDescent="0.25">
      <c r="A11915" s="34" t="s">
        <v>291</v>
      </c>
      <c r="B11915" s="35">
        <v>1.3480767653144099</v>
      </c>
    </row>
    <row r="11916" spans="1:2" ht="13.2" x14ac:dyDescent="0.25">
      <c r="A11916" s="34" t="s">
        <v>290</v>
      </c>
      <c r="B11916" s="35">
        <v>1.3669716370440299</v>
      </c>
    </row>
    <row r="11917" spans="1:2" ht="13.2" x14ac:dyDescent="0.25">
      <c r="A11917" s="34" t="s">
        <v>289</v>
      </c>
      <c r="B11917" s="35">
        <v>1.3217479828205301</v>
      </c>
    </row>
    <row r="11918" spans="1:2" ht="13.2" x14ac:dyDescent="0.25">
      <c r="A11918" s="34" t="s">
        <v>288</v>
      </c>
      <c r="B11918" s="35">
        <v>0.86547967118813296</v>
      </c>
    </row>
    <row r="11919" spans="1:2" ht="13.2" x14ac:dyDescent="0.25">
      <c r="A11919" s="34" t="s">
        <v>287</v>
      </c>
    </row>
    <row r="11920" spans="1:2" ht="13.2" x14ac:dyDescent="0.25">
      <c r="A11920" s="34" t="s">
        <v>286</v>
      </c>
    </row>
    <row r="11921" spans="1:2" ht="13.2" x14ac:dyDescent="0.25">
      <c r="A11921" s="34" t="s">
        <v>285</v>
      </c>
      <c r="B11921" s="35">
        <v>0.86437742228484205</v>
      </c>
    </row>
    <row r="11922" spans="1:2" ht="13.2" x14ac:dyDescent="0.25">
      <c r="A11922" s="34" t="s">
        <v>284</v>
      </c>
      <c r="B11922" s="35">
        <v>0.883405615031712</v>
      </c>
    </row>
    <row r="11923" spans="1:2" ht="13.2" x14ac:dyDescent="0.25">
      <c r="A11923" s="34" t="s">
        <v>283</v>
      </c>
      <c r="B11923" s="35">
        <v>0.96239587235222701</v>
      </c>
    </row>
    <row r="11924" spans="1:2" ht="13.2" x14ac:dyDescent="0.25">
      <c r="A11924" s="34" t="s">
        <v>282</v>
      </c>
      <c r="B11924" s="35">
        <v>0.962211775826884</v>
      </c>
    </row>
    <row r="11925" spans="1:2" ht="13.2" x14ac:dyDescent="0.25">
      <c r="A11925" s="34" t="s">
        <v>281</v>
      </c>
      <c r="B11925" s="35">
        <v>0.95404592359045903</v>
      </c>
    </row>
    <row r="11926" spans="1:2" ht="13.2" x14ac:dyDescent="0.25">
      <c r="A11926" s="34" t="s">
        <v>280</v>
      </c>
    </row>
    <row r="11927" spans="1:2" ht="13.2" x14ac:dyDescent="0.25">
      <c r="A11927" s="34" t="s">
        <v>279</v>
      </c>
    </row>
    <row r="11928" spans="1:2" ht="13.2" x14ac:dyDescent="0.25">
      <c r="A11928" s="34" t="s">
        <v>278</v>
      </c>
      <c r="B11928" s="35">
        <v>0.92926159742274705</v>
      </c>
    </row>
    <row r="11929" spans="1:2" ht="13.2" x14ac:dyDescent="0.25">
      <c r="A11929" s="34" t="s">
        <v>277</v>
      </c>
      <c r="B11929" s="35">
        <v>0.745951660461878</v>
      </c>
    </row>
    <row r="11930" spans="1:2" ht="13.2" x14ac:dyDescent="0.25">
      <c r="A11930" s="34" t="s">
        <v>276</v>
      </c>
      <c r="B11930" s="35">
        <v>0.96481839035585004</v>
      </c>
    </row>
    <row r="11931" spans="1:2" ht="13.2" x14ac:dyDescent="0.25">
      <c r="A11931" s="34" t="s">
        <v>275</v>
      </c>
      <c r="B11931" s="35">
        <v>1.03760161075436</v>
      </c>
    </row>
    <row r="11932" spans="1:2" ht="13.2" x14ac:dyDescent="0.25">
      <c r="A11932" s="34" t="s">
        <v>274</v>
      </c>
      <c r="B11932" s="35">
        <v>1.0769641139341599</v>
      </c>
    </row>
    <row r="11933" spans="1:2" ht="13.2" x14ac:dyDescent="0.25">
      <c r="A11933" s="34" t="s">
        <v>273</v>
      </c>
    </row>
    <row r="11934" spans="1:2" ht="13.2" x14ac:dyDescent="0.25">
      <c r="A11934" s="34" t="s">
        <v>272</v>
      </c>
    </row>
    <row r="11935" spans="1:2" ht="13.2" x14ac:dyDescent="0.25">
      <c r="A11935" s="34" t="s">
        <v>271</v>
      </c>
      <c r="B11935" s="35">
        <v>1.0725303800443799</v>
      </c>
    </row>
    <row r="11936" spans="1:2" ht="13.2" x14ac:dyDescent="0.25">
      <c r="A11936" s="34" t="s">
        <v>270</v>
      </c>
      <c r="B11936" s="35">
        <v>1.0877265769162601</v>
      </c>
    </row>
    <row r="11937" spans="1:2" ht="13.2" x14ac:dyDescent="0.25">
      <c r="A11937" s="34" t="s">
        <v>269</v>
      </c>
      <c r="B11937" s="35">
        <v>1.1027618612461001</v>
      </c>
    </row>
    <row r="11938" spans="1:2" ht="13.2" x14ac:dyDescent="0.25">
      <c r="A11938" s="34" t="s">
        <v>268</v>
      </c>
      <c r="B11938" s="35">
        <v>1.1343906945847899</v>
      </c>
    </row>
    <row r="11939" spans="1:2" ht="13.2" x14ac:dyDescent="0.25">
      <c r="A11939" s="34" t="s">
        <v>267</v>
      </c>
      <c r="B11939" s="35">
        <v>1.1864333341206801</v>
      </c>
    </row>
    <row r="11940" spans="1:2" ht="13.2" x14ac:dyDescent="0.25">
      <c r="A11940" s="34" t="s">
        <v>266</v>
      </c>
    </row>
    <row r="11941" spans="1:2" ht="13.2" x14ac:dyDescent="0.25">
      <c r="A11941" s="34" t="s">
        <v>265</v>
      </c>
    </row>
    <row r="11942" spans="1:2" ht="13.2" x14ac:dyDescent="0.25">
      <c r="A11942" s="34" t="s">
        <v>264</v>
      </c>
      <c r="B11942" s="35">
        <v>1.16785632129961</v>
      </c>
    </row>
    <row r="11943" spans="1:2" ht="13.2" x14ac:dyDescent="0.25">
      <c r="A11943" s="34" t="s">
        <v>263</v>
      </c>
      <c r="B11943" s="35">
        <v>1.1853899730539801</v>
      </c>
    </row>
    <row r="11944" spans="1:2" ht="13.2" x14ac:dyDescent="0.25">
      <c r="A11944" s="34" t="s">
        <v>262</v>
      </c>
      <c r="B11944" s="35">
        <v>1.3286272977998099</v>
      </c>
    </row>
    <row r="11945" spans="1:2" ht="13.2" x14ac:dyDescent="0.25">
      <c r="A11945" s="34" t="s">
        <v>261</v>
      </c>
      <c r="B11945" s="35">
        <v>1.28340868673541</v>
      </c>
    </row>
    <row r="11946" spans="1:2" ht="13.2" x14ac:dyDescent="0.25">
      <c r="A11946" s="34" t="s">
        <v>260</v>
      </c>
      <c r="B11946" s="35">
        <v>1.283593161038</v>
      </c>
    </row>
    <row r="11947" spans="1:2" ht="13.2" x14ac:dyDescent="0.25">
      <c r="A11947" s="34" t="s">
        <v>259</v>
      </c>
    </row>
    <row r="11948" spans="1:2" ht="13.2" x14ac:dyDescent="0.25">
      <c r="A11948" s="34" t="s">
        <v>258</v>
      </c>
    </row>
    <row r="11949" spans="1:2" ht="13.2" x14ac:dyDescent="0.25">
      <c r="A11949" s="34" t="s">
        <v>257</v>
      </c>
      <c r="B11949" s="35">
        <v>1.30913103288508</v>
      </c>
    </row>
    <row r="11950" spans="1:2" ht="13.2" x14ac:dyDescent="0.25">
      <c r="A11950" s="34" t="s">
        <v>256</v>
      </c>
      <c r="B11950" s="35">
        <v>1.3101040114203899</v>
      </c>
    </row>
    <row r="11951" spans="1:2" ht="13.2" x14ac:dyDescent="0.25">
      <c r="A11951" s="34" t="s">
        <v>255</v>
      </c>
      <c r="B11951" s="35">
        <v>1.3053290467221299</v>
      </c>
    </row>
    <row r="11952" spans="1:2" ht="13.2" x14ac:dyDescent="0.25">
      <c r="A11952" s="34" t="s">
        <v>254</v>
      </c>
      <c r="B11952" s="35">
        <v>1.3305128128354</v>
      </c>
    </row>
    <row r="11953" spans="1:2" ht="13.2" x14ac:dyDescent="0.25">
      <c r="A11953" s="34" t="s">
        <v>253</v>
      </c>
      <c r="B11953" s="35">
        <v>1.35911641023297</v>
      </c>
    </row>
    <row r="11954" spans="1:2" ht="13.2" x14ac:dyDescent="0.25">
      <c r="A11954" s="34" t="s">
        <v>252</v>
      </c>
    </row>
    <row r="11955" spans="1:2" ht="13.2" x14ac:dyDescent="0.25">
      <c r="A11955" s="34" t="s">
        <v>251</v>
      </c>
    </row>
    <row r="11956" spans="1:2" ht="13.2" x14ac:dyDescent="0.25">
      <c r="A11956" s="34" t="s">
        <v>250</v>
      </c>
    </row>
    <row r="11957" spans="1:2" ht="13.2" x14ac:dyDescent="0.25">
      <c r="A11957" s="34" t="s">
        <v>249</v>
      </c>
    </row>
    <row r="11958" spans="1:2" ht="13.2" x14ac:dyDescent="0.25">
      <c r="A11958" s="34" t="s">
        <v>248</v>
      </c>
      <c r="B11958" s="35">
        <v>1.35146680960604</v>
      </c>
    </row>
    <row r="11959" spans="1:2" ht="13.2" x14ac:dyDescent="0.25">
      <c r="A11959" s="34" t="s">
        <v>247</v>
      </c>
      <c r="B11959" s="35">
        <v>1.3553128003819199</v>
      </c>
    </row>
    <row r="11960" spans="1:2" ht="13.2" x14ac:dyDescent="0.25">
      <c r="A11960" s="34" t="s">
        <v>246</v>
      </c>
      <c r="B11960" s="35">
        <v>1.3575504981814699</v>
      </c>
    </row>
    <row r="11961" spans="1:2" ht="13.2" x14ac:dyDescent="0.25">
      <c r="A11961" s="34" t="s">
        <v>245</v>
      </c>
    </row>
    <row r="11962" spans="1:2" ht="13.2" x14ac:dyDescent="0.25">
      <c r="A11962" s="34" t="s">
        <v>244</v>
      </c>
    </row>
    <row r="11963" spans="1:2" ht="13.2" x14ac:dyDescent="0.25">
      <c r="A11963" s="34" t="s">
        <v>243</v>
      </c>
      <c r="B11963" s="35">
        <v>1.2544957150559599</v>
      </c>
    </row>
    <row r="11964" spans="1:2" ht="13.2" x14ac:dyDescent="0.25">
      <c r="A11964" s="34" t="s">
        <v>242</v>
      </c>
      <c r="B11964" s="35">
        <v>1.2115807442191699</v>
      </c>
    </row>
    <row r="11965" spans="1:2" ht="13.2" x14ac:dyDescent="0.25">
      <c r="A11965" s="34" t="s">
        <v>241</v>
      </c>
      <c r="B11965" s="35">
        <v>1.1707385818963201</v>
      </c>
    </row>
    <row r="11966" spans="1:2" ht="13.2" x14ac:dyDescent="0.25">
      <c r="A11966" s="34" t="s">
        <v>240</v>
      </c>
      <c r="B11966" s="35">
        <v>1.1716340831395</v>
      </c>
    </row>
    <row r="11967" spans="1:2" ht="13.2" x14ac:dyDescent="0.25">
      <c r="A11967" s="34" t="s">
        <v>239</v>
      </c>
      <c r="B11967" s="35">
        <v>1.1645494149121101</v>
      </c>
    </row>
    <row r="11968" spans="1:2" ht="13.2" x14ac:dyDescent="0.25">
      <c r="A11968" s="34" t="s">
        <v>238</v>
      </c>
    </row>
    <row r="11969" spans="1:2" ht="13.2" x14ac:dyDescent="0.25">
      <c r="A11969" s="34" t="s">
        <v>237</v>
      </c>
    </row>
    <row r="11970" spans="1:2" ht="13.2" x14ac:dyDescent="0.25">
      <c r="A11970" s="34" t="s">
        <v>236</v>
      </c>
      <c r="B11970" s="35">
        <v>1.12418831733227</v>
      </c>
    </row>
    <row r="11971" spans="1:2" ht="13.2" x14ac:dyDescent="0.25">
      <c r="A11971" s="34" t="s">
        <v>235</v>
      </c>
      <c r="B11971" s="35">
        <v>1.3406187169095101</v>
      </c>
    </row>
    <row r="11972" spans="1:2" ht="13.2" x14ac:dyDescent="0.25">
      <c r="A11972" s="34" t="s">
        <v>234</v>
      </c>
      <c r="B11972" s="35">
        <v>1.34687104755731</v>
      </c>
    </row>
    <row r="11973" spans="1:2" ht="13.2" x14ac:dyDescent="0.25">
      <c r="A11973" s="34" t="s">
        <v>233</v>
      </c>
      <c r="B11973" s="35">
        <v>1.46623198150034</v>
      </c>
    </row>
    <row r="11974" spans="1:2" ht="13.2" x14ac:dyDescent="0.25">
      <c r="A11974" s="34" t="s">
        <v>232</v>
      </c>
      <c r="B11974" s="35">
        <v>1.4218577287795899</v>
      </c>
    </row>
    <row r="11975" spans="1:2" ht="13.2" x14ac:dyDescent="0.25">
      <c r="A11975" s="34" t="s">
        <v>231</v>
      </c>
    </row>
    <row r="11976" spans="1:2" ht="13.2" x14ac:dyDescent="0.25">
      <c r="A11976" s="34" t="s">
        <v>230</v>
      </c>
    </row>
    <row r="11977" spans="1:2" ht="13.2" x14ac:dyDescent="0.25">
      <c r="A11977" s="34" t="s">
        <v>229</v>
      </c>
      <c r="B11977" s="35">
        <v>1.3614701364005199</v>
      </c>
    </row>
    <row r="11978" spans="1:2" ht="13.2" x14ac:dyDescent="0.25">
      <c r="A11978" s="34" t="s">
        <v>228</v>
      </c>
      <c r="B11978" s="35">
        <v>1.39525848803621</v>
      </c>
    </row>
    <row r="11979" spans="1:2" ht="13.2" x14ac:dyDescent="0.25">
      <c r="A11979" s="34" t="s">
        <v>227</v>
      </c>
      <c r="B11979" s="35">
        <v>1.39324312744292</v>
      </c>
    </row>
    <row r="11980" spans="1:2" ht="13.2" x14ac:dyDescent="0.25">
      <c r="A11980" s="34" t="s">
        <v>226</v>
      </c>
      <c r="B11980" s="35">
        <v>1.4425701117740299</v>
      </c>
    </row>
    <row r="11981" spans="1:2" ht="13.2" x14ac:dyDescent="0.25">
      <c r="A11981" s="34" t="s">
        <v>225</v>
      </c>
      <c r="B11981" s="35">
        <v>1.4513958193863501</v>
      </c>
    </row>
    <row r="11982" spans="1:2" ht="13.2" x14ac:dyDescent="0.25">
      <c r="A11982" s="34" t="s">
        <v>224</v>
      </c>
    </row>
    <row r="11983" spans="1:2" ht="13.2" x14ac:dyDescent="0.25">
      <c r="A11983" s="34" t="s">
        <v>223</v>
      </c>
    </row>
    <row r="11984" spans="1:2" ht="13.2" x14ac:dyDescent="0.25">
      <c r="A11984" s="34" t="s">
        <v>222</v>
      </c>
      <c r="B11984" s="35">
        <v>1.4015562742927301</v>
      </c>
    </row>
    <row r="11985" spans="1:2" ht="13.2" x14ac:dyDescent="0.25">
      <c r="A11985" s="34" t="s">
        <v>221</v>
      </c>
      <c r="B11985" s="35">
        <v>1.39485453612587</v>
      </c>
    </row>
    <row r="11986" spans="1:2" ht="13.2" x14ac:dyDescent="0.25">
      <c r="A11986" s="34" t="s">
        <v>220</v>
      </c>
      <c r="B11986" s="35">
        <v>1.39121834812556</v>
      </c>
    </row>
    <row r="11987" spans="1:2" ht="13.2" x14ac:dyDescent="0.25">
      <c r="A11987" s="34" t="s">
        <v>219</v>
      </c>
      <c r="B11987" s="35">
        <v>1.3958533744677699</v>
      </c>
    </row>
    <row r="11988" spans="1:2" ht="13.2" x14ac:dyDescent="0.25">
      <c r="A11988" s="34" t="s">
        <v>218</v>
      </c>
      <c r="B11988" s="35">
        <v>1.4252059208644801</v>
      </c>
    </row>
    <row r="11989" spans="1:2" ht="13.2" x14ac:dyDescent="0.25">
      <c r="A11989" s="34" t="s">
        <v>217</v>
      </c>
    </row>
    <row r="11990" spans="1:2" ht="13.2" x14ac:dyDescent="0.25">
      <c r="A11990" s="34" t="s">
        <v>216</v>
      </c>
    </row>
    <row r="11991" spans="1:2" ht="13.2" x14ac:dyDescent="0.25">
      <c r="A11991" s="34" t="s">
        <v>215</v>
      </c>
      <c r="B11991" s="35">
        <v>1.59447360096084</v>
      </c>
    </row>
    <row r="11992" spans="1:2" ht="13.2" x14ac:dyDescent="0.25">
      <c r="A11992" s="34" t="s">
        <v>214</v>
      </c>
      <c r="B11992" s="35">
        <v>1.59095841470355</v>
      </c>
    </row>
    <row r="11993" spans="1:2" ht="13.2" x14ac:dyDescent="0.25">
      <c r="A11993" s="34" t="s">
        <v>213</v>
      </c>
      <c r="B11993" s="35">
        <v>1.6011736494750799</v>
      </c>
    </row>
    <row r="11994" spans="1:2" ht="13.2" x14ac:dyDescent="0.25">
      <c r="A11994" s="34" t="s">
        <v>212</v>
      </c>
      <c r="B11994" s="35">
        <v>1.6263758503553301</v>
      </c>
    </row>
    <row r="11995" spans="1:2" ht="13.2" x14ac:dyDescent="0.25">
      <c r="A11995" s="34" t="s">
        <v>211</v>
      </c>
      <c r="B11995" s="35">
        <v>1.6288791986078699</v>
      </c>
    </row>
    <row r="11996" spans="1:2" ht="13.2" x14ac:dyDescent="0.25">
      <c r="A11996" s="34" t="s">
        <v>210</v>
      </c>
    </row>
    <row r="11997" spans="1:2" ht="13.2" x14ac:dyDescent="0.25">
      <c r="A11997" s="34" t="s">
        <v>209</v>
      </c>
    </row>
    <row r="11998" spans="1:2" ht="13.2" x14ac:dyDescent="0.25">
      <c r="A11998" s="34" t="s">
        <v>208</v>
      </c>
      <c r="B11998" s="35">
        <v>1.6226332258481599</v>
      </c>
    </row>
    <row r="11999" spans="1:2" ht="13.2" x14ac:dyDescent="0.25">
      <c r="A11999" s="34" t="s">
        <v>207</v>
      </c>
      <c r="B11999" s="35">
        <v>1.73546032644462</v>
      </c>
    </row>
    <row r="12000" spans="1:2" ht="13.2" x14ac:dyDescent="0.25">
      <c r="A12000" s="34" t="s">
        <v>206</v>
      </c>
      <c r="B12000" s="35">
        <v>1.5641230495362199</v>
      </c>
    </row>
    <row r="12001" spans="1:2" ht="13.2" x14ac:dyDescent="0.25">
      <c r="A12001" s="34" t="s">
        <v>205</v>
      </c>
      <c r="B12001" s="35">
        <v>1.5435815872838301</v>
      </c>
    </row>
    <row r="12002" spans="1:2" ht="13.2" x14ac:dyDescent="0.25">
      <c r="A12002" s="34" t="s">
        <v>204</v>
      </c>
    </row>
    <row r="12003" spans="1:2" ht="13.2" x14ac:dyDescent="0.25">
      <c r="A12003" s="34" t="s">
        <v>203</v>
      </c>
    </row>
    <row r="12004" spans="1:2" ht="13.2" x14ac:dyDescent="0.25">
      <c r="A12004" s="34" t="s">
        <v>202</v>
      </c>
    </row>
    <row r="12005" spans="1:2" ht="13.2" x14ac:dyDescent="0.25">
      <c r="A12005" s="34" t="s">
        <v>201</v>
      </c>
      <c r="B12005" s="35">
        <v>1.40962850147235</v>
      </c>
    </row>
    <row r="12006" spans="1:2" ht="13.2" x14ac:dyDescent="0.25">
      <c r="A12006" s="34" t="s">
        <v>200</v>
      </c>
      <c r="B12006" s="35">
        <v>1.39796571326423</v>
      </c>
    </row>
    <row r="12007" spans="1:2" ht="13.2" x14ac:dyDescent="0.25">
      <c r="A12007" s="34" t="s">
        <v>199</v>
      </c>
      <c r="B12007" s="35">
        <v>1.44934016833115</v>
      </c>
    </row>
    <row r="12008" spans="1:2" ht="13.2" x14ac:dyDescent="0.25">
      <c r="A12008" s="34" t="s">
        <v>198</v>
      </c>
      <c r="B12008" s="35">
        <v>1.4542161592931599</v>
      </c>
    </row>
    <row r="12009" spans="1:2" ht="13.2" x14ac:dyDescent="0.25">
      <c r="A12009" s="34" t="s">
        <v>197</v>
      </c>
      <c r="B12009" s="35">
        <v>1.4652929538130901</v>
      </c>
    </row>
    <row r="12010" spans="1:2" ht="13.2" x14ac:dyDescent="0.25">
      <c r="A12010" s="34" t="s">
        <v>196</v>
      </c>
    </row>
    <row r="12011" spans="1:2" ht="13.2" x14ac:dyDescent="0.25">
      <c r="A12011" s="34" t="s">
        <v>195</v>
      </c>
    </row>
    <row r="12012" spans="1:2" ht="13.2" x14ac:dyDescent="0.25">
      <c r="A12012" s="34" t="s">
        <v>194</v>
      </c>
      <c r="B12012" s="35">
        <v>1.30481946391903</v>
      </c>
    </row>
    <row r="12013" spans="1:2" ht="13.2" x14ac:dyDescent="0.25">
      <c r="A12013" s="34" t="s">
        <v>193</v>
      </c>
      <c r="B12013" s="35">
        <v>1.2663503147887101</v>
      </c>
    </row>
    <row r="12014" spans="1:2" ht="13.2" x14ac:dyDescent="0.25">
      <c r="A12014" s="34" t="s">
        <v>192</v>
      </c>
      <c r="B12014" s="35">
        <v>1.2731942318829199</v>
      </c>
    </row>
    <row r="12015" spans="1:2" ht="13.2" x14ac:dyDescent="0.25">
      <c r="A12015" s="34" t="s">
        <v>191</v>
      </c>
      <c r="B12015" s="35">
        <v>1.2885927214708699</v>
      </c>
    </row>
    <row r="12016" spans="1:2" ht="13.2" x14ac:dyDescent="0.25">
      <c r="A12016" s="34" t="s">
        <v>190</v>
      </c>
      <c r="B12016" s="35">
        <v>1.2929619270908299</v>
      </c>
    </row>
    <row r="12017" spans="1:2" ht="13.2" x14ac:dyDescent="0.25">
      <c r="A12017" s="34" t="s">
        <v>189</v>
      </c>
    </row>
    <row r="12018" spans="1:2" ht="13.2" x14ac:dyDescent="0.25">
      <c r="A12018" s="34" t="s">
        <v>188</v>
      </c>
    </row>
    <row r="12019" spans="1:2" ht="13.2" x14ac:dyDescent="0.25">
      <c r="A12019" s="34" t="s">
        <v>187</v>
      </c>
      <c r="B12019" s="35">
        <v>1.2936929176547101</v>
      </c>
    </row>
    <row r="12020" spans="1:2" ht="13.2" x14ac:dyDescent="0.25">
      <c r="A12020" s="34" t="s">
        <v>186</v>
      </c>
    </row>
    <row r="12021" spans="1:2" ht="13.2" x14ac:dyDescent="0.25">
      <c r="A12021" s="34" t="s">
        <v>185</v>
      </c>
      <c r="B12021" s="35">
        <v>1.23653259825043</v>
      </c>
    </row>
    <row r="12022" spans="1:2" ht="13.2" x14ac:dyDescent="0.25">
      <c r="A12022" s="34" t="s">
        <v>184</v>
      </c>
      <c r="B12022" s="35">
        <v>1.0883361861524901</v>
      </c>
    </row>
    <row r="12023" spans="1:2" ht="13.2" x14ac:dyDescent="0.25">
      <c r="A12023" s="34" t="s">
        <v>183</v>
      </c>
      <c r="B12023" s="35">
        <v>1.09524836346211</v>
      </c>
    </row>
    <row r="12024" spans="1:2" ht="13.2" x14ac:dyDescent="0.25">
      <c r="A12024" s="34" t="s">
        <v>182</v>
      </c>
    </row>
    <row r="12025" spans="1:2" ht="13.2" x14ac:dyDescent="0.25">
      <c r="A12025" s="34" t="s">
        <v>181</v>
      </c>
    </row>
    <row r="12026" spans="1:2" ht="13.2" x14ac:dyDescent="0.25">
      <c r="A12026" s="34" t="s">
        <v>180</v>
      </c>
      <c r="B12026" s="35">
        <v>1.0618463937182201</v>
      </c>
    </row>
    <row r="12027" spans="1:2" ht="13.2" x14ac:dyDescent="0.25">
      <c r="A12027" s="34" t="s">
        <v>179</v>
      </c>
      <c r="B12027" s="35">
        <v>1.0105981583038199</v>
      </c>
    </row>
    <row r="12028" spans="1:2" ht="13.2" x14ac:dyDescent="0.25">
      <c r="A12028" s="34" t="s">
        <v>178</v>
      </c>
      <c r="B12028" s="35">
        <v>1.1099252149046701</v>
      </c>
    </row>
    <row r="12029" spans="1:2" ht="13.2" x14ac:dyDescent="0.25">
      <c r="A12029" s="34" t="s">
        <v>177</v>
      </c>
      <c r="B12029" s="35">
        <v>1.1421721356938801</v>
      </c>
    </row>
    <row r="12030" spans="1:2" ht="13.2" x14ac:dyDescent="0.25">
      <c r="A12030" s="34" t="s">
        <v>176</v>
      </c>
    </row>
    <row r="12031" spans="1:2" ht="13.2" x14ac:dyDescent="0.25">
      <c r="A12031" s="34" t="s">
        <v>175</v>
      </c>
    </row>
    <row r="12032" spans="1:2" ht="13.2" x14ac:dyDescent="0.25">
      <c r="A12032" s="34" t="s">
        <v>174</v>
      </c>
    </row>
    <row r="12033" spans="1:2" ht="13.2" x14ac:dyDescent="0.25">
      <c r="A12033" s="34" t="s">
        <v>173</v>
      </c>
      <c r="B12033" s="35">
        <v>1.00146998134425</v>
      </c>
    </row>
    <row r="12034" spans="1:2" ht="13.2" x14ac:dyDescent="0.25">
      <c r="A12034" s="34" t="s">
        <v>172</v>
      </c>
      <c r="B12034" s="35">
        <v>1.01001416562317</v>
      </c>
    </row>
    <row r="12035" spans="1:2" ht="13.2" x14ac:dyDescent="0.25">
      <c r="A12035" s="34" t="s">
        <v>171</v>
      </c>
      <c r="B12035" s="35">
        <v>1.01656331054281</v>
      </c>
    </row>
    <row r="12036" spans="1:2" ht="13.2" x14ac:dyDescent="0.25">
      <c r="A12036" s="34" t="s">
        <v>170</v>
      </c>
      <c r="B12036" s="35">
        <v>1.14338610796346</v>
      </c>
    </row>
    <row r="12037" spans="1:2" ht="13.2" x14ac:dyDescent="0.25">
      <c r="A12037" s="34" t="s">
        <v>169</v>
      </c>
      <c r="B12037" s="35">
        <v>1.1506451707527601</v>
      </c>
    </row>
    <row r="12038" spans="1:2" ht="13.2" x14ac:dyDescent="0.25">
      <c r="A12038" s="34" t="s">
        <v>168</v>
      </c>
    </row>
    <row r="12039" spans="1:2" ht="13.2" x14ac:dyDescent="0.25">
      <c r="A12039" s="34" t="s">
        <v>167</v>
      </c>
    </row>
    <row r="12040" spans="1:2" ht="13.2" x14ac:dyDescent="0.25">
      <c r="A12040" s="34" t="s">
        <v>166</v>
      </c>
      <c r="B12040" s="35">
        <v>1.0588553140493799</v>
      </c>
    </row>
    <row r="12041" spans="1:2" ht="13.2" x14ac:dyDescent="0.25">
      <c r="A12041" s="34" t="s">
        <v>165</v>
      </c>
      <c r="B12041" s="35">
        <v>0.98415157142814402</v>
      </c>
    </row>
    <row r="12042" spans="1:2" ht="13.2" x14ac:dyDescent="0.25">
      <c r="A12042" s="34" t="s">
        <v>164</v>
      </c>
      <c r="B12042" s="35">
        <v>0.96961041966785499</v>
      </c>
    </row>
    <row r="12043" spans="1:2" ht="13.2" x14ac:dyDescent="0.25">
      <c r="A12043" s="34" t="s">
        <v>163</v>
      </c>
      <c r="B12043" s="35">
        <v>0.98919306150705499</v>
      </c>
    </row>
    <row r="12044" spans="1:2" ht="13.2" x14ac:dyDescent="0.25">
      <c r="A12044" s="34" t="s">
        <v>162</v>
      </c>
      <c r="B12044" s="35">
        <v>0.97094556958181599</v>
      </c>
    </row>
    <row r="12045" spans="1:2" ht="13.2" x14ac:dyDescent="0.25">
      <c r="A12045" s="34" t="s">
        <v>161</v>
      </c>
    </row>
    <row r="12046" spans="1:2" ht="13.2" x14ac:dyDescent="0.25">
      <c r="A12046" s="34" t="s">
        <v>160</v>
      </c>
    </row>
    <row r="12047" spans="1:2" ht="13.2" x14ac:dyDescent="0.25">
      <c r="A12047" s="34" t="s">
        <v>159</v>
      </c>
      <c r="B12047" s="35">
        <v>0.97416890435034498</v>
      </c>
    </row>
    <row r="12048" spans="1:2" ht="13.2" x14ac:dyDescent="0.25">
      <c r="A12048" s="34" t="s">
        <v>158</v>
      </c>
      <c r="B12048" s="35">
        <v>0.99841451268541603</v>
      </c>
    </row>
    <row r="12049" spans="1:2" ht="13.2" x14ac:dyDescent="0.25">
      <c r="A12049" s="34" t="s">
        <v>157</v>
      </c>
      <c r="B12049" s="35">
        <v>1.12047240819494</v>
      </c>
    </row>
    <row r="12050" spans="1:2" ht="13.2" x14ac:dyDescent="0.25">
      <c r="A12050" s="34" t="s">
        <v>156</v>
      </c>
      <c r="B12050" s="35">
        <v>1.1193761611533599</v>
      </c>
    </row>
    <row r="12051" spans="1:2" ht="13.2" x14ac:dyDescent="0.25">
      <c r="A12051" s="34" t="s">
        <v>155</v>
      </c>
      <c r="B12051" s="35">
        <v>1.0888599919723601</v>
      </c>
    </row>
    <row r="12052" spans="1:2" ht="13.2" x14ac:dyDescent="0.25">
      <c r="A12052" s="34" t="s">
        <v>154</v>
      </c>
    </row>
    <row r="12053" spans="1:2" ht="13.2" x14ac:dyDescent="0.25">
      <c r="A12053" s="34" t="s">
        <v>153</v>
      </c>
    </row>
    <row r="12054" spans="1:2" ht="13.2" x14ac:dyDescent="0.25">
      <c r="A12054" s="34" t="s">
        <v>152</v>
      </c>
      <c r="B12054" s="35">
        <v>1.1102973636584601</v>
      </c>
    </row>
    <row r="12055" spans="1:2" ht="13.2" x14ac:dyDescent="0.25">
      <c r="A12055" s="34" t="s">
        <v>151</v>
      </c>
      <c r="B12055" s="35">
        <v>1.11038367999382</v>
      </c>
    </row>
    <row r="12056" spans="1:2" ht="13.2" x14ac:dyDescent="0.25">
      <c r="A12056" s="34" t="s">
        <v>150</v>
      </c>
      <c r="B12056" s="35">
        <v>1.1092867004745299</v>
      </c>
    </row>
    <row r="12057" spans="1:2" ht="13.2" x14ac:dyDescent="0.25">
      <c r="A12057" s="34" t="s">
        <v>149</v>
      </c>
      <c r="B12057" s="35">
        <v>1.1088023578794901</v>
      </c>
    </row>
    <row r="12058" spans="1:2" ht="13.2" x14ac:dyDescent="0.25">
      <c r="A12058" s="34" t="s">
        <v>148</v>
      </c>
      <c r="B12058" s="35">
        <v>1.0415117219722401</v>
      </c>
    </row>
    <row r="12059" spans="1:2" ht="13.2" x14ac:dyDescent="0.25">
      <c r="A12059" s="34" t="s">
        <v>147</v>
      </c>
    </row>
    <row r="12060" spans="1:2" ht="13.2" x14ac:dyDescent="0.25">
      <c r="A12060" s="34" t="s">
        <v>146</v>
      </c>
    </row>
    <row r="12061" spans="1:2" ht="13.2" x14ac:dyDescent="0.25">
      <c r="A12061" s="34" t="s">
        <v>145</v>
      </c>
      <c r="B12061" s="35">
        <v>0.97577609496559203</v>
      </c>
    </row>
    <row r="12062" spans="1:2" ht="13.2" x14ac:dyDescent="0.25">
      <c r="A12062" s="34" t="s">
        <v>144</v>
      </c>
      <c r="B12062" s="35">
        <v>1.0243577186644</v>
      </c>
    </row>
    <row r="12063" spans="1:2" ht="13.2" x14ac:dyDescent="0.25">
      <c r="A12063" s="34" t="s">
        <v>143</v>
      </c>
      <c r="B12063" s="35">
        <v>1.08445722221052</v>
      </c>
    </row>
    <row r="12064" spans="1:2" ht="13.2" x14ac:dyDescent="0.25">
      <c r="A12064" s="34" t="s">
        <v>142</v>
      </c>
    </row>
    <row r="12065" spans="1:2" ht="13.2" x14ac:dyDescent="0.25">
      <c r="A12065" s="34" t="s">
        <v>141</v>
      </c>
      <c r="B12065" s="35">
        <v>1.0647656090858999</v>
      </c>
    </row>
    <row r="12066" spans="1:2" ht="13.2" x14ac:dyDescent="0.25">
      <c r="A12066" s="34" t="s">
        <v>140</v>
      </c>
    </row>
    <row r="12067" spans="1:2" ht="13.2" x14ac:dyDescent="0.25">
      <c r="A12067" s="34" t="s">
        <v>139</v>
      </c>
    </row>
    <row r="12068" spans="1:2" ht="13.2" x14ac:dyDescent="0.25">
      <c r="A12068" s="34" t="s">
        <v>138</v>
      </c>
      <c r="B12068" s="35">
        <v>0.97129737331864097</v>
      </c>
    </row>
    <row r="12069" spans="1:2" ht="13.2" x14ac:dyDescent="0.25">
      <c r="A12069" s="34" t="s">
        <v>137</v>
      </c>
      <c r="B12069" s="35">
        <v>0.98080408128946195</v>
      </c>
    </row>
    <row r="12070" spans="1:2" ht="13.2" x14ac:dyDescent="0.25">
      <c r="A12070" s="34" t="s">
        <v>136</v>
      </c>
      <c r="B12070" s="35">
        <v>0.96601390892571304</v>
      </c>
    </row>
    <row r="12071" spans="1:2" ht="13.2" x14ac:dyDescent="0.25">
      <c r="A12071" s="34" t="s">
        <v>135</v>
      </c>
      <c r="B12071" s="35">
        <v>1.05630991117561</v>
      </c>
    </row>
    <row r="12072" spans="1:2" ht="13.2" x14ac:dyDescent="0.25">
      <c r="A12072" s="34" t="s">
        <v>134</v>
      </c>
      <c r="B12072" s="35">
        <v>0.99275807315730102</v>
      </c>
    </row>
    <row r="12073" spans="1:2" ht="13.2" x14ac:dyDescent="0.25">
      <c r="A12073" s="34" t="s">
        <v>133</v>
      </c>
    </row>
    <row r="12074" spans="1:2" ht="13.2" x14ac:dyDescent="0.25">
      <c r="A12074" s="34" t="s">
        <v>132</v>
      </c>
    </row>
    <row r="12075" spans="1:2" ht="13.2" x14ac:dyDescent="0.25">
      <c r="A12075" s="34" t="s">
        <v>131</v>
      </c>
      <c r="B12075" s="35">
        <v>0.97334307781581697</v>
      </c>
    </row>
    <row r="12076" spans="1:2" ht="13.2" x14ac:dyDescent="0.25">
      <c r="A12076" s="34" t="s">
        <v>130</v>
      </c>
      <c r="B12076" s="35">
        <v>0.97077475600109298</v>
      </c>
    </row>
    <row r="12077" spans="1:2" ht="13.2" x14ac:dyDescent="0.25">
      <c r="A12077" s="34" t="s">
        <v>129</v>
      </c>
      <c r="B12077" s="35">
        <v>0.97674297598863302</v>
      </c>
    </row>
    <row r="12078" spans="1:2" ht="13.2" x14ac:dyDescent="0.25">
      <c r="A12078" s="34" t="s">
        <v>128</v>
      </c>
      <c r="B12078" s="35">
        <v>0.93027719335790604</v>
      </c>
    </row>
    <row r="12079" spans="1:2" ht="13.2" x14ac:dyDescent="0.25">
      <c r="A12079" s="34" t="s">
        <v>127</v>
      </c>
      <c r="B12079" s="35">
        <v>0.82564243258072201</v>
      </c>
    </row>
    <row r="12080" spans="1:2" ht="13.2" x14ac:dyDescent="0.25">
      <c r="A12080" s="34" t="s">
        <v>126</v>
      </c>
    </row>
    <row r="12081" spans="1:2" ht="13.2" x14ac:dyDescent="0.25">
      <c r="A12081" s="34" t="s">
        <v>125</v>
      </c>
    </row>
    <row r="12082" spans="1:2" ht="13.2" x14ac:dyDescent="0.25">
      <c r="A12082" s="34" t="s">
        <v>124</v>
      </c>
      <c r="B12082" s="35">
        <v>0.86950253011701994</v>
      </c>
    </row>
    <row r="12083" spans="1:2" ht="13.2" x14ac:dyDescent="0.25">
      <c r="A12083" s="34" t="s">
        <v>123</v>
      </c>
      <c r="B12083" s="35">
        <v>0.87109421469965898</v>
      </c>
    </row>
    <row r="12084" spans="1:2" ht="13.2" x14ac:dyDescent="0.25">
      <c r="A12084" s="34" t="s">
        <v>122</v>
      </c>
      <c r="B12084" s="35">
        <v>0.85425112341708298</v>
      </c>
    </row>
    <row r="12085" spans="1:2" ht="13.2" x14ac:dyDescent="0.25">
      <c r="A12085" s="34" t="s">
        <v>121</v>
      </c>
      <c r="B12085" s="35">
        <v>0.882132344518333</v>
      </c>
    </row>
    <row r="12086" spans="1:2" ht="13.2" x14ac:dyDescent="0.25">
      <c r="A12086" s="34" t="s">
        <v>120</v>
      </c>
      <c r="B12086" s="35">
        <v>0.898395442714227</v>
      </c>
    </row>
    <row r="12087" spans="1:2" ht="13.2" x14ac:dyDescent="0.25">
      <c r="A12087" s="34" t="s">
        <v>119</v>
      </c>
    </row>
    <row r="12088" spans="1:2" ht="13.2" x14ac:dyDescent="0.25">
      <c r="A12088" s="34" t="s">
        <v>118</v>
      </c>
    </row>
    <row r="12089" spans="1:2" ht="13.2" x14ac:dyDescent="0.25">
      <c r="A12089" s="34" t="s">
        <v>117</v>
      </c>
      <c r="B12089" s="35">
        <v>0.89537170066576399</v>
      </c>
    </row>
    <row r="12090" spans="1:2" ht="13.2" x14ac:dyDescent="0.25">
      <c r="A12090" s="34" t="s">
        <v>116</v>
      </c>
      <c r="B12090" s="35">
        <v>0.89365114139022195</v>
      </c>
    </row>
    <row r="12091" spans="1:2" ht="13.2" x14ac:dyDescent="0.25">
      <c r="A12091" s="34" t="s">
        <v>115</v>
      </c>
      <c r="B12091" s="35">
        <v>0.87209106568343797</v>
      </c>
    </row>
    <row r="12092" spans="1:2" ht="13.2" x14ac:dyDescent="0.25">
      <c r="A12092" s="34" t="s">
        <v>114</v>
      </c>
      <c r="B12092" s="35">
        <v>0.84431152846758095</v>
      </c>
    </row>
    <row r="12093" spans="1:2" ht="13.2" x14ac:dyDescent="0.25">
      <c r="A12093" s="34" t="s">
        <v>113</v>
      </c>
      <c r="B12093" s="35">
        <v>0.69735928478753995</v>
      </c>
    </row>
    <row r="12094" spans="1:2" ht="13.2" x14ac:dyDescent="0.25">
      <c r="A12094" s="34" t="s">
        <v>112</v>
      </c>
    </row>
    <row r="12095" spans="1:2" ht="13.2" x14ac:dyDescent="0.25">
      <c r="A12095" s="34" t="s">
        <v>111</v>
      </c>
    </row>
    <row r="12096" spans="1:2" ht="13.2" x14ac:dyDescent="0.25">
      <c r="A12096" s="34" t="s">
        <v>110</v>
      </c>
      <c r="B12096" s="35">
        <v>0.71709106476329498</v>
      </c>
    </row>
    <row r="12097" spans="1:2" ht="13.2" x14ac:dyDescent="0.25">
      <c r="A12097" s="34" t="s">
        <v>109</v>
      </c>
      <c r="B12097" s="35">
        <v>0.71800339976799799</v>
      </c>
    </row>
    <row r="12098" spans="1:2" ht="13.2" x14ac:dyDescent="0.25">
      <c r="A12098" s="34" t="s">
        <v>108</v>
      </c>
      <c r="B12098" s="35">
        <v>0.730170744160893</v>
      </c>
    </row>
    <row r="12099" spans="1:2" ht="13.2" x14ac:dyDescent="0.25">
      <c r="A12099" s="34" t="s">
        <v>107</v>
      </c>
      <c r="B12099" s="35">
        <v>0.75424583248647603</v>
      </c>
    </row>
    <row r="12100" spans="1:2" ht="13.2" x14ac:dyDescent="0.25">
      <c r="A12100" s="34" t="s">
        <v>106</v>
      </c>
      <c r="B12100" s="35">
        <v>0.91386306571728804</v>
      </c>
    </row>
    <row r="12101" spans="1:2" ht="13.2" x14ac:dyDescent="0.25">
      <c r="A12101" s="34" t="s">
        <v>105</v>
      </c>
    </row>
    <row r="12102" spans="1:2" ht="13.2" x14ac:dyDescent="0.25">
      <c r="A12102" s="34" t="s">
        <v>104</v>
      </c>
    </row>
    <row r="12103" spans="1:2" ht="13.2" x14ac:dyDescent="0.25">
      <c r="A12103" s="34" t="s">
        <v>103</v>
      </c>
      <c r="B12103" s="35">
        <v>0.95922851757312799</v>
      </c>
    </row>
    <row r="12104" spans="1:2" ht="13.2" x14ac:dyDescent="0.25">
      <c r="A12104" s="34" t="s">
        <v>102</v>
      </c>
      <c r="B12104" s="35">
        <v>0.95421358927366295</v>
      </c>
    </row>
    <row r="12105" spans="1:2" ht="13.2" x14ac:dyDescent="0.25">
      <c r="A12105" s="34" t="s">
        <v>101</v>
      </c>
      <c r="B12105" s="35">
        <v>0.951391298717853</v>
      </c>
    </row>
    <row r="12106" spans="1:2" ht="13.2" x14ac:dyDescent="0.25">
      <c r="A12106" s="34" t="s">
        <v>100</v>
      </c>
      <c r="B12106" s="35">
        <v>0.98339670014391201</v>
      </c>
    </row>
    <row r="12107" spans="1:2" ht="13.2" x14ac:dyDescent="0.25">
      <c r="A12107" s="34" t="s">
        <v>99</v>
      </c>
      <c r="B12107" s="35">
        <v>0.98291156091589904</v>
      </c>
    </row>
    <row r="12108" spans="1:2" ht="13.2" x14ac:dyDescent="0.25">
      <c r="A12108" s="34" t="s">
        <v>98</v>
      </c>
    </row>
    <row r="12109" spans="1:2" ht="13.2" x14ac:dyDescent="0.25">
      <c r="A12109" s="34" t="s">
        <v>97</v>
      </c>
    </row>
    <row r="12110" spans="1:2" ht="13.2" x14ac:dyDescent="0.25">
      <c r="A12110" s="34" t="s">
        <v>96</v>
      </c>
      <c r="B12110" s="35">
        <v>0.98581942635136399</v>
      </c>
    </row>
    <row r="12111" spans="1:2" ht="13.2" x14ac:dyDescent="0.25">
      <c r="A12111" s="34" t="s">
        <v>95</v>
      </c>
      <c r="B12111" s="35">
        <v>0.96308246323855595</v>
      </c>
    </row>
    <row r="12112" spans="1:2" ht="13.2" x14ac:dyDescent="0.25">
      <c r="A12112" s="34" t="s">
        <v>94</v>
      </c>
      <c r="B12112" s="35">
        <v>1.08612509984169</v>
      </c>
    </row>
    <row r="12113" spans="1:2" ht="13.2" x14ac:dyDescent="0.25">
      <c r="A12113" s="34" t="s">
        <v>93</v>
      </c>
      <c r="B12113" s="35">
        <v>1.08684595600576</v>
      </c>
    </row>
    <row r="12114" spans="1:2" ht="13.2" x14ac:dyDescent="0.25">
      <c r="A12114" s="34" t="s">
        <v>92</v>
      </c>
      <c r="B12114" s="35">
        <v>1.13483714379056</v>
      </c>
    </row>
    <row r="12115" spans="1:2" ht="13.2" x14ac:dyDescent="0.25">
      <c r="A12115" s="34" t="s">
        <v>91</v>
      </c>
    </row>
    <row r="12116" spans="1:2" ht="13.2" x14ac:dyDescent="0.25">
      <c r="A12116" s="34" t="s">
        <v>90</v>
      </c>
    </row>
    <row r="12117" spans="1:2" ht="13.2" x14ac:dyDescent="0.25">
      <c r="A12117" s="34" t="s">
        <v>89</v>
      </c>
      <c r="B12117" s="35">
        <v>1.1343577129117299</v>
      </c>
    </row>
    <row r="12118" spans="1:2" ht="13.2" x14ac:dyDescent="0.25">
      <c r="A12118" s="34" t="s">
        <v>88</v>
      </c>
      <c r="B12118" s="35">
        <v>1.14260179604568</v>
      </c>
    </row>
    <row r="12119" spans="1:2" ht="13.2" x14ac:dyDescent="0.25">
      <c r="A12119" s="34" t="s">
        <v>87</v>
      </c>
      <c r="B12119" s="35">
        <v>1.1853831213785999</v>
      </c>
    </row>
    <row r="12120" spans="1:2" ht="13.2" x14ac:dyDescent="0.25">
      <c r="A12120" s="34" t="s">
        <v>86</v>
      </c>
      <c r="B12120" s="35">
        <v>1.2476161797110501</v>
      </c>
    </row>
    <row r="12121" spans="1:2" ht="13.2" x14ac:dyDescent="0.25">
      <c r="A12121" s="34" t="s">
        <v>85</v>
      </c>
      <c r="B12121" s="35">
        <v>1.2449005014501699</v>
      </c>
    </row>
    <row r="12122" spans="1:2" ht="13.2" x14ac:dyDescent="0.25">
      <c r="A12122" s="34" t="s">
        <v>84</v>
      </c>
    </row>
    <row r="12123" spans="1:2" ht="13.2" x14ac:dyDescent="0.25">
      <c r="A12123" s="34" t="s">
        <v>83</v>
      </c>
    </row>
    <row r="12124" spans="1:2" ht="13.2" x14ac:dyDescent="0.25">
      <c r="A12124" s="34" t="s">
        <v>82</v>
      </c>
      <c r="B12124" s="35">
        <v>1.23443183066992</v>
      </c>
    </row>
    <row r="12125" spans="1:2" ht="13.2" x14ac:dyDescent="0.25">
      <c r="A12125" s="34" t="s">
        <v>81</v>
      </c>
      <c r="B12125" s="35">
        <v>1.2069309410062301</v>
      </c>
    </row>
    <row r="12126" spans="1:2" ht="13.2" x14ac:dyDescent="0.25">
      <c r="A12126" s="34" t="s">
        <v>80</v>
      </c>
      <c r="B12126" s="35">
        <v>1.2048822990499399</v>
      </c>
    </row>
    <row r="12127" spans="1:2" ht="13.2" x14ac:dyDescent="0.25">
      <c r="A12127" s="34" t="s">
        <v>79</v>
      </c>
      <c r="B12127" s="35">
        <v>1.2257246842075999</v>
      </c>
    </row>
    <row r="12128" spans="1:2" ht="13.2" x14ac:dyDescent="0.25">
      <c r="A12128" s="34" t="s">
        <v>78</v>
      </c>
      <c r="B12128" s="35">
        <v>1.2646380291616199</v>
      </c>
    </row>
    <row r="12129" spans="1:2" ht="13.2" x14ac:dyDescent="0.25">
      <c r="A12129" s="34" t="s">
        <v>77</v>
      </c>
    </row>
    <row r="12130" spans="1:2" ht="13.2" x14ac:dyDescent="0.25">
      <c r="A12130" s="34" t="s">
        <v>76</v>
      </c>
    </row>
    <row r="12131" spans="1:2" ht="13.2" x14ac:dyDescent="0.25">
      <c r="A12131" s="34" t="s">
        <v>75</v>
      </c>
      <c r="B12131" s="35">
        <v>1.07184414458665</v>
      </c>
    </row>
    <row r="12132" spans="1:2" ht="13.2" x14ac:dyDescent="0.25">
      <c r="A12132" s="34" t="s">
        <v>74</v>
      </c>
      <c r="B12132" s="35">
        <v>1.17144647365231</v>
      </c>
    </row>
    <row r="12133" spans="1:2" ht="13.2" x14ac:dyDescent="0.25">
      <c r="A12133" s="34" t="s">
        <v>73</v>
      </c>
      <c r="B12133" s="35">
        <v>1.15945866274679</v>
      </c>
    </row>
    <row r="12134" spans="1:2" ht="13.2" x14ac:dyDescent="0.25">
      <c r="A12134" s="34" t="s">
        <v>72</v>
      </c>
      <c r="B12134" s="35">
        <v>1.15921832425863</v>
      </c>
    </row>
    <row r="12135" spans="1:2" ht="13.2" x14ac:dyDescent="0.25">
      <c r="A12135" s="34" t="s">
        <v>71</v>
      </c>
      <c r="B12135" s="35">
        <v>1.13643660436647</v>
      </c>
    </row>
    <row r="12136" spans="1:2" ht="13.2" x14ac:dyDescent="0.25">
      <c r="A12136" s="34" t="s">
        <v>70</v>
      </c>
    </row>
    <row r="12137" spans="1:2" ht="13.2" x14ac:dyDescent="0.25">
      <c r="A12137" s="34" t="s">
        <v>69</v>
      </c>
    </row>
    <row r="12138" spans="1:2" ht="13.2" x14ac:dyDescent="0.25">
      <c r="A12138" s="34" t="s">
        <v>68</v>
      </c>
      <c r="B12138" s="35">
        <v>1.1363034011903499</v>
      </c>
    </row>
    <row r="12139" spans="1:2" ht="13.2" x14ac:dyDescent="0.25">
      <c r="A12139" s="34" t="s">
        <v>67</v>
      </c>
      <c r="B12139" s="35">
        <v>1.1364237800621599</v>
      </c>
    </row>
    <row r="12140" spans="1:2" ht="13.2" x14ac:dyDescent="0.25">
      <c r="A12140" s="34" t="s">
        <v>66</v>
      </c>
      <c r="B12140" s="35">
        <v>1.1608628604975799</v>
      </c>
    </row>
    <row r="12141" spans="1:2" ht="13.2" x14ac:dyDescent="0.25">
      <c r="A12141" s="34" t="s">
        <v>65</v>
      </c>
      <c r="B12141" s="35">
        <v>1.0044830935221301</v>
      </c>
    </row>
    <row r="12142" spans="1:2" ht="13.2" x14ac:dyDescent="0.25">
      <c r="A12142" s="34" t="s">
        <v>64</v>
      </c>
      <c r="B12142" s="35">
        <v>1.1019901395641101</v>
      </c>
    </row>
    <row r="12143" spans="1:2" ht="13.2" x14ac:dyDescent="0.25">
      <c r="A12143" s="34" t="s">
        <v>63</v>
      </c>
      <c r="B12143" s="35">
        <v>1.0575636905419901</v>
      </c>
    </row>
    <row r="12144" spans="1:2" ht="13.2" x14ac:dyDescent="0.25">
      <c r="A12144" s="34" t="s">
        <v>62</v>
      </c>
    </row>
    <row r="12145" spans="1:2" ht="13.2" x14ac:dyDescent="0.25">
      <c r="A12145" s="34" t="s">
        <v>61</v>
      </c>
      <c r="B12145" s="35">
        <v>1.0622651943080199</v>
      </c>
    </row>
    <row r="12146" spans="1:2" ht="13.2" x14ac:dyDescent="0.25">
      <c r="A12146" s="34" t="s">
        <v>60</v>
      </c>
      <c r="B12146" s="35">
        <v>1.10858982414428</v>
      </c>
    </row>
    <row r="12147" spans="1:2" ht="13.2" x14ac:dyDescent="0.25">
      <c r="A12147" s="34" t="s">
        <v>59</v>
      </c>
      <c r="B12147" s="35">
        <v>1.0557806432957699</v>
      </c>
    </row>
    <row r="12148" spans="1:2" ht="13.2" x14ac:dyDescent="0.25">
      <c r="A12148" s="34" t="s">
        <v>58</v>
      </c>
      <c r="B12148" s="35">
        <v>0.97101349483624</v>
      </c>
    </row>
    <row r="12149" spans="1:2" ht="13.2" x14ac:dyDescent="0.25">
      <c r="A12149" s="34" t="s">
        <v>57</v>
      </c>
      <c r="B12149" s="35">
        <v>0.96707815914558404</v>
      </c>
    </row>
    <row r="12150" spans="1:2" ht="13.2" x14ac:dyDescent="0.25">
      <c r="A12150" s="34" t="s">
        <v>56</v>
      </c>
    </row>
    <row r="12151" spans="1:2" ht="13.2" x14ac:dyDescent="0.25">
      <c r="A12151" s="34" t="s">
        <v>55</v>
      </c>
    </row>
    <row r="12152" spans="1:2" ht="13.2" x14ac:dyDescent="0.25">
      <c r="A12152" s="34" t="s">
        <v>54</v>
      </c>
      <c r="B12152" s="35">
        <v>0.99422820791405697</v>
      </c>
    </row>
    <row r="12153" spans="1:2" ht="13.2" x14ac:dyDescent="0.25">
      <c r="A12153" s="34" t="s">
        <v>53</v>
      </c>
      <c r="B12153" s="35">
        <v>1.03407946729275</v>
      </c>
    </row>
    <row r="12154" spans="1:2" ht="13.2" x14ac:dyDescent="0.25">
      <c r="A12154" s="34" t="s">
        <v>52</v>
      </c>
      <c r="B12154" s="35">
        <v>1.21749721530184</v>
      </c>
    </row>
    <row r="12155" spans="1:2" ht="13.2" x14ac:dyDescent="0.25">
      <c r="A12155" s="34" t="s">
        <v>51</v>
      </c>
      <c r="B12155" s="35">
        <v>1.1741055159912199</v>
      </c>
    </row>
    <row r="12156" spans="1:2" ht="13.2" x14ac:dyDescent="0.25">
      <c r="A12156" s="34" t="s">
        <v>50</v>
      </c>
      <c r="B12156" s="35">
        <v>1.08434731177421</v>
      </c>
    </row>
    <row r="12157" spans="1:2" ht="13.2" x14ac:dyDescent="0.25">
      <c r="A12157" s="34" t="s">
        <v>49</v>
      </c>
    </row>
    <row r="12158" spans="1:2" ht="13.2" x14ac:dyDescent="0.25">
      <c r="A12158" s="34" t="s">
        <v>48</v>
      </c>
    </row>
    <row r="12159" spans="1:2" ht="13.2" x14ac:dyDescent="0.25">
      <c r="A12159" s="34" t="s">
        <v>47</v>
      </c>
    </row>
    <row r="12160" spans="1:2" ht="13.2" x14ac:dyDescent="0.25">
      <c r="A12160" s="34" t="s">
        <v>46</v>
      </c>
      <c r="B12160" s="35">
        <v>1.09260681200401</v>
      </c>
    </row>
    <row r="12161" spans="1:2" ht="13.2" x14ac:dyDescent="0.25">
      <c r="A12161" s="34" t="s">
        <v>45</v>
      </c>
      <c r="B12161" s="35">
        <v>0.91985681913898598</v>
      </c>
    </row>
    <row r="12162" spans="1:2" ht="13.2" x14ac:dyDescent="0.25">
      <c r="A12162" s="34" t="s">
        <v>44</v>
      </c>
      <c r="B12162" s="35">
        <v>0.92641637645522601</v>
      </c>
    </row>
    <row r="12163" spans="1:2" ht="13.2" x14ac:dyDescent="0.25">
      <c r="A12163" s="34" t="s">
        <v>43</v>
      </c>
      <c r="B12163" s="35">
        <v>0.94328468976701896</v>
      </c>
    </row>
    <row r="12164" spans="1:2" ht="13.2" x14ac:dyDescent="0.25">
      <c r="A12164" s="34" t="s">
        <v>42</v>
      </c>
    </row>
    <row r="12165" spans="1:2" ht="13.2" x14ac:dyDescent="0.25">
      <c r="A12165" s="34" t="s">
        <v>41</v>
      </c>
    </row>
    <row r="12166" spans="1:2" ht="13.2" x14ac:dyDescent="0.25">
      <c r="A12166" s="34" t="s">
        <v>40</v>
      </c>
      <c r="B12166" s="35">
        <v>0.98677597411163798</v>
      </c>
    </row>
    <row r="12167" spans="1:2" ht="13.2" x14ac:dyDescent="0.25">
      <c r="A12167" s="34" t="s">
        <v>39</v>
      </c>
      <c r="B12167" s="35">
        <v>0.97740668173170497</v>
      </c>
    </row>
    <row r="12168" spans="1:2" ht="13.2" x14ac:dyDescent="0.25">
      <c r="A12168" s="34" t="s">
        <v>38</v>
      </c>
      <c r="B12168" s="35">
        <v>0.98878694001214196</v>
      </c>
    </row>
    <row r="12169" spans="1:2" ht="13.2" x14ac:dyDescent="0.25">
      <c r="A12169" s="34" t="s">
        <v>37</v>
      </c>
      <c r="B12169" s="35">
        <v>0.98672952176583495</v>
      </c>
    </row>
    <row r="12170" spans="1:2" ht="13.2" x14ac:dyDescent="0.25">
      <c r="A12170" s="34" t="s">
        <v>36</v>
      </c>
      <c r="B12170" s="35">
        <v>1.00216513623299</v>
      </c>
    </row>
  </sheetData>
  <pageMargins left="0.78740157499999996" right="0.78740157499999996" top="0.984251969" bottom="0.984251969" header="0.5" footer="0.5"/>
  <pageSetup paperSize="0" fitToWidth="0" fitToHeight="0" orientation="portrait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5849-82BB-434E-8390-BCFA4748E455}">
  <dimension ref="A1:AL387"/>
  <sheetViews>
    <sheetView topLeftCell="L1" workbookViewId="0">
      <selection activeCell="W1" sqref="W1:AU1048576"/>
    </sheetView>
  </sheetViews>
  <sheetFormatPr defaultRowHeight="14.4" x14ac:dyDescent="0.3"/>
  <cols>
    <col min="2" max="2" width="16.33203125" customWidth="1"/>
    <col min="3" max="3" width="16.77734375" customWidth="1"/>
    <col min="4" max="4" width="17.44140625" customWidth="1"/>
    <col min="6" max="6" width="22.88671875" customWidth="1"/>
    <col min="7" max="7" width="8.88671875" style="39"/>
    <col min="8" max="8" width="8.88671875" style="42"/>
    <col min="10" max="10" width="8.88671875" style="39"/>
    <col min="11" max="11" width="8.88671875" style="42"/>
    <col min="13" max="13" width="8.88671875" style="39"/>
    <col min="14" max="14" width="8.88671875" style="42"/>
    <col min="16" max="16" width="13.77734375" bestFit="1" customWidth="1"/>
    <col min="17" max="18" width="7.6640625" bestFit="1" customWidth="1"/>
    <col min="19" max="19" width="10.77734375" bestFit="1" customWidth="1"/>
    <col min="23" max="23" width="14.88671875" customWidth="1"/>
    <col min="27" max="27" width="10.77734375" customWidth="1"/>
  </cols>
  <sheetData>
    <row r="1" spans="1:38" x14ac:dyDescent="0.3">
      <c r="A1" t="s">
        <v>24</v>
      </c>
      <c r="B1" t="s">
        <v>12210</v>
      </c>
      <c r="C1" t="s">
        <v>12211</v>
      </c>
      <c r="D1" t="s">
        <v>12212</v>
      </c>
      <c r="G1" s="39" t="s">
        <v>12213</v>
      </c>
      <c r="J1" s="39" t="s">
        <v>12235</v>
      </c>
      <c r="K1" s="42" t="s">
        <v>12236</v>
      </c>
      <c r="M1" s="39" t="s">
        <v>12256</v>
      </c>
      <c r="N1" s="42" t="s">
        <v>12257</v>
      </c>
      <c r="P1" s="48" t="s">
        <v>12259</v>
      </c>
      <c r="Q1" s="48" t="s">
        <v>12257</v>
      </c>
      <c r="R1" s="48" t="s">
        <v>12260</v>
      </c>
      <c r="S1" s="48" t="s">
        <v>12261</v>
      </c>
    </row>
    <row r="2" spans="1:38" x14ac:dyDescent="0.3">
      <c r="A2" s="11">
        <v>34608</v>
      </c>
      <c r="G2" s="40" t="s">
        <v>12214</v>
      </c>
      <c r="H2" s="43">
        <v>21</v>
      </c>
      <c r="J2" s="39" t="s">
        <v>12237</v>
      </c>
      <c r="K2" s="42">
        <v>21</v>
      </c>
      <c r="M2" s="39" t="s">
        <v>12237</v>
      </c>
      <c r="N2" s="42">
        <v>21</v>
      </c>
      <c r="P2" t="s">
        <v>12262</v>
      </c>
      <c r="Q2" s="47">
        <v>6</v>
      </c>
      <c r="R2" s="20">
        <f>MIN(Tabela4[Data])</f>
        <v>34608</v>
      </c>
      <c r="S2" t="str">
        <f>_xlfn.XLOOKUP(Q2,$H$2:$H$22,$G$2:$G$22)&amp;" / "&amp;_xlfn.XLOOKUP(Q2,$K$2:$K$22,$J$2:$J$22)</f>
        <v>B3 / B-</v>
      </c>
      <c r="W2" s="49"/>
      <c r="AF2" s="49"/>
      <c r="AL2" s="49"/>
    </row>
    <row r="3" spans="1:38" x14ac:dyDescent="0.3">
      <c r="A3" s="11">
        <v>34609</v>
      </c>
      <c r="G3" s="40" t="s">
        <v>12215</v>
      </c>
      <c r="H3" s="43">
        <v>20</v>
      </c>
      <c r="J3" s="39" t="s">
        <v>12238</v>
      </c>
      <c r="K3" s="42">
        <v>20</v>
      </c>
      <c r="M3" s="39" t="s">
        <v>12238</v>
      </c>
      <c r="N3" s="42">
        <v>20</v>
      </c>
      <c r="Q3">
        <f>Q2+1</f>
        <v>7</v>
      </c>
      <c r="R3" s="20">
        <f>MIN(Tabela4[Data])</f>
        <v>34608</v>
      </c>
      <c r="S3" t="str">
        <f>_xlfn.XLOOKUP(Q3,$H$2:$H$22,$G$2:$G$22)&amp;" / "&amp;_xlfn.XLOOKUP(Q3,$K$2:$K$22,$J$2:$J$22)</f>
        <v>B2 / B</v>
      </c>
      <c r="W3" s="49"/>
      <c r="AF3" s="49"/>
      <c r="AL3" s="49"/>
    </row>
    <row r="4" spans="1:38" x14ac:dyDescent="0.3">
      <c r="A4" s="11">
        <v>34639</v>
      </c>
      <c r="G4" s="40" t="s">
        <v>12216</v>
      </c>
      <c r="H4" s="43">
        <v>19</v>
      </c>
      <c r="J4" s="39" t="s">
        <v>12239</v>
      </c>
      <c r="K4" s="42">
        <v>19</v>
      </c>
      <c r="M4" s="39" t="s">
        <v>12239</v>
      </c>
      <c r="N4" s="42">
        <v>19</v>
      </c>
      <c r="Q4">
        <f>Q3+1</f>
        <v>8</v>
      </c>
      <c r="R4" s="20">
        <f>MIN(Tabela4[Data])</f>
        <v>34608</v>
      </c>
      <c r="S4" t="str">
        <f>_xlfn.XLOOKUP(Q4,$H$2:$H$22,$G$2:$G$22)&amp;" / "&amp;_xlfn.XLOOKUP(Q4,$K$2:$K$22,$J$2:$J$22)</f>
        <v>B1 / B+</v>
      </c>
      <c r="W4" s="49"/>
      <c r="AF4" s="49"/>
      <c r="AL4" s="49"/>
    </row>
    <row r="5" spans="1:38" x14ac:dyDescent="0.3">
      <c r="A5" s="11">
        <v>34669</v>
      </c>
      <c r="G5" s="40" t="s">
        <v>12217</v>
      </c>
      <c r="H5" s="43">
        <v>18</v>
      </c>
      <c r="J5" s="39" t="s">
        <v>12240</v>
      </c>
      <c r="K5" s="42">
        <v>18</v>
      </c>
      <c r="M5" s="39" t="s">
        <v>12240</v>
      </c>
      <c r="N5" s="42">
        <v>18</v>
      </c>
      <c r="Q5">
        <f>Q4+1</f>
        <v>9</v>
      </c>
      <c r="R5" s="20">
        <f>MIN(Tabela4[Data])</f>
        <v>34608</v>
      </c>
      <c r="S5" t="str">
        <f>_xlfn.XLOOKUP(Q5,$H$2:$H$22,$G$2:$G$22)&amp;" / "&amp;_xlfn.XLOOKUP(Q5,$K$2:$K$22,$J$2:$J$22)</f>
        <v>Ba3 / BB-</v>
      </c>
      <c r="W5" s="49"/>
      <c r="AF5" s="49"/>
      <c r="AL5" s="49"/>
    </row>
    <row r="6" spans="1:38" x14ac:dyDescent="0.3">
      <c r="A6" s="11">
        <v>34700</v>
      </c>
      <c r="G6" s="40" t="s">
        <v>12218</v>
      </c>
      <c r="H6" s="43">
        <v>17</v>
      </c>
      <c r="J6" s="39" t="s">
        <v>12241</v>
      </c>
      <c r="K6" s="42">
        <v>17</v>
      </c>
      <c r="M6" s="39" t="s">
        <v>12241</v>
      </c>
      <c r="N6" s="42">
        <v>17</v>
      </c>
      <c r="Q6">
        <f>Q5+1</f>
        <v>10</v>
      </c>
      <c r="R6" s="20">
        <f>MIN(Tabela4[Data])</f>
        <v>34608</v>
      </c>
      <c r="S6" t="str">
        <f>_xlfn.XLOOKUP(Q6,$H$2:$H$22,$G$2:$G$22)&amp;" / "&amp;_xlfn.XLOOKUP(Q6,$K$2:$K$22,$J$2:$J$22)</f>
        <v>Ba2 / BB</v>
      </c>
      <c r="W6" s="49"/>
      <c r="AF6" s="49"/>
      <c r="AL6" s="49"/>
    </row>
    <row r="7" spans="1:38" x14ac:dyDescent="0.3">
      <c r="A7" s="11">
        <v>34731</v>
      </c>
      <c r="G7" s="40" t="s">
        <v>12219</v>
      </c>
      <c r="H7" s="43">
        <v>16</v>
      </c>
      <c r="J7" s="39" t="s">
        <v>12209</v>
      </c>
      <c r="K7" s="42">
        <v>16</v>
      </c>
      <c r="M7" s="39" t="s">
        <v>12209</v>
      </c>
      <c r="N7" s="42">
        <v>16</v>
      </c>
      <c r="Q7">
        <f>Q6+1</f>
        <v>11</v>
      </c>
      <c r="R7" s="20">
        <f>MIN(Tabela4[Data])</f>
        <v>34608</v>
      </c>
      <c r="S7" t="str">
        <f>_xlfn.XLOOKUP(Q7,$H$2:$H$22,$G$2:$G$22)&amp;" / "&amp;_xlfn.XLOOKUP(Q7,$K$2:$K$22,$J$2:$J$22)</f>
        <v>Ba1 / BB+</v>
      </c>
      <c r="W7" s="49"/>
      <c r="AF7" s="49"/>
      <c r="AL7" s="49"/>
    </row>
    <row r="8" spans="1:38" x14ac:dyDescent="0.3">
      <c r="A8" s="11">
        <v>34759</v>
      </c>
      <c r="G8" s="40" t="s">
        <v>12220</v>
      </c>
      <c r="H8" s="43">
        <v>15</v>
      </c>
      <c r="J8" s="39" t="s">
        <v>12242</v>
      </c>
      <c r="K8" s="42">
        <v>15</v>
      </c>
      <c r="M8" s="39" t="s">
        <v>12242</v>
      </c>
      <c r="N8" s="42">
        <v>15</v>
      </c>
      <c r="Q8">
        <f>Q7+1</f>
        <v>12</v>
      </c>
      <c r="R8" s="20">
        <f>MIN(Tabela4[Data])</f>
        <v>34608</v>
      </c>
      <c r="S8" t="str">
        <f>_xlfn.XLOOKUP(Q8,$H$2:$H$22,$G$2:$G$22)&amp;" / "&amp;_xlfn.XLOOKUP(Q8,$K$2:$K$22,$J$2:$J$22)</f>
        <v>Baa3 / BBB-</v>
      </c>
      <c r="W8" s="49"/>
      <c r="AF8" s="49"/>
      <c r="AL8" s="49"/>
    </row>
    <row r="9" spans="1:38" x14ac:dyDescent="0.3">
      <c r="A9" s="11">
        <v>34790</v>
      </c>
      <c r="G9" s="40" t="s">
        <v>12221</v>
      </c>
      <c r="H9" s="43">
        <v>14</v>
      </c>
      <c r="J9" s="39" t="s">
        <v>12243</v>
      </c>
      <c r="K9" s="42">
        <v>14</v>
      </c>
      <c r="M9" s="39" t="s">
        <v>12243</v>
      </c>
      <c r="N9" s="42">
        <v>14</v>
      </c>
      <c r="Q9">
        <f>Q8+1</f>
        <v>13</v>
      </c>
      <c r="R9" s="20">
        <f>MIN(Tabela4[Data])</f>
        <v>34608</v>
      </c>
      <c r="S9" t="str">
        <f>_xlfn.XLOOKUP(Q9,$H$2:$H$22,$G$2:$G$22)&amp;" / "&amp;_xlfn.XLOOKUP(Q9,$K$2:$K$22,$J$2:$J$22)</f>
        <v>Baa2 / BBB</v>
      </c>
      <c r="W9" s="49"/>
      <c r="AF9" s="49"/>
      <c r="AL9" s="49"/>
    </row>
    <row r="10" spans="1:38" x14ac:dyDescent="0.3">
      <c r="A10" s="11">
        <v>34820</v>
      </c>
      <c r="G10" s="40" t="s">
        <v>12222</v>
      </c>
      <c r="H10" s="43">
        <v>13</v>
      </c>
      <c r="J10" s="39" t="s">
        <v>12244</v>
      </c>
      <c r="K10" s="42">
        <v>13</v>
      </c>
      <c r="M10" s="39" t="s">
        <v>12244</v>
      </c>
      <c r="N10" s="42">
        <v>13</v>
      </c>
      <c r="P10" t="s">
        <v>12263</v>
      </c>
      <c r="Q10">
        <f>Q9+1</f>
        <v>14</v>
      </c>
      <c r="R10" s="20">
        <f>MIN(Tabela4[Data])</f>
        <v>34608</v>
      </c>
      <c r="S10" t="str">
        <f>_xlfn.XLOOKUP(Q10,$H$2:$H$22,$G$2:$G$22)&amp;" / "&amp;_xlfn.XLOOKUP(Q10,$K$2:$K$22,$J$2:$J$22)</f>
        <v>Baa1 / BBB+</v>
      </c>
      <c r="W10" s="49"/>
      <c r="AF10" s="49"/>
      <c r="AL10" s="49"/>
    </row>
    <row r="11" spans="1:38" x14ac:dyDescent="0.3">
      <c r="A11" s="11">
        <v>34851</v>
      </c>
      <c r="F11" s="38" t="s">
        <v>12258</v>
      </c>
      <c r="G11" s="41" t="s">
        <v>12223</v>
      </c>
      <c r="H11" s="44">
        <v>12</v>
      </c>
      <c r="I11" s="38"/>
      <c r="J11" s="45" t="s">
        <v>12245</v>
      </c>
      <c r="K11" s="46">
        <v>12</v>
      </c>
      <c r="L11" s="38"/>
      <c r="M11" s="45" t="s">
        <v>12245</v>
      </c>
      <c r="N11" s="46">
        <v>12</v>
      </c>
      <c r="W11" s="49"/>
      <c r="AF11" s="49"/>
      <c r="AL11" s="49"/>
    </row>
    <row r="12" spans="1:38" x14ac:dyDescent="0.3">
      <c r="A12" s="11">
        <v>34881</v>
      </c>
      <c r="G12" s="40" t="s">
        <v>12224</v>
      </c>
      <c r="H12" s="43">
        <v>11</v>
      </c>
      <c r="J12" s="39" t="s">
        <v>12246</v>
      </c>
      <c r="K12" s="42">
        <v>11</v>
      </c>
      <c r="M12" s="39" t="s">
        <v>12246</v>
      </c>
      <c r="N12" s="42">
        <v>11</v>
      </c>
      <c r="W12" s="49"/>
      <c r="AF12" s="49"/>
      <c r="AL12" s="49"/>
    </row>
    <row r="13" spans="1:38" x14ac:dyDescent="0.3">
      <c r="A13" s="11">
        <v>34912</v>
      </c>
      <c r="G13" s="40" t="s">
        <v>12225</v>
      </c>
      <c r="H13" s="43">
        <v>10</v>
      </c>
      <c r="J13" s="39" t="s">
        <v>12247</v>
      </c>
      <c r="K13" s="42">
        <v>10</v>
      </c>
      <c r="M13" s="39" t="s">
        <v>12247</v>
      </c>
      <c r="N13" s="42">
        <v>10</v>
      </c>
      <c r="W13" s="49"/>
      <c r="AF13" s="49"/>
      <c r="AL13" s="49"/>
    </row>
    <row r="14" spans="1:38" x14ac:dyDescent="0.3">
      <c r="A14" s="11">
        <v>34943</v>
      </c>
      <c r="G14" s="40" t="s">
        <v>12226</v>
      </c>
      <c r="H14" s="43">
        <v>9</v>
      </c>
      <c r="J14" s="39" t="s">
        <v>12248</v>
      </c>
      <c r="K14" s="42">
        <v>9</v>
      </c>
      <c r="M14" s="39" t="s">
        <v>12248</v>
      </c>
      <c r="N14" s="42">
        <v>9</v>
      </c>
      <c r="W14" s="49"/>
      <c r="AF14" s="49"/>
      <c r="AL14" s="49"/>
    </row>
    <row r="15" spans="1:38" x14ac:dyDescent="0.3">
      <c r="A15" s="11">
        <v>34973</v>
      </c>
      <c r="G15" s="40" t="s">
        <v>12227</v>
      </c>
      <c r="H15" s="43">
        <v>8</v>
      </c>
      <c r="J15" s="39" t="s">
        <v>12249</v>
      </c>
      <c r="K15" s="42">
        <v>8</v>
      </c>
      <c r="M15" s="39" t="s">
        <v>12249</v>
      </c>
      <c r="N15" s="42">
        <v>8</v>
      </c>
      <c r="W15" s="49"/>
      <c r="AF15" s="49"/>
      <c r="AL15" s="49"/>
    </row>
    <row r="16" spans="1:38" x14ac:dyDescent="0.3">
      <c r="A16" s="11">
        <v>35004</v>
      </c>
      <c r="G16" s="40" t="s">
        <v>12228</v>
      </c>
      <c r="H16" s="43">
        <v>7</v>
      </c>
      <c r="J16" s="39" t="s">
        <v>12250</v>
      </c>
      <c r="K16" s="42">
        <v>7</v>
      </c>
      <c r="M16" s="39" t="s">
        <v>12250</v>
      </c>
      <c r="N16" s="42">
        <v>7</v>
      </c>
      <c r="W16" s="49"/>
      <c r="AF16" s="49"/>
      <c r="AL16" s="49"/>
    </row>
    <row r="17" spans="1:38" x14ac:dyDescent="0.3">
      <c r="A17" s="11">
        <v>35034</v>
      </c>
      <c r="G17" s="40" t="s">
        <v>12229</v>
      </c>
      <c r="H17" s="43">
        <v>6</v>
      </c>
      <c r="J17" s="39" t="s">
        <v>12251</v>
      </c>
      <c r="K17" s="42">
        <v>6</v>
      </c>
      <c r="M17" s="39" t="s">
        <v>12251</v>
      </c>
      <c r="N17" s="42">
        <v>6</v>
      </c>
      <c r="W17" s="49"/>
      <c r="AF17" s="49"/>
      <c r="AL17" s="49"/>
    </row>
    <row r="18" spans="1:38" x14ac:dyDescent="0.3">
      <c r="A18" s="11">
        <v>35065</v>
      </c>
      <c r="G18" s="40" t="s">
        <v>12230</v>
      </c>
      <c r="H18" s="43">
        <v>5</v>
      </c>
      <c r="J18" s="39" t="s">
        <v>12252</v>
      </c>
      <c r="K18" s="42">
        <v>5</v>
      </c>
      <c r="M18" s="39" t="s">
        <v>12252</v>
      </c>
      <c r="N18" s="42">
        <v>5</v>
      </c>
      <c r="W18" s="49"/>
      <c r="AF18" s="49"/>
      <c r="AL18" s="49"/>
    </row>
    <row r="19" spans="1:38" x14ac:dyDescent="0.3">
      <c r="A19" s="11">
        <v>35096</v>
      </c>
      <c r="G19" s="40" t="s">
        <v>12231</v>
      </c>
      <c r="H19" s="43">
        <v>4</v>
      </c>
      <c r="J19" s="39" t="s">
        <v>12253</v>
      </c>
      <c r="K19" s="42">
        <v>4</v>
      </c>
      <c r="M19" s="39" t="s">
        <v>12253</v>
      </c>
      <c r="N19" s="42">
        <v>4</v>
      </c>
      <c r="W19" s="49"/>
      <c r="AF19" s="49"/>
      <c r="AL19" s="49"/>
    </row>
    <row r="20" spans="1:38" x14ac:dyDescent="0.3">
      <c r="A20" s="11">
        <v>35125</v>
      </c>
      <c r="G20" s="40" t="s">
        <v>12232</v>
      </c>
      <c r="H20" s="43">
        <v>3</v>
      </c>
      <c r="J20" s="39" t="s">
        <v>12254</v>
      </c>
      <c r="K20" s="42">
        <v>3</v>
      </c>
      <c r="M20" s="39" t="s">
        <v>12254</v>
      </c>
      <c r="N20" s="42">
        <v>3</v>
      </c>
      <c r="W20" s="49"/>
      <c r="AF20" s="49"/>
      <c r="AL20" s="49"/>
    </row>
    <row r="21" spans="1:38" x14ac:dyDescent="0.3">
      <c r="A21" s="11">
        <v>35156</v>
      </c>
      <c r="G21" s="40" t="s">
        <v>12233</v>
      </c>
      <c r="H21" s="43">
        <v>2</v>
      </c>
      <c r="J21" s="39" t="s">
        <v>12255</v>
      </c>
      <c r="K21" s="42">
        <v>2</v>
      </c>
      <c r="M21" s="39" t="s">
        <v>12255</v>
      </c>
      <c r="N21" s="42">
        <v>2</v>
      </c>
      <c r="W21" s="49"/>
      <c r="AF21" s="49"/>
      <c r="AL21" s="49"/>
    </row>
    <row r="22" spans="1:38" x14ac:dyDescent="0.3">
      <c r="A22" s="11">
        <v>35186</v>
      </c>
      <c r="G22" s="40" t="s">
        <v>12234</v>
      </c>
      <c r="H22" s="43">
        <v>1</v>
      </c>
      <c r="J22" s="39" t="s">
        <v>12234</v>
      </c>
      <c r="K22" s="42">
        <v>1</v>
      </c>
      <c r="M22" s="39" t="s">
        <v>12234</v>
      </c>
      <c r="N22" s="42">
        <v>1</v>
      </c>
      <c r="W22" s="49"/>
      <c r="AF22" s="49"/>
      <c r="AL22" s="49"/>
    </row>
    <row r="23" spans="1:38" x14ac:dyDescent="0.3">
      <c r="A23" s="11">
        <v>35217</v>
      </c>
      <c r="C23">
        <v>8</v>
      </c>
      <c r="D23">
        <v>8</v>
      </c>
      <c r="W23" s="49"/>
      <c r="AF23" s="49"/>
      <c r="AL23" s="49"/>
    </row>
    <row r="24" spans="1:38" x14ac:dyDescent="0.3">
      <c r="A24" s="11">
        <v>35247</v>
      </c>
      <c r="C24">
        <v>8</v>
      </c>
      <c r="D24">
        <v>8</v>
      </c>
      <c r="W24" s="49"/>
      <c r="AF24" s="49"/>
      <c r="AL24" s="49"/>
    </row>
    <row r="25" spans="1:38" x14ac:dyDescent="0.3">
      <c r="A25" s="11">
        <v>35278</v>
      </c>
      <c r="C25">
        <v>8</v>
      </c>
      <c r="D25">
        <v>8</v>
      </c>
      <c r="W25" s="49"/>
      <c r="AF25" s="49"/>
      <c r="AL25" s="49"/>
    </row>
    <row r="26" spans="1:38" x14ac:dyDescent="0.3">
      <c r="A26" s="11">
        <v>35309</v>
      </c>
      <c r="C26">
        <v>8</v>
      </c>
      <c r="D26">
        <v>8</v>
      </c>
      <c r="W26" s="49"/>
      <c r="AF26" s="49"/>
      <c r="AL26" s="49"/>
    </row>
    <row r="27" spans="1:38" x14ac:dyDescent="0.3">
      <c r="A27" s="11">
        <v>35339</v>
      </c>
      <c r="C27">
        <v>8</v>
      </c>
      <c r="D27">
        <v>8</v>
      </c>
      <c r="W27" s="49"/>
      <c r="AF27" s="49"/>
      <c r="AL27" s="49"/>
    </row>
    <row r="28" spans="1:38" x14ac:dyDescent="0.3">
      <c r="A28" s="11">
        <v>35370</v>
      </c>
      <c r="C28">
        <v>8</v>
      </c>
      <c r="D28">
        <v>8</v>
      </c>
      <c r="W28" s="49"/>
      <c r="AF28" s="49"/>
      <c r="AL28" s="49"/>
    </row>
    <row r="29" spans="1:38" x14ac:dyDescent="0.3">
      <c r="A29" s="11">
        <v>35400</v>
      </c>
      <c r="C29">
        <v>8</v>
      </c>
      <c r="D29">
        <v>8</v>
      </c>
      <c r="W29" s="49"/>
      <c r="AF29" s="49"/>
      <c r="AL29" s="49"/>
    </row>
    <row r="30" spans="1:38" x14ac:dyDescent="0.3">
      <c r="A30" s="11">
        <v>35431</v>
      </c>
      <c r="C30">
        <v>8</v>
      </c>
      <c r="D30">
        <v>8</v>
      </c>
      <c r="W30" s="49"/>
      <c r="AF30" s="49"/>
      <c r="AL30" s="49"/>
    </row>
    <row r="31" spans="1:38" x14ac:dyDescent="0.3">
      <c r="A31" s="11">
        <v>35462</v>
      </c>
      <c r="C31">
        <v>8</v>
      </c>
      <c r="D31">
        <v>8</v>
      </c>
      <c r="W31" s="49"/>
      <c r="AF31" s="49"/>
      <c r="AL31" s="49"/>
    </row>
    <row r="32" spans="1:38" x14ac:dyDescent="0.3">
      <c r="A32" s="11">
        <v>35490</v>
      </c>
      <c r="C32">
        <v>8</v>
      </c>
      <c r="D32">
        <v>8</v>
      </c>
      <c r="W32" s="49"/>
      <c r="AF32" s="49"/>
      <c r="AL32" s="49"/>
    </row>
    <row r="33" spans="1:38" x14ac:dyDescent="0.3">
      <c r="A33" s="11">
        <v>35521</v>
      </c>
      <c r="C33">
        <v>9</v>
      </c>
      <c r="D33">
        <v>8</v>
      </c>
      <c r="W33" s="49"/>
      <c r="AF33" s="49"/>
      <c r="AL33" s="49"/>
    </row>
    <row r="34" spans="1:38" x14ac:dyDescent="0.3">
      <c r="A34" s="11">
        <v>35551</v>
      </c>
      <c r="C34">
        <v>9</v>
      </c>
      <c r="D34">
        <v>8</v>
      </c>
      <c r="W34" s="49"/>
      <c r="AF34" s="49"/>
      <c r="AL34" s="49"/>
    </row>
    <row r="35" spans="1:38" x14ac:dyDescent="0.3">
      <c r="A35" s="11">
        <v>35582</v>
      </c>
      <c r="C35">
        <v>9</v>
      </c>
      <c r="D35">
        <v>8</v>
      </c>
      <c r="AF35" s="49"/>
      <c r="AL35" s="49"/>
    </row>
    <row r="36" spans="1:38" x14ac:dyDescent="0.3">
      <c r="A36" s="11">
        <v>35612</v>
      </c>
      <c r="C36">
        <v>9</v>
      </c>
      <c r="D36">
        <v>8</v>
      </c>
      <c r="AF36" s="49"/>
      <c r="AL36" s="49"/>
    </row>
    <row r="37" spans="1:38" x14ac:dyDescent="0.3">
      <c r="A37" s="11">
        <v>35643</v>
      </c>
      <c r="C37">
        <v>9</v>
      </c>
      <c r="D37">
        <v>8</v>
      </c>
      <c r="AF37" s="49"/>
      <c r="AL37" s="49"/>
    </row>
    <row r="38" spans="1:38" x14ac:dyDescent="0.3">
      <c r="A38" s="11">
        <v>35674</v>
      </c>
      <c r="C38">
        <v>9</v>
      </c>
      <c r="D38">
        <v>8</v>
      </c>
      <c r="AF38" s="49"/>
      <c r="AL38" s="49"/>
    </row>
    <row r="39" spans="1:38" x14ac:dyDescent="0.3">
      <c r="A39" s="11">
        <v>35704</v>
      </c>
      <c r="C39">
        <v>9</v>
      </c>
      <c r="D39">
        <v>8</v>
      </c>
      <c r="AF39" s="49"/>
    </row>
    <row r="40" spans="1:38" x14ac:dyDescent="0.3">
      <c r="A40" s="11">
        <v>35735</v>
      </c>
      <c r="C40">
        <v>9</v>
      </c>
      <c r="D40">
        <v>8</v>
      </c>
      <c r="AF40" s="49"/>
    </row>
    <row r="41" spans="1:38" x14ac:dyDescent="0.3">
      <c r="A41" s="11">
        <v>35765</v>
      </c>
      <c r="C41">
        <v>9</v>
      </c>
      <c r="D41">
        <v>8</v>
      </c>
      <c r="AF41" s="49"/>
    </row>
    <row r="42" spans="1:38" x14ac:dyDescent="0.3">
      <c r="A42" s="11">
        <v>35796</v>
      </c>
      <c r="C42">
        <v>9</v>
      </c>
      <c r="D42">
        <v>8</v>
      </c>
      <c r="AF42" s="49"/>
    </row>
    <row r="43" spans="1:38" x14ac:dyDescent="0.3">
      <c r="A43" s="11">
        <v>35827</v>
      </c>
      <c r="C43">
        <v>9</v>
      </c>
      <c r="D43">
        <v>8</v>
      </c>
      <c r="AF43" s="49"/>
    </row>
    <row r="44" spans="1:38" x14ac:dyDescent="0.3">
      <c r="A44" s="11">
        <v>35855</v>
      </c>
      <c r="C44">
        <v>9</v>
      </c>
      <c r="D44">
        <v>8</v>
      </c>
      <c r="AF44" s="49"/>
    </row>
    <row r="45" spans="1:38" x14ac:dyDescent="0.3">
      <c r="A45" s="11">
        <v>35886</v>
      </c>
      <c r="C45">
        <v>9</v>
      </c>
      <c r="D45">
        <v>8</v>
      </c>
    </row>
    <row r="46" spans="1:38" x14ac:dyDescent="0.3">
      <c r="A46" s="11">
        <v>35916</v>
      </c>
      <c r="C46">
        <v>9</v>
      </c>
      <c r="D46">
        <v>8</v>
      </c>
    </row>
    <row r="47" spans="1:38" x14ac:dyDescent="0.3">
      <c r="A47" s="11">
        <v>35947</v>
      </c>
      <c r="C47">
        <v>9</v>
      </c>
      <c r="D47">
        <v>8</v>
      </c>
    </row>
    <row r="48" spans="1:38" x14ac:dyDescent="0.3">
      <c r="A48" s="11">
        <v>35977</v>
      </c>
      <c r="C48">
        <v>9</v>
      </c>
      <c r="D48">
        <v>8</v>
      </c>
    </row>
    <row r="49" spans="1:4" x14ac:dyDescent="0.3">
      <c r="A49" s="11">
        <v>36008</v>
      </c>
      <c r="C49">
        <v>9</v>
      </c>
      <c r="D49">
        <v>8</v>
      </c>
    </row>
    <row r="50" spans="1:4" x14ac:dyDescent="0.3">
      <c r="A50" s="11">
        <v>36039</v>
      </c>
      <c r="B50">
        <v>7</v>
      </c>
      <c r="C50">
        <v>9</v>
      </c>
      <c r="D50">
        <v>8</v>
      </c>
    </row>
    <row r="51" spans="1:4" x14ac:dyDescent="0.3">
      <c r="A51" s="11">
        <v>36069</v>
      </c>
      <c r="B51">
        <v>7</v>
      </c>
      <c r="C51">
        <v>9</v>
      </c>
      <c r="D51">
        <v>8</v>
      </c>
    </row>
    <row r="52" spans="1:4" x14ac:dyDescent="0.3">
      <c r="A52" s="11">
        <v>36100</v>
      </c>
      <c r="B52">
        <v>7</v>
      </c>
      <c r="C52">
        <v>9</v>
      </c>
      <c r="D52">
        <v>8</v>
      </c>
    </row>
    <row r="53" spans="1:4" x14ac:dyDescent="0.3">
      <c r="A53" s="11">
        <v>36130</v>
      </c>
      <c r="B53">
        <v>7</v>
      </c>
      <c r="C53">
        <v>9</v>
      </c>
      <c r="D53">
        <v>8</v>
      </c>
    </row>
    <row r="54" spans="1:4" x14ac:dyDescent="0.3">
      <c r="A54" s="11">
        <v>36161</v>
      </c>
      <c r="B54">
        <v>7</v>
      </c>
      <c r="C54">
        <v>8</v>
      </c>
      <c r="D54">
        <v>7</v>
      </c>
    </row>
    <row r="55" spans="1:4" x14ac:dyDescent="0.3">
      <c r="A55" s="11">
        <v>36192</v>
      </c>
      <c r="B55">
        <v>7</v>
      </c>
      <c r="C55">
        <v>8</v>
      </c>
      <c r="D55">
        <v>7</v>
      </c>
    </row>
    <row r="56" spans="1:4" x14ac:dyDescent="0.3">
      <c r="A56" s="11">
        <v>36220</v>
      </c>
      <c r="B56">
        <v>7</v>
      </c>
      <c r="C56">
        <v>8</v>
      </c>
      <c r="D56">
        <v>7</v>
      </c>
    </row>
    <row r="57" spans="1:4" x14ac:dyDescent="0.3">
      <c r="A57" s="11">
        <v>36251</v>
      </c>
      <c r="B57">
        <v>7</v>
      </c>
      <c r="C57">
        <v>8</v>
      </c>
      <c r="D57">
        <v>7</v>
      </c>
    </row>
    <row r="58" spans="1:4" x14ac:dyDescent="0.3">
      <c r="A58" s="11">
        <v>36281</v>
      </c>
      <c r="B58">
        <v>7</v>
      </c>
      <c r="C58">
        <v>8</v>
      </c>
      <c r="D58">
        <v>7</v>
      </c>
    </row>
    <row r="59" spans="1:4" x14ac:dyDescent="0.3">
      <c r="A59" s="11">
        <v>36312</v>
      </c>
      <c r="B59">
        <v>7</v>
      </c>
      <c r="C59">
        <v>8</v>
      </c>
      <c r="D59">
        <v>7</v>
      </c>
    </row>
    <row r="60" spans="1:4" x14ac:dyDescent="0.3">
      <c r="A60" s="11">
        <v>36342</v>
      </c>
      <c r="B60">
        <v>7</v>
      </c>
      <c r="C60">
        <v>8</v>
      </c>
      <c r="D60">
        <v>7</v>
      </c>
    </row>
    <row r="61" spans="1:4" x14ac:dyDescent="0.3">
      <c r="A61" s="11">
        <v>36373</v>
      </c>
      <c r="B61">
        <v>7</v>
      </c>
      <c r="C61">
        <v>8</v>
      </c>
      <c r="D61">
        <v>7</v>
      </c>
    </row>
    <row r="62" spans="1:4" x14ac:dyDescent="0.3">
      <c r="A62" s="11">
        <v>36404</v>
      </c>
      <c r="B62">
        <v>7</v>
      </c>
      <c r="C62">
        <v>8</v>
      </c>
      <c r="D62">
        <v>7</v>
      </c>
    </row>
    <row r="63" spans="1:4" x14ac:dyDescent="0.3">
      <c r="A63" s="11">
        <v>36434</v>
      </c>
      <c r="B63">
        <v>7</v>
      </c>
      <c r="C63">
        <v>8</v>
      </c>
      <c r="D63">
        <v>7</v>
      </c>
    </row>
    <row r="64" spans="1:4" x14ac:dyDescent="0.3">
      <c r="A64" s="11">
        <v>36465</v>
      </c>
      <c r="B64">
        <v>7</v>
      </c>
      <c r="C64">
        <v>8</v>
      </c>
      <c r="D64">
        <v>7</v>
      </c>
    </row>
    <row r="65" spans="1:4" x14ac:dyDescent="0.3">
      <c r="A65" s="11">
        <v>36495</v>
      </c>
      <c r="B65">
        <v>7</v>
      </c>
      <c r="C65">
        <v>8</v>
      </c>
      <c r="D65">
        <v>7</v>
      </c>
    </row>
    <row r="66" spans="1:4" x14ac:dyDescent="0.3">
      <c r="A66" s="11">
        <v>36526</v>
      </c>
      <c r="B66">
        <v>7</v>
      </c>
      <c r="C66">
        <v>8</v>
      </c>
      <c r="D66">
        <v>7</v>
      </c>
    </row>
    <row r="67" spans="1:4" x14ac:dyDescent="0.3">
      <c r="A67" s="11">
        <v>36557</v>
      </c>
      <c r="B67">
        <v>7</v>
      </c>
      <c r="C67">
        <v>8</v>
      </c>
      <c r="D67">
        <v>8</v>
      </c>
    </row>
    <row r="68" spans="1:4" x14ac:dyDescent="0.3">
      <c r="A68" s="11">
        <v>36586</v>
      </c>
      <c r="B68">
        <v>7</v>
      </c>
      <c r="C68">
        <v>8</v>
      </c>
      <c r="D68">
        <v>8</v>
      </c>
    </row>
    <row r="69" spans="1:4" x14ac:dyDescent="0.3">
      <c r="A69" s="11">
        <v>36617</v>
      </c>
      <c r="B69">
        <v>7</v>
      </c>
      <c r="C69">
        <v>8</v>
      </c>
      <c r="D69">
        <v>8</v>
      </c>
    </row>
    <row r="70" spans="1:4" x14ac:dyDescent="0.3">
      <c r="A70" s="11">
        <v>36647</v>
      </c>
      <c r="B70">
        <v>7</v>
      </c>
      <c r="C70">
        <v>8</v>
      </c>
      <c r="D70">
        <v>9</v>
      </c>
    </row>
    <row r="71" spans="1:4" x14ac:dyDescent="0.3">
      <c r="A71" s="11">
        <v>36678</v>
      </c>
      <c r="B71">
        <v>7</v>
      </c>
      <c r="C71">
        <v>8</v>
      </c>
      <c r="D71">
        <v>9</v>
      </c>
    </row>
    <row r="72" spans="1:4" x14ac:dyDescent="0.3">
      <c r="A72" s="11">
        <v>36708</v>
      </c>
      <c r="B72">
        <v>7</v>
      </c>
      <c r="C72">
        <v>8</v>
      </c>
      <c r="D72">
        <v>9</v>
      </c>
    </row>
    <row r="73" spans="1:4" x14ac:dyDescent="0.3">
      <c r="A73" s="11">
        <v>36739</v>
      </c>
      <c r="B73">
        <v>7</v>
      </c>
      <c r="C73">
        <v>8</v>
      </c>
      <c r="D73">
        <v>9</v>
      </c>
    </row>
    <row r="74" spans="1:4" x14ac:dyDescent="0.3">
      <c r="A74" s="11">
        <v>36770</v>
      </c>
      <c r="B74">
        <v>8</v>
      </c>
      <c r="C74">
        <v>8</v>
      </c>
      <c r="D74">
        <v>9</v>
      </c>
    </row>
    <row r="75" spans="1:4" x14ac:dyDescent="0.3">
      <c r="A75" s="11">
        <v>36800</v>
      </c>
      <c r="B75">
        <v>8</v>
      </c>
      <c r="C75">
        <v>8</v>
      </c>
      <c r="D75">
        <v>9</v>
      </c>
    </row>
    <row r="76" spans="1:4" x14ac:dyDescent="0.3">
      <c r="A76" s="11">
        <v>36831</v>
      </c>
      <c r="B76">
        <v>8</v>
      </c>
      <c r="C76">
        <v>8</v>
      </c>
      <c r="D76">
        <v>9</v>
      </c>
    </row>
    <row r="77" spans="1:4" x14ac:dyDescent="0.3">
      <c r="A77" s="11">
        <v>36861</v>
      </c>
      <c r="B77">
        <v>8</v>
      </c>
      <c r="C77">
        <v>8</v>
      </c>
      <c r="D77">
        <v>9</v>
      </c>
    </row>
    <row r="78" spans="1:4" x14ac:dyDescent="0.3">
      <c r="A78" s="11">
        <v>36892</v>
      </c>
      <c r="B78">
        <v>8</v>
      </c>
      <c r="C78">
        <v>9</v>
      </c>
      <c r="D78">
        <v>9</v>
      </c>
    </row>
    <row r="79" spans="1:4" x14ac:dyDescent="0.3">
      <c r="A79" s="11">
        <v>36923</v>
      </c>
      <c r="B79">
        <v>8</v>
      </c>
      <c r="C79">
        <v>9</v>
      </c>
      <c r="D79">
        <v>9</v>
      </c>
    </row>
    <row r="80" spans="1:4" x14ac:dyDescent="0.3">
      <c r="A80" s="11">
        <v>36951</v>
      </c>
      <c r="B80">
        <v>8</v>
      </c>
      <c r="C80">
        <v>9</v>
      </c>
      <c r="D80">
        <v>9</v>
      </c>
    </row>
    <row r="81" spans="1:4" x14ac:dyDescent="0.3">
      <c r="A81" s="11">
        <v>36982</v>
      </c>
      <c r="B81">
        <v>8</v>
      </c>
      <c r="C81">
        <v>9</v>
      </c>
      <c r="D81">
        <v>9</v>
      </c>
    </row>
    <row r="82" spans="1:4" x14ac:dyDescent="0.3">
      <c r="A82" s="11">
        <v>37012</v>
      </c>
      <c r="B82">
        <v>8</v>
      </c>
      <c r="C82">
        <v>9</v>
      </c>
      <c r="D82">
        <v>9</v>
      </c>
    </row>
    <row r="83" spans="1:4" x14ac:dyDescent="0.3">
      <c r="A83" s="11">
        <v>37043</v>
      </c>
      <c r="B83">
        <v>8</v>
      </c>
      <c r="C83">
        <v>9</v>
      </c>
      <c r="D83">
        <v>9</v>
      </c>
    </row>
    <row r="84" spans="1:4" x14ac:dyDescent="0.3">
      <c r="A84" s="11">
        <v>37073</v>
      </c>
      <c r="B84">
        <v>8</v>
      </c>
      <c r="C84">
        <v>9</v>
      </c>
      <c r="D84">
        <v>9</v>
      </c>
    </row>
    <row r="85" spans="1:4" x14ac:dyDescent="0.3">
      <c r="A85" s="11">
        <v>37104</v>
      </c>
      <c r="B85">
        <v>8</v>
      </c>
      <c r="C85">
        <v>9</v>
      </c>
      <c r="D85">
        <v>9</v>
      </c>
    </row>
    <row r="86" spans="1:4" x14ac:dyDescent="0.3">
      <c r="A86" s="11">
        <v>37135</v>
      </c>
      <c r="B86">
        <v>8</v>
      </c>
      <c r="C86">
        <v>9</v>
      </c>
      <c r="D86">
        <v>9</v>
      </c>
    </row>
    <row r="87" spans="1:4" x14ac:dyDescent="0.3">
      <c r="A87" s="11">
        <v>37165</v>
      </c>
      <c r="B87">
        <v>8</v>
      </c>
      <c r="C87">
        <v>9</v>
      </c>
      <c r="D87">
        <v>9</v>
      </c>
    </row>
    <row r="88" spans="1:4" x14ac:dyDescent="0.3">
      <c r="A88" s="11">
        <v>37196</v>
      </c>
      <c r="B88">
        <v>8</v>
      </c>
      <c r="C88">
        <v>9</v>
      </c>
      <c r="D88">
        <v>9</v>
      </c>
    </row>
    <row r="89" spans="1:4" x14ac:dyDescent="0.3">
      <c r="A89" s="11">
        <v>37226</v>
      </c>
      <c r="B89">
        <v>8</v>
      </c>
      <c r="C89">
        <v>9</v>
      </c>
      <c r="D89">
        <v>9</v>
      </c>
    </row>
    <row r="90" spans="1:4" x14ac:dyDescent="0.3">
      <c r="A90" s="11">
        <v>37257</v>
      </c>
      <c r="B90">
        <v>8</v>
      </c>
      <c r="C90">
        <v>9</v>
      </c>
      <c r="D90">
        <v>9</v>
      </c>
    </row>
    <row r="91" spans="1:4" x14ac:dyDescent="0.3">
      <c r="A91" s="11">
        <v>37288</v>
      </c>
      <c r="B91">
        <v>8</v>
      </c>
      <c r="C91">
        <v>9</v>
      </c>
      <c r="D91">
        <v>9</v>
      </c>
    </row>
    <row r="92" spans="1:4" x14ac:dyDescent="0.3">
      <c r="A92" s="11">
        <v>37316</v>
      </c>
      <c r="B92">
        <v>8</v>
      </c>
      <c r="C92">
        <v>9</v>
      </c>
      <c r="D92">
        <v>9</v>
      </c>
    </row>
    <row r="93" spans="1:4" x14ac:dyDescent="0.3">
      <c r="A93" s="11">
        <v>37347</v>
      </c>
      <c r="B93">
        <v>8</v>
      </c>
      <c r="C93">
        <v>9</v>
      </c>
      <c r="D93">
        <v>9</v>
      </c>
    </row>
    <row r="94" spans="1:4" x14ac:dyDescent="0.3">
      <c r="A94" s="11">
        <v>37377</v>
      </c>
      <c r="B94">
        <v>8</v>
      </c>
      <c r="C94">
        <v>9</v>
      </c>
      <c r="D94">
        <v>9</v>
      </c>
    </row>
    <row r="95" spans="1:4" x14ac:dyDescent="0.3">
      <c r="A95" s="11">
        <v>37408</v>
      </c>
      <c r="B95">
        <v>8</v>
      </c>
      <c r="C95">
        <v>9</v>
      </c>
      <c r="D95">
        <v>8</v>
      </c>
    </row>
    <row r="96" spans="1:4" x14ac:dyDescent="0.3">
      <c r="A96" s="11">
        <v>37438</v>
      </c>
      <c r="B96">
        <v>7</v>
      </c>
      <c r="C96">
        <v>8</v>
      </c>
      <c r="D96">
        <v>8</v>
      </c>
    </row>
    <row r="97" spans="1:4" x14ac:dyDescent="0.3">
      <c r="A97" s="11">
        <v>37469</v>
      </c>
      <c r="B97">
        <v>7</v>
      </c>
      <c r="C97">
        <v>8</v>
      </c>
      <c r="D97">
        <v>7</v>
      </c>
    </row>
    <row r="98" spans="1:4" x14ac:dyDescent="0.3">
      <c r="A98" s="11">
        <v>37500</v>
      </c>
      <c r="B98">
        <v>7</v>
      </c>
      <c r="C98">
        <v>8</v>
      </c>
      <c r="D98">
        <v>7</v>
      </c>
    </row>
    <row r="99" spans="1:4" x14ac:dyDescent="0.3">
      <c r="A99" s="11">
        <v>37530</v>
      </c>
      <c r="B99">
        <v>7</v>
      </c>
      <c r="C99">
        <v>8</v>
      </c>
      <c r="D99">
        <v>7</v>
      </c>
    </row>
    <row r="100" spans="1:4" x14ac:dyDescent="0.3">
      <c r="A100" s="11">
        <v>37561</v>
      </c>
      <c r="B100">
        <v>7</v>
      </c>
      <c r="C100">
        <v>8</v>
      </c>
      <c r="D100">
        <v>7</v>
      </c>
    </row>
    <row r="101" spans="1:4" x14ac:dyDescent="0.3">
      <c r="A101" s="11">
        <v>37591</v>
      </c>
      <c r="B101">
        <v>7</v>
      </c>
      <c r="C101">
        <v>8</v>
      </c>
      <c r="D101">
        <v>7</v>
      </c>
    </row>
    <row r="102" spans="1:4" x14ac:dyDescent="0.3">
      <c r="A102" s="11">
        <v>37622</v>
      </c>
      <c r="B102">
        <v>7</v>
      </c>
      <c r="C102">
        <v>8</v>
      </c>
      <c r="D102">
        <v>7</v>
      </c>
    </row>
    <row r="103" spans="1:4" x14ac:dyDescent="0.3">
      <c r="A103" s="11">
        <v>37653</v>
      </c>
      <c r="B103">
        <v>7</v>
      </c>
      <c r="C103">
        <v>8</v>
      </c>
      <c r="D103">
        <v>7</v>
      </c>
    </row>
    <row r="104" spans="1:4" x14ac:dyDescent="0.3">
      <c r="A104" s="11">
        <v>37681</v>
      </c>
      <c r="B104">
        <v>7</v>
      </c>
      <c r="C104">
        <v>8</v>
      </c>
      <c r="D104">
        <v>7</v>
      </c>
    </row>
    <row r="105" spans="1:4" x14ac:dyDescent="0.3">
      <c r="A105" s="11">
        <v>37712</v>
      </c>
      <c r="B105">
        <v>7</v>
      </c>
      <c r="C105">
        <v>8</v>
      </c>
      <c r="D105">
        <v>7</v>
      </c>
    </row>
    <row r="106" spans="1:4" x14ac:dyDescent="0.3">
      <c r="A106" s="11">
        <v>37742</v>
      </c>
      <c r="B106">
        <v>7</v>
      </c>
      <c r="C106">
        <v>8</v>
      </c>
      <c r="D106">
        <v>7</v>
      </c>
    </row>
    <row r="107" spans="1:4" x14ac:dyDescent="0.3">
      <c r="A107" s="11">
        <v>37773</v>
      </c>
      <c r="B107">
        <v>7</v>
      </c>
      <c r="C107">
        <v>8</v>
      </c>
      <c r="D107">
        <v>7</v>
      </c>
    </row>
    <row r="108" spans="1:4" x14ac:dyDescent="0.3">
      <c r="A108" s="11">
        <v>37803</v>
      </c>
      <c r="B108">
        <v>7</v>
      </c>
      <c r="C108">
        <v>8</v>
      </c>
      <c r="D108">
        <v>7</v>
      </c>
    </row>
    <row r="109" spans="1:4" x14ac:dyDescent="0.3">
      <c r="A109" s="11">
        <v>37834</v>
      </c>
      <c r="B109">
        <v>7</v>
      </c>
      <c r="C109">
        <v>8</v>
      </c>
      <c r="D109">
        <v>7</v>
      </c>
    </row>
    <row r="110" spans="1:4" x14ac:dyDescent="0.3">
      <c r="A110" s="11">
        <v>37865</v>
      </c>
      <c r="B110">
        <v>7</v>
      </c>
      <c r="C110">
        <v>8</v>
      </c>
      <c r="D110">
        <v>7</v>
      </c>
    </row>
    <row r="111" spans="1:4" x14ac:dyDescent="0.3">
      <c r="A111" s="11">
        <v>37895</v>
      </c>
      <c r="B111">
        <v>7</v>
      </c>
      <c r="C111">
        <v>8</v>
      </c>
      <c r="D111">
        <v>7</v>
      </c>
    </row>
    <row r="112" spans="1:4" x14ac:dyDescent="0.3">
      <c r="A112" s="11">
        <v>37926</v>
      </c>
      <c r="B112">
        <v>7</v>
      </c>
      <c r="C112">
        <v>8</v>
      </c>
      <c r="D112">
        <v>8</v>
      </c>
    </row>
    <row r="113" spans="1:4" x14ac:dyDescent="0.3">
      <c r="A113" s="11">
        <v>37956</v>
      </c>
      <c r="B113">
        <v>7</v>
      </c>
      <c r="C113">
        <v>8</v>
      </c>
      <c r="D113">
        <v>8</v>
      </c>
    </row>
    <row r="114" spans="1:4" x14ac:dyDescent="0.3">
      <c r="A114" s="11">
        <v>37987</v>
      </c>
      <c r="B114">
        <v>7</v>
      </c>
      <c r="C114">
        <v>8</v>
      </c>
      <c r="D114">
        <v>8</v>
      </c>
    </row>
    <row r="115" spans="1:4" x14ac:dyDescent="0.3">
      <c r="A115" s="11">
        <v>38018</v>
      </c>
      <c r="B115">
        <v>7</v>
      </c>
      <c r="C115">
        <v>8</v>
      </c>
      <c r="D115">
        <v>8</v>
      </c>
    </row>
    <row r="116" spans="1:4" x14ac:dyDescent="0.3">
      <c r="A116" s="11">
        <v>38047</v>
      </c>
      <c r="B116">
        <v>7</v>
      </c>
      <c r="C116">
        <v>8</v>
      </c>
      <c r="D116">
        <v>8</v>
      </c>
    </row>
    <row r="117" spans="1:4" x14ac:dyDescent="0.3">
      <c r="A117" s="11">
        <v>38078</v>
      </c>
      <c r="B117">
        <v>7</v>
      </c>
      <c r="C117">
        <v>8</v>
      </c>
      <c r="D117">
        <v>8</v>
      </c>
    </row>
    <row r="118" spans="1:4" x14ac:dyDescent="0.3">
      <c r="A118" s="11">
        <v>38108</v>
      </c>
      <c r="B118">
        <v>7</v>
      </c>
      <c r="C118">
        <v>8</v>
      </c>
      <c r="D118">
        <v>8</v>
      </c>
    </row>
    <row r="119" spans="1:4" x14ac:dyDescent="0.3">
      <c r="A119" s="11">
        <v>38139</v>
      </c>
      <c r="B119">
        <v>7</v>
      </c>
      <c r="C119">
        <v>8</v>
      </c>
      <c r="D119">
        <v>8</v>
      </c>
    </row>
    <row r="120" spans="1:4" x14ac:dyDescent="0.3">
      <c r="A120" s="11">
        <v>38169</v>
      </c>
      <c r="B120">
        <v>7</v>
      </c>
      <c r="C120">
        <v>8</v>
      </c>
      <c r="D120">
        <v>8</v>
      </c>
    </row>
    <row r="121" spans="1:4" x14ac:dyDescent="0.3">
      <c r="A121" s="11">
        <v>38200</v>
      </c>
      <c r="B121">
        <v>8</v>
      </c>
      <c r="C121">
        <v>8</v>
      </c>
      <c r="D121">
        <v>8</v>
      </c>
    </row>
    <row r="122" spans="1:4" x14ac:dyDescent="0.3">
      <c r="A122" s="11">
        <v>38231</v>
      </c>
      <c r="B122">
        <v>8</v>
      </c>
      <c r="C122">
        <v>8</v>
      </c>
      <c r="D122">
        <v>9</v>
      </c>
    </row>
    <row r="123" spans="1:4" x14ac:dyDescent="0.3">
      <c r="A123" s="11">
        <v>38261</v>
      </c>
      <c r="B123">
        <v>8</v>
      </c>
      <c r="C123">
        <v>8</v>
      </c>
      <c r="D123">
        <v>9</v>
      </c>
    </row>
    <row r="124" spans="1:4" x14ac:dyDescent="0.3">
      <c r="A124" s="11">
        <v>38292</v>
      </c>
      <c r="B124">
        <v>8</v>
      </c>
      <c r="C124">
        <v>8</v>
      </c>
      <c r="D124">
        <v>9</v>
      </c>
    </row>
    <row r="125" spans="1:4" x14ac:dyDescent="0.3">
      <c r="A125" s="11">
        <v>38322</v>
      </c>
      <c r="B125">
        <v>8</v>
      </c>
      <c r="C125">
        <v>8</v>
      </c>
      <c r="D125">
        <v>9</v>
      </c>
    </row>
    <row r="126" spans="1:4" x14ac:dyDescent="0.3">
      <c r="A126" s="11">
        <v>38353</v>
      </c>
      <c r="B126">
        <v>8</v>
      </c>
      <c r="C126">
        <v>8</v>
      </c>
      <c r="D126">
        <v>9</v>
      </c>
    </row>
    <row r="127" spans="1:4" x14ac:dyDescent="0.3">
      <c r="A127" s="11">
        <v>38384</v>
      </c>
      <c r="B127">
        <v>8</v>
      </c>
      <c r="C127">
        <v>8</v>
      </c>
      <c r="D127">
        <v>9</v>
      </c>
    </row>
    <row r="128" spans="1:4" x14ac:dyDescent="0.3">
      <c r="A128" s="11">
        <v>38412</v>
      </c>
      <c r="B128">
        <v>8</v>
      </c>
      <c r="C128">
        <v>8</v>
      </c>
      <c r="D128">
        <v>9</v>
      </c>
    </row>
    <row r="129" spans="1:4" x14ac:dyDescent="0.3">
      <c r="A129" s="11">
        <v>38443</v>
      </c>
      <c r="B129">
        <v>8</v>
      </c>
      <c r="C129">
        <v>8</v>
      </c>
      <c r="D129">
        <v>9</v>
      </c>
    </row>
    <row r="130" spans="1:4" x14ac:dyDescent="0.3">
      <c r="A130" s="11">
        <v>38473</v>
      </c>
      <c r="B130">
        <v>8</v>
      </c>
      <c r="C130">
        <v>8</v>
      </c>
      <c r="D130">
        <v>9</v>
      </c>
    </row>
    <row r="131" spans="1:4" x14ac:dyDescent="0.3">
      <c r="A131" s="11">
        <v>38504</v>
      </c>
      <c r="B131">
        <v>8</v>
      </c>
      <c r="C131">
        <v>8</v>
      </c>
      <c r="D131">
        <v>9</v>
      </c>
    </row>
    <row r="132" spans="1:4" x14ac:dyDescent="0.3">
      <c r="A132" s="11">
        <v>38534</v>
      </c>
      <c r="B132">
        <v>8</v>
      </c>
      <c r="C132">
        <v>8</v>
      </c>
      <c r="D132">
        <v>9</v>
      </c>
    </row>
    <row r="133" spans="1:4" x14ac:dyDescent="0.3">
      <c r="A133" s="11">
        <v>38565</v>
      </c>
      <c r="B133">
        <v>8</v>
      </c>
      <c r="C133">
        <v>8</v>
      </c>
      <c r="D133">
        <v>9</v>
      </c>
    </row>
    <row r="134" spans="1:4" x14ac:dyDescent="0.3">
      <c r="A134" s="11">
        <v>38596</v>
      </c>
      <c r="B134">
        <v>9</v>
      </c>
      <c r="C134">
        <v>8</v>
      </c>
      <c r="D134">
        <v>9</v>
      </c>
    </row>
    <row r="135" spans="1:4" x14ac:dyDescent="0.3">
      <c r="A135" s="11">
        <v>38626</v>
      </c>
      <c r="B135">
        <v>9</v>
      </c>
      <c r="C135">
        <v>8</v>
      </c>
      <c r="D135">
        <v>9</v>
      </c>
    </row>
    <row r="136" spans="1:4" x14ac:dyDescent="0.3">
      <c r="A136" s="11">
        <v>38657</v>
      </c>
      <c r="B136">
        <v>9</v>
      </c>
      <c r="C136">
        <v>9</v>
      </c>
      <c r="D136">
        <v>9</v>
      </c>
    </row>
    <row r="137" spans="1:4" x14ac:dyDescent="0.3">
      <c r="A137" s="11">
        <v>38687</v>
      </c>
      <c r="B137">
        <v>9</v>
      </c>
      <c r="C137">
        <v>9</v>
      </c>
      <c r="D137">
        <v>9</v>
      </c>
    </row>
    <row r="138" spans="1:4" x14ac:dyDescent="0.3">
      <c r="A138" s="11">
        <v>38718</v>
      </c>
      <c r="B138">
        <v>9</v>
      </c>
      <c r="C138">
        <v>9</v>
      </c>
      <c r="D138">
        <v>9</v>
      </c>
    </row>
    <row r="139" spans="1:4" x14ac:dyDescent="0.3">
      <c r="A139" s="11">
        <v>38749</v>
      </c>
      <c r="B139">
        <v>9</v>
      </c>
      <c r="C139">
        <v>10</v>
      </c>
      <c r="D139">
        <v>9</v>
      </c>
    </row>
    <row r="140" spans="1:4" x14ac:dyDescent="0.3">
      <c r="A140" s="11">
        <v>38777</v>
      </c>
      <c r="B140">
        <v>9</v>
      </c>
      <c r="C140">
        <v>10</v>
      </c>
      <c r="D140">
        <v>9</v>
      </c>
    </row>
    <row r="141" spans="1:4" x14ac:dyDescent="0.3">
      <c r="A141" s="11">
        <v>38808</v>
      </c>
      <c r="B141">
        <v>9</v>
      </c>
      <c r="C141">
        <v>10</v>
      </c>
      <c r="D141">
        <v>9</v>
      </c>
    </row>
    <row r="142" spans="1:4" x14ac:dyDescent="0.3">
      <c r="A142" s="11">
        <v>38838</v>
      </c>
      <c r="B142">
        <v>9</v>
      </c>
      <c r="C142">
        <v>10</v>
      </c>
      <c r="D142">
        <v>9</v>
      </c>
    </row>
    <row r="143" spans="1:4" x14ac:dyDescent="0.3">
      <c r="A143" s="11">
        <v>38869</v>
      </c>
      <c r="B143">
        <v>9</v>
      </c>
      <c r="C143">
        <v>10</v>
      </c>
      <c r="D143">
        <v>10</v>
      </c>
    </row>
    <row r="144" spans="1:4" x14ac:dyDescent="0.3">
      <c r="A144" s="11">
        <v>38899</v>
      </c>
      <c r="B144">
        <v>9</v>
      </c>
      <c r="C144">
        <v>10</v>
      </c>
      <c r="D144">
        <v>10</v>
      </c>
    </row>
    <row r="145" spans="1:4" x14ac:dyDescent="0.3">
      <c r="A145" s="11">
        <v>38930</v>
      </c>
      <c r="B145">
        <v>10</v>
      </c>
      <c r="C145">
        <v>10</v>
      </c>
      <c r="D145">
        <v>10</v>
      </c>
    </row>
    <row r="146" spans="1:4" x14ac:dyDescent="0.3">
      <c r="A146" s="11">
        <v>38961</v>
      </c>
      <c r="B146">
        <v>10</v>
      </c>
      <c r="C146">
        <v>10</v>
      </c>
      <c r="D146">
        <v>10</v>
      </c>
    </row>
    <row r="147" spans="1:4" x14ac:dyDescent="0.3">
      <c r="A147" s="11">
        <v>38991</v>
      </c>
      <c r="B147">
        <v>10</v>
      </c>
      <c r="C147">
        <v>10</v>
      </c>
      <c r="D147">
        <v>10</v>
      </c>
    </row>
    <row r="148" spans="1:4" x14ac:dyDescent="0.3">
      <c r="A148" s="11">
        <v>39022</v>
      </c>
      <c r="B148">
        <v>10</v>
      </c>
      <c r="C148">
        <v>10</v>
      </c>
      <c r="D148">
        <v>10</v>
      </c>
    </row>
    <row r="149" spans="1:4" x14ac:dyDescent="0.3">
      <c r="A149" s="11">
        <v>39052</v>
      </c>
      <c r="B149">
        <v>10</v>
      </c>
      <c r="C149">
        <v>10</v>
      </c>
      <c r="D149">
        <v>10</v>
      </c>
    </row>
    <row r="150" spans="1:4" x14ac:dyDescent="0.3">
      <c r="A150" s="11">
        <v>39083</v>
      </c>
      <c r="B150">
        <v>10</v>
      </c>
      <c r="C150">
        <v>10</v>
      </c>
      <c r="D150">
        <v>10</v>
      </c>
    </row>
    <row r="151" spans="1:4" x14ac:dyDescent="0.3">
      <c r="A151" s="11">
        <v>39114</v>
      </c>
      <c r="B151">
        <v>10</v>
      </c>
      <c r="C151">
        <v>10</v>
      </c>
      <c r="D151">
        <v>10</v>
      </c>
    </row>
    <row r="152" spans="1:4" x14ac:dyDescent="0.3">
      <c r="A152" s="11">
        <v>39142</v>
      </c>
      <c r="B152">
        <v>10</v>
      </c>
      <c r="C152">
        <v>10</v>
      </c>
      <c r="D152">
        <v>10</v>
      </c>
    </row>
    <row r="153" spans="1:4" x14ac:dyDescent="0.3">
      <c r="A153" s="11">
        <v>39173</v>
      </c>
      <c r="B153">
        <v>10</v>
      </c>
      <c r="C153">
        <v>10</v>
      </c>
      <c r="D153">
        <v>10</v>
      </c>
    </row>
    <row r="154" spans="1:4" x14ac:dyDescent="0.3">
      <c r="A154" s="11">
        <v>39203</v>
      </c>
      <c r="B154">
        <v>10</v>
      </c>
      <c r="C154">
        <v>11</v>
      </c>
      <c r="D154">
        <v>11</v>
      </c>
    </row>
    <row r="155" spans="1:4" x14ac:dyDescent="0.3">
      <c r="A155" s="11">
        <v>39234</v>
      </c>
      <c r="B155">
        <v>10</v>
      </c>
      <c r="C155">
        <v>11</v>
      </c>
      <c r="D155">
        <v>11</v>
      </c>
    </row>
    <row r="156" spans="1:4" x14ac:dyDescent="0.3">
      <c r="A156" s="11">
        <v>39264</v>
      </c>
      <c r="B156">
        <v>11</v>
      </c>
      <c r="C156">
        <v>11</v>
      </c>
      <c r="D156">
        <v>11</v>
      </c>
    </row>
    <row r="157" spans="1:4" x14ac:dyDescent="0.3">
      <c r="A157" s="11">
        <v>39295</v>
      </c>
      <c r="B157">
        <v>11</v>
      </c>
      <c r="C157">
        <v>11</v>
      </c>
      <c r="D157">
        <v>11</v>
      </c>
    </row>
    <row r="158" spans="1:4" x14ac:dyDescent="0.3">
      <c r="A158" s="11">
        <v>39326</v>
      </c>
      <c r="B158">
        <v>11</v>
      </c>
      <c r="C158">
        <v>11</v>
      </c>
      <c r="D158">
        <v>11</v>
      </c>
    </row>
    <row r="159" spans="1:4" x14ac:dyDescent="0.3">
      <c r="A159" s="11">
        <v>39356</v>
      </c>
      <c r="B159">
        <v>11</v>
      </c>
      <c r="C159">
        <v>11</v>
      </c>
      <c r="D159">
        <v>11</v>
      </c>
    </row>
    <row r="160" spans="1:4" x14ac:dyDescent="0.3">
      <c r="A160" s="11">
        <v>39387</v>
      </c>
      <c r="B160">
        <v>11</v>
      </c>
      <c r="C160">
        <v>11</v>
      </c>
      <c r="D160">
        <v>11</v>
      </c>
    </row>
    <row r="161" spans="1:4" x14ac:dyDescent="0.3">
      <c r="A161" s="11">
        <v>39417</v>
      </c>
      <c r="B161">
        <v>11</v>
      </c>
      <c r="C161">
        <v>11</v>
      </c>
      <c r="D161">
        <v>11</v>
      </c>
    </row>
    <row r="162" spans="1:4" x14ac:dyDescent="0.3">
      <c r="A162" s="11">
        <v>39448</v>
      </c>
      <c r="B162">
        <v>11</v>
      </c>
      <c r="C162">
        <v>11</v>
      </c>
      <c r="D162">
        <v>11</v>
      </c>
    </row>
    <row r="163" spans="1:4" x14ac:dyDescent="0.3">
      <c r="A163" s="11">
        <v>39479</v>
      </c>
      <c r="B163">
        <v>11</v>
      </c>
      <c r="C163">
        <v>11</v>
      </c>
      <c r="D163">
        <v>11</v>
      </c>
    </row>
    <row r="164" spans="1:4" x14ac:dyDescent="0.3">
      <c r="A164" s="11">
        <v>39508</v>
      </c>
      <c r="B164">
        <v>11</v>
      </c>
      <c r="C164">
        <v>11</v>
      </c>
      <c r="D164">
        <v>11</v>
      </c>
    </row>
    <row r="165" spans="1:4" x14ac:dyDescent="0.3">
      <c r="A165" s="11">
        <v>39539</v>
      </c>
      <c r="B165">
        <v>11</v>
      </c>
      <c r="C165">
        <v>12</v>
      </c>
      <c r="D165">
        <v>11</v>
      </c>
    </row>
    <row r="166" spans="1:4" x14ac:dyDescent="0.3">
      <c r="A166" s="11">
        <v>39569</v>
      </c>
      <c r="B166">
        <v>11</v>
      </c>
      <c r="C166">
        <v>12</v>
      </c>
      <c r="D166">
        <v>12</v>
      </c>
    </row>
    <row r="167" spans="1:4" x14ac:dyDescent="0.3">
      <c r="A167" s="11">
        <v>39600</v>
      </c>
      <c r="B167">
        <v>11</v>
      </c>
      <c r="C167">
        <v>12</v>
      </c>
      <c r="D167">
        <v>12</v>
      </c>
    </row>
    <row r="168" spans="1:4" x14ac:dyDescent="0.3">
      <c r="A168" s="11">
        <v>39630</v>
      </c>
      <c r="B168">
        <v>11</v>
      </c>
      <c r="C168">
        <v>12</v>
      </c>
      <c r="D168">
        <v>12</v>
      </c>
    </row>
    <row r="169" spans="1:4" x14ac:dyDescent="0.3">
      <c r="A169" s="11">
        <v>39661</v>
      </c>
      <c r="B169">
        <v>11</v>
      </c>
      <c r="C169">
        <v>12</v>
      </c>
      <c r="D169">
        <v>12</v>
      </c>
    </row>
    <row r="170" spans="1:4" x14ac:dyDescent="0.3">
      <c r="A170" s="11">
        <v>39692</v>
      </c>
      <c r="B170">
        <v>11</v>
      </c>
      <c r="C170">
        <v>12</v>
      </c>
      <c r="D170">
        <v>12</v>
      </c>
    </row>
    <row r="171" spans="1:4" x14ac:dyDescent="0.3">
      <c r="A171" s="11">
        <v>39722</v>
      </c>
      <c r="B171">
        <v>11</v>
      </c>
      <c r="C171">
        <v>12</v>
      </c>
      <c r="D171">
        <v>12</v>
      </c>
    </row>
    <row r="172" spans="1:4" x14ac:dyDescent="0.3">
      <c r="A172" s="11">
        <v>39753</v>
      </c>
      <c r="B172">
        <v>11</v>
      </c>
      <c r="C172">
        <v>12</v>
      </c>
      <c r="D172">
        <v>12</v>
      </c>
    </row>
    <row r="173" spans="1:4" x14ac:dyDescent="0.3">
      <c r="A173" s="11">
        <v>39783</v>
      </c>
      <c r="B173">
        <v>11</v>
      </c>
      <c r="C173">
        <v>12</v>
      </c>
      <c r="D173">
        <v>12</v>
      </c>
    </row>
    <row r="174" spans="1:4" x14ac:dyDescent="0.3">
      <c r="A174" s="11">
        <v>39814</v>
      </c>
      <c r="B174">
        <v>11</v>
      </c>
      <c r="C174">
        <v>12</v>
      </c>
      <c r="D174">
        <v>12</v>
      </c>
    </row>
    <row r="175" spans="1:4" x14ac:dyDescent="0.3">
      <c r="A175" s="11">
        <v>39845</v>
      </c>
      <c r="B175">
        <v>11</v>
      </c>
      <c r="C175">
        <v>12</v>
      </c>
      <c r="D175">
        <v>12</v>
      </c>
    </row>
    <row r="176" spans="1:4" x14ac:dyDescent="0.3">
      <c r="A176" s="11">
        <v>39873</v>
      </c>
      <c r="B176">
        <v>11</v>
      </c>
      <c r="C176">
        <v>12</v>
      </c>
      <c r="D176">
        <v>12</v>
      </c>
    </row>
    <row r="177" spans="1:4" x14ac:dyDescent="0.3">
      <c r="A177" s="11">
        <v>39904</v>
      </c>
      <c r="B177">
        <v>11</v>
      </c>
      <c r="C177">
        <v>12</v>
      </c>
      <c r="D177">
        <v>12</v>
      </c>
    </row>
    <row r="178" spans="1:4" x14ac:dyDescent="0.3">
      <c r="A178" s="11">
        <v>39934</v>
      </c>
      <c r="B178">
        <v>11</v>
      </c>
      <c r="C178">
        <v>12</v>
      </c>
      <c r="D178">
        <v>12</v>
      </c>
    </row>
    <row r="179" spans="1:4" x14ac:dyDescent="0.3">
      <c r="A179" s="11">
        <v>39965</v>
      </c>
      <c r="B179">
        <v>11</v>
      </c>
      <c r="C179">
        <v>12</v>
      </c>
      <c r="D179">
        <v>12</v>
      </c>
    </row>
    <row r="180" spans="1:4" x14ac:dyDescent="0.3">
      <c r="A180" s="11">
        <v>39995</v>
      </c>
      <c r="B180">
        <v>11</v>
      </c>
      <c r="C180">
        <v>12</v>
      </c>
      <c r="D180">
        <v>12</v>
      </c>
    </row>
    <row r="181" spans="1:4" x14ac:dyDescent="0.3">
      <c r="A181" s="11">
        <v>40026</v>
      </c>
      <c r="B181">
        <v>12</v>
      </c>
      <c r="C181">
        <v>12</v>
      </c>
      <c r="D181">
        <v>12</v>
      </c>
    </row>
    <row r="182" spans="1:4" x14ac:dyDescent="0.3">
      <c r="A182" s="11">
        <v>40057</v>
      </c>
      <c r="B182">
        <v>12</v>
      </c>
      <c r="C182">
        <v>12</v>
      </c>
      <c r="D182">
        <v>12</v>
      </c>
    </row>
    <row r="183" spans="1:4" x14ac:dyDescent="0.3">
      <c r="A183" s="11">
        <v>40087</v>
      </c>
      <c r="B183">
        <v>12</v>
      </c>
      <c r="C183">
        <v>12</v>
      </c>
      <c r="D183">
        <v>12</v>
      </c>
    </row>
    <row r="184" spans="1:4" x14ac:dyDescent="0.3">
      <c r="A184" s="11">
        <v>40118</v>
      </c>
      <c r="B184">
        <v>12</v>
      </c>
      <c r="C184">
        <v>12</v>
      </c>
      <c r="D184">
        <v>12</v>
      </c>
    </row>
    <row r="185" spans="1:4" x14ac:dyDescent="0.3">
      <c r="A185" s="11">
        <v>40148</v>
      </c>
      <c r="B185">
        <v>12</v>
      </c>
      <c r="C185">
        <v>12</v>
      </c>
      <c r="D185">
        <v>12</v>
      </c>
    </row>
    <row r="186" spans="1:4" x14ac:dyDescent="0.3">
      <c r="A186" s="11">
        <v>40179</v>
      </c>
      <c r="B186">
        <v>12</v>
      </c>
      <c r="C186">
        <v>12</v>
      </c>
      <c r="D186">
        <v>12</v>
      </c>
    </row>
    <row r="187" spans="1:4" x14ac:dyDescent="0.3">
      <c r="A187" s="11">
        <v>40210</v>
      </c>
      <c r="B187">
        <v>12</v>
      </c>
      <c r="C187">
        <v>12</v>
      </c>
      <c r="D187">
        <v>12</v>
      </c>
    </row>
    <row r="188" spans="1:4" x14ac:dyDescent="0.3">
      <c r="A188" s="11">
        <v>40238</v>
      </c>
      <c r="B188">
        <v>12</v>
      </c>
      <c r="C188">
        <v>12</v>
      </c>
      <c r="D188">
        <v>12</v>
      </c>
    </row>
    <row r="189" spans="1:4" x14ac:dyDescent="0.3">
      <c r="A189" s="11">
        <v>40269</v>
      </c>
      <c r="B189">
        <v>12</v>
      </c>
      <c r="C189">
        <v>12</v>
      </c>
      <c r="D189">
        <v>12</v>
      </c>
    </row>
    <row r="190" spans="1:4" x14ac:dyDescent="0.3">
      <c r="A190" s="11">
        <v>40299</v>
      </c>
      <c r="B190">
        <v>12</v>
      </c>
      <c r="C190">
        <v>12</v>
      </c>
      <c r="D190">
        <v>12</v>
      </c>
    </row>
    <row r="191" spans="1:4" x14ac:dyDescent="0.3">
      <c r="A191" s="11">
        <v>40330</v>
      </c>
      <c r="B191">
        <v>12</v>
      </c>
      <c r="C191">
        <v>12</v>
      </c>
      <c r="D191">
        <v>12</v>
      </c>
    </row>
    <row r="192" spans="1:4" x14ac:dyDescent="0.3">
      <c r="A192" s="11">
        <v>40360</v>
      </c>
      <c r="B192">
        <v>12</v>
      </c>
      <c r="C192">
        <v>12</v>
      </c>
      <c r="D192">
        <v>12</v>
      </c>
    </row>
    <row r="193" spans="1:4" x14ac:dyDescent="0.3">
      <c r="A193" s="11">
        <v>40391</v>
      </c>
      <c r="B193">
        <v>12</v>
      </c>
      <c r="C193">
        <v>12</v>
      </c>
      <c r="D193">
        <v>12</v>
      </c>
    </row>
    <row r="194" spans="1:4" x14ac:dyDescent="0.3">
      <c r="A194" s="11">
        <v>40422</v>
      </c>
      <c r="B194">
        <v>12</v>
      </c>
      <c r="C194">
        <v>12</v>
      </c>
      <c r="D194">
        <v>12</v>
      </c>
    </row>
    <row r="195" spans="1:4" x14ac:dyDescent="0.3">
      <c r="A195" s="11">
        <v>40452</v>
      </c>
      <c r="B195">
        <v>12</v>
      </c>
      <c r="C195">
        <v>12</v>
      </c>
      <c r="D195">
        <v>12</v>
      </c>
    </row>
    <row r="196" spans="1:4" x14ac:dyDescent="0.3">
      <c r="A196" s="11">
        <v>40483</v>
      </c>
      <c r="B196">
        <v>12</v>
      </c>
      <c r="C196">
        <v>12</v>
      </c>
      <c r="D196">
        <v>12</v>
      </c>
    </row>
    <row r="197" spans="1:4" x14ac:dyDescent="0.3">
      <c r="A197" s="11">
        <v>40513</v>
      </c>
      <c r="B197">
        <v>12</v>
      </c>
      <c r="C197">
        <v>12</v>
      </c>
      <c r="D197">
        <v>12</v>
      </c>
    </row>
    <row r="198" spans="1:4" x14ac:dyDescent="0.3">
      <c r="A198" s="11">
        <v>40544</v>
      </c>
      <c r="B198">
        <v>12</v>
      </c>
      <c r="C198">
        <v>12</v>
      </c>
      <c r="D198">
        <v>12</v>
      </c>
    </row>
    <row r="199" spans="1:4" x14ac:dyDescent="0.3">
      <c r="A199" s="11">
        <v>40575</v>
      </c>
      <c r="B199">
        <v>12</v>
      </c>
      <c r="C199">
        <v>12</v>
      </c>
      <c r="D199">
        <v>12</v>
      </c>
    </row>
    <row r="200" spans="1:4" x14ac:dyDescent="0.3">
      <c r="A200" s="11">
        <v>40603</v>
      </c>
      <c r="B200">
        <v>12</v>
      </c>
      <c r="C200">
        <v>12</v>
      </c>
      <c r="D200">
        <v>12</v>
      </c>
    </row>
    <row r="201" spans="1:4" x14ac:dyDescent="0.3">
      <c r="A201" s="11">
        <v>40634</v>
      </c>
      <c r="B201">
        <v>12</v>
      </c>
      <c r="C201">
        <v>12</v>
      </c>
      <c r="D201">
        <v>13</v>
      </c>
    </row>
    <row r="202" spans="1:4" x14ac:dyDescent="0.3">
      <c r="A202" s="11">
        <v>40664</v>
      </c>
      <c r="B202">
        <v>13</v>
      </c>
      <c r="C202">
        <v>12</v>
      </c>
      <c r="D202">
        <v>13</v>
      </c>
    </row>
    <row r="203" spans="1:4" x14ac:dyDescent="0.3">
      <c r="A203" s="11">
        <v>40695</v>
      </c>
      <c r="B203">
        <v>13</v>
      </c>
      <c r="C203">
        <v>12</v>
      </c>
      <c r="D203">
        <v>13</v>
      </c>
    </row>
    <row r="204" spans="1:4" x14ac:dyDescent="0.3">
      <c r="A204" s="11">
        <v>40725</v>
      </c>
      <c r="B204">
        <v>13</v>
      </c>
      <c r="C204">
        <v>12</v>
      </c>
      <c r="D204">
        <v>13</v>
      </c>
    </row>
    <row r="205" spans="1:4" x14ac:dyDescent="0.3">
      <c r="A205" s="11">
        <v>40756</v>
      </c>
      <c r="B205">
        <v>13</v>
      </c>
      <c r="C205">
        <v>12</v>
      </c>
      <c r="D205">
        <v>13</v>
      </c>
    </row>
    <row r="206" spans="1:4" x14ac:dyDescent="0.3">
      <c r="A206" s="11">
        <v>40787</v>
      </c>
      <c r="B206">
        <v>13</v>
      </c>
      <c r="C206">
        <v>12</v>
      </c>
      <c r="D206">
        <v>13</v>
      </c>
    </row>
    <row r="207" spans="1:4" x14ac:dyDescent="0.3">
      <c r="A207" s="11">
        <v>40817</v>
      </c>
      <c r="B207">
        <v>13</v>
      </c>
      <c r="C207">
        <v>12</v>
      </c>
      <c r="D207">
        <v>13</v>
      </c>
    </row>
    <row r="208" spans="1:4" x14ac:dyDescent="0.3">
      <c r="A208" s="11">
        <v>40848</v>
      </c>
      <c r="B208">
        <v>13</v>
      </c>
      <c r="C208">
        <v>13</v>
      </c>
      <c r="D208">
        <v>13</v>
      </c>
    </row>
    <row r="209" spans="1:4" x14ac:dyDescent="0.3">
      <c r="A209" s="11">
        <v>40878</v>
      </c>
      <c r="B209">
        <v>13</v>
      </c>
      <c r="C209">
        <v>13</v>
      </c>
      <c r="D209">
        <v>13</v>
      </c>
    </row>
    <row r="210" spans="1:4" x14ac:dyDescent="0.3">
      <c r="A210" s="11">
        <v>40909</v>
      </c>
      <c r="B210">
        <v>13</v>
      </c>
      <c r="C210">
        <v>13</v>
      </c>
      <c r="D210">
        <v>13</v>
      </c>
    </row>
    <row r="211" spans="1:4" x14ac:dyDescent="0.3">
      <c r="A211" s="11">
        <v>40940</v>
      </c>
      <c r="B211">
        <v>13</v>
      </c>
      <c r="C211">
        <v>13</v>
      </c>
      <c r="D211">
        <v>13</v>
      </c>
    </row>
    <row r="212" spans="1:4" x14ac:dyDescent="0.3">
      <c r="A212" s="11">
        <v>40969</v>
      </c>
      <c r="B212">
        <v>13</v>
      </c>
      <c r="C212">
        <v>13</v>
      </c>
      <c r="D212">
        <v>13</v>
      </c>
    </row>
    <row r="213" spans="1:4" x14ac:dyDescent="0.3">
      <c r="A213" s="11">
        <v>41000</v>
      </c>
      <c r="B213">
        <v>13</v>
      </c>
      <c r="C213">
        <v>13</v>
      </c>
      <c r="D213">
        <v>13</v>
      </c>
    </row>
    <row r="214" spans="1:4" x14ac:dyDescent="0.3">
      <c r="A214" s="11">
        <v>41030</v>
      </c>
      <c r="B214">
        <v>13</v>
      </c>
      <c r="C214">
        <v>13</v>
      </c>
      <c r="D214">
        <v>13</v>
      </c>
    </row>
    <row r="215" spans="1:4" x14ac:dyDescent="0.3">
      <c r="A215" s="11">
        <v>41061</v>
      </c>
      <c r="B215">
        <v>13</v>
      </c>
      <c r="C215">
        <v>13</v>
      </c>
      <c r="D215">
        <v>13</v>
      </c>
    </row>
    <row r="216" spans="1:4" x14ac:dyDescent="0.3">
      <c r="A216" s="11">
        <v>41091</v>
      </c>
      <c r="B216">
        <v>13</v>
      </c>
      <c r="C216">
        <v>13</v>
      </c>
      <c r="D216">
        <v>13</v>
      </c>
    </row>
    <row r="217" spans="1:4" x14ac:dyDescent="0.3">
      <c r="A217" s="11">
        <v>41122</v>
      </c>
      <c r="B217">
        <v>13</v>
      </c>
      <c r="C217">
        <v>13</v>
      </c>
      <c r="D217">
        <v>13</v>
      </c>
    </row>
    <row r="218" spans="1:4" x14ac:dyDescent="0.3">
      <c r="A218" s="11">
        <v>41153</v>
      </c>
      <c r="B218">
        <v>13</v>
      </c>
      <c r="C218">
        <v>13</v>
      </c>
      <c r="D218">
        <v>13</v>
      </c>
    </row>
    <row r="219" spans="1:4" x14ac:dyDescent="0.3">
      <c r="A219" s="11">
        <v>41183</v>
      </c>
      <c r="B219">
        <v>13</v>
      </c>
      <c r="C219">
        <v>13</v>
      </c>
      <c r="D219">
        <v>13</v>
      </c>
    </row>
    <row r="220" spans="1:4" x14ac:dyDescent="0.3">
      <c r="A220" s="11">
        <v>41214</v>
      </c>
      <c r="B220">
        <v>13</v>
      </c>
      <c r="C220">
        <v>13</v>
      </c>
      <c r="D220">
        <v>13</v>
      </c>
    </row>
    <row r="221" spans="1:4" x14ac:dyDescent="0.3">
      <c r="A221" s="11">
        <v>41244</v>
      </c>
      <c r="B221">
        <v>13</v>
      </c>
      <c r="C221">
        <v>13</v>
      </c>
      <c r="D221">
        <v>13</v>
      </c>
    </row>
    <row r="222" spans="1:4" x14ac:dyDescent="0.3">
      <c r="A222" s="11">
        <v>41275</v>
      </c>
      <c r="B222">
        <v>13</v>
      </c>
      <c r="C222">
        <v>13</v>
      </c>
      <c r="D222">
        <v>13</v>
      </c>
    </row>
    <row r="223" spans="1:4" x14ac:dyDescent="0.3">
      <c r="A223" s="11">
        <v>41306</v>
      </c>
      <c r="B223">
        <v>13</v>
      </c>
      <c r="C223">
        <v>13</v>
      </c>
      <c r="D223">
        <v>13</v>
      </c>
    </row>
    <row r="224" spans="1:4" x14ac:dyDescent="0.3">
      <c r="A224" s="11">
        <v>41334</v>
      </c>
      <c r="B224">
        <v>13</v>
      </c>
      <c r="C224">
        <v>13</v>
      </c>
      <c r="D224">
        <v>13</v>
      </c>
    </row>
    <row r="225" spans="1:4" x14ac:dyDescent="0.3">
      <c r="A225" s="11">
        <v>41365</v>
      </c>
      <c r="B225">
        <v>13</v>
      </c>
      <c r="C225">
        <v>13</v>
      </c>
      <c r="D225">
        <v>13</v>
      </c>
    </row>
    <row r="226" spans="1:4" x14ac:dyDescent="0.3">
      <c r="A226" s="11">
        <v>41395</v>
      </c>
      <c r="B226">
        <v>13</v>
      </c>
      <c r="C226">
        <v>13</v>
      </c>
      <c r="D226">
        <v>13</v>
      </c>
    </row>
    <row r="227" spans="1:4" x14ac:dyDescent="0.3">
      <c r="A227" s="11">
        <v>41426</v>
      </c>
      <c r="B227">
        <v>13</v>
      </c>
      <c r="C227">
        <v>13</v>
      </c>
      <c r="D227">
        <v>13</v>
      </c>
    </row>
    <row r="228" spans="1:4" x14ac:dyDescent="0.3">
      <c r="A228" s="11">
        <v>41456</v>
      </c>
      <c r="B228">
        <v>13</v>
      </c>
      <c r="C228">
        <v>13</v>
      </c>
      <c r="D228">
        <v>13</v>
      </c>
    </row>
    <row r="229" spans="1:4" x14ac:dyDescent="0.3">
      <c r="A229" s="11">
        <v>41487</v>
      </c>
      <c r="B229">
        <v>13</v>
      </c>
      <c r="C229">
        <v>13</v>
      </c>
      <c r="D229">
        <v>13</v>
      </c>
    </row>
    <row r="230" spans="1:4" x14ac:dyDescent="0.3">
      <c r="A230" s="11">
        <v>41518</v>
      </c>
      <c r="B230">
        <v>13</v>
      </c>
      <c r="C230">
        <v>13</v>
      </c>
      <c r="D230">
        <v>13</v>
      </c>
    </row>
    <row r="231" spans="1:4" x14ac:dyDescent="0.3">
      <c r="A231" s="11">
        <v>41548</v>
      </c>
      <c r="B231">
        <v>13</v>
      </c>
      <c r="C231">
        <v>13</v>
      </c>
      <c r="D231">
        <v>13</v>
      </c>
    </row>
    <row r="232" spans="1:4" x14ac:dyDescent="0.3">
      <c r="A232" s="11">
        <v>41579</v>
      </c>
      <c r="B232">
        <v>13</v>
      </c>
      <c r="C232">
        <v>13</v>
      </c>
      <c r="D232">
        <v>13</v>
      </c>
    </row>
    <row r="233" spans="1:4" x14ac:dyDescent="0.3">
      <c r="A233" s="11">
        <v>41609</v>
      </c>
      <c r="B233">
        <v>13</v>
      </c>
      <c r="C233">
        <v>13</v>
      </c>
      <c r="D233">
        <v>13</v>
      </c>
    </row>
    <row r="234" spans="1:4" x14ac:dyDescent="0.3">
      <c r="A234" s="11">
        <v>41640</v>
      </c>
      <c r="B234">
        <v>13</v>
      </c>
      <c r="C234">
        <v>13</v>
      </c>
      <c r="D234">
        <v>13</v>
      </c>
    </row>
    <row r="235" spans="1:4" x14ac:dyDescent="0.3">
      <c r="A235" s="11">
        <v>41671</v>
      </c>
      <c r="B235">
        <v>13</v>
      </c>
      <c r="C235">
        <v>13</v>
      </c>
      <c r="D235">
        <v>13</v>
      </c>
    </row>
    <row r="236" spans="1:4" x14ac:dyDescent="0.3">
      <c r="A236" s="11">
        <v>41699</v>
      </c>
      <c r="B236">
        <v>13</v>
      </c>
      <c r="C236">
        <v>12</v>
      </c>
      <c r="D236">
        <v>13</v>
      </c>
    </row>
    <row r="237" spans="1:4" x14ac:dyDescent="0.3">
      <c r="A237" s="11">
        <v>41730</v>
      </c>
      <c r="B237">
        <v>13</v>
      </c>
      <c r="C237">
        <v>12</v>
      </c>
      <c r="D237">
        <v>13</v>
      </c>
    </row>
    <row r="238" spans="1:4" x14ac:dyDescent="0.3">
      <c r="A238" s="11">
        <v>41760</v>
      </c>
      <c r="B238">
        <v>13</v>
      </c>
      <c r="C238">
        <v>12</v>
      </c>
      <c r="D238">
        <v>13</v>
      </c>
    </row>
    <row r="239" spans="1:4" x14ac:dyDescent="0.3">
      <c r="A239" s="11">
        <v>41791</v>
      </c>
      <c r="B239">
        <v>13</v>
      </c>
      <c r="C239">
        <v>12</v>
      </c>
      <c r="D239">
        <v>13</v>
      </c>
    </row>
    <row r="240" spans="1:4" x14ac:dyDescent="0.3">
      <c r="A240" s="11">
        <v>41821</v>
      </c>
      <c r="B240">
        <v>13</v>
      </c>
      <c r="C240">
        <v>12</v>
      </c>
      <c r="D240">
        <v>13</v>
      </c>
    </row>
    <row r="241" spans="1:4" x14ac:dyDescent="0.3">
      <c r="A241" s="11">
        <v>41852</v>
      </c>
      <c r="B241">
        <v>13</v>
      </c>
      <c r="C241">
        <v>12</v>
      </c>
      <c r="D241">
        <v>13</v>
      </c>
    </row>
    <row r="242" spans="1:4" x14ac:dyDescent="0.3">
      <c r="A242" s="11">
        <v>41883</v>
      </c>
      <c r="B242">
        <v>13</v>
      </c>
      <c r="C242">
        <v>12</v>
      </c>
      <c r="D242">
        <v>13</v>
      </c>
    </row>
    <row r="243" spans="1:4" x14ac:dyDescent="0.3">
      <c r="A243" s="11">
        <v>41913</v>
      </c>
      <c r="B243">
        <v>13</v>
      </c>
      <c r="C243">
        <v>12</v>
      </c>
      <c r="D243">
        <v>13</v>
      </c>
    </row>
    <row r="244" spans="1:4" x14ac:dyDescent="0.3">
      <c r="A244" s="11">
        <v>41944</v>
      </c>
      <c r="B244">
        <v>13</v>
      </c>
      <c r="C244">
        <v>12</v>
      </c>
      <c r="D244">
        <v>13</v>
      </c>
    </row>
    <row r="245" spans="1:4" x14ac:dyDescent="0.3">
      <c r="A245" s="11">
        <v>41974</v>
      </c>
      <c r="B245">
        <v>13</v>
      </c>
      <c r="C245">
        <v>12</v>
      </c>
      <c r="D245">
        <v>13</v>
      </c>
    </row>
    <row r="246" spans="1:4" x14ac:dyDescent="0.3">
      <c r="A246" s="11">
        <v>42005</v>
      </c>
      <c r="B246">
        <v>13</v>
      </c>
      <c r="C246">
        <v>12</v>
      </c>
      <c r="D246">
        <v>13</v>
      </c>
    </row>
    <row r="247" spans="1:4" x14ac:dyDescent="0.3">
      <c r="A247" s="11">
        <v>42036</v>
      </c>
      <c r="B247">
        <v>13</v>
      </c>
      <c r="C247">
        <v>12</v>
      </c>
      <c r="D247">
        <v>13</v>
      </c>
    </row>
    <row r="248" spans="1:4" x14ac:dyDescent="0.3">
      <c r="A248" s="11">
        <v>42064</v>
      </c>
      <c r="B248">
        <v>13</v>
      </c>
      <c r="C248">
        <v>12</v>
      </c>
      <c r="D248">
        <v>13</v>
      </c>
    </row>
    <row r="249" spans="1:4" x14ac:dyDescent="0.3">
      <c r="A249" s="11">
        <v>42095</v>
      </c>
      <c r="B249">
        <v>13</v>
      </c>
      <c r="C249">
        <v>12</v>
      </c>
      <c r="D249">
        <v>13</v>
      </c>
    </row>
    <row r="250" spans="1:4" x14ac:dyDescent="0.3">
      <c r="A250" s="11">
        <v>42125</v>
      </c>
      <c r="B250">
        <v>13</v>
      </c>
      <c r="C250">
        <v>12</v>
      </c>
      <c r="D250">
        <v>13</v>
      </c>
    </row>
    <row r="251" spans="1:4" x14ac:dyDescent="0.3">
      <c r="A251" s="11">
        <v>42156</v>
      </c>
      <c r="B251">
        <v>13</v>
      </c>
      <c r="C251">
        <v>12</v>
      </c>
      <c r="D251">
        <v>13</v>
      </c>
    </row>
    <row r="252" spans="1:4" x14ac:dyDescent="0.3">
      <c r="A252" s="11">
        <v>42186</v>
      </c>
      <c r="B252">
        <v>12</v>
      </c>
      <c r="C252">
        <v>12</v>
      </c>
      <c r="D252">
        <v>13</v>
      </c>
    </row>
    <row r="253" spans="1:4" x14ac:dyDescent="0.3">
      <c r="A253" s="11">
        <v>42217</v>
      </c>
      <c r="B253">
        <v>12</v>
      </c>
      <c r="C253">
        <v>12</v>
      </c>
      <c r="D253">
        <v>13</v>
      </c>
    </row>
    <row r="254" spans="1:4" x14ac:dyDescent="0.3">
      <c r="A254" s="11">
        <v>42248</v>
      </c>
      <c r="B254">
        <v>12</v>
      </c>
      <c r="C254">
        <v>11</v>
      </c>
      <c r="D254">
        <v>13</v>
      </c>
    </row>
    <row r="255" spans="1:4" x14ac:dyDescent="0.3">
      <c r="A255" s="11">
        <v>42278</v>
      </c>
      <c r="B255">
        <v>12</v>
      </c>
      <c r="C255">
        <v>11</v>
      </c>
      <c r="D255">
        <v>12</v>
      </c>
    </row>
    <row r="256" spans="1:4" x14ac:dyDescent="0.3">
      <c r="A256" s="11">
        <v>42309</v>
      </c>
      <c r="B256">
        <v>12</v>
      </c>
      <c r="C256">
        <v>11</v>
      </c>
      <c r="D256">
        <v>12</v>
      </c>
    </row>
    <row r="257" spans="1:4" x14ac:dyDescent="0.3">
      <c r="A257" s="11">
        <v>42339</v>
      </c>
      <c r="B257">
        <v>12</v>
      </c>
      <c r="C257">
        <v>11</v>
      </c>
      <c r="D257">
        <v>11</v>
      </c>
    </row>
    <row r="258" spans="1:4" x14ac:dyDescent="0.3">
      <c r="A258" s="11">
        <v>42370</v>
      </c>
      <c r="B258">
        <v>10</v>
      </c>
      <c r="C258">
        <v>11</v>
      </c>
      <c r="D258">
        <v>11</v>
      </c>
    </row>
    <row r="259" spans="1:4" x14ac:dyDescent="0.3">
      <c r="A259" s="11">
        <v>42401</v>
      </c>
      <c r="B259">
        <v>10</v>
      </c>
      <c r="C259">
        <v>10</v>
      </c>
      <c r="D259">
        <v>11</v>
      </c>
    </row>
    <row r="260" spans="1:4" x14ac:dyDescent="0.3">
      <c r="A260" s="11">
        <v>42430</v>
      </c>
      <c r="B260">
        <v>10</v>
      </c>
      <c r="C260">
        <v>10</v>
      </c>
      <c r="D260">
        <v>11</v>
      </c>
    </row>
    <row r="261" spans="1:4" x14ac:dyDescent="0.3">
      <c r="A261" s="11">
        <v>42461</v>
      </c>
      <c r="B261">
        <v>10</v>
      </c>
      <c r="C261">
        <v>10</v>
      </c>
      <c r="D261">
        <v>11</v>
      </c>
    </row>
    <row r="262" spans="1:4" x14ac:dyDescent="0.3">
      <c r="A262" s="11">
        <v>42491</v>
      </c>
      <c r="B262">
        <v>10</v>
      </c>
      <c r="C262">
        <v>10</v>
      </c>
      <c r="D262">
        <v>10</v>
      </c>
    </row>
    <row r="263" spans="1:4" x14ac:dyDescent="0.3">
      <c r="A263" s="11">
        <v>42522</v>
      </c>
      <c r="B263">
        <v>10</v>
      </c>
      <c r="C263">
        <v>10</v>
      </c>
      <c r="D263">
        <v>10</v>
      </c>
    </row>
    <row r="264" spans="1:4" x14ac:dyDescent="0.3">
      <c r="A264" s="11">
        <v>42552</v>
      </c>
      <c r="B264">
        <v>10</v>
      </c>
      <c r="C264">
        <v>10</v>
      </c>
      <c r="D264">
        <v>10</v>
      </c>
    </row>
    <row r="265" spans="1:4" x14ac:dyDescent="0.3">
      <c r="A265" s="11">
        <v>42583</v>
      </c>
      <c r="B265">
        <v>10</v>
      </c>
      <c r="C265">
        <v>10</v>
      </c>
      <c r="D265">
        <v>10</v>
      </c>
    </row>
    <row r="266" spans="1:4" x14ac:dyDescent="0.3">
      <c r="A266" s="11">
        <v>42614</v>
      </c>
      <c r="B266">
        <v>10</v>
      </c>
      <c r="C266">
        <v>10</v>
      </c>
      <c r="D266">
        <v>10</v>
      </c>
    </row>
    <row r="267" spans="1:4" x14ac:dyDescent="0.3">
      <c r="A267" s="11">
        <v>42644</v>
      </c>
      <c r="B267">
        <v>10</v>
      </c>
      <c r="C267">
        <v>10</v>
      </c>
      <c r="D267">
        <v>10</v>
      </c>
    </row>
    <row r="268" spans="1:4" x14ac:dyDescent="0.3">
      <c r="A268" s="11">
        <v>42675</v>
      </c>
      <c r="B268">
        <v>10</v>
      </c>
      <c r="C268">
        <v>10</v>
      </c>
      <c r="D268">
        <v>10</v>
      </c>
    </row>
    <row r="269" spans="1:4" x14ac:dyDescent="0.3">
      <c r="A269" s="11">
        <v>42705</v>
      </c>
      <c r="B269">
        <v>10</v>
      </c>
      <c r="C269">
        <v>10</v>
      </c>
      <c r="D269">
        <v>10</v>
      </c>
    </row>
    <row r="270" spans="1:4" x14ac:dyDescent="0.3">
      <c r="A270" s="11">
        <v>42736</v>
      </c>
      <c r="B270">
        <v>10</v>
      </c>
      <c r="C270">
        <v>10</v>
      </c>
      <c r="D270">
        <v>10</v>
      </c>
    </row>
    <row r="271" spans="1:4" x14ac:dyDescent="0.3">
      <c r="A271" s="11">
        <v>42767</v>
      </c>
      <c r="B271">
        <v>10</v>
      </c>
      <c r="C271">
        <v>10</v>
      </c>
      <c r="D271">
        <v>10</v>
      </c>
    </row>
    <row r="272" spans="1:4" x14ac:dyDescent="0.3">
      <c r="A272" s="11">
        <v>42795</v>
      </c>
      <c r="B272">
        <v>10</v>
      </c>
      <c r="C272">
        <v>10</v>
      </c>
      <c r="D272">
        <v>10</v>
      </c>
    </row>
    <row r="273" spans="1:4" x14ac:dyDescent="0.3">
      <c r="A273" s="11">
        <v>42826</v>
      </c>
      <c r="B273">
        <v>10</v>
      </c>
      <c r="C273">
        <v>10</v>
      </c>
      <c r="D273">
        <v>10</v>
      </c>
    </row>
    <row r="274" spans="1:4" x14ac:dyDescent="0.3">
      <c r="A274" s="11">
        <v>42856</v>
      </c>
      <c r="B274">
        <v>10</v>
      </c>
      <c r="C274">
        <v>10</v>
      </c>
      <c r="D274">
        <v>10</v>
      </c>
    </row>
    <row r="275" spans="1:4" x14ac:dyDescent="0.3">
      <c r="A275" s="11">
        <v>42887</v>
      </c>
      <c r="B275">
        <v>10</v>
      </c>
      <c r="C275">
        <v>10</v>
      </c>
      <c r="D275">
        <v>10</v>
      </c>
    </row>
    <row r="276" spans="1:4" x14ac:dyDescent="0.3">
      <c r="A276" s="11">
        <v>42917</v>
      </c>
      <c r="B276">
        <v>10</v>
      </c>
      <c r="C276">
        <v>10</v>
      </c>
      <c r="D276">
        <v>10</v>
      </c>
    </row>
    <row r="277" spans="1:4" x14ac:dyDescent="0.3">
      <c r="A277" s="11">
        <v>42948</v>
      </c>
      <c r="B277">
        <v>10</v>
      </c>
      <c r="C277">
        <v>10</v>
      </c>
      <c r="D277">
        <v>10</v>
      </c>
    </row>
    <row r="278" spans="1:4" x14ac:dyDescent="0.3">
      <c r="A278" s="11">
        <v>42979</v>
      </c>
      <c r="B278">
        <v>10</v>
      </c>
      <c r="C278">
        <v>10</v>
      </c>
      <c r="D278">
        <v>10</v>
      </c>
    </row>
    <row r="279" spans="1:4" x14ac:dyDescent="0.3">
      <c r="A279" s="11">
        <v>43009</v>
      </c>
      <c r="B279">
        <v>10</v>
      </c>
      <c r="C279">
        <v>10</v>
      </c>
      <c r="D279">
        <v>10</v>
      </c>
    </row>
    <row r="280" spans="1:4" x14ac:dyDescent="0.3">
      <c r="A280" s="11">
        <v>43040</v>
      </c>
      <c r="B280">
        <v>10</v>
      </c>
      <c r="C280">
        <v>10</v>
      </c>
      <c r="D280">
        <v>10</v>
      </c>
    </row>
    <row r="281" spans="1:4" x14ac:dyDescent="0.3">
      <c r="A281" s="11">
        <v>43070</v>
      </c>
      <c r="B281">
        <v>10</v>
      </c>
      <c r="C281">
        <v>10</v>
      </c>
      <c r="D281">
        <v>10</v>
      </c>
    </row>
    <row r="282" spans="1:4" x14ac:dyDescent="0.3">
      <c r="A282" s="11">
        <v>43101</v>
      </c>
      <c r="B282">
        <v>10</v>
      </c>
      <c r="C282">
        <v>9</v>
      </c>
      <c r="D282">
        <v>10</v>
      </c>
    </row>
    <row r="283" spans="1:4" x14ac:dyDescent="0.3">
      <c r="A283" s="11">
        <v>43132</v>
      </c>
      <c r="B283">
        <v>10</v>
      </c>
      <c r="C283">
        <v>9</v>
      </c>
      <c r="D283">
        <v>9</v>
      </c>
    </row>
    <row r="284" spans="1:4" x14ac:dyDescent="0.3">
      <c r="A284" s="11">
        <v>43160</v>
      </c>
      <c r="B284">
        <v>10</v>
      </c>
      <c r="C284">
        <v>9</v>
      </c>
      <c r="D284">
        <v>9</v>
      </c>
    </row>
    <row r="285" spans="1:4" x14ac:dyDescent="0.3">
      <c r="A285" s="11">
        <v>43191</v>
      </c>
      <c r="B285">
        <v>10</v>
      </c>
      <c r="C285">
        <v>9</v>
      </c>
      <c r="D285">
        <v>9</v>
      </c>
    </row>
    <row r="286" spans="1:4" x14ac:dyDescent="0.3">
      <c r="A286" s="11">
        <v>43221</v>
      </c>
      <c r="B286">
        <v>10</v>
      </c>
      <c r="C286">
        <v>9</v>
      </c>
      <c r="D286">
        <v>9</v>
      </c>
    </row>
    <row r="287" spans="1:4" x14ac:dyDescent="0.3">
      <c r="A287" s="11">
        <v>43252</v>
      </c>
      <c r="B287">
        <v>10</v>
      </c>
      <c r="C287">
        <v>9</v>
      </c>
      <c r="D287">
        <v>9</v>
      </c>
    </row>
    <row r="288" spans="1:4" x14ac:dyDescent="0.3">
      <c r="A288" s="11">
        <v>43282</v>
      </c>
      <c r="B288">
        <v>10</v>
      </c>
      <c r="C288">
        <v>9</v>
      </c>
      <c r="D288">
        <v>9</v>
      </c>
    </row>
    <row r="289" spans="1:4" x14ac:dyDescent="0.3">
      <c r="A289" s="11">
        <v>43313</v>
      </c>
      <c r="B289">
        <v>10</v>
      </c>
      <c r="C289">
        <v>9</v>
      </c>
      <c r="D289">
        <v>9</v>
      </c>
    </row>
    <row r="290" spans="1:4" x14ac:dyDescent="0.3">
      <c r="A290" s="11">
        <v>43344</v>
      </c>
      <c r="B290">
        <v>10</v>
      </c>
      <c r="C290">
        <v>9</v>
      </c>
      <c r="D290">
        <v>9</v>
      </c>
    </row>
    <row r="291" spans="1:4" x14ac:dyDescent="0.3">
      <c r="A291" s="11">
        <v>43374</v>
      </c>
      <c r="B291">
        <v>10</v>
      </c>
      <c r="C291">
        <v>9</v>
      </c>
      <c r="D291">
        <v>9</v>
      </c>
    </row>
    <row r="292" spans="1:4" x14ac:dyDescent="0.3">
      <c r="A292" s="11">
        <v>43405</v>
      </c>
      <c r="B292">
        <v>10</v>
      </c>
      <c r="C292">
        <v>9</v>
      </c>
      <c r="D292">
        <v>9</v>
      </c>
    </row>
    <row r="293" spans="1:4" x14ac:dyDescent="0.3">
      <c r="A293" s="11">
        <v>43435</v>
      </c>
      <c r="B293">
        <v>10</v>
      </c>
      <c r="C293">
        <v>9</v>
      </c>
      <c r="D293">
        <v>9</v>
      </c>
    </row>
    <row r="294" spans="1:4" x14ac:dyDescent="0.3">
      <c r="A294" s="11">
        <v>43466</v>
      </c>
      <c r="B294">
        <v>10</v>
      </c>
      <c r="C294">
        <v>9</v>
      </c>
      <c r="D294">
        <v>9</v>
      </c>
    </row>
    <row r="295" spans="1:4" x14ac:dyDescent="0.3">
      <c r="A295" s="11">
        <v>43497</v>
      </c>
      <c r="B295">
        <v>10</v>
      </c>
      <c r="C295">
        <v>9</v>
      </c>
      <c r="D295">
        <v>9</v>
      </c>
    </row>
    <row r="296" spans="1:4" x14ac:dyDescent="0.3">
      <c r="A296" s="11">
        <v>43525</v>
      </c>
      <c r="B296">
        <v>10</v>
      </c>
      <c r="C296">
        <v>9</v>
      </c>
      <c r="D296">
        <v>9</v>
      </c>
    </row>
    <row r="297" spans="1:4" x14ac:dyDescent="0.3">
      <c r="A297" s="11">
        <v>43556</v>
      </c>
      <c r="B297">
        <v>10</v>
      </c>
      <c r="C297">
        <v>9</v>
      </c>
      <c r="D297">
        <v>9</v>
      </c>
    </row>
    <row r="298" spans="1:4" x14ac:dyDescent="0.3">
      <c r="A298" s="11">
        <v>43586</v>
      </c>
      <c r="B298">
        <v>10</v>
      </c>
      <c r="C298">
        <v>9</v>
      </c>
      <c r="D298">
        <v>9</v>
      </c>
    </row>
    <row r="299" spans="1:4" x14ac:dyDescent="0.3">
      <c r="A299" s="11">
        <v>43617</v>
      </c>
      <c r="B299">
        <v>10</v>
      </c>
      <c r="C299">
        <v>9</v>
      </c>
      <c r="D299">
        <v>9</v>
      </c>
    </row>
    <row r="300" spans="1:4" x14ac:dyDescent="0.3">
      <c r="A300" s="11">
        <v>43647</v>
      </c>
      <c r="B300">
        <v>10</v>
      </c>
      <c r="C300">
        <v>9</v>
      </c>
      <c r="D300">
        <v>9</v>
      </c>
    </row>
    <row r="301" spans="1:4" x14ac:dyDescent="0.3">
      <c r="A301" s="11">
        <v>43678</v>
      </c>
      <c r="B301">
        <v>10</v>
      </c>
      <c r="C301">
        <v>9</v>
      </c>
      <c r="D301">
        <v>9</v>
      </c>
    </row>
    <row r="302" spans="1:4" x14ac:dyDescent="0.3">
      <c r="A302" s="11">
        <v>43709</v>
      </c>
      <c r="B302">
        <v>10</v>
      </c>
      <c r="C302">
        <v>9</v>
      </c>
      <c r="D302">
        <v>9</v>
      </c>
    </row>
    <row r="303" spans="1:4" x14ac:dyDescent="0.3">
      <c r="A303" s="11">
        <v>43739</v>
      </c>
      <c r="B303">
        <v>10</v>
      </c>
      <c r="C303">
        <v>9</v>
      </c>
      <c r="D303">
        <v>9</v>
      </c>
    </row>
    <row r="304" spans="1:4" x14ac:dyDescent="0.3">
      <c r="A304" s="11">
        <v>43770</v>
      </c>
      <c r="B304">
        <v>10</v>
      </c>
      <c r="C304">
        <v>9</v>
      </c>
      <c r="D304">
        <v>9</v>
      </c>
    </row>
    <row r="305" spans="1:4" x14ac:dyDescent="0.3">
      <c r="A305" s="11">
        <v>43800</v>
      </c>
      <c r="B305">
        <v>10</v>
      </c>
      <c r="C305">
        <v>9</v>
      </c>
      <c r="D305">
        <v>9</v>
      </c>
    </row>
    <row r="306" spans="1:4" x14ac:dyDescent="0.3">
      <c r="A306" s="11">
        <v>43831</v>
      </c>
      <c r="B306">
        <v>10</v>
      </c>
      <c r="C306">
        <v>9</v>
      </c>
      <c r="D306">
        <v>9</v>
      </c>
    </row>
    <row r="307" spans="1:4" x14ac:dyDescent="0.3">
      <c r="A307" s="11">
        <v>43862</v>
      </c>
      <c r="B307">
        <v>10</v>
      </c>
      <c r="C307">
        <v>9</v>
      </c>
      <c r="D307">
        <v>9</v>
      </c>
    </row>
    <row r="308" spans="1:4" x14ac:dyDescent="0.3">
      <c r="A308" s="11">
        <v>43891</v>
      </c>
      <c r="B308">
        <v>10</v>
      </c>
      <c r="C308">
        <v>9</v>
      </c>
      <c r="D308">
        <v>9</v>
      </c>
    </row>
    <row r="309" spans="1:4" x14ac:dyDescent="0.3">
      <c r="A309" s="11">
        <v>43922</v>
      </c>
      <c r="B309">
        <v>10</v>
      </c>
      <c r="C309">
        <v>9</v>
      </c>
      <c r="D309">
        <v>9</v>
      </c>
    </row>
    <row r="310" spans="1:4" x14ac:dyDescent="0.3">
      <c r="A310" s="11">
        <v>43952</v>
      </c>
      <c r="B310">
        <v>10</v>
      </c>
      <c r="C310">
        <v>9</v>
      </c>
      <c r="D310">
        <v>9</v>
      </c>
    </row>
    <row r="311" spans="1:4" x14ac:dyDescent="0.3">
      <c r="A311" s="11">
        <v>43983</v>
      </c>
      <c r="B311">
        <v>10</v>
      </c>
      <c r="C311">
        <v>9</v>
      </c>
      <c r="D311">
        <v>9</v>
      </c>
    </row>
    <row r="312" spans="1:4" x14ac:dyDescent="0.3">
      <c r="A312" s="11">
        <v>44013</v>
      </c>
      <c r="B312">
        <v>10</v>
      </c>
      <c r="C312">
        <v>9</v>
      </c>
      <c r="D312">
        <v>9</v>
      </c>
    </row>
    <row r="313" spans="1:4" x14ac:dyDescent="0.3">
      <c r="A313" s="11">
        <v>44044</v>
      </c>
      <c r="B313">
        <v>10</v>
      </c>
      <c r="C313">
        <v>9</v>
      </c>
      <c r="D313">
        <v>9</v>
      </c>
    </row>
    <row r="314" spans="1:4" x14ac:dyDescent="0.3">
      <c r="A314" s="11">
        <v>44075</v>
      </c>
      <c r="B314">
        <v>10</v>
      </c>
      <c r="C314">
        <v>9</v>
      </c>
      <c r="D314">
        <v>9</v>
      </c>
    </row>
    <row r="315" spans="1:4" x14ac:dyDescent="0.3">
      <c r="A315" s="11">
        <v>44105</v>
      </c>
      <c r="B315">
        <v>10</v>
      </c>
      <c r="C315">
        <v>9</v>
      </c>
      <c r="D315">
        <v>9</v>
      </c>
    </row>
    <row r="316" spans="1:4" x14ac:dyDescent="0.3">
      <c r="A316" s="11">
        <v>44136</v>
      </c>
      <c r="B316">
        <v>10</v>
      </c>
      <c r="C316">
        <v>9</v>
      </c>
      <c r="D316">
        <v>9</v>
      </c>
    </row>
    <row r="317" spans="1:4" x14ac:dyDescent="0.3">
      <c r="A317" s="11">
        <v>44166</v>
      </c>
      <c r="B317">
        <v>10</v>
      </c>
      <c r="C317">
        <v>9</v>
      </c>
      <c r="D317">
        <v>9</v>
      </c>
    </row>
    <row r="318" spans="1:4" x14ac:dyDescent="0.3">
      <c r="A318" s="11">
        <v>44197</v>
      </c>
      <c r="B318">
        <v>10</v>
      </c>
      <c r="C318">
        <v>9</v>
      </c>
      <c r="D318">
        <v>9</v>
      </c>
    </row>
    <row r="319" spans="1:4" x14ac:dyDescent="0.3">
      <c r="A319" s="11">
        <v>44228</v>
      </c>
      <c r="B319">
        <v>10</v>
      </c>
      <c r="C319">
        <v>9</v>
      </c>
      <c r="D319">
        <v>9</v>
      </c>
    </row>
    <row r="320" spans="1:4" x14ac:dyDescent="0.3">
      <c r="A320" s="11">
        <v>44256</v>
      </c>
      <c r="B320">
        <v>10</v>
      </c>
      <c r="C320">
        <v>9</v>
      </c>
      <c r="D320">
        <v>9</v>
      </c>
    </row>
    <row r="321" spans="1:4" x14ac:dyDescent="0.3">
      <c r="A321" s="11">
        <v>44287</v>
      </c>
      <c r="B321">
        <v>10</v>
      </c>
      <c r="C321">
        <v>9</v>
      </c>
      <c r="D321">
        <v>9</v>
      </c>
    </row>
    <row r="322" spans="1:4" x14ac:dyDescent="0.3">
      <c r="A322" s="11">
        <v>44317</v>
      </c>
      <c r="B322">
        <v>10</v>
      </c>
      <c r="C322">
        <v>9</v>
      </c>
      <c r="D322">
        <v>9</v>
      </c>
    </row>
    <row r="323" spans="1:4" x14ac:dyDescent="0.3">
      <c r="A323" s="11">
        <v>44348</v>
      </c>
      <c r="B323">
        <v>10</v>
      </c>
      <c r="C323">
        <v>9</v>
      </c>
      <c r="D323">
        <v>9</v>
      </c>
    </row>
    <row r="324" spans="1:4" x14ac:dyDescent="0.3">
      <c r="A324" s="11">
        <v>44378</v>
      </c>
      <c r="B324">
        <v>10</v>
      </c>
      <c r="C324">
        <v>9</v>
      </c>
      <c r="D324">
        <v>9</v>
      </c>
    </row>
    <row r="325" spans="1:4" x14ac:dyDescent="0.3">
      <c r="A325" s="11">
        <v>44409</v>
      </c>
      <c r="B325">
        <v>10</v>
      </c>
      <c r="C325">
        <v>9</v>
      </c>
      <c r="D325">
        <v>9</v>
      </c>
    </row>
    <row r="326" spans="1:4" x14ac:dyDescent="0.3">
      <c r="A326" s="11">
        <v>44440</v>
      </c>
      <c r="B326">
        <v>10</v>
      </c>
      <c r="C326">
        <v>9</v>
      </c>
      <c r="D326">
        <v>9</v>
      </c>
    </row>
    <row r="327" spans="1:4" x14ac:dyDescent="0.3">
      <c r="A327" s="11">
        <v>44470</v>
      </c>
      <c r="B327">
        <v>10</v>
      </c>
      <c r="C327">
        <v>9</v>
      </c>
      <c r="D327">
        <v>9</v>
      </c>
    </row>
    <row r="328" spans="1:4" x14ac:dyDescent="0.3">
      <c r="A328" s="11">
        <v>44501</v>
      </c>
      <c r="B328">
        <v>10</v>
      </c>
      <c r="C328">
        <v>9</v>
      </c>
      <c r="D328">
        <v>9</v>
      </c>
    </row>
    <row r="329" spans="1:4" x14ac:dyDescent="0.3">
      <c r="A329" s="11">
        <v>44531</v>
      </c>
      <c r="B329">
        <v>10</v>
      </c>
      <c r="C329">
        <v>9</v>
      </c>
      <c r="D329">
        <v>9</v>
      </c>
    </row>
    <row r="330" spans="1:4" x14ac:dyDescent="0.3">
      <c r="A330" s="11">
        <v>44562</v>
      </c>
      <c r="B330">
        <v>10</v>
      </c>
      <c r="C330">
        <v>9</v>
      </c>
      <c r="D330">
        <v>9</v>
      </c>
    </row>
    <row r="331" spans="1:4" x14ac:dyDescent="0.3">
      <c r="A331" s="11">
        <v>44593</v>
      </c>
      <c r="B331">
        <v>10</v>
      </c>
      <c r="C331">
        <v>9</v>
      </c>
      <c r="D331">
        <v>9</v>
      </c>
    </row>
    <row r="332" spans="1:4" x14ac:dyDescent="0.3">
      <c r="A332" s="11">
        <v>44621</v>
      </c>
      <c r="B332">
        <v>10</v>
      </c>
      <c r="C332">
        <v>9</v>
      </c>
      <c r="D332">
        <v>9</v>
      </c>
    </row>
    <row r="333" spans="1:4" x14ac:dyDescent="0.3">
      <c r="A333" s="11">
        <v>44652</v>
      </c>
      <c r="B333">
        <v>10</v>
      </c>
      <c r="C333">
        <v>9</v>
      </c>
      <c r="D333">
        <v>9</v>
      </c>
    </row>
    <row r="334" spans="1:4" x14ac:dyDescent="0.3">
      <c r="A334" s="11">
        <v>44682</v>
      </c>
      <c r="B334">
        <v>10</v>
      </c>
      <c r="C334">
        <v>9</v>
      </c>
      <c r="D334">
        <v>9</v>
      </c>
    </row>
    <row r="335" spans="1:4" x14ac:dyDescent="0.3">
      <c r="A335" s="11">
        <v>44713</v>
      </c>
      <c r="B335">
        <v>10</v>
      </c>
      <c r="C335">
        <v>9</v>
      </c>
      <c r="D335">
        <v>9</v>
      </c>
    </row>
    <row r="336" spans="1:4" x14ac:dyDescent="0.3">
      <c r="A336" s="11">
        <v>44743</v>
      </c>
      <c r="B336">
        <v>10</v>
      </c>
      <c r="C336">
        <v>9</v>
      </c>
      <c r="D336">
        <v>9</v>
      </c>
    </row>
    <row r="337" spans="1:4" x14ac:dyDescent="0.3">
      <c r="A337" s="11">
        <v>44774</v>
      </c>
      <c r="B337">
        <v>10</v>
      </c>
      <c r="C337">
        <v>9</v>
      </c>
      <c r="D337">
        <v>9</v>
      </c>
    </row>
    <row r="338" spans="1:4" x14ac:dyDescent="0.3">
      <c r="A338" s="11">
        <v>44805</v>
      </c>
      <c r="B338">
        <v>10</v>
      </c>
      <c r="C338">
        <v>9</v>
      </c>
      <c r="D338">
        <v>9</v>
      </c>
    </row>
    <row r="339" spans="1:4" x14ac:dyDescent="0.3">
      <c r="A339" s="11">
        <v>44835</v>
      </c>
      <c r="B339">
        <v>10</v>
      </c>
      <c r="C339">
        <v>9</v>
      </c>
      <c r="D339">
        <v>9</v>
      </c>
    </row>
    <row r="340" spans="1:4" x14ac:dyDescent="0.3">
      <c r="A340" s="11">
        <v>44866</v>
      </c>
      <c r="B340">
        <v>10</v>
      </c>
      <c r="C340">
        <v>9</v>
      </c>
      <c r="D340">
        <v>9</v>
      </c>
    </row>
    <row r="341" spans="1:4" x14ac:dyDescent="0.3">
      <c r="A341" s="11">
        <v>44896</v>
      </c>
      <c r="B341">
        <v>10</v>
      </c>
      <c r="C341">
        <v>9</v>
      </c>
      <c r="D341">
        <v>9</v>
      </c>
    </row>
    <row r="342" spans="1:4" x14ac:dyDescent="0.3">
      <c r="A342" s="11">
        <v>44927</v>
      </c>
      <c r="B342">
        <v>10</v>
      </c>
      <c r="C342">
        <v>9</v>
      </c>
      <c r="D342">
        <v>9</v>
      </c>
    </row>
    <row r="343" spans="1:4" x14ac:dyDescent="0.3">
      <c r="A343" s="11">
        <v>44958</v>
      </c>
      <c r="B343">
        <v>10</v>
      </c>
      <c r="C343">
        <v>9</v>
      </c>
      <c r="D343">
        <v>9</v>
      </c>
    </row>
    <row r="344" spans="1:4" x14ac:dyDescent="0.3">
      <c r="A344" s="11">
        <v>44986</v>
      </c>
      <c r="B344">
        <v>10</v>
      </c>
      <c r="C344">
        <v>9</v>
      </c>
      <c r="D344">
        <v>9</v>
      </c>
    </row>
    <row r="345" spans="1:4" x14ac:dyDescent="0.3">
      <c r="A345" s="11">
        <v>45017</v>
      </c>
      <c r="B345">
        <v>10</v>
      </c>
      <c r="C345">
        <v>9</v>
      </c>
      <c r="D345">
        <v>9</v>
      </c>
    </row>
    <row r="346" spans="1:4" x14ac:dyDescent="0.3">
      <c r="A346" s="11">
        <v>45047</v>
      </c>
      <c r="B346">
        <v>10</v>
      </c>
      <c r="C346">
        <v>9</v>
      </c>
      <c r="D346">
        <v>9</v>
      </c>
    </row>
    <row r="347" spans="1:4" x14ac:dyDescent="0.3">
      <c r="A347" s="11">
        <v>45078</v>
      </c>
      <c r="B347">
        <v>10</v>
      </c>
      <c r="C347">
        <v>9</v>
      </c>
      <c r="D347">
        <v>9</v>
      </c>
    </row>
    <row r="348" spans="1:4" x14ac:dyDescent="0.3">
      <c r="A348" s="11">
        <v>45108</v>
      </c>
      <c r="B348">
        <v>10</v>
      </c>
      <c r="C348">
        <v>9</v>
      </c>
      <c r="D348">
        <v>10</v>
      </c>
    </row>
    <row r="349" spans="1:4" x14ac:dyDescent="0.3">
      <c r="A349" s="11">
        <v>45139</v>
      </c>
      <c r="B349">
        <v>10</v>
      </c>
      <c r="C349">
        <v>9</v>
      </c>
      <c r="D349">
        <v>10</v>
      </c>
    </row>
    <row r="350" spans="1:4" x14ac:dyDescent="0.3">
      <c r="A350" s="11">
        <v>45170</v>
      </c>
      <c r="B350">
        <v>10</v>
      </c>
      <c r="C350">
        <v>9</v>
      </c>
      <c r="D350">
        <v>10</v>
      </c>
    </row>
    <row r="351" spans="1:4" x14ac:dyDescent="0.3">
      <c r="A351" s="11">
        <v>45200</v>
      </c>
      <c r="B351">
        <v>10</v>
      </c>
      <c r="C351">
        <v>9</v>
      </c>
      <c r="D351">
        <v>10</v>
      </c>
    </row>
    <row r="352" spans="1:4" x14ac:dyDescent="0.3">
      <c r="A352" s="11">
        <v>45231</v>
      </c>
      <c r="B352">
        <v>10</v>
      </c>
      <c r="C352">
        <v>9</v>
      </c>
      <c r="D352">
        <v>10</v>
      </c>
    </row>
    <row r="353" spans="1:4" x14ac:dyDescent="0.3">
      <c r="A353" s="11">
        <v>45261</v>
      </c>
      <c r="B353">
        <v>10</v>
      </c>
      <c r="C353">
        <v>10</v>
      </c>
      <c r="D353">
        <v>10</v>
      </c>
    </row>
    <row r="354" spans="1:4" x14ac:dyDescent="0.3">
      <c r="A354" s="11">
        <v>45292</v>
      </c>
      <c r="B354">
        <v>10</v>
      </c>
      <c r="C354">
        <v>10</v>
      </c>
      <c r="D354">
        <v>10</v>
      </c>
    </row>
    <row r="355" spans="1:4" x14ac:dyDescent="0.3">
      <c r="A355" s="11">
        <v>45323</v>
      </c>
      <c r="B355">
        <v>10</v>
      </c>
      <c r="C355">
        <v>10</v>
      </c>
      <c r="D355">
        <v>10</v>
      </c>
    </row>
    <row r="356" spans="1:4" x14ac:dyDescent="0.3">
      <c r="A356" s="11">
        <v>45352</v>
      </c>
      <c r="B356">
        <v>10</v>
      </c>
      <c r="C356">
        <v>10</v>
      </c>
      <c r="D356">
        <v>10</v>
      </c>
    </row>
    <row r="357" spans="1:4" x14ac:dyDescent="0.3">
      <c r="A357" s="11">
        <v>45383</v>
      </c>
      <c r="B357">
        <v>10</v>
      </c>
      <c r="C357">
        <v>10</v>
      </c>
      <c r="D357">
        <v>10</v>
      </c>
    </row>
    <row r="358" spans="1:4" x14ac:dyDescent="0.3">
      <c r="A358" s="11">
        <v>45413</v>
      </c>
      <c r="B358">
        <v>10</v>
      </c>
      <c r="C358">
        <v>10</v>
      </c>
      <c r="D358">
        <v>10</v>
      </c>
    </row>
    <row r="359" spans="1:4" x14ac:dyDescent="0.3">
      <c r="A359" s="11">
        <v>45444</v>
      </c>
      <c r="B359">
        <v>10</v>
      </c>
      <c r="C359">
        <v>10</v>
      </c>
      <c r="D359">
        <v>10</v>
      </c>
    </row>
    <row r="360" spans="1:4" x14ac:dyDescent="0.3">
      <c r="A360" s="11">
        <v>45474</v>
      </c>
      <c r="B360">
        <v>10</v>
      </c>
      <c r="C360">
        <v>10</v>
      </c>
      <c r="D360">
        <v>10</v>
      </c>
    </row>
    <row r="361" spans="1:4" x14ac:dyDescent="0.3">
      <c r="A361" s="11">
        <v>45505</v>
      </c>
      <c r="B361">
        <v>10</v>
      </c>
      <c r="C361">
        <v>10</v>
      </c>
      <c r="D361">
        <v>10</v>
      </c>
    </row>
    <row r="362" spans="1:4" x14ac:dyDescent="0.3">
      <c r="A362" s="11">
        <v>45536</v>
      </c>
      <c r="B362">
        <v>11</v>
      </c>
      <c r="C362">
        <v>10</v>
      </c>
      <c r="D362">
        <v>10</v>
      </c>
    </row>
    <row r="363" spans="1:4" x14ac:dyDescent="0.3">
      <c r="A363" s="11">
        <v>45536</v>
      </c>
      <c r="B363">
        <v>11</v>
      </c>
      <c r="C363">
        <v>10</v>
      </c>
      <c r="D363">
        <v>10</v>
      </c>
    </row>
    <row r="364" spans="1:4" x14ac:dyDescent="0.3">
      <c r="A364" s="11">
        <v>45566</v>
      </c>
      <c r="B364">
        <v>11</v>
      </c>
      <c r="C364">
        <v>10</v>
      </c>
      <c r="D364">
        <v>10</v>
      </c>
    </row>
    <row r="365" spans="1:4" x14ac:dyDescent="0.3">
      <c r="A365" s="11">
        <v>45597</v>
      </c>
      <c r="B365">
        <v>11</v>
      </c>
      <c r="C365">
        <v>10</v>
      </c>
      <c r="D365">
        <v>10</v>
      </c>
    </row>
    <row r="366" spans="1:4" x14ac:dyDescent="0.3">
      <c r="A366" s="11">
        <v>45627</v>
      </c>
      <c r="B366">
        <v>11</v>
      </c>
      <c r="C366">
        <v>10</v>
      </c>
      <c r="D366">
        <v>10</v>
      </c>
    </row>
    <row r="367" spans="1:4" x14ac:dyDescent="0.3">
      <c r="A367" s="11">
        <v>45658</v>
      </c>
      <c r="B367">
        <v>11</v>
      </c>
      <c r="C367">
        <v>10</v>
      </c>
      <c r="D367">
        <v>10</v>
      </c>
    </row>
    <row r="368" spans="1:4" x14ac:dyDescent="0.3">
      <c r="A368" s="11">
        <v>45689</v>
      </c>
      <c r="B368">
        <v>11</v>
      </c>
      <c r="C368">
        <v>10</v>
      </c>
      <c r="D368">
        <v>10</v>
      </c>
    </row>
    <row r="369" spans="1:4" x14ac:dyDescent="0.3">
      <c r="A369" s="11">
        <v>45717</v>
      </c>
      <c r="B369">
        <v>11</v>
      </c>
      <c r="C369">
        <v>10</v>
      </c>
      <c r="D369">
        <v>10</v>
      </c>
    </row>
    <row r="370" spans="1:4" x14ac:dyDescent="0.3">
      <c r="A370" s="11">
        <v>45748</v>
      </c>
      <c r="B370">
        <v>11</v>
      </c>
      <c r="C370">
        <v>10</v>
      </c>
      <c r="D370">
        <v>10</v>
      </c>
    </row>
    <row r="371" spans="1:4" x14ac:dyDescent="0.3">
      <c r="A371" s="11">
        <v>45778</v>
      </c>
      <c r="B371">
        <v>11</v>
      </c>
      <c r="C371">
        <v>10</v>
      </c>
      <c r="D371">
        <v>10</v>
      </c>
    </row>
    <row r="372" spans="1:4" x14ac:dyDescent="0.3">
      <c r="A372" s="11">
        <v>45809</v>
      </c>
      <c r="B372">
        <v>11</v>
      </c>
      <c r="C372">
        <v>10</v>
      </c>
      <c r="D372">
        <v>10</v>
      </c>
    </row>
    <row r="373" spans="1:4" x14ac:dyDescent="0.3">
      <c r="A373" s="11">
        <v>45839</v>
      </c>
      <c r="B373">
        <v>11</v>
      </c>
      <c r="C373">
        <v>10</v>
      </c>
      <c r="D373">
        <v>10</v>
      </c>
    </row>
    <row r="374" spans="1:4" x14ac:dyDescent="0.3">
      <c r="A374" s="11">
        <v>45870</v>
      </c>
      <c r="B374">
        <v>11</v>
      </c>
      <c r="C374">
        <v>10</v>
      </c>
      <c r="D374">
        <v>10</v>
      </c>
    </row>
    <row r="375" spans="1:4" x14ac:dyDescent="0.3">
      <c r="A375" s="11">
        <v>45901</v>
      </c>
      <c r="B375">
        <v>11</v>
      </c>
      <c r="C375">
        <v>10</v>
      </c>
      <c r="D375">
        <v>10</v>
      </c>
    </row>
    <row r="376" spans="1:4" x14ac:dyDescent="0.3">
      <c r="A376" s="11">
        <v>45931</v>
      </c>
      <c r="B376">
        <v>11</v>
      </c>
      <c r="C376">
        <v>10</v>
      </c>
      <c r="D376">
        <v>10</v>
      </c>
    </row>
    <row r="377" spans="1:4" x14ac:dyDescent="0.3">
      <c r="A377" s="11">
        <v>45962</v>
      </c>
      <c r="B377">
        <v>11</v>
      </c>
      <c r="C377">
        <v>10</v>
      </c>
      <c r="D377">
        <v>10</v>
      </c>
    </row>
    <row r="378" spans="1:4" x14ac:dyDescent="0.3">
      <c r="A378" s="11">
        <v>45992</v>
      </c>
      <c r="B378">
        <v>11</v>
      </c>
      <c r="C378">
        <v>10</v>
      </c>
      <c r="D378">
        <v>10</v>
      </c>
    </row>
    <row r="379" spans="1:4" x14ac:dyDescent="0.3">
      <c r="A379" s="11">
        <v>46023</v>
      </c>
      <c r="B379">
        <v>11</v>
      </c>
      <c r="C379">
        <v>10</v>
      </c>
      <c r="D379">
        <v>10</v>
      </c>
    </row>
    <row r="380" spans="1:4" x14ac:dyDescent="0.3">
      <c r="A380" s="11">
        <v>46054</v>
      </c>
      <c r="B380">
        <v>11</v>
      </c>
      <c r="C380">
        <v>10</v>
      </c>
      <c r="D380">
        <v>10</v>
      </c>
    </row>
    <row r="381" spans="1:4" x14ac:dyDescent="0.3">
      <c r="A381" s="11">
        <v>46082</v>
      </c>
      <c r="B381">
        <v>11</v>
      </c>
      <c r="C381">
        <v>10</v>
      </c>
      <c r="D381">
        <v>10</v>
      </c>
    </row>
    <row r="382" spans="1:4" x14ac:dyDescent="0.3">
      <c r="A382" s="11">
        <v>46113</v>
      </c>
      <c r="B382">
        <v>11</v>
      </c>
      <c r="C382">
        <v>10</v>
      </c>
      <c r="D382">
        <v>10</v>
      </c>
    </row>
    <row r="383" spans="1:4" x14ac:dyDescent="0.3">
      <c r="A383" s="11">
        <v>46143</v>
      </c>
      <c r="B383">
        <v>11</v>
      </c>
      <c r="C383">
        <v>10</v>
      </c>
      <c r="D383">
        <v>10</v>
      </c>
    </row>
    <row r="384" spans="1:4" x14ac:dyDescent="0.3">
      <c r="A384" s="11">
        <v>46174</v>
      </c>
      <c r="B384">
        <v>11</v>
      </c>
      <c r="C384">
        <v>10</v>
      </c>
      <c r="D384">
        <v>10</v>
      </c>
    </row>
    <row r="385" spans="1:4" x14ac:dyDescent="0.3">
      <c r="A385" s="11">
        <v>46204</v>
      </c>
      <c r="B385">
        <v>11</v>
      </c>
      <c r="C385">
        <v>10</v>
      </c>
      <c r="D385">
        <v>10</v>
      </c>
    </row>
    <row r="386" spans="1:4" x14ac:dyDescent="0.3">
      <c r="A386" s="11">
        <v>46235</v>
      </c>
      <c r="B386">
        <v>11</v>
      </c>
      <c r="C386">
        <v>10</v>
      </c>
      <c r="D386">
        <v>10</v>
      </c>
    </row>
    <row r="387" spans="1:4" x14ac:dyDescent="0.3">
      <c r="A387" s="11">
        <v>46266</v>
      </c>
      <c r="B387">
        <v>11</v>
      </c>
      <c r="C387">
        <v>10</v>
      </c>
      <c r="D387">
        <v>10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8732-4B74-4689-BC27-30252D54AE91}">
  <dimension ref="A1:T44"/>
  <sheetViews>
    <sheetView workbookViewId="0">
      <selection activeCell="H39" sqref="H39"/>
    </sheetView>
  </sheetViews>
  <sheetFormatPr defaultRowHeight="14.4" x14ac:dyDescent="0.3"/>
  <cols>
    <col min="1" max="1" width="14.88671875" customWidth="1"/>
    <col min="5" max="5" width="10.77734375" customWidth="1"/>
  </cols>
  <sheetData>
    <row r="1" spans="1:20" x14ac:dyDescent="0.3">
      <c r="A1" t="s">
        <v>12264</v>
      </c>
      <c r="B1" t="s">
        <v>12265</v>
      </c>
      <c r="C1" t="s">
        <v>12266</v>
      </c>
      <c r="D1" t="s">
        <v>12267</v>
      </c>
      <c r="E1" t="s">
        <v>12268</v>
      </c>
      <c r="J1" t="s">
        <v>12264</v>
      </c>
      <c r="K1" t="s">
        <v>12265</v>
      </c>
      <c r="L1" t="s">
        <v>12266</v>
      </c>
      <c r="M1" t="s">
        <v>12267</v>
      </c>
      <c r="N1" t="s">
        <v>12268</v>
      </c>
      <c r="P1" t="s">
        <v>12264</v>
      </c>
      <c r="Q1" t="s">
        <v>12265</v>
      </c>
      <c r="R1" t="s">
        <v>12266</v>
      </c>
      <c r="S1" t="s">
        <v>12267</v>
      </c>
      <c r="T1" t="s">
        <v>12268</v>
      </c>
    </row>
    <row r="2" spans="1:20" x14ac:dyDescent="0.3">
      <c r="A2" s="49">
        <v>45807</v>
      </c>
      <c r="B2" t="s">
        <v>12269</v>
      </c>
      <c r="C2" t="s">
        <v>12224</v>
      </c>
      <c r="D2" t="s">
        <v>12224</v>
      </c>
      <c r="E2" t="s">
        <v>12270</v>
      </c>
      <c r="J2" s="49">
        <v>46189</v>
      </c>
      <c r="K2" t="s">
        <v>12256</v>
      </c>
      <c r="L2" t="s">
        <v>12247</v>
      </c>
      <c r="M2" t="s">
        <v>12247</v>
      </c>
      <c r="N2" t="s">
        <v>12273</v>
      </c>
      <c r="P2" s="49">
        <v>46198</v>
      </c>
      <c r="Q2" t="s">
        <v>12288</v>
      </c>
      <c r="R2" t="s">
        <v>12247</v>
      </c>
      <c r="S2" t="s">
        <v>12247</v>
      </c>
      <c r="T2" t="s">
        <v>12273</v>
      </c>
    </row>
    <row r="3" spans="1:20" x14ac:dyDescent="0.3">
      <c r="A3" s="49">
        <v>45566</v>
      </c>
      <c r="B3" t="s">
        <v>12269</v>
      </c>
      <c r="C3" t="s">
        <v>12224</v>
      </c>
      <c r="D3" t="s">
        <v>12224</v>
      </c>
      <c r="E3" t="s">
        <v>12271</v>
      </c>
      <c r="J3" s="49">
        <v>45833</v>
      </c>
      <c r="K3" t="s">
        <v>12256</v>
      </c>
      <c r="L3" t="s">
        <v>12247</v>
      </c>
      <c r="M3" t="s">
        <v>12247</v>
      </c>
      <c r="N3" t="s">
        <v>12273</v>
      </c>
      <c r="P3" s="49">
        <v>45279</v>
      </c>
      <c r="Q3" t="s">
        <v>12288</v>
      </c>
      <c r="R3" t="s">
        <v>12247</v>
      </c>
      <c r="S3" t="s">
        <v>12247</v>
      </c>
      <c r="T3" t="s">
        <v>12284</v>
      </c>
    </row>
    <row r="4" spans="1:20" x14ac:dyDescent="0.3">
      <c r="A4" s="49">
        <v>45413</v>
      </c>
      <c r="B4" t="s">
        <v>12269</v>
      </c>
      <c r="C4" t="s">
        <v>12225</v>
      </c>
      <c r="D4" t="s">
        <v>12225</v>
      </c>
      <c r="E4" t="s">
        <v>12272</v>
      </c>
      <c r="J4" s="49">
        <v>45470</v>
      </c>
      <c r="K4" t="s">
        <v>12256</v>
      </c>
      <c r="L4" t="s">
        <v>12247</v>
      </c>
      <c r="M4" t="s">
        <v>12247</v>
      </c>
      <c r="N4" t="s">
        <v>12273</v>
      </c>
      <c r="P4" s="49">
        <v>45091</v>
      </c>
      <c r="Q4" t="s">
        <v>12288</v>
      </c>
      <c r="R4" t="s">
        <v>12248</v>
      </c>
      <c r="S4" t="s">
        <v>12248</v>
      </c>
      <c r="T4" t="s">
        <v>12272</v>
      </c>
    </row>
    <row r="5" spans="1:20" x14ac:dyDescent="0.3">
      <c r="A5" s="49">
        <v>44663</v>
      </c>
      <c r="B5" t="s">
        <v>12269</v>
      </c>
      <c r="C5" t="s">
        <v>12225</v>
      </c>
      <c r="D5" t="s">
        <v>12225</v>
      </c>
      <c r="E5" t="s">
        <v>12273</v>
      </c>
      <c r="J5" s="49">
        <v>45275</v>
      </c>
      <c r="K5" t="s">
        <v>12256</v>
      </c>
      <c r="L5" t="s">
        <v>12247</v>
      </c>
      <c r="M5" t="s">
        <v>12247</v>
      </c>
      <c r="N5" t="s">
        <v>12273</v>
      </c>
      <c r="P5" s="49">
        <v>44726</v>
      </c>
      <c r="Q5" t="s">
        <v>12288</v>
      </c>
      <c r="R5" t="s">
        <v>12248</v>
      </c>
      <c r="S5" t="s">
        <v>12248</v>
      </c>
      <c r="T5" t="s">
        <v>12273</v>
      </c>
    </row>
    <row r="6" spans="1:20" x14ac:dyDescent="0.3">
      <c r="A6" s="49">
        <v>43966</v>
      </c>
      <c r="B6" t="s">
        <v>12269</v>
      </c>
      <c r="C6" t="s">
        <v>12225</v>
      </c>
      <c r="D6" t="s">
        <v>12225</v>
      </c>
      <c r="E6" t="s">
        <v>12273</v>
      </c>
      <c r="J6" s="49">
        <v>45133</v>
      </c>
      <c r="K6" t="s">
        <v>12256</v>
      </c>
      <c r="L6" t="s">
        <v>12247</v>
      </c>
      <c r="M6" t="s">
        <v>12247</v>
      </c>
      <c r="N6" t="s">
        <v>12277</v>
      </c>
      <c r="P6" s="49">
        <v>44530</v>
      </c>
      <c r="Q6" t="s">
        <v>12288</v>
      </c>
      <c r="R6" t="s">
        <v>12248</v>
      </c>
      <c r="S6" t="s">
        <v>12248</v>
      </c>
      <c r="T6" t="s">
        <v>12273</v>
      </c>
    </row>
    <row r="7" spans="1:20" x14ac:dyDescent="0.3">
      <c r="A7" s="49">
        <v>43199</v>
      </c>
      <c r="B7" t="s">
        <v>12269</v>
      </c>
      <c r="C7" t="s">
        <v>12225</v>
      </c>
      <c r="D7" t="s">
        <v>12225</v>
      </c>
      <c r="E7" t="s">
        <v>12270</v>
      </c>
      <c r="J7" s="49">
        <v>44915</v>
      </c>
      <c r="K7" t="s">
        <v>12256</v>
      </c>
      <c r="L7" t="s">
        <v>12248</v>
      </c>
      <c r="M7" t="s">
        <v>12248</v>
      </c>
      <c r="N7" t="s">
        <v>12273</v>
      </c>
      <c r="P7" s="49">
        <v>44349</v>
      </c>
      <c r="Q7" t="s">
        <v>12288</v>
      </c>
      <c r="R7" t="s">
        <v>12248</v>
      </c>
      <c r="S7" t="s">
        <v>12248</v>
      </c>
      <c r="T7" t="s">
        <v>12273</v>
      </c>
    </row>
    <row r="8" spans="1:20" x14ac:dyDescent="0.3">
      <c r="A8" s="49">
        <v>42881</v>
      </c>
      <c r="B8" t="s">
        <v>12269</v>
      </c>
      <c r="C8" t="s">
        <v>12225</v>
      </c>
      <c r="D8" t="s">
        <v>12225</v>
      </c>
      <c r="E8" t="s">
        <v>12274</v>
      </c>
      <c r="J8" s="49">
        <v>44756</v>
      </c>
      <c r="K8" t="s">
        <v>12256</v>
      </c>
      <c r="L8" t="s">
        <v>12248</v>
      </c>
      <c r="M8" t="s">
        <v>12248</v>
      </c>
      <c r="N8" t="s">
        <v>12270</v>
      </c>
      <c r="P8" s="49">
        <v>44175</v>
      </c>
      <c r="Q8" t="s">
        <v>12288</v>
      </c>
      <c r="R8" t="s">
        <v>12248</v>
      </c>
      <c r="S8" t="s">
        <v>12248</v>
      </c>
      <c r="T8" t="s">
        <v>12273</v>
      </c>
    </row>
    <row r="9" spans="1:20" x14ac:dyDescent="0.3">
      <c r="A9" s="49">
        <v>42809</v>
      </c>
      <c r="B9" t="s">
        <v>12269</v>
      </c>
      <c r="C9" t="s">
        <v>12225</v>
      </c>
      <c r="D9" t="s">
        <v>12225</v>
      </c>
      <c r="E9" t="s">
        <v>12270</v>
      </c>
      <c r="J9" s="49">
        <v>44544</v>
      </c>
      <c r="K9" t="s">
        <v>12256</v>
      </c>
      <c r="L9" t="s">
        <v>12248</v>
      </c>
      <c r="M9" t="s">
        <v>12248</v>
      </c>
      <c r="N9" t="s">
        <v>12282</v>
      </c>
      <c r="P9" s="49">
        <v>43927</v>
      </c>
      <c r="Q9" t="s">
        <v>12288</v>
      </c>
      <c r="R9" t="s">
        <v>12248</v>
      </c>
      <c r="S9" t="s">
        <v>12248</v>
      </c>
      <c r="T9" t="s">
        <v>12270</v>
      </c>
    </row>
    <row r="10" spans="1:20" x14ac:dyDescent="0.3">
      <c r="A10" s="49">
        <v>42424</v>
      </c>
      <c r="B10" t="s">
        <v>12269</v>
      </c>
      <c r="C10" t="s">
        <v>12225</v>
      </c>
      <c r="D10" t="s">
        <v>12225</v>
      </c>
      <c r="E10" t="s">
        <v>12275</v>
      </c>
      <c r="J10" s="49">
        <v>44343</v>
      </c>
      <c r="K10" t="s">
        <v>12256</v>
      </c>
      <c r="L10" t="s">
        <v>12248</v>
      </c>
      <c r="M10" t="s">
        <v>12248</v>
      </c>
      <c r="N10" t="s">
        <v>12282</v>
      </c>
      <c r="P10" s="49">
        <v>43810</v>
      </c>
      <c r="Q10" t="s">
        <v>12288</v>
      </c>
      <c r="R10" t="s">
        <v>12248</v>
      </c>
      <c r="S10" t="s">
        <v>12248</v>
      </c>
      <c r="T10" t="s">
        <v>12272</v>
      </c>
    </row>
    <row r="11" spans="1:20" x14ac:dyDescent="0.3">
      <c r="A11" s="49">
        <v>42227</v>
      </c>
      <c r="B11" t="s">
        <v>12269</v>
      </c>
      <c r="C11" t="s">
        <v>12223</v>
      </c>
      <c r="D11" t="s">
        <v>12222</v>
      </c>
      <c r="E11" t="s">
        <v>12276</v>
      </c>
      <c r="J11" s="49">
        <v>44153</v>
      </c>
      <c r="K11" t="s">
        <v>12256</v>
      </c>
      <c r="L11" t="s">
        <v>12248</v>
      </c>
      <c r="M11" t="s">
        <v>12248</v>
      </c>
      <c r="N11" t="s">
        <v>12282</v>
      </c>
      <c r="P11" s="49">
        <v>43503</v>
      </c>
      <c r="Q11" t="s">
        <v>12288</v>
      </c>
      <c r="R11" t="s">
        <v>12248</v>
      </c>
      <c r="S11" t="s">
        <v>12248</v>
      </c>
      <c r="T11" t="s">
        <v>12273</v>
      </c>
    </row>
    <row r="12" spans="1:20" x14ac:dyDescent="0.3">
      <c r="A12" s="49">
        <v>41891</v>
      </c>
      <c r="B12" t="s">
        <v>12269</v>
      </c>
      <c r="C12" t="s">
        <v>12222</v>
      </c>
      <c r="D12" t="s">
        <v>12222</v>
      </c>
      <c r="E12" t="s">
        <v>12274</v>
      </c>
      <c r="J12" s="49">
        <v>43956</v>
      </c>
      <c r="K12" t="s">
        <v>12256</v>
      </c>
      <c r="L12" t="s">
        <v>12248</v>
      </c>
      <c r="M12" t="s">
        <v>12248</v>
      </c>
      <c r="N12" t="s">
        <v>12274</v>
      </c>
      <c r="P12" s="49">
        <v>43321</v>
      </c>
      <c r="Q12" t="s">
        <v>12288</v>
      </c>
      <c r="R12" t="s">
        <v>12248</v>
      </c>
      <c r="S12" t="s">
        <v>12248</v>
      </c>
      <c r="T12" t="s">
        <v>12273</v>
      </c>
    </row>
    <row r="13" spans="1:20" x14ac:dyDescent="0.3">
      <c r="A13" s="49">
        <v>41549</v>
      </c>
      <c r="B13" t="s">
        <v>12269</v>
      </c>
      <c r="C13" t="s">
        <v>12222</v>
      </c>
      <c r="D13" t="s">
        <v>12222</v>
      </c>
      <c r="E13" t="s">
        <v>12270</v>
      </c>
      <c r="J13" s="49">
        <v>43783</v>
      </c>
      <c r="K13" t="s">
        <v>12256</v>
      </c>
      <c r="L13" t="s">
        <v>12248</v>
      </c>
      <c r="M13" t="s">
        <v>12248</v>
      </c>
      <c r="N13" t="s">
        <v>12273</v>
      </c>
      <c r="P13" s="49">
        <v>43111</v>
      </c>
      <c r="Q13" t="s">
        <v>12288</v>
      </c>
      <c r="R13" t="s">
        <v>12248</v>
      </c>
      <c r="S13" t="s">
        <v>12248</v>
      </c>
      <c r="T13" t="s">
        <v>12276</v>
      </c>
    </row>
    <row r="14" spans="1:20" x14ac:dyDescent="0.3">
      <c r="A14" s="49">
        <v>40714</v>
      </c>
      <c r="B14" t="s">
        <v>12269</v>
      </c>
      <c r="C14" t="s">
        <v>12222</v>
      </c>
      <c r="D14" t="s">
        <v>12222</v>
      </c>
      <c r="E14" t="s">
        <v>12271</v>
      </c>
      <c r="J14" s="49">
        <v>43606</v>
      </c>
      <c r="K14" t="s">
        <v>12256</v>
      </c>
      <c r="L14" t="s">
        <v>12248</v>
      </c>
      <c r="M14" t="s">
        <v>12248</v>
      </c>
      <c r="N14" t="s">
        <v>12273</v>
      </c>
      <c r="P14" s="49">
        <v>42877</v>
      </c>
      <c r="Q14" t="s">
        <v>12288</v>
      </c>
      <c r="R14" t="s">
        <v>12247</v>
      </c>
      <c r="S14" t="s">
        <v>12247</v>
      </c>
      <c r="T14" t="s">
        <v>12282</v>
      </c>
    </row>
    <row r="15" spans="1:20" x14ac:dyDescent="0.3">
      <c r="A15" s="49">
        <v>40078</v>
      </c>
      <c r="B15" t="s">
        <v>12269</v>
      </c>
      <c r="C15" t="s">
        <v>12223</v>
      </c>
      <c r="D15" t="s">
        <v>12223</v>
      </c>
      <c r="E15" t="s">
        <v>12271</v>
      </c>
      <c r="J15" s="49">
        <v>43313</v>
      </c>
      <c r="K15" t="s">
        <v>12256</v>
      </c>
      <c r="L15" t="s">
        <v>12248</v>
      </c>
      <c r="M15" t="s">
        <v>12248</v>
      </c>
      <c r="N15" t="s">
        <v>12270</v>
      </c>
      <c r="P15" s="49">
        <v>42775</v>
      </c>
      <c r="Q15" t="s">
        <v>12288</v>
      </c>
      <c r="R15" t="s">
        <v>12247</v>
      </c>
      <c r="S15" t="s">
        <v>12247</v>
      </c>
      <c r="T15" t="s">
        <v>12282</v>
      </c>
    </row>
    <row r="16" spans="1:20" x14ac:dyDescent="0.3">
      <c r="A16" s="49">
        <v>40000</v>
      </c>
      <c r="B16" t="s">
        <v>12269</v>
      </c>
      <c r="C16" t="s">
        <v>12224</v>
      </c>
      <c r="D16" t="s">
        <v>12224</v>
      </c>
      <c r="E16" t="s">
        <v>12272</v>
      </c>
      <c r="J16" s="49">
        <v>43154</v>
      </c>
      <c r="K16" t="s">
        <v>12256</v>
      </c>
      <c r="L16" t="s">
        <v>12248</v>
      </c>
      <c r="M16" t="s">
        <v>12248</v>
      </c>
      <c r="N16" t="s">
        <v>12276</v>
      </c>
      <c r="P16" s="49">
        <v>42417</v>
      </c>
      <c r="Q16" t="s">
        <v>12288</v>
      </c>
      <c r="R16" t="s">
        <v>12247</v>
      </c>
      <c r="S16" t="s">
        <v>12247</v>
      </c>
      <c r="T16" t="s">
        <v>12283</v>
      </c>
    </row>
    <row r="17" spans="1:20" x14ac:dyDescent="0.3">
      <c r="A17" s="49">
        <v>39295</v>
      </c>
      <c r="B17" t="s">
        <v>12269</v>
      </c>
      <c r="C17" t="s">
        <v>12224</v>
      </c>
      <c r="D17" t="s">
        <v>12224</v>
      </c>
      <c r="E17" t="s">
        <v>12277</v>
      </c>
      <c r="J17" s="49">
        <v>43049</v>
      </c>
      <c r="K17" t="s">
        <v>12256</v>
      </c>
      <c r="L17" t="s">
        <v>12247</v>
      </c>
      <c r="M17" t="s">
        <v>12247</v>
      </c>
      <c r="N17" t="s">
        <v>12282</v>
      </c>
      <c r="P17" s="49">
        <v>42256</v>
      </c>
      <c r="Q17" t="s">
        <v>12288</v>
      </c>
      <c r="R17" t="s">
        <v>12246</v>
      </c>
      <c r="S17" t="s">
        <v>12245</v>
      </c>
      <c r="T17" t="s">
        <v>12283</v>
      </c>
    </row>
    <row r="18" spans="1:20" x14ac:dyDescent="0.3">
      <c r="A18" s="49">
        <v>39226</v>
      </c>
      <c r="B18" t="s">
        <v>12269</v>
      </c>
      <c r="C18" t="s">
        <v>12225</v>
      </c>
      <c r="D18" t="s">
        <v>12225</v>
      </c>
      <c r="E18" t="s">
        <v>12273</v>
      </c>
      <c r="J18" s="49">
        <v>42873</v>
      </c>
      <c r="K18" t="s">
        <v>12256</v>
      </c>
      <c r="L18" t="s">
        <v>12247</v>
      </c>
      <c r="M18" t="s">
        <v>12247</v>
      </c>
      <c r="N18" t="s">
        <v>12282</v>
      </c>
      <c r="P18" s="49">
        <v>42213</v>
      </c>
      <c r="Q18" t="s">
        <v>12288</v>
      </c>
      <c r="R18" t="s">
        <v>12245</v>
      </c>
      <c r="S18" t="s">
        <v>12243</v>
      </c>
      <c r="T18" t="s">
        <v>12274</v>
      </c>
    </row>
    <row r="19" spans="1:20" x14ac:dyDescent="0.3">
      <c r="A19" s="49">
        <v>38960</v>
      </c>
      <c r="B19" t="s">
        <v>12269</v>
      </c>
      <c r="C19" t="s">
        <v>12225</v>
      </c>
      <c r="D19" t="s">
        <v>12225</v>
      </c>
      <c r="E19" t="s">
        <v>12277</v>
      </c>
      <c r="J19" s="49">
        <v>42684</v>
      </c>
      <c r="K19" t="s">
        <v>12256</v>
      </c>
      <c r="L19" t="s">
        <v>12247</v>
      </c>
      <c r="M19" t="s">
        <v>12247</v>
      </c>
      <c r="N19" t="s">
        <v>12282</v>
      </c>
      <c r="P19" s="49">
        <v>41722</v>
      </c>
      <c r="Q19" t="s">
        <v>12288</v>
      </c>
      <c r="R19" t="s">
        <v>12245</v>
      </c>
      <c r="S19" t="s">
        <v>12243</v>
      </c>
      <c r="T19" t="s">
        <v>12276</v>
      </c>
    </row>
    <row r="20" spans="1:20" x14ac:dyDescent="0.3">
      <c r="A20" s="49">
        <v>38930</v>
      </c>
      <c r="B20" t="s">
        <v>12269</v>
      </c>
      <c r="C20" t="s">
        <v>12226</v>
      </c>
      <c r="D20" t="s">
        <v>12226</v>
      </c>
      <c r="E20" t="s">
        <v>12270</v>
      </c>
      <c r="J20" s="49">
        <v>42495</v>
      </c>
      <c r="K20" t="s">
        <v>12256</v>
      </c>
      <c r="L20" t="s">
        <v>12247</v>
      </c>
      <c r="M20" t="s">
        <v>12247</v>
      </c>
      <c r="N20" t="s">
        <v>12283</v>
      </c>
      <c r="P20" s="49">
        <v>41431</v>
      </c>
      <c r="Q20" t="s">
        <v>12288</v>
      </c>
      <c r="R20" t="s">
        <v>12244</v>
      </c>
      <c r="S20" t="s">
        <v>12242</v>
      </c>
      <c r="T20" t="s">
        <v>12274</v>
      </c>
    </row>
    <row r="21" spans="1:20" x14ac:dyDescent="0.3">
      <c r="A21" s="49">
        <v>38636</v>
      </c>
      <c r="B21" t="s">
        <v>12269</v>
      </c>
      <c r="C21" t="s">
        <v>12226</v>
      </c>
      <c r="D21" t="s">
        <v>12226</v>
      </c>
      <c r="E21" t="s">
        <v>12272</v>
      </c>
      <c r="J21" s="49">
        <v>42354</v>
      </c>
      <c r="K21" t="s">
        <v>12256</v>
      </c>
      <c r="L21" t="s">
        <v>12246</v>
      </c>
      <c r="M21" t="s">
        <v>12246</v>
      </c>
      <c r="N21" t="s">
        <v>12283</v>
      </c>
      <c r="P21" s="49">
        <v>41261</v>
      </c>
      <c r="Q21" t="s">
        <v>12288</v>
      </c>
      <c r="R21" t="s">
        <v>12244</v>
      </c>
      <c r="S21" t="s">
        <v>12242</v>
      </c>
      <c r="T21" t="s">
        <v>12273</v>
      </c>
    </row>
    <row r="22" spans="1:20" x14ac:dyDescent="0.3">
      <c r="A22" s="49">
        <v>38364</v>
      </c>
      <c r="B22" t="s">
        <v>12269</v>
      </c>
      <c r="C22" t="s">
        <v>12227</v>
      </c>
      <c r="D22" t="s">
        <v>12226</v>
      </c>
      <c r="E22" t="s">
        <v>12272</v>
      </c>
      <c r="J22" s="49">
        <v>42292</v>
      </c>
      <c r="K22" t="s">
        <v>12256</v>
      </c>
      <c r="L22" t="s">
        <v>12245</v>
      </c>
      <c r="M22" t="s">
        <v>12245</v>
      </c>
      <c r="N22" t="s">
        <v>12283</v>
      </c>
      <c r="P22" s="49">
        <v>40864</v>
      </c>
      <c r="Q22" t="s">
        <v>12288</v>
      </c>
      <c r="R22" t="s">
        <v>12244</v>
      </c>
      <c r="S22" t="s">
        <v>12242</v>
      </c>
      <c r="T22" t="s">
        <v>12284</v>
      </c>
    </row>
    <row r="23" spans="1:20" x14ac:dyDescent="0.3">
      <c r="A23" s="49">
        <v>38239</v>
      </c>
      <c r="B23" t="s">
        <v>12269</v>
      </c>
      <c r="C23" t="s">
        <v>12227</v>
      </c>
      <c r="D23" t="s">
        <v>12226</v>
      </c>
      <c r="E23" t="s">
        <v>12277</v>
      </c>
      <c r="J23" s="49">
        <v>42103</v>
      </c>
      <c r="K23" t="s">
        <v>12256</v>
      </c>
      <c r="L23" t="s">
        <v>12244</v>
      </c>
      <c r="M23" t="s">
        <v>12244</v>
      </c>
      <c r="N23" t="s">
        <v>12274</v>
      </c>
      <c r="P23" s="49">
        <v>40780</v>
      </c>
      <c r="Q23" t="s">
        <v>12288</v>
      </c>
      <c r="R23" t="s">
        <v>12245</v>
      </c>
      <c r="S23" t="s">
        <v>12243</v>
      </c>
      <c r="T23" t="s">
        <v>12272</v>
      </c>
    </row>
    <row r="24" spans="1:20" x14ac:dyDescent="0.3">
      <c r="A24" s="49">
        <v>37489</v>
      </c>
      <c r="B24" t="s">
        <v>12269</v>
      </c>
      <c r="C24" t="s">
        <v>12228</v>
      </c>
      <c r="D24" t="s">
        <v>12228</v>
      </c>
      <c r="E24" t="s">
        <v>12276</v>
      </c>
      <c r="J24" s="49">
        <v>40637</v>
      </c>
      <c r="K24" t="s">
        <v>12256</v>
      </c>
      <c r="L24" t="s">
        <v>12244</v>
      </c>
      <c r="M24" t="s">
        <v>12244</v>
      </c>
      <c r="N24" t="s">
        <v>12284</v>
      </c>
      <c r="P24" s="49">
        <v>39568</v>
      </c>
      <c r="Q24" t="s">
        <v>12288</v>
      </c>
      <c r="R24" t="s">
        <v>12245</v>
      </c>
      <c r="S24" t="s">
        <v>12243</v>
      </c>
      <c r="T24" t="s">
        <v>12284</v>
      </c>
    </row>
    <row r="25" spans="1:20" x14ac:dyDescent="0.3">
      <c r="A25" s="49">
        <v>37427</v>
      </c>
      <c r="B25" t="s">
        <v>12269</v>
      </c>
      <c r="C25" t="s">
        <v>12227</v>
      </c>
      <c r="D25" t="s">
        <v>12227</v>
      </c>
      <c r="E25" t="s">
        <v>12274</v>
      </c>
      <c r="J25" s="49">
        <v>40359</v>
      </c>
      <c r="K25" t="s">
        <v>12256</v>
      </c>
      <c r="L25" t="s">
        <v>12245</v>
      </c>
      <c r="M25" t="s">
        <v>12245</v>
      </c>
      <c r="N25" t="s">
        <v>12272</v>
      </c>
      <c r="P25" s="49">
        <v>39218</v>
      </c>
      <c r="Q25" t="s">
        <v>12288</v>
      </c>
      <c r="R25" t="s">
        <v>12246</v>
      </c>
      <c r="S25" t="s">
        <v>12244</v>
      </c>
      <c r="T25" t="s">
        <v>12271</v>
      </c>
    </row>
    <row r="26" spans="1:20" x14ac:dyDescent="0.3">
      <c r="A26" s="49">
        <v>37411</v>
      </c>
      <c r="B26" t="s">
        <v>12269</v>
      </c>
      <c r="C26" t="s">
        <v>12227</v>
      </c>
      <c r="D26" t="s">
        <v>12227</v>
      </c>
      <c r="E26" t="s">
        <v>12270</v>
      </c>
      <c r="J26" s="49">
        <v>39596</v>
      </c>
      <c r="K26" t="s">
        <v>12256</v>
      </c>
      <c r="L26" t="s">
        <v>12245</v>
      </c>
      <c r="M26" t="s">
        <v>12245</v>
      </c>
      <c r="N26" t="s">
        <v>12277</v>
      </c>
      <c r="P26" s="49">
        <v>39043</v>
      </c>
      <c r="Q26" t="s">
        <v>12288</v>
      </c>
      <c r="R26" t="s">
        <v>12247</v>
      </c>
      <c r="S26" t="s">
        <v>12246</v>
      </c>
      <c r="T26" t="s">
        <v>12272</v>
      </c>
    </row>
    <row r="27" spans="1:20" x14ac:dyDescent="0.3">
      <c r="A27" s="49">
        <v>37314</v>
      </c>
      <c r="B27" t="s">
        <v>12269</v>
      </c>
      <c r="C27" t="s">
        <v>12227</v>
      </c>
      <c r="D27" t="s">
        <v>12227</v>
      </c>
      <c r="E27" t="s">
        <v>12278</v>
      </c>
      <c r="J27" s="49">
        <v>39212</v>
      </c>
      <c r="K27" t="s">
        <v>12256</v>
      </c>
      <c r="L27" t="s">
        <v>12246</v>
      </c>
      <c r="M27" t="s">
        <v>12246</v>
      </c>
      <c r="N27" t="s">
        <v>12284</v>
      </c>
      <c r="P27" s="49">
        <v>38776</v>
      </c>
      <c r="Q27" t="s">
        <v>12288</v>
      </c>
      <c r="R27" t="s">
        <v>12247</v>
      </c>
      <c r="S27" t="s">
        <v>12246</v>
      </c>
      <c r="T27" t="s">
        <v>12284</v>
      </c>
    </row>
    <row r="28" spans="1:20" x14ac:dyDescent="0.3">
      <c r="A28" s="49">
        <v>36815</v>
      </c>
      <c r="B28" t="s">
        <v>12269</v>
      </c>
      <c r="C28" t="s">
        <v>12227</v>
      </c>
      <c r="D28" t="s">
        <v>12227</v>
      </c>
      <c r="E28" t="s">
        <v>12279</v>
      </c>
      <c r="J28" s="49">
        <v>39117</v>
      </c>
      <c r="K28" t="s">
        <v>12256</v>
      </c>
      <c r="L28" t="s">
        <v>12247</v>
      </c>
      <c r="M28" t="s">
        <v>12247</v>
      </c>
      <c r="N28" t="s">
        <v>12272</v>
      </c>
      <c r="P28" s="49">
        <v>38664</v>
      </c>
      <c r="Q28" t="s">
        <v>12288</v>
      </c>
      <c r="R28" t="s">
        <v>12248</v>
      </c>
      <c r="S28" t="s">
        <v>12247</v>
      </c>
      <c r="T28" t="s">
        <v>12272</v>
      </c>
    </row>
    <row r="29" spans="1:20" x14ac:dyDescent="0.3">
      <c r="A29" s="49">
        <v>36041</v>
      </c>
      <c r="B29" t="s">
        <v>12269</v>
      </c>
      <c r="C29" t="s">
        <v>12228</v>
      </c>
      <c r="D29" t="s">
        <v>12230</v>
      </c>
      <c r="E29" t="s">
        <v>12280</v>
      </c>
      <c r="J29" s="49">
        <v>38896</v>
      </c>
      <c r="K29" t="s">
        <v>12256</v>
      </c>
      <c r="L29" t="s">
        <v>12247</v>
      </c>
      <c r="M29" t="s">
        <v>12247</v>
      </c>
      <c r="N29" t="s">
        <v>12284</v>
      </c>
      <c r="P29" s="49">
        <v>37740</v>
      </c>
      <c r="Q29" t="s">
        <v>12288</v>
      </c>
      <c r="R29" t="s">
        <v>12249</v>
      </c>
      <c r="S29" t="s">
        <v>12247</v>
      </c>
      <c r="T29" t="s">
        <v>12270</v>
      </c>
    </row>
    <row r="30" spans="1:20" x14ac:dyDescent="0.3">
      <c r="A30" s="49">
        <v>35496</v>
      </c>
      <c r="B30" t="s">
        <v>12269</v>
      </c>
      <c r="C30" t="s">
        <v>12227</v>
      </c>
      <c r="D30" t="s">
        <v>20</v>
      </c>
      <c r="E30" t="s">
        <v>12273</v>
      </c>
      <c r="J30" s="49">
        <v>38258</v>
      </c>
      <c r="K30" t="s">
        <v>12256</v>
      </c>
      <c r="L30" t="s">
        <v>12248</v>
      </c>
      <c r="M30" t="s">
        <v>12248</v>
      </c>
      <c r="N30" t="s">
        <v>12277</v>
      </c>
      <c r="P30" s="49">
        <v>37439</v>
      </c>
      <c r="Q30" t="s">
        <v>12288</v>
      </c>
      <c r="R30" t="s">
        <v>12249</v>
      </c>
      <c r="S30" t="s">
        <v>12247</v>
      </c>
      <c r="T30" t="s">
        <v>12283</v>
      </c>
    </row>
    <row r="31" spans="1:20" x14ac:dyDescent="0.3">
      <c r="A31" s="49">
        <v>34668</v>
      </c>
      <c r="B31" t="s">
        <v>12269</v>
      </c>
      <c r="C31" t="s">
        <v>12227</v>
      </c>
      <c r="D31" t="s">
        <v>20</v>
      </c>
      <c r="E31" t="s">
        <v>12277</v>
      </c>
      <c r="J31" s="49">
        <v>37931</v>
      </c>
      <c r="K31" t="s">
        <v>12256</v>
      </c>
      <c r="L31" t="s">
        <v>12249</v>
      </c>
      <c r="M31" t="s">
        <v>12249</v>
      </c>
      <c r="N31" t="s">
        <v>12284</v>
      </c>
      <c r="P31" s="49">
        <v>37112</v>
      </c>
      <c r="Q31" t="s">
        <v>12288</v>
      </c>
      <c r="R31" t="s">
        <v>12248</v>
      </c>
      <c r="S31" t="s">
        <v>12246</v>
      </c>
      <c r="T31" t="s">
        <v>12274</v>
      </c>
    </row>
    <row r="32" spans="1:20" x14ac:dyDescent="0.3">
      <c r="A32" s="49">
        <v>34612</v>
      </c>
      <c r="B32" t="s">
        <v>12269</v>
      </c>
      <c r="C32" t="s">
        <v>12228</v>
      </c>
      <c r="D32" t="s">
        <v>20</v>
      </c>
      <c r="E32" t="s">
        <v>12278</v>
      </c>
      <c r="J32" s="49">
        <v>37775</v>
      </c>
      <c r="K32" t="s">
        <v>12256</v>
      </c>
      <c r="L32" t="s">
        <v>12250</v>
      </c>
      <c r="M32" t="s">
        <v>12250</v>
      </c>
      <c r="N32" t="s">
        <v>12272</v>
      </c>
      <c r="P32" s="49">
        <v>36894</v>
      </c>
      <c r="Q32" t="s">
        <v>12288</v>
      </c>
      <c r="R32" t="s">
        <v>12248</v>
      </c>
      <c r="S32" t="s">
        <v>12246</v>
      </c>
      <c r="T32" t="s">
        <v>12284</v>
      </c>
    </row>
    <row r="33" spans="1:20" x14ac:dyDescent="0.3">
      <c r="A33" s="49">
        <v>32598</v>
      </c>
      <c r="B33" t="s">
        <v>12269</v>
      </c>
      <c r="C33" t="s">
        <v>12228</v>
      </c>
      <c r="D33" t="s">
        <v>20</v>
      </c>
      <c r="E33" t="s">
        <v>12276</v>
      </c>
      <c r="J33" s="49">
        <v>37550</v>
      </c>
      <c r="K33" t="s">
        <v>12256</v>
      </c>
      <c r="L33" t="s">
        <v>12250</v>
      </c>
      <c r="M33" t="s">
        <v>12250</v>
      </c>
      <c r="N33" t="s">
        <v>12283</v>
      </c>
      <c r="P33" s="49">
        <v>36585</v>
      </c>
      <c r="Q33" t="s">
        <v>12288</v>
      </c>
      <c r="R33" t="s">
        <v>12249</v>
      </c>
      <c r="S33" t="s">
        <v>12247</v>
      </c>
      <c r="T33" t="s">
        <v>12272</v>
      </c>
    </row>
    <row r="34" spans="1:20" x14ac:dyDescent="0.3">
      <c r="A34" s="49">
        <v>31734</v>
      </c>
      <c r="B34" t="s">
        <v>12269</v>
      </c>
      <c r="C34" t="s">
        <v>12224</v>
      </c>
      <c r="D34" t="s">
        <v>20</v>
      </c>
      <c r="E34" t="s">
        <v>12281</v>
      </c>
      <c r="J34" s="49">
        <v>37469</v>
      </c>
      <c r="K34" t="s">
        <v>12256</v>
      </c>
      <c r="L34" t="s">
        <v>12250</v>
      </c>
      <c r="M34" t="s">
        <v>12250</v>
      </c>
      <c r="N34" t="s">
        <v>12282</v>
      </c>
      <c r="P34" s="49">
        <v>36474</v>
      </c>
      <c r="Q34" t="s">
        <v>12288</v>
      </c>
      <c r="R34" t="s">
        <v>12249</v>
      </c>
      <c r="S34" t="s">
        <v>12248</v>
      </c>
      <c r="T34" t="s">
        <v>12270</v>
      </c>
    </row>
    <row r="35" spans="1:20" x14ac:dyDescent="0.3">
      <c r="J35" s="49">
        <v>37427</v>
      </c>
      <c r="K35" t="s">
        <v>12256</v>
      </c>
      <c r="L35" t="s">
        <v>12249</v>
      </c>
      <c r="M35" t="s">
        <v>20</v>
      </c>
      <c r="N35" t="s">
        <v>12283</v>
      </c>
      <c r="P35" s="49">
        <v>36174</v>
      </c>
      <c r="Q35" t="s">
        <v>12288</v>
      </c>
      <c r="R35" t="s">
        <v>12249</v>
      </c>
      <c r="S35" t="s">
        <v>12248</v>
      </c>
      <c r="T35" t="s">
        <v>12283</v>
      </c>
    </row>
    <row r="36" spans="1:20" x14ac:dyDescent="0.3">
      <c r="J36" s="49">
        <v>37411</v>
      </c>
      <c r="K36" t="s">
        <v>12256</v>
      </c>
      <c r="L36" t="s">
        <v>20</v>
      </c>
      <c r="M36" t="s">
        <v>12249</v>
      </c>
      <c r="N36" t="s">
        <v>12270</v>
      </c>
      <c r="P36" s="49">
        <v>36048</v>
      </c>
      <c r="Q36" t="s">
        <v>12288</v>
      </c>
      <c r="R36" t="s">
        <v>12248</v>
      </c>
      <c r="S36" t="s">
        <v>12246</v>
      </c>
      <c r="T36" t="s">
        <v>12274</v>
      </c>
    </row>
    <row r="37" spans="1:20" x14ac:dyDescent="0.3">
      <c r="J37" s="49">
        <v>37089</v>
      </c>
      <c r="K37" t="s">
        <v>12256</v>
      </c>
      <c r="L37" t="s">
        <v>12248</v>
      </c>
      <c r="M37" t="s">
        <v>12249</v>
      </c>
      <c r="N37" t="s">
        <v>12274</v>
      </c>
      <c r="P37" s="49">
        <v>35522</v>
      </c>
      <c r="Q37" t="s">
        <v>12288</v>
      </c>
      <c r="R37" t="s">
        <v>12248</v>
      </c>
      <c r="S37" t="s">
        <v>12246</v>
      </c>
      <c r="T37" t="s">
        <v>12284</v>
      </c>
    </row>
    <row r="38" spans="1:20" x14ac:dyDescent="0.3">
      <c r="J38" s="49">
        <v>36790</v>
      </c>
      <c r="K38" t="s">
        <v>12256</v>
      </c>
      <c r="L38" t="s">
        <v>12248</v>
      </c>
      <c r="M38" t="s">
        <v>12249</v>
      </c>
      <c r="N38" t="s">
        <v>12270</v>
      </c>
      <c r="P38" s="49">
        <v>35235</v>
      </c>
      <c r="Q38" t="s">
        <v>12288</v>
      </c>
      <c r="R38" t="s">
        <v>12249</v>
      </c>
      <c r="S38" t="s">
        <v>12247</v>
      </c>
      <c r="T38" t="s">
        <v>12289</v>
      </c>
    </row>
    <row r="39" spans="1:20" x14ac:dyDescent="0.3">
      <c r="J39" s="49">
        <v>36665</v>
      </c>
      <c r="K39" t="s">
        <v>12256</v>
      </c>
      <c r="L39" t="s">
        <v>12248</v>
      </c>
      <c r="M39" t="s">
        <v>20</v>
      </c>
      <c r="N39" t="s">
        <v>12285</v>
      </c>
    </row>
    <row r="40" spans="1:20" x14ac:dyDescent="0.3">
      <c r="J40" s="49">
        <v>36578</v>
      </c>
      <c r="K40" t="s">
        <v>12256</v>
      </c>
      <c r="L40" t="s">
        <v>12249</v>
      </c>
      <c r="M40" t="s">
        <v>12249</v>
      </c>
      <c r="N40" t="s">
        <v>12285</v>
      </c>
    </row>
    <row r="41" spans="1:20" x14ac:dyDescent="0.3">
      <c r="J41" s="49">
        <v>36186</v>
      </c>
      <c r="K41" t="s">
        <v>12256</v>
      </c>
      <c r="L41" t="s">
        <v>12250</v>
      </c>
      <c r="M41" t="s">
        <v>12250</v>
      </c>
      <c r="N41" t="s">
        <v>12286</v>
      </c>
    </row>
    <row r="42" spans="1:20" x14ac:dyDescent="0.3">
      <c r="J42" s="49">
        <v>35767</v>
      </c>
      <c r="K42" t="s">
        <v>12256</v>
      </c>
      <c r="L42" t="s">
        <v>12249</v>
      </c>
      <c r="M42" t="s">
        <v>20</v>
      </c>
      <c r="N42" t="s">
        <v>12287</v>
      </c>
    </row>
    <row r="43" spans="1:20" x14ac:dyDescent="0.3">
      <c r="J43" s="49">
        <v>34998</v>
      </c>
      <c r="K43" t="s">
        <v>12256</v>
      </c>
      <c r="L43" t="s">
        <v>12249</v>
      </c>
      <c r="M43" t="s">
        <v>20</v>
      </c>
      <c r="N43" t="s">
        <v>12287</v>
      </c>
    </row>
    <row r="44" spans="1:20" x14ac:dyDescent="0.3">
      <c r="J44" s="49">
        <v>34669</v>
      </c>
      <c r="K44" t="s">
        <v>12256</v>
      </c>
      <c r="L44" t="s">
        <v>12249</v>
      </c>
      <c r="M44" t="s">
        <v>20</v>
      </c>
      <c r="N44" t="s">
        <v>12281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3737-678C-479C-895E-5907BF551142}">
  <dimension ref="A1:AS480"/>
  <sheetViews>
    <sheetView workbookViewId="0">
      <pane ySplit="1" topLeftCell="A445" activePane="bottomLeft" state="frozen"/>
      <selection pane="bottomLeft" activeCell="D36" sqref="D36"/>
    </sheetView>
  </sheetViews>
  <sheetFormatPr defaultRowHeight="14.4" x14ac:dyDescent="0.3"/>
  <cols>
    <col min="1" max="45" width="11.44140625" customWidth="1"/>
  </cols>
  <sheetData>
    <row r="1" spans="1:45" ht="30" customHeight="1" x14ac:dyDescent="0.3">
      <c r="A1" s="51" t="s">
        <v>12290</v>
      </c>
      <c r="B1" s="51" t="s">
        <v>12291</v>
      </c>
      <c r="C1" s="51" t="s">
        <v>12292</v>
      </c>
      <c r="D1" s="51" t="s">
        <v>12293</v>
      </c>
      <c r="E1" s="51" t="s">
        <v>12294</v>
      </c>
      <c r="F1" s="51" t="s">
        <v>12295</v>
      </c>
      <c r="G1" s="51" t="s">
        <v>12296</v>
      </c>
      <c r="H1" s="51" t="s">
        <v>12297</v>
      </c>
      <c r="I1" s="51" t="s">
        <v>12298</v>
      </c>
      <c r="J1" s="51" t="s">
        <v>12299</v>
      </c>
      <c r="L1" s="51" t="s">
        <v>12300</v>
      </c>
      <c r="M1" s="51" t="s">
        <v>12301</v>
      </c>
      <c r="N1" s="51" t="s">
        <v>12302</v>
      </c>
      <c r="O1" s="51" t="s">
        <v>12303</v>
      </c>
      <c r="P1" s="51" t="s">
        <v>12304</v>
      </c>
      <c r="Q1" s="51" t="s">
        <v>12305</v>
      </c>
      <c r="S1" s="51" t="s">
        <v>12306</v>
      </c>
      <c r="T1" s="51" t="s">
        <v>12300</v>
      </c>
      <c r="U1" s="51" t="s">
        <v>12307</v>
      </c>
      <c r="V1" s="51" t="s">
        <v>12308</v>
      </c>
      <c r="W1" s="51" t="s">
        <v>12309</v>
      </c>
      <c r="X1" s="51" t="s">
        <v>12310</v>
      </c>
      <c r="Z1" s="51" t="s">
        <v>12311</v>
      </c>
      <c r="AA1" s="51" t="s">
        <v>12302</v>
      </c>
      <c r="AB1" s="51" t="s">
        <v>12312</v>
      </c>
      <c r="AC1" s="51" t="s">
        <v>12308</v>
      </c>
      <c r="AD1" s="51" t="s">
        <v>12309</v>
      </c>
      <c r="AE1" s="51" t="s">
        <v>12310</v>
      </c>
      <c r="AG1" s="51" t="s">
        <v>12313</v>
      </c>
      <c r="AH1" s="51" t="s">
        <v>12304</v>
      </c>
      <c r="AI1" s="51" t="s">
        <v>12314</v>
      </c>
      <c r="AJ1" s="51" t="s">
        <v>12308</v>
      </c>
      <c r="AK1" s="51" t="s">
        <v>12309</v>
      </c>
      <c r="AL1" s="51" t="s">
        <v>12310</v>
      </c>
      <c r="AN1" s="51" t="s">
        <v>12315</v>
      </c>
      <c r="AO1" s="51" t="s">
        <v>12316</v>
      </c>
      <c r="AP1" s="51" t="s">
        <v>12317</v>
      </c>
      <c r="AQ1" s="51" t="s">
        <v>12318</v>
      </c>
      <c r="AR1" s="51" t="s">
        <v>12319</v>
      </c>
      <c r="AS1" s="51" t="s">
        <v>12320</v>
      </c>
    </row>
    <row r="2" spans="1:45" x14ac:dyDescent="0.3">
      <c r="A2" s="53">
        <f>EOMONTH(MIN(Planilha2!$A$2:$A$34,Planilha2!$J$2:$J$44,Planilha2!$P$2:$P$38),0)</f>
        <v>31746</v>
      </c>
      <c r="B2" t="str">
        <f>IFERROR(_xlfn.XLOOKUP($A2,Planilha2!$A$2:$A$34,Planilha2!C$2:C$34,"",-1),"")</f>
        <v>Ba1</v>
      </c>
      <c r="C2" t="str">
        <f>IFERROR(_xlfn.XLOOKUP($A2,Planilha2!$A$2:$A$34,Planilha2!D$2:D$34,"",-1),"")</f>
        <v>-</v>
      </c>
      <c r="D2" t="str" cm="1">
        <f t="array" ref="D2">IF($A2&lt;MIN(Planilha2!$A$2:$A$34),"",_xlfn.LET(_xlpm.t,_xlfn.XLOOKUP($A2,Planilha2!$A$2:$A$34,Planilha2!$E$2:$E$34,"",-1),_xlfn.IFS(ISNUMBER(SEARCH("positiva",_xlpm.t)),"Positiva",ISNUMBER(SEARCH("negativa",_xlpm.t)),"Negativa",ISNUMBER(SEARCH("estável",_xlpm.t)),"Estável",TRUE,"n/d")))</f>
        <v>n/d</v>
      </c>
      <c r="E2" t="str">
        <f>IFERROR(_xlfn.XLOOKUP($A2,Planilha2!$J$2:$J$44,Planilha2!L$2:L$44,"",-1),"")</f>
        <v/>
      </c>
      <c r="F2" t="str">
        <f>IFERROR(_xlfn.XLOOKUP($A2,Planilha2!$J$2:$J$44,Planilha2!M$2:M$44,"",-1),"")</f>
        <v/>
      </c>
      <c r="G2" t="str" cm="1">
        <f t="array" ref="G2">IF($A2&lt;MIN(Planilha2!$J$2:$J$44),"",_xlfn.LET(_xlpm.t,_xlfn.XLOOKUP($A2,Planilha2!$J$2:$J$44,Planilha2!$N$2:$N$44,"",-1),_xlfn.IFS(ISNUMBER(SEARCH("positiva",_xlpm.t)),"Positiva",ISNUMBER(SEARCH("negativa",_xlpm.t)),"Negativa",ISNUMBER(SEARCH("estável",_xlpm.t)),"Estável",TRUE,"n/d")))</f>
        <v/>
      </c>
      <c r="H2" t="str">
        <f>IFERROR(_xlfn.XLOOKUP($A2,Planilha2!$P$2:$P$38,Planilha2!R$2:R$38,"",-1),"")</f>
        <v/>
      </c>
      <c r="I2" t="str">
        <f>IFERROR(_xlfn.XLOOKUP($A2,Planilha2!$P$2:$P$38,Planilha2!S$2:S$38,"",-1),"")</f>
        <v/>
      </c>
      <c r="J2" t="str" cm="1">
        <f t="array" ref="J2">IF($A2&lt;MIN(Planilha2!$P$2:$P$38),"",_xlfn.LET(_xlpm.t,_xlfn.XLOOKUP($A2,Planilha2!$P$2:$P$38,Planilha2!$T$2:$T$38,"",-1),_xlfn.IFS(ISNUMBER(SEARCH("positiva",_xlpm.t)),"Positiva",ISNUMBER(SEARCH("negativa",_xlpm.t)),"Negativa",ISNUMBER(SEARCH("estável",_xlpm.t)),"Estável",TRUE,"n/d")))</f>
        <v/>
      </c>
      <c r="L2" s="52">
        <f>IFERROR(_xlfn.XLOOKUP(B2,'Agências de Rating Soberano'!$G$2:$G$22,'Agências de Rating Soberano'!$H$2:$H$22),NA())</f>
        <v>11</v>
      </c>
      <c r="M2" s="52" t="e">
        <f>IFERROR(_xlfn.XLOOKUP(C2,'Agências de Rating Soberano'!$G$2:$G$22,'Agências de Rating Soberano'!$H$2:$H$22),NA())</f>
        <v>#N/A</v>
      </c>
      <c r="N2" s="52" t="e">
        <f>IFERROR(_xlfn.XLOOKUP(E2,'Agências de Rating Soberano'!$J$2:$J$22,'Agências de Rating Soberano'!$K$2:$K$22),NA())</f>
        <v>#N/A</v>
      </c>
      <c r="O2" s="52" t="e">
        <f>IFERROR(_xlfn.XLOOKUP(F2,'Agências de Rating Soberano'!$J$2:$J$22,'Agências de Rating Soberano'!$K$2:$K$22),NA())</f>
        <v>#N/A</v>
      </c>
      <c r="P2" s="52" t="e">
        <f>IFERROR(_xlfn.XLOOKUP(H2,'Agências de Rating Soberano'!$J$2:$J$22,'Agências de Rating Soberano'!$K$2:$K$22),NA())</f>
        <v>#N/A</v>
      </c>
      <c r="Q2" s="52" t="e">
        <f>IFERROR(_xlfn.XLOOKUP(I2,'Agências de Rating Soberano'!$J$2:$J$22,'Agências de Rating Soberano'!$K$2:$K$22),NA())</f>
        <v>#N/A</v>
      </c>
      <c r="S2" s="50">
        <f>Planilha2!A2</f>
        <v>45807</v>
      </c>
      <c r="T2">
        <f>IFERROR(_xlfn.XLOOKUP(Planilha2!C2,'Agências de Rating Soberano'!$G$2:$G$22,'Agências de Rating Soberano'!$H$2:$H$22),NA())</f>
        <v>11</v>
      </c>
      <c r="U2" t="str" cm="1">
        <f t="array" ref="U2">_xlfn.IFS(ISNUMBER(SEARCH("positiva",Planilha2!E2)),"Positiva",ISNUMBER(SEARCH("negativa",Planilha2!E2)),"Negativa",ISNUMBER(SEARCH("estável",Planilha2!E2)),"Estável",TRUE,"n/d")</f>
        <v>Estável</v>
      </c>
      <c r="V2" t="e">
        <f>IF($U2=V$1,$T2,NA())</f>
        <v>#N/A</v>
      </c>
      <c r="W2">
        <f>IF($U2=W$1,$T2,NA())</f>
        <v>11</v>
      </c>
      <c r="X2" t="e">
        <f>IF($U2=X$1,$T2,NA())</f>
        <v>#N/A</v>
      </c>
      <c r="Z2" s="50">
        <f>Planilha2!J2</f>
        <v>46189</v>
      </c>
      <c r="AA2">
        <f>IFERROR(_xlfn.XLOOKUP(Planilha2!L2,'Agências de Rating Soberano'!$J$2:$J$22,'Agências de Rating Soberano'!$K$2:$K$22),NA())</f>
        <v>10</v>
      </c>
      <c r="AB2" t="str" cm="1">
        <f t="array" ref="AB2">_xlfn.IFS(ISNUMBER(SEARCH("positiva",Planilha2!N2)),"Positiva",ISNUMBER(SEARCH("negativa",Planilha2!N2)),"Negativa",ISNUMBER(SEARCH("estável",Planilha2!N2)),"Estável",TRUE,"n/d")</f>
        <v>Estável</v>
      </c>
      <c r="AC2" t="e">
        <f>IF($AB2=AC$1,$AA2,NA())</f>
        <v>#N/A</v>
      </c>
      <c r="AD2">
        <f>IF($AB2=AD$1,$AA2,NA())</f>
        <v>10</v>
      </c>
      <c r="AE2" t="e">
        <f>IF($AB2=AE$1,$AA2,NA())</f>
        <v>#N/A</v>
      </c>
      <c r="AG2" s="50">
        <f>Planilha2!P2</f>
        <v>46198</v>
      </c>
      <c r="AH2">
        <f>IFERROR(_xlfn.XLOOKUP(Planilha2!R2,'Agências de Rating Soberano'!$J$2:$J$22,'Agências de Rating Soberano'!$K$2:$K$22),NA())</f>
        <v>10</v>
      </c>
      <c r="AI2" t="str" cm="1">
        <f t="array" ref="AI2">_xlfn.IFS(ISNUMBER(SEARCH("positiva",Planilha2!T2)),"Positiva",ISNUMBER(SEARCH("negativa",Planilha2!T2)),"Negativa",ISNUMBER(SEARCH("estável",Planilha2!T2)),"Estável",TRUE,"n/d")</f>
        <v>Estável</v>
      </c>
      <c r="AJ2" t="e">
        <f>IF($AI2=AJ$1,$AH2,NA())</f>
        <v>#N/A</v>
      </c>
      <c r="AK2">
        <f>IF($AI2=AK$1,$AH2,NA())</f>
        <v>10</v>
      </c>
      <c r="AL2" t="e">
        <f>IF($AI2=AL$1,$AH2,NA())</f>
        <v>#N/A</v>
      </c>
      <c r="AN2" s="47">
        <v>4</v>
      </c>
      <c r="AO2" t="str">
        <f>_xlfn.XLOOKUP(AN2,'Agências de Rating Soberano'!$H$2:$H$22,'Agências de Rating Soberano'!$G$2:$G$22)</f>
        <v>Caa2</v>
      </c>
      <c r="AP2" t="str">
        <f>_xlfn.XLOOKUP(AN2,'Agências de Rating Soberano'!$K$2:$K$22,'Agências de Rating Soberano'!$J$2:$J$22)</f>
        <v>CCC</v>
      </c>
      <c r="AQ2" s="20">
        <f>EOMONTH(MIN(Planilha2!$A$2:$A$34),-1)+1</f>
        <v>31717</v>
      </c>
      <c r="AR2" s="20">
        <f>EOMONTH(MIN(Planilha2!$J$2:$J$44),-1)+1</f>
        <v>34669</v>
      </c>
      <c r="AS2" s="20">
        <f>EOMONTH(MIN(Planilha2!$P$2:$P$38),-1)+1</f>
        <v>35217</v>
      </c>
    </row>
    <row r="3" spans="1:45" x14ac:dyDescent="0.3">
      <c r="A3" s="53">
        <f>EOMONTH(A2,1)</f>
        <v>31777</v>
      </c>
      <c r="B3" t="str">
        <f>IFERROR(_xlfn.XLOOKUP($A3,Planilha2!$A$2:$A$34,Planilha2!C$2:C$34,"",-1),"")</f>
        <v>Ba1</v>
      </c>
      <c r="C3" t="str">
        <f>IFERROR(_xlfn.XLOOKUP($A3,Planilha2!$A$2:$A$34,Planilha2!D$2:D$34,"",-1),"")</f>
        <v>-</v>
      </c>
      <c r="D3" t="str" cm="1">
        <f t="array" ref="D3">IF($A3&lt;MIN(Planilha2!$A$2:$A$34),"",_xlfn.LET(_xlpm.t,_xlfn.XLOOKUP($A3,Planilha2!$A$2:$A$34,Planilha2!$E$2:$E$34,"",-1),_xlfn.IFS(ISNUMBER(SEARCH("positiva",_xlpm.t)),"Positiva",ISNUMBER(SEARCH("negativa",_xlpm.t)),"Negativa",ISNUMBER(SEARCH("estável",_xlpm.t)),"Estável",TRUE,"n/d")))</f>
        <v>n/d</v>
      </c>
      <c r="E3" t="str">
        <f>IFERROR(_xlfn.XLOOKUP($A3,Planilha2!$J$2:$J$44,Planilha2!L$2:L$44,"",-1),"")</f>
        <v/>
      </c>
      <c r="F3" t="str">
        <f>IFERROR(_xlfn.XLOOKUP($A3,Planilha2!$J$2:$J$44,Planilha2!M$2:M$44,"",-1),"")</f>
        <v/>
      </c>
      <c r="G3" t="str" cm="1">
        <f t="array" ref="G3">IF($A3&lt;MIN(Planilha2!$J$2:$J$44),"",_xlfn.LET(_xlpm.t,_xlfn.XLOOKUP($A3,Planilha2!$J$2:$J$44,Planilha2!$N$2:$N$44,"",-1),_xlfn.IFS(ISNUMBER(SEARCH("positiva",_xlpm.t)),"Positiva",ISNUMBER(SEARCH("negativa",_xlpm.t)),"Negativa",ISNUMBER(SEARCH("estável",_xlpm.t)),"Estável",TRUE,"n/d")))</f>
        <v/>
      </c>
      <c r="H3" t="str">
        <f>IFERROR(_xlfn.XLOOKUP($A3,Planilha2!$P$2:$P$38,Planilha2!R$2:R$38,"",-1),"")</f>
        <v/>
      </c>
      <c r="I3" t="str">
        <f>IFERROR(_xlfn.XLOOKUP($A3,Planilha2!$P$2:$P$38,Planilha2!S$2:S$38,"",-1),"")</f>
        <v/>
      </c>
      <c r="J3" t="str" cm="1">
        <f t="array" ref="J3">IF($A3&lt;MIN(Planilha2!$P$2:$P$38),"",_xlfn.LET(_xlpm.t,_xlfn.XLOOKUP($A3,Planilha2!$P$2:$P$38,Planilha2!$T$2:$T$38,"",-1),_xlfn.IFS(ISNUMBER(SEARCH("positiva",_xlpm.t)),"Positiva",ISNUMBER(SEARCH("negativa",_xlpm.t)),"Negativa",ISNUMBER(SEARCH("estável",_xlpm.t)),"Estável",TRUE,"n/d")))</f>
        <v/>
      </c>
      <c r="L3" s="52">
        <f>IFERROR(_xlfn.XLOOKUP(B3,'Agências de Rating Soberano'!$G$2:$G$22,'Agências de Rating Soberano'!$H$2:$H$22),NA())</f>
        <v>11</v>
      </c>
      <c r="M3" s="52" t="e">
        <f>IFERROR(_xlfn.XLOOKUP(C3,'Agências de Rating Soberano'!$G$2:$G$22,'Agências de Rating Soberano'!$H$2:$H$22),NA())</f>
        <v>#N/A</v>
      </c>
      <c r="N3" s="52" t="e">
        <f>IFERROR(_xlfn.XLOOKUP(E3,'Agências de Rating Soberano'!$J$2:$J$22,'Agências de Rating Soberano'!$K$2:$K$22),NA())</f>
        <v>#N/A</v>
      </c>
      <c r="O3" s="52" t="e">
        <f>IFERROR(_xlfn.XLOOKUP(F3,'Agências de Rating Soberano'!$J$2:$J$22,'Agências de Rating Soberano'!$K$2:$K$22),NA())</f>
        <v>#N/A</v>
      </c>
      <c r="P3" s="52" t="e">
        <f>IFERROR(_xlfn.XLOOKUP(H3,'Agências de Rating Soberano'!$J$2:$J$22,'Agências de Rating Soberano'!$K$2:$K$22),NA())</f>
        <v>#N/A</v>
      </c>
      <c r="Q3" s="52" t="e">
        <f>IFERROR(_xlfn.XLOOKUP(I3,'Agências de Rating Soberano'!$J$2:$J$22,'Agências de Rating Soberano'!$K$2:$K$22),NA())</f>
        <v>#N/A</v>
      </c>
      <c r="S3" s="50">
        <f>Planilha2!A3</f>
        <v>45566</v>
      </c>
      <c r="T3">
        <f>IFERROR(_xlfn.XLOOKUP(Planilha2!C3,'Agências de Rating Soberano'!$G$2:$G$22,'Agências de Rating Soberano'!$H$2:$H$22),NA())</f>
        <v>11</v>
      </c>
      <c r="U3" t="str" cm="1">
        <f t="array" ref="U3">_xlfn.IFS(ISNUMBER(SEARCH("positiva",Planilha2!E3)),"Positiva",ISNUMBER(SEARCH("negativa",Planilha2!E3)),"Negativa",ISNUMBER(SEARCH("estável",Planilha2!E3)),"Estável",TRUE,"n/d")</f>
        <v>Positiva</v>
      </c>
      <c r="V3">
        <f t="shared" ref="V3:X34" si="0">IF($U3=V$1,$T3,NA())</f>
        <v>11</v>
      </c>
      <c r="W3" t="e">
        <f t="shared" si="0"/>
        <v>#N/A</v>
      </c>
      <c r="X3" t="e">
        <f t="shared" si="0"/>
        <v>#N/A</v>
      </c>
      <c r="Z3" s="50">
        <f>Planilha2!J3</f>
        <v>45833</v>
      </c>
      <c r="AA3">
        <f>IFERROR(_xlfn.XLOOKUP(Planilha2!L3,'Agências de Rating Soberano'!$J$2:$J$22,'Agências de Rating Soberano'!$K$2:$K$22),NA())</f>
        <v>10</v>
      </c>
      <c r="AB3" t="str" cm="1">
        <f t="array" ref="AB3">_xlfn.IFS(ISNUMBER(SEARCH("positiva",Planilha2!N3)),"Positiva",ISNUMBER(SEARCH("negativa",Planilha2!N3)),"Negativa",ISNUMBER(SEARCH("estável",Planilha2!N3)),"Estável",TRUE,"n/d")</f>
        <v>Estável</v>
      </c>
      <c r="AC3" t="e">
        <f t="shared" ref="AC3:AE44" si="1">IF($AB3=AC$1,$AA3,NA())</f>
        <v>#N/A</v>
      </c>
      <c r="AD3">
        <f t="shared" si="1"/>
        <v>10</v>
      </c>
      <c r="AE3" t="e">
        <f t="shared" si="1"/>
        <v>#N/A</v>
      </c>
      <c r="AG3" s="50">
        <f>Planilha2!P3</f>
        <v>45279</v>
      </c>
      <c r="AH3">
        <f>IFERROR(_xlfn.XLOOKUP(Planilha2!R3,'Agências de Rating Soberano'!$J$2:$J$22,'Agências de Rating Soberano'!$K$2:$K$22),NA())</f>
        <v>10</v>
      </c>
      <c r="AI3" t="str" cm="1">
        <f t="array" ref="AI3">_xlfn.IFS(ISNUMBER(SEARCH("positiva",Planilha2!T3)),"Positiva",ISNUMBER(SEARCH("negativa",Planilha2!T3)),"Negativa",ISNUMBER(SEARCH("estável",Planilha2!T3)),"Estável",TRUE,"n/d")</f>
        <v>Estável</v>
      </c>
      <c r="AJ3" t="e">
        <f t="shared" ref="AJ3:AL38" si="2">IF($AI3=AJ$1,$AH3,NA())</f>
        <v>#N/A</v>
      </c>
      <c r="AK3">
        <f t="shared" si="2"/>
        <v>10</v>
      </c>
      <c r="AL3" t="e">
        <f t="shared" si="2"/>
        <v>#N/A</v>
      </c>
      <c r="AN3">
        <f>AN2+1</f>
        <v>5</v>
      </c>
      <c r="AO3" t="str">
        <f>_xlfn.XLOOKUP(AN3,'Agências de Rating Soberano'!$H$2:$H$22,'Agências de Rating Soberano'!$G$2:$G$22)</f>
        <v>Caa1</v>
      </c>
      <c r="AP3" t="str">
        <f>_xlfn.XLOOKUP(AN3,'Agências de Rating Soberano'!$K$2:$K$22,'Agências de Rating Soberano'!$J$2:$J$22)</f>
        <v>CCC+</v>
      </c>
      <c r="AQ3" s="20">
        <f>AQ2</f>
        <v>31717</v>
      </c>
      <c r="AR3" s="20">
        <f>AR2</f>
        <v>34669</v>
      </c>
      <c r="AS3" s="20">
        <f>AS2</f>
        <v>35217</v>
      </c>
    </row>
    <row r="4" spans="1:45" x14ac:dyDescent="0.3">
      <c r="A4" s="53">
        <f t="shared" ref="A4:A67" si="3">EOMONTH(A3,1)</f>
        <v>31808</v>
      </c>
      <c r="B4" t="str">
        <f>IFERROR(_xlfn.XLOOKUP($A4,Planilha2!$A$2:$A$34,Planilha2!C$2:C$34,"",-1),"")</f>
        <v>Ba1</v>
      </c>
      <c r="C4" t="str">
        <f>IFERROR(_xlfn.XLOOKUP($A4,Planilha2!$A$2:$A$34,Planilha2!D$2:D$34,"",-1),"")</f>
        <v>-</v>
      </c>
      <c r="D4" t="str" cm="1">
        <f t="array" ref="D4">IF($A4&lt;MIN(Planilha2!$A$2:$A$34),"",_xlfn.LET(_xlpm.t,_xlfn.XLOOKUP($A4,Planilha2!$A$2:$A$34,Planilha2!$E$2:$E$34,"",-1),_xlfn.IFS(ISNUMBER(SEARCH("positiva",_xlpm.t)),"Positiva",ISNUMBER(SEARCH("negativa",_xlpm.t)),"Negativa",ISNUMBER(SEARCH("estável",_xlpm.t)),"Estável",TRUE,"n/d")))</f>
        <v>n/d</v>
      </c>
      <c r="E4" t="str">
        <f>IFERROR(_xlfn.XLOOKUP($A4,Planilha2!$J$2:$J$44,Planilha2!L$2:L$44,"",-1),"")</f>
        <v/>
      </c>
      <c r="F4" t="str">
        <f>IFERROR(_xlfn.XLOOKUP($A4,Planilha2!$J$2:$J$44,Planilha2!M$2:M$44,"",-1),"")</f>
        <v/>
      </c>
      <c r="G4" t="str" cm="1">
        <f t="array" ref="G4">IF($A4&lt;MIN(Planilha2!$J$2:$J$44),"",_xlfn.LET(_xlpm.t,_xlfn.XLOOKUP($A4,Planilha2!$J$2:$J$44,Planilha2!$N$2:$N$44,"",-1),_xlfn.IFS(ISNUMBER(SEARCH("positiva",_xlpm.t)),"Positiva",ISNUMBER(SEARCH("negativa",_xlpm.t)),"Negativa",ISNUMBER(SEARCH("estável",_xlpm.t)),"Estável",TRUE,"n/d")))</f>
        <v/>
      </c>
      <c r="H4" t="str">
        <f>IFERROR(_xlfn.XLOOKUP($A4,Planilha2!$P$2:$P$38,Planilha2!R$2:R$38,"",-1),"")</f>
        <v/>
      </c>
      <c r="I4" t="str">
        <f>IFERROR(_xlfn.XLOOKUP($A4,Planilha2!$P$2:$P$38,Planilha2!S$2:S$38,"",-1),"")</f>
        <v/>
      </c>
      <c r="J4" t="str" cm="1">
        <f t="array" ref="J4">IF($A4&lt;MIN(Planilha2!$P$2:$P$38),"",_xlfn.LET(_xlpm.t,_xlfn.XLOOKUP($A4,Planilha2!$P$2:$P$38,Planilha2!$T$2:$T$38,"",-1),_xlfn.IFS(ISNUMBER(SEARCH("positiva",_xlpm.t)),"Positiva",ISNUMBER(SEARCH("negativa",_xlpm.t)),"Negativa",ISNUMBER(SEARCH("estável",_xlpm.t)),"Estável",TRUE,"n/d")))</f>
        <v/>
      </c>
      <c r="L4" s="52">
        <f>IFERROR(_xlfn.XLOOKUP(B4,'Agências de Rating Soberano'!$G$2:$G$22,'Agências de Rating Soberano'!$H$2:$H$22),NA())</f>
        <v>11</v>
      </c>
      <c r="M4" s="52" t="e">
        <f>IFERROR(_xlfn.XLOOKUP(C4,'Agências de Rating Soberano'!$G$2:$G$22,'Agências de Rating Soberano'!$H$2:$H$22),NA())</f>
        <v>#N/A</v>
      </c>
      <c r="N4" s="52" t="e">
        <f>IFERROR(_xlfn.XLOOKUP(E4,'Agências de Rating Soberano'!$J$2:$J$22,'Agências de Rating Soberano'!$K$2:$K$22),NA())</f>
        <v>#N/A</v>
      </c>
      <c r="O4" s="52" t="e">
        <f>IFERROR(_xlfn.XLOOKUP(F4,'Agências de Rating Soberano'!$J$2:$J$22,'Agências de Rating Soberano'!$K$2:$K$22),NA())</f>
        <v>#N/A</v>
      </c>
      <c r="P4" s="52" t="e">
        <f>IFERROR(_xlfn.XLOOKUP(H4,'Agências de Rating Soberano'!$J$2:$J$22,'Agências de Rating Soberano'!$K$2:$K$22),NA())</f>
        <v>#N/A</v>
      </c>
      <c r="Q4" s="52" t="e">
        <f>IFERROR(_xlfn.XLOOKUP(I4,'Agências de Rating Soberano'!$J$2:$J$22,'Agências de Rating Soberano'!$K$2:$K$22),NA())</f>
        <v>#N/A</v>
      </c>
      <c r="S4" s="50">
        <f>Planilha2!A4</f>
        <v>45413</v>
      </c>
      <c r="T4">
        <f>IFERROR(_xlfn.XLOOKUP(Planilha2!C4,'Agências de Rating Soberano'!$G$2:$G$22,'Agências de Rating Soberano'!$H$2:$H$22),NA())</f>
        <v>10</v>
      </c>
      <c r="U4" t="str" cm="1">
        <f t="array" ref="U4">_xlfn.IFS(ISNUMBER(SEARCH("positiva",Planilha2!E4)),"Positiva",ISNUMBER(SEARCH("negativa",Planilha2!E4)),"Negativa",ISNUMBER(SEARCH("estável",Planilha2!E4)),"Estável",TRUE,"n/d")</f>
        <v>Positiva</v>
      </c>
      <c r="V4">
        <f t="shared" si="0"/>
        <v>10</v>
      </c>
      <c r="W4" t="e">
        <f t="shared" si="0"/>
        <v>#N/A</v>
      </c>
      <c r="X4" t="e">
        <f t="shared" si="0"/>
        <v>#N/A</v>
      </c>
      <c r="Z4" s="50">
        <f>Planilha2!J4</f>
        <v>45470</v>
      </c>
      <c r="AA4">
        <f>IFERROR(_xlfn.XLOOKUP(Planilha2!L4,'Agências de Rating Soberano'!$J$2:$J$22,'Agências de Rating Soberano'!$K$2:$K$22),NA())</f>
        <v>10</v>
      </c>
      <c r="AB4" t="str" cm="1">
        <f t="array" ref="AB4">_xlfn.IFS(ISNUMBER(SEARCH("positiva",Planilha2!N4)),"Positiva",ISNUMBER(SEARCH("negativa",Planilha2!N4)),"Negativa",ISNUMBER(SEARCH("estável",Planilha2!N4)),"Estável",TRUE,"n/d")</f>
        <v>Estável</v>
      </c>
      <c r="AC4" t="e">
        <f t="shared" si="1"/>
        <v>#N/A</v>
      </c>
      <c r="AD4">
        <f t="shared" si="1"/>
        <v>10</v>
      </c>
      <c r="AE4" t="e">
        <f t="shared" si="1"/>
        <v>#N/A</v>
      </c>
      <c r="AG4" s="50">
        <f>Planilha2!P4</f>
        <v>45091</v>
      </c>
      <c r="AH4">
        <f>IFERROR(_xlfn.XLOOKUP(Planilha2!R4,'Agências de Rating Soberano'!$J$2:$J$22,'Agências de Rating Soberano'!$K$2:$K$22),NA())</f>
        <v>9</v>
      </c>
      <c r="AI4" t="str" cm="1">
        <f t="array" ref="AI4">_xlfn.IFS(ISNUMBER(SEARCH("positiva",Planilha2!T4)),"Positiva",ISNUMBER(SEARCH("negativa",Planilha2!T4)),"Negativa",ISNUMBER(SEARCH("estável",Planilha2!T4)),"Estável",TRUE,"n/d")</f>
        <v>Positiva</v>
      </c>
      <c r="AJ4">
        <f t="shared" si="2"/>
        <v>9</v>
      </c>
      <c r="AK4" t="e">
        <f t="shared" si="2"/>
        <v>#N/A</v>
      </c>
      <c r="AL4" t="e">
        <f t="shared" si="2"/>
        <v>#N/A</v>
      </c>
      <c r="AN4">
        <f t="shared" ref="AN4:AN14" si="4">AN3+1</f>
        <v>6</v>
      </c>
      <c r="AO4" t="str">
        <f>_xlfn.XLOOKUP(AN4,'Agências de Rating Soberano'!$H$2:$H$22,'Agências de Rating Soberano'!$G$2:$G$22)</f>
        <v>B3</v>
      </c>
      <c r="AP4" t="str">
        <f>_xlfn.XLOOKUP(AN4,'Agências de Rating Soberano'!$K$2:$K$22,'Agências de Rating Soberano'!$J$2:$J$22)</f>
        <v>B-</v>
      </c>
      <c r="AQ4" s="20">
        <f t="shared" ref="AQ4:AQ14" si="5">AQ3</f>
        <v>31717</v>
      </c>
      <c r="AR4" s="20">
        <f t="shared" ref="AR4:AR14" si="6">AR3</f>
        <v>34669</v>
      </c>
      <c r="AS4" s="20">
        <f t="shared" ref="AS4:AS14" si="7">AS3</f>
        <v>35217</v>
      </c>
    </row>
    <row r="5" spans="1:45" x14ac:dyDescent="0.3">
      <c r="A5" s="53">
        <f t="shared" si="3"/>
        <v>31836</v>
      </c>
      <c r="B5" t="str">
        <f>IFERROR(_xlfn.XLOOKUP($A5,Planilha2!$A$2:$A$34,Planilha2!C$2:C$34,"",-1),"")</f>
        <v>Ba1</v>
      </c>
      <c r="C5" t="str">
        <f>IFERROR(_xlfn.XLOOKUP($A5,Planilha2!$A$2:$A$34,Planilha2!D$2:D$34,"",-1),"")</f>
        <v>-</v>
      </c>
      <c r="D5" t="str" cm="1">
        <f t="array" ref="D5">IF($A5&lt;MIN(Planilha2!$A$2:$A$34),"",_xlfn.LET(_xlpm.t,_xlfn.XLOOKUP($A5,Planilha2!$A$2:$A$34,Planilha2!$E$2:$E$34,"",-1),_xlfn.IFS(ISNUMBER(SEARCH("positiva",_xlpm.t)),"Positiva",ISNUMBER(SEARCH("negativa",_xlpm.t)),"Negativa",ISNUMBER(SEARCH("estável",_xlpm.t)),"Estável",TRUE,"n/d")))</f>
        <v>n/d</v>
      </c>
      <c r="E5" t="str">
        <f>IFERROR(_xlfn.XLOOKUP($A5,Planilha2!$J$2:$J$44,Planilha2!L$2:L$44,"",-1),"")</f>
        <v/>
      </c>
      <c r="F5" t="str">
        <f>IFERROR(_xlfn.XLOOKUP($A5,Planilha2!$J$2:$J$44,Planilha2!M$2:M$44,"",-1),"")</f>
        <v/>
      </c>
      <c r="G5" t="str" cm="1">
        <f t="array" ref="G5">IF($A5&lt;MIN(Planilha2!$J$2:$J$44),"",_xlfn.LET(_xlpm.t,_xlfn.XLOOKUP($A5,Planilha2!$J$2:$J$44,Planilha2!$N$2:$N$44,"",-1),_xlfn.IFS(ISNUMBER(SEARCH("positiva",_xlpm.t)),"Positiva",ISNUMBER(SEARCH("negativa",_xlpm.t)),"Negativa",ISNUMBER(SEARCH("estável",_xlpm.t)),"Estável",TRUE,"n/d")))</f>
        <v/>
      </c>
      <c r="H5" t="str">
        <f>IFERROR(_xlfn.XLOOKUP($A5,Planilha2!$P$2:$P$38,Planilha2!R$2:R$38,"",-1),"")</f>
        <v/>
      </c>
      <c r="I5" t="str">
        <f>IFERROR(_xlfn.XLOOKUP($A5,Planilha2!$P$2:$P$38,Planilha2!S$2:S$38,"",-1),"")</f>
        <v/>
      </c>
      <c r="J5" t="str" cm="1">
        <f t="array" ref="J5">IF($A5&lt;MIN(Planilha2!$P$2:$P$38),"",_xlfn.LET(_xlpm.t,_xlfn.XLOOKUP($A5,Planilha2!$P$2:$P$38,Planilha2!$T$2:$T$38,"",-1),_xlfn.IFS(ISNUMBER(SEARCH("positiva",_xlpm.t)),"Positiva",ISNUMBER(SEARCH("negativa",_xlpm.t)),"Negativa",ISNUMBER(SEARCH("estável",_xlpm.t)),"Estável",TRUE,"n/d")))</f>
        <v/>
      </c>
      <c r="L5" s="52">
        <f>IFERROR(_xlfn.XLOOKUP(B5,'Agências de Rating Soberano'!$G$2:$G$22,'Agências de Rating Soberano'!$H$2:$H$22),NA())</f>
        <v>11</v>
      </c>
      <c r="M5" s="52" t="e">
        <f>IFERROR(_xlfn.XLOOKUP(C5,'Agências de Rating Soberano'!$G$2:$G$22,'Agências de Rating Soberano'!$H$2:$H$22),NA())</f>
        <v>#N/A</v>
      </c>
      <c r="N5" s="52" t="e">
        <f>IFERROR(_xlfn.XLOOKUP(E5,'Agências de Rating Soberano'!$J$2:$J$22,'Agências de Rating Soberano'!$K$2:$K$22),NA())</f>
        <v>#N/A</v>
      </c>
      <c r="O5" s="52" t="e">
        <f>IFERROR(_xlfn.XLOOKUP(F5,'Agências de Rating Soberano'!$J$2:$J$22,'Agências de Rating Soberano'!$K$2:$K$22),NA())</f>
        <v>#N/A</v>
      </c>
      <c r="P5" s="52" t="e">
        <f>IFERROR(_xlfn.XLOOKUP(H5,'Agências de Rating Soberano'!$J$2:$J$22,'Agências de Rating Soberano'!$K$2:$K$22),NA())</f>
        <v>#N/A</v>
      </c>
      <c r="Q5" s="52" t="e">
        <f>IFERROR(_xlfn.XLOOKUP(I5,'Agências de Rating Soberano'!$J$2:$J$22,'Agências de Rating Soberano'!$K$2:$K$22),NA())</f>
        <v>#N/A</v>
      </c>
      <c r="S5" s="50">
        <f>Planilha2!A5</f>
        <v>44663</v>
      </c>
      <c r="T5">
        <f>IFERROR(_xlfn.XLOOKUP(Planilha2!C5,'Agências de Rating Soberano'!$G$2:$G$22,'Agências de Rating Soberano'!$H$2:$H$22),NA())</f>
        <v>10</v>
      </c>
      <c r="U5" t="str" cm="1">
        <f t="array" ref="U5">_xlfn.IFS(ISNUMBER(SEARCH("positiva",Planilha2!E5)),"Positiva",ISNUMBER(SEARCH("negativa",Planilha2!E5)),"Negativa",ISNUMBER(SEARCH("estável",Planilha2!E5)),"Estável",TRUE,"n/d")</f>
        <v>Estável</v>
      </c>
      <c r="V5" t="e">
        <f t="shared" si="0"/>
        <v>#N/A</v>
      </c>
      <c r="W5">
        <f t="shared" si="0"/>
        <v>10</v>
      </c>
      <c r="X5" t="e">
        <f t="shared" si="0"/>
        <v>#N/A</v>
      </c>
      <c r="Z5" s="50">
        <f>Planilha2!J5</f>
        <v>45275</v>
      </c>
      <c r="AA5">
        <f>IFERROR(_xlfn.XLOOKUP(Planilha2!L5,'Agências de Rating Soberano'!$J$2:$J$22,'Agências de Rating Soberano'!$K$2:$K$22),NA())</f>
        <v>10</v>
      </c>
      <c r="AB5" t="str" cm="1">
        <f t="array" ref="AB5">_xlfn.IFS(ISNUMBER(SEARCH("positiva",Planilha2!N5)),"Positiva",ISNUMBER(SEARCH("negativa",Planilha2!N5)),"Negativa",ISNUMBER(SEARCH("estável",Planilha2!N5)),"Estável",TRUE,"n/d")</f>
        <v>Estável</v>
      </c>
      <c r="AC5" t="e">
        <f t="shared" si="1"/>
        <v>#N/A</v>
      </c>
      <c r="AD5">
        <f t="shared" si="1"/>
        <v>10</v>
      </c>
      <c r="AE5" t="e">
        <f t="shared" si="1"/>
        <v>#N/A</v>
      </c>
      <c r="AG5" s="50">
        <f>Planilha2!P5</f>
        <v>44726</v>
      </c>
      <c r="AH5">
        <f>IFERROR(_xlfn.XLOOKUP(Planilha2!R5,'Agências de Rating Soberano'!$J$2:$J$22,'Agências de Rating Soberano'!$K$2:$K$22),NA())</f>
        <v>9</v>
      </c>
      <c r="AI5" t="str" cm="1">
        <f t="array" ref="AI5">_xlfn.IFS(ISNUMBER(SEARCH("positiva",Planilha2!T5)),"Positiva",ISNUMBER(SEARCH("negativa",Planilha2!T5)),"Negativa",ISNUMBER(SEARCH("estável",Planilha2!T5)),"Estável",TRUE,"n/d")</f>
        <v>Estável</v>
      </c>
      <c r="AJ5" t="e">
        <f t="shared" si="2"/>
        <v>#N/A</v>
      </c>
      <c r="AK5">
        <f t="shared" si="2"/>
        <v>9</v>
      </c>
      <c r="AL5" t="e">
        <f t="shared" si="2"/>
        <v>#N/A</v>
      </c>
      <c r="AN5">
        <f t="shared" si="4"/>
        <v>7</v>
      </c>
      <c r="AO5" t="str">
        <f>_xlfn.XLOOKUP(AN5,'Agências de Rating Soberano'!$H$2:$H$22,'Agências de Rating Soberano'!$G$2:$G$22)</f>
        <v>B2</v>
      </c>
      <c r="AP5" t="str">
        <f>_xlfn.XLOOKUP(AN5,'Agências de Rating Soberano'!$K$2:$K$22,'Agências de Rating Soberano'!$J$2:$J$22)</f>
        <v>B</v>
      </c>
      <c r="AQ5" s="20">
        <f t="shared" si="5"/>
        <v>31717</v>
      </c>
      <c r="AR5" s="20">
        <f t="shared" si="6"/>
        <v>34669</v>
      </c>
      <c r="AS5" s="20">
        <f t="shared" si="7"/>
        <v>35217</v>
      </c>
    </row>
    <row r="6" spans="1:45" x14ac:dyDescent="0.3">
      <c r="A6" s="53">
        <f t="shared" si="3"/>
        <v>31867</v>
      </c>
      <c r="B6" t="str">
        <f>IFERROR(_xlfn.XLOOKUP($A6,Planilha2!$A$2:$A$34,Planilha2!C$2:C$34,"",-1),"")</f>
        <v>Ba1</v>
      </c>
      <c r="C6" t="str">
        <f>IFERROR(_xlfn.XLOOKUP($A6,Planilha2!$A$2:$A$34,Planilha2!D$2:D$34,"",-1),"")</f>
        <v>-</v>
      </c>
      <c r="D6" t="str" cm="1">
        <f t="array" ref="D6">IF($A6&lt;MIN(Planilha2!$A$2:$A$34),"",_xlfn.LET(_xlpm.t,_xlfn.XLOOKUP($A6,Planilha2!$A$2:$A$34,Planilha2!$E$2:$E$34,"",-1),_xlfn.IFS(ISNUMBER(SEARCH("positiva",_xlpm.t)),"Positiva",ISNUMBER(SEARCH("negativa",_xlpm.t)),"Negativa",ISNUMBER(SEARCH("estável",_xlpm.t)),"Estável",TRUE,"n/d")))</f>
        <v>n/d</v>
      </c>
      <c r="E6" t="str">
        <f>IFERROR(_xlfn.XLOOKUP($A6,Planilha2!$J$2:$J$44,Planilha2!L$2:L$44,"",-1),"")</f>
        <v/>
      </c>
      <c r="F6" t="str">
        <f>IFERROR(_xlfn.XLOOKUP($A6,Planilha2!$J$2:$J$44,Planilha2!M$2:M$44,"",-1),"")</f>
        <v/>
      </c>
      <c r="G6" t="str" cm="1">
        <f t="array" ref="G6">IF($A6&lt;MIN(Planilha2!$J$2:$J$44),"",_xlfn.LET(_xlpm.t,_xlfn.XLOOKUP($A6,Planilha2!$J$2:$J$44,Planilha2!$N$2:$N$44,"",-1),_xlfn.IFS(ISNUMBER(SEARCH("positiva",_xlpm.t)),"Positiva",ISNUMBER(SEARCH("negativa",_xlpm.t)),"Negativa",ISNUMBER(SEARCH("estável",_xlpm.t)),"Estável",TRUE,"n/d")))</f>
        <v/>
      </c>
      <c r="H6" t="str">
        <f>IFERROR(_xlfn.XLOOKUP($A6,Planilha2!$P$2:$P$38,Planilha2!R$2:R$38,"",-1),"")</f>
        <v/>
      </c>
      <c r="I6" t="str">
        <f>IFERROR(_xlfn.XLOOKUP($A6,Planilha2!$P$2:$P$38,Planilha2!S$2:S$38,"",-1),"")</f>
        <v/>
      </c>
      <c r="J6" t="str" cm="1">
        <f t="array" ref="J6">IF($A6&lt;MIN(Planilha2!$P$2:$P$38),"",_xlfn.LET(_xlpm.t,_xlfn.XLOOKUP($A6,Planilha2!$P$2:$P$38,Planilha2!$T$2:$T$38,"",-1),_xlfn.IFS(ISNUMBER(SEARCH("positiva",_xlpm.t)),"Positiva",ISNUMBER(SEARCH("negativa",_xlpm.t)),"Negativa",ISNUMBER(SEARCH("estável",_xlpm.t)),"Estável",TRUE,"n/d")))</f>
        <v/>
      </c>
      <c r="L6" s="52">
        <f>IFERROR(_xlfn.XLOOKUP(B6,'Agências de Rating Soberano'!$G$2:$G$22,'Agências de Rating Soberano'!$H$2:$H$22),NA())</f>
        <v>11</v>
      </c>
      <c r="M6" s="52" t="e">
        <f>IFERROR(_xlfn.XLOOKUP(C6,'Agências de Rating Soberano'!$G$2:$G$22,'Agências de Rating Soberano'!$H$2:$H$22),NA())</f>
        <v>#N/A</v>
      </c>
      <c r="N6" s="52" t="e">
        <f>IFERROR(_xlfn.XLOOKUP(E6,'Agências de Rating Soberano'!$J$2:$J$22,'Agências de Rating Soberano'!$K$2:$K$22),NA())</f>
        <v>#N/A</v>
      </c>
      <c r="O6" s="52" t="e">
        <f>IFERROR(_xlfn.XLOOKUP(F6,'Agências de Rating Soberano'!$J$2:$J$22,'Agências de Rating Soberano'!$K$2:$K$22),NA())</f>
        <v>#N/A</v>
      </c>
      <c r="P6" s="52" t="e">
        <f>IFERROR(_xlfn.XLOOKUP(H6,'Agências de Rating Soberano'!$J$2:$J$22,'Agências de Rating Soberano'!$K$2:$K$22),NA())</f>
        <v>#N/A</v>
      </c>
      <c r="Q6" s="52" t="e">
        <f>IFERROR(_xlfn.XLOOKUP(I6,'Agências de Rating Soberano'!$J$2:$J$22,'Agências de Rating Soberano'!$K$2:$K$22),NA())</f>
        <v>#N/A</v>
      </c>
      <c r="S6" s="50">
        <f>Planilha2!A6</f>
        <v>43966</v>
      </c>
      <c r="T6">
        <f>IFERROR(_xlfn.XLOOKUP(Planilha2!C6,'Agências de Rating Soberano'!$G$2:$G$22,'Agências de Rating Soberano'!$H$2:$H$22),NA())</f>
        <v>10</v>
      </c>
      <c r="U6" t="str" cm="1">
        <f t="array" ref="U6">_xlfn.IFS(ISNUMBER(SEARCH("positiva",Planilha2!E6)),"Positiva",ISNUMBER(SEARCH("negativa",Planilha2!E6)),"Negativa",ISNUMBER(SEARCH("estável",Planilha2!E6)),"Estável",TRUE,"n/d")</f>
        <v>Estável</v>
      </c>
      <c r="V6" t="e">
        <f t="shared" si="0"/>
        <v>#N/A</v>
      </c>
      <c r="W6">
        <f t="shared" si="0"/>
        <v>10</v>
      </c>
      <c r="X6" t="e">
        <f t="shared" si="0"/>
        <v>#N/A</v>
      </c>
      <c r="Z6" s="50">
        <f>Planilha2!J6</f>
        <v>45133</v>
      </c>
      <c r="AA6">
        <f>IFERROR(_xlfn.XLOOKUP(Planilha2!L6,'Agências de Rating Soberano'!$J$2:$J$22,'Agências de Rating Soberano'!$K$2:$K$22),NA())</f>
        <v>10</v>
      </c>
      <c r="AB6" t="str" cm="1">
        <f t="array" ref="AB6">_xlfn.IFS(ISNUMBER(SEARCH("positiva",Planilha2!N6)),"Positiva",ISNUMBER(SEARCH("negativa",Planilha2!N6)),"Negativa",ISNUMBER(SEARCH("estável",Planilha2!N6)),"Estável",TRUE,"n/d")</f>
        <v>Estável</v>
      </c>
      <c r="AC6" t="e">
        <f t="shared" si="1"/>
        <v>#N/A</v>
      </c>
      <c r="AD6">
        <f t="shared" si="1"/>
        <v>10</v>
      </c>
      <c r="AE6" t="e">
        <f t="shared" si="1"/>
        <v>#N/A</v>
      </c>
      <c r="AG6" s="50">
        <f>Planilha2!P6</f>
        <v>44530</v>
      </c>
      <c r="AH6">
        <f>IFERROR(_xlfn.XLOOKUP(Planilha2!R6,'Agências de Rating Soberano'!$J$2:$J$22,'Agências de Rating Soberano'!$K$2:$K$22),NA())</f>
        <v>9</v>
      </c>
      <c r="AI6" t="str" cm="1">
        <f t="array" ref="AI6">_xlfn.IFS(ISNUMBER(SEARCH("positiva",Planilha2!T6)),"Positiva",ISNUMBER(SEARCH("negativa",Planilha2!T6)),"Negativa",ISNUMBER(SEARCH("estável",Planilha2!T6)),"Estável",TRUE,"n/d")</f>
        <v>Estável</v>
      </c>
      <c r="AJ6" t="e">
        <f t="shared" si="2"/>
        <v>#N/A</v>
      </c>
      <c r="AK6">
        <f t="shared" si="2"/>
        <v>9</v>
      </c>
      <c r="AL6" t="e">
        <f t="shared" si="2"/>
        <v>#N/A</v>
      </c>
      <c r="AN6">
        <f t="shared" si="4"/>
        <v>8</v>
      </c>
      <c r="AO6" t="str">
        <f>_xlfn.XLOOKUP(AN6,'Agências de Rating Soberano'!$H$2:$H$22,'Agências de Rating Soberano'!$G$2:$G$22)</f>
        <v>B1</v>
      </c>
      <c r="AP6" t="str">
        <f>_xlfn.XLOOKUP(AN6,'Agências de Rating Soberano'!$K$2:$K$22,'Agências de Rating Soberano'!$J$2:$J$22)</f>
        <v>B+</v>
      </c>
      <c r="AQ6" s="20">
        <f t="shared" si="5"/>
        <v>31717</v>
      </c>
      <c r="AR6" s="20">
        <f t="shared" si="6"/>
        <v>34669</v>
      </c>
      <c r="AS6" s="20">
        <f t="shared" si="7"/>
        <v>35217</v>
      </c>
    </row>
    <row r="7" spans="1:45" x14ac:dyDescent="0.3">
      <c r="A7" s="53">
        <f t="shared" si="3"/>
        <v>31897</v>
      </c>
      <c r="B7" t="str">
        <f>IFERROR(_xlfn.XLOOKUP($A7,Planilha2!$A$2:$A$34,Planilha2!C$2:C$34,"",-1),"")</f>
        <v>Ba1</v>
      </c>
      <c r="C7" t="str">
        <f>IFERROR(_xlfn.XLOOKUP($A7,Planilha2!$A$2:$A$34,Planilha2!D$2:D$34,"",-1),"")</f>
        <v>-</v>
      </c>
      <c r="D7" t="str" cm="1">
        <f t="array" ref="D7">IF($A7&lt;MIN(Planilha2!$A$2:$A$34),"",_xlfn.LET(_xlpm.t,_xlfn.XLOOKUP($A7,Planilha2!$A$2:$A$34,Planilha2!$E$2:$E$34,"",-1),_xlfn.IFS(ISNUMBER(SEARCH("positiva",_xlpm.t)),"Positiva",ISNUMBER(SEARCH("negativa",_xlpm.t)),"Negativa",ISNUMBER(SEARCH("estável",_xlpm.t)),"Estável",TRUE,"n/d")))</f>
        <v>n/d</v>
      </c>
      <c r="E7" t="str">
        <f>IFERROR(_xlfn.XLOOKUP($A7,Planilha2!$J$2:$J$44,Planilha2!L$2:L$44,"",-1),"")</f>
        <v/>
      </c>
      <c r="F7" t="str">
        <f>IFERROR(_xlfn.XLOOKUP($A7,Planilha2!$J$2:$J$44,Planilha2!M$2:M$44,"",-1),"")</f>
        <v/>
      </c>
      <c r="G7" t="str" cm="1">
        <f t="array" ref="G7">IF($A7&lt;MIN(Planilha2!$J$2:$J$44),"",_xlfn.LET(_xlpm.t,_xlfn.XLOOKUP($A7,Planilha2!$J$2:$J$44,Planilha2!$N$2:$N$44,"",-1),_xlfn.IFS(ISNUMBER(SEARCH("positiva",_xlpm.t)),"Positiva",ISNUMBER(SEARCH("negativa",_xlpm.t)),"Negativa",ISNUMBER(SEARCH("estável",_xlpm.t)),"Estável",TRUE,"n/d")))</f>
        <v/>
      </c>
      <c r="H7" t="str">
        <f>IFERROR(_xlfn.XLOOKUP($A7,Planilha2!$P$2:$P$38,Planilha2!R$2:R$38,"",-1),"")</f>
        <v/>
      </c>
      <c r="I7" t="str">
        <f>IFERROR(_xlfn.XLOOKUP($A7,Planilha2!$P$2:$P$38,Planilha2!S$2:S$38,"",-1),"")</f>
        <v/>
      </c>
      <c r="J7" t="str" cm="1">
        <f t="array" ref="J7">IF($A7&lt;MIN(Planilha2!$P$2:$P$38),"",_xlfn.LET(_xlpm.t,_xlfn.XLOOKUP($A7,Planilha2!$P$2:$P$38,Planilha2!$T$2:$T$38,"",-1),_xlfn.IFS(ISNUMBER(SEARCH("positiva",_xlpm.t)),"Positiva",ISNUMBER(SEARCH("negativa",_xlpm.t)),"Negativa",ISNUMBER(SEARCH("estável",_xlpm.t)),"Estável",TRUE,"n/d")))</f>
        <v/>
      </c>
      <c r="L7" s="52">
        <f>IFERROR(_xlfn.XLOOKUP(B7,'Agências de Rating Soberano'!$G$2:$G$22,'Agências de Rating Soberano'!$H$2:$H$22),NA())</f>
        <v>11</v>
      </c>
      <c r="M7" s="52" t="e">
        <f>IFERROR(_xlfn.XLOOKUP(C7,'Agências de Rating Soberano'!$G$2:$G$22,'Agências de Rating Soberano'!$H$2:$H$22),NA())</f>
        <v>#N/A</v>
      </c>
      <c r="N7" s="52" t="e">
        <f>IFERROR(_xlfn.XLOOKUP(E7,'Agências de Rating Soberano'!$J$2:$J$22,'Agências de Rating Soberano'!$K$2:$K$22),NA())</f>
        <v>#N/A</v>
      </c>
      <c r="O7" s="52" t="e">
        <f>IFERROR(_xlfn.XLOOKUP(F7,'Agências de Rating Soberano'!$J$2:$J$22,'Agências de Rating Soberano'!$K$2:$K$22),NA())</f>
        <v>#N/A</v>
      </c>
      <c r="P7" s="52" t="e">
        <f>IFERROR(_xlfn.XLOOKUP(H7,'Agências de Rating Soberano'!$J$2:$J$22,'Agências de Rating Soberano'!$K$2:$K$22),NA())</f>
        <v>#N/A</v>
      </c>
      <c r="Q7" s="52" t="e">
        <f>IFERROR(_xlfn.XLOOKUP(I7,'Agências de Rating Soberano'!$J$2:$J$22,'Agências de Rating Soberano'!$K$2:$K$22),NA())</f>
        <v>#N/A</v>
      </c>
      <c r="S7" s="50">
        <f>Planilha2!A7</f>
        <v>43199</v>
      </c>
      <c r="T7">
        <f>IFERROR(_xlfn.XLOOKUP(Planilha2!C7,'Agências de Rating Soberano'!$G$2:$G$22,'Agências de Rating Soberano'!$H$2:$H$22),NA())</f>
        <v>10</v>
      </c>
      <c r="U7" t="str" cm="1">
        <f t="array" ref="U7">_xlfn.IFS(ISNUMBER(SEARCH("positiva",Planilha2!E7)),"Positiva",ISNUMBER(SEARCH("negativa",Planilha2!E7)),"Negativa",ISNUMBER(SEARCH("estável",Planilha2!E7)),"Estável",TRUE,"n/d")</f>
        <v>Estável</v>
      </c>
      <c r="V7" t="e">
        <f t="shared" si="0"/>
        <v>#N/A</v>
      </c>
      <c r="W7">
        <f t="shared" si="0"/>
        <v>10</v>
      </c>
      <c r="X7" t="e">
        <f t="shared" si="0"/>
        <v>#N/A</v>
      </c>
      <c r="Z7" s="50">
        <f>Planilha2!J7</f>
        <v>44915</v>
      </c>
      <c r="AA7">
        <f>IFERROR(_xlfn.XLOOKUP(Planilha2!L7,'Agências de Rating Soberano'!$J$2:$J$22,'Agências de Rating Soberano'!$K$2:$K$22),NA())</f>
        <v>9</v>
      </c>
      <c r="AB7" t="str" cm="1">
        <f t="array" ref="AB7">_xlfn.IFS(ISNUMBER(SEARCH("positiva",Planilha2!N7)),"Positiva",ISNUMBER(SEARCH("negativa",Planilha2!N7)),"Negativa",ISNUMBER(SEARCH("estável",Planilha2!N7)),"Estável",TRUE,"n/d")</f>
        <v>Estável</v>
      </c>
      <c r="AC7" t="e">
        <f t="shared" si="1"/>
        <v>#N/A</v>
      </c>
      <c r="AD7">
        <f t="shared" si="1"/>
        <v>9</v>
      </c>
      <c r="AE7" t="e">
        <f t="shared" si="1"/>
        <v>#N/A</v>
      </c>
      <c r="AG7" s="50">
        <f>Planilha2!P7</f>
        <v>44349</v>
      </c>
      <c r="AH7">
        <f>IFERROR(_xlfn.XLOOKUP(Planilha2!R7,'Agências de Rating Soberano'!$J$2:$J$22,'Agências de Rating Soberano'!$K$2:$K$22),NA())</f>
        <v>9</v>
      </c>
      <c r="AI7" t="str" cm="1">
        <f t="array" ref="AI7">_xlfn.IFS(ISNUMBER(SEARCH("positiva",Planilha2!T7)),"Positiva",ISNUMBER(SEARCH("negativa",Planilha2!T7)),"Negativa",ISNUMBER(SEARCH("estável",Planilha2!T7)),"Estável",TRUE,"n/d")</f>
        <v>Estável</v>
      </c>
      <c r="AJ7" t="e">
        <f t="shared" si="2"/>
        <v>#N/A</v>
      </c>
      <c r="AK7">
        <f t="shared" si="2"/>
        <v>9</v>
      </c>
      <c r="AL7" t="e">
        <f t="shared" si="2"/>
        <v>#N/A</v>
      </c>
      <c r="AN7">
        <f t="shared" si="4"/>
        <v>9</v>
      </c>
      <c r="AO7" t="str">
        <f>_xlfn.XLOOKUP(AN7,'Agências de Rating Soberano'!$H$2:$H$22,'Agências de Rating Soberano'!$G$2:$G$22)</f>
        <v>Ba3</v>
      </c>
      <c r="AP7" t="str">
        <f>_xlfn.XLOOKUP(AN7,'Agências de Rating Soberano'!$K$2:$K$22,'Agências de Rating Soberano'!$J$2:$J$22)</f>
        <v>BB-</v>
      </c>
      <c r="AQ7" s="20">
        <f t="shared" si="5"/>
        <v>31717</v>
      </c>
      <c r="AR7" s="20">
        <f t="shared" si="6"/>
        <v>34669</v>
      </c>
      <c r="AS7" s="20">
        <f t="shared" si="7"/>
        <v>35217</v>
      </c>
    </row>
    <row r="8" spans="1:45" x14ac:dyDescent="0.3">
      <c r="A8" s="53">
        <f t="shared" si="3"/>
        <v>31928</v>
      </c>
      <c r="B8" t="str">
        <f>IFERROR(_xlfn.XLOOKUP($A8,Planilha2!$A$2:$A$34,Planilha2!C$2:C$34,"",-1),"")</f>
        <v>Ba1</v>
      </c>
      <c r="C8" t="str">
        <f>IFERROR(_xlfn.XLOOKUP($A8,Planilha2!$A$2:$A$34,Planilha2!D$2:D$34,"",-1),"")</f>
        <v>-</v>
      </c>
      <c r="D8" t="str" cm="1">
        <f t="array" ref="D8">IF($A8&lt;MIN(Planilha2!$A$2:$A$34),"",_xlfn.LET(_xlpm.t,_xlfn.XLOOKUP($A8,Planilha2!$A$2:$A$34,Planilha2!$E$2:$E$34,"",-1),_xlfn.IFS(ISNUMBER(SEARCH("positiva",_xlpm.t)),"Positiva",ISNUMBER(SEARCH("negativa",_xlpm.t)),"Negativa",ISNUMBER(SEARCH("estável",_xlpm.t)),"Estável",TRUE,"n/d")))</f>
        <v>n/d</v>
      </c>
      <c r="E8" t="str">
        <f>IFERROR(_xlfn.XLOOKUP($A8,Planilha2!$J$2:$J$44,Planilha2!L$2:L$44,"",-1),"")</f>
        <v/>
      </c>
      <c r="F8" t="str">
        <f>IFERROR(_xlfn.XLOOKUP($A8,Planilha2!$J$2:$J$44,Planilha2!M$2:M$44,"",-1),"")</f>
        <v/>
      </c>
      <c r="G8" t="str" cm="1">
        <f t="array" ref="G8">IF($A8&lt;MIN(Planilha2!$J$2:$J$44),"",_xlfn.LET(_xlpm.t,_xlfn.XLOOKUP($A8,Planilha2!$J$2:$J$44,Planilha2!$N$2:$N$44,"",-1),_xlfn.IFS(ISNUMBER(SEARCH("positiva",_xlpm.t)),"Positiva",ISNUMBER(SEARCH("negativa",_xlpm.t)),"Negativa",ISNUMBER(SEARCH("estável",_xlpm.t)),"Estável",TRUE,"n/d")))</f>
        <v/>
      </c>
      <c r="H8" t="str">
        <f>IFERROR(_xlfn.XLOOKUP($A8,Planilha2!$P$2:$P$38,Planilha2!R$2:R$38,"",-1),"")</f>
        <v/>
      </c>
      <c r="I8" t="str">
        <f>IFERROR(_xlfn.XLOOKUP($A8,Planilha2!$P$2:$P$38,Planilha2!S$2:S$38,"",-1),"")</f>
        <v/>
      </c>
      <c r="J8" t="str" cm="1">
        <f t="array" ref="J8">IF($A8&lt;MIN(Planilha2!$P$2:$P$38),"",_xlfn.LET(_xlpm.t,_xlfn.XLOOKUP($A8,Planilha2!$P$2:$P$38,Planilha2!$T$2:$T$38,"",-1),_xlfn.IFS(ISNUMBER(SEARCH("positiva",_xlpm.t)),"Positiva",ISNUMBER(SEARCH("negativa",_xlpm.t)),"Negativa",ISNUMBER(SEARCH("estável",_xlpm.t)),"Estável",TRUE,"n/d")))</f>
        <v/>
      </c>
      <c r="L8" s="52">
        <f>IFERROR(_xlfn.XLOOKUP(B8,'Agências de Rating Soberano'!$G$2:$G$22,'Agências de Rating Soberano'!$H$2:$H$22),NA())</f>
        <v>11</v>
      </c>
      <c r="M8" s="52" t="e">
        <f>IFERROR(_xlfn.XLOOKUP(C8,'Agências de Rating Soberano'!$G$2:$G$22,'Agências de Rating Soberano'!$H$2:$H$22),NA())</f>
        <v>#N/A</v>
      </c>
      <c r="N8" s="52" t="e">
        <f>IFERROR(_xlfn.XLOOKUP(E8,'Agências de Rating Soberano'!$J$2:$J$22,'Agências de Rating Soberano'!$K$2:$K$22),NA())</f>
        <v>#N/A</v>
      </c>
      <c r="O8" s="52" t="e">
        <f>IFERROR(_xlfn.XLOOKUP(F8,'Agências de Rating Soberano'!$J$2:$J$22,'Agências de Rating Soberano'!$K$2:$K$22),NA())</f>
        <v>#N/A</v>
      </c>
      <c r="P8" s="52" t="e">
        <f>IFERROR(_xlfn.XLOOKUP(H8,'Agências de Rating Soberano'!$J$2:$J$22,'Agências de Rating Soberano'!$K$2:$K$22),NA())</f>
        <v>#N/A</v>
      </c>
      <c r="Q8" s="52" t="e">
        <f>IFERROR(_xlfn.XLOOKUP(I8,'Agências de Rating Soberano'!$J$2:$J$22,'Agências de Rating Soberano'!$K$2:$K$22),NA())</f>
        <v>#N/A</v>
      </c>
      <c r="S8" s="50">
        <f>Planilha2!A8</f>
        <v>42881</v>
      </c>
      <c r="T8">
        <f>IFERROR(_xlfn.XLOOKUP(Planilha2!C8,'Agências de Rating Soberano'!$G$2:$G$22,'Agências de Rating Soberano'!$H$2:$H$22),NA())</f>
        <v>10</v>
      </c>
      <c r="U8" t="str" cm="1">
        <f t="array" ref="U8">_xlfn.IFS(ISNUMBER(SEARCH("positiva",Planilha2!E8)),"Positiva",ISNUMBER(SEARCH("negativa",Planilha2!E8)),"Negativa",ISNUMBER(SEARCH("estável",Planilha2!E8)),"Estável",TRUE,"n/d")</f>
        <v>Negativa</v>
      </c>
      <c r="V8" t="e">
        <f t="shared" si="0"/>
        <v>#N/A</v>
      </c>
      <c r="W8" t="e">
        <f t="shared" si="0"/>
        <v>#N/A</v>
      </c>
      <c r="X8">
        <f t="shared" si="0"/>
        <v>10</v>
      </c>
      <c r="Z8" s="50">
        <f>Planilha2!J8</f>
        <v>44756</v>
      </c>
      <c r="AA8">
        <f>IFERROR(_xlfn.XLOOKUP(Planilha2!L8,'Agências de Rating Soberano'!$J$2:$J$22,'Agências de Rating Soberano'!$K$2:$K$22),NA())</f>
        <v>9</v>
      </c>
      <c r="AB8" t="str" cm="1">
        <f t="array" ref="AB8">_xlfn.IFS(ISNUMBER(SEARCH("positiva",Planilha2!N8)),"Positiva",ISNUMBER(SEARCH("negativa",Planilha2!N8)),"Negativa",ISNUMBER(SEARCH("estável",Planilha2!N8)),"Estável",TRUE,"n/d")</f>
        <v>Estável</v>
      </c>
      <c r="AC8" t="e">
        <f t="shared" si="1"/>
        <v>#N/A</v>
      </c>
      <c r="AD8">
        <f t="shared" si="1"/>
        <v>9</v>
      </c>
      <c r="AE8" t="e">
        <f t="shared" si="1"/>
        <v>#N/A</v>
      </c>
      <c r="AG8" s="50">
        <f>Planilha2!P8</f>
        <v>44175</v>
      </c>
      <c r="AH8">
        <f>IFERROR(_xlfn.XLOOKUP(Planilha2!R8,'Agências de Rating Soberano'!$J$2:$J$22,'Agências de Rating Soberano'!$K$2:$K$22),NA())</f>
        <v>9</v>
      </c>
      <c r="AI8" t="str" cm="1">
        <f t="array" ref="AI8">_xlfn.IFS(ISNUMBER(SEARCH("positiva",Planilha2!T8)),"Positiva",ISNUMBER(SEARCH("negativa",Planilha2!T8)),"Negativa",ISNUMBER(SEARCH("estável",Planilha2!T8)),"Estável",TRUE,"n/d")</f>
        <v>Estável</v>
      </c>
      <c r="AJ8" t="e">
        <f t="shared" si="2"/>
        <v>#N/A</v>
      </c>
      <c r="AK8">
        <f t="shared" si="2"/>
        <v>9</v>
      </c>
      <c r="AL8" t="e">
        <f t="shared" si="2"/>
        <v>#N/A</v>
      </c>
      <c r="AN8">
        <f t="shared" si="4"/>
        <v>10</v>
      </c>
      <c r="AO8" t="str">
        <f>_xlfn.XLOOKUP(AN8,'Agências de Rating Soberano'!$H$2:$H$22,'Agências de Rating Soberano'!$G$2:$G$22)</f>
        <v>Ba2</v>
      </c>
      <c r="AP8" t="str">
        <f>_xlfn.XLOOKUP(AN8,'Agências de Rating Soberano'!$K$2:$K$22,'Agências de Rating Soberano'!$J$2:$J$22)</f>
        <v>BB</v>
      </c>
      <c r="AQ8" s="20">
        <f t="shared" si="5"/>
        <v>31717</v>
      </c>
      <c r="AR8" s="20">
        <f t="shared" si="6"/>
        <v>34669</v>
      </c>
      <c r="AS8" s="20">
        <f t="shared" si="7"/>
        <v>35217</v>
      </c>
    </row>
    <row r="9" spans="1:45" x14ac:dyDescent="0.3">
      <c r="A9" s="53">
        <f t="shared" si="3"/>
        <v>31958</v>
      </c>
      <c r="B9" t="str">
        <f>IFERROR(_xlfn.XLOOKUP($A9,Planilha2!$A$2:$A$34,Planilha2!C$2:C$34,"",-1),"")</f>
        <v>Ba1</v>
      </c>
      <c r="C9" t="str">
        <f>IFERROR(_xlfn.XLOOKUP($A9,Planilha2!$A$2:$A$34,Planilha2!D$2:D$34,"",-1),"")</f>
        <v>-</v>
      </c>
      <c r="D9" t="str" cm="1">
        <f t="array" ref="D9">IF($A9&lt;MIN(Planilha2!$A$2:$A$34),"",_xlfn.LET(_xlpm.t,_xlfn.XLOOKUP($A9,Planilha2!$A$2:$A$34,Planilha2!$E$2:$E$34,"",-1),_xlfn.IFS(ISNUMBER(SEARCH("positiva",_xlpm.t)),"Positiva",ISNUMBER(SEARCH("negativa",_xlpm.t)),"Negativa",ISNUMBER(SEARCH("estável",_xlpm.t)),"Estável",TRUE,"n/d")))</f>
        <v>n/d</v>
      </c>
      <c r="E9" t="str">
        <f>IFERROR(_xlfn.XLOOKUP($A9,Planilha2!$J$2:$J$44,Planilha2!L$2:L$44,"",-1),"")</f>
        <v/>
      </c>
      <c r="F9" t="str">
        <f>IFERROR(_xlfn.XLOOKUP($A9,Planilha2!$J$2:$J$44,Planilha2!M$2:M$44,"",-1),"")</f>
        <v/>
      </c>
      <c r="G9" t="str" cm="1">
        <f t="array" ref="G9">IF($A9&lt;MIN(Planilha2!$J$2:$J$44),"",_xlfn.LET(_xlpm.t,_xlfn.XLOOKUP($A9,Planilha2!$J$2:$J$44,Planilha2!$N$2:$N$44,"",-1),_xlfn.IFS(ISNUMBER(SEARCH("positiva",_xlpm.t)),"Positiva",ISNUMBER(SEARCH("negativa",_xlpm.t)),"Negativa",ISNUMBER(SEARCH("estável",_xlpm.t)),"Estável",TRUE,"n/d")))</f>
        <v/>
      </c>
      <c r="H9" t="str">
        <f>IFERROR(_xlfn.XLOOKUP($A9,Planilha2!$P$2:$P$38,Planilha2!R$2:R$38,"",-1),"")</f>
        <v/>
      </c>
      <c r="I9" t="str">
        <f>IFERROR(_xlfn.XLOOKUP($A9,Planilha2!$P$2:$P$38,Planilha2!S$2:S$38,"",-1),"")</f>
        <v/>
      </c>
      <c r="J9" t="str" cm="1">
        <f t="array" ref="J9">IF($A9&lt;MIN(Planilha2!$P$2:$P$38),"",_xlfn.LET(_xlpm.t,_xlfn.XLOOKUP($A9,Planilha2!$P$2:$P$38,Planilha2!$T$2:$T$38,"",-1),_xlfn.IFS(ISNUMBER(SEARCH("positiva",_xlpm.t)),"Positiva",ISNUMBER(SEARCH("negativa",_xlpm.t)),"Negativa",ISNUMBER(SEARCH("estável",_xlpm.t)),"Estável",TRUE,"n/d")))</f>
        <v/>
      </c>
      <c r="L9" s="52">
        <f>IFERROR(_xlfn.XLOOKUP(B9,'Agências de Rating Soberano'!$G$2:$G$22,'Agências de Rating Soberano'!$H$2:$H$22),NA())</f>
        <v>11</v>
      </c>
      <c r="M9" s="52" t="e">
        <f>IFERROR(_xlfn.XLOOKUP(C9,'Agências de Rating Soberano'!$G$2:$G$22,'Agências de Rating Soberano'!$H$2:$H$22),NA())</f>
        <v>#N/A</v>
      </c>
      <c r="N9" s="52" t="e">
        <f>IFERROR(_xlfn.XLOOKUP(E9,'Agências de Rating Soberano'!$J$2:$J$22,'Agências de Rating Soberano'!$K$2:$K$22),NA())</f>
        <v>#N/A</v>
      </c>
      <c r="O9" s="52" t="e">
        <f>IFERROR(_xlfn.XLOOKUP(F9,'Agências de Rating Soberano'!$J$2:$J$22,'Agências de Rating Soberano'!$K$2:$K$22),NA())</f>
        <v>#N/A</v>
      </c>
      <c r="P9" s="52" t="e">
        <f>IFERROR(_xlfn.XLOOKUP(H9,'Agências de Rating Soberano'!$J$2:$J$22,'Agências de Rating Soberano'!$K$2:$K$22),NA())</f>
        <v>#N/A</v>
      </c>
      <c r="Q9" s="52" t="e">
        <f>IFERROR(_xlfn.XLOOKUP(I9,'Agências de Rating Soberano'!$J$2:$J$22,'Agências de Rating Soberano'!$K$2:$K$22),NA())</f>
        <v>#N/A</v>
      </c>
      <c r="S9" s="50">
        <f>Planilha2!A9</f>
        <v>42809</v>
      </c>
      <c r="T9">
        <f>IFERROR(_xlfn.XLOOKUP(Planilha2!C9,'Agências de Rating Soberano'!$G$2:$G$22,'Agências de Rating Soberano'!$H$2:$H$22),NA())</f>
        <v>10</v>
      </c>
      <c r="U9" t="str" cm="1">
        <f t="array" ref="U9">_xlfn.IFS(ISNUMBER(SEARCH("positiva",Planilha2!E9)),"Positiva",ISNUMBER(SEARCH("negativa",Planilha2!E9)),"Negativa",ISNUMBER(SEARCH("estável",Planilha2!E9)),"Estável",TRUE,"n/d")</f>
        <v>Estável</v>
      </c>
      <c r="V9" t="e">
        <f t="shared" si="0"/>
        <v>#N/A</v>
      </c>
      <c r="W9">
        <f t="shared" si="0"/>
        <v>10</v>
      </c>
      <c r="X9" t="e">
        <f t="shared" si="0"/>
        <v>#N/A</v>
      </c>
      <c r="Z9" s="50">
        <f>Planilha2!J9</f>
        <v>44544</v>
      </c>
      <c r="AA9">
        <f>IFERROR(_xlfn.XLOOKUP(Planilha2!L9,'Agências de Rating Soberano'!$J$2:$J$22,'Agências de Rating Soberano'!$K$2:$K$22),NA())</f>
        <v>9</v>
      </c>
      <c r="AB9" t="str" cm="1">
        <f t="array" ref="AB9">_xlfn.IFS(ISNUMBER(SEARCH("positiva",Planilha2!N9)),"Positiva",ISNUMBER(SEARCH("negativa",Planilha2!N9)),"Negativa",ISNUMBER(SEARCH("estável",Planilha2!N9)),"Estável",TRUE,"n/d")</f>
        <v>Negativa</v>
      </c>
      <c r="AC9" t="e">
        <f t="shared" si="1"/>
        <v>#N/A</v>
      </c>
      <c r="AD9" t="e">
        <f t="shared" si="1"/>
        <v>#N/A</v>
      </c>
      <c r="AE9">
        <f t="shared" si="1"/>
        <v>9</v>
      </c>
      <c r="AG9" s="50">
        <f>Planilha2!P9</f>
        <v>43927</v>
      </c>
      <c r="AH9">
        <f>IFERROR(_xlfn.XLOOKUP(Planilha2!R9,'Agências de Rating Soberano'!$J$2:$J$22,'Agências de Rating Soberano'!$K$2:$K$22),NA())</f>
        <v>9</v>
      </c>
      <c r="AI9" t="str" cm="1">
        <f t="array" ref="AI9">_xlfn.IFS(ISNUMBER(SEARCH("positiva",Planilha2!T9)),"Positiva",ISNUMBER(SEARCH("negativa",Planilha2!T9)),"Negativa",ISNUMBER(SEARCH("estável",Planilha2!T9)),"Estável",TRUE,"n/d")</f>
        <v>Estável</v>
      </c>
      <c r="AJ9" t="e">
        <f t="shared" si="2"/>
        <v>#N/A</v>
      </c>
      <c r="AK9">
        <f t="shared" si="2"/>
        <v>9</v>
      </c>
      <c r="AL9" t="e">
        <f t="shared" si="2"/>
        <v>#N/A</v>
      </c>
      <c r="AN9">
        <f t="shared" si="4"/>
        <v>11</v>
      </c>
      <c r="AO9" t="str">
        <f>_xlfn.XLOOKUP(AN9,'Agências de Rating Soberano'!$H$2:$H$22,'Agências de Rating Soberano'!$G$2:$G$22)</f>
        <v>Ba1</v>
      </c>
      <c r="AP9" t="str">
        <f>_xlfn.XLOOKUP(AN9,'Agências de Rating Soberano'!$K$2:$K$22,'Agências de Rating Soberano'!$J$2:$J$22)</f>
        <v>BB+</v>
      </c>
      <c r="AQ9" s="20">
        <f t="shared" si="5"/>
        <v>31717</v>
      </c>
      <c r="AR9" s="20">
        <f t="shared" si="6"/>
        <v>34669</v>
      </c>
      <c r="AS9" s="20">
        <f t="shared" si="7"/>
        <v>35217</v>
      </c>
    </row>
    <row r="10" spans="1:45" x14ac:dyDescent="0.3">
      <c r="A10" s="53">
        <f t="shared" si="3"/>
        <v>31989</v>
      </c>
      <c r="B10" t="str">
        <f>IFERROR(_xlfn.XLOOKUP($A10,Planilha2!$A$2:$A$34,Planilha2!C$2:C$34,"",-1),"")</f>
        <v>Ba1</v>
      </c>
      <c r="C10" t="str">
        <f>IFERROR(_xlfn.XLOOKUP($A10,Planilha2!$A$2:$A$34,Planilha2!D$2:D$34,"",-1),"")</f>
        <v>-</v>
      </c>
      <c r="D10" t="str" cm="1">
        <f t="array" ref="D10">IF($A10&lt;MIN(Planilha2!$A$2:$A$34),"",_xlfn.LET(_xlpm.t,_xlfn.XLOOKUP($A10,Planilha2!$A$2:$A$34,Planilha2!$E$2:$E$34,"",-1),_xlfn.IFS(ISNUMBER(SEARCH("positiva",_xlpm.t)),"Positiva",ISNUMBER(SEARCH("negativa",_xlpm.t)),"Negativa",ISNUMBER(SEARCH("estável",_xlpm.t)),"Estável",TRUE,"n/d")))</f>
        <v>n/d</v>
      </c>
      <c r="E10" t="str">
        <f>IFERROR(_xlfn.XLOOKUP($A10,Planilha2!$J$2:$J$44,Planilha2!L$2:L$44,"",-1),"")</f>
        <v/>
      </c>
      <c r="F10" t="str">
        <f>IFERROR(_xlfn.XLOOKUP($A10,Planilha2!$J$2:$J$44,Planilha2!M$2:M$44,"",-1),"")</f>
        <v/>
      </c>
      <c r="G10" t="str" cm="1">
        <f t="array" ref="G10">IF($A10&lt;MIN(Planilha2!$J$2:$J$44),"",_xlfn.LET(_xlpm.t,_xlfn.XLOOKUP($A10,Planilha2!$J$2:$J$44,Planilha2!$N$2:$N$44,"",-1),_xlfn.IFS(ISNUMBER(SEARCH("positiva",_xlpm.t)),"Positiva",ISNUMBER(SEARCH("negativa",_xlpm.t)),"Negativa",ISNUMBER(SEARCH("estável",_xlpm.t)),"Estável",TRUE,"n/d")))</f>
        <v/>
      </c>
      <c r="H10" t="str">
        <f>IFERROR(_xlfn.XLOOKUP($A10,Planilha2!$P$2:$P$38,Planilha2!R$2:R$38,"",-1),"")</f>
        <v/>
      </c>
      <c r="I10" t="str">
        <f>IFERROR(_xlfn.XLOOKUP($A10,Planilha2!$P$2:$P$38,Planilha2!S$2:S$38,"",-1),"")</f>
        <v/>
      </c>
      <c r="J10" t="str" cm="1">
        <f t="array" ref="J10">IF($A10&lt;MIN(Planilha2!$P$2:$P$38),"",_xlfn.LET(_xlpm.t,_xlfn.XLOOKUP($A10,Planilha2!$P$2:$P$38,Planilha2!$T$2:$T$38,"",-1),_xlfn.IFS(ISNUMBER(SEARCH("positiva",_xlpm.t)),"Positiva",ISNUMBER(SEARCH("negativa",_xlpm.t)),"Negativa",ISNUMBER(SEARCH("estável",_xlpm.t)),"Estável",TRUE,"n/d")))</f>
        <v/>
      </c>
      <c r="L10" s="52">
        <f>IFERROR(_xlfn.XLOOKUP(B10,'Agências de Rating Soberano'!$G$2:$G$22,'Agências de Rating Soberano'!$H$2:$H$22),NA())</f>
        <v>11</v>
      </c>
      <c r="M10" s="52" t="e">
        <f>IFERROR(_xlfn.XLOOKUP(C10,'Agências de Rating Soberano'!$G$2:$G$22,'Agências de Rating Soberano'!$H$2:$H$22),NA())</f>
        <v>#N/A</v>
      </c>
      <c r="N10" s="52" t="e">
        <f>IFERROR(_xlfn.XLOOKUP(E10,'Agências de Rating Soberano'!$J$2:$J$22,'Agências de Rating Soberano'!$K$2:$K$22),NA())</f>
        <v>#N/A</v>
      </c>
      <c r="O10" s="52" t="e">
        <f>IFERROR(_xlfn.XLOOKUP(F10,'Agências de Rating Soberano'!$J$2:$J$22,'Agências de Rating Soberano'!$K$2:$K$22),NA())</f>
        <v>#N/A</v>
      </c>
      <c r="P10" s="52" t="e">
        <f>IFERROR(_xlfn.XLOOKUP(H10,'Agências de Rating Soberano'!$J$2:$J$22,'Agências de Rating Soberano'!$K$2:$K$22),NA())</f>
        <v>#N/A</v>
      </c>
      <c r="Q10" s="52" t="e">
        <f>IFERROR(_xlfn.XLOOKUP(I10,'Agências de Rating Soberano'!$J$2:$J$22,'Agências de Rating Soberano'!$K$2:$K$22),NA())</f>
        <v>#N/A</v>
      </c>
      <c r="S10" s="50">
        <f>Planilha2!A10</f>
        <v>42424</v>
      </c>
      <c r="T10">
        <f>IFERROR(_xlfn.XLOOKUP(Planilha2!C10,'Agências de Rating Soberano'!$G$2:$G$22,'Agências de Rating Soberano'!$H$2:$H$22),NA())</f>
        <v>10</v>
      </c>
      <c r="U10" t="str" cm="1">
        <f t="array" ref="U10">_xlfn.IFS(ISNUMBER(SEARCH("positiva",Planilha2!E10)),"Positiva",ISNUMBER(SEARCH("negativa",Planilha2!E10)),"Negativa",ISNUMBER(SEARCH("estável",Planilha2!E10)),"Estável",TRUE,"n/d")</f>
        <v>Negativa</v>
      </c>
      <c r="V10" t="e">
        <f t="shared" si="0"/>
        <v>#N/A</v>
      </c>
      <c r="W10" t="e">
        <f t="shared" si="0"/>
        <v>#N/A</v>
      </c>
      <c r="X10">
        <f t="shared" si="0"/>
        <v>10</v>
      </c>
      <c r="Z10" s="50">
        <f>Planilha2!J10</f>
        <v>44343</v>
      </c>
      <c r="AA10">
        <f>IFERROR(_xlfn.XLOOKUP(Planilha2!L10,'Agências de Rating Soberano'!$J$2:$J$22,'Agências de Rating Soberano'!$K$2:$K$22),NA())</f>
        <v>9</v>
      </c>
      <c r="AB10" t="str" cm="1">
        <f t="array" ref="AB10">_xlfn.IFS(ISNUMBER(SEARCH("positiva",Planilha2!N10)),"Positiva",ISNUMBER(SEARCH("negativa",Planilha2!N10)),"Negativa",ISNUMBER(SEARCH("estável",Planilha2!N10)),"Estável",TRUE,"n/d")</f>
        <v>Negativa</v>
      </c>
      <c r="AC10" t="e">
        <f t="shared" si="1"/>
        <v>#N/A</v>
      </c>
      <c r="AD10" t="e">
        <f t="shared" si="1"/>
        <v>#N/A</v>
      </c>
      <c r="AE10">
        <f t="shared" si="1"/>
        <v>9</v>
      </c>
      <c r="AG10" s="50">
        <f>Planilha2!P10</f>
        <v>43810</v>
      </c>
      <c r="AH10">
        <f>IFERROR(_xlfn.XLOOKUP(Planilha2!R10,'Agências de Rating Soberano'!$J$2:$J$22,'Agências de Rating Soberano'!$K$2:$K$22),NA())</f>
        <v>9</v>
      </c>
      <c r="AI10" t="str" cm="1">
        <f t="array" ref="AI10">_xlfn.IFS(ISNUMBER(SEARCH("positiva",Planilha2!T10)),"Positiva",ISNUMBER(SEARCH("negativa",Planilha2!T10)),"Negativa",ISNUMBER(SEARCH("estável",Planilha2!T10)),"Estável",TRUE,"n/d")</f>
        <v>Positiva</v>
      </c>
      <c r="AJ10">
        <f t="shared" si="2"/>
        <v>9</v>
      </c>
      <c r="AK10" t="e">
        <f t="shared" si="2"/>
        <v>#N/A</v>
      </c>
      <c r="AL10" t="e">
        <f t="shared" si="2"/>
        <v>#N/A</v>
      </c>
      <c r="AN10">
        <f t="shared" si="4"/>
        <v>12</v>
      </c>
      <c r="AO10" t="str">
        <f>_xlfn.XLOOKUP(AN10,'Agências de Rating Soberano'!$H$2:$H$22,'Agências de Rating Soberano'!$G$2:$G$22)</f>
        <v>Baa3</v>
      </c>
      <c r="AP10" t="str">
        <f>_xlfn.XLOOKUP(AN10,'Agências de Rating Soberano'!$K$2:$K$22,'Agências de Rating Soberano'!$J$2:$J$22)</f>
        <v>BBB-</v>
      </c>
      <c r="AQ10" s="20">
        <f t="shared" si="5"/>
        <v>31717</v>
      </c>
      <c r="AR10" s="20">
        <f t="shared" si="6"/>
        <v>34669</v>
      </c>
      <c r="AS10" s="20">
        <f t="shared" si="7"/>
        <v>35217</v>
      </c>
    </row>
    <row r="11" spans="1:45" x14ac:dyDescent="0.3">
      <c r="A11" s="53">
        <f t="shared" si="3"/>
        <v>32020</v>
      </c>
      <c r="B11" t="str">
        <f>IFERROR(_xlfn.XLOOKUP($A11,Planilha2!$A$2:$A$34,Planilha2!C$2:C$34,"",-1),"")</f>
        <v>Ba1</v>
      </c>
      <c r="C11" t="str">
        <f>IFERROR(_xlfn.XLOOKUP($A11,Planilha2!$A$2:$A$34,Planilha2!D$2:D$34,"",-1),"")</f>
        <v>-</v>
      </c>
      <c r="D11" t="str" cm="1">
        <f t="array" ref="D11">IF($A11&lt;MIN(Planilha2!$A$2:$A$34),"",_xlfn.LET(_xlpm.t,_xlfn.XLOOKUP($A11,Planilha2!$A$2:$A$34,Planilha2!$E$2:$E$34,"",-1),_xlfn.IFS(ISNUMBER(SEARCH("positiva",_xlpm.t)),"Positiva",ISNUMBER(SEARCH("negativa",_xlpm.t)),"Negativa",ISNUMBER(SEARCH("estável",_xlpm.t)),"Estável",TRUE,"n/d")))</f>
        <v>n/d</v>
      </c>
      <c r="E11" t="str">
        <f>IFERROR(_xlfn.XLOOKUP($A11,Planilha2!$J$2:$J$44,Planilha2!L$2:L$44,"",-1),"")</f>
        <v/>
      </c>
      <c r="F11" t="str">
        <f>IFERROR(_xlfn.XLOOKUP($A11,Planilha2!$J$2:$J$44,Planilha2!M$2:M$44,"",-1),"")</f>
        <v/>
      </c>
      <c r="G11" t="str" cm="1">
        <f t="array" ref="G11">IF($A11&lt;MIN(Planilha2!$J$2:$J$44),"",_xlfn.LET(_xlpm.t,_xlfn.XLOOKUP($A11,Planilha2!$J$2:$J$44,Planilha2!$N$2:$N$44,"",-1),_xlfn.IFS(ISNUMBER(SEARCH("positiva",_xlpm.t)),"Positiva",ISNUMBER(SEARCH("negativa",_xlpm.t)),"Negativa",ISNUMBER(SEARCH("estável",_xlpm.t)),"Estável",TRUE,"n/d")))</f>
        <v/>
      </c>
      <c r="H11" t="str">
        <f>IFERROR(_xlfn.XLOOKUP($A11,Planilha2!$P$2:$P$38,Planilha2!R$2:R$38,"",-1),"")</f>
        <v/>
      </c>
      <c r="I11" t="str">
        <f>IFERROR(_xlfn.XLOOKUP($A11,Planilha2!$P$2:$P$38,Planilha2!S$2:S$38,"",-1),"")</f>
        <v/>
      </c>
      <c r="J11" t="str" cm="1">
        <f t="array" ref="J11">IF($A11&lt;MIN(Planilha2!$P$2:$P$38),"",_xlfn.LET(_xlpm.t,_xlfn.XLOOKUP($A11,Planilha2!$P$2:$P$38,Planilha2!$T$2:$T$38,"",-1),_xlfn.IFS(ISNUMBER(SEARCH("positiva",_xlpm.t)),"Positiva",ISNUMBER(SEARCH("negativa",_xlpm.t)),"Negativa",ISNUMBER(SEARCH("estável",_xlpm.t)),"Estável",TRUE,"n/d")))</f>
        <v/>
      </c>
      <c r="L11" s="52">
        <f>IFERROR(_xlfn.XLOOKUP(B11,'Agências de Rating Soberano'!$G$2:$G$22,'Agências de Rating Soberano'!$H$2:$H$22),NA())</f>
        <v>11</v>
      </c>
      <c r="M11" s="52" t="e">
        <f>IFERROR(_xlfn.XLOOKUP(C11,'Agências de Rating Soberano'!$G$2:$G$22,'Agências de Rating Soberano'!$H$2:$H$22),NA())</f>
        <v>#N/A</v>
      </c>
      <c r="N11" s="52" t="e">
        <f>IFERROR(_xlfn.XLOOKUP(E11,'Agências de Rating Soberano'!$J$2:$J$22,'Agências de Rating Soberano'!$K$2:$K$22),NA())</f>
        <v>#N/A</v>
      </c>
      <c r="O11" s="52" t="e">
        <f>IFERROR(_xlfn.XLOOKUP(F11,'Agências de Rating Soberano'!$J$2:$J$22,'Agências de Rating Soberano'!$K$2:$K$22),NA())</f>
        <v>#N/A</v>
      </c>
      <c r="P11" s="52" t="e">
        <f>IFERROR(_xlfn.XLOOKUP(H11,'Agências de Rating Soberano'!$J$2:$J$22,'Agências de Rating Soberano'!$K$2:$K$22),NA())</f>
        <v>#N/A</v>
      </c>
      <c r="Q11" s="52" t="e">
        <f>IFERROR(_xlfn.XLOOKUP(I11,'Agências de Rating Soberano'!$J$2:$J$22,'Agências de Rating Soberano'!$K$2:$K$22),NA())</f>
        <v>#N/A</v>
      </c>
      <c r="S11" s="50">
        <f>Planilha2!A11</f>
        <v>42227</v>
      </c>
      <c r="T11">
        <f>IFERROR(_xlfn.XLOOKUP(Planilha2!C11,'Agências de Rating Soberano'!$G$2:$G$22,'Agências de Rating Soberano'!$H$2:$H$22),NA())</f>
        <v>12</v>
      </c>
      <c r="U11" t="str" cm="1">
        <f t="array" ref="U11">_xlfn.IFS(ISNUMBER(SEARCH("positiva",Planilha2!E11)),"Positiva",ISNUMBER(SEARCH("negativa",Planilha2!E11)),"Negativa",ISNUMBER(SEARCH("estável",Planilha2!E11)),"Estável",TRUE,"n/d")</f>
        <v>Estável</v>
      </c>
      <c r="V11" t="e">
        <f t="shared" si="0"/>
        <v>#N/A</v>
      </c>
      <c r="W11">
        <f t="shared" si="0"/>
        <v>12</v>
      </c>
      <c r="X11" t="e">
        <f t="shared" si="0"/>
        <v>#N/A</v>
      </c>
      <c r="Z11" s="50">
        <f>Planilha2!J11</f>
        <v>44153</v>
      </c>
      <c r="AA11">
        <f>IFERROR(_xlfn.XLOOKUP(Planilha2!L11,'Agências de Rating Soberano'!$J$2:$J$22,'Agências de Rating Soberano'!$K$2:$K$22),NA())</f>
        <v>9</v>
      </c>
      <c r="AB11" t="str" cm="1">
        <f t="array" ref="AB11">_xlfn.IFS(ISNUMBER(SEARCH("positiva",Planilha2!N11)),"Positiva",ISNUMBER(SEARCH("negativa",Planilha2!N11)),"Negativa",ISNUMBER(SEARCH("estável",Planilha2!N11)),"Estável",TRUE,"n/d")</f>
        <v>Negativa</v>
      </c>
      <c r="AC11" t="e">
        <f t="shared" si="1"/>
        <v>#N/A</v>
      </c>
      <c r="AD11" t="e">
        <f t="shared" si="1"/>
        <v>#N/A</v>
      </c>
      <c r="AE11">
        <f t="shared" si="1"/>
        <v>9</v>
      </c>
      <c r="AG11" s="50">
        <f>Planilha2!P11</f>
        <v>43503</v>
      </c>
      <c r="AH11">
        <f>IFERROR(_xlfn.XLOOKUP(Planilha2!R11,'Agências de Rating Soberano'!$J$2:$J$22,'Agências de Rating Soberano'!$K$2:$K$22),NA())</f>
        <v>9</v>
      </c>
      <c r="AI11" t="str" cm="1">
        <f t="array" ref="AI11">_xlfn.IFS(ISNUMBER(SEARCH("positiva",Planilha2!T11)),"Positiva",ISNUMBER(SEARCH("negativa",Planilha2!T11)),"Negativa",ISNUMBER(SEARCH("estável",Planilha2!T11)),"Estável",TRUE,"n/d")</f>
        <v>Estável</v>
      </c>
      <c r="AJ11" t="e">
        <f t="shared" si="2"/>
        <v>#N/A</v>
      </c>
      <c r="AK11">
        <f t="shared" si="2"/>
        <v>9</v>
      </c>
      <c r="AL11" t="e">
        <f t="shared" si="2"/>
        <v>#N/A</v>
      </c>
      <c r="AN11">
        <f t="shared" si="4"/>
        <v>13</v>
      </c>
      <c r="AO11" t="str">
        <f>_xlfn.XLOOKUP(AN11,'Agências de Rating Soberano'!$H$2:$H$22,'Agências de Rating Soberano'!$G$2:$G$22)</f>
        <v>Baa2</v>
      </c>
      <c r="AP11" t="str">
        <f>_xlfn.XLOOKUP(AN11,'Agências de Rating Soberano'!$K$2:$K$22,'Agências de Rating Soberano'!$J$2:$J$22)</f>
        <v>BBB</v>
      </c>
      <c r="AQ11" s="20">
        <f t="shared" si="5"/>
        <v>31717</v>
      </c>
      <c r="AR11" s="20">
        <f t="shared" si="6"/>
        <v>34669</v>
      </c>
      <c r="AS11" s="20">
        <f t="shared" si="7"/>
        <v>35217</v>
      </c>
    </row>
    <row r="12" spans="1:45" x14ac:dyDescent="0.3">
      <c r="A12" s="53">
        <f t="shared" si="3"/>
        <v>32050</v>
      </c>
      <c r="B12" t="str">
        <f>IFERROR(_xlfn.XLOOKUP($A12,Planilha2!$A$2:$A$34,Planilha2!C$2:C$34,"",-1),"")</f>
        <v>Ba1</v>
      </c>
      <c r="C12" t="str">
        <f>IFERROR(_xlfn.XLOOKUP($A12,Planilha2!$A$2:$A$34,Planilha2!D$2:D$34,"",-1),"")</f>
        <v>-</v>
      </c>
      <c r="D12" t="str" cm="1">
        <f t="array" ref="D12">IF($A12&lt;MIN(Planilha2!$A$2:$A$34),"",_xlfn.LET(_xlpm.t,_xlfn.XLOOKUP($A12,Planilha2!$A$2:$A$34,Planilha2!$E$2:$E$34,"",-1),_xlfn.IFS(ISNUMBER(SEARCH("positiva",_xlpm.t)),"Positiva",ISNUMBER(SEARCH("negativa",_xlpm.t)),"Negativa",ISNUMBER(SEARCH("estável",_xlpm.t)),"Estável",TRUE,"n/d")))</f>
        <v>n/d</v>
      </c>
      <c r="E12" t="str">
        <f>IFERROR(_xlfn.XLOOKUP($A12,Planilha2!$J$2:$J$44,Planilha2!L$2:L$44,"",-1),"")</f>
        <v/>
      </c>
      <c r="F12" t="str">
        <f>IFERROR(_xlfn.XLOOKUP($A12,Planilha2!$J$2:$J$44,Planilha2!M$2:M$44,"",-1),"")</f>
        <v/>
      </c>
      <c r="G12" t="str" cm="1">
        <f t="array" ref="G12">IF($A12&lt;MIN(Planilha2!$J$2:$J$44),"",_xlfn.LET(_xlpm.t,_xlfn.XLOOKUP($A12,Planilha2!$J$2:$J$44,Planilha2!$N$2:$N$44,"",-1),_xlfn.IFS(ISNUMBER(SEARCH("positiva",_xlpm.t)),"Positiva",ISNUMBER(SEARCH("negativa",_xlpm.t)),"Negativa",ISNUMBER(SEARCH("estável",_xlpm.t)),"Estável",TRUE,"n/d")))</f>
        <v/>
      </c>
      <c r="H12" t="str">
        <f>IFERROR(_xlfn.XLOOKUP($A12,Planilha2!$P$2:$P$38,Planilha2!R$2:R$38,"",-1),"")</f>
        <v/>
      </c>
      <c r="I12" t="str">
        <f>IFERROR(_xlfn.XLOOKUP($A12,Planilha2!$P$2:$P$38,Planilha2!S$2:S$38,"",-1),"")</f>
        <v/>
      </c>
      <c r="J12" t="str" cm="1">
        <f t="array" ref="J12">IF($A12&lt;MIN(Planilha2!$P$2:$P$38),"",_xlfn.LET(_xlpm.t,_xlfn.XLOOKUP($A12,Planilha2!$P$2:$P$38,Planilha2!$T$2:$T$38,"",-1),_xlfn.IFS(ISNUMBER(SEARCH("positiva",_xlpm.t)),"Positiva",ISNUMBER(SEARCH("negativa",_xlpm.t)),"Negativa",ISNUMBER(SEARCH("estável",_xlpm.t)),"Estável",TRUE,"n/d")))</f>
        <v/>
      </c>
      <c r="L12" s="52">
        <f>IFERROR(_xlfn.XLOOKUP(B12,'Agências de Rating Soberano'!$G$2:$G$22,'Agências de Rating Soberano'!$H$2:$H$22),NA())</f>
        <v>11</v>
      </c>
      <c r="M12" s="52" t="e">
        <f>IFERROR(_xlfn.XLOOKUP(C12,'Agências de Rating Soberano'!$G$2:$G$22,'Agências de Rating Soberano'!$H$2:$H$22),NA())</f>
        <v>#N/A</v>
      </c>
      <c r="N12" s="52" t="e">
        <f>IFERROR(_xlfn.XLOOKUP(E12,'Agências de Rating Soberano'!$J$2:$J$22,'Agências de Rating Soberano'!$K$2:$K$22),NA())</f>
        <v>#N/A</v>
      </c>
      <c r="O12" s="52" t="e">
        <f>IFERROR(_xlfn.XLOOKUP(F12,'Agências de Rating Soberano'!$J$2:$J$22,'Agências de Rating Soberano'!$K$2:$K$22),NA())</f>
        <v>#N/A</v>
      </c>
      <c r="P12" s="52" t="e">
        <f>IFERROR(_xlfn.XLOOKUP(H12,'Agências de Rating Soberano'!$J$2:$J$22,'Agências de Rating Soberano'!$K$2:$K$22),NA())</f>
        <v>#N/A</v>
      </c>
      <c r="Q12" s="52" t="e">
        <f>IFERROR(_xlfn.XLOOKUP(I12,'Agências de Rating Soberano'!$J$2:$J$22,'Agências de Rating Soberano'!$K$2:$K$22),NA())</f>
        <v>#N/A</v>
      </c>
      <c r="S12" s="50">
        <f>Planilha2!A12</f>
        <v>41891</v>
      </c>
      <c r="T12">
        <f>IFERROR(_xlfn.XLOOKUP(Planilha2!C12,'Agências de Rating Soberano'!$G$2:$G$22,'Agências de Rating Soberano'!$H$2:$H$22),NA())</f>
        <v>13</v>
      </c>
      <c r="U12" t="str" cm="1">
        <f t="array" ref="U12">_xlfn.IFS(ISNUMBER(SEARCH("positiva",Planilha2!E12)),"Positiva",ISNUMBER(SEARCH("negativa",Planilha2!E12)),"Negativa",ISNUMBER(SEARCH("estável",Planilha2!E12)),"Estável",TRUE,"n/d")</f>
        <v>Negativa</v>
      </c>
      <c r="V12" t="e">
        <f t="shared" si="0"/>
        <v>#N/A</v>
      </c>
      <c r="W12" t="e">
        <f t="shared" si="0"/>
        <v>#N/A</v>
      </c>
      <c r="X12">
        <f t="shared" si="0"/>
        <v>13</v>
      </c>
      <c r="Z12" s="50">
        <f>Planilha2!J12</f>
        <v>43956</v>
      </c>
      <c r="AA12">
        <f>IFERROR(_xlfn.XLOOKUP(Planilha2!L12,'Agências de Rating Soberano'!$J$2:$J$22,'Agências de Rating Soberano'!$K$2:$K$22),NA())</f>
        <v>9</v>
      </c>
      <c r="AB12" t="str" cm="1">
        <f t="array" ref="AB12">_xlfn.IFS(ISNUMBER(SEARCH("positiva",Planilha2!N12)),"Positiva",ISNUMBER(SEARCH("negativa",Planilha2!N12)),"Negativa",ISNUMBER(SEARCH("estável",Planilha2!N12)),"Estável",TRUE,"n/d")</f>
        <v>Negativa</v>
      </c>
      <c r="AC12" t="e">
        <f t="shared" si="1"/>
        <v>#N/A</v>
      </c>
      <c r="AD12" t="e">
        <f t="shared" si="1"/>
        <v>#N/A</v>
      </c>
      <c r="AE12">
        <f t="shared" si="1"/>
        <v>9</v>
      </c>
      <c r="AG12" s="50">
        <f>Planilha2!P12</f>
        <v>43321</v>
      </c>
      <c r="AH12">
        <f>IFERROR(_xlfn.XLOOKUP(Planilha2!R12,'Agências de Rating Soberano'!$J$2:$J$22,'Agências de Rating Soberano'!$K$2:$K$22),NA())</f>
        <v>9</v>
      </c>
      <c r="AI12" t="str" cm="1">
        <f t="array" ref="AI12">_xlfn.IFS(ISNUMBER(SEARCH("positiva",Planilha2!T12)),"Positiva",ISNUMBER(SEARCH("negativa",Planilha2!T12)),"Negativa",ISNUMBER(SEARCH("estável",Planilha2!T12)),"Estável",TRUE,"n/d")</f>
        <v>Estável</v>
      </c>
      <c r="AJ12" t="e">
        <f t="shared" si="2"/>
        <v>#N/A</v>
      </c>
      <c r="AK12">
        <f t="shared" si="2"/>
        <v>9</v>
      </c>
      <c r="AL12" t="e">
        <f t="shared" si="2"/>
        <v>#N/A</v>
      </c>
      <c r="AN12">
        <f t="shared" si="4"/>
        <v>14</v>
      </c>
      <c r="AO12" t="str">
        <f>_xlfn.XLOOKUP(AN12,'Agências de Rating Soberano'!$H$2:$H$22,'Agências de Rating Soberano'!$G$2:$G$22)</f>
        <v>Baa1</v>
      </c>
      <c r="AP12" t="str">
        <f>_xlfn.XLOOKUP(AN12,'Agências de Rating Soberano'!$K$2:$K$22,'Agências de Rating Soberano'!$J$2:$J$22)</f>
        <v>BBB+</v>
      </c>
      <c r="AQ12" s="20">
        <f t="shared" si="5"/>
        <v>31717</v>
      </c>
      <c r="AR12" s="20">
        <f t="shared" si="6"/>
        <v>34669</v>
      </c>
      <c r="AS12" s="20">
        <f t="shared" si="7"/>
        <v>35217</v>
      </c>
    </row>
    <row r="13" spans="1:45" x14ac:dyDescent="0.3">
      <c r="A13" s="53">
        <f t="shared" si="3"/>
        <v>32081</v>
      </c>
      <c r="B13" t="str">
        <f>IFERROR(_xlfn.XLOOKUP($A13,Planilha2!$A$2:$A$34,Planilha2!C$2:C$34,"",-1),"")</f>
        <v>Ba1</v>
      </c>
      <c r="C13" t="str">
        <f>IFERROR(_xlfn.XLOOKUP($A13,Planilha2!$A$2:$A$34,Planilha2!D$2:D$34,"",-1),"")</f>
        <v>-</v>
      </c>
      <c r="D13" t="str" cm="1">
        <f t="array" ref="D13">IF($A13&lt;MIN(Planilha2!$A$2:$A$34),"",_xlfn.LET(_xlpm.t,_xlfn.XLOOKUP($A13,Planilha2!$A$2:$A$34,Planilha2!$E$2:$E$34,"",-1),_xlfn.IFS(ISNUMBER(SEARCH("positiva",_xlpm.t)),"Positiva",ISNUMBER(SEARCH("negativa",_xlpm.t)),"Negativa",ISNUMBER(SEARCH("estável",_xlpm.t)),"Estável",TRUE,"n/d")))</f>
        <v>n/d</v>
      </c>
      <c r="E13" t="str">
        <f>IFERROR(_xlfn.XLOOKUP($A13,Planilha2!$J$2:$J$44,Planilha2!L$2:L$44,"",-1),"")</f>
        <v/>
      </c>
      <c r="F13" t="str">
        <f>IFERROR(_xlfn.XLOOKUP($A13,Planilha2!$J$2:$J$44,Planilha2!M$2:M$44,"",-1),"")</f>
        <v/>
      </c>
      <c r="G13" t="str" cm="1">
        <f t="array" ref="G13">IF($A13&lt;MIN(Planilha2!$J$2:$J$44),"",_xlfn.LET(_xlpm.t,_xlfn.XLOOKUP($A13,Planilha2!$J$2:$J$44,Planilha2!$N$2:$N$44,"",-1),_xlfn.IFS(ISNUMBER(SEARCH("positiva",_xlpm.t)),"Positiva",ISNUMBER(SEARCH("negativa",_xlpm.t)),"Negativa",ISNUMBER(SEARCH("estável",_xlpm.t)),"Estável",TRUE,"n/d")))</f>
        <v/>
      </c>
      <c r="H13" t="str">
        <f>IFERROR(_xlfn.XLOOKUP($A13,Planilha2!$P$2:$P$38,Planilha2!R$2:R$38,"",-1),"")</f>
        <v/>
      </c>
      <c r="I13" t="str">
        <f>IFERROR(_xlfn.XLOOKUP($A13,Planilha2!$P$2:$P$38,Planilha2!S$2:S$38,"",-1),"")</f>
        <v/>
      </c>
      <c r="J13" t="str" cm="1">
        <f t="array" ref="J13">IF($A13&lt;MIN(Planilha2!$P$2:$P$38),"",_xlfn.LET(_xlpm.t,_xlfn.XLOOKUP($A13,Planilha2!$P$2:$P$38,Planilha2!$T$2:$T$38,"",-1),_xlfn.IFS(ISNUMBER(SEARCH("positiva",_xlpm.t)),"Positiva",ISNUMBER(SEARCH("negativa",_xlpm.t)),"Negativa",ISNUMBER(SEARCH("estável",_xlpm.t)),"Estável",TRUE,"n/d")))</f>
        <v/>
      </c>
      <c r="L13" s="52">
        <f>IFERROR(_xlfn.XLOOKUP(B13,'Agências de Rating Soberano'!$G$2:$G$22,'Agências de Rating Soberano'!$H$2:$H$22),NA())</f>
        <v>11</v>
      </c>
      <c r="M13" s="52" t="e">
        <f>IFERROR(_xlfn.XLOOKUP(C13,'Agências de Rating Soberano'!$G$2:$G$22,'Agências de Rating Soberano'!$H$2:$H$22),NA())</f>
        <v>#N/A</v>
      </c>
      <c r="N13" s="52" t="e">
        <f>IFERROR(_xlfn.XLOOKUP(E13,'Agências de Rating Soberano'!$J$2:$J$22,'Agências de Rating Soberano'!$K$2:$K$22),NA())</f>
        <v>#N/A</v>
      </c>
      <c r="O13" s="52" t="e">
        <f>IFERROR(_xlfn.XLOOKUP(F13,'Agências de Rating Soberano'!$J$2:$J$22,'Agências de Rating Soberano'!$K$2:$K$22),NA())</f>
        <v>#N/A</v>
      </c>
      <c r="P13" s="52" t="e">
        <f>IFERROR(_xlfn.XLOOKUP(H13,'Agências de Rating Soberano'!$J$2:$J$22,'Agências de Rating Soberano'!$K$2:$K$22),NA())</f>
        <v>#N/A</v>
      </c>
      <c r="Q13" s="52" t="e">
        <f>IFERROR(_xlfn.XLOOKUP(I13,'Agências de Rating Soberano'!$J$2:$J$22,'Agências de Rating Soberano'!$K$2:$K$22),NA())</f>
        <v>#N/A</v>
      </c>
      <c r="S13" s="50">
        <f>Planilha2!A13</f>
        <v>41549</v>
      </c>
      <c r="T13">
        <f>IFERROR(_xlfn.XLOOKUP(Planilha2!C13,'Agências de Rating Soberano'!$G$2:$G$22,'Agências de Rating Soberano'!$H$2:$H$22),NA())</f>
        <v>13</v>
      </c>
      <c r="U13" t="str" cm="1">
        <f t="array" ref="U13">_xlfn.IFS(ISNUMBER(SEARCH("positiva",Planilha2!E13)),"Positiva",ISNUMBER(SEARCH("negativa",Planilha2!E13)),"Negativa",ISNUMBER(SEARCH("estável",Planilha2!E13)),"Estável",TRUE,"n/d")</f>
        <v>Estável</v>
      </c>
      <c r="V13" t="e">
        <f t="shared" si="0"/>
        <v>#N/A</v>
      </c>
      <c r="W13">
        <f t="shared" si="0"/>
        <v>13</v>
      </c>
      <c r="X13" t="e">
        <f t="shared" si="0"/>
        <v>#N/A</v>
      </c>
      <c r="Z13" s="50">
        <f>Planilha2!J13</f>
        <v>43783</v>
      </c>
      <c r="AA13">
        <f>IFERROR(_xlfn.XLOOKUP(Planilha2!L13,'Agências de Rating Soberano'!$J$2:$J$22,'Agências de Rating Soberano'!$K$2:$K$22),NA())</f>
        <v>9</v>
      </c>
      <c r="AB13" t="str" cm="1">
        <f t="array" ref="AB13">_xlfn.IFS(ISNUMBER(SEARCH("positiva",Planilha2!N13)),"Positiva",ISNUMBER(SEARCH("negativa",Planilha2!N13)),"Negativa",ISNUMBER(SEARCH("estável",Planilha2!N13)),"Estável",TRUE,"n/d")</f>
        <v>Estável</v>
      </c>
      <c r="AC13" t="e">
        <f t="shared" si="1"/>
        <v>#N/A</v>
      </c>
      <c r="AD13">
        <f t="shared" si="1"/>
        <v>9</v>
      </c>
      <c r="AE13" t="e">
        <f t="shared" si="1"/>
        <v>#N/A</v>
      </c>
      <c r="AG13" s="50">
        <f>Planilha2!P13</f>
        <v>43111</v>
      </c>
      <c r="AH13">
        <f>IFERROR(_xlfn.XLOOKUP(Planilha2!R13,'Agências de Rating Soberano'!$J$2:$J$22,'Agências de Rating Soberano'!$K$2:$K$22),NA())</f>
        <v>9</v>
      </c>
      <c r="AI13" t="str" cm="1">
        <f t="array" ref="AI13">_xlfn.IFS(ISNUMBER(SEARCH("positiva",Planilha2!T13)),"Positiva",ISNUMBER(SEARCH("negativa",Planilha2!T13)),"Negativa",ISNUMBER(SEARCH("estável",Planilha2!T13)),"Estável",TRUE,"n/d")</f>
        <v>Estável</v>
      </c>
      <c r="AJ13" t="e">
        <f t="shared" si="2"/>
        <v>#N/A</v>
      </c>
      <c r="AK13">
        <f t="shared" si="2"/>
        <v>9</v>
      </c>
      <c r="AL13" t="e">
        <f t="shared" si="2"/>
        <v>#N/A</v>
      </c>
      <c r="AN13">
        <f t="shared" si="4"/>
        <v>15</v>
      </c>
      <c r="AO13" t="str">
        <f>_xlfn.XLOOKUP(AN13,'Agências de Rating Soberano'!$H$2:$H$22,'Agências de Rating Soberano'!$G$2:$G$22)</f>
        <v>A3</v>
      </c>
      <c r="AP13" t="str">
        <f>_xlfn.XLOOKUP(AN13,'Agências de Rating Soberano'!$K$2:$K$22,'Agências de Rating Soberano'!$J$2:$J$22)</f>
        <v>A-</v>
      </c>
      <c r="AQ13" s="20">
        <f t="shared" si="5"/>
        <v>31717</v>
      </c>
      <c r="AR13" s="20">
        <f t="shared" si="6"/>
        <v>34669</v>
      </c>
      <c r="AS13" s="20">
        <f t="shared" si="7"/>
        <v>35217</v>
      </c>
    </row>
    <row r="14" spans="1:45" x14ac:dyDescent="0.3">
      <c r="A14" s="53">
        <f t="shared" si="3"/>
        <v>32111</v>
      </c>
      <c r="B14" t="str">
        <f>IFERROR(_xlfn.XLOOKUP($A14,Planilha2!$A$2:$A$34,Planilha2!C$2:C$34,"",-1),"")</f>
        <v>Ba1</v>
      </c>
      <c r="C14" t="str">
        <f>IFERROR(_xlfn.XLOOKUP($A14,Planilha2!$A$2:$A$34,Planilha2!D$2:D$34,"",-1),"")</f>
        <v>-</v>
      </c>
      <c r="D14" t="str" cm="1">
        <f t="array" ref="D14">IF($A14&lt;MIN(Planilha2!$A$2:$A$34),"",_xlfn.LET(_xlpm.t,_xlfn.XLOOKUP($A14,Planilha2!$A$2:$A$34,Planilha2!$E$2:$E$34,"",-1),_xlfn.IFS(ISNUMBER(SEARCH("positiva",_xlpm.t)),"Positiva",ISNUMBER(SEARCH("negativa",_xlpm.t)),"Negativa",ISNUMBER(SEARCH("estável",_xlpm.t)),"Estável",TRUE,"n/d")))</f>
        <v>n/d</v>
      </c>
      <c r="E14" t="str">
        <f>IFERROR(_xlfn.XLOOKUP($A14,Planilha2!$J$2:$J$44,Planilha2!L$2:L$44,"",-1),"")</f>
        <v/>
      </c>
      <c r="F14" t="str">
        <f>IFERROR(_xlfn.XLOOKUP($A14,Planilha2!$J$2:$J$44,Planilha2!M$2:M$44,"",-1),"")</f>
        <v/>
      </c>
      <c r="G14" t="str" cm="1">
        <f t="array" ref="G14">IF($A14&lt;MIN(Planilha2!$J$2:$J$44),"",_xlfn.LET(_xlpm.t,_xlfn.XLOOKUP($A14,Planilha2!$J$2:$J$44,Planilha2!$N$2:$N$44,"",-1),_xlfn.IFS(ISNUMBER(SEARCH("positiva",_xlpm.t)),"Positiva",ISNUMBER(SEARCH("negativa",_xlpm.t)),"Negativa",ISNUMBER(SEARCH("estável",_xlpm.t)),"Estável",TRUE,"n/d")))</f>
        <v/>
      </c>
      <c r="H14" t="str">
        <f>IFERROR(_xlfn.XLOOKUP($A14,Planilha2!$P$2:$P$38,Planilha2!R$2:R$38,"",-1),"")</f>
        <v/>
      </c>
      <c r="I14" t="str">
        <f>IFERROR(_xlfn.XLOOKUP($A14,Planilha2!$P$2:$P$38,Planilha2!S$2:S$38,"",-1),"")</f>
        <v/>
      </c>
      <c r="J14" t="str" cm="1">
        <f t="array" ref="J14">IF($A14&lt;MIN(Planilha2!$P$2:$P$38),"",_xlfn.LET(_xlpm.t,_xlfn.XLOOKUP($A14,Planilha2!$P$2:$P$38,Planilha2!$T$2:$T$38,"",-1),_xlfn.IFS(ISNUMBER(SEARCH("positiva",_xlpm.t)),"Positiva",ISNUMBER(SEARCH("negativa",_xlpm.t)),"Negativa",ISNUMBER(SEARCH("estável",_xlpm.t)),"Estável",TRUE,"n/d")))</f>
        <v/>
      </c>
      <c r="L14" s="52">
        <f>IFERROR(_xlfn.XLOOKUP(B14,'Agências de Rating Soberano'!$G$2:$G$22,'Agências de Rating Soberano'!$H$2:$H$22),NA())</f>
        <v>11</v>
      </c>
      <c r="M14" s="52" t="e">
        <f>IFERROR(_xlfn.XLOOKUP(C14,'Agências de Rating Soberano'!$G$2:$G$22,'Agências de Rating Soberano'!$H$2:$H$22),NA())</f>
        <v>#N/A</v>
      </c>
      <c r="N14" s="52" t="e">
        <f>IFERROR(_xlfn.XLOOKUP(E14,'Agências de Rating Soberano'!$J$2:$J$22,'Agências de Rating Soberano'!$K$2:$K$22),NA())</f>
        <v>#N/A</v>
      </c>
      <c r="O14" s="52" t="e">
        <f>IFERROR(_xlfn.XLOOKUP(F14,'Agências de Rating Soberano'!$J$2:$J$22,'Agências de Rating Soberano'!$K$2:$K$22),NA())</f>
        <v>#N/A</v>
      </c>
      <c r="P14" s="52" t="e">
        <f>IFERROR(_xlfn.XLOOKUP(H14,'Agências de Rating Soberano'!$J$2:$J$22,'Agências de Rating Soberano'!$K$2:$K$22),NA())</f>
        <v>#N/A</v>
      </c>
      <c r="Q14" s="52" t="e">
        <f>IFERROR(_xlfn.XLOOKUP(I14,'Agências de Rating Soberano'!$J$2:$J$22,'Agências de Rating Soberano'!$K$2:$K$22),NA())</f>
        <v>#N/A</v>
      </c>
      <c r="S14" s="50">
        <f>Planilha2!A14</f>
        <v>40714</v>
      </c>
      <c r="T14">
        <f>IFERROR(_xlfn.XLOOKUP(Planilha2!C14,'Agências de Rating Soberano'!$G$2:$G$22,'Agências de Rating Soberano'!$H$2:$H$22),NA())</f>
        <v>13</v>
      </c>
      <c r="U14" t="str" cm="1">
        <f t="array" ref="U14">_xlfn.IFS(ISNUMBER(SEARCH("positiva",Planilha2!E14)),"Positiva",ISNUMBER(SEARCH("negativa",Planilha2!E14)),"Negativa",ISNUMBER(SEARCH("estável",Planilha2!E14)),"Estável",TRUE,"n/d")</f>
        <v>Positiva</v>
      </c>
      <c r="V14">
        <f t="shared" si="0"/>
        <v>13</v>
      </c>
      <c r="W14" t="e">
        <f t="shared" si="0"/>
        <v>#N/A</v>
      </c>
      <c r="X14" t="e">
        <f t="shared" si="0"/>
        <v>#N/A</v>
      </c>
      <c r="Z14" s="50">
        <f>Planilha2!J14</f>
        <v>43606</v>
      </c>
      <c r="AA14">
        <f>IFERROR(_xlfn.XLOOKUP(Planilha2!L14,'Agências de Rating Soberano'!$J$2:$J$22,'Agências de Rating Soberano'!$K$2:$K$22),NA())</f>
        <v>9</v>
      </c>
      <c r="AB14" t="str" cm="1">
        <f t="array" ref="AB14">_xlfn.IFS(ISNUMBER(SEARCH("positiva",Planilha2!N14)),"Positiva",ISNUMBER(SEARCH("negativa",Planilha2!N14)),"Negativa",ISNUMBER(SEARCH("estável",Planilha2!N14)),"Estável",TRUE,"n/d")</f>
        <v>Estável</v>
      </c>
      <c r="AC14" t="e">
        <f t="shared" si="1"/>
        <v>#N/A</v>
      </c>
      <c r="AD14">
        <f t="shared" si="1"/>
        <v>9</v>
      </c>
      <c r="AE14" t="e">
        <f t="shared" si="1"/>
        <v>#N/A</v>
      </c>
      <c r="AG14" s="50">
        <f>Planilha2!P14</f>
        <v>42877</v>
      </c>
      <c r="AH14">
        <f>IFERROR(_xlfn.XLOOKUP(Planilha2!R14,'Agências de Rating Soberano'!$J$2:$J$22,'Agências de Rating Soberano'!$K$2:$K$22),NA())</f>
        <v>10</v>
      </c>
      <c r="AI14" t="str" cm="1">
        <f t="array" ref="AI14">_xlfn.IFS(ISNUMBER(SEARCH("positiva",Planilha2!T14)),"Positiva",ISNUMBER(SEARCH("negativa",Planilha2!T14)),"Negativa",ISNUMBER(SEARCH("estável",Planilha2!T14)),"Estável",TRUE,"n/d")</f>
        <v>Negativa</v>
      </c>
      <c r="AJ14" t="e">
        <f t="shared" si="2"/>
        <v>#N/A</v>
      </c>
      <c r="AK14" t="e">
        <f t="shared" si="2"/>
        <v>#N/A</v>
      </c>
      <c r="AL14">
        <f t="shared" si="2"/>
        <v>10</v>
      </c>
      <c r="AN14">
        <f t="shared" si="4"/>
        <v>16</v>
      </c>
      <c r="AO14" t="str">
        <f>_xlfn.XLOOKUP(AN14,'Agências de Rating Soberano'!$H$2:$H$22,'Agências de Rating Soberano'!$G$2:$G$22)</f>
        <v>A2</v>
      </c>
      <c r="AP14" t="str">
        <f>_xlfn.XLOOKUP(AN14,'Agências de Rating Soberano'!$K$2:$K$22,'Agências de Rating Soberano'!$J$2:$J$22)</f>
        <v>A</v>
      </c>
      <c r="AQ14" s="20">
        <f t="shared" si="5"/>
        <v>31717</v>
      </c>
      <c r="AR14" s="20">
        <f t="shared" si="6"/>
        <v>34669</v>
      </c>
      <c r="AS14" s="20">
        <f t="shared" si="7"/>
        <v>35217</v>
      </c>
    </row>
    <row r="15" spans="1:45" x14ac:dyDescent="0.3">
      <c r="A15" s="53">
        <f t="shared" si="3"/>
        <v>32142</v>
      </c>
      <c r="B15" t="str">
        <f>IFERROR(_xlfn.XLOOKUP($A15,Planilha2!$A$2:$A$34,Planilha2!C$2:C$34,"",-1),"")</f>
        <v>Ba1</v>
      </c>
      <c r="C15" t="str">
        <f>IFERROR(_xlfn.XLOOKUP($A15,Planilha2!$A$2:$A$34,Planilha2!D$2:D$34,"",-1),"")</f>
        <v>-</v>
      </c>
      <c r="D15" t="str" cm="1">
        <f t="array" ref="D15">IF($A15&lt;MIN(Planilha2!$A$2:$A$34),"",_xlfn.LET(_xlpm.t,_xlfn.XLOOKUP($A15,Planilha2!$A$2:$A$34,Planilha2!$E$2:$E$34,"",-1),_xlfn.IFS(ISNUMBER(SEARCH("positiva",_xlpm.t)),"Positiva",ISNUMBER(SEARCH("negativa",_xlpm.t)),"Negativa",ISNUMBER(SEARCH("estável",_xlpm.t)),"Estável",TRUE,"n/d")))</f>
        <v>n/d</v>
      </c>
      <c r="E15" t="str">
        <f>IFERROR(_xlfn.XLOOKUP($A15,Planilha2!$J$2:$J$44,Planilha2!L$2:L$44,"",-1),"")</f>
        <v/>
      </c>
      <c r="F15" t="str">
        <f>IFERROR(_xlfn.XLOOKUP($A15,Planilha2!$J$2:$J$44,Planilha2!M$2:M$44,"",-1),"")</f>
        <v/>
      </c>
      <c r="G15" t="str" cm="1">
        <f t="array" ref="G15">IF($A15&lt;MIN(Planilha2!$J$2:$J$44),"",_xlfn.LET(_xlpm.t,_xlfn.XLOOKUP($A15,Planilha2!$J$2:$J$44,Planilha2!$N$2:$N$44,"",-1),_xlfn.IFS(ISNUMBER(SEARCH("positiva",_xlpm.t)),"Positiva",ISNUMBER(SEARCH("negativa",_xlpm.t)),"Negativa",ISNUMBER(SEARCH("estável",_xlpm.t)),"Estável",TRUE,"n/d")))</f>
        <v/>
      </c>
      <c r="H15" t="str">
        <f>IFERROR(_xlfn.XLOOKUP($A15,Planilha2!$P$2:$P$38,Planilha2!R$2:R$38,"",-1),"")</f>
        <v/>
      </c>
      <c r="I15" t="str">
        <f>IFERROR(_xlfn.XLOOKUP($A15,Planilha2!$P$2:$P$38,Planilha2!S$2:S$38,"",-1),"")</f>
        <v/>
      </c>
      <c r="J15" t="str" cm="1">
        <f t="array" ref="J15">IF($A15&lt;MIN(Planilha2!$P$2:$P$38),"",_xlfn.LET(_xlpm.t,_xlfn.XLOOKUP($A15,Planilha2!$P$2:$P$38,Planilha2!$T$2:$T$38,"",-1),_xlfn.IFS(ISNUMBER(SEARCH("positiva",_xlpm.t)),"Positiva",ISNUMBER(SEARCH("negativa",_xlpm.t)),"Negativa",ISNUMBER(SEARCH("estável",_xlpm.t)),"Estável",TRUE,"n/d")))</f>
        <v/>
      </c>
      <c r="L15" s="52">
        <f>IFERROR(_xlfn.XLOOKUP(B15,'Agências de Rating Soberano'!$G$2:$G$22,'Agências de Rating Soberano'!$H$2:$H$22),NA())</f>
        <v>11</v>
      </c>
      <c r="M15" s="52" t="e">
        <f>IFERROR(_xlfn.XLOOKUP(C15,'Agências de Rating Soberano'!$G$2:$G$22,'Agências de Rating Soberano'!$H$2:$H$22),NA())</f>
        <v>#N/A</v>
      </c>
      <c r="N15" s="52" t="e">
        <f>IFERROR(_xlfn.XLOOKUP(E15,'Agências de Rating Soberano'!$J$2:$J$22,'Agências de Rating Soberano'!$K$2:$K$22),NA())</f>
        <v>#N/A</v>
      </c>
      <c r="O15" s="52" t="e">
        <f>IFERROR(_xlfn.XLOOKUP(F15,'Agências de Rating Soberano'!$J$2:$J$22,'Agências de Rating Soberano'!$K$2:$K$22),NA())</f>
        <v>#N/A</v>
      </c>
      <c r="P15" s="52" t="e">
        <f>IFERROR(_xlfn.XLOOKUP(H15,'Agências de Rating Soberano'!$J$2:$J$22,'Agências de Rating Soberano'!$K$2:$K$22),NA())</f>
        <v>#N/A</v>
      </c>
      <c r="Q15" s="52" t="e">
        <f>IFERROR(_xlfn.XLOOKUP(I15,'Agências de Rating Soberano'!$J$2:$J$22,'Agências de Rating Soberano'!$K$2:$K$22),NA())</f>
        <v>#N/A</v>
      </c>
      <c r="S15" s="50">
        <f>Planilha2!A15</f>
        <v>40078</v>
      </c>
      <c r="T15">
        <f>IFERROR(_xlfn.XLOOKUP(Planilha2!C15,'Agências de Rating Soberano'!$G$2:$G$22,'Agências de Rating Soberano'!$H$2:$H$22),NA())</f>
        <v>12</v>
      </c>
      <c r="U15" t="str" cm="1">
        <f t="array" ref="U15">_xlfn.IFS(ISNUMBER(SEARCH("positiva",Planilha2!E15)),"Positiva",ISNUMBER(SEARCH("negativa",Planilha2!E15)),"Negativa",ISNUMBER(SEARCH("estável",Planilha2!E15)),"Estável",TRUE,"n/d")</f>
        <v>Positiva</v>
      </c>
      <c r="V15">
        <f t="shared" si="0"/>
        <v>12</v>
      </c>
      <c r="W15" t="e">
        <f t="shared" si="0"/>
        <v>#N/A</v>
      </c>
      <c r="X15" t="e">
        <f t="shared" si="0"/>
        <v>#N/A</v>
      </c>
      <c r="Z15" s="50">
        <f>Planilha2!J15</f>
        <v>43313</v>
      </c>
      <c r="AA15">
        <f>IFERROR(_xlfn.XLOOKUP(Planilha2!L15,'Agências de Rating Soberano'!$J$2:$J$22,'Agências de Rating Soberano'!$K$2:$K$22),NA())</f>
        <v>9</v>
      </c>
      <c r="AB15" t="str" cm="1">
        <f t="array" ref="AB15">_xlfn.IFS(ISNUMBER(SEARCH("positiva",Planilha2!N15)),"Positiva",ISNUMBER(SEARCH("negativa",Planilha2!N15)),"Negativa",ISNUMBER(SEARCH("estável",Planilha2!N15)),"Estável",TRUE,"n/d")</f>
        <v>Estável</v>
      </c>
      <c r="AC15" t="e">
        <f t="shared" si="1"/>
        <v>#N/A</v>
      </c>
      <c r="AD15">
        <f t="shared" si="1"/>
        <v>9</v>
      </c>
      <c r="AE15" t="e">
        <f t="shared" si="1"/>
        <v>#N/A</v>
      </c>
      <c r="AG15" s="50">
        <f>Planilha2!P15</f>
        <v>42775</v>
      </c>
      <c r="AH15">
        <f>IFERROR(_xlfn.XLOOKUP(Planilha2!R15,'Agências de Rating Soberano'!$J$2:$J$22,'Agências de Rating Soberano'!$K$2:$K$22),NA())</f>
        <v>10</v>
      </c>
      <c r="AI15" t="str" cm="1">
        <f t="array" ref="AI15">_xlfn.IFS(ISNUMBER(SEARCH("positiva",Planilha2!T15)),"Positiva",ISNUMBER(SEARCH("negativa",Planilha2!T15)),"Negativa",ISNUMBER(SEARCH("estável",Planilha2!T15)),"Estável",TRUE,"n/d")</f>
        <v>Negativa</v>
      </c>
      <c r="AJ15" t="e">
        <f t="shared" si="2"/>
        <v>#N/A</v>
      </c>
      <c r="AK15" t="e">
        <f t="shared" si="2"/>
        <v>#N/A</v>
      </c>
      <c r="AL15">
        <f t="shared" si="2"/>
        <v>10</v>
      </c>
    </row>
    <row r="16" spans="1:45" x14ac:dyDescent="0.3">
      <c r="A16" s="53">
        <f t="shared" si="3"/>
        <v>32173</v>
      </c>
      <c r="B16" t="str">
        <f>IFERROR(_xlfn.XLOOKUP($A16,Planilha2!$A$2:$A$34,Planilha2!C$2:C$34,"",-1),"")</f>
        <v>Ba1</v>
      </c>
      <c r="C16" t="str">
        <f>IFERROR(_xlfn.XLOOKUP($A16,Planilha2!$A$2:$A$34,Planilha2!D$2:D$34,"",-1),"")</f>
        <v>-</v>
      </c>
      <c r="D16" t="str" cm="1">
        <f t="array" ref="D16">IF($A16&lt;MIN(Planilha2!$A$2:$A$34),"",_xlfn.LET(_xlpm.t,_xlfn.XLOOKUP($A16,Planilha2!$A$2:$A$34,Planilha2!$E$2:$E$34,"",-1),_xlfn.IFS(ISNUMBER(SEARCH("positiva",_xlpm.t)),"Positiva",ISNUMBER(SEARCH("negativa",_xlpm.t)),"Negativa",ISNUMBER(SEARCH("estável",_xlpm.t)),"Estável",TRUE,"n/d")))</f>
        <v>n/d</v>
      </c>
      <c r="E16" t="str">
        <f>IFERROR(_xlfn.XLOOKUP($A16,Planilha2!$J$2:$J$44,Planilha2!L$2:L$44,"",-1),"")</f>
        <v/>
      </c>
      <c r="F16" t="str">
        <f>IFERROR(_xlfn.XLOOKUP($A16,Planilha2!$J$2:$J$44,Planilha2!M$2:M$44,"",-1),"")</f>
        <v/>
      </c>
      <c r="G16" t="str" cm="1">
        <f t="array" ref="G16">IF($A16&lt;MIN(Planilha2!$J$2:$J$44),"",_xlfn.LET(_xlpm.t,_xlfn.XLOOKUP($A16,Planilha2!$J$2:$J$44,Planilha2!$N$2:$N$44,"",-1),_xlfn.IFS(ISNUMBER(SEARCH("positiva",_xlpm.t)),"Positiva",ISNUMBER(SEARCH("negativa",_xlpm.t)),"Negativa",ISNUMBER(SEARCH("estável",_xlpm.t)),"Estável",TRUE,"n/d")))</f>
        <v/>
      </c>
      <c r="H16" t="str">
        <f>IFERROR(_xlfn.XLOOKUP($A16,Planilha2!$P$2:$P$38,Planilha2!R$2:R$38,"",-1),"")</f>
        <v/>
      </c>
      <c r="I16" t="str">
        <f>IFERROR(_xlfn.XLOOKUP($A16,Planilha2!$P$2:$P$38,Planilha2!S$2:S$38,"",-1),"")</f>
        <v/>
      </c>
      <c r="J16" t="str" cm="1">
        <f t="array" ref="J16">IF($A16&lt;MIN(Planilha2!$P$2:$P$38),"",_xlfn.LET(_xlpm.t,_xlfn.XLOOKUP($A16,Planilha2!$P$2:$P$38,Planilha2!$T$2:$T$38,"",-1),_xlfn.IFS(ISNUMBER(SEARCH("positiva",_xlpm.t)),"Positiva",ISNUMBER(SEARCH("negativa",_xlpm.t)),"Negativa",ISNUMBER(SEARCH("estável",_xlpm.t)),"Estável",TRUE,"n/d")))</f>
        <v/>
      </c>
      <c r="L16" s="52">
        <f>IFERROR(_xlfn.XLOOKUP(B16,'Agências de Rating Soberano'!$G$2:$G$22,'Agências de Rating Soberano'!$H$2:$H$22),NA())</f>
        <v>11</v>
      </c>
      <c r="M16" s="52" t="e">
        <f>IFERROR(_xlfn.XLOOKUP(C16,'Agências de Rating Soberano'!$G$2:$G$22,'Agências de Rating Soberano'!$H$2:$H$22),NA())</f>
        <v>#N/A</v>
      </c>
      <c r="N16" s="52" t="e">
        <f>IFERROR(_xlfn.XLOOKUP(E16,'Agências de Rating Soberano'!$J$2:$J$22,'Agências de Rating Soberano'!$K$2:$K$22),NA())</f>
        <v>#N/A</v>
      </c>
      <c r="O16" s="52" t="e">
        <f>IFERROR(_xlfn.XLOOKUP(F16,'Agências de Rating Soberano'!$J$2:$J$22,'Agências de Rating Soberano'!$K$2:$K$22),NA())</f>
        <v>#N/A</v>
      </c>
      <c r="P16" s="52" t="e">
        <f>IFERROR(_xlfn.XLOOKUP(H16,'Agências de Rating Soberano'!$J$2:$J$22,'Agências de Rating Soberano'!$K$2:$K$22),NA())</f>
        <v>#N/A</v>
      </c>
      <c r="Q16" s="52" t="e">
        <f>IFERROR(_xlfn.XLOOKUP(I16,'Agências de Rating Soberano'!$J$2:$J$22,'Agências de Rating Soberano'!$K$2:$K$22),NA())</f>
        <v>#N/A</v>
      </c>
      <c r="S16" s="50">
        <f>Planilha2!A16</f>
        <v>40000</v>
      </c>
      <c r="T16">
        <f>IFERROR(_xlfn.XLOOKUP(Planilha2!C16,'Agências de Rating Soberano'!$G$2:$G$22,'Agências de Rating Soberano'!$H$2:$H$22),NA())</f>
        <v>11</v>
      </c>
      <c r="U16" t="str" cm="1">
        <f t="array" ref="U16">_xlfn.IFS(ISNUMBER(SEARCH("positiva",Planilha2!E16)),"Positiva",ISNUMBER(SEARCH("negativa",Planilha2!E16)),"Negativa",ISNUMBER(SEARCH("estável",Planilha2!E16)),"Estável",TRUE,"n/d")</f>
        <v>Positiva</v>
      </c>
      <c r="V16">
        <f t="shared" si="0"/>
        <v>11</v>
      </c>
      <c r="W16" t="e">
        <f t="shared" si="0"/>
        <v>#N/A</v>
      </c>
      <c r="X16" t="e">
        <f t="shared" si="0"/>
        <v>#N/A</v>
      </c>
      <c r="Z16" s="50">
        <f>Planilha2!J16</f>
        <v>43154</v>
      </c>
      <c r="AA16">
        <f>IFERROR(_xlfn.XLOOKUP(Planilha2!L16,'Agências de Rating Soberano'!$J$2:$J$22,'Agências de Rating Soberano'!$K$2:$K$22),NA())</f>
        <v>9</v>
      </c>
      <c r="AB16" t="str" cm="1">
        <f t="array" ref="AB16">_xlfn.IFS(ISNUMBER(SEARCH("positiva",Planilha2!N16)),"Positiva",ISNUMBER(SEARCH("negativa",Planilha2!N16)),"Negativa",ISNUMBER(SEARCH("estável",Planilha2!N16)),"Estável",TRUE,"n/d")</f>
        <v>Estável</v>
      </c>
      <c r="AC16" t="e">
        <f t="shared" si="1"/>
        <v>#N/A</v>
      </c>
      <c r="AD16">
        <f t="shared" si="1"/>
        <v>9</v>
      </c>
      <c r="AE16" t="e">
        <f t="shared" si="1"/>
        <v>#N/A</v>
      </c>
      <c r="AG16" s="50">
        <f>Planilha2!P16</f>
        <v>42417</v>
      </c>
      <c r="AH16">
        <f>IFERROR(_xlfn.XLOOKUP(Planilha2!R16,'Agências de Rating Soberano'!$J$2:$J$22,'Agências de Rating Soberano'!$K$2:$K$22),NA())</f>
        <v>10</v>
      </c>
      <c r="AI16" t="str" cm="1">
        <f t="array" ref="AI16">_xlfn.IFS(ISNUMBER(SEARCH("positiva",Planilha2!T16)),"Positiva",ISNUMBER(SEARCH("negativa",Planilha2!T16)),"Negativa",ISNUMBER(SEARCH("estável",Planilha2!T16)),"Estável",TRUE,"n/d")</f>
        <v>Negativa</v>
      </c>
      <c r="AJ16" t="e">
        <f t="shared" si="2"/>
        <v>#N/A</v>
      </c>
      <c r="AK16" t="e">
        <f t="shared" si="2"/>
        <v>#N/A</v>
      </c>
      <c r="AL16">
        <f t="shared" si="2"/>
        <v>10</v>
      </c>
    </row>
    <row r="17" spans="1:38" x14ac:dyDescent="0.3">
      <c r="A17" s="53">
        <f t="shared" si="3"/>
        <v>32202</v>
      </c>
      <c r="B17" t="str">
        <f>IFERROR(_xlfn.XLOOKUP($A17,Planilha2!$A$2:$A$34,Planilha2!C$2:C$34,"",-1),"")</f>
        <v>Ba1</v>
      </c>
      <c r="C17" t="str">
        <f>IFERROR(_xlfn.XLOOKUP($A17,Planilha2!$A$2:$A$34,Planilha2!D$2:D$34,"",-1),"")</f>
        <v>-</v>
      </c>
      <c r="D17" t="str" cm="1">
        <f t="array" ref="D17">IF($A17&lt;MIN(Planilha2!$A$2:$A$34),"",_xlfn.LET(_xlpm.t,_xlfn.XLOOKUP($A17,Planilha2!$A$2:$A$34,Planilha2!$E$2:$E$34,"",-1),_xlfn.IFS(ISNUMBER(SEARCH("positiva",_xlpm.t)),"Positiva",ISNUMBER(SEARCH("negativa",_xlpm.t)),"Negativa",ISNUMBER(SEARCH("estável",_xlpm.t)),"Estável",TRUE,"n/d")))</f>
        <v>n/d</v>
      </c>
      <c r="E17" t="str">
        <f>IFERROR(_xlfn.XLOOKUP($A17,Planilha2!$J$2:$J$44,Planilha2!L$2:L$44,"",-1),"")</f>
        <v/>
      </c>
      <c r="F17" t="str">
        <f>IFERROR(_xlfn.XLOOKUP($A17,Planilha2!$J$2:$J$44,Planilha2!M$2:M$44,"",-1),"")</f>
        <v/>
      </c>
      <c r="G17" t="str" cm="1">
        <f t="array" ref="G17">IF($A17&lt;MIN(Planilha2!$J$2:$J$44),"",_xlfn.LET(_xlpm.t,_xlfn.XLOOKUP($A17,Planilha2!$J$2:$J$44,Planilha2!$N$2:$N$44,"",-1),_xlfn.IFS(ISNUMBER(SEARCH("positiva",_xlpm.t)),"Positiva",ISNUMBER(SEARCH("negativa",_xlpm.t)),"Negativa",ISNUMBER(SEARCH("estável",_xlpm.t)),"Estável",TRUE,"n/d")))</f>
        <v/>
      </c>
      <c r="H17" t="str">
        <f>IFERROR(_xlfn.XLOOKUP($A17,Planilha2!$P$2:$P$38,Planilha2!R$2:R$38,"",-1),"")</f>
        <v/>
      </c>
      <c r="I17" t="str">
        <f>IFERROR(_xlfn.XLOOKUP($A17,Planilha2!$P$2:$P$38,Planilha2!S$2:S$38,"",-1),"")</f>
        <v/>
      </c>
      <c r="J17" t="str" cm="1">
        <f t="array" ref="J17">IF($A17&lt;MIN(Planilha2!$P$2:$P$38),"",_xlfn.LET(_xlpm.t,_xlfn.XLOOKUP($A17,Planilha2!$P$2:$P$38,Planilha2!$T$2:$T$38,"",-1),_xlfn.IFS(ISNUMBER(SEARCH("positiva",_xlpm.t)),"Positiva",ISNUMBER(SEARCH("negativa",_xlpm.t)),"Negativa",ISNUMBER(SEARCH("estável",_xlpm.t)),"Estável",TRUE,"n/d")))</f>
        <v/>
      </c>
      <c r="L17" s="52">
        <f>IFERROR(_xlfn.XLOOKUP(B17,'Agências de Rating Soberano'!$G$2:$G$22,'Agências de Rating Soberano'!$H$2:$H$22),NA())</f>
        <v>11</v>
      </c>
      <c r="M17" s="52" t="e">
        <f>IFERROR(_xlfn.XLOOKUP(C17,'Agências de Rating Soberano'!$G$2:$G$22,'Agências de Rating Soberano'!$H$2:$H$22),NA())</f>
        <v>#N/A</v>
      </c>
      <c r="N17" s="52" t="e">
        <f>IFERROR(_xlfn.XLOOKUP(E17,'Agências de Rating Soberano'!$J$2:$J$22,'Agências de Rating Soberano'!$K$2:$K$22),NA())</f>
        <v>#N/A</v>
      </c>
      <c r="O17" s="52" t="e">
        <f>IFERROR(_xlfn.XLOOKUP(F17,'Agências de Rating Soberano'!$J$2:$J$22,'Agências de Rating Soberano'!$K$2:$K$22),NA())</f>
        <v>#N/A</v>
      </c>
      <c r="P17" s="52" t="e">
        <f>IFERROR(_xlfn.XLOOKUP(H17,'Agências de Rating Soberano'!$J$2:$J$22,'Agências de Rating Soberano'!$K$2:$K$22),NA())</f>
        <v>#N/A</v>
      </c>
      <c r="Q17" s="52" t="e">
        <f>IFERROR(_xlfn.XLOOKUP(I17,'Agências de Rating Soberano'!$J$2:$J$22,'Agências de Rating Soberano'!$K$2:$K$22),NA())</f>
        <v>#N/A</v>
      </c>
      <c r="S17" s="50">
        <f>Planilha2!A17</f>
        <v>39295</v>
      </c>
      <c r="T17">
        <f>IFERROR(_xlfn.XLOOKUP(Planilha2!C17,'Agências de Rating Soberano'!$G$2:$G$22,'Agências de Rating Soberano'!$H$2:$H$22),NA())</f>
        <v>11</v>
      </c>
      <c r="U17" t="str" cm="1">
        <f t="array" ref="U17">_xlfn.IFS(ISNUMBER(SEARCH("positiva",Planilha2!E17)),"Positiva",ISNUMBER(SEARCH("negativa",Planilha2!E17)),"Negativa",ISNUMBER(SEARCH("estável",Planilha2!E17)),"Estável",TRUE,"n/d")</f>
        <v>Estável</v>
      </c>
      <c r="V17" t="e">
        <f t="shared" si="0"/>
        <v>#N/A</v>
      </c>
      <c r="W17">
        <f t="shared" si="0"/>
        <v>11</v>
      </c>
      <c r="X17" t="e">
        <f t="shared" si="0"/>
        <v>#N/A</v>
      </c>
      <c r="Z17" s="50">
        <f>Planilha2!J17</f>
        <v>43049</v>
      </c>
      <c r="AA17">
        <f>IFERROR(_xlfn.XLOOKUP(Planilha2!L17,'Agências de Rating Soberano'!$J$2:$J$22,'Agências de Rating Soberano'!$K$2:$K$22),NA())</f>
        <v>10</v>
      </c>
      <c r="AB17" t="str" cm="1">
        <f t="array" ref="AB17">_xlfn.IFS(ISNUMBER(SEARCH("positiva",Planilha2!N17)),"Positiva",ISNUMBER(SEARCH("negativa",Planilha2!N17)),"Negativa",ISNUMBER(SEARCH("estável",Planilha2!N17)),"Estável",TRUE,"n/d")</f>
        <v>Negativa</v>
      </c>
      <c r="AC17" t="e">
        <f t="shared" si="1"/>
        <v>#N/A</v>
      </c>
      <c r="AD17" t="e">
        <f t="shared" si="1"/>
        <v>#N/A</v>
      </c>
      <c r="AE17">
        <f t="shared" si="1"/>
        <v>10</v>
      </c>
      <c r="AG17" s="50">
        <f>Planilha2!P17</f>
        <v>42256</v>
      </c>
      <c r="AH17">
        <f>IFERROR(_xlfn.XLOOKUP(Planilha2!R17,'Agências de Rating Soberano'!$J$2:$J$22,'Agências de Rating Soberano'!$K$2:$K$22),NA())</f>
        <v>11</v>
      </c>
      <c r="AI17" t="str" cm="1">
        <f t="array" ref="AI17">_xlfn.IFS(ISNUMBER(SEARCH("positiva",Planilha2!T17)),"Positiva",ISNUMBER(SEARCH("negativa",Planilha2!T17)),"Negativa",ISNUMBER(SEARCH("estável",Planilha2!T17)),"Estável",TRUE,"n/d")</f>
        <v>Negativa</v>
      </c>
      <c r="AJ17" t="e">
        <f t="shared" si="2"/>
        <v>#N/A</v>
      </c>
      <c r="AK17" t="e">
        <f t="shared" si="2"/>
        <v>#N/A</v>
      </c>
      <c r="AL17">
        <f t="shared" si="2"/>
        <v>11</v>
      </c>
    </row>
    <row r="18" spans="1:38" x14ac:dyDescent="0.3">
      <c r="A18" s="53">
        <f t="shared" si="3"/>
        <v>32233</v>
      </c>
      <c r="B18" t="str">
        <f>IFERROR(_xlfn.XLOOKUP($A18,Planilha2!$A$2:$A$34,Planilha2!C$2:C$34,"",-1),"")</f>
        <v>Ba1</v>
      </c>
      <c r="C18" t="str">
        <f>IFERROR(_xlfn.XLOOKUP($A18,Planilha2!$A$2:$A$34,Planilha2!D$2:D$34,"",-1),"")</f>
        <v>-</v>
      </c>
      <c r="D18" t="str" cm="1">
        <f t="array" ref="D18">IF($A18&lt;MIN(Planilha2!$A$2:$A$34),"",_xlfn.LET(_xlpm.t,_xlfn.XLOOKUP($A18,Planilha2!$A$2:$A$34,Planilha2!$E$2:$E$34,"",-1),_xlfn.IFS(ISNUMBER(SEARCH("positiva",_xlpm.t)),"Positiva",ISNUMBER(SEARCH("negativa",_xlpm.t)),"Negativa",ISNUMBER(SEARCH("estável",_xlpm.t)),"Estável",TRUE,"n/d")))</f>
        <v>n/d</v>
      </c>
      <c r="E18" t="str">
        <f>IFERROR(_xlfn.XLOOKUP($A18,Planilha2!$J$2:$J$44,Planilha2!L$2:L$44,"",-1),"")</f>
        <v/>
      </c>
      <c r="F18" t="str">
        <f>IFERROR(_xlfn.XLOOKUP($A18,Planilha2!$J$2:$J$44,Planilha2!M$2:M$44,"",-1),"")</f>
        <v/>
      </c>
      <c r="G18" t="str" cm="1">
        <f t="array" ref="G18">IF($A18&lt;MIN(Planilha2!$J$2:$J$44),"",_xlfn.LET(_xlpm.t,_xlfn.XLOOKUP($A18,Planilha2!$J$2:$J$44,Planilha2!$N$2:$N$44,"",-1),_xlfn.IFS(ISNUMBER(SEARCH("positiva",_xlpm.t)),"Positiva",ISNUMBER(SEARCH("negativa",_xlpm.t)),"Negativa",ISNUMBER(SEARCH("estável",_xlpm.t)),"Estável",TRUE,"n/d")))</f>
        <v/>
      </c>
      <c r="H18" t="str">
        <f>IFERROR(_xlfn.XLOOKUP($A18,Planilha2!$P$2:$P$38,Planilha2!R$2:R$38,"",-1),"")</f>
        <v/>
      </c>
      <c r="I18" t="str">
        <f>IFERROR(_xlfn.XLOOKUP($A18,Planilha2!$P$2:$P$38,Planilha2!S$2:S$38,"",-1),"")</f>
        <v/>
      </c>
      <c r="J18" t="str" cm="1">
        <f t="array" ref="J18">IF($A18&lt;MIN(Planilha2!$P$2:$P$38),"",_xlfn.LET(_xlpm.t,_xlfn.XLOOKUP($A18,Planilha2!$P$2:$P$38,Planilha2!$T$2:$T$38,"",-1),_xlfn.IFS(ISNUMBER(SEARCH("positiva",_xlpm.t)),"Positiva",ISNUMBER(SEARCH("negativa",_xlpm.t)),"Negativa",ISNUMBER(SEARCH("estável",_xlpm.t)),"Estável",TRUE,"n/d")))</f>
        <v/>
      </c>
      <c r="L18" s="52">
        <f>IFERROR(_xlfn.XLOOKUP(B18,'Agências de Rating Soberano'!$G$2:$G$22,'Agências de Rating Soberano'!$H$2:$H$22),NA())</f>
        <v>11</v>
      </c>
      <c r="M18" s="52" t="e">
        <f>IFERROR(_xlfn.XLOOKUP(C18,'Agências de Rating Soberano'!$G$2:$G$22,'Agências de Rating Soberano'!$H$2:$H$22),NA())</f>
        <v>#N/A</v>
      </c>
      <c r="N18" s="52" t="e">
        <f>IFERROR(_xlfn.XLOOKUP(E18,'Agências de Rating Soberano'!$J$2:$J$22,'Agências de Rating Soberano'!$K$2:$K$22),NA())</f>
        <v>#N/A</v>
      </c>
      <c r="O18" s="52" t="e">
        <f>IFERROR(_xlfn.XLOOKUP(F18,'Agências de Rating Soberano'!$J$2:$J$22,'Agências de Rating Soberano'!$K$2:$K$22),NA())</f>
        <v>#N/A</v>
      </c>
      <c r="P18" s="52" t="e">
        <f>IFERROR(_xlfn.XLOOKUP(H18,'Agências de Rating Soberano'!$J$2:$J$22,'Agências de Rating Soberano'!$K$2:$K$22),NA())</f>
        <v>#N/A</v>
      </c>
      <c r="Q18" s="52" t="e">
        <f>IFERROR(_xlfn.XLOOKUP(I18,'Agências de Rating Soberano'!$J$2:$J$22,'Agências de Rating Soberano'!$K$2:$K$22),NA())</f>
        <v>#N/A</v>
      </c>
      <c r="S18" s="50">
        <f>Planilha2!A18</f>
        <v>39226</v>
      </c>
      <c r="T18">
        <f>IFERROR(_xlfn.XLOOKUP(Planilha2!C18,'Agências de Rating Soberano'!$G$2:$G$22,'Agências de Rating Soberano'!$H$2:$H$22),NA())</f>
        <v>10</v>
      </c>
      <c r="U18" t="str" cm="1">
        <f t="array" ref="U18">_xlfn.IFS(ISNUMBER(SEARCH("positiva",Planilha2!E18)),"Positiva",ISNUMBER(SEARCH("negativa",Planilha2!E18)),"Negativa",ISNUMBER(SEARCH("estável",Planilha2!E18)),"Estável",TRUE,"n/d")</f>
        <v>Estável</v>
      </c>
      <c r="V18" t="e">
        <f t="shared" si="0"/>
        <v>#N/A</v>
      </c>
      <c r="W18">
        <f t="shared" si="0"/>
        <v>10</v>
      </c>
      <c r="X18" t="e">
        <f t="shared" si="0"/>
        <v>#N/A</v>
      </c>
      <c r="Z18" s="50">
        <f>Planilha2!J18</f>
        <v>42873</v>
      </c>
      <c r="AA18">
        <f>IFERROR(_xlfn.XLOOKUP(Planilha2!L18,'Agências de Rating Soberano'!$J$2:$J$22,'Agências de Rating Soberano'!$K$2:$K$22),NA())</f>
        <v>10</v>
      </c>
      <c r="AB18" t="str" cm="1">
        <f t="array" ref="AB18">_xlfn.IFS(ISNUMBER(SEARCH("positiva",Planilha2!N18)),"Positiva",ISNUMBER(SEARCH("negativa",Planilha2!N18)),"Negativa",ISNUMBER(SEARCH("estável",Planilha2!N18)),"Estável",TRUE,"n/d")</f>
        <v>Negativa</v>
      </c>
      <c r="AC18" t="e">
        <f t="shared" si="1"/>
        <v>#N/A</v>
      </c>
      <c r="AD18" t="e">
        <f t="shared" si="1"/>
        <v>#N/A</v>
      </c>
      <c r="AE18">
        <f t="shared" si="1"/>
        <v>10</v>
      </c>
      <c r="AG18" s="50">
        <f>Planilha2!P18</f>
        <v>42213</v>
      </c>
      <c r="AH18">
        <f>IFERROR(_xlfn.XLOOKUP(Planilha2!R18,'Agências de Rating Soberano'!$J$2:$J$22,'Agências de Rating Soberano'!$K$2:$K$22),NA())</f>
        <v>12</v>
      </c>
      <c r="AI18" t="str" cm="1">
        <f t="array" ref="AI18">_xlfn.IFS(ISNUMBER(SEARCH("positiva",Planilha2!T18)),"Positiva",ISNUMBER(SEARCH("negativa",Planilha2!T18)),"Negativa",ISNUMBER(SEARCH("estável",Planilha2!T18)),"Estável",TRUE,"n/d")</f>
        <v>Negativa</v>
      </c>
      <c r="AJ18" t="e">
        <f t="shared" si="2"/>
        <v>#N/A</v>
      </c>
      <c r="AK18" t="e">
        <f t="shared" si="2"/>
        <v>#N/A</v>
      </c>
      <c r="AL18">
        <f t="shared" si="2"/>
        <v>12</v>
      </c>
    </row>
    <row r="19" spans="1:38" x14ac:dyDescent="0.3">
      <c r="A19" s="53">
        <f t="shared" si="3"/>
        <v>32263</v>
      </c>
      <c r="B19" t="str">
        <f>IFERROR(_xlfn.XLOOKUP($A19,Planilha2!$A$2:$A$34,Planilha2!C$2:C$34,"",-1),"")</f>
        <v>Ba1</v>
      </c>
      <c r="C19" t="str">
        <f>IFERROR(_xlfn.XLOOKUP($A19,Planilha2!$A$2:$A$34,Planilha2!D$2:D$34,"",-1),"")</f>
        <v>-</v>
      </c>
      <c r="D19" t="str" cm="1">
        <f t="array" ref="D19">IF($A19&lt;MIN(Planilha2!$A$2:$A$34),"",_xlfn.LET(_xlpm.t,_xlfn.XLOOKUP($A19,Planilha2!$A$2:$A$34,Planilha2!$E$2:$E$34,"",-1),_xlfn.IFS(ISNUMBER(SEARCH("positiva",_xlpm.t)),"Positiva",ISNUMBER(SEARCH("negativa",_xlpm.t)),"Negativa",ISNUMBER(SEARCH("estável",_xlpm.t)),"Estável",TRUE,"n/d")))</f>
        <v>n/d</v>
      </c>
      <c r="E19" t="str">
        <f>IFERROR(_xlfn.XLOOKUP($A19,Planilha2!$J$2:$J$44,Planilha2!L$2:L$44,"",-1),"")</f>
        <v/>
      </c>
      <c r="F19" t="str">
        <f>IFERROR(_xlfn.XLOOKUP($A19,Planilha2!$J$2:$J$44,Planilha2!M$2:M$44,"",-1),"")</f>
        <v/>
      </c>
      <c r="G19" t="str" cm="1">
        <f t="array" ref="G19">IF($A19&lt;MIN(Planilha2!$J$2:$J$44),"",_xlfn.LET(_xlpm.t,_xlfn.XLOOKUP($A19,Planilha2!$J$2:$J$44,Planilha2!$N$2:$N$44,"",-1),_xlfn.IFS(ISNUMBER(SEARCH("positiva",_xlpm.t)),"Positiva",ISNUMBER(SEARCH("negativa",_xlpm.t)),"Negativa",ISNUMBER(SEARCH("estável",_xlpm.t)),"Estável",TRUE,"n/d")))</f>
        <v/>
      </c>
      <c r="H19" t="str">
        <f>IFERROR(_xlfn.XLOOKUP($A19,Planilha2!$P$2:$P$38,Planilha2!R$2:R$38,"",-1),"")</f>
        <v/>
      </c>
      <c r="I19" t="str">
        <f>IFERROR(_xlfn.XLOOKUP($A19,Planilha2!$P$2:$P$38,Planilha2!S$2:S$38,"",-1),"")</f>
        <v/>
      </c>
      <c r="J19" t="str" cm="1">
        <f t="array" ref="J19">IF($A19&lt;MIN(Planilha2!$P$2:$P$38),"",_xlfn.LET(_xlpm.t,_xlfn.XLOOKUP($A19,Planilha2!$P$2:$P$38,Planilha2!$T$2:$T$38,"",-1),_xlfn.IFS(ISNUMBER(SEARCH("positiva",_xlpm.t)),"Positiva",ISNUMBER(SEARCH("negativa",_xlpm.t)),"Negativa",ISNUMBER(SEARCH("estável",_xlpm.t)),"Estável",TRUE,"n/d")))</f>
        <v/>
      </c>
      <c r="L19" s="52">
        <f>IFERROR(_xlfn.XLOOKUP(B19,'Agências de Rating Soberano'!$G$2:$G$22,'Agências de Rating Soberano'!$H$2:$H$22),NA())</f>
        <v>11</v>
      </c>
      <c r="M19" s="52" t="e">
        <f>IFERROR(_xlfn.XLOOKUP(C19,'Agências de Rating Soberano'!$G$2:$G$22,'Agências de Rating Soberano'!$H$2:$H$22),NA())</f>
        <v>#N/A</v>
      </c>
      <c r="N19" s="52" t="e">
        <f>IFERROR(_xlfn.XLOOKUP(E19,'Agências de Rating Soberano'!$J$2:$J$22,'Agências de Rating Soberano'!$K$2:$K$22),NA())</f>
        <v>#N/A</v>
      </c>
      <c r="O19" s="52" t="e">
        <f>IFERROR(_xlfn.XLOOKUP(F19,'Agências de Rating Soberano'!$J$2:$J$22,'Agências de Rating Soberano'!$K$2:$K$22),NA())</f>
        <v>#N/A</v>
      </c>
      <c r="P19" s="52" t="e">
        <f>IFERROR(_xlfn.XLOOKUP(H19,'Agências de Rating Soberano'!$J$2:$J$22,'Agências de Rating Soberano'!$K$2:$K$22),NA())</f>
        <v>#N/A</v>
      </c>
      <c r="Q19" s="52" t="e">
        <f>IFERROR(_xlfn.XLOOKUP(I19,'Agências de Rating Soberano'!$J$2:$J$22,'Agências de Rating Soberano'!$K$2:$K$22),NA())</f>
        <v>#N/A</v>
      </c>
      <c r="S19" s="50">
        <f>Planilha2!A19</f>
        <v>38960</v>
      </c>
      <c r="T19">
        <f>IFERROR(_xlfn.XLOOKUP(Planilha2!C19,'Agências de Rating Soberano'!$G$2:$G$22,'Agências de Rating Soberano'!$H$2:$H$22),NA())</f>
        <v>10</v>
      </c>
      <c r="U19" t="str" cm="1">
        <f t="array" ref="U19">_xlfn.IFS(ISNUMBER(SEARCH("positiva",Planilha2!E19)),"Positiva",ISNUMBER(SEARCH("negativa",Planilha2!E19)),"Negativa",ISNUMBER(SEARCH("estável",Planilha2!E19)),"Estável",TRUE,"n/d")</f>
        <v>Estável</v>
      </c>
      <c r="V19" t="e">
        <f t="shared" si="0"/>
        <v>#N/A</v>
      </c>
      <c r="W19">
        <f t="shared" si="0"/>
        <v>10</v>
      </c>
      <c r="X19" t="e">
        <f t="shared" si="0"/>
        <v>#N/A</v>
      </c>
      <c r="Z19" s="50">
        <f>Planilha2!J19</f>
        <v>42684</v>
      </c>
      <c r="AA19">
        <f>IFERROR(_xlfn.XLOOKUP(Planilha2!L19,'Agências de Rating Soberano'!$J$2:$J$22,'Agências de Rating Soberano'!$K$2:$K$22),NA())</f>
        <v>10</v>
      </c>
      <c r="AB19" t="str" cm="1">
        <f t="array" ref="AB19">_xlfn.IFS(ISNUMBER(SEARCH("positiva",Planilha2!N19)),"Positiva",ISNUMBER(SEARCH("negativa",Planilha2!N19)),"Negativa",ISNUMBER(SEARCH("estável",Planilha2!N19)),"Estável",TRUE,"n/d")</f>
        <v>Negativa</v>
      </c>
      <c r="AC19" t="e">
        <f t="shared" si="1"/>
        <v>#N/A</v>
      </c>
      <c r="AD19" t="e">
        <f t="shared" si="1"/>
        <v>#N/A</v>
      </c>
      <c r="AE19">
        <f t="shared" si="1"/>
        <v>10</v>
      </c>
      <c r="AG19" s="50">
        <f>Planilha2!P19</f>
        <v>41722</v>
      </c>
      <c r="AH19">
        <f>IFERROR(_xlfn.XLOOKUP(Planilha2!R19,'Agências de Rating Soberano'!$J$2:$J$22,'Agências de Rating Soberano'!$K$2:$K$22),NA())</f>
        <v>12</v>
      </c>
      <c r="AI19" t="str" cm="1">
        <f t="array" ref="AI19">_xlfn.IFS(ISNUMBER(SEARCH("positiva",Planilha2!T19)),"Positiva",ISNUMBER(SEARCH("negativa",Planilha2!T19)),"Negativa",ISNUMBER(SEARCH("estável",Planilha2!T19)),"Estável",TRUE,"n/d")</f>
        <v>Estável</v>
      </c>
      <c r="AJ19" t="e">
        <f t="shared" si="2"/>
        <v>#N/A</v>
      </c>
      <c r="AK19">
        <f t="shared" si="2"/>
        <v>12</v>
      </c>
      <c r="AL19" t="e">
        <f t="shared" si="2"/>
        <v>#N/A</v>
      </c>
    </row>
    <row r="20" spans="1:38" x14ac:dyDescent="0.3">
      <c r="A20" s="53">
        <f t="shared" si="3"/>
        <v>32294</v>
      </c>
      <c r="B20" t="str">
        <f>IFERROR(_xlfn.XLOOKUP($A20,Planilha2!$A$2:$A$34,Planilha2!C$2:C$34,"",-1),"")</f>
        <v>Ba1</v>
      </c>
      <c r="C20" t="str">
        <f>IFERROR(_xlfn.XLOOKUP($A20,Planilha2!$A$2:$A$34,Planilha2!D$2:D$34,"",-1),"")</f>
        <v>-</v>
      </c>
      <c r="D20" t="str" cm="1">
        <f t="array" ref="D20">IF($A20&lt;MIN(Planilha2!$A$2:$A$34),"",_xlfn.LET(_xlpm.t,_xlfn.XLOOKUP($A20,Planilha2!$A$2:$A$34,Planilha2!$E$2:$E$34,"",-1),_xlfn.IFS(ISNUMBER(SEARCH("positiva",_xlpm.t)),"Positiva",ISNUMBER(SEARCH("negativa",_xlpm.t)),"Negativa",ISNUMBER(SEARCH("estável",_xlpm.t)),"Estável",TRUE,"n/d")))</f>
        <v>n/d</v>
      </c>
      <c r="E20" t="str">
        <f>IFERROR(_xlfn.XLOOKUP($A20,Planilha2!$J$2:$J$44,Planilha2!L$2:L$44,"",-1),"")</f>
        <v/>
      </c>
      <c r="F20" t="str">
        <f>IFERROR(_xlfn.XLOOKUP($A20,Planilha2!$J$2:$J$44,Planilha2!M$2:M$44,"",-1),"")</f>
        <v/>
      </c>
      <c r="G20" t="str" cm="1">
        <f t="array" ref="G20">IF($A20&lt;MIN(Planilha2!$J$2:$J$44),"",_xlfn.LET(_xlpm.t,_xlfn.XLOOKUP($A20,Planilha2!$J$2:$J$44,Planilha2!$N$2:$N$44,"",-1),_xlfn.IFS(ISNUMBER(SEARCH("positiva",_xlpm.t)),"Positiva",ISNUMBER(SEARCH("negativa",_xlpm.t)),"Negativa",ISNUMBER(SEARCH("estável",_xlpm.t)),"Estável",TRUE,"n/d")))</f>
        <v/>
      </c>
      <c r="H20" t="str">
        <f>IFERROR(_xlfn.XLOOKUP($A20,Planilha2!$P$2:$P$38,Planilha2!R$2:R$38,"",-1),"")</f>
        <v/>
      </c>
      <c r="I20" t="str">
        <f>IFERROR(_xlfn.XLOOKUP($A20,Planilha2!$P$2:$P$38,Planilha2!S$2:S$38,"",-1),"")</f>
        <v/>
      </c>
      <c r="J20" t="str" cm="1">
        <f t="array" ref="J20">IF($A20&lt;MIN(Planilha2!$P$2:$P$38),"",_xlfn.LET(_xlpm.t,_xlfn.XLOOKUP($A20,Planilha2!$P$2:$P$38,Planilha2!$T$2:$T$38,"",-1),_xlfn.IFS(ISNUMBER(SEARCH("positiva",_xlpm.t)),"Positiva",ISNUMBER(SEARCH("negativa",_xlpm.t)),"Negativa",ISNUMBER(SEARCH("estável",_xlpm.t)),"Estável",TRUE,"n/d")))</f>
        <v/>
      </c>
      <c r="L20" s="52">
        <f>IFERROR(_xlfn.XLOOKUP(B20,'Agências de Rating Soberano'!$G$2:$G$22,'Agências de Rating Soberano'!$H$2:$H$22),NA())</f>
        <v>11</v>
      </c>
      <c r="M20" s="52" t="e">
        <f>IFERROR(_xlfn.XLOOKUP(C20,'Agências de Rating Soberano'!$G$2:$G$22,'Agências de Rating Soberano'!$H$2:$H$22),NA())</f>
        <v>#N/A</v>
      </c>
      <c r="N20" s="52" t="e">
        <f>IFERROR(_xlfn.XLOOKUP(E20,'Agências de Rating Soberano'!$J$2:$J$22,'Agências de Rating Soberano'!$K$2:$K$22),NA())</f>
        <v>#N/A</v>
      </c>
      <c r="O20" s="52" t="e">
        <f>IFERROR(_xlfn.XLOOKUP(F20,'Agências de Rating Soberano'!$J$2:$J$22,'Agências de Rating Soberano'!$K$2:$K$22),NA())</f>
        <v>#N/A</v>
      </c>
      <c r="P20" s="52" t="e">
        <f>IFERROR(_xlfn.XLOOKUP(H20,'Agências de Rating Soberano'!$J$2:$J$22,'Agências de Rating Soberano'!$K$2:$K$22),NA())</f>
        <v>#N/A</v>
      </c>
      <c r="Q20" s="52" t="e">
        <f>IFERROR(_xlfn.XLOOKUP(I20,'Agências de Rating Soberano'!$J$2:$J$22,'Agências de Rating Soberano'!$K$2:$K$22),NA())</f>
        <v>#N/A</v>
      </c>
      <c r="S20" s="50">
        <f>Planilha2!A20</f>
        <v>38930</v>
      </c>
      <c r="T20">
        <f>IFERROR(_xlfn.XLOOKUP(Planilha2!C20,'Agências de Rating Soberano'!$G$2:$G$22,'Agências de Rating Soberano'!$H$2:$H$22),NA())</f>
        <v>9</v>
      </c>
      <c r="U20" t="str" cm="1">
        <f t="array" ref="U20">_xlfn.IFS(ISNUMBER(SEARCH("positiva",Planilha2!E20)),"Positiva",ISNUMBER(SEARCH("negativa",Planilha2!E20)),"Negativa",ISNUMBER(SEARCH("estável",Planilha2!E20)),"Estável",TRUE,"n/d")</f>
        <v>Estável</v>
      </c>
      <c r="V20" t="e">
        <f t="shared" si="0"/>
        <v>#N/A</v>
      </c>
      <c r="W20">
        <f t="shared" si="0"/>
        <v>9</v>
      </c>
      <c r="X20" t="e">
        <f t="shared" si="0"/>
        <v>#N/A</v>
      </c>
      <c r="Z20" s="50">
        <f>Planilha2!J20</f>
        <v>42495</v>
      </c>
      <c r="AA20">
        <f>IFERROR(_xlfn.XLOOKUP(Planilha2!L20,'Agências de Rating Soberano'!$J$2:$J$22,'Agências de Rating Soberano'!$K$2:$K$22),NA())</f>
        <v>10</v>
      </c>
      <c r="AB20" t="str" cm="1">
        <f t="array" ref="AB20">_xlfn.IFS(ISNUMBER(SEARCH("positiva",Planilha2!N20)),"Positiva",ISNUMBER(SEARCH("negativa",Planilha2!N20)),"Negativa",ISNUMBER(SEARCH("estável",Planilha2!N20)),"Estável",TRUE,"n/d")</f>
        <v>Negativa</v>
      </c>
      <c r="AC20" t="e">
        <f t="shared" si="1"/>
        <v>#N/A</v>
      </c>
      <c r="AD20" t="e">
        <f t="shared" si="1"/>
        <v>#N/A</v>
      </c>
      <c r="AE20">
        <f t="shared" si="1"/>
        <v>10</v>
      </c>
      <c r="AG20" s="50">
        <f>Planilha2!P20</f>
        <v>41431</v>
      </c>
      <c r="AH20">
        <f>IFERROR(_xlfn.XLOOKUP(Planilha2!R20,'Agências de Rating Soberano'!$J$2:$J$22,'Agências de Rating Soberano'!$K$2:$K$22),NA())</f>
        <v>13</v>
      </c>
      <c r="AI20" t="str" cm="1">
        <f t="array" ref="AI20">_xlfn.IFS(ISNUMBER(SEARCH("positiva",Planilha2!T20)),"Positiva",ISNUMBER(SEARCH("negativa",Planilha2!T20)),"Negativa",ISNUMBER(SEARCH("estável",Planilha2!T20)),"Estável",TRUE,"n/d")</f>
        <v>Negativa</v>
      </c>
      <c r="AJ20" t="e">
        <f t="shared" si="2"/>
        <v>#N/A</v>
      </c>
      <c r="AK20" t="e">
        <f t="shared" si="2"/>
        <v>#N/A</v>
      </c>
      <c r="AL20">
        <f t="shared" si="2"/>
        <v>13</v>
      </c>
    </row>
    <row r="21" spans="1:38" x14ac:dyDescent="0.3">
      <c r="A21" s="53">
        <f t="shared" si="3"/>
        <v>32324</v>
      </c>
      <c r="B21" t="str">
        <f>IFERROR(_xlfn.XLOOKUP($A21,Planilha2!$A$2:$A$34,Planilha2!C$2:C$34,"",-1),"")</f>
        <v>Ba1</v>
      </c>
      <c r="C21" t="str">
        <f>IFERROR(_xlfn.XLOOKUP($A21,Planilha2!$A$2:$A$34,Planilha2!D$2:D$34,"",-1),"")</f>
        <v>-</v>
      </c>
      <c r="D21" t="str" cm="1">
        <f t="array" ref="D21">IF($A21&lt;MIN(Planilha2!$A$2:$A$34),"",_xlfn.LET(_xlpm.t,_xlfn.XLOOKUP($A21,Planilha2!$A$2:$A$34,Planilha2!$E$2:$E$34,"",-1),_xlfn.IFS(ISNUMBER(SEARCH("positiva",_xlpm.t)),"Positiva",ISNUMBER(SEARCH("negativa",_xlpm.t)),"Negativa",ISNUMBER(SEARCH("estável",_xlpm.t)),"Estável",TRUE,"n/d")))</f>
        <v>n/d</v>
      </c>
      <c r="E21" t="str">
        <f>IFERROR(_xlfn.XLOOKUP($A21,Planilha2!$J$2:$J$44,Planilha2!L$2:L$44,"",-1),"")</f>
        <v/>
      </c>
      <c r="F21" t="str">
        <f>IFERROR(_xlfn.XLOOKUP($A21,Planilha2!$J$2:$J$44,Planilha2!M$2:M$44,"",-1),"")</f>
        <v/>
      </c>
      <c r="G21" t="str" cm="1">
        <f t="array" ref="G21">IF($A21&lt;MIN(Planilha2!$J$2:$J$44),"",_xlfn.LET(_xlpm.t,_xlfn.XLOOKUP($A21,Planilha2!$J$2:$J$44,Planilha2!$N$2:$N$44,"",-1),_xlfn.IFS(ISNUMBER(SEARCH("positiva",_xlpm.t)),"Positiva",ISNUMBER(SEARCH("negativa",_xlpm.t)),"Negativa",ISNUMBER(SEARCH("estável",_xlpm.t)),"Estável",TRUE,"n/d")))</f>
        <v/>
      </c>
      <c r="H21" t="str">
        <f>IFERROR(_xlfn.XLOOKUP($A21,Planilha2!$P$2:$P$38,Planilha2!R$2:R$38,"",-1),"")</f>
        <v/>
      </c>
      <c r="I21" t="str">
        <f>IFERROR(_xlfn.XLOOKUP($A21,Planilha2!$P$2:$P$38,Planilha2!S$2:S$38,"",-1),"")</f>
        <v/>
      </c>
      <c r="J21" t="str" cm="1">
        <f t="array" ref="J21">IF($A21&lt;MIN(Planilha2!$P$2:$P$38),"",_xlfn.LET(_xlpm.t,_xlfn.XLOOKUP($A21,Planilha2!$P$2:$P$38,Planilha2!$T$2:$T$38,"",-1),_xlfn.IFS(ISNUMBER(SEARCH("positiva",_xlpm.t)),"Positiva",ISNUMBER(SEARCH("negativa",_xlpm.t)),"Negativa",ISNUMBER(SEARCH("estável",_xlpm.t)),"Estável",TRUE,"n/d")))</f>
        <v/>
      </c>
      <c r="L21" s="52">
        <f>IFERROR(_xlfn.XLOOKUP(B21,'Agências de Rating Soberano'!$G$2:$G$22,'Agências de Rating Soberano'!$H$2:$H$22),NA())</f>
        <v>11</v>
      </c>
      <c r="M21" s="52" t="e">
        <f>IFERROR(_xlfn.XLOOKUP(C21,'Agências de Rating Soberano'!$G$2:$G$22,'Agências de Rating Soberano'!$H$2:$H$22),NA())</f>
        <v>#N/A</v>
      </c>
      <c r="N21" s="52" t="e">
        <f>IFERROR(_xlfn.XLOOKUP(E21,'Agências de Rating Soberano'!$J$2:$J$22,'Agências de Rating Soberano'!$K$2:$K$22),NA())</f>
        <v>#N/A</v>
      </c>
      <c r="O21" s="52" t="e">
        <f>IFERROR(_xlfn.XLOOKUP(F21,'Agências de Rating Soberano'!$J$2:$J$22,'Agências de Rating Soberano'!$K$2:$K$22),NA())</f>
        <v>#N/A</v>
      </c>
      <c r="P21" s="52" t="e">
        <f>IFERROR(_xlfn.XLOOKUP(H21,'Agências de Rating Soberano'!$J$2:$J$22,'Agências de Rating Soberano'!$K$2:$K$22),NA())</f>
        <v>#N/A</v>
      </c>
      <c r="Q21" s="52" t="e">
        <f>IFERROR(_xlfn.XLOOKUP(I21,'Agências de Rating Soberano'!$J$2:$J$22,'Agências de Rating Soberano'!$K$2:$K$22),NA())</f>
        <v>#N/A</v>
      </c>
      <c r="S21" s="50">
        <f>Planilha2!A21</f>
        <v>38636</v>
      </c>
      <c r="T21">
        <f>IFERROR(_xlfn.XLOOKUP(Planilha2!C21,'Agências de Rating Soberano'!$G$2:$G$22,'Agências de Rating Soberano'!$H$2:$H$22),NA())</f>
        <v>9</v>
      </c>
      <c r="U21" t="str" cm="1">
        <f t="array" ref="U21">_xlfn.IFS(ISNUMBER(SEARCH("positiva",Planilha2!E21)),"Positiva",ISNUMBER(SEARCH("negativa",Planilha2!E21)),"Negativa",ISNUMBER(SEARCH("estável",Planilha2!E21)),"Estável",TRUE,"n/d")</f>
        <v>Positiva</v>
      </c>
      <c r="V21">
        <f t="shared" si="0"/>
        <v>9</v>
      </c>
      <c r="W21" t="e">
        <f t="shared" si="0"/>
        <v>#N/A</v>
      </c>
      <c r="X21" t="e">
        <f t="shared" si="0"/>
        <v>#N/A</v>
      </c>
      <c r="Z21" s="50">
        <f>Planilha2!J21</f>
        <v>42354</v>
      </c>
      <c r="AA21">
        <f>IFERROR(_xlfn.XLOOKUP(Planilha2!L21,'Agências de Rating Soberano'!$J$2:$J$22,'Agências de Rating Soberano'!$K$2:$K$22),NA())</f>
        <v>11</v>
      </c>
      <c r="AB21" t="str" cm="1">
        <f t="array" ref="AB21">_xlfn.IFS(ISNUMBER(SEARCH("positiva",Planilha2!N21)),"Positiva",ISNUMBER(SEARCH("negativa",Planilha2!N21)),"Negativa",ISNUMBER(SEARCH("estável",Planilha2!N21)),"Estável",TRUE,"n/d")</f>
        <v>Negativa</v>
      </c>
      <c r="AC21" t="e">
        <f t="shared" si="1"/>
        <v>#N/A</v>
      </c>
      <c r="AD21" t="e">
        <f t="shared" si="1"/>
        <v>#N/A</v>
      </c>
      <c r="AE21">
        <f t="shared" si="1"/>
        <v>11</v>
      </c>
      <c r="AG21" s="50">
        <f>Planilha2!P21</f>
        <v>41261</v>
      </c>
      <c r="AH21">
        <f>IFERROR(_xlfn.XLOOKUP(Planilha2!R21,'Agências de Rating Soberano'!$J$2:$J$22,'Agências de Rating Soberano'!$K$2:$K$22),NA())</f>
        <v>13</v>
      </c>
      <c r="AI21" t="str" cm="1">
        <f t="array" ref="AI21">_xlfn.IFS(ISNUMBER(SEARCH("positiva",Planilha2!T21)),"Positiva",ISNUMBER(SEARCH("negativa",Planilha2!T21)),"Negativa",ISNUMBER(SEARCH("estável",Planilha2!T21)),"Estável",TRUE,"n/d")</f>
        <v>Estável</v>
      </c>
      <c r="AJ21" t="e">
        <f t="shared" si="2"/>
        <v>#N/A</v>
      </c>
      <c r="AK21">
        <f t="shared" si="2"/>
        <v>13</v>
      </c>
      <c r="AL21" t="e">
        <f t="shared" si="2"/>
        <v>#N/A</v>
      </c>
    </row>
    <row r="22" spans="1:38" x14ac:dyDescent="0.3">
      <c r="A22" s="53">
        <f t="shared" si="3"/>
        <v>32355</v>
      </c>
      <c r="B22" t="str">
        <f>IFERROR(_xlfn.XLOOKUP($A22,Planilha2!$A$2:$A$34,Planilha2!C$2:C$34,"",-1),"")</f>
        <v>Ba1</v>
      </c>
      <c r="C22" t="str">
        <f>IFERROR(_xlfn.XLOOKUP($A22,Planilha2!$A$2:$A$34,Planilha2!D$2:D$34,"",-1),"")</f>
        <v>-</v>
      </c>
      <c r="D22" t="str" cm="1">
        <f t="array" ref="D22">IF($A22&lt;MIN(Planilha2!$A$2:$A$34),"",_xlfn.LET(_xlpm.t,_xlfn.XLOOKUP($A22,Planilha2!$A$2:$A$34,Planilha2!$E$2:$E$34,"",-1),_xlfn.IFS(ISNUMBER(SEARCH("positiva",_xlpm.t)),"Positiva",ISNUMBER(SEARCH("negativa",_xlpm.t)),"Negativa",ISNUMBER(SEARCH("estável",_xlpm.t)),"Estável",TRUE,"n/d")))</f>
        <v>n/d</v>
      </c>
      <c r="E22" t="str">
        <f>IFERROR(_xlfn.XLOOKUP($A22,Planilha2!$J$2:$J$44,Planilha2!L$2:L$44,"",-1),"")</f>
        <v/>
      </c>
      <c r="F22" t="str">
        <f>IFERROR(_xlfn.XLOOKUP($A22,Planilha2!$J$2:$J$44,Planilha2!M$2:M$44,"",-1),"")</f>
        <v/>
      </c>
      <c r="G22" t="str" cm="1">
        <f t="array" ref="G22">IF($A22&lt;MIN(Planilha2!$J$2:$J$44),"",_xlfn.LET(_xlpm.t,_xlfn.XLOOKUP($A22,Planilha2!$J$2:$J$44,Planilha2!$N$2:$N$44,"",-1),_xlfn.IFS(ISNUMBER(SEARCH("positiva",_xlpm.t)),"Positiva",ISNUMBER(SEARCH("negativa",_xlpm.t)),"Negativa",ISNUMBER(SEARCH("estável",_xlpm.t)),"Estável",TRUE,"n/d")))</f>
        <v/>
      </c>
      <c r="H22" t="str">
        <f>IFERROR(_xlfn.XLOOKUP($A22,Planilha2!$P$2:$P$38,Planilha2!R$2:R$38,"",-1),"")</f>
        <v/>
      </c>
      <c r="I22" t="str">
        <f>IFERROR(_xlfn.XLOOKUP($A22,Planilha2!$P$2:$P$38,Planilha2!S$2:S$38,"",-1),"")</f>
        <v/>
      </c>
      <c r="J22" t="str" cm="1">
        <f t="array" ref="J22">IF($A22&lt;MIN(Planilha2!$P$2:$P$38),"",_xlfn.LET(_xlpm.t,_xlfn.XLOOKUP($A22,Planilha2!$P$2:$P$38,Planilha2!$T$2:$T$38,"",-1),_xlfn.IFS(ISNUMBER(SEARCH("positiva",_xlpm.t)),"Positiva",ISNUMBER(SEARCH("negativa",_xlpm.t)),"Negativa",ISNUMBER(SEARCH("estável",_xlpm.t)),"Estável",TRUE,"n/d")))</f>
        <v/>
      </c>
      <c r="L22" s="52">
        <f>IFERROR(_xlfn.XLOOKUP(B22,'Agências de Rating Soberano'!$G$2:$G$22,'Agências de Rating Soberano'!$H$2:$H$22),NA())</f>
        <v>11</v>
      </c>
      <c r="M22" s="52" t="e">
        <f>IFERROR(_xlfn.XLOOKUP(C22,'Agências de Rating Soberano'!$G$2:$G$22,'Agências de Rating Soberano'!$H$2:$H$22),NA())</f>
        <v>#N/A</v>
      </c>
      <c r="N22" s="52" t="e">
        <f>IFERROR(_xlfn.XLOOKUP(E22,'Agências de Rating Soberano'!$J$2:$J$22,'Agências de Rating Soberano'!$K$2:$K$22),NA())</f>
        <v>#N/A</v>
      </c>
      <c r="O22" s="52" t="e">
        <f>IFERROR(_xlfn.XLOOKUP(F22,'Agências de Rating Soberano'!$J$2:$J$22,'Agências de Rating Soberano'!$K$2:$K$22),NA())</f>
        <v>#N/A</v>
      </c>
      <c r="P22" s="52" t="e">
        <f>IFERROR(_xlfn.XLOOKUP(H22,'Agências de Rating Soberano'!$J$2:$J$22,'Agências de Rating Soberano'!$K$2:$K$22),NA())</f>
        <v>#N/A</v>
      </c>
      <c r="Q22" s="52" t="e">
        <f>IFERROR(_xlfn.XLOOKUP(I22,'Agências de Rating Soberano'!$J$2:$J$22,'Agências de Rating Soberano'!$K$2:$K$22),NA())</f>
        <v>#N/A</v>
      </c>
      <c r="S22" s="50">
        <f>Planilha2!A22</f>
        <v>38364</v>
      </c>
      <c r="T22">
        <f>IFERROR(_xlfn.XLOOKUP(Planilha2!C22,'Agências de Rating Soberano'!$G$2:$G$22,'Agências de Rating Soberano'!$H$2:$H$22),NA())</f>
        <v>8</v>
      </c>
      <c r="U22" t="str" cm="1">
        <f t="array" ref="U22">_xlfn.IFS(ISNUMBER(SEARCH("positiva",Planilha2!E22)),"Positiva",ISNUMBER(SEARCH("negativa",Planilha2!E22)),"Negativa",ISNUMBER(SEARCH("estável",Planilha2!E22)),"Estável",TRUE,"n/d")</f>
        <v>Positiva</v>
      </c>
      <c r="V22">
        <f t="shared" si="0"/>
        <v>8</v>
      </c>
      <c r="W22" t="e">
        <f t="shared" si="0"/>
        <v>#N/A</v>
      </c>
      <c r="X22" t="e">
        <f t="shared" si="0"/>
        <v>#N/A</v>
      </c>
      <c r="Z22" s="50">
        <f>Planilha2!J22</f>
        <v>42292</v>
      </c>
      <c r="AA22">
        <f>IFERROR(_xlfn.XLOOKUP(Planilha2!L22,'Agências de Rating Soberano'!$J$2:$J$22,'Agências de Rating Soberano'!$K$2:$K$22),NA())</f>
        <v>12</v>
      </c>
      <c r="AB22" t="str" cm="1">
        <f t="array" ref="AB22">_xlfn.IFS(ISNUMBER(SEARCH("positiva",Planilha2!N22)),"Positiva",ISNUMBER(SEARCH("negativa",Planilha2!N22)),"Negativa",ISNUMBER(SEARCH("estável",Planilha2!N22)),"Estável",TRUE,"n/d")</f>
        <v>Negativa</v>
      </c>
      <c r="AC22" t="e">
        <f t="shared" si="1"/>
        <v>#N/A</v>
      </c>
      <c r="AD22" t="e">
        <f t="shared" si="1"/>
        <v>#N/A</v>
      </c>
      <c r="AE22">
        <f t="shared" si="1"/>
        <v>12</v>
      </c>
      <c r="AG22" s="50">
        <f>Planilha2!P22</f>
        <v>40864</v>
      </c>
      <c r="AH22">
        <f>IFERROR(_xlfn.XLOOKUP(Planilha2!R22,'Agências de Rating Soberano'!$J$2:$J$22,'Agências de Rating Soberano'!$K$2:$K$22),NA())</f>
        <v>13</v>
      </c>
      <c r="AI22" t="str" cm="1">
        <f t="array" ref="AI22">_xlfn.IFS(ISNUMBER(SEARCH("positiva",Planilha2!T22)),"Positiva",ISNUMBER(SEARCH("negativa",Planilha2!T22)),"Negativa",ISNUMBER(SEARCH("estável",Planilha2!T22)),"Estável",TRUE,"n/d")</f>
        <v>Estável</v>
      </c>
      <c r="AJ22" t="e">
        <f t="shared" si="2"/>
        <v>#N/A</v>
      </c>
      <c r="AK22">
        <f t="shared" si="2"/>
        <v>13</v>
      </c>
      <c r="AL22" t="e">
        <f t="shared" si="2"/>
        <v>#N/A</v>
      </c>
    </row>
    <row r="23" spans="1:38" x14ac:dyDescent="0.3">
      <c r="A23" s="53">
        <f t="shared" si="3"/>
        <v>32386</v>
      </c>
      <c r="B23" t="str">
        <f>IFERROR(_xlfn.XLOOKUP($A23,Planilha2!$A$2:$A$34,Planilha2!C$2:C$34,"",-1),"")</f>
        <v>Ba1</v>
      </c>
      <c r="C23" t="str">
        <f>IFERROR(_xlfn.XLOOKUP($A23,Planilha2!$A$2:$A$34,Planilha2!D$2:D$34,"",-1),"")</f>
        <v>-</v>
      </c>
      <c r="D23" t="str" cm="1">
        <f t="array" ref="D23">IF($A23&lt;MIN(Planilha2!$A$2:$A$34),"",_xlfn.LET(_xlpm.t,_xlfn.XLOOKUP($A23,Planilha2!$A$2:$A$34,Planilha2!$E$2:$E$34,"",-1),_xlfn.IFS(ISNUMBER(SEARCH("positiva",_xlpm.t)),"Positiva",ISNUMBER(SEARCH("negativa",_xlpm.t)),"Negativa",ISNUMBER(SEARCH("estável",_xlpm.t)),"Estável",TRUE,"n/d")))</f>
        <v>n/d</v>
      </c>
      <c r="E23" t="str">
        <f>IFERROR(_xlfn.XLOOKUP($A23,Planilha2!$J$2:$J$44,Planilha2!L$2:L$44,"",-1),"")</f>
        <v/>
      </c>
      <c r="F23" t="str">
        <f>IFERROR(_xlfn.XLOOKUP($A23,Planilha2!$J$2:$J$44,Planilha2!M$2:M$44,"",-1),"")</f>
        <v/>
      </c>
      <c r="G23" t="str" cm="1">
        <f t="array" ref="G23">IF($A23&lt;MIN(Planilha2!$J$2:$J$44),"",_xlfn.LET(_xlpm.t,_xlfn.XLOOKUP($A23,Planilha2!$J$2:$J$44,Planilha2!$N$2:$N$44,"",-1),_xlfn.IFS(ISNUMBER(SEARCH("positiva",_xlpm.t)),"Positiva",ISNUMBER(SEARCH("negativa",_xlpm.t)),"Negativa",ISNUMBER(SEARCH("estável",_xlpm.t)),"Estável",TRUE,"n/d")))</f>
        <v/>
      </c>
      <c r="H23" t="str">
        <f>IFERROR(_xlfn.XLOOKUP($A23,Planilha2!$P$2:$P$38,Planilha2!R$2:R$38,"",-1),"")</f>
        <v/>
      </c>
      <c r="I23" t="str">
        <f>IFERROR(_xlfn.XLOOKUP($A23,Planilha2!$P$2:$P$38,Planilha2!S$2:S$38,"",-1),"")</f>
        <v/>
      </c>
      <c r="J23" t="str" cm="1">
        <f t="array" ref="J23">IF($A23&lt;MIN(Planilha2!$P$2:$P$38),"",_xlfn.LET(_xlpm.t,_xlfn.XLOOKUP($A23,Planilha2!$P$2:$P$38,Planilha2!$T$2:$T$38,"",-1),_xlfn.IFS(ISNUMBER(SEARCH("positiva",_xlpm.t)),"Positiva",ISNUMBER(SEARCH("negativa",_xlpm.t)),"Negativa",ISNUMBER(SEARCH("estável",_xlpm.t)),"Estável",TRUE,"n/d")))</f>
        <v/>
      </c>
      <c r="L23" s="52">
        <f>IFERROR(_xlfn.XLOOKUP(B23,'Agências de Rating Soberano'!$G$2:$G$22,'Agências de Rating Soberano'!$H$2:$H$22),NA())</f>
        <v>11</v>
      </c>
      <c r="M23" s="52" t="e">
        <f>IFERROR(_xlfn.XLOOKUP(C23,'Agências de Rating Soberano'!$G$2:$G$22,'Agências de Rating Soberano'!$H$2:$H$22),NA())</f>
        <v>#N/A</v>
      </c>
      <c r="N23" s="52" t="e">
        <f>IFERROR(_xlfn.XLOOKUP(E23,'Agências de Rating Soberano'!$J$2:$J$22,'Agências de Rating Soberano'!$K$2:$K$22),NA())</f>
        <v>#N/A</v>
      </c>
      <c r="O23" s="52" t="e">
        <f>IFERROR(_xlfn.XLOOKUP(F23,'Agências de Rating Soberano'!$J$2:$J$22,'Agências de Rating Soberano'!$K$2:$K$22),NA())</f>
        <v>#N/A</v>
      </c>
      <c r="P23" s="52" t="e">
        <f>IFERROR(_xlfn.XLOOKUP(H23,'Agências de Rating Soberano'!$J$2:$J$22,'Agências de Rating Soberano'!$K$2:$K$22),NA())</f>
        <v>#N/A</v>
      </c>
      <c r="Q23" s="52" t="e">
        <f>IFERROR(_xlfn.XLOOKUP(I23,'Agências de Rating Soberano'!$J$2:$J$22,'Agências de Rating Soberano'!$K$2:$K$22),NA())</f>
        <v>#N/A</v>
      </c>
      <c r="S23" s="50">
        <f>Planilha2!A23</f>
        <v>38239</v>
      </c>
      <c r="T23">
        <f>IFERROR(_xlfn.XLOOKUP(Planilha2!C23,'Agências de Rating Soberano'!$G$2:$G$22,'Agências de Rating Soberano'!$H$2:$H$22),NA())</f>
        <v>8</v>
      </c>
      <c r="U23" t="str" cm="1">
        <f t="array" ref="U23">_xlfn.IFS(ISNUMBER(SEARCH("positiva",Planilha2!E23)),"Positiva",ISNUMBER(SEARCH("negativa",Planilha2!E23)),"Negativa",ISNUMBER(SEARCH("estável",Planilha2!E23)),"Estável",TRUE,"n/d")</f>
        <v>Estável</v>
      </c>
      <c r="V23" t="e">
        <f t="shared" si="0"/>
        <v>#N/A</v>
      </c>
      <c r="W23">
        <f t="shared" si="0"/>
        <v>8</v>
      </c>
      <c r="X23" t="e">
        <f t="shared" si="0"/>
        <v>#N/A</v>
      </c>
      <c r="Z23" s="50">
        <f>Planilha2!J23</f>
        <v>42103</v>
      </c>
      <c r="AA23">
        <f>IFERROR(_xlfn.XLOOKUP(Planilha2!L23,'Agências de Rating Soberano'!$J$2:$J$22,'Agências de Rating Soberano'!$K$2:$K$22),NA())</f>
        <v>13</v>
      </c>
      <c r="AB23" t="str" cm="1">
        <f t="array" ref="AB23">_xlfn.IFS(ISNUMBER(SEARCH("positiva",Planilha2!N23)),"Positiva",ISNUMBER(SEARCH("negativa",Planilha2!N23)),"Negativa",ISNUMBER(SEARCH("estável",Planilha2!N23)),"Estável",TRUE,"n/d")</f>
        <v>Negativa</v>
      </c>
      <c r="AC23" t="e">
        <f t="shared" si="1"/>
        <v>#N/A</v>
      </c>
      <c r="AD23" t="e">
        <f t="shared" si="1"/>
        <v>#N/A</v>
      </c>
      <c r="AE23">
        <f t="shared" si="1"/>
        <v>13</v>
      </c>
      <c r="AG23" s="50">
        <f>Planilha2!P23</f>
        <v>40780</v>
      </c>
      <c r="AH23">
        <f>IFERROR(_xlfn.XLOOKUP(Planilha2!R23,'Agências de Rating Soberano'!$J$2:$J$22,'Agências de Rating Soberano'!$K$2:$K$22),NA())</f>
        <v>12</v>
      </c>
      <c r="AI23" t="str" cm="1">
        <f t="array" ref="AI23">_xlfn.IFS(ISNUMBER(SEARCH("positiva",Planilha2!T23)),"Positiva",ISNUMBER(SEARCH("negativa",Planilha2!T23)),"Negativa",ISNUMBER(SEARCH("estável",Planilha2!T23)),"Estável",TRUE,"n/d")</f>
        <v>Positiva</v>
      </c>
      <c r="AJ23">
        <f t="shared" si="2"/>
        <v>12</v>
      </c>
      <c r="AK23" t="e">
        <f t="shared" si="2"/>
        <v>#N/A</v>
      </c>
      <c r="AL23" t="e">
        <f t="shared" si="2"/>
        <v>#N/A</v>
      </c>
    </row>
    <row r="24" spans="1:38" x14ac:dyDescent="0.3">
      <c r="A24" s="53">
        <f t="shared" si="3"/>
        <v>32416</v>
      </c>
      <c r="B24" t="str">
        <f>IFERROR(_xlfn.XLOOKUP($A24,Planilha2!$A$2:$A$34,Planilha2!C$2:C$34,"",-1),"")</f>
        <v>Ba1</v>
      </c>
      <c r="C24" t="str">
        <f>IFERROR(_xlfn.XLOOKUP($A24,Planilha2!$A$2:$A$34,Planilha2!D$2:D$34,"",-1),"")</f>
        <v>-</v>
      </c>
      <c r="D24" t="str" cm="1">
        <f t="array" ref="D24">IF($A24&lt;MIN(Planilha2!$A$2:$A$34),"",_xlfn.LET(_xlpm.t,_xlfn.XLOOKUP($A24,Planilha2!$A$2:$A$34,Planilha2!$E$2:$E$34,"",-1),_xlfn.IFS(ISNUMBER(SEARCH("positiva",_xlpm.t)),"Positiva",ISNUMBER(SEARCH("negativa",_xlpm.t)),"Negativa",ISNUMBER(SEARCH("estável",_xlpm.t)),"Estável",TRUE,"n/d")))</f>
        <v>n/d</v>
      </c>
      <c r="E24" t="str">
        <f>IFERROR(_xlfn.XLOOKUP($A24,Planilha2!$J$2:$J$44,Planilha2!L$2:L$44,"",-1),"")</f>
        <v/>
      </c>
      <c r="F24" t="str">
        <f>IFERROR(_xlfn.XLOOKUP($A24,Planilha2!$J$2:$J$44,Planilha2!M$2:M$44,"",-1),"")</f>
        <v/>
      </c>
      <c r="G24" t="str" cm="1">
        <f t="array" ref="G24">IF($A24&lt;MIN(Planilha2!$J$2:$J$44),"",_xlfn.LET(_xlpm.t,_xlfn.XLOOKUP($A24,Planilha2!$J$2:$J$44,Planilha2!$N$2:$N$44,"",-1),_xlfn.IFS(ISNUMBER(SEARCH("positiva",_xlpm.t)),"Positiva",ISNUMBER(SEARCH("negativa",_xlpm.t)),"Negativa",ISNUMBER(SEARCH("estável",_xlpm.t)),"Estável",TRUE,"n/d")))</f>
        <v/>
      </c>
      <c r="H24" t="str">
        <f>IFERROR(_xlfn.XLOOKUP($A24,Planilha2!$P$2:$P$38,Planilha2!R$2:R$38,"",-1),"")</f>
        <v/>
      </c>
      <c r="I24" t="str">
        <f>IFERROR(_xlfn.XLOOKUP($A24,Planilha2!$P$2:$P$38,Planilha2!S$2:S$38,"",-1),"")</f>
        <v/>
      </c>
      <c r="J24" t="str" cm="1">
        <f t="array" ref="J24">IF($A24&lt;MIN(Planilha2!$P$2:$P$38),"",_xlfn.LET(_xlpm.t,_xlfn.XLOOKUP($A24,Planilha2!$P$2:$P$38,Planilha2!$T$2:$T$38,"",-1),_xlfn.IFS(ISNUMBER(SEARCH("positiva",_xlpm.t)),"Positiva",ISNUMBER(SEARCH("negativa",_xlpm.t)),"Negativa",ISNUMBER(SEARCH("estável",_xlpm.t)),"Estável",TRUE,"n/d")))</f>
        <v/>
      </c>
      <c r="L24" s="52">
        <f>IFERROR(_xlfn.XLOOKUP(B24,'Agências de Rating Soberano'!$G$2:$G$22,'Agências de Rating Soberano'!$H$2:$H$22),NA())</f>
        <v>11</v>
      </c>
      <c r="M24" s="52" t="e">
        <f>IFERROR(_xlfn.XLOOKUP(C24,'Agências de Rating Soberano'!$G$2:$G$22,'Agências de Rating Soberano'!$H$2:$H$22),NA())</f>
        <v>#N/A</v>
      </c>
      <c r="N24" s="52" t="e">
        <f>IFERROR(_xlfn.XLOOKUP(E24,'Agências de Rating Soberano'!$J$2:$J$22,'Agências de Rating Soberano'!$K$2:$K$22),NA())</f>
        <v>#N/A</v>
      </c>
      <c r="O24" s="52" t="e">
        <f>IFERROR(_xlfn.XLOOKUP(F24,'Agências de Rating Soberano'!$J$2:$J$22,'Agências de Rating Soberano'!$K$2:$K$22),NA())</f>
        <v>#N/A</v>
      </c>
      <c r="P24" s="52" t="e">
        <f>IFERROR(_xlfn.XLOOKUP(H24,'Agências de Rating Soberano'!$J$2:$J$22,'Agências de Rating Soberano'!$K$2:$K$22),NA())</f>
        <v>#N/A</v>
      </c>
      <c r="Q24" s="52" t="e">
        <f>IFERROR(_xlfn.XLOOKUP(I24,'Agências de Rating Soberano'!$J$2:$J$22,'Agências de Rating Soberano'!$K$2:$K$22),NA())</f>
        <v>#N/A</v>
      </c>
      <c r="S24" s="50">
        <f>Planilha2!A24</f>
        <v>37489</v>
      </c>
      <c r="T24">
        <f>IFERROR(_xlfn.XLOOKUP(Planilha2!C24,'Agências de Rating Soberano'!$G$2:$G$22,'Agências de Rating Soberano'!$H$2:$H$22),NA())</f>
        <v>7</v>
      </c>
      <c r="U24" t="str" cm="1">
        <f t="array" ref="U24">_xlfn.IFS(ISNUMBER(SEARCH("positiva",Planilha2!E24)),"Positiva",ISNUMBER(SEARCH("negativa",Planilha2!E24)),"Negativa",ISNUMBER(SEARCH("estável",Planilha2!E24)),"Estável",TRUE,"n/d")</f>
        <v>Estável</v>
      </c>
      <c r="V24" t="e">
        <f t="shared" si="0"/>
        <v>#N/A</v>
      </c>
      <c r="W24">
        <f t="shared" si="0"/>
        <v>7</v>
      </c>
      <c r="X24" t="e">
        <f t="shared" si="0"/>
        <v>#N/A</v>
      </c>
      <c r="Z24" s="50">
        <f>Planilha2!J24</f>
        <v>40637</v>
      </c>
      <c r="AA24">
        <f>IFERROR(_xlfn.XLOOKUP(Planilha2!L24,'Agências de Rating Soberano'!$J$2:$J$22,'Agências de Rating Soberano'!$K$2:$K$22),NA())</f>
        <v>13</v>
      </c>
      <c r="AB24" t="str" cm="1">
        <f t="array" ref="AB24">_xlfn.IFS(ISNUMBER(SEARCH("positiva",Planilha2!N24)),"Positiva",ISNUMBER(SEARCH("negativa",Planilha2!N24)),"Negativa",ISNUMBER(SEARCH("estável",Planilha2!N24)),"Estável",TRUE,"n/d")</f>
        <v>Estável</v>
      </c>
      <c r="AC24" t="e">
        <f t="shared" si="1"/>
        <v>#N/A</v>
      </c>
      <c r="AD24">
        <f t="shared" si="1"/>
        <v>13</v>
      </c>
      <c r="AE24" t="e">
        <f t="shared" si="1"/>
        <v>#N/A</v>
      </c>
      <c r="AG24" s="50">
        <f>Planilha2!P24</f>
        <v>39568</v>
      </c>
      <c r="AH24">
        <f>IFERROR(_xlfn.XLOOKUP(Planilha2!R24,'Agências de Rating Soberano'!$J$2:$J$22,'Agências de Rating Soberano'!$K$2:$K$22),NA())</f>
        <v>12</v>
      </c>
      <c r="AI24" t="str" cm="1">
        <f t="array" ref="AI24">_xlfn.IFS(ISNUMBER(SEARCH("positiva",Planilha2!T24)),"Positiva",ISNUMBER(SEARCH("negativa",Planilha2!T24)),"Negativa",ISNUMBER(SEARCH("estável",Planilha2!T24)),"Estável",TRUE,"n/d")</f>
        <v>Estável</v>
      </c>
      <c r="AJ24" t="e">
        <f t="shared" si="2"/>
        <v>#N/A</v>
      </c>
      <c r="AK24">
        <f t="shared" si="2"/>
        <v>12</v>
      </c>
      <c r="AL24" t="e">
        <f t="shared" si="2"/>
        <v>#N/A</v>
      </c>
    </row>
    <row r="25" spans="1:38" x14ac:dyDescent="0.3">
      <c r="A25" s="53">
        <f t="shared" si="3"/>
        <v>32447</v>
      </c>
      <c r="B25" t="str">
        <f>IFERROR(_xlfn.XLOOKUP($A25,Planilha2!$A$2:$A$34,Planilha2!C$2:C$34,"",-1),"")</f>
        <v>Ba1</v>
      </c>
      <c r="C25" t="str">
        <f>IFERROR(_xlfn.XLOOKUP($A25,Planilha2!$A$2:$A$34,Planilha2!D$2:D$34,"",-1),"")</f>
        <v>-</v>
      </c>
      <c r="D25" t="str" cm="1">
        <f t="array" ref="D25">IF($A25&lt;MIN(Planilha2!$A$2:$A$34),"",_xlfn.LET(_xlpm.t,_xlfn.XLOOKUP($A25,Planilha2!$A$2:$A$34,Planilha2!$E$2:$E$34,"",-1),_xlfn.IFS(ISNUMBER(SEARCH("positiva",_xlpm.t)),"Positiva",ISNUMBER(SEARCH("negativa",_xlpm.t)),"Negativa",ISNUMBER(SEARCH("estável",_xlpm.t)),"Estável",TRUE,"n/d")))</f>
        <v>n/d</v>
      </c>
      <c r="E25" t="str">
        <f>IFERROR(_xlfn.XLOOKUP($A25,Planilha2!$J$2:$J$44,Planilha2!L$2:L$44,"",-1),"")</f>
        <v/>
      </c>
      <c r="F25" t="str">
        <f>IFERROR(_xlfn.XLOOKUP($A25,Planilha2!$J$2:$J$44,Planilha2!M$2:M$44,"",-1),"")</f>
        <v/>
      </c>
      <c r="G25" t="str" cm="1">
        <f t="array" ref="G25">IF($A25&lt;MIN(Planilha2!$J$2:$J$44),"",_xlfn.LET(_xlpm.t,_xlfn.XLOOKUP($A25,Planilha2!$J$2:$J$44,Planilha2!$N$2:$N$44,"",-1),_xlfn.IFS(ISNUMBER(SEARCH("positiva",_xlpm.t)),"Positiva",ISNUMBER(SEARCH("negativa",_xlpm.t)),"Negativa",ISNUMBER(SEARCH("estável",_xlpm.t)),"Estável",TRUE,"n/d")))</f>
        <v/>
      </c>
      <c r="H25" t="str">
        <f>IFERROR(_xlfn.XLOOKUP($A25,Planilha2!$P$2:$P$38,Planilha2!R$2:R$38,"",-1),"")</f>
        <v/>
      </c>
      <c r="I25" t="str">
        <f>IFERROR(_xlfn.XLOOKUP($A25,Planilha2!$P$2:$P$38,Planilha2!S$2:S$38,"",-1),"")</f>
        <v/>
      </c>
      <c r="J25" t="str" cm="1">
        <f t="array" ref="J25">IF($A25&lt;MIN(Planilha2!$P$2:$P$38),"",_xlfn.LET(_xlpm.t,_xlfn.XLOOKUP($A25,Planilha2!$P$2:$P$38,Planilha2!$T$2:$T$38,"",-1),_xlfn.IFS(ISNUMBER(SEARCH("positiva",_xlpm.t)),"Positiva",ISNUMBER(SEARCH("negativa",_xlpm.t)),"Negativa",ISNUMBER(SEARCH("estável",_xlpm.t)),"Estável",TRUE,"n/d")))</f>
        <v/>
      </c>
      <c r="L25" s="52">
        <f>IFERROR(_xlfn.XLOOKUP(B25,'Agências de Rating Soberano'!$G$2:$G$22,'Agências de Rating Soberano'!$H$2:$H$22),NA())</f>
        <v>11</v>
      </c>
      <c r="M25" s="52" t="e">
        <f>IFERROR(_xlfn.XLOOKUP(C25,'Agências de Rating Soberano'!$G$2:$G$22,'Agências de Rating Soberano'!$H$2:$H$22),NA())</f>
        <v>#N/A</v>
      </c>
      <c r="N25" s="52" t="e">
        <f>IFERROR(_xlfn.XLOOKUP(E25,'Agências de Rating Soberano'!$J$2:$J$22,'Agências de Rating Soberano'!$K$2:$K$22),NA())</f>
        <v>#N/A</v>
      </c>
      <c r="O25" s="52" t="e">
        <f>IFERROR(_xlfn.XLOOKUP(F25,'Agências de Rating Soberano'!$J$2:$J$22,'Agências de Rating Soberano'!$K$2:$K$22),NA())</f>
        <v>#N/A</v>
      </c>
      <c r="P25" s="52" t="e">
        <f>IFERROR(_xlfn.XLOOKUP(H25,'Agências de Rating Soberano'!$J$2:$J$22,'Agências de Rating Soberano'!$K$2:$K$22),NA())</f>
        <v>#N/A</v>
      </c>
      <c r="Q25" s="52" t="e">
        <f>IFERROR(_xlfn.XLOOKUP(I25,'Agências de Rating Soberano'!$J$2:$J$22,'Agências de Rating Soberano'!$K$2:$K$22),NA())</f>
        <v>#N/A</v>
      </c>
      <c r="S25" s="50">
        <f>Planilha2!A25</f>
        <v>37427</v>
      </c>
      <c r="T25">
        <f>IFERROR(_xlfn.XLOOKUP(Planilha2!C25,'Agências de Rating Soberano'!$G$2:$G$22,'Agências de Rating Soberano'!$H$2:$H$22),NA())</f>
        <v>8</v>
      </c>
      <c r="U25" t="str" cm="1">
        <f t="array" ref="U25">_xlfn.IFS(ISNUMBER(SEARCH("positiva",Planilha2!E25)),"Positiva",ISNUMBER(SEARCH("negativa",Planilha2!E25)),"Negativa",ISNUMBER(SEARCH("estável",Planilha2!E25)),"Estável",TRUE,"n/d")</f>
        <v>Negativa</v>
      </c>
      <c r="V25" t="e">
        <f t="shared" si="0"/>
        <v>#N/A</v>
      </c>
      <c r="W25" t="e">
        <f t="shared" si="0"/>
        <v>#N/A</v>
      </c>
      <c r="X25">
        <f t="shared" si="0"/>
        <v>8</v>
      </c>
      <c r="Z25" s="50">
        <f>Planilha2!J25</f>
        <v>40359</v>
      </c>
      <c r="AA25">
        <f>IFERROR(_xlfn.XLOOKUP(Planilha2!L25,'Agências de Rating Soberano'!$J$2:$J$22,'Agências de Rating Soberano'!$K$2:$K$22),NA())</f>
        <v>12</v>
      </c>
      <c r="AB25" t="str" cm="1">
        <f t="array" ref="AB25">_xlfn.IFS(ISNUMBER(SEARCH("positiva",Planilha2!N25)),"Positiva",ISNUMBER(SEARCH("negativa",Planilha2!N25)),"Negativa",ISNUMBER(SEARCH("estável",Planilha2!N25)),"Estável",TRUE,"n/d")</f>
        <v>Positiva</v>
      </c>
      <c r="AC25">
        <f t="shared" si="1"/>
        <v>12</v>
      </c>
      <c r="AD25" t="e">
        <f t="shared" si="1"/>
        <v>#N/A</v>
      </c>
      <c r="AE25" t="e">
        <f t="shared" si="1"/>
        <v>#N/A</v>
      </c>
      <c r="AG25" s="50">
        <f>Planilha2!P25</f>
        <v>39218</v>
      </c>
      <c r="AH25">
        <f>IFERROR(_xlfn.XLOOKUP(Planilha2!R25,'Agências de Rating Soberano'!$J$2:$J$22,'Agências de Rating Soberano'!$K$2:$K$22),NA())</f>
        <v>11</v>
      </c>
      <c r="AI25" t="str" cm="1">
        <f t="array" ref="AI25">_xlfn.IFS(ISNUMBER(SEARCH("positiva",Planilha2!T25)),"Positiva",ISNUMBER(SEARCH("negativa",Planilha2!T25)),"Negativa",ISNUMBER(SEARCH("estável",Planilha2!T25)),"Estável",TRUE,"n/d")</f>
        <v>Positiva</v>
      </c>
      <c r="AJ25">
        <f t="shared" si="2"/>
        <v>11</v>
      </c>
      <c r="AK25" t="e">
        <f t="shared" si="2"/>
        <v>#N/A</v>
      </c>
      <c r="AL25" t="e">
        <f t="shared" si="2"/>
        <v>#N/A</v>
      </c>
    </row>
    <row r="26" spans="1:38" x14ac:dyDescent="0.3">
      <c r="A26" s="53">
        <f t="shared" si="3"/>
        <v>32477</v>
      </c>
      <c r="B26" t="str">
        <f>IFERROR(_xlfn.XLOOKUP($A26,Planilha2!$A$2:$A$34,Planilha2!C$2:C$34,"",-1),"")</f>
        <v>Ba1</v>
      </c>
      <c r="C26" t="str">
        <f>IFERROR(_xlfn.XLOOKUP($A26,Planilha2!$A$2:$A$34,Planilha2!D$2:D$34,"",-1),"")</f>
        <v>-</v>
      </c>
      <c r="D26" t="str" cm="1">
        <f t="array" ref="D26">IF($A26&lt;MIN(Planilha2!$A$2:$A$34),"",_xlfn.LET(_xlpm.t,_xlfn.XLOOKUP($A26,Planilha2!$A$2:$A$34,Planilha2!$E$2:$E$34,"",-1),_xlfn.IFS(ISNUMBER(SEARCH("positiva",_xlpm.t)),"Positiva",ISNUMBER(SEARCH("negativa",_xlpm.t)),"Negativa",ISNUMBER(SEARCH("estável",_xlpm.t)),"Estável",TRUE,"n/d")))</f>
        <v>n/d</v>
      </c>
      <c r="E26" t="str">
        <f>IFERROR(_xlfn.XLOOKUP($A26,Planilha2!$J$2:$J$44,Planilha2!L$2:L$44,"",-1),"")</f>
        <v/>
      </c>
      <c r="F26" t="str">
        <f>IFERROR(_xlfn.XLOOKUP($A26,Planilha2!$J$2:$J$44,Planilha2!M$2:M$44,"",-1),"")</f>
        <v/>
      </c>
      <c r="G26" t="str" cm="1">
        <f t="array" ref="G26">IF($A26&lt;MIN(Planilha2!$J$2:$J$44),"",_xlfn.LET(_xlpm.t,_xlfn.XLOOKUP($A26,Planilha2!$J$2:$J$44,Planilha2!$N$2:$N$44,"",-1),_xlfn.IFS(ISNUMBER(SEARCH("positiva",_xlpm.t)),"Positiva",ISNUMBER(SEARCH("negativa",_xlpm.t)),"Negativa",ISNUMBER(SEARCH("estável",_xlpm.t)),"Estável",TRUE,"n/d")))</f>
        <v/>
      </c>
      <c r="H26" t="str">
        <f>IFERROR(_xlfn.XLOOKUP($A26,Planilha2!$P$2:$P$38,Planilha2!R$2:R$38,"",-1),"")</f>
        <v/>
      </c>
      <c r="I26" t="str">
        <f>IFERROR(_xlfn.XLOOKUP($A26,Planilha2!$P$2:$P$38,Planilha2!S$2:S$38,"",-1),"")</f>
        <v/>
      </c>
      <c r="J26" t="str" cm="1">
        <f t="array" ref="J26">IF($A26&lt;MIN(Planilha2!$P$2:$P$38),"",_xlfn.LET(_xlpm.t,_xlfn.XLOOKUP($A26,Planilha2!$P$2:$P$38,Planilha2!$T$2:$T$38,"",-1),_xlfn.IFS(ISNUMBER(SEARCH("positiva",_xlpm.t)),"Positiva",ISNUMBER(SEARCH("negativa",_xlpm.t)),"Negativa",ISNUMBER(SEARCH("estável",_xlpm.t)),"Estável",TRUE,"n/d")))</f>
        <v/>
      </c>
      <c r="L26" s="52">
        <f>IFERROR(_xlfn.XLOOKUP(B26,'Agências de Rating Soberano'!$G$2:$G$22,'Agências de Rating Soberano'!$H$2:$H$22),NA())</f>
        <v>11</v>
      </c>
      <c r="M26" s="52" t="e">
        <f>IFERROR(_xlfn.XLOOKUP(C26,'Agências de Rating Soberano'!$G$2:$G$22,'Agências de Rating Soberano'!$H$2:$H$22),NA())</f>
        <v>#N/A</v>
      </c>
      <c r="N26" s="52" t="e">
        <f>IFERROR(_xlfn.XLOOKUP(E26,'Agências de Rating Soberano'!$J$2:$J$22,'Agências de Rating Soberano'!$K$2:$K$22),NA())</f>
        <v>#N/A</v>
      </c>
      <c r="O26" s="52" t="e">
        <f>IFERROR(_xlfn.XLOOKUP(F26,'Agências de Rating Soberano'!$J$2:$J$22,'Agências de Rating Soberano'!$K$2:$K$22),NA())</f>
        <v>#N/A</v>
      </c>
      <c r="P26" s="52" t="e">
        <f>IFERROR(_xlfn.XLOOKUP(H26,'Agências de Rating Soberano'!$J$2:$J$22,'Agências de Rating Soberano'!$K$2:$K$22),NA())</f>
        <v>#N/A</v>
      </c>
      <c r="Q26" s="52" t="e">
        <f>IFERROR(_xlfn.XLOOKUP(I26,'Agências de Rating Soberano'!$J$2:$J$22,'Agências de Rating Soberano'!$K$2:$K$22),NA())</f>
        <v>#N/A</v>
      </c>
      <c r="S26" s="50">
        <f>Planilha2!A26</f>
        <v>37411</v>
      </c>
      <c r="T26">
        <f>IFERROR(_xlfn.XLOOKUP(Planilha2!C26,'Agências de Rating Soberano'!$G$2:$G$22,'Agências de Rating Soberano'!$H$2:$H$22),NA())</f>
        <v>8</v>
      </c>
      <c r="U26" t="str" cm="1">
        <f t="array" ref="U26">_xlfn.IFS(ISNUMBER(SEARCH("positiva",Planilha2!E26)),"Positiva",ISNUMBER(SEARCH("negativa",Planilha2!E26)),"Negativa",ISNUMBER(SEARCH("estável",Planilha2!E26)),"Estável",TRUE,"n/d")</f>
        <v>Estável</v>
      </c>
      <c r="V26" t="e">
        <f t="shared" si="0"/>
        <v>#N/A</v>
      </c>
      <c r="W26">
        <f t="shared" si="0"/>
        <v>8</v>
      </c>
      <c r="X26" t="e">
        <f t="shared" si="0"/>
        <v>#N/A</v>
      </c>
      <c r="Z26" s="50">
        <f>Planilha2!J26</f>
        <v>39596</v>
      </c>
      <c r="AA26">
        <f>IFERROR(_xlfn.XLOOKUP(Planilha2!L26,'Agências de Rating Soberano'!$J$2:$J$22,'Agências de Rating Soberano'!$K$2:$K$22),NA())</f>
        <v>12</v>
      </c>
      <c r="AB26" t="str" cm="1">
        <f t="array" ref="AB26">_xlfn.IFS(ISNUMBER(SEARCH("positiva",Planilha2!N26)),"Positiva",ISNUMBER(SEARCH("negativa",Planilha2!N26)),"Negativa",ISNUMBER(SEARCH("estável",Planilha2!N26)),"Estável",TRUE,"n/d")</f>
        <v>Estável</v>
      </c>
      <c r="AC26" t="e">
        <f t="shared" si="1"/>
        <v>#N/A</v>
      </c>
      <c r="AD26">
        <f t="shared" si="1"/>
        <v>12</v>
      </c>
      <c r="AE26" t="e">
        <f t="shared" si="1"/>
        <v>#N/A</v>
      </c>
      <c r="AG26" s="50">
        <f>Planilha2!P26</f>
        <v>39043</v>
      </c>
      <c r="AH26">
        <f>IFERROR(_xlfn.XLOOKUP(Planilha2!R26,'Agências de Rating Soberano'!$J$2:$J$22,'Agências de Rating Soberano'!$K$2:$K$22),NA())</f>
        <v>10</v>
      </c>
      <c r="AI26" t="str" cm="1">
        <f t="array" ref="AI26">_xlfn.IFS(ISNUMBER(SEARCH("positiva",Planilha2!T26)),"Positiva",ISNUMBER(SEARCH("negativa",Planilha2!T26)),"Negativa",ISNUMBER(SEARCH("estável",Planilha2!T26)),"Estável",TRUE,"n/d")</f>
        <v>Positiva</v>
      </c>
      <c r="AJ26">
        <f t="shared" si="2"/>
        <v>10</v>
      </c>
      <c r="AK26" t="e">
        <f t="shared" si="2"/>
        <v>#N/A</v>
      </c>
      <c r="AL26" t="e">
        <f t="shared" si="2"/>
        <v>#N/A</v>
      </c>
    </row>
    <row r="27" spans="1:38" x14ac:dyDescent="0.3">
      <c r="A27" s="53">
        <f t="shared" si="3"/>
        <v>32508</v>
      </c>
      <c r="B27" t="str">
        <f>IFERROR(_xlfn.XLOOKUP($A27,Planilha2!$A$2:$A$34,Planilha2!C$2:C$34,"",-1),"")</f>
        <v>Ba1</v>
      </c>
      <c r="C27" t="str">
        <f>IFERROR(_xlfn.XLOOKUP($A27,Planilha2!$A$2:$A$34,Planilha2!D$2:D$34,"",-1),"")</f>
        <v>-</v>
      </c>
      <c r="D27" t="str" cm="1">
        <f t="array" ref="D27">IF($A27&lt;MIN(Planilha2!$A$2:$A$34),"",_xlfn.LET(_xlpm.t,_xlfn.XLOOKUP($A27,Planilha2!$A$2:$A$34,Planilha2!$E$2:$E$34,"",-1),_xlfn.IFS(ISNUMBER(SEARCH("positiva",_xlpm.t)),"Positiva",ISNUMBER(SEARCH("negativa",_xlpm.t)),"Negativa",ISNUMBER(SEARCH("estável",_xlpm.t)),"Estável",TRUE,"n/d")))</f>
        <v>n/d</v>
      </c>
      <c r="E27" t="str">
        <f>IFERROR(_xlfn.XLOOKUP($A27,Planilha2!$J$2:$J$44,Planilha2!L$2:L$44,"",-1),"")</f>
        <v/>
      </c>
      <c r="F27" t="str">
        <f>IFERROR(_xlfn.XLOOKUP($A27,Planilha2!$J$2:$J$44,Planilha2!M$2:M$44,"",-1),"")</f>
        <v/>
      </c>
      <c r="G27" t="str" cm="1">
        <f t="array" ref="G27">IF($A27&lt;MIN(Planilha2!$J$2:$J$44),"",_xlfn.LET(_xlpm.t,_xlfn.XLOOKUP($A27,Planilha2!$J$2:$J$44,Planilha2!$N$2:$N$44,"",-1),_xlfn.IFS(ISNUMBER(SEARCH("positiva",_xlpm.t)),"Positiva",ISNUMBER(SEARCH("negativa",_xlpm.t)),"Negativa",ISNUMBER(SEARCH("estável",_xlpm.t)),"Estável",TRUE,"n/d")))</f>
        <v/>
      </c>
      <c r="H27" t="str">
        <f>IFERROR(_xlfn.XLOOKUP($A27,Planilha2!$P$2:$P$38,Planilha2!R$2:R$38,"",-1),"")</f>
        <v/>
      </c>
      <c r="I27" t="str">
        <f>IFERROR(_xlfn.XLOOKUP($A27,Planilha2!$P$2:$P$38,Planilha2!S$2:S$38,"",-1),"")</f>
        <v/>
      </c>
      <c r="J27" t="str" cm="1">
        <f t="array" ref="J27">IF($A27&lt;MIN(Planilha2!$P$2:$P$38),"",_xlfn.LET(_xlpm.t,_xlfn.XLOOKUP($A27,Planilha2!$P$2:$P$38,Planilha2!$T$2:$T$38,"",-1),_xlfn.IFS(ISNUMBER(SEARCH("positiva",_xlpm.t)),"Positiva",ISNUMBER(SEARCH("negativa",_xlpm.t)),"Negativa",ISNUMBER(SEARCH("estável",_xlpm.t)),"Estável",TRUE,"n/d")))</f>
        <v/>
      </c>
      <c r="L27" s="52">
        <f>IFERROR(_xlfn.XLOOKUP(B27,'Agências de Rating Soberano'!$G$2:$G$22,'Agências de Rating Soberano'!$H$2:$H$22),NA())</f>
        <v>11</v>
      </c>
      <c r="M27" s="52" t="e">
        <f>IFERROR(_xlfn.XLOOKUP(C27,'Agências de Rating Soberano'!$G$2:$G$22,'Agências de Rating Soberano'!$H$2:$H$22),NA())</f>
        <v>#N/A</v>
      </c>
      <c r="N27" s="52" t="e">
        <f>IFERROR(_xlfn.XLOOKUP(E27,'Agências de Rating Soberano'!$J$2:$J$22,'Agências de Rating Soberano'!$K$2:$K$22),NA())</f>
        <v>#N/A</v>
      </c>
      <c r="O27" s="52" t="e">
        <f>IFERROR(_xlfn.XLOOKUP(F27,'Agências de Rating Soberano'!$J$2:$J$22,'Agências de Rating Soberano'!$K$2:$K$22),NA())</f>
        <v>#N/A</v>
      </c>
      <c r="P27" s="52" t="e">
        <f>IFERROR(_xlfn.XLOOKUP(H27,'Agências de Rating Soberano'!$J$2:$J$22,'Agências de Rating Soberano'!$K$2:$K$22),NA())</f>
        <v>#N/A</v>
      </c>
      <c r="Q27" s="52" t="e">
        <f>IFERROR(_xlfn.XLOOKUP(I27,'Agências de Rating Soberano'!$J$2:$J$22,'Agências de Rating Soberano'!$K$2:$K$22),NA())</f>
        <v>#N/A</v>
      </c>
      <c r="S27" s="50">
        <f>Planilha2!A27</f>
        <v>37314</v>
      </c>
      <c r="T27">
        <f>IFERROR(_xlfn.XLOOKUP(Planilha2!C27,'Agências de Rating Soberano'!$G$2:$G$22,'Agências de Rating Soberano'!$H$2:$H$22),NA())</f>
        <v>8</v>
      </c>
      <c r="U27" t="str" cm="1">
        <f t="array" ref="U27">_xlfn.IFS(ISNUMBER(SEARCH("positiva",Planilha2!E27)),"Positiva",ISNUMBER(SEARCH("negativa",Planilha2!E27)),"Negativa",ISNUMBER(SEARCH("estável",Planilha2!E27)),"Estável",TRUE,"n/d")</f>
        <v>Positiva</v>
      </c>
      <c r="V27">
        <f t="shared" si="0"/>
        <v>8</v>
      </c>
      <c r="W27" t="e">
        <f t="shared" si="0"/>
        <v>#N/A</v>
      </c>
      <c r="X27" t="e">
        <f t="shared" si="0"/>
        <v>#N/A</v>
      </c>
      <c r="Z27" s="50">
        <f>Planilha2!J27</f>
        <v>39212</v>
      </c>
      <c r="AA27">
        <f>IFERROR(_xlfn.XLOOKUP(Planilha2!L27,'Agências de Rating Soberano'!$J$2:$J$22,'Agências de Rating Soberano'!$K$2:$K$22),NA())</f>
        <v>11</v>
      </c>
      <c r="AB27" t="str" cm="1">
        <f t="array" ref="AB27">_xlfn.IFS(ISNUMBER(SEARCH("positiva",Planilha2!N27)),"Positiva",ISNUMBER(SEARCH("negativa",Planilha2!N27)),"Negativa",ISNUMBER(SEARCH("estável",Planilha2!N27)),"Estável",TRUE,"n/d")</f>
        <v>Estável</v>
      </c>
      <c r="AC27" t="e">
        <f t="shared" si="1"/>
        <v>#N/A</v>
      </c>
      <c r="AD27">
        <f t="shared" si="1"/>
        <v>11</v>
      </c>
      <c r="AE27" t="e">
        <f t="shared" si="1"/>
        <v>#N/A</v>
      </c>
      <c r="AG27" s="50">
        <f>Planilha2!P27</f>
        <v>38776</v>
      </c>
      <c r="AH27">
        <f>IFERROR(_xlfn.XLOOKUP(Planilha2!R27,'Agências de Rating Soberano'!$J$2:$J$22,'Agências de Rating Soberano'!$K$2:$K$22),NA())</f>
        <v>10</v>
      </c>
      <c r="AI27" t="str" cm="1">
        <f t="array" ref="AI27">_xlfn.IFS(ISNUMBER(SEARCH("positiva",Planilha2!T27)),"Positiva",ISNUMBER(SEARCH("negativa",Planilha2!T27)),"Negativa",ISNUMBER(SEARCH("estável",Planilha2!T27)),"Estável",TRUE,"n/d")</f>
        <v>Estável</v>
      </c>
      <c r="AJ27" t="e">
        <f t="shared" si="2"/>
        <v>#N/A</v>
      </c>
      <c r="AK27">
        <f t="shared" si="2"/>
        <v>10</v>
      </c>
      <c r="AL27" t="e">
        <f t="shared" si="2"/>
        <v>#N/A</v>
      </c>
    </row>
    <row r="28" spans="1:38" x14ac:dyDescent="0.3">
      <c r="A28" s="53">
        <f t="shared" si="3"/>
        <v>32539</v>
      </c>
      <c r="B28" t="str">
        <f>IFERROR(_xlfn.XLOOKUP($A28,Planilha2!$A$2:$A$34,Planilha2!C$2:C$34,"",-1),"")</f>
        <v>Ba1</v>
      </c>
      <c r="C28" t="str">
        <f>IFERROR(_xlfn.XLOOKUP($A28,Planilha2!$A$2:$A$34,Planilha2!D$2:D$34,"",-1),"")</f>
        <v>-</v>
      </c>
      <c r="D28" t="str" cm="1">
        <f t="array" ref="D28">IF($A28&lt;MIN(Planilha2!$A$2:$A$34),"",_xlfn.LET(_xlpm.t,_xlfn.XLOOKUP($A28,Planilha2!$A$2:$A$34,Planilha2!$E$2:$E$34,"",-1),_xlfn.IFS(ISNUMBER(SEARCH("positiva",_xlpm.t)),"Positiva",ISNUMBER(SEARCH("negativa",_xlpm.t)),"Negativa",ISNUMBER(SEARCH("estável",_xlpm.t)),"Estável",TRUE,"n/d")))</f>
        <v>n/d</v>
      </c>
      <c r="E28" t="str">
        <f>IFERROR(_xlfn.XLOOKUP($A28,Planilha2!$J$2:$J$44,Planilha2!L$2:L$44,"",-1),"")</f>
        <v/>
      </c>
      <c r="F28" t="str">
        <f>IFERROR(_xlfn.XLOOKUP($A28,Planilha2!$J$2:$J$44,Planilha2!M$2:M$44,"",-1),"")</f>
        <v/>
      </c>
      <c r="G28" t="str" cm="1">
        <f t="array" ref="G28">IF($A28&lt;MIN(Planilha2!$J$2:$J$44),"",_xlfn.LET(_xlpm.t,_xlfn.XLOOKUP($A28,Planilha2!$J$2:$J$44,Planilha2!$N$2:$N$44,"",-1),_xlfn.IFS(ISNUMBER(SEARCH("positiva",_xlpm.t)),"Positiva",ISNUMBER(SEARCH("negativa",_xlpm.t)),"Negativa",ISNUMBER(SEARCH("estável",_xlpm.t)),"Estável",TRUE,"n/d")))</f>
        <v/>
      </c>
      <c r="H28" t="str">
        <f>IFERROR(_xlfn.XLOOKUP($A28,Planilha2!$P$2:$P$38,Planilha2!R$2:R$38,"",-1),"")</f>
        <v/>
      </c>
      <c r="I28" t="str">
        <f>IFERROR(_xlfn.XLOOKUP($A28,Planilha2!$P$2:$P$38,Planilha2!S$2:S$38,"",-1),"")</f>
        <v/>
      </c>
      <c r="J28" t="str" cm="1">
        <f t="array" ref="J28">IF($A28&lt;MIN(Planilha2!$P$2:$P$38),"",_xlfn.LET(_xlpm.t,_xlfn.XLOOKUP($A28,Planilha2!$P$2:$P$38,Planilha2!$T$2:$T$38,"",-1),_xlfn.IFS(ISNUMBER(SEARCH("positiva",_xlpm.t)),"Positiva",ISNUMBER(SEARCH("negativa",_xlpm.t)),"Negativa",ISNUMBER(SEARCH("estável",_xlpm.t)),"Estável",TRUE,"n/d")))</f>
        <v/>
      </c>
      <c r="L28" s="52">
        <f>IFERROR(_xlfn.XLOOKUP(B28,'Agências de Rating Soberano'!$G$2:$G$22,'Agências de Rating Soberano'!$H$2:$H$22),NA())</f>
        <v>11</v>
      </c>
      <c r="M28" s="52" t="e">
        <f>IFERROR(_xlfn.XLOOKUP(C28,'Agências de Rating Soberano'!$G$2:$G$22,'Agências de Rating Soberano'!$H$2:$H$22),NA())</f>
        <v>#N/A</v>
      </c>
      <c r="N28" s="52" t="e">
        <f>IFERROR(_xlfn.XLOOKUP(E28,'Agências de Rating Soberano'!$J$2:$J$22,'Agências de Rating Soberano'!$K$2:$K$22),NA())</f>
        <v>#N/A</v>
      </c>
      <c r="O28" s="52" t="e">
        <f>IFERROR(_xlfn.XLOOKUP(F28,'Agências de Rating Soberano'!$J$2:$J$22,'Agências de Rating Soberano'!$K$2:$K$22),NA())</f>
        <v>#N/A</v>
      </c>
      <c r="P28" s="52" t="e">
        <f>IFERROR(_xlfn.XLOOKUP(H28,'Agências de Rating Soberano'!$J$2:$J$22,'Agências de Rating Soberano'!$K$2:$K$22),NA())</f>
        <v>#N/A</v>
      </c>
      <c r="Q28" s="52" t="e">
        <f>IFERROR(_xlfn.XLOOKUP(I28,'Agências de Rating Soberano'!$J$2:$J$22,'Agências de Rating Soberano'!$K$2:$K$22),NA())</f>
        <v>#N/A</v>
      </c>
      <c r="S28" s="50">
        <f>Planilha2!A28</f>
        <v>36815</v>
      </c>
      <c r="T28">
        <f>IFERROR(_xlfn.XLOOKUP(Planilha2!C28,'Agências de Rating Soberano'!$G$2:$G$22,'Agências de Rating Soberano'!$H$2:$H$22),NA())</f>
        <v>8</v>
      </c>
      <c r="U28" t="str" cm="1">
        <f t="array" ref="U28">_xlfn.IFS(ISNUMBER(SEARCH("positiva",Planilha2!E28)),"Positiva",ISNUMBER(SEARCH("negativa",Planilha2!E28)),"Negativa",ISNUMBER(SEARCH("estável",Planilha2!E28)),"Estável",TRUE,"n/d")</f>
        <v>Positiva</v>
      </c>
      <c r="V28">
        <f t="shared" si="0"/>
        <v>8</v>
      </c>
      <c r="W28" t="e">
        <f t="shared" si="0"/>
        <v>#N/A</v>
      </c>
      <c r="X28" t="e">
        <f t="shared" si="0"/>
        <v>#N/A</v>
      </c>
      <c r="Z28" s="50">
        <f>Planilha2!J28</f>
        <v>39117</v>
      </c>
      <c r="AA28">
        <f>IFERROR(_xlfn.XLOOKUP(Planilha2!L28,'Agências de Rating Soberano'!$J$2:$J$22,'Agências de Rating Soberano'!$K$2:$K$22),NA())</f>
        <v>10</v>
      </c>
      <c r="AB28" t="str" cm="1">
        <f t="array" ref="AB28">_xlfn.IFS(ISNUMBER(SEARCH("positiva",Planilha2!N28)),"Positiva",ISNUMBER(SEARCH("negativa",Planilha2!N28)),"Negativa",ISNUMBER(SEARCH("estável",Planilha2!N28)),"Estável",TRUE,"n/d")</f>
        <v>Positiva</v>
      </c>
      <c r="AC28">
        <f t="shared" si="1"/>
        <v>10</v>
      </c>
      <c r="AD28" t="e">
        <f t="shared" si="1"/>
        <v>#N/A</v>
      </c>
      <c r="AE28" t="e">
        <f t="shared" si="1"/>
        <v>#N/A</v>
      </c>
      <c r="AG28" s="50">
        <f>Planilha2!P28</f>
        <v>38664</v>
      </c>
      <c r="AH28">
        <f>IFERROR(_xlfn.XLOOKUP(Planilha2!R28,'Agências de Rating Soberano'!$J$2:$J$22,'Agências de Rating Soberano'!$K$2:$K$22),NA())</f>
        <v>9</v>
      </c>
      <c r="AI28" t="str" cm="1">
        <f t="array" ref="AI28">_xlfn.IFS(ISNUMBER(SEARCH("positiva",Planilha2!T28)),"Positiva",ISNUMBER(SEARCH("negativa",Planilha2!T28)),"Negativa",ISNUMBER(SEARCH("estável",Planilha2!T28)),"Estável",TRUE,"n/d")</f>
        <v>Positiva</v>
      </c>
      <c r="AJ28">
        <f t="shared" si="2"/>
        <v>9</v>
      </c>
      <c r="AK28" t="e">
        <f t="shared" si="2"/>
        <v>#N/A</v>
      </c>
      <c r="AL28" t="e">
        <f t="shared" si="2"/>
        <v>#N/A</v>
      </c>
    </row>
    <row r="29" spans="1:38" x14ac:dyDescent="0.3">
      <c r="A29" s="53">
        <f t="shared" si="3"/>
        <v>32567</v>
      </c>
      <c r="B29" t="str">
        <f>IFERROR(_xlfn.XLOOKUP($A29,Planilha2!$A$2:$A$34,Planilha2!C$2:C$34,"",-1),"")</f>
        <v>Ba1</v>
      </c>
      <c r="C29" t="str">
        <f>IFERROR(_xlfn.XLOOKUP($A29,Planilha2!$A$2:$A$34,Planilha2!D$2:D$34,"",-1),"")</f>
        <v>-</v>
      </c>
      <c r="D29" t="str" cm="1">
        <f t="array" ref="D29">IF($A29&lt;MIN(Planilha2!$A$2:$A$34),"",_xlfn.LET(_xlpm.t,_xlfn.XLOOKUP($A29,Planilha2!$A$2:$A$34,Planilha2!$E$2:$E$34,"",-1),_xlfn.IFS(ISNUMBER(SEARCH("positiva",_xlpm.t)),"Positiva",ISNUMBER(SEARCH("negativa",_xlpm.t)),"Negativa",ISNUMBER(SEARCH("estável",_xlpm.t)),"Estável",TRUE,"n/d")))</f>
        <v>n/d</v>
      </c>
      <c r="E29" t="str">
        <f>IFERROR(_xlfn.XLOOKUP($A29,Planilha2!$J$2:$J$44,Planilha2!L$2:L$44,"",-1),"")</f>
        <v/>
      </c>
      <c r="F29" t="str">
        <f>IFERROR(_xlfn.XLOOKUP($A29,Planilha2!$J$2:$J$44,Planilha2!M$2:M$44,"",-1),"")</f>
        <v/>
      </c>
      <c r="G29" t="str" cm="1">
        <f t="array" ref="G29">IF($A29&lt;MIN(Planilha2!$J$2:$J$44),"",_xlfn.LET(_xlpm.t,_xlfn.XLOOKUP($A29,Planilha2!$J$2:$J$44,Planilha2!$N$2:$N$44,"",-1),_xlfn.IFS(ISNUMBER(SEARCH("positiva",_xlpm.t)),"Positiva",ISNUMBER(SEARCH("negativa",_xlpm.t)),"Negativa",ISNUMBER(SEARCH("estável",_xlpm.t)),"Estável",TRUE,"n/d")))</f>
        <v/>
      </c>
      <c r="H29" t="str">
        <f>IFERROR(_xlfn.XLOOKUP($A29,Planilha2!$P$2:$P$38,Planilha2!R$2:R$38,"",-1),"")</f>
        <v/>
      </c>
      <c r="I29" t="str">
        <f>IFERROR(_xlfn.XLOOKUP($A29,Planilha2!$P$2:$P$38,Planilha2!S$2:S$38,"",-1),"")</f>
        <v/>
      </c>
      <c r="J29" t="str" cm="1">
        <f t="array" ref="J29">IF($A29&lt;MIN(Planilha2!$P$2:$P$38),"",_xlfn.LET(_xlpm.t,_xlfn.XLOOKUP($A29,Planilha2!$P$2:$P$38,Planilha2!$T$2:$T$38,"",-1),_xlfn.IFS(ISNUMBER(SEARCH("positiva",_xlpm.t)),"Positiva",ISNUMBER(SEARCH("negativa",_xlpm.t)),"Negativa",ISNUMBER(SEARCH("estável",_xlpm.t)),"Estável",TRUE,"n/d")))</f>
        <v/>
      </c>
      <c r="L29" s="52">
        <f>IFERROR(_xlfn.XLOOKUP(B29,'Agências de Rating Soberano'!$G$2:$G$22,'Agências de Rating Soberano'!$H$2:$H$22),NA())</f>
        <v>11</v>
      </c>
      <c r="M29" s="52" t="e">
        <f>IFERROR(_xlfn.XLOOKUP(C29,'Agências de Rating Soberano'!$G$2:$G$22,'Agências de Rating Soberano'!$H$2:$H$22),NA())</f>
        <v>#N/A</v>
      </c>
      <c r="N29" s="52" t="e">
        <f>IFERROR(_xlfn.XLOOKUP(E29,'Agências de Rating Soberano'!$J$2:$J$22,'Agências de Rating Soberano'!$K$2:$K$22),NA())</f>
        <v>#N/A</v>
      </c>
      <c r="O29" s="52" t="e">
        <f>IFERROR(_xlfn.XLOOKUP(F29,'Agências de Rating Soberano'!$J$2:$J$22,'Agências de Rating Soberano'!$K$2:$K$22),NA())</f>
        <v>#N/A</v>
      </c>
      <c r="P29" s="52" t="e">
        <f>IFERROR(_xlfn.XLOOKUP(H29,'Agências de Rating Soberano'!$J$2:$J$22,'Agências de Rating Soberano'!$K$2:$K$22),NA())</f>
        <v>#N/A</v>
      </c>
      <c r="Q29" s="52" t="e">
        <f>IFERROR(_xlfn.XLOOKUP(I29,'Agências de Rating Soberano'!$J$2:$J$22,'Agências de Rating Soberano'!$K$2:$K$22),NA())</f>
        <v>#N/A</v>
      </c>
      <c r="S29" s="50">
        <f>Planilha2!A29</f>
        <v>36041</v>
      </c>
      <c r="T29">
        <f>IFERROR(_xlfn.XLOOKUP(Planilha2!C29,'Agências de Rating Soberano'!$G$2:$G$22,'Agências de Rating Soberano'!$H$2:$H$22),NA())</f>
        <v>7</v>
      </c>
      <c r="U29" t="str" cm="1">
        <f t="array" ref="U29">_xlfn.IFS(ISNUMBER(SEARCH("positiva",Planilha2!E29)),"Positiva",ISNUMBER(SEARCH("negativa",Planilha2!E29)),"Negativa",ISNUMBER(SEARCH("estável",Planilha2!E29)),"Estável",TRUE,"n/d")</f>
        <v>Estável</v>
      </c>
      <c r="V29" t="e">
        <f t="shared" si="0"/>
        <v>#N/A</v>
      </c>
      <c r="W29">
        <f t="shared" si="0"/>
        <v>7</v>
      </c>
      <c r="X29" t="e">
        <f t="shared" si="0"/>
        <v>#N/A</v>
      </c>
      <c r="Z29" s="50">
        <f>Planilha2!J29</f>
        <v>38896</v>
      </c>
      <c r="AA29">
        <f>IFERROR(_xlfn.XLOOKUP(Planilha2!L29,'Agências de Rating Soberano'!$J$2:$J$22,'Agências de Rating Soberano'!$K$2:$K$22),NA())</f>
        <v>10</v>
      </c>
      <c r="AB29" t="str" cm="1">
        <f t="array" ref="AB29">_xlfn.IFS(ISNUMBER(SEARCH("positiva",Planilha2!N29)),"Positiva",ISNUMBER(SEARCH("negativa",Planilha2!N29)),"Negativa",ISNUMBER(SEARCH("estável",Planilha2!N29)),"Estável",TRUE,"n/d")</f>
        <v>Estável</v>
      </c>
      <c r="AC29" t="e">
        <f t="shared" si="1"/>
        <v>#N/A</v>
      </c>
      <c r="AD29">
        <f t="shared" si="1"/>
        <v>10</v>
      </c>
      <c r="AE29" t="e">
        <f t="shared" si="1"/>
        <v>#N/A</v>
      </c>
      <c r="AG29" s="50">
        <f>Planilha2!P29</f>
        <v>37740</v>
      </c>
      <c r="AH29">
        <f>IFERROR(_xlfn.XLOOKUP(Planilha2!R29,'Agências de Rating Soberano'!$J$2:$J$22,'Agências de Rating Soberano'!$K$2:$K$22),NA())</f>
        <v>8</v>
      </c>
      <c r="AI29" t="str" cm="1">
        <f t="array" ref="AI29">_xlfn.IFS(ISNUMBER(SEARCH("positiva",Planilha2!T29)),"Positiva",ISNUMBER(SEARCH("negativa",Planilha2!T29)),"Negativa",ISNUMBER(SEARCH("estável",Planilha2!T29)),"Estável",TRUE,"n/d")</f>
        <v>Estável</v>
      </c>
      <c r="AJ29" t="e">
        <f t="shared" si="2"/>
        <v>#N/A</v>
      </c>
      <c r="AK29">
        <f t="shared" si="2"/>
        <v>8</v>
      </c>
      <c r="AL29" t="e">
        <f t="shared" si="2"/>
        <v>#N/A</v>
      </c>
    </row>
    <row r="30" spans="1:38" x14ac:dyDescent="0.3">
      <c r="A30" s="53">
        <f t="shared" si="3"/>
        <v>32598</v>
      </c>
      <c r="B30" t="str">
        <f>IFERROR(_xlfn.XLOOKUP($A30,Planilha2!$A$2:$A$34,Planilha2!C$2:C$34,"",-1),"")</f>
        <v>B2</v>
      </c>
      <c r="C30" t="str">
        <f>IFERROR(_xlfn.XLOOKUP($A30,Planilha2!$A$2:$A$34,Planilha2!D$2:D$34,"",-1),"")</f>
        <v>-</v>
      </c>
      <c r="D30" t="str" cm="1">
        <f t="array" ref="D30">IF($A30&lt;MIN(Planilha2!$A$2:$A$34),"",_xlfn.LET(_xlpm.t,_xlfn.XLOOKUP($A30,Planilha2!$A$2:$A$34,Planilha2!$E$2:$E$34,"",-1),_xlfn.IFS(ISNUMBER(SEARCH("positiva",_xlpm.t)),"Positiva",ISNUMBER(SEARCH("negativa",_xlpm.t)),"Negativa",ISNUMBER(SEARCH("estável",_xlpm.t)),"Estável",TRUE,"n/d")))</f>
        <v>Estável</v>
      </c>
      <c r="E30" t="str">
        <f>IFERROR(_xlfn.XLOOKUP($A30,Planilha2!$J$2:$J$44,Planilha2!L$2:L$44,"",-1),"")</f>
        <v/>
      </c>
      <c r="F30" t="str">
        <f>IFERROR(_xlfn.XLOOKUP($A30,Planilha2!$J$2:$J$44,Planilha2!M$2:M$44,"",-1),"")</f>
        <v/>
      </c>
      <c r="G30" t="str" cm="1">
        <f t="array" ref="G30">IF($A30&lt;MIN(Planilha2!$J$2:$J$44),"",_xlfn.LET(_xlpm.t,_xlfn.XLOOKUP($A30,Planilha2!$J$2:$J$44,Planilha2!$N$2:$N$44,"",-1),_xlfn.IFS(ISNUMBER(SEARCH("positiva",_xlpm.t)),"Positiva",ISNUMBER(SEARCH("negativa",_xlpm.t)),"Negativa",ISNUMBER(SEARCH("estável",_xlpm.t)),"Estável",TRUE,"n/d")))</f>
        <v/>
      </c>
      <c r="H30" t="str">
        <f>IFERROR(_xlfn.XLOOKUP($A30,Planilha2!$P$2:$P$38,Planilha2!R$2:R$38,"",-1),"")</f>
        <v/>
      </c>
      <c r="I30" t="str">
        <f>IFERROR(_xlfn.XLOOKUP($A30,Planilha2!$P$2:$P$38,Planilha2!S$2:S$38,"",-1),"")</f>
        <v/>
      </c>
      <c r="J30" t="str" cm="1">
        <f t="array" ref="J30">IF($A30&lt;MIN(Planilha2!$P$2:$P$38),"",_xlfn.LET(_xlpm.t,_xlfn.XLOOKUP($A30,Planilha2!$P$2:$P$38,Planilha2!$T$2:$T$38,"",-1),_xlfn.IFS(ISNUMBER(SEARCH("positiva",_xlpm.t)),"Positiva",ISNUMBER(SEARCH("negativa",_xlpm.t)),"Negativa",ISNUMBER(SEARCH("estável",_xlpm.t)),"Estável",TRUE,"n/d")))</f>
        <v/>
      </c>
      <c r="L30" s="52">
        <f>IFERROR(_xlfn.XLOOKUP(B30,'Agências de Rating Soberano'!$G$2:$G$22,'Agências de Rating Soberano'!$H$2:$H$22),NA())</f>
        <v>7</v>
      </c>
      <c r="M30" s="52" t="e">
        <f>IFERROR(_xlfn.XLOOKUP(C30,'Agências de Rating Soberano'!$G$2:$G$22,'Agências de Rating Soberano'!$H$2:$H$22),NA())</f>
        <v>#N/A</v>
      </c>
      <c r="N30" s="52" t="e">
        <f>IFERROR(_xlfn.XLOOKUP(E30,'Agências de Rating Soberano'!$J$2:$J$22,'Agências de Rating Soberano'!$K$2:$K$22),NA())</f>
        <v>#N/A</v>
      </c>
      <c r="O30" s="52" t="e">
        <f>IFERROR(_xlfn.XLOOKUP(F30,'Agências de Rating Soberano'!$J$2:$J$22,'Agências de Rating Soberano'!$K$2:$K$22),NA())</f>
        <v>#N/A</v>
      </c>
      <c r="P30" s="52" t="e">
        <f>IFERROR(_xlfn.XLOOKUP(H30,'Agências de Rating Soberano'!$J$2:$J$22,'Agências de Rating Soberano'!$K$2:$K$22),NA())</f>
        <v>#N/A</v>
      </c>
      <c r="Q30" s="52" t="e">
        <f>IFERROR(_xlfn.XLOOKUP(I30,'Agências de Rating Soberano'!$J$2:$J$22,'Agências de Rating Soberano'!$K$2:$K$22),NA())</f>
        <v>#N/A</v>
      </c>
      <c r="S30" s="50">
        <f>Planilha2!A30</f>
        <v>35496</v>
      </c>
      <c r="T30">
        <f>IFERROR(_xlfn.XLOOKUP(Planilha2!C30,'Agências de Rating Soberano'!$G$2:$G$22,'Agências de Rating Soberano'!$H$2:$H$22),NA())</f>
        <v>8</v>
      </c>
      <c r="U30" t="str" cm="1">
        <f t="array" ref="U30">_xlfn.IFS(ISNUMBER(SEARCH("positiva",Planilha2!E30)),"Positiva",ISNUMBER(SEARCH("negativa",Planilha2!E30)),"Negativa",ISNUMBER(SEARCH("estável",Planilha2!E30)),"Estável",TRUE,"n/d")</f>
        <v>Estável</v>
      </c>
      <c r="V30" t="e">
        <f t="shared" si="0"/>
        <v>#N/A</v>
      </c>
      <c r="W30">
        <f t="shared" si="0"/>
        <v>8</v>
      </c>
      <c r="X30" t="e">
        <f t="shared" si="0"/>
        <v>#N/A</v>
      </c>
      <c r="Z30" s="50">
        <f>Planilha2!J30</f>
        <v>38258</v>
      </c>
      <c r="AA30">
        <f>IFERROR(_xlfn.XLOOKUP(Planilha2!L30,'Agências de Rating Soberano'!$J$2:$J$22,'Agências de Rating Soberano'!$K$2:$K$22),NA())</f>
        <v>9</v>
      </c>
      <c r="AB30" t="str" cm="1">
        <f t="array" ref="AB30">_xlfn.IFS(ISNUMBER(SEARCH("positiva",Planilha2!N30)),"Positiva",ISNUMBER(SEARCH("negativa",Planilha2!N30)),"Negativa",ISNUMBER(SEARCH("estável",Planilha2!N30)),"Estável",TRUE,"n/d")</f>
        <v>Estável</v>
      </c>
      <c r="AC30" t="e">
        <f t="shared" si="1"/>
        <v>#N/A</v>
      </c>
      <c r="AD30">
        <f t="shared" si="1"/>
        <v>9</v>
      </c>
      <c r="AE30" t="e">
        <f t="shared" si="1"/>
        <v>#N/A</v>
      </c>
      <c r="AG30" s="50">
        <f>Planilha2!P30</f>
        <v>37439</v>
      </c>
      <c r="AH30">
        <f>IFERROR(_xlfn.XLOOKUP(Planilha2!R30,'Agências de Rating Soberano'!$J$2:$J$22,'Agências de Rating Soberano'!$K$2:$K$22),NA())</f>
        <v>8</v>
      </c>
      <c r="AI30" t="str" cm="1">
        <f t="array" ref="AI30">_xlfn.IFS(ISNUMBER(SEARCH("positiva",Planilha2!T30)),"Positiva",ISNUMBER(SEARCH("negativa",Planilha2!T30)),"Negativa",ISNUMBER(SEARCH("estável",Planilha2!T30)),"Estável",TRUE,"n/d")</f>
        <v>Negativa</v>
      </c>
      <c r="AJ30" t="e">
        <f t="shared" si="2"/>
        <v>#N/A</v>
      </c>
      <c r="AK30" t="e">
        <f t="shared" si="2"/>
        <v>#N/A</v>
      </c>
      <c r="AL30">
        <f t="shared" si="2"/>
        <v>8</v>
      </c>
    </row>
    <row r="31" spans="1:38" x14ac:dyDescent="0.3">
      <c r="A31" s="53">
        <f t="shared" si="3"/>
        <v>32628</v>
      </c>
      <c r="B31" t="str">
        <f>IFERROR(_xlfn.XLOOKUP($A31,Planilha2!$A$2:$A$34,Planilha2!C$2:C$34,"",-1),"")</f>
        <v>B2</v>
      </c>
      <c r="C31" t="str">
        <f>IFERROR(_xlfn.XLOOKUP($A31,Planilha2!$A$2:$A$34,Planilha2!D$2:D$34,"",-1),"")</f>
        <v>-</v>
      </c>
      <c r="D31" t="str" cm="1">
        <f t="array" ref="D31">IF($A31&lt;MIN(Planilha2!$A$2:$A$34),"",_xlfn.LET(_xlpm.t,_xlfn.XLOOKUP($A31,Planilha2!$A$2:$A$34,Planilha2!$E$2:$E$34,"",-1),_xlfn.IFS(ISNUMBER(SEARCH("positiva",_xlpm.t)),"Positiva",ISNUMBER(SEARCH("negativa",_xlpm.t)),"Negativa",ISNUMBER(SEARCH("estável",_xlpm.t)),"Estável",TRUE,"n/d")))</f>
        <v>Estável</v>
      </c>
      <c r="E31" t="str">
        <f>IFERROR(_xlfn.XLOOKUP($A31,Planilha2!$J$2:$J$44,Planilha2!L$2:L$44,"",-1),"")</f>
        <v/>
      </c>
      <c r="F31" t="str">
        <f>IFERROR(_xlfn.XLOOKUP($A31,Planilha2!$J$2:$J$44,Planilha2!M$2:M$44,"",-1),"")</f>
        <v/>
      </c>
      <c r="G31" t="str" cm="1">
        <f t="array" ref="G31">IF($A31&lt;MIN(Planilha2!$J$2:$J$44),"",_xlfn.LET(_xlpm.t,_xlfn.XLOOKUP($A31,Planilha2!$J$2:$J$44,Planilha2!$N$2:$N$44,"",-1),_xlfn.IFS(ISNUMBER(SEARCH("positiva",_xlpm.t)),"Positiva",ISNUMBER(SEARCH("negativa",_xlpm.t)),"Negativa",ISNUMBER(SEARCH("estável",_xlpm.t)),"Estável",TRUE,"n/d")))</f>
        <v/>
      </c>
      <c r="H31" t="str">
        <f>IFERROR(_xlfn.XLOOKUP($A31,Planilha2!$P$2:$P$38,Planilha2!R$2:R$38,"",-1),"")</f>
        <v/>
      </c>
      <c r="I31" t="str">
        <f>IFERROR(_xlfn.XLOOKUP($A31,Planilha2!$P$2:$P$38,Planilha2!S$2:S$38,"",-1),"")</f>
        <v/>
      </c>
      <c r="J31" t="str" cm="1">
        <f t="array" ref="J31">IF($A31&lt;MIN(Planilha2!$P$2:$P$38),"",_xlfn.LET(_xlpm.t,_xlfn.XLOOKUP($A31,Planilha2!$P$2:$P$38,Planilha2!$T$2:$T$38,"",-1),_xlfn.IFS(ISNUMBER(SEARCH("positiva",_xlpm.t)),"Positiva",ISNUMBER(SEARCH("negativa",_xlpm.t)),"Negativa",ISNUMBER(SEARCH("estável",_xlpm.t)),"Estável",TRUE,"n/d")))</f>
        <v/>
      </c>
      <c r="L31" s="52">
        <f>IFERROR(_xlfn.XLOOKUP(B31,'Agências de Rating Soberano'!$G$2:$G$22,'Agências de Rating Soberano'!$H$2:$H$22),NA())</f>
        <v>7</v>
      </c>
      <c r="M31" s="52" t="e">
        <f>IFERROR(_xlfn.XLOOKUP(C31,'Agências de Rating Soberano'!$G$2:$G$22,'Agências de Rating Soberano'!$H$2:$H$22),NA())</f>
        <v>#N/A</v>
      </c>
      <c r="N31" s="52" t="e">
        <f>IFERROR(_xlfn.XLOOKUP(E31,'Agências de Rating Soberano'!$J$2:$J$22,'Agências de Rating Soberano'!$K$2:$K$22),NA())</f>
        <v>#N/A</v>
      </c>
      <c r="O31" s="52" t="e">
        <f>IFERROR(_xlfn.XLOOKUP(F31,'Agências de Rating Soberano'!$J$2:$J$22,'Agências de Rating Soberano'!$K$2:$K$22),NA())</f>
        <v>#N/A</v>
      </c>
      <c r="P31" s="52" t="e">
        <f>IFERROR(_xlfn.XLOOKUP(H31,'Agências de Rating Soberano'!$J$2:$J$22,'Agências de Rating Soberano'!$K$2:$K$22),NA())</f>
        <v>#N/A</v>
      </c>
      <c r="Q31" s="52" t="e">
        <f>IFERROR(_xlfn.XLOOKUP(I31,'Agências de Rating Soberano'!$J$2:$J$22,'Agências de Rating Soberano'!$K$2:$K$22),NA())</f>
        <v>#N/A</v>
      </c>
      <c r="S31" s="50">
        <f>Planilha2!A31</f>
        <v>34668</v>
      </c>
      <c r="T31">
        <f>IFERROR(_xlfn.XLOOKUP(Planilha2!C31,'Agências de Rating Soberano'!$G$2:$G$22,'Agências de Rating Soberano'!$H$2:$H$22),NA())</f>
        <v>8</v>
      </c>
      <c r="U31" t="str" cm="1">
        <f t="array" ref="U31">_xlfn.IFS(ISNUMBER(SEARCH("positiva",Planilha2!E31)),"Positiva",ISNUMBER(SEARCH("negativa",Planilha2!E31)),"Negativa",ISNUMBER(SEARCH("estável",Planilha2!E31)),"Estável",TRUE,"n/d")</f>
        <v>Estável</v>
      </c>
      <c r="V31" t="e">
        <f t="shared" si="0"/>
        <v>#N/A</v>
      </c>
      <c r="W31">
        <f t="shared" si="0"/>
        <v>8</v>
      </c>
      <c r="X31" t="e">
        <f t="shared" si="0"/>
        <v>#N/A</v>
      </c>
      <c r="Z31" s="50">
        <f>Planilha2!J31</f>
        <v>37931</v>
      </c>
      <c r="AA31">
        <f>IFERROR(_xlfn.XLOOKUP(Planilha2!L31,'Agências de Rating Soberano'!$J$2:$J$22,'Agências de Rating Soberano'!$K$2:$K$22),NA())</f>
        <v>8</v>
      </c>
      <c r="AB31" t="str" cm="1">
        <f t="array" ref="AB31">_xlfn.IFS(ISNUMBER(SEARCH("positiva",Planilha2!N31)),"Positiva",ISNUMBER(SEARCH("negativa",Planilha2!N31)),"Negativa",ISNUMBER(SEARCH("estável",Planilha2!N31)),"Estável",TRUE,"n/d")</f>
        <v>Estável</v>
      </c>
      <c r="AC31" t="e">
        <f t="shared" si="1"/>
        <v>#N/A</v>
      </c>
      <c r="AD31">
        <f t="shared" si="1"/>
        <v>8</v>
      </c>
      <c r="AE31" t="e">
        <f t="shared" si="1"/>
        <v>#N/A</v>
      </c>
      <c r="AG31" s="50">
        <f>Planilha2!P31</f>
        <v>37112</v>
      </c>
      <c r="AH31">
        <f>IFERROR(_xlfn.XLOOKUP(Planilha2!R31,'Agências de Rating Soberano'!$J$2:$J$22,'Agências de Rating Soberano'!$K$2:$K$22),NA())</f>
        <v>9</v>
      </c>
      <c r="AI31" t="str" cm="1">
        <f t="array" ref="AI31">_xlfn.IFS(ISNUMBER(SEARCH("positiva",Planilha2!T31)),"Positiva",ISNUMBER(SEARCH("negativa",Planilha2!T31)),"Negativa",ISNUMBER(SEARCH("estável",Planilha2!T31)),"Estável",TRUE,"n/d")</f>
        <v>Negativa</v>
      </c>
      <c r="AJ31" t="e">
        <f t="shared" si="2"/>
        <v>#N/A</v>
      </c>
      <c r="AK31" t="e">
        <f t="shared" si="2"/>
        <v>#N/A</v>
      </c>
      <c r="AL31">
        <f t="shared" si="2"/>
        <v>9</v>
      </c>
    </row>
    <row r="32" spans="1:38" x14ac:dyDescent="0.3">
      <c r="A32" s="53">
        <f t="shared" si="3"/>
        <v>32659</v>
      </c>
      <c r="B32" t="str">
        <f>IFERROR(_xlfn.XLOOKUP($A32,Planilha2!$A$2:$A$34,Planilha2!C$2:C$34,"",-1),"")</f>
        <v>B2</v>
      </c>
      <c r="C32" t="str">
        <f>IFERROR(_xlfn.XLOOKUP($A32,Planilha2!$A$2:$A$34,Planilha2!D$2:D$34,"",-1),"")</f>
        <v>-</v>
      </c>
      <c r="D32" t="str" cm="1">
        <f t="array" ref="D32">IF($A32&lt;MIN(Planilha2!$A$2:$A$34),"",_xlfn.LET(_xlpm.t,_xlfn.XLOOKUP($A32,Planilha2!$A$2:$A$34,Planilha2!$E$2:$E$34,"",-1),_xlfn.IFS(ISNUMBER(SEARCH("positiva",_xlpm.t)),"Positiva",ISNUMBER(SEARCH("negativa",_xlpm.t)),"Negativa",ISNUMBER(SEARCH("estável",_xlpm.t)),"Estável",TRUE,"n/d")))</f>
        <v>Estável</v>
      </c>
      <c r="E32" t="str">
        <f>IFERROR(_xlfn.XLOOKUP($A32,Planilha2!$J$2:$J$44,Planilha2!L$2:L$44,"",-1),"")</f>
        <v/>
      </c>
      <c r="F32" t="str">
        <f>IFERROR(_xlfn.XLOOKUP($A32,Planilha2!$J$2:$J$44,Planilha2!M$2:M$44,"",-1),"")</f>
        <v/>
      </c>
      <c r="G32" t="str" cm="1">
        <f t="array" ref="G32">IF($A32&lt;MIN(Planilha2!$J$2:$J$44),"",_xlfn.LET(_xlpm.t,_xlfn.XLOOKUP($A32,Planilha2!$J$2:$J$44,Planilha2!$N$2:$N$44,"",-1),_xlfn.IFS(ISNUMBER(SEARCH("positiva",_xlpm.t)),"Positiva",ISNUMBER(SEARCH("negativa",_xlpm.t)),"Negativa",ISNUMBER(SEARCH("estável",_xlpm.t)),"Estável",TRUE,"n/d")))</f>
        <v/>
      </c>
      <c r="H32" t="str">
        <f>IFERROR(_xlfn.XLOOKUP($A32,Planilha2!$P$2:$P$38,Planilha2!R$2:R$38,"",-1),"")</f>
        <v/>
      </c>
      <c r="I32" t="str">
        <f>IFERROR(_xlfn.XLOOKUP($A32,Planilha2!$P$2:$P$38,Planilha2!S$2:S$38,"",-1),"")</f>
        <v/>
      </c>
      <c r="J32" t="str" cm="1">
        <f t="array" ref="J32">IF($A32&lt;MIN(Planilha2!$P$2:$P$38),"",_xlfn.LET(_xlpm.t,_xlfn.XLOOKUP($A32,Planilha2!$P$2:$P$38,Planilha2!$T$2:$T$38,"",-1),_xlfn.IFS(ISNUMBER(SEARCH("positiva",_xlpm.t)),"Positiva",ISNUMBER(SEARCH("negativa",_xlpm.t)),"Negativa",ISNUMBER(SEARCH("estável",_xlpm.t)),"Estável",TRUE,"n/d")))</f>
        <v/>
      </c>
      <c r="L32" s="52">
        <f>IFERROR(_xlfn.XLOOKUP(B32,'Agências de Rating Soberano'!$G$2:$G$22,'Agências de Rating Soberano'!$H$2:$H$22),NA())</f>
        <v>7</v>
      </c>
      <c r="M32" s="52" t="e">
        <f>IFERROR(_xlfn.XLOOKUP(C32,'Agências de Rating Soberano'!$G$2:$G$22,'Agências de Rating Soberano'!$H$2:$H$22),NA())</f>
        <v>#N/A</v>
      </c>
      <c r="N32" s="52" t="e">
        <f>IFERROR(_xlfn.XLOOKUP(E32,'Agências de Rating Soberano'!$J$2:$J$22,'Agências de Rating Soberano'!$K$2:$K$22),NA())</f>
        <v>#N/A</v>
      </c>
      <c r="O32" s="52" t="e">
        <f>IFERROR(_xlfn.XLOOKUP(F32,'Agências de Rating Soberano'!$J$2:$J$22,'Agências de Rating Soberano'!$K$2:$K$22),NA())</f>
        <v>#N/A</v>
      </c>
      <c r="P32" s="52" t="e">
        <f>IFERROR(_xlfn.XLOOKUP(H32,'Agências de Rating Soberano'!$J$2:$J$22,'Agências de Rating Soberano'!$K$2:$K$22),NA())</f>
        <v>#N/A</v>
      </c>
      <c r="Q32" s="52" t="e">
        <f>IFERROR(_xlfn.XLOOKUP(I32,'Agências de Rating Soberano'!$J$2:$J$22,'Agências de Rating Soberano'!$K$2:$K$22),NA())</f>
        <v>#N/A</v>
      </c>
      <c r="S32" s="50">
        <f>Planilha2!A32</f>
        <v>34612</v>
      </c>
      <c r="T32">
        <f>IFERROR(_xlfn.XLOOKUP(Planilha2!C32,'Agências de Rating Soberano'!$G$2:$G$22,'Agências de Rating Soberano'!$H$2:$H$22),NA())</f>
        <v>7</v>
      </c>
      <c r="U32" t="str" cm="1">
        <f t="array" ref="U32">_xlfn.IFS(ISNUMBER(SEARCH("positiva",Planilha2!E32)),"Positiva",ISNUMBER(SEARCH("negativa",Planilha2!E32)),"Negativa",ISNUMBER(SEARCH("estável",Planilha2!E32)),"Estável",TRUE,"n/d")</f>
        <v>Positiva</v>
      </c>
      <c r="V32">
        <f t="shared" si="0"/>
        <v>7</v>
      </c>
      <c r="W32" t="e">
        <f t="shared" si="0"/>
        <v>#N/A</v>
      </c>
      <c r="X32" t="e">
        <f t="shared" si="0"/>
        <v>#N/A</v>
      </c>
      <c r="Z32" s="50">
        <f>Planilha2!J32</f>
        <v>37775</v>
      </c>
      <c r="AA32">
        <f>IFERROR(_xlfn.XLOOKUP(Planilha2!L32,'Agências de Rating Soberano'!$J$2:$J$22,'Agências de Rating Soberano'!$K$2:$K$22),NA())</f>
        <v>7</v>
      </c>
      <c r="AB32" t="str" cm="1">
        <f t="array" ref="AB32">_xlfn.IFS(ISNUMBER(SEARCH("positiva",Planilha2!N32)),"Positiva",ISNUMBER(SEARCH("negativa",Planilha2!N32)),"Negativa",ISNUMBER(SEARCH("estável",Planilha2!N32)),"Estável",TRUE,"n/d")</f>
        <v>Positiva</v>
      </c>
      <c r="AC32">
        <f t="shared" si="1"/>
        <v>7</v>
      </c>
      <c r="AD32" t="e">
        <f t="shared" si="1"/>
        <v>#N/A</v>
      </c>
      <c r="AE32" t="e">
        <f t="shared" si="1"/>
        <v>#N/A</v>
      </c>
      <c r="AG32" s="50">
        <f>Planilha2!P32</f>
        <v>36894</v>
      </c>
      <c r="AH32">
        <f>IFERROR(_xlfn.XLOOKUP(Planilha2!R32,'Agências de Rating Soberano'!$J$2:$J$22,'Agências de Rating Soberano'!$K$2:$K$22),NA())</f>
        <v>9</v>
      </c>
      <c r="AI32" t="str" cm="1">
        <f t="array" ref="AI32">_xlfn.IFS(ISNUMBER(SEARCH("positiva",Planilha2!T32)),"Positiva",ISNUMBER(SEARCH("negativa",Planilha2!T32)),"Negativa",ISNUMBER(SEARCH("estável",Planilha2!T32)),"Estável",TRUE,"n/d")</f>
        <v>Estável</v>
      </c>
      <c r="AJ32" t="e">
        <f t="shared" si="2"/>
        <v>#N/A</v>
      </c>
      <c r="AK32">
        <f t="shared" si="2"/>
        <v>9</v>
      </c>
      <c r="AL32" t="e">
        <f t="shared" si="2"/>
        <v>#N/A</v>
      </c>
    </row>
    <row r="33" spans="1:38" x14ac:dyDescent="0.3">
      <c r="A33" s="53">
        <f t="shared" si="3"/>
        <v>32689</v>
      </c>
      <c r="B33" t="str">
        <f>IFERROR(_xlfn.XLOOKUP($A33,Planilha2!$A$2:$A$34,Planilha2!C$2:C$34,"",-1),"")</f>
        <v>B2</v>
      </c>
      <c r="C33" t="str">
        <f>IFERROR(_xlfn.XLOOKUP($A33,Planilha2!$A$2:$A$34,Planilha2!D$2:D$34,"",-1),"")</f>
        <v>-</v>
      </c>
      <c r="D33" t="str" cm="1">
        <f t="array" ref="D33">IF($A33&lt;MIN(Planilha2!$A$2:$A$34),"",_xlfn.LET(_xlpm.t,_xlfn.XLOOKUP($A33,Planilha2!$A$2:$A$34,Planilha2!$E$2:$E$34,"",-1),_xlfn.IFS(ISNUMBER(SEARCH("positiva",_xlpm.t)),"Positiva",ISNUMBER(SEARCH("negativa",_xlpm.t)),"Negativa",ISNUMBER(SEARCH("estável",_xlpm.t)),"Estável",TRUE,"n/d")))</f>
        <v>Estável</v>
      </c>
      <c r="E33" t="str">
        <f>IFERROR(_xlfn.XLOOKUP($A33,Planilha2!$J$2:$J$44,Planilha2!L$2:L$44,"",-1),"")</f>
        <v/>
      </c>
      <c r="F33" t="str">
        <f>IFERROR(_xlfn.XLOOKUP($A33,Planilha2!$J$2:$J$44,Planilha2!M$2:M$44,"",-1),"")</f>
        <v/>
      </c>
      <c r="G33" t="str" cm="1">
        <f t="array" ref="G33">IF($A33&lt;MIN(Planilha2!$J$2:$J$44),"",_xlfn.LET(_xlpm.t,_xlfn.XLOOKUP($A33,Planilha2!$J$2:$J$44,Planilha2!$N$2:$N$44,"",-1),_xlfn.IFS(ISNUMBER(SEARCH("positiva",_xlpm.t)),"Positiva",ISNUMBER(SEARCH("negativa",_xlpm.t)),"Negativa",ISNUMBER(SEARCH("estável",_xlpm.t)),"Estável",TRUE,"n/d")))</f>
        <v/>
      </c>
      <c r="H33" t="str">
        <f>IFERROR(_xlfn.XLOOKUP($A33,Planilha2!$P$2:$P$38,Planilha2!R$2:R$38,"",-1),"")</f>
        <v/>
      </c>
      <c r="I33" t="str">
        <f>IFERROR(_xlfn.XLOOKUP($A33,Planilha2!$P$2:$P$38,Planilha2!S$2:S$38,"",-1),"")</f>
        <v/>
      </c>
      <c r="J33" t="str" cm="1">
        <f t="array" ref="J33">IF($A33&lt;MIN(Planilha2!$P$2:$P$38),"",_xlfn.LET(_xlpm.t,_xlfn.XLOOKUP($A33,Planilha2!$P$2:$P$38,Planilha2!$T$2:$T$38,"",-1),_xlfn.IFS(ISNUMBER(SEARCH("positiva",_xlpm.t)),"Positiva",ISNUMBER(SEARCH("negativa",_xlpm.t)),"Negativa",ISNUMBER(SEARCH("estável",_xlpm.t)),"Estável",TRUE,"n/d")))</f>
        <v/>
      </c>
      <c r="L33" s="52">
        <f>IFERROR(_xlfn.XLOOKUP(B33,'Agências de Rating Soberano'!$G$2:$G$22,'Agências de Rating Soberano'!$H$2:$H$22),NA())</f>
        <v>7</v>
      </c>
      <c r="M33" s="52" t="e">
        <f>IFERROR(_xlfn.XLOOKUP(C33,'Agências de Rating Soberano'!$G$2:$G$22,'Agências de Rating Soberano'!$H$2:$H$22),NA())</f>
        <v>#N/A</v>
      </c>
      <c r="N33" s="52" t="e">
        <f>IFERROR(_xlfn.XLOOKUP(E33,'Agências de Rating Soberano'!$J$2:$J$22,'Agências de Rating Soberano'!$K$2:$K$22),NA())</f>
        <v>#N/A</v>
      </c>
      <c r="O33" s="52" t="e">
        <f>IFERROR(_xlfn.XLOOKUP(F33,'Agências de Rating Soberano'!$J$2:$J$22,'Agências de Rating Soberano'!$K$2:$K$22),NA())</f>
        <v>#N/A</v>
      </c>
      <c r="P33" s="52" t="e">
        <f>IFERROR(_xlfn.XLOOKUP(H33,'Agências de Rating Soberano'!$J$2:$J$22,'Agências de Rating Soberano'!$K$2:$K$22),NA())</f>
        <v>#N/A</v>
      </c>
      <c r="Q33" s="52" t="e">
        <f>IFERROR(_xlfn.XLOOKUP(I33,'Agências de Rating Soberano'!$J$2:$J$22,'Agências de Rating Soberano'!$K$2:$K$22),NA())</f>
        <v>#N/A</v>
      </c>
      <c r="S33" s="50">
        <f>Planilha2!A33</f>
        <v>32598</v>
      </c>
      <c r="T33">
        <f>IFERROR(_xlfn.XLOOKUP(Planilha2!C33,'Agências de Rating Soberano'!$G$2:$G$22,'Agências de Rating Soberano'!$H$2:$H$22),NA())</f>
        <v>7</v>
      </c>
      <c r="U33" t="str" cm="1">
        <f t="array" ref="U33">_xlfn.IFS(ISNUMBER(SEARCH("positiva",Planilha2!E33)),"Positiva",ISNUMBER(SEARCH("negativa",Planilha2!E33)),"Negativa",ISNUMBER(SEARCH("estável",Planilha2!E33)),"Estável",TRUE,"n/d")</f>
        <v>Estável</v>
      </c>
      <c r="V33" t="e">
        <f t="shared" si="0"/>
        <v>#N/A</v>
      </c>
      <c r="W33">
        <f t="shared" si="0"/>
        <v>7</v>
      </c>
      <c r="X33" t="e">
        <f t="shared" si="0"/>
        <v>#N/A</v>
      </c>
      <c r="Z33" s="50">
        <f>Planilha2!J33</f>
        <v>37550</v>
      </c>
      <c r="AA33">
        <f>IFERROR(_xlfn.XLOOKUP(Planilha2!L33,'Agências de Rating Soberano'!$J$2:$J$22,'Agências de Rating Soberano'!$K$2:$K$22),NA())</f>
        <v>7</v>
      </c>
      <c r="AB33" t="str" cm="1">
        <f t="array" ref="AB33">_xlfn.IFS(ISNUMBER(SEARCH("positiva",Planilha2!N33)),"Positiva",ISNUMBER(SEARCH("negativa",Planilha2!N33)),"Negativa",ISNUMBER(SEARCH("estável",Planilha2!N33)),"Estável",TRUE,"n/d")</f>
        <v>Negativa</v>
      </c>
      <c r="AC33" t="e">
        <f t="shared" si="1"/>
        <v>#N/A</v>
      </c>
      <c r="AD33" t="e">
        <f t="shared" si="1"/>
        <v>#N/A</v>
      </c>
      <c r="AE33">
        <f t="shared" si="1"/>
        <v>7</v>
      </c>
      <c r="AG33" s="50">
        <f>Planilha2!P33</f>
        <v>36585</v>
      </c>
      <c r="AH33">
        <f>IFERROR(_xlfn.XLOOKUP(Planilha2!R33,'Agências de Rating Soberano'!$J$2:$J$22,'Agências de Rating Soberano'!$K$2:$K$22),NA())</f>
        <v>8</v>
      </c>
      <c r="AI33" t="str" cm="1">
        <f t="array" ref="AI33">_xlfn.IFS(ISNUMBER(SEARCH("positiva",Planilha2!T33)),"Positiva",ISNUMBER(SEARCH("negativa",Planilha2!T33)),"Negativa",ISNUMBER(SEARCH("estável",Planilha2!T33)),"Estável",TRUE,"n/d")</f>
        <v>Positiva</v>
      </c>
      <c r="AJ33">
        <f t="shared" si="2"/>
        <v>8</v>
      </c>
      <c r="AK33" t="e">
        <f t="shared" si="2"/>
        <v>#N/A</v>
      </c>
      <c r="AL33" t="e">
        <f t="shared" si="2"/>
        <v>#N/A</v>
      </c>
    </row>
    <row r="34" spans="1:38" x14ac:dyDescent="0.3">
      <c r="A34" s="53">
        <f t="shared" si="3"/>
        <v>32720</v>
      </c>
      <c r="B34" t="str">
        <f>IFERROR(_xlfn.XLOOKUP($A34,Planilha2!$A$2:$A$34,Planilha2!C$2:C$34,"",-1),"")</f>
        <v>B2</v>
      </c>
      <c r="C34" t="str">
        <f>IFERROR(_xlfn.XLOOKUP($A34,Planilha2!$A$2:$A$34,Planilha2!D$2:D$34,"",-1),"")</f>
        <v>-</v>
      </c>
      <c r="D34" t="str" cm="1">
        <f t="array" ref="D34">IF($A34&lt;MIN(Planilha2!$A$2:$A$34),"",_xlfn.LET(_xlpm.t,_xlfn.XLOOKUP($A34,Planilha2!$A$2:$A$34,Planilha2!$E$2:$E$34,"",-1),_xlfn.IFS(ISNUMBER(SEARCH("positiva",_xlpm.t)),"Positiva",ISNUMBER(SEARCH("negativa",_xlpm.t)),"Negativa",ISNUMBER(SEARCH("estável",_xlpm.t)),"Estável",TRUE,"n/d")))</f>
        <v>Estável</v>
      </c>
      <c r="E34" t="str">
        <f>IFERROR(_xlfn.XLOOKUP($A34,Planilha2!$J$2:$J$44,Planilha2!L$2:L$44,"",-1),"")</f>
        <v/>
      </c>
      <c r="F34" t="str">
        <f>IFERROR(_xlfn.XLOOKUP($A34,Planilha2!$J$2:$J$44,Planilha2!M$2:M$44,"",-1),"")</f>
        <v/>
      </c>
      <c r="G34" t="str" cm="1">
        <f t="array" ref="G34">IF($A34&lt;MIN(Planilha2!$J$2:$J$44),"",_xlfn.LET(_xlpm.t,_xlfn.XLOOKUP($A34,Planilha2!$J$2:$J$44,Planilha2!$N$2:$N$44,"",-1),_xlfn.IFS(ISNUMBER(SEARCH("positiva",_xlpm.t)),"Positiva",ISNUMBER(SEARCH("negativa",_xlpm.t)),"Negativa",ISNUMBER(SEARCH("estável",_xlpm.t)),"Estável",TRUE,"n/d")))</f>
        <v/>
      </c>
      <c r="H34" t="str">
        <f>IFERROR(_xlfn.XLOOKUP($A34,Planilha2!$P$2:$P$38,Planilha2!R$2:R$38,"",-1),"")</f>
        <v/>
      </c>
      <c r="I34" t="str">
        <f>IFERROR(_xlfn.XLOOKUP($A34,Planilha2!$P$2:$P$38,Planilha2!S$2:S$38,"",-1),"")</f>
        <v/>
      </c>
      <c r="J34" t="str" cm="1">
        <f t="array" ref="J34">IF($A34&lt;MIN(Planilha2!$P$2:$P$38),"",_xlfn.LET(_xlpm.t,_xlfn.XLOOKUP($A34,Planilha2!$P$2:$P$38,Planilha2!$T$2:$T$38,"",-1),_xlfn.IFS(ISNUMBER(SEARCH("positiva",_xlpm.t)),"Positiva",ISNUMBER(SEARCH("negativa",_xlpm.t)),"Negativa",ISNUMBER(SEARCH("estável",_xlpm.t)),"Estável",TRUE,"n/d")))</f>
        <v/>
      </c>
      <c r="L34" s="52">
        <f>IFERROR(_xlfn.XLOOKUP(B34,'Agências de Rating Soberano'!$G$2:$G$22,'Agências de Rating Soberano'!$H$2:$H$22),NA())</f>
        <v>7</v>
      </c>
      <c r="M34" s="52" t="e">
        <f>IFERROR(_xlfn.XLOOKUP(C34,'Agências de Rating Soberano'!$G$2:$G$22,'Agências de Rating Soberano'!$H$2:$H$22),NA())</f>
        <v>#N/A</v>
      </c>
      <c r="N34" s="52" t="e">
        <f>IFERROR(_xlfn.XLOOKUP(E34,'Agências de Rating Soberano'!$J$2:$J$22,'Agências de Rating Soberano'!$K$2:$K$22),NA())</f>
        <v>#N/A</v>
      </c>
      <c r="O34" s="52" t="e">
        <f>IFERROR(_xlfn.XLOOKUP(F34,'Agências de Rating Soberano'!$J$2:$J$22,'Agências de Rating Soberano'!$K$2:$K$22),NA())</f>
        <v>#N/A</v>
      </c>
      <c r="P34" s="52" t="e">
        <f>IFERROR(_xlfn.XLOOKUP(H34,'Agências de Rating Soberano'!$J$2:$J$22,'Agências de Rating Soberano'!$K$2:$K$22),NA())</f>
        <v>#N/A</v>
      </c>
      <c r="Q34" s="52" t="e">
        <f>IFERROR(_xlfn.XLOOKUP(I34,'Agências de Rating Soberano'!$J$2:$J$22,'Agências de Rating Soberano'!$K$2:$K$22),NA())</f>
        <v>#N/A</v>
      </c>
      <c r="S34" s="50">
        <f>Planilha2!A34</f>
        <v>31734</v>
      </c>
      <c r="T34">
        <f>IFERROR(_xlfn.XLOOKUP(Planilha2!C34,'Agências de Rating Soberano'!$G$2:$G$22,'Agências de Rating Soberano'!$H$2:$H$22),NA())</f>
        <v>11</v>
      </c>
      <c r="U34" t="str" cm="1">
        <f t="array" ref="U34">_xlfn.IFS(ISNUMBER(SEARCH("positiva",Planilha2!E34)),"Positiva",ISNUMBER(SEARCH("negativa",Planilha2!E34)),"Negativa",ISNUMBER(SEARCH("estável",Planilha2!E34)),"Estável",TRUE,"n/d")</f>
        <v>n/d</v>
      </c>
      <c r="V34" t="e">
        <f t="shared" si="0"/>
        <v>#N/A</v>
      </c>
      <c r="W34" t="e">
        <f t="shared" si="0"/>
        <v>#N/A</v>
      </c>
      <c r="X34" t="e">
        <f t="shared" si="0"/>
        <v>#N/A</v>
      </c>
      <c r="Z34" s="50">
        <f>Planilha2!J34</f>
        <v>37469</v>
      </c>
      <c r="AA34">
        <f>IFERROR(_xlfn.XLOOKUP(Planilha2!L34,'Agências de Rating Soberano'!$J$2:$J$22,'Agências de Rating Soberano'!$K$2:$K$22),NA())</f>
        <v>7</v>
      </c>
      <c r="AB34" t="str" cm="1">
        <f t="array" ref="AB34">_xlfn.IFS(ISNUMBER(SEARCH("positiva",Planilha2!N34)),"Positiva",ISNUMBER(SEARCH("negativa",Planilha2!N34)),"Negativa",ISNUMBER(SEARCH("estável",Planilha2!N34)),"Estável",TRUE,"n/d")</f>
        <v>Negativa</v>
      </c>
      <c r="AC34" t="e">
        <f t="shared" si="1"/>
        <v>#N/A</v>
      </c>
      <c r="AD34" t="e">
        <f t="shared" si="1"/>
        <v>#N/A</v>
      </c>
      <c r="AE34">
        <f t="shared" si="1"/>
        <v>7</v>
      </c>
      <c r="AG34" s="50">
        <f>Planilha2!P34</f>
        <v>36474</v>
      </c>
      <c r="AH34">
        <f>IFERROR(_xlfn.XLOOKUP(Planilha2!R34,'Agências de Rating Soberano'!$J$2:$J$22,'Agências de Rating Soberano'!$K$2:$K$22),NA())</f>
        <v>8</v>
      </c>
      <c r="AI34" t="str" cm="1">
        <f t="array" ref="AI34">_xlfn.IFS(ISNUMBER(SEARCH("positiva",Planilha2!T34)),"Positiva",ISNUMBER(SEARCH("negativa",Planilha2!T34)),"Negativa",ISNUMBER(SEARCH("estável",Planilha2!T34)),"Estável",TRUE,"n/d")</f>
        <v>Estável</v>
      </c>
      <c r="AJ34" t="e">
        <f t="shared" si="2"/>
        <v>#N/A</v>
      </c>
      <c r="AK34">
        <f t="shared" si="2"/>
        <v>8</v>
      </c>
      <c r="AL34" t="e">
        <f t="shared" si="2"/>
        <v>#N/A</v>
      </c>
    </row>
    <row r="35" spans="1:38" x14ac:dyDescent="0.3">
      <c r="A35" s="53">
        <f t="shared" si="3"/>
        <v>32751</v>
      </c>
      <c r="B35" t="str">
        <f>IFERROR(_xlfn.XLOOKUP($A35,Planilha2!$A$2:$A$34,Planilha2!C$2:C$34,"",-1),"")</f>
        <v>B2</v>
      </c>
      <c r="C35" t="str">
        <f>IFERROR(_xlfn.XLOOKUP($A35,Planilha2!$A$2:$A$34,Planilha2!D$2:D$34,"",-1),"")</f>
        <v>-</v>
      </c>
      <c r="D35" t="str" cm="1">
        <f t="array" ref="D35">IF($A35&lt;MIN(Planilha2!$A$2:$A$34),"",_xlfn.LET(_xlpm.t,_xlfn.XLOOKUP($A35,Planilha2!$A$2:$A$34,Planilha2!$E$2:$E$34,"",-1),_xlfn.IFS(ISNUMBER(SEARCH("positiva",_xlpm.t)),"Positiva",ISNUMBER(SEARCH("negativa",_xlpm.t)),"Negativa",ISNUMBER(SEARCH("estável",_xlpm.t)),"Estável",TRUE,"n/d")))</f>
        <v>Estável</v>
      </c>
      <c r="E35" t="str">
        <f>IFERROR(_xlfn.XLOOKUP($A35,Planilha2!$J$2:$J$44,Planilha2!L$2:L$44,"",-1),"")</f>
        <v/>
      </c>
      <c r="F35" t="str">
        <f>IFERROR(_xlfn.XLOOKUP($A35,Planilha2!$J$2:$J$44,Planilha2!M$2:M$44,"",-1),"")</f>
        <v/>
      </c>
      <c r="G35" t="str" cm="1">
        <f t="array" ref="G35">IF($A35&lt;MIN(Planilha2!$J$2:$J$44),"",_xlfn.LET(_xlpm.t,_xlfn.XLOOKUP($A35,Planilha2!$J$2:$J$44,Planilha2!$N$2:$N$44,"",-1),_xlfn.IFS(ISNUMBER(SEARCH("positiva",_xlpm.t)),"Positiva",ISNUMBER(SEARCH("negativa",_xlpm.t)),"Negativa",ISNUMBER(SEARCH("estável",_xlpm.t)),"Estável",TRUE,"n/d")))</f>
        <v/>
      </c>
      <c r="H35" t="str">
        <f>IFERROR(_xlfn.XLOOKUP($A35,Planilha2!$P$2:$P$38,Planilha2!R$2:R$38,"",-1),"")</f>
        <v/>
      </c>
      <c r="I35" t="str">
        <f>IFERROR(_xlfn.XLOOKUP($A35,Planilha2!$P$2:$P$38,Planilha2!S$2:S$38,"",-1),"")</f>
        <v/>
      </c>
      <c r="J35" t="str" cm="1">
        <f t="array" ref="J35">IF($A35&lt;MIN(Planilha2!$P$2:$P$38),"",_xlfn.LET(_xlpm.t,_xlfn.XLOOKUP($A35,Planilha2!$P$2:$P$38,Planilha2!$T$2:$T$38,"",-1),_xlfn.IFS(ISNUMBER(SEARCH("positiva",_xlpm.t)),"Positiva",ISNUMBER(SEARCH("negativa",_xlpm.t)),"Negativa",ISNUMBER(SEARCH("estável",_xlpm.t)),"Estável",TRUE,"n/d")))</f>
        <v/>
      </c>
      <c r="L35" s="52">
        <f>IFERROR(_xlfn.XLOOKUP(B35,'Agências de Rating Soberano'!$G$2:$G$22,'Agências de Rating Soberano'!$H$2:$H$22),NA())</f>
        <v>7</v>
      </c>
      <c r="M35" s="52" t="e">
        <f>IFERROR(_xlfn.XLOOKUP(C35,'Agências de Rating Soberano'!$G$2:$G$22,'Agências de Rating Soberano'!$H$2:$H$22),NA())</f>
        <v>#N/A</v>
      </c>
      <c r="N35" s="52" t="e">
        <f>IFERROR(_xlfn.XLOOKUP(E35,'Agências de Rating Soberano'!$J$2:$J$22,'Agências de Rating Soberano'!$K$2:$K$22),NA())</f>
        <v>#N/A</v>
      </c>
      <c r="O35" s="52" t="e">
        <f>IFERROR(_xlfn.XLOOKUP(F35,'Agências de Rating Soberano'!$J$2:$J$22,'Agências de Rating Soberano'!$K$2:$K$22),NA())</f>
        <v>#N/A</v>
      </c>
      <c r="P35" s="52" t="e">
        <f>IFERROR(_xlfn.XLOOKUP(H35,'Agências de Rating Soberano'!$J$2:$J$22,'Agências de Rating Soberano'!$K$2:$K$22),NA())</f>
        <v>#N/A</v>
      </c>
      <c r="Q35" s="52" t="e">
        <f>IFERROR(_xlfn.XLOOKUP(I35,'Agências de Rating Soberano'!$J$2:$J$22,'Agências de Rating Soberano'!$K$2:$K$22),NA())</f>
        <v>#N/A</v>
      </c>
      <c r="Z35" s="50">
        <f>Planilha2!J35</f>
        <v>37427</v>
      </c>
      <c r="AA35">
        <f>IFERROR(_xlfn.XLOOKUP(Planilha2!L35,'Agências de Rating Soberano'!$J$2:$J$22,'Agências de Rating Soberano'!$K$2:$K$22),NA())</f>
        <v>8</v>
      </c>
      <c r="AB35" t="str" cm="1">
        <f t="array" ref="AB35">_xlfn.IFS(ISNUMBER(SEARCH("positiva",Planilha2!N35)),"Positiva",ISNUMBER(SEARCH("negativa",Planilha2!N35)),"Negativa",ISNUMBER(SEARCH("estável",Planilha2!N35)),"Estável",TRUE,"n/d")</f>
        <v>Negativa</v>
      </c>
      <c r="AC35" t="e">
        <f t="shared" si="1"/>
        <v>#N/A</v>
      </c>
      <c r="AD35" t="e">
        <f t="shared" si="1"/>
        <v>#N/A</v>
      </c>
      <c r="AE35">
        <f t="shared" si="1"/>
        <v>8</v>
      </c>
      <c r="AG35" s="50">
        <f>Planilha2!P35</f>
        <v>36174</v>
      </c>
      <c r="AH35">
        <f>IFERROR(_xlfn.XLOOKUP(Planilha2!R35,'Agências de Rating Soberano'!$J$2:$J$22,'Agências de Rating Soberano'!$K$2:$K$22),NA())</f>
        <v>8</v>
      </c>
      <c r="AI35" t="str" cm="1">
        <f t="array" ref="AI35">_xlfn.IFS(ISNUMBER(SEARCH("positiva",Planilha2!T35)),"Positiva",ISNUMBER(SEARCH("negativa",Planilha2!T35)),"Negativa",ISNUMBER(SEARCH("estável",Planilha2!T35)),"Estável",TRUE,"n/d")</f>
        <v>Negativa</v>
      </c>
      <c r="AJ35" t="e">
        <f t="shared" si="2"/>
        <v>#N/A</v>
      </c>
      <c r="AK35" t="e">
        <f t="shared" si="2"/>
        <v>#N/A</v>
      </c>
      <c r="AL35">
        <f t="shared" si="2"/>
        <v>8</v>
      </c>
    </row>
    <row r="36" spans="1:38" x14ac:dyDescent="0.3">
      <c r="A36" s="53">
        <f t="shared" si="3"/>
        <v>32781</v>
      </c>
      <c r="B36" t="str">
        <f>IFERROR(_xlfn.XLOOKUP($A36,Planilha2!$A$2:$A$34,Planilha2!C$2:C$34,"",-1),"")</f>
        <v>B2</v>
      </c>
      <c r="C36" t="str">
        <f>IFERROR(_xlfn.XLOOKUP($A36,Planilha2!$A$2:$A$34,Planilha2!D$2:D$34,"",-1),"")</f>
        <v>-</v>
      </c>
      <c r="D36" t="str" cm="1">
        <f t="array" ref="D36">IF($A36&lt;MIN(Planilha2!$A$2:$A$34),"",_xlfn.LET(_xlpm.t,_xlfn.XLOOKUP($A36,Planilha2!$A$2:$A$34,Planilha2!$E$2:$E$34,"",-1),_xlfn.IFS(ISNUMBER(SEARCH("positiva",_xlpm.t)),"Positiva",ISNUMBER(SEARCH("negativa",_xlpm.t)),"Negativa",ISNUMBER(SEARCH("estável",_xlpm.t)),"Estável",TRUE,"n/d")))</f>
        <v>Estável</v>
      </c>
      <c r="E36" t="str">
        <f>IFERROR(_xlfn.XLOOKUP($A36,Planilha2!$J$2:$J$44,Planilha2!L$2:L$44,"",-1),"")</f>
        <v/>
      </c>
      <c r="F36" t="str">
        <f>IFERROR(_xlfn.XLOOKUP($A36,Planilha2!$J$2:$J$44,Planilha2!M$2:M$44,"",-1),"")</f>
        <v/>
      </c>
      <c r="G36" t="str" cm="1">
        <f t="array" ref="G36">IF($A36&lt;MIN(Planilha2!$J$2:$J$44),"",_xlfn.LET(_xlpm.t,_xlfn.XLOOKUP($A36,Planilha2!$J$2:$J$44,Planilha2!$N$2:$N$44,"",-1),_xlfn.IFS(ISNUMBER(SEARCH("positiva",_xlpm.t)),"Positiva",ISNUMBER(SEARCH("negativa",_xlpm.t)),"Negativa",ISNUMBER(SEARCH("estável",_xlpm.t)),"Estável",TRUE,"n/d")))</f>
        <v/>
      </c>
      <c r="H36" t="str">
        <f>IFERROR(_xlfn.XLOOKUP($A36,Planilha2!$P$2:$P$38,Planilha2!R$2:R$38,"",-1),"")</f>
        <v/>
      </c>
      <c r="I36" t="str">
        <f>IFERROR(_xlfn.XLOOKUP($A36,Planilha2!$P$2:$P$38,Planilha2!S$2:S$38,"",-1),"")</f>
        <v/>
      </c>
      <c r="J36" t="str" cm="1">
        <f t="array" ref="J36">IF($A36&lt;MIN(Planilha2!$P$2:$P$38),"",_xlfn.LET(_xlpm.t,_xlfn.XLOOKUP($A36,Planilha2!$P$2:$P$38,Planilha2!$T$2:$T$38,"",-1),_xlfn.IFS(ISNUMBER(SEARCH("positiva",_xlpm.t)),"Positiva",ISNUMBER(SEARCH("negativa",_xlpm.t)),"Negativa",ISNUMBER(SEARCH("estável",_xlpm.t)),"Estável",TRUE,"n/d")))</f>
        <v/>
      </c>
      <c r="L36" s="52">
        <f>IFERROR(_xlfn.XLOOKUP(B36,'Agências de Rating Soberano'!$G$2:$G$22,'Agências de Rating Soberano'!$H$2:$H$22),NA())</f>
        <v>7</v>
      </c>
      <c r="M36" s="52" t="e">
        <f>IFERROR(_xlfn.XLOOKUP(C36,'Agências de Rating Soberano'!$G$2:$G$22,'Agências de Rating Soberano'!$H$2:$H$22),NA())</f>
        <v>#N/A</v>
      </c>
      <c r="N36" s="52" t="e">
        <f>IFERROR(_xlfn.XLOOKUP(E36,'Agências de Rating Soberano'!$J$2:$J$22,'Agências de Rating Soberano'!$K$2:$K$22),NA())</f>
        <v>#N/A</v>
      </c>
      <c r="O36" s="52" t="e">
        <f>IFERROR(_xlfn.XLOOKUP(F36,'Agências de Rating Soberano'!$J$2:$J$22,'Agências de Rating Soberano'!$K$2:$K$22),NA())</f>
        <v>#N/A</v>
      </c>
      <c r="P36" s="52" t="e">
        <f>IFERROR(_xlfn.XLOOKUP(H36,'Agências de Rating Soberano'!$J$2:$J$22,'Agências de Rating Soberano'!$K$2:$K$22),NA())</f>
        <v>#N/A</v>
      </c>
      <c r="Q36" s="52" t="e">
        <f>IFERROR(_xlfn.XLOOKUP(I36,'Agências de Rating Soberano'!$J$2:$J$22,'Agências de Rating Soberano'!$K$2:$K$22),NA())</f>
        <v>#N/A</v>
      </c>
      <c r="Z36" s="50">
        <f>Planilha2!J36</f>
        <v>37411</v>
      </c>
      <c r="AA36" t="e">
        <f>IFERROR(_xlfn.XLOOKUP(Planilha2!L36,'Agências de Rating Soberano'!$J$2:$J$22,'Agências de Rating Soberano'!$K$2:$K$22),NA())</f>
        <v>#N/A</v>
      </c>
      <c r="AB36" t="str" cm="1">
        <f t="array" ref="AB36">_xlfn.IFS(ISNUMBER(SEARCH("positiva",Planilha2!N36)),"Positiva",ISNUMBER(SEARCH("negativa",Planilha2!N36)),"Negativa",ISNUMBER(SEARCH("estável",Planilha2!N36)),"Estável",TRUE,"n/d")</f>
        <v>Estável</v>
      </c>
      <c r="AC36" t="e">
        <f t="shared" si="1"/>
        <v>#N/A</v>
      </c>
      <c r="AD36" t="e">
        <f t="shared" si="1"/>
        <v>#N/A</v>
      </c>
      <c r="AE36" t="e">
        <f t="shared" si="1"/>
        <v>#N/A</v>
      </c>
      <c r="AG36" s="50">
        <f>Planilha2!P36</f>
        <v>36048</v>
      </c>
      <c r="AH36">
        <f>IFERROR(_xlfn.XLOOKUP(Planilha2!R36,'Agências de Rating Soberano'!$J$2:$J$22,'Agências de Rating Soberano'!$K$2:$K$22),NA())</f>
        <v>9</v>
      </c>
      <c r="AI36" t="str" cm="1">
        <f t="array" ref="AI36">_xlfn.IFS(ISNUMBER(SEARCH("positiva",Planilha2!T36)),"Positiva",ISNUMBER(SEARCH("negativa",Planilha2!T36)),"Negativa",ISNUMBER(SEARCH("estável",Planilha2!T36)),"Estável",TRUE,"n/d")</f>
        <v>Negativa</v>
      </c>
      <c r="AJ36" t="e">
        <f t="shared" si="2"/>
        <v>#N/A</v>
      </c>
      <c r="AK36" t="e">
        <f t="shared" si="2"/>
        <v>#N/A</v>
      </c>
      <c r="AL36">
        <f t="shared" si="2"/>
        <v>9</v>
      </c>
    </row>
    <row r="37" spans="1:38" x14ac:dyDescent="0.3">
      <c r="A37" s="53">
        <f t="shared" si="3"/>
        <v>32812</v>
      </c>
      <c r="B37" t="str">
        <f>IFERROR(_xlfn.XLOOKUP($A37,Planilha2!$A$2:$A$34,Planilha2!C$2:C$34,"",-1),"")</f>
        <v>B2</v>
      </c>
      <c r="C37" t="str">
        <f>IFERROR(_xlfn.XLOOKUP($A37,Planilha2!$A$2:$A$34,Planilha2!D$2:D$34,"",-1),"")</f>
        <v>-</v>
      </c>
      <c r="D37" t="str" cm="1">
        <f t="array" ref="D37">IF($A37&lt;MIN(Planilha2!$A$2:$A$34),"",_xlfn.LET(_xlpm.t,_xlfn.XLOOKUP($A37,Planilha2!$A$2:$A$34,Planilha2!$E$2:$E$34,"",-1),_xlfn.IFS(ISNUMBER(SEARCH("positiva",_xlpm.t)),"Positiva",ISNUMBER(SEARCH("negativa",_xlpm.t)),"Negativa",ISNUMBER(SEARCH("estável",_xlpm.t)),"Estável",TRUE,"n/d")))</f>
        <v>Estável</v>
      </c>
      <c r="E37" t="str">
        <f>IFERROR(_xlfn.XLOOKUP($A37,Planilha2!$J$2:$J$44,Planilha2!L$2:L$44,"",-1),"")</f>
        <v/>
      </c>
      <c r="F37" t="str">
        <f>IFERROR(_xlfn.XLOOKUP($A37,Planilha2!$J$2:$J$44,Planilha2!M$2:M$44,"",-1),"")</f>
        <v/>
      </c>
      <c r="G37" t="str" cm="1">
        <f t="array" ref="G37">IF($A37&lt;MIN(Planilha2!$J$2:$J$44),"",_xlfn.LET(_xlpm.t,_xlfn.XLOOKUP($A37,Planilha2!$J$2:$J$44,Planilha2!$N$2:$N$44,"",-1),_xlfn.IFS(ISNUMBER(SEARCH("positiva",_xlpm.t)),"Positiva",ISNUMBER(SEARCH("negativa",_xlpm.t)),"Negativa",ISNUMBER(SEARCH("estável",_xlpm.t)),"Estável",TRUE,"n/d")))</f>
        <v/>
      </c>
      <c r="H37" t="str">
        <f>IFERROR(_xlfn.XLOOKUP($A37,Planilha2!$P$2:$P$38,Planilha2!R$2:R$38,"",-1),"")</f>
        <v/>
      </c>
      <c r="I37" t="str">
        <f>IFERROR(_xlfn.XLOOKUP($A37,Planilha2!$P$2:$P$38,Planilha2!S$2:S$38,"",-1),"")</f>
        <v/>
      </c>
      <c r="J37" t="str" cm="1">
        <f t="array" ref="J37">IF($A37&lt;MIN(Planilha2!$P$2:$P$38),"",_xlfn.LET(_xlpm.t,_xlfn.XLOOKUP($A37,Planilha2!$P$2:$P$38,Planilha2!$T$2:$T$38,"",-1),_xlfn.IFS(ISNUMBER(SEARCH("positiva",_xlpm.t)),"Positiva",ISNUMBER(SEARCH("negativa",_xlpm.t)),"Negativa",ISNUMBER(SEARCH("estável",_xlpm.t)),"Estável",TRUE,"n/d")))</f>
        <v/>
      </c>
      <c r="L37" s="52">
        <f>IFERROR(_xlfn.XLOOKUP(B37,'Agências de Rating Soberano'!$G$2:$G$22,'Agências de Rating Soberano'!$H$2:$H$22),NA())</f>
        <v>7</v>
      </c>
      <c r="M37" s="52" t="e">
        <f>IFERROR(_xlfn.XLOOKUP(C37,'Agências de Rating Soberano'!$G$2:$G$22,'Agências de Rating Soberano'!$H$2:$H$22),NA())</f>
        <v>#N/A</v>
      </c>
      <c r="N37" s="52" t="e">
        <f>IFERROR(_xlfn.XLOOKUP(E37,'Agências de Rating Soberano'!$J$2:$J$22,'Agências de Rating Soberano'!$K$2:$K$22),NA())</f>
        <v>#N/A</v>
      </c>
      <c r="O37" s="52" t="e">
        <f>IFERROR(_xlfn.XLOOKUP(F37,'Agências de Rating Soberano'!$J$2:$J$22,'Agências de Rating Soberano'!$K$2:$K$22),NA())</f>
        <v>#N/A</v>
      </c>
      <c r="P37" s="52" t="e">
        <f>IFERROR(_xlfn.XLOOKUP(H37,'Agências de Rating Soberano'!$J$2:$J$22,'Agências de Rating Soberano'!$K$2:$K$22),NA())</f>
        <v>#N/A</v>
      </c>
      <c r="Q37" s="52" t="e">
        <f>IFERROR(_xlfn.XLOOKUP(I37,'Agências de Rating Soberano'!$J$2:$J$22,'Agências de Rating Soberano'!$K$2:$K$22),NA())</f>
        <v>#N/A</v>
      </c>
      <c r="Z37" s="50">
        <f>Planilha2!J37</f>
        <v>37089</v>
      </c>
      <c r="AA37">
        <f>IFERROR(_xlfn.XLOOKUP(Planilha2!L37,'Agências de Rating Soberano'!$J$2:$J$22,'Agências de Rating Soberano'!$K$2:$K$22),NA())</f>
        <v>9</v>
      </c>
      <c r="AB37" t="str" cm="1">
        <f t="array" ref="AB37">_xlfn.IFS(ISNUMBER(SEARCH("positiva",Planilha2!N37)),"Positiva",ISNUMBER(SEARCH("negativa",Planilha2!N37)),"Negativa",ISNUMBER(SEARCH("estável",Planilha2!N37)),"Estável",TRUE,"n/d")</f>
        <v>Negativa</v>
      </c>
      <c r="AC37" t="e">
        <f t="shared" si="1"/>
        <v>#N/A</v>
      </c>
      <c r="AD37" t="e">
        <f t="shared" si="1"/>
        <v>#N/A</v>
      </c>
      <c r="AE37">
        <f t="shared" si="1"/>
        <v>9</v>
      </c>
      <c r="AG37" s="50">
        <f>Planilha2!P37</f>
        <v>35522</v>
      </c>
      <c r="AH37">
        <f>IFERROR(_xlfn.XLOOKUP(Planilha2!R37,'Agências de Rating Soberano'!$J$2:$J$22,'Agências de Rating Soberano'!$K$2:$K$22),NA())</f>
        <v>9</v>
      </c>
      <c r="AI37" t="str" cm="1">
        <f t="array" ref="AI37">_xlfn.IFS(ISNUMBER(SEARCH("positiva",Planilha2!T37)),"Positiva",ISNUMBER(SEARCH("negativa",Planilha2!T37)),"Negativa",ISNUMBER(SEARCH("estável",Planilha2!T37)),"Estável",TRUE,"n/d")</f>
        <v>Estável</v>
      </c>
      <c r="AJ37" t="e">
        <f t="shared" si="2"/>
        <v>#N/A</v>
      </c>
      <c r="AK37">
        <f t="shared" si="2"/>
        <v>9</v>
      </c>
      <c r="AL37" t="e">
        <f t="shared" si="2"/>
        <v>#N/A</v>
      </c>
    </row>
    <row r="38" spans="1:38" x14ac:dyDescent="0.3">
      <c r="A38" s="53">
        <f t="shared" si="3"/>
        <v>32842</v>
      </c>
      <c r="B38" t="str">
        <f>IFERROR(_xlfn.XLOOKUP($A38,Planilha2!$A$2:$A$34,Planilha2!C$2:C$34,"",-1),"")</f>
        <v>B2</v>
      </c>
      <c r="C38" t="str">
        <f>IFERROR(_xlfn.XLOOKUP($A38,Planilha2!$A$2:$A$34,Planilha2!D$2:D$34,"",-1),"")</f>
        <v>-</v>
      </c>
      <c r="D38" t="str" cm="1">
        <f t="array" ref="D38">IF($A38&lt;MIN(Planilha2!$A$2:$A$34),"",_xlfn.LET(_xlpm.t,_xlfn.XLOOKUP($A38,Planilha2!$A$2:$A$34,Planilha2!$E$2:$E$34,"",-1),_xlfn.IFS(ISNUMBER(SEARCH("positiva",_xlpm.t)),"Positiva",ISNUMBER(SEARCH("negativa",_xlpm.t)),"Negativa",ISNUMBER(SEARCH("estável",_xlpm.t)),"Estável",TRUE,"n/d")))</f>
        <v>Estável</v>
      </c>
      <c r="E38" t="str">
        <f>IFERROR(_xlfn.XLOOKUP($A38,Planilha2!$J$2:$J$44,Planilha2!L$2:L$44,"",-1),"")</f>
        <v/>
      </c>
      <c r="F38" t="str">
        <f>IFERROR(_xlfn.XLOOKUP($A38,Planilha2!$J$2:$J$44,Planilha2!M$2:M$44,"",-1),"")</f>
        <v/>
      </c>
      <c r="G38" t="str" cm="1">
        <f t="array" ref="G38">IF($A38&lt;MIN(Planilha2!$J$2:$J$44),"",_xlfn.LET(_xlpm.t,_xlfn.XLOOKUP($A38,Planilha2!$J$2:$J$44,Planilha2!$N$2:$N$44,"",-1),_xlfn.IFS(ISNUMBER(SEARCH("positiva",_xlpm.t)),"Positiva",ISNUMBER(SEARCH("negativa",_xlpm.t)),"Negativa",ISNUMBER(SEARCH("estável",_xlpm.t)),"Estável",TRUE,"n/d")))</f>
        <v/>
      </c>
      <c r="H38" t="str">
        <f>IFERROR(_xlfn.XLOOKUP($A38,Planilha2!$P$2:$P$38,Planilha2!R$2:R$38,"",-1),"")</f>
        <v/>
      </c>
      <c r="I38" t="str">
        <f>IFERROR(_xlfn.XLOOKUP($A38,Planilha2!$P$2:$P$38,Planilha2!S$2:S$38,"",-1),"")</f>
        <v/>
      </c>
      <c r="J38" t="str" cm="1">
        <f t="array" ref="J38">IF($A38&lt;MIN(Planilha2!$P$2:$P$38),"",_xlfn.LET(_xlpm.t,_xlfn.XLOOKUP($A38,Planilha2!$P$2:$P$38,Planilha2!$T$2:$T$38,"",-1),_xlfn.IFS(ISNUMBER(SEARCH("positiva",_xlpm.t)),"Positiva",ISNUMBER(SEARCH("negativa",_xlpm.t)),"Negativa",ISNUMBER(SEARCH("estável",_xlpm.t)),"Estável",TRUE,"n/d")))</f>
        <v/>
      </c>
      <c r="L38" s="52">
        <f>IFERROR(_xlfn.XLOOKUP(B38,'Agências de Rating Soberano'!$G$2:$G$22,'Agências de Rating Soberano'!$H$2:$H$22),NA())</f>
        <v>7</v>
      </c>
      <c r="M38" s="52" t="e">
        <f>IFERROR(_xlfn.XLOOKUP(C38,'Agências de Rating Soberano'!$G$2:$G$22,'Agências de Rating Soberano'!$H$2:$H$22),NA())</f>
        <v>#N/A</v>
      </c>
      <c r="N38" s="52" t="e">
        <f>IFERROR(_xlfn.XLOOKUP(E38,'Agências de Rating Soberano'!$J$2:$J$22,'Agências de Rating Soberano'!$K$2:$K$22),NA())</f>
        <v>#N/A</v>
      </c>
      <c r="O38" s="52" t="e">
        <f>IFERROR(_xlfn.XLOOKUP(F38,'Agências de Rating Soberano'!$J$2:$J$22,'Agências de Rating Soberano'!$K$2:$K$22),NA())</f>
        <v>#N/A</v>
      </c>
      <c r="P38" s="52" t="e">
        <f>IFERROR(_xlfn.XLOOKUP(H38,'Agências de Rating Soberano'!$J$2:$J$22,'Agências de Rating Soberano'!$K$2:$K$22),NA())</f>
        <v>#N/A</v>
      </c>
      <c r="Q38" s="52" t="e">
        <f>IFERROR(_xlfn.XLOOKUP(I38,'Agências de Rating Soberano'!$J$2:$J$22,'Agências de Rating Soberano'!$K$2:$K$22),NA())</f>
        <v>#N/A</v>
      </c>
      <c r="Z38" s="50">
        <f>Planilha2!J38</f>
        <v>36790</v>
      </c>
      <c r="AA38">
        <f>IFERROR(_xlfn.XLOOKUP(Planilha2!L38,'Agências de Rating Soberano'!$J$2:$J$22,'Agências de Rating Soberano'!$K$2:$K$22),NA())</f>
        <v>9</v>
      </c>
      <c r="AB38" t="str" cm="1">
        <f t="array" ref="AB38">_xlfn.IFS(ISNUMBER(SEARCH("positiva",Planilha2!N38)),"Positiva",ISNUMBER(SEARCH("negativa",Planilha2!N38)),"Negativa",ISNUMBER(SEARCH("estável",Planilha2!N38)),"Estável",TRUE,"n/d")</f>
        <v>Estável</v>
      </c>
      <c r="AC38" t="e">
        <f t="shared" si="1"/>
        <v>#N/A</v>
      </c>
      <c r="AD38">
        <f t="shared" si="1"/>
        <v>9</v>
      </c>
      <c r="AE38" t="e">
        <f t="shared" si="1"/>
        <v>#N/A</v>
      </c>
      <c r="AG38" s="50">
        <f>Planilha2!P38</f>
        <v>35235</v>
      </c>
      <c r="AH38">
        <f>IFERROR(_xlfn.XLOOKUP(Planilha2!R38,'Agências de Rating Soberano'!$J$2:$J$22,'Agências de Rating Soberano'!$K$2:$K$22),NA())</f>
        <v>8</v>
      </c>
      <c r="AI38" t="str" cm="1">
        <f t="array" ref="AI38">_xlfn.IFS(ISNUMBER(SEARCH("positiva",Planilha2!T38)),"Positiva",ISNUMBER(SEARCH("negativa",Planilha2!T38)),"Negativa",ISNUMBER(SEARCH("estável",Planilha2!T38)),"Estável",TRUE,"n/d")</f>
        <v>Positiva</v>
      </c>
      <c r="AJ38">
        <f t="shared" si="2"/>
        <v>8</v>
      </c>
      <c r="AK38" t="e">
        <f t="shared" si="2"/>
        <v>#N/A</v>
      </c>
      <c r="AL38" t="e">
        <f t="shared" si="2"/>
        <v>#N/A</v>
      </c>
    </row>
    <row r="39" spans="1:38" x14ac:dyDescent="0.3">
      <c r="A39" s="53">
        <f t="shared" si="3"/>
        <v>32873</v>
      </c>
      <c r="B39" t="str">
        <f>IFERROR(_xlfn.XLOOKUP($A39,Planilha2!$A$2:$A$34,Planilha2!C$2:C$34,"",-1),"")</f>
        <v>B2</v>
      </c>
      <c r="C39" t="str">
        <f>IFERROR(_xlfn.XLOOKUP($A39,Planilha2!$A$2:$A$34,Planilha2!D$2:D$34,"",-1),"")</f>
        <v>-</v>
      </c>
      <c r="D39" t="str" cm="1">
        <f t="array" ref="D39">IF($A39&lt;MIN(Planilha2!$A$2:$A$34),"",_xlfn.LET(_xlpm.t,_xlfn.XLOOKUP($A39,Planilha2!$A$2:$A$34,Planilha2!$E$2:$E$34,"",-1),_xlfn.IFS(ISNUMBER(SEARCH("positiva",_xlpm.t)),"Positiva",ISNUMBER(SEARCH("negativa",_xlpm.t)),"Negativa",ISNUMBER(SEARCH("estável",_xlpm.t)),"Estável",TRUE,"n/d")))</f>
        <v>Estável</v>
      </c>
      <c r="E39" t="str">
        <f>IFERROR(_xlfn.XLOOKUP($A39,Planilha2!$J$2:$J$44,Planilha2!L$2:L$44,"",-1),"")</f>
        <v/>
      </c>
      <c r="F39" t="str">
        <f>IFERROR(_xlfn.XLOOKUP($A39,Planilha2!$J$2:$J$44,Planilha2!M$2:M$44,"",-1),"")</f>
        <v/>
      </c>
      <c r="G39" t="str" cm="1">
        <f t="array" ref="G39">IF($A39&lt;MIN(Planilha2!$J$2:$J$44),"",_xlfn.LET(_xlpm.t,_xlfn.XLOOKUP($A39,Planilha2!$J$2:$J$44,Planilha2!$N$2:$N$44,"",-1),_xlfn.IFS(ISNUMBER(SEARCH("positiva",_xlpm.t)),"Positiva",ISNUMBER(SEARCH("negativa",_xlpm.t)),"Negativa",ISNUMBER(SEARCH("estável",_xlpm.t)),"Estável",TRUE,"n/d")))</f>
        <v/>
      </c>
      <c r="H39" t="str">
        <f>IFERROR(_xlfn.XLOOKUP($A39,Planilha2!$P$2:$P$38,Planilha2!R$2:R$38,"",-1),"")</f>
        <v/>
      </c>
      <c r="I39" t="str">
        <f>IFERROR(_xlfn.XLOOKUP($A39,Planilha2!$P$2:$P$38,Planilha2!S$2:S$38,"",-1),"")</f>
        <v/>
      </c>
      <c r="J39" t="str" cm="1">
        <f t="array" ref="J39">IF($A39&lt;MIN(Planilha2!$P$2:$P$38),"",_xlfn.LET(_xlpm.t,_xlfn.XLOOKUP($A39,Planilha2!$P$2:$P$38,Planilha2!$T$2:$T$38,"",-1),_xlfn.IFS(ISNUMBER(SEARCH("positiva",_xlpm.t)),"Positiva",ISNUMBER(SEARCH("negativa",_xlpm.t)),"Negativa",ISNUMBER(SEARCH("estável",_xlpm.t)),"Estável",TRUE,"n/d")))</f>
        <v/>
      </c>
      <c r="L39" s="52">
        <f>IFERROR(_xlfn.XLOOKUP(B39,'Agências de Rating Soberano'!$G$2:$G$22,'Agências de Rating Soberano'!$H$2:$H$22),NA())</f>
        <v>7</v>
      </c>
      <c r="M39" s="52" t="e">
        <f>IFERROR(_xlfn.XLOOKUP(C39,'Agências de Rating Soberano'!$G$2:$G$22,'Agências de Rating Soberano'!$H$2:$H$22),NA())</f>
        <v>#N/A</v>
      </c>
      <c r="N39" s="52" t="e">
        <f>IFERROR(_xlfn.XLOOKUP(E39,'Agências de Rating Soberano'!$J$2:$J$22,'Agências de Rating Soberano'!$K$2:$K$22),NA())</f>
        <v>#N/A</v>
      </c>
      <c r="O39" s="52" t="e">
        <f>IFERROR(_xlfn.XLOOKUP(F39,'Agências de Rating Soberano'!$J$2:$J$22,'Agências de Rating Soberano'!$K$2:$K$22),NA())</f>
        <v>#N/A</v>
      </c>
      <c r="P39" s="52" t="e">
        <f>IFERROR(_xlfn.XLOOKUP(H39,'Agências de Rating Soberano'!$J$2:$J$22,'Agências de Rating Soberano'!$K$2:$K$22),NA())</f>
        <v>#N/A</v>
      </c>
      <c r="Q39" s="52" t="e">
        <f>IFERROR(_xlfn.XLOOKUP(I39,'Agências de Rating Soberano'!$J$2:$J$22,'Agências de Rating Soberano'!$K$2:$K$22),NA())</f>
        <v>#N/A</v>
      </c>
      <c r="Z39" s="50">
        <f>Planilha2!J39</f>
        <v>36665</v>
      </c>
      <c r="AA39">
        <f>IFERROR(_xlfn.XLOOKUP(Planilha2!L39,'Agências de Rating Soberano'!$J$2:$J$22,'Agências de Rating Soberano'!$K$2:$K$22),NA())</f>
        <v>9</v>
      </c>
      <c r="AB39" t="str" cm="1">
        <f t="array" ref="AB39">_xlfn.IFS(ISNUMBER(SEARCH("positiva",Planilha2!N39)),"Positiva",ISNUMBER(SEARCH("negativa",Planilha2!N39)),"Negativa",ISNUMBER(SEARCH("estável",Planilha2!N39)),"Estável",TRUE,"n/d")</f>
        <v>n/d</v>
      </c>
      <c r="AC39" t="e">
        <f t="shared" si="1"/>
        <v>#N/A</v>
      </c>
      <c r="AD39" t="e">
        <f t="shared" si="1"/>
        <v>#N/A</v>
      </c>
      <c r="AE39" t="e">
        <f t="shared" si="1"/>
        <v>#N/A</v>
      </c>
    </row>
    <row r="40" spans="1:38" x14ac:dyDescent="0.3">
      <c r="A40" s="53">
        <f t="shared" si="3"/>
        <v>32904</v>
      </c>
      <c r="B40" t="str">
        <f>IFERROR(_xlfn.XLOOKUP($A40,Planilha2!$A$2:$A$34,Planilha2!C$2:C$34,"",-1),"")</f>
        <v>B2</v>
      </c>
      <c r="C40" t="str">
        <f>IFERROR(_xlfn.XLOOKUP($A40,Planilha2!$A$2:$A$34,Planilha2!D$2:D$34,"",-1),"")</f>
        <v>-</v>
      </c>
      <c r="D40" t="str" cm="1">
        <f t="array" ref="D40">IF($A40&lt;MIN(Planilha2!$A$2:$A$34),"",_xlfn.LET(_xlpm.t,_xlfn.XLOOKUP($A40,Planilha2!$A$2:$A$34,Planilha2!$E$2:$E$34,"",-1),_xlfn.IFS(ISNUMBER(SEARCH("positiva",_xlpm.t)),"Positiva",ISNUMBER(SEARCH("negativa",_xlpm.t)),"Negativa",ISNUMBER(SEARCH("estável",_xlpm.t)),"Estável",TRUE,"n/d")))</f>
        <v>Estável</v>
      </c>
      <c r="E40" t="str">
        <f>IFERROR(_xlfn.XLOOKUP($A40,Planilha2!$J$2:$J$44,Planilha2!L$2:L$44,"",-1),"")</f>
        <v/>
      </c>
      <c r="F40" t="str">
        <f>IFERROR(_xlfn.XLOOKUP($A40,Planilha2!$J$2:$J$44,Planilha2!M$2:M$44,"",-1),"")</f>
        <v/>
      </c>
      <c r="G40" t="str" cm="1">
        <f t="array" ref="G40">IF($A40&lt;MIN(Planilha2!$J$2:$J$44),"",_xlfn.LET(_xlpm.t,_xlfn.XLOOKUP($A40,Planilha2!$J$2:$J$44,Planilha2!$N$2:$N$44,"",-1),_xlfn.IFS(ISNUMBER(SEARCH("positiva",_xlpm.t)),"Positiva",ISNUMBER(SEARCH("negativa",_xlpm.t)),"Negativa",ISNUMBER(SEARCH("estável",_xlpm.t)),"Estável",TRUE,"n/d")))</f>
        <v/>
      </c>
      <c r="H40" t="str">
        <f>IFERROR(_xlfn.XLOOKUP($A40,Planilha2!$P$2:$P$38,Planilha2!R$2:R$38,"",-1),"")</f>
        <v/>
      </c>
      <c r="I40" t="str">
        <f>IFERROR(_xlfn.XLOOKUP($A40,Planilha2!$P$2:$P$38,Planilha2!S$2:S$38,"",-1),"")</f>
        <v/>
      </c>
      <c r="J40" t="str" cm="1">
        <f t="array" ref="J40">IF($A40&lt;MIN(Planilha2!$P$2:$P$38),"",_xlfn.LET(_xlpm.t,_xlfn.XLOOKUP($A40,Planilha2!$P$2:$P$38,Planilha2!$T$2:$T$38,"",-1),_xlfn.IFS(ISNUMBER(SEARCH("positiva",_xlpm.t)),"Positiva",ISNUMBER(SEARCH("negativa",_xlpm.t)),"Negativa",ISNUMBER(SEARCH("estável",_xlpm.t)),"Estável",TRUE,"n/d")))</f>
        <v/>
      </c>
      <c r="L40" s="52">
        <f>IFERROR(_xlfn.XLOOKUP(B40,'Agências de Rating Soberano'!$G$2:$G$22,'Agências de Rating Soberano'!$H$2:$H$22),NA())</f>
        <v>7</v>
      </c>
      <c r="M40" s="52" t="e">
        <f>IFERROR(_xlfn.XLOOKUP(C40,'Agências de Rating Soberano'!$G$2:$G$22,'Agências de Rating Soberano'!$H$2:$H$22),NA())</f>
        <v>#N/A</v>
      </c>
      <c r="N40" s="52" t="e">
        <f>IFERROR(_xlfn.XLOOKUP(E40,'Agências de Rating Soberano'!$J$2:$J$22,'Agências de Rating Soberano'!$K$2:$K$22),NA())</f>
        <v>#N/A</v>
      </c>
      <c r="O40" s="52" t="e">
        <f>IFERROR(_xlfn.XLOOKUP(F40,'Agências de Rating Soberano'!$J$2:$J$22,'Agências de Rating Soberano'!$K$2:$K$22),NA())</f>
        <v>#N/A</v>
      </c>
      <c r="P40" s="52" t="e">
        <f>IFERROR(_xlfn.XLOOKUP(H40,'Agências de Rating Soberano'!$J$2:$J$22,'Agências de Rating Soberano'!$K$2:$K$22),NA())</f>
        <v>#N/A</v>
      </c>
      <c r="Q40" s="52" t="e">
        <f>IFERROR(_xlfn.XLOOKUP(I40,'Agências de Rating Soberano'!$J$2:$J$22,'Agências de Rating Soberano'!$K$2:$K$22),NA())</f>
        <v>#N/A</v>
      </c>
      <c r="Z40" s="50">
        <f>Planilha2!J40</f>
        <v>36578</v>
      </c>
      <c r="AA40">
        <f>IFERROR(_xlfn.XLOOKUP(Planilha2!L40,'Agências de Rating Soberano'!$J$2:$J$22,'Agências de Rating Soberano'!$K$2:$K$22),NA())</f>
        <v>8</v>
      </c>
      <c r="AB40" t="str" cm="1">
        <f t="array" ref="AB40">_xlfn.IFS(ISNUMBER(SEARCH("positiva",Planilha2!N40)),"Positiva",ISNUMBER(SEARCH("negativa",Planilha2!N40)),"Negativa",ISNUMBER(SEARCH("estável",Planilha2!N40)),"Estável",TRUE,"n/d")</f>
        <v>n/d</v>
      </c>
      <c r="AC40" t="e">
        <f t="shared" si="1"/>
        <v>#N/A</v>
      </c>
      <c r="AD40" t="e">
        <f t="shared" si="1"/>
        <v>#N/A</v>
      </c>
      <c r="AE40" t="e">
        <f t="shared" si="1"/>
        <v>#N/A</v>
      </c>
    </row>
    <row r="41" spans="1:38" x14ac:dyDescent="0.3">
      <c r="A41" s="53">
        <f t="shared" si="3"/>
        <v>32932</v>
      </c>
      <c r="B41" t="str">
        <f>IFERROR(_xlfn.XLOOKUP($A41,Planilha2!$A$2:$A$34,Planilha2!C$2:C$34,"",-1),"")</f>
        <v>B2</v>
      </c>
      <c r="C41" t="str">
        <f>IFERROR(_xlfn.XLOOKUP($A41,Planilha2!$A$2:$A$34,Planilha2!D$2:D$34,"",-1),"")</f>
        <v>-</v>
      </c>
      <c r="D41" t="str" cm="1">
        <f t="array" ref="D41">IF($A41&lt;MIN(Planilha2!$A$2:$A$34),"",_xlfn.LET(_xlpm.t,_xlfn.XLOOKUP($A41,Planilha2!$A$2:$A$34,Planilha2!$E$2:$E$34,"",-1),_xlfn.IFS(ISNUMBER(SEARCH("positiva",_xlpm.t)),"Positiva",ISNUMBER(SEARCH("negativa",_xlpm.t)),"Negativa",ISNUMBER(SEARCH("estável",_xlpm.t)),"Estável",TRUE,"n/d")))</f>
        <v>Estável</v>
      </c>
      <c r="E41" t="str">
        <f>IFERROR(_xlfn.XLOOKUP($A41,Planilha2!$J$2:$J$44,Planilha2!L$2:L$44,"",-1),"")</f>
        <v/>
      </c>
      <c r="F41" t="str">
        <f>IFERROR(_xlfn.XLOOKUP($A41,Planilha2!$J$2:$J$44,Planilha2!M$2:M$44,"",-1),"")</f>
        <v/>
      </c>
      <c r="G41" t="str" cm="1">
        <f t="array" ref="G41">IF($A41&lt;MIN(Planilha2!$J$2:$J$44),"",_xlfn.LET(_xlpm.t,_xlfn.XLOOKUP($A41,Planilha2!$J$2:$J$44,Planilha2!$N$2:$N$44,"",-1),_xlfn.IFS(ISNUMBER(SEARCH("positiva",_xlpm.t)),"Positiva",ISNUMBER(SEARCH("negativa",_xlpm.t)),"Negativa",ISNUMBER(SEARCH("estável",_xlpm.t)),"Estável",TRUE,"n/d")))</f>
        <v/>
      </c>
      <c r="H41" t="str">
        <f>IFERROR(_xlfn.XLOOKUP($A41,Planilha2!$P$2:$P$38,Planilha2!R$2:R$38,"",-1),"")</f>
        <v/>
      </c>
      <c r="I41" t="str">
        <f>IFERROR(_xlfn.XLOOKUP($A41,Planilha2!$P$2:$P$38,Planilha2!S$2:S$38,"",-1),"")</f>
        <v/>
      </c>
      <c r="J41" t="str" cm="1">
        <f t="array" ref="J41">IF($A41&lt;MIN(Planilha2!$P$2:$P$38),"",_xlfn.LET(_xlpm.t,_xlfn.XLOOKUP($A41,Planilha2!$P$2:$P$38,Planilha2!$T$2:$T$38,"",-1),_xlfn.IFS(ISNUMBER(SEARCH("positiva",_xlpm.t)),"Positiva",ISNUMBER(SEARCH("negativa",_xlpm.t)),"Negativa",ISNUMBER(SEARCH("estável",_xlpm.t)),"Estável",TRUE,"n/d")))</f>
        <v/>
      </c>
      <c r="L41" s="52">
        <f>IFERROR(_xlfn.XLOOKUP(B41,'Agências de Rating Soberano'!$G$2:$G$22,'Agências de Rating Soberano'!$H$2:$H$22),NA())</f>
        <v>7</v>
      </c>
      <c r="M41" s="52" t="e">
        <f>IFERROR(_xlfn.XLOOKUP(C41,'Agências de Rating Soberano'!$G$2:$G$22,'Agências de Rating Soberano'!$H$2:$H$22),NA())</f>
        <v>#N/A</v>
      </c>
      <c r="N41" s="52" t="e">
        <f>IFERROR(_xlfn.XLOOKUP(E41,'Agências de Rating Soberano'!$J$2:$J$22,'Agências de Rating Soberano'!$K$2:$K$22),NA())</f>
        <v>#N/A</v>
      </c>
      <c r="O41" s="52" t="e">
        <f>IFERROR(_xlfn.XLOOKUP(F41,'Agências de Rating Soberano'!$J$2:$J$22,'Agências de Rating Soberano'!$K$2:$K$22),NA())</f>
        <v>#N/A</v>
      </c>
      <c r="P41" s="52" t="e">
        <f>IFERROR(_xlfn.XLOOKUP(H41,'Agências de Rating Soberano'!$J$2:$J$22,'Agências de Rating Soberano'!$K$2:$K$22),NA())</f>
        <v>#N/A</v>
      </c>
      <c r="Q41" s="52" t="e">
        <f>IFERROR(_xlfn.XLOOKUP(I41,'Agências de Rating Soberano'!$J$2:$J$22,'Agências de Rating Soberano'!$K$2:$K$22),NA())</f>
        <v>#N/A</v>
      </c>
      <c r="Z41" s="50">
        <f>Planilha2!J41</f>
        <v>36186</v>
      </c>
      <c r="AA41">
        <f>IFERROR(_xlfn.XLOOKUP(Planilha2!L41,'Agências de Rating Soberano'!$J$2:$J$22,'Agências de Rating Soberano'!$K$2:$K$22),NA())</f>
        <v>7</v>
      </c>
      <c r="AB41" t="str" cm="1">
        <f t="array" ref="AB41">_xlfn.IFS(ISNUMBER(SEARCH("positiva",Planilha2!N41)),"Positiva",ISNUMBER(SEARCH("negativa",Planilha2!N41)),"Negativa",ISNUMBER(SEARCH("estável",Planilha2!N41)),"Estável",TRUE,"n/d")</f>
        <v>n/d</v>
      </c>
      <c r="AC41" t="e">
        <f t="shared" si="1"/>
        <v>#N/A</v>
      </c>
      <c r="AD41" t="e">
        <f t="shared" si="1"/>
        <v>#N/A</v>
      </c>
      <c r="AE41" t="e">
        <f t="shared" si="1"/>
        <v>#N/A</v>
      </c>
    </row>
    <row r="42" spans="1:38" x14ac:dyDescent="0.3">
      <c r="A42" s="53">
        <f t="shared" si="3"/>
        <v>32963</v>
      </c>
      <c r="B42" t="str">
        <f>IFERROR(_xlfn.XLOOKUP($A42,Planilha2!$A$2:$A$34,Planilha2!C$2:C$34,"",-1),"")</f>
        <v>B2</v>
      </c>
      <c r="C42" t="str">
        <f>IFERROR(_xlfn.XLOOKUP($A42,Planilha2!$A$2:$A$34,Planilha2!D$2:D$34,"",-1),"")</f>
        <v>-</v>
      </c>
      <c r="D42" t="str" cm="1">
        <f t="array" ref="D42">IF($A42&lt;MIN(Planilha2!$A$2:$A$34),"",_xlfn.LET(_xlpm.t,_xlfn.XLOOKUP($A42,Planilha2!$A$2:$A$34,Planilha2!$E$2:$E$34,"",-1),_xlfn.IFS(ISNUMBER(SEARCH("positiva",_xlpm.t)),"Positiva",ISNUMBER(SEARCH("negativa",_xlpm.t)),"Negativa",ISNUMBER(SEARCH("estável",_xlpm.t)),"Estável",TRUE,"n/d")))</f>
        <v>Estável</v>
      </c>
      <c r="E42" t="str">
        <f>IFERROR(_xlfn.XLOOKUP($A42,Planilha2!$J$2:$J$44,Planilha2!L$2:L$44,"",-1),"")</f>
        <v/>
      </c>
      <c r="F42" t="str">
        <f>IFERROR(_xlfn.XLOOKUP($A42,Planilha2!$J$2:$J$44,Planilha2!M$2:M$44,"",-1),"")</f>
        <v/>
      </c>
      <c r="G42" t="str" cm="1">
        <f t="array" ref="G42">IF($A42&lt;MIN(Planilha2!$J$2:$J$44),"",_xlfn.LET(_xlpm.t,_xlfn.XLOOKUP($A42,Planilha2!$J$2:$J$44,Planilha2!$N$2:$N$44,"",-1),_xlfn.IFS(ISNUMBER(SEARCH("positiva",_xlpm.t)),"Positiva",ISNUMBER(SEARCH("negativa",_xlpm.t)),"Negativa",ISNUMBER(SEARCH("estável",_xlpm.t)),"Estável",TRUE,"n/d")))</f>
        <v/>
      </c>
      <c r="H42" t="str">
        <f>IFERROR(_xlfn.XLOOKUP($A42,Planilha2!$P$2:$P$38,Planilha2!R$2:R$38,"",-1),"")</f>
        <v/>
      </c>
      <c r="I42" t="str">
        <f>IFERROR(_xlfn.XLOOKUP($A42,Planilha2!$P$2:$P$38,Planilha2!S$2:S$38,"",-1),"")</f>
        <v/>
      </c>
      <c r="J42" t="str" cm="1">
        <f t="array" ref="J42">IF($A42&lt;MIN(Planilha2!$P$2:$P$38),"",_xlfn.LET(_xlpm.t,_xlfn.XLOOKUP($A42,Planilha2!$P$2:$P$38,Planilha2!$T$2:$T$38,"",-1),_xlfn.IFS(ISNUMBER(SEARCH("positiva",_xlpm.t)),"Positiva",ISNUMBER(SEARCH("negativa",_xlpm.t)),"Negativa",ISNUMBER(SEARCH("estável",_xlpm.t)),"Estável",TRUE,"n/d")))</f>
        <v/>
      </c>
      <c r="L42" s="52">
        <f>IFERROR(_xlfn.XLOOKUP(B42,'Agências de Rating Soberano'!$G$2:$G$22,'Agências de Rating Soberano'!$H$2:$H$22),NA())</f>
        <v>7</v>
      </c>
      <c r="M42" s="52" t="e">
        <f>IFERROR(_xlfn.XLOOKUP(C42,'Agências de Rating Soberano'!$G$2:$G$22,'Agências de Rating Soberano'!$H$2:$H$22),NA())</f>
        <v>#N/A</v>
      </c>
      <c r="N42" s="52" t="e">
        <f>IFERROR(_xlfn.XLOOKUP(E42,'Agências de Rating Soberano'!$J$2:$J$22,'Agências de Rating Soberano'!$K$2:$K$22),NA())</f>
        <v>#N/A</v>
      </c>
      <c r="O42" s="52" t="e">
        <f>IFERROR(_xlfn.XLOOKUP(F42,'Agências de Rating Soberano'!$J$2:$J$22,'Agências de Rating Soberano'!$K$2:$K$22),NA())</f>
        <v>#N/A</v>
      </c>
      <c r="P42" s="52" t="e">
        <f>IFERROR(_xlfn.XLOOKUP(H42,'Agências de Rating Soberano'!$J$2:$J$22,'Agências de Rating Soberano'!$K$2:$K$22),NA())</f>
        <v>#N/A</v>
      </c>
      <c r="Q42" s="52" t="e">
        <f>IFERROR(_xlfn.XLOOKUP(I42,'Agências de Rating Soberano'!$J$2:$J$22,'Agências de Rating Soberano'!$K$2:$K$22),NA())</f>
        <v>#N/A</v>
      </c>
      <c r="Z42" s="50">
        <f>Planilha2!J42</f>
        <v>35767</v>
      </c>
      <c r="AA42">
        <f>IFERROR(_xlfn.XLOOKUP(Planilha2!L42,'Agências de Rating Soberano'!$J$2:$J$22,'Agências de Rating Soberano'!$K$2:$K$22),NA())</f>
        <v>8</v>
      </c>
      <c r="AB42" t="str" cm="1">
        <f t="array" ref="AB42">_xlfn.IFS(ISNUMBER(SEARCH("positiva",Planilha2!N42)),"Positiva",ISNUMBER(SEARCH("negativa",Planilha2!N42)),"Negativa",ISNUMBER(SEARCH("estável",Planilha2!N42)),"Estável",TRUE,"n/d")</f>
        <v>n/d</v>
      </c>
      <c r="AC42" t="e">
        <f t="shared" si="1"/>
        <v>#N/A</v>
      </c>
      <c r="AD42" t="e">
        <f t="shared" si="1"/>
        <v>#N/A</v>
      </c>
      <c r="AE42" t="e">
        <f t="shared" si="1"/>
        <v>#N/A</v>
      </c>
    </row>
    <row r="43" spans="1:38" x14ac:dyDescent="0.3">
      <c r="A43" s="53">
        <f t="shared" si="3"/>
        <v>32993</v>
      </c>
      <c r="B43" t="str">
        <f>IFERROR(_xlfn.XLOOKUP($A43,Planilha2!$A$2:$A$34,Planilha2!C$2:C$34,"",-1),"")</f>
        <v>B2</v>
      </c>
      <c r="C43" t="str">
        <f>IFERROR(_xlfn.XLOOKUP($A43,Planilha2!$A$2:$A$34,Planilha2!D$2:D$34,"",-1),"")</f>
        <v>-</v>
      </c>
      <c r="D43" t="str" cm="1">
        <f t="array" ref="D43">IF($A43&lt;MIN(Planilha2!$A$2:$A$34),"",_xlfn.LET(_xlpm.t,_xlfn.XLOOKUP($A43,Planilha2!$A$2:$A$34,Planilha2!$E$2:$E$34,"",-1),_xlfn.IFS(ISNUMBER(SEARCH("positiva",_xlpm.t)),"Positiva",ISNUMBER(SEARCH("negativa",_xlpm.t)),"Negativa",ISNUMBER(SEARCH("estável",_xlpm.t)),"Estável",TRUE,"n/d")))</f>
        <v>Estável</v>
      </c>
      <c r="E43" t="str">
        <f>IFERROR(_xlfn.XLOOKUP($A43,Planilha2!$J$2:$J$44,Planilha2!L$2:L$44,"",-1),"")</f>
        <v/>
      </c>
      <c r="F43" t="str">
        <f>IFERROR(_xlfn.XLOOKUP($A43,Planilha2!$J$2:$J$44,Planilha2!M$2:M$44,"",-1),"")</f>
        <v/>
      </c>
      <c r="G43" t="str" cm="1">
        <f t="array" ref="G43">IF($A43&lt;MIN(Planilha2!$J$2:$J$44),"",_xlfn.LET(_xlpm.t,_xlfn.XLOOKUP($A43,Planilha2!$J$2:$J$44,Planilha2!$N$2:$N$44,"",-1),_xlfn.IFS(ISNUMBER(SEARCH("positiva",_xlpm.t)),"Positiva",ISNUMBER(SEARCH("negativa",_xlpm.t)),"Negativa",ISNUMBER(SEARCH("estável",_xlpm.t)),"Estável",TRUE,"n/d")))</f>
        <v/>
      </c>
      <c r="H43" t="str">
        <f>IFERROR(_xlfn.XLOOKUP($A43,Planilha2!$P$2:$P$38,Planilha2!R$2:R$38,"",-1),"")</f>
        <v/>
      </c>
      <c r="I43" t="str">
        <f>IFERROR(_xlfn.XLOOKUP($A43,Planilha2!$P$2:$P$38,Planilha2!S$2:S$38,"",-1),"")</f>
        <v/>
      </c>
      <c r="J43" t="str" cm="1">
        <f t="array" ref="J43">IF($A43&lt;MIN(Planilha2!$P$2:$P$38),"",_xlfn.LET(_xlpm.t,_xlfn.XLOOKUP($A43,Planilha2!$P$2:$P$38,Planilha2!$T$2:$T$38,"",-1),_xlfn.IFS(ISNUMBER(SEARCH("positiva",_xlpm.t)),"Positiva",ISNUMBER(SEARCH("negativa",_xlpm.t)),"Negativa",ISNUMBER(SEARCH("estável",_xlpm.t)),"Estável",TRUE,"n/d")))</f>
        <v/>
      </c>
      <c r="L43" s="52">
        <f>IFERROR(_xlfn.XLOOKUP(B43,'Agências de Rating Soberano'!$G$2:$G$22,'Agências de Rating Soberano'!$H$2:$H$22),NA())</f>
        <v>7</v>
      </c>
      <c r="M43" s="52" t="e">
        <f>IFERROR(_xlfn.XLOOKUP(C43,'Agências de Rating Soberano'!$G$2:$G$22,'Agências de Rating Soberano'!$H$2:$H$22),NA())</f>
        <v>#N/A</v>
      </c>
      <c r="N43" s="52" t="e">
        <f>IFERROR(_xlfn.XLOOKUP(E43,'Agências de Rating Soberano'!$J$2:$J$22,'Agências de Rating Soberano'!$K$2:$K$22),NA())</f>
        <v>#N/A</v>
      </c>
      <c r="O43" s="52" t="e">
        <f>IFERROR(_xlfn.XLOOKUP(F43,'Agências de Rating Soberano'!$J$2:$J$22,'Agências de Rating Soberano'!$K$2:$K$22),NA())</f>
        <v>#N/A</v>
      </c>
      <c r="P43" s="52" t="e">
        <f>IFERROR(_xlfn.XLOOKUP(H43,'Agências de Rating Soberano'!$J$2:$J$22,'Agências de Rating Soberano'!$K$2:$K$22),NA())</f>
        <v>#N/A</v>
      </c>
      <c r="Q43" s="52" t="e">
        <f>IFERROR(_xlfn.XLOOKUP(I43,'Agências de Rating Soberano'!$J$2:$J$22,'Agências de Rating Soberano'!$K$2:$K$22),NA())</f>
        <v>#N/A</v>
      </c>
      <c r="Z43" s="50">
        <f>Planilha2!J43</f>
        <v>34998</v>
      </c>
      <c r="AA43">
        <f>IFERROR(_xlfn.XLOOKUP(Planilha2!L43,'Agências de Rating Soberano'!$J$2:$J$22,'Agências de Rating Soberano'!$K$2:$K$22),NA())</f>
        <v>8</v>
      </c>
      <c r="AB43" t="str" cm="1">
        <f t="array" ref="AB43">_xlfn.IFS(ISNUMBER(SEARCH("positiva",Planilha2!N43)),"Positiva",ISNUMBER(SEARCH("negativa",Planilha2!N43)),"Negativa",ISNUMBER(SEARCH("estável",Planilha2!N43)),"Estável",TRUE,"n/d")</f>
        <v>n/d</v>
      </c>
      <c r="AC43" t="e">
        <f t="shared" si="1"/>
        <v>#N/A</v>
      </c>
      <c r="AD43" t="e">
        <f t="shared" si="1"/>
        <v>#N/A</v>
      </c>
      <c r="AE43" t="e">
        <f t="shared" si="1"/>
        <v>#N/A</v>
      </c>
    </row>
    <row r="44" spans="1:38" x14ac:dyDescent="0.3">
      <c r="A44" s="53">
        <f t="shared" si="3"/>
        <v>33024</v>
      </c>
      <c r="B44" t="str">
        <f>IFERROR(_xlfn.XLOOKUP($A44,Planilha2!$A$2:$A$34,Planilha2!C$2:C$34,"",-1),"")</f>
        <v>B2</v>
      </c>
      <c r="C44" t="str">
        <f>IFERROR(_xlfn.XLOOKUP($A44,Planilha2!$A$2:$A$34,Planilha2!D$2:D$34,"",-1),"")</f>
        <v>-</v>
      </c>
      <c r="D44" t="str" cm="1">
        <f t="array" ref="D44">IF($A44&lt;MIN(Planilha2!$A$2:$A$34),"",_xlfn.LET(_xlpm.t,_xlfn.XLOOKUP($A44,Planilha2!$A$2:$A$34,Planilha2!$E$2:$E$34,"",-1),_xlfn.IFS(ISNUMBER(SEARCH("positiva",_xlpm.t)),"Positiva",ISNUMBER(SEARCH("negativa",_xlpm.t)),"Negativa",ISNUMBER(SEARCH("estável",_xlpm.t)),"Estável",TRUE,"n/d")))</f>
        <v>Estável</v>
      </c>
      <c r="E44" t="str">
        <f>IFERROR(_xlfn.XLOOKUP($A44,Planilha2!$J$2:$J$44,Planilha2!L$2:L$44,"",-1),"")</f>
        <v/>
      </c>
      <c r="F44" t="str">
        <f>IFERROR(_xlfn.XLOOKUP($A44,Planilha2!$J$2:$J$44,Planilha2!M$2:M$44,"",-1),"")</f>
        <v/>
      </c>
      <c r="G44" t="str" cm="1">
        <f t="array" ref="G44">IF($A44&lt;MIN(Planilha2!$J$2:$J$44),"",_xlfn.LET(_xlpm.t,_xlfn.XLOOKUP($A44,Planilha2!$J$2:$J$44,Planilha2!$N$2:$N$44,"",-1),_xlfn.IFS(ISNUMBER(SEARCH("positiva",_xlpm.t)),"Positiva",ISNUMBER(SEARCH("negativa",_xlpm.t)),"Negativa",ISNUMBER(SEARCH("estável",_xlpm.t)),"Estável",TRUE,"n/d")))</f>
        <v/>
      </c>
      <c r="H44" t="str">
        <f>IFERROR(_xlfn.XLOOKUP($A44,Planilha2!$P$2:$P$38,Planilha2!R$2:R$38,"",-1),"")</f>
        <v/>
      </c>
      <c r="I44" t="str">
        <f>IFERROR(_xlfn.XLOOKUP($A44,Planilha2!$P$2:$P$38,Planilha2!S$2:S$38,"",-1),"")</f>
        <v/>
      </c>
      <c r="J44" t="str" cm="1">
        <f t="array" ref="J44">IF($A44&lt;MIN(Planilha2!$P$2:$P$38),"",_xlfn.LET(_xlpm.t,_xlfn.XLOOKUP($A44,Planilha2!$P$2:$P$38,Planilha2!$T$2:$T$38,"",-1),_xlfn.IFS(ISNUMBER(SEARCH("positiva",_xlpm.t)),"Positiva",ISNUMBER(SEARCH("negativa",_xlpm.t)),"Negativa",ISNUMBER(SEARCH("estável",_xlpm.t)),"Estável",TRUE,"n/d")))</f>
        <v/>
      </c>
      <c r="L44" s="52">
        <f>IFERROR(_xlfn.XLOOKUP(B44,'Agências de Rating Soberano'!$G$2:$G$22,'Agências de Rating Soberano'!$H$2:$H$22),NA())</f>
        <v>7</v>
      </c>
      <c r="M44" s="52" t="e">
        <f>IFERROR(_xlfn.XLOOKUP(C44,'Agências de Rating Soberano'!$G$2:$G$22,'Agências de Rating Soberano'!$H$2:$H$22),NA())</f>
        <v>#N/A</v>
      </c>
      <c r="N44" s="52" t="e">
        <f>IFERROR(_xlfn.XLOOKUP(E44,'Agências de Rating Soberano'!$J$2:$J$22,'Agências de Rating Soberano'!$K$2:$K$22),NA())</f>
        <v>#N/A</v>
      </c>
      <c r="O44" s="52" t="e">
        <f>IFERROR(_xlfn.XLOOKUP(F44,'Agências de Rating Soberano'!$J$2:$J$22,'Agências de Rating Soberano'!$K$2:$K$22),NA())</f>
        <v>#N/A</v>
      </c>
      <c r="P44" s="52" t="e">
        <f>IFERROR(_xlfn.XLOOKUP(H44,'Agências de Rating Soberano'!$J$2:$J$22,'Agências de Rating Soberano'!$K$2:$K$22),NA())</f>
        <v>#N/A</v>
      </c>
      <c r="Q44" s="52" t="e">
        <f>IFERROR(_xlfn.XLOOKUP(I44,'Agências de Rating Soberano'!$J$2:$J$22,'Agências de Rating Soberano'!$K$2:$K$22),NA())</f>
        <v>#N/A</v>
      </c>
      <c r="Z44" s="50">
        <f>Planilha2!J44</f>
        <v>34669</v>
      </c>
      <c r="AA44">
        <f>IFERROR(_xlfn.XLOOKUP(Planilha2!L44,'Agências de Rating Soberano'!$J$2:$J$22,'Agências de Rating Soberano'!$K$2:$K$22),NA())</f>
        <v>8</v>
      </c>
      <c r="AB44" t="str" cm="1">
        <f t="array" ref="AB44">_xlfn.IFS(ISNUMBER(SEARCH("positiva",Planilha2!N44)),"Positiva",ISNUMBER(SEARCH("negativa",Planilha2!N44)),"Negativa",ISNUMBER(SEARCH("estável",Planilha2!N44)),"Estável",TRUE,"n/d")</f>
        <v>n/d</v>
      </c>
      <c r="AC44" t="e">
        <f t="shared" si="1"/>
        <v>#N/A</v>
      </c>
      <c r="AD44" t="e">
        <f t="shared" si="1"/>
        <v>#N/A</v>
      </c>
      <c r="AE44" t="e">
        <f t="shared" si="1"/>
        <v>#N/A</v>
      </c>
    </row>
    <row r="45" spans="1:38" x14ac:dyDescent="0.3">
      <c r="A45" s="53">
        <f t="shared" si="3"/>
        <v>33054</v>
      </c>
      <c r="B45" t="str">
        <f>IFERROR(_xlfn.XLOOKUP($A45,Planilha2!$A$2:$A$34,Planilha2!C$2:C$34,"",-1),"")</f>
        <v>B2</v>
      </c>
      <c r="C45" t="str">
        <f>IFERROR(_xlfn.XLOOKUP($A45,Planilha2!$A$2:$A$34,Planilha2!D$2:D$34,"",-1),"")</f>
        <v>-</v>
      </c>
      <c r="D45" t="str" cm="1">
        <f t="array" ref="D45">IF($A45&lt;MIN(Planilha2!$A$2:$A$34),"",_xlfn.LET(_xlpm.t,_xlfn.XLOOKUP($A45,Planilha2!$A$2:$A$34,Planilha2!$E$2:$E$34,"",-1),_xlfn.IFS(ISNUMBER(SEARCH("positiva",_xlpm.t)),"Positiva",ISNUMBER(SEARCH("negativa",_xlpm.t)),"Negativa",ISNUMBER(SEARCH("estável",_xlpm.t)),"Estável",TRUE,"n/d")))</f>
        <v>Estável</v>
      </c>
      <c r="E45" t="str">
        <f>IFERROR(_xlfn.XLOOKUP($A45,Planilha2!$J$2:$J$44,Planilha2!L$2:L$44,"",-1),"")</f>
        <v/>
      </c>
      <c r="F45" t="str">
        <f>IFERROR(_xlfn.XLOOKUP($A45,Planilha2!$J$2:$J$44,Planilha2!M$2:M$44,"",-1),"")</f>
        <v/>
      </c>
      <c r="G45" t="str" cm="1">
        <f t="array" ref="G45">IF($A45&lt;MIN(Planilha2!$J$2:$J$44),"",_xlfn.LET(_xlpm.t,_xlfn.XLOOKUP($A45,Planilha2!$J$2:$J$44,Planilha2!$N$2:$N$44,"",-1),_xlfn.IFS(ISNUMBER(SEARCH("positiva",_xlpm.t)),"Positiva",ISNUMBER(SEARCH("negativa",_xlpm.t)),"Negativa",ISNUMBER(SEARCH("estável",_xlpm.t)),"Estável",TRUE,"n/d")))</f>
        <v/>
      </c>
      <c r="H45" t="str">
        <f>IFERROR(_xlfn.XLOOKUP($A45,Planilha2!$P$2:$P$38,Planilha2!R$2:R$38,"",-1),"")</f>
        <v/>
      </c>
      <c r="I45" t="str">
        <f>IFERROR(_xlfn.XLOOKUP($A45,Planilha2!$P$2:$P$38,Planilha2!S$2:S$38,"",-1),"")</f>
        <v/>
      </c>
      <c r="J45" t="str" cm="1">
        <f t="array" ref="J45">IF($A45&lt;MIN(Planilha2!$P$2:$P$38),"",_xlfn.LET(_xlpm.t,_xlfn.XLOOKUP($A45,Planilha2!$P$2:$P$38,Planilha2!$T$2:$T$38,"",-1),_xlfn.IFS(ISNUMBER(SEARCH("positiva",_xlpm.t)),"Positiva",ISNUMBER(SEARCH("negativa",_xlpm.t)),"Negativa",ISNUMBER(SEARCH("estável",_xlpm.t)),"Estável",TRUE,"n/d")))</f>
        <v/>
      </c>
      <c r="L45" s="52">
        <f>IFERROR(_xlfn.XLOOKUP(B45,'Agências de Rating Soberano'!$G$2:$G$22,'Agências de Rating Soberano'!$H$2:$H$22),NA())</f>
        <v>7</v>
      </c>
      <c r="M45" s="52" t="e">
        <f>IFERROR(_xlfn.XLOOKUP(C45,'Agências de Rating Soberano'!$G$2:$G$22,'Agências de Rating Soberano'!$H$2:$H$22),NA())</f>
        <v>#N/A</v>
      </c>
      <c r="N45" s="52" t="e">
        <f>IFERROR(_xlfn.XLOOKUP(E45,'Agências de Rating Soberano'!$J$2:$J$22,'Agências de Rating Soberano'!$K$2:$K$22),NA())</f>
        <v>#N/A</v>
      </c>
      <c r="O45" s="52" t="e">
        <f>IFERROR(_xlfn.XLOOKUP(F45,'Agências de Rating Soberano'!$J$2:$J$22,'Agências de Rating Soberano'!$K$2:$K$22),NA())</f>
        <v>#N/A</v>
      </c>
      <c r="P45" s="52" t="e">
        <f>IFERROR(_xlfn.XLOOKUP(H45,'Agências de Rating Soberano'!$J$2:$J$22,'Agências de Rating Soberano'!$K$2:$K$22),NA())</f>
        <v>#N/A</v>
      </c>
      <c r="Q45" s="52" t="e">
        <f>IFERROR(_xlfn.XLOOKUP(I45,'Agências de Rating Soberano'!$J$2:$J$22,'Agências de Rating Soberano'!$K$2:$K$22),NA())</f>
        <v>#N/A</v>
      </c>
    </row>
    <row r="46" spans="1:38" x14ac:dyDescent="0.3">
      <c r="A46" s="53">
        <f t="shared" si="3"/>
        <v>33085</v>
      </c>
      <c r="B46" t="str">
        <f>IFERROR(_xlfn.XLOOKUP($A46,Planilha2!$A$2:$A$34,Planilha2!C$2:C$34,"",-1),"")</f>
        <v>B2</v>
      </c>
      <c r="C46" t="str">
        <f>IFERROR(_xlfn.XLOOKUP($A46,Planilha2!$A$2:$A$34,Planilha2!D$2:D$34,"",-1),"")</f>
        <v>-</v>
      </c>
      <c r="D46" t="str" cm="1">
        <f t="array" ref="D46">IF($A46&lt;MIN(Planilha2!$A$2:$A$34),"",_xlfn.LET(_xlpm.t,_xlfn.XLOOKUP($A46,Planilha2!$A$2:$A$34,Planilha2!$E$2:$E$34,"",-1),_xlfn.IFS(ISNUMBER(SEARCH("positiva",_xlpm.t)),"Positiva",ISNUMBER(SEARCH("negativa",_xlpm.t)),"Negativa",ISNUMBER(SEARCH("estável",_xlpm.t)),"Estável",TRUE,"n/d")))</f>
        <v>Estável</v>
      </c>
      <c r="E46" t="str">
        <f>IFERROR(_xlfn.XLOOKUP($A46,Planilha2!$J$2:$J$44,Planilha2!L$2:L$44,"",-1),"")</f>
        <v/>
      </c>
      <c r="F46" t="str">
        <f>IFERROR(_xlfn.XLOOKUP($A46,Planilha2!$J$2:$J$44,Planilha2!M$2:M$44,"",-1),"")</f>
        <v/>
      </c>
      <c r="G46" t="str" cm="1">
        <f t="array" ref="G46">IF($A46&lt;MIN(Planilha2!$J$2:$J$44),"",_xlfn.LET(_xlpm.t,_xlfn.XLOOKUP($A46,Planilha2!$J$2:$J$44,Planilha2!$N$2:$N$44,"",-1),_xlfn.IFS(ISNUMBER(SEARCH("positiva",_xlpm.t)),"Positiva",ISNUMBER(SEARCH("negativa",_xlpm.t)),"Negativa",ISNUMBER(SEARCH("estável",_xlpm.t)),"Estável",TRUE,"n/d")))</f>
        <v/>
      </c>
      <c r="H46" t="str">
        <f>IFERROR(_xlfn.XLOOKUP($A46,Planilha2!$P$2:$P$38,Planilha2!R$2:R$38,"",-1),"")</f>
        <v/>
      </c>
      <c r="I46" t="str">
        <f>IFERROR(_xlfn.XLOOKUP($A46,Planilha2!$P$2:$P$38,Planilha2!S$2:S$38,"",-1),"")</f>
        <v/>
      </c>
      <c r="J46" t="str" cm="1">
        <f t="array" ref="J46">IF($A46&lt;MIN(Planilha2!$P$2:$P$38),"",_xlfn.LET(_xlpm.t,_xlfn.XLOOKUP($A46,Planilha2!$P$2:$P$38,Planilha2!$T$2:$T$38,"",-1),_xlfn.IFS(ISNUMBER(SEARCH("positiva",_xlpm.t)),"Positiva",ISNUMBER(SEARCH("negativa",_xlpm.t)),"Negativa",ISNUMBER(SEARCH("estável",_xlpm.t)),"Estável",TRUE,"n/d")))</f>
        <v/>
      </c>
      <c r="L46" s="52">
        <f>IFERROR(_xlfn.XLOOKUP(B46,'Agências de Rating Soberano'!$G$2:$G$22,'Agências de Rating Soberano'!$H$2:$H$22),NA())</f>
        <v>7</v>
      </c>
      <c r="M46" s="52" t="e">
        <f>IFERROR(_xlfn.XLOOKUP(C46,'Agências de Rating Soberano'!$G$2:$G$22,'Agências de Rating Soberano'!$H$2:$H$22),NA())</f>
        <v>#N/A</v>
      </c>
      <c r="N46" s="52" t="e">
        <f>IFERROR(_xlfn.XLOOKUP(E46,'Agências de Rating Soberano'!$J$2:$J$22,'Agências de Rating Soberano'!$K$2:$K$22),NA())</f>
        <v>#N/A</v>
      </c>
      <c r="O46" s="52" t="e">
        <f>IFERROR(_xlfn.XLOOKUP(F46,'Agências de Rating Soberano'!$J$2:$J$22,'Agências de Rating Soberano'!$K$2:$K$22),NA())</f>
        <v>#N/A</v>
      </c>
      <c r="P46" s="52" t="e">
        <f>IFERROR(_xlfn.XLOOKUP(H46,'Agências de Rating Soberano'!$J$2:$J$22,'Agências de Rating Soberano'!$K$2:$K$22),NA())</f>
        <v>#N/A</v>
      </c>
      <c r="Q46" s="52" t="e">
        <f>IFERROR(_xlfn.XLOOKUP(I46,'Agências de Rating Soberano'!$J$2:$J$22,'Agências de Rating Soberano'!$K$2:$K$22),NA())</f>
        <v>#N/A</v>
      </c>
    </row>
    <row r="47" spans="1:38" x14ac:dyDescent="0.3">
      <c r="A47" s="53">
        <f t="shared" si="3"/>
        <v>33116</v>
      </c>
      <c r="B47" t="str">
        <f>IFERROR(_xlfn.XLOOKUP($A47,Planilha2!$A$2:$A$34,Planilha2!C$2:C$34,"",-1),"")</f>
        <v>B2</v>
      </c>
      <c r="C47" t="str">
        <f>IFERROR(_xlfn.XLOOKUP($A47,Planilha2!$A$2:$A$34,Planilha2!D$2:D$34,"",-1),"")</f>
        <v>-</v>
      </c>
      <c r="D47" t="str" cm="1">
        <f t="array" ref="D47">IF($A47&lt;MIN(Planilha2!$A$2:$A$34),"",_xlfn.LET(_xlpm.t,_xlfn.XLOOKUP($A47,Planilha2!$A$2:$A$34,Planilha2!$E$2:$E$34,"",-1),_xlfn.IFS(ISNUMBER(SEARCH("positiva",_xlpm.t)),"Positiva",ISNUMBER(SEARCH("negativa",_xlpm.t)),"Negativa",ISNUMBER(SEARCH("estável",_xlpm.t)),"Estável",TRUE,"n/d")))</f>
        <v>Estável</v>
      </c>
      <c r="E47" t="str">
        <f>IFERROR(_xlfn.XLOOKUP($A47,Planilha2!$J$2:$J$44,Planilha2!L$2:L$44,"",-1),"")</f>
        <v/>
      </c>
      <c r="F47" t="str">
        <f>IFERROR(_xlfn.XLOOKUP($A47,Planilha2!$J$2:$J$44,Planilha2!M$2:M$44,"",-1),"")</f>
        <v/>
      </c>
      <c r="G47" t="str" cm="1">
        <f t="array" ref="G47">IF($A47&lt;MIN(Planilha2!$J$2:$J$44),"",_xlfn.LET(_xlpm.t,_xlfn.XLOOKUP($A47,Planilha2!$J$2:$J$44,Planilha2!$N$2:$N$44,"",-1),_xlfn.IFS(ISNUMBER(SEARCH("positiva",_xlpm.t)),"Positiva",ISNUMBER(SEARCH("negativa",_xlpm.t)),"Negativa",ISNUMBER(SEARCH("estável",_xlpm.t)),"Estável",TRUE,"n/d")))</f>
        <v/>
      </c>
      <c r="H47" t="str">
        <f>IFERROR(_xlfn.XLOOKUP($A47,Planilha2!$P$2:$P$38,Planilha2!R$2:R$38,"",-1),"")</f>
        <v/>
      </c>
      <c r="I47" t="str">
        <f>IFERROR(_xlfn.XLOOKUP($A47,Planilha2!$P$2:$P$38,Planilha2!S$2:S$38,"",-1),"")</f>
        <v/>
      </c>
      <c r="J47" t="str" cm="1">
        <f t="array" ref="J47">IF($A47&lt;MIN(Planilha2!$P$2:$P$38),"",_xlfn.LET(_xlpm.t,_xlfn.XLOOKUP($A47,Planilha2!$P$2:$P$38,Planilha2!$T$2:$T$38,"",-1),_xlfn.IFS(ISNUMBER(SEARCH("positiva",_xlpm.t)),"Positiva",ISNUMBER(SEARCH("negativa",_xlpm.t)),"Negativa",ISNUMBER(SEARCH("estável",_xlpm.t)),"Estável",TRUE,"n/d")))</f>
        <v/>
      </c>
      <c r="L47" s="52">
        <f>IFERROR(_xlfn.XLOOKUP(B47,'Agências de Rating Soberano'!$G$2:$G$22,'Agências de Rating Soberano'!$H$2:$H$22),NA())</f>
        <v>7</v>
      </c>
      <c r="M47" s="52" t="e">
        <f>IFERROR(_xlfn.XLOOKUP(C47,'Agências de Rating Soberano'!$G$2:$G$22,'Agências de Rating Soberano'!$H$2:$H$22),NA())</f>
        <v>#N/A</v>
      </c>
      <c r="N47" s="52" t="e">
        <f>IFERROR(_xlfn.XLOOKUP(E47,'Agências de Rating Soberano'!$J$2:$J$22,'Agências de Rating Soberano'!$K$2:$K$22),NA())</f>
        <v>#N/A</v>
      </c>
      <c r="O47" s="52" t="e">
        <f>IFERROR(_xlfn.XLOOKUP(F47,'Agências de Rating Soberano'!$J$2:$J$22,'Agências de Rating Soberano'!$K$2:$K$22),NA())</f>
        <v>#N/A</v>
      </c>
      <c r="P47" s="52" t="e">
        <f>IFERROR(_xlfn.XLOOKUP(H47,'Agências de Rating Soberano'!$J$2:$J$22,'Agências de Rating Soberano'!$K$2:$K$22),NA())</f>
        <v>#N/A</v>
      </c>
      <c r="Q47" s="52" t="e">
        <f>IFERROR(_xlfn.XLOOKUP(I47,'Agências de Rating Soberano'!$J$2:$J$22,'Agências de Rating Soberano'!$K$2:$K$22),NA())</f>
        <v>#N/A</v>
      </c>
    </row>
    <row r="48" spans="1:38" x14ac:dyDescent="0.3">
      <c r="A48" s="53">
        <f t="shared" si="3"/>
        <v>33146</v>
      </c>
      <c r="B48" t="str">
        <f>IFERROR(_xlfn.XLOOKUP($A48,Planilha2!$A$2:$A$34,Planilha2!C$2:C$34,"",-1),"")</f>
        <v>B2</v>
      </c>
      <c r="C48" t="str">
        <f>IFERROR(_xlfn.XLOOKUP($A48,Planilha2!$A$2:$A$34,Planilha2!D$2:D$34,"",-1),"")</f>
        <v>-</v>
      </c>
      <c r="D48" t="str" cm="1">
        <f t="array" ref="D48">IF($A48&lt;MIN(Planilha2!$A$2:$A$34),"",_xlfn.LET(_xlpm.t,_xlfn.XLOOKUP($A48,Planilha2!$A$2:$A$34,Planilha2!$E$2:$E$34,"",-1),_xlfn.IFS(ISNUMBER(SEARCH("positiva",_xlpm.t)),"Positiva",ISNUMBER(SEARCH("negativa",_xlpm.t)),"Negativa",ISNUMBER(SEARCH("estável",_xlpm.t)),"Estável",TRUE,"n/d")))</f>
        <v>Estável</v>
      </c>
      <c r="E48" t="str">
        <f>IFERROR(_xlfn.XLOOKUP($A48,Planilha2!$J$2:$J$44,Planilha2!L$2:L$44,"",-1),"")</f>
        <v/>
      </c>
      <c r="F48" t="str">
        <f>IFERROR(_xlfn.XLOOKUP($A48,Planilha2!$J$2:$J$44,Planilha2!M$2:M$44,"",-1),"")</f>
        <v/>
      </c>
      <c r="G48" t="str" cm="1">
        <f t="array" ref="G48">IF($A48&lt;MIN(Planilha2!$J$2:$J$44),"",_xlfn.LET(_xlpm.t,_xlfn.XLOOKUP($A48,Planilha2!$J$2:$J$44,Planilha2!$N$2:$N$44,"",-1),_xlfn.IFS(ISNUMBER(SEARCH("positiva",_xlpm.t)),"Positiva",ISNUMBER(SEARCH("negativa",_xlpm.t)),"Negativa",ISNUMBER(SEARCH("estável",_xlpm.t)),"Estável",TRUE,"n/d")))</f>
        <v/>
      </c>
      <c r="H48" t="str">
        <f>IFERROR(_xlfn.XLOOKUP($A48,Planilha2!$P$2:$P$38,Planilha2!R$2:R$38,"",-1),"")</f>
        <v/>
      </c>
      <c r="I48" t="str">
        <f>IFERROR(_xlfn.XLOOKUP($A48,Planilha2!$P$2:$P$38,Planilha2!S$2:S$38,"",-1),"")</f>
        <v/>
      </c>
      <c r="J48" t="str" cm="1">
        <f t="array" ref="J48">IF($A48&lt;MIN(Planilha2!$P$2:$P$38),"",_xlfn.LET(_xlpm.t,_xlfn.XLOOKUP($A48,Planilha2!$P$2:$P$38,Planilha2!$T$2:$T$38,"",-1),_xlfn.IFS(ISNUMBER(SEARCH("positiva",_xlpm.t)),"Positiva",ISNUMBER(SEARCH("negativa",_xlpm.t)),"Negativa",ISNUMBER(SEARCH("estável",_xlpm.t)),"Estável",TRUE,"n/d")))</f>
        <v/>
      </c>
      <c r="L48" s="52">
        <f>IFERROR(_xlfn.XLOOKUP(B48,'Agências de Rating Soberano'!$G$2:$G$22,'Agências de Rating Soberano'!$H$2:$H$22),NA())</f>
        <v>7</v>
      </c>
      <c r="M48" s="52" t="e">
        <f>IFERROR(_xlfn.XLOOKUP(C48,'Agências de Rating Soberano'!$G$2:$G$22,'Agências de Rating Soberano'!$H$2:$H$22),NA())</f>
        <v>#N/A</v>
      </c>
      <c r="N48" s="52" t="e">
        <f>IFERROR(_xlfn.XLOOKUP(E48,'Agências de Rating Soberano'!$J$2:$J$22,'Agências de Rating Soberano'!$K$2:$K$22),NA())</f>
        <v>#N/A</v>
      </c>
      <c r="O48" s="52" t="e">
        <f>IFERROR(_xlfn.XLOOKUP(F48,'Agências de Rating Soberano'!$J$2:$J$22,'Agências de Rating Soberano'!$K$2:$K$22),NA())</f>
        <v>#N/A</v>
      </c>
      <c r="P48" s="52" t="e">
        <f>IFERROR(_xlfn.XLOOKUP(H48,'Agências de Rating Soberano'!$J$2:$J$22,'Agências de Rating Soberano'!$K$2:$K$22),NA())</f>
        <v>#N/A</v>
      </c>
      <c r="Q48" s="52" t="e">
        <f>IFERROR(_xlfn.XLOOKUP(I48,'Agências de Rating Soberano'!$J$2:$J$22,'Agências de Rating Soberano'!$K$2:$K$22),NA())</f>
        <v>#N/A</v>
      </c>
    </row>
    <row r="49" spans="1:17" x14ac:dyDescent="0.3">
      <c r="A49" s="53">
        <f t="shared" si="3"/>
        <v>33177</v>
      </c>
      <c r="B49" t="str">
        <f>IFERROR(_xlfn.XLOOKUP($A49,Planilha2!$A$2:$A$34,Planilha2!C$2:C$34,"",-1),"")</f>
        <v>B2</v>
      </c>
      <c r="C49" t="str">
        <f>IFERROR(_xlfn.XLOOKUP($A49,Planilha2!$A$2:$A$34,Planilha2!D$2:D$34,"",-1),"")</f>
        <v>-</v>
      </c>
      <c r="D49" t="str" cm="1">
        <f t="array" ref="D49">IF($A49&lt;MIN(Planilha2!$A$2:$A$34),"",_xlfn.LET(_xlpm.t,_xlfn.XLOOKUP($A49,Planilha2!$A$2:$A$34,Planilha2!$E$2:$E$34,"",-1),_xlfn.IFS(ISNUMBER(SEARCH("positiva",_xlpm.t)),"Positiva",ISNUMBER(SEARCH("negativa",_xlpm.t)),"Negativa",ISNUMBER(SEARCH("estável",_xlpm.t)),"Estável",TRUE,"n/d")))</f>
        <v>Estável</v>
      </c>
      <c r="E49" t="str">
        <f>IFERROR(_xlfn.XLOOKUP($A49,Planilha2!$J$2:$J$44,Planilha2!L$2:L$44,"",-1),"")</f>
        <v/>
      </c>
      <c r="F49" t="str">
        <f>IFERROR(_xlfn.XLOOKUP($A49,Planilha2!$J$2:$J$44,Planilha2!M$2:M$44,"",-1),"")</f>
        <v/>
      </c>
      <c r="G49" t="str" cm="1">
        <f t="array" ref="G49">IF($A49&lt;MIN(Planilha2!$J$2:$J$44),"",_xlfn.LET(_xlpm.t,_xlfn.XLOOKUP($A49,Planilha2!$J$2:$J$44,Planilha2!$N$2:$N$44,"",-1),_xlfn.IFS(ISNUMBER(SEARCH("positiva",_xlpm.t)),"Positiva",ISNUMBER(SEARCH("negativa",_xlpm.t)),"Negativa",ISNUMBER(SEARCH("estável",_xlpm.t)),"Estável",TRUE,"n/d")))</f>
        <v/>
      </c>
      <c r="H49" t="str">
        <f>IFERROR(_xlfn.XLOOKUP($A49,Planilha2!$P$2:$P$38,Planilha2!R$2:R$38,"",-1),"")</f>
        <v/>
      </c>
      <c r="I49" t="str">
        <f>IFERROR(_xlfn.XLOOKUP($A49,Planilha2!$P$2:$P$38,Planilha2!S$2:S$38,"",-1),"")</f>
        <v/>
      </c>
      <c r="J49" t="str" cm="1">
        <f t="array" ref="J49">IF($A49&lt;MIN(Planilha2!$P$2:$P$38),"",_xlfn.LET(_xlpm.t,_xlfn.XLOOKUP($A49,Planilha2!$P$2:$P$38,Planilha2!$T$2:$T$38,"",-1),_xlfn.IFS(ISNUMBER(SEARCH("positiva",_xlpm.t)),"Positiva",ISNUMBER(SEARCH("negativa",_xlpm.t)),"Negativa",ISNUMBER(SEARCH("estável",_xlpm.t)),"Estável",TRUE,"n/d")))</f>
        <v/>
      </c>
      <c r="L49" s="52">
        <f>IFERROR(_xlfn.XLOOKUP(B49,'Agências de Rating Soberano'!$G$2:$G$22,'Agências de Rating Soberano'!$H$2:$H$22),NA())</f>
        <v>7</v>
      </c>
      <c r="M49" s="52" t="e">
        <f>IFERROR(_xlfn.XLOOKUP(C49,'Agências de Rating Soberano'!$G$2:$G$22,'Agências de Rating Soberano'!$H$2:$H$22),NA())</f>
        <v>#N/A</v>
      </c>
      <c r="N49" s="52" t="e">
        <f>IFERROR(_xlfn.XLOOKUP(E49,'Agências de Rating Soberano'!$J$2:$J$22,'Agências de Rating Soberano'!$K$2:$K$22),NA())</f>
        <v>#N/A</v>
      </c>
      <c r="O49" s="52" t="e">
        <f>IFERROR(_xlfn.XLOOKUP(F49,'Agências de Rating Soberano'!$J$2:$J$22,'Agências de Rating Soberano'!$K$2:$K$22),NA())</f>
        <v>#N/A</v>
      </c>
      <c r="P49" s="52" t="e">
        <f>IFERROR(_xlfn.XLOOKUP(H49,'Agências de Rating Soberano'!$J$2:$J$22,'Agências de Rating Soberano'!$K$2:$K$22),NA())</f>
        <v>#N/A</v>
      </c>
      <c r="Q49" s="52" t="e">
        <f>IFERROR(_xlfn.XLOOKUP(I49,'Agências de Rating Soberano'!$J$2:$J$22,'Agências de Rating Soberano'!$K$2:$K$22),NA())</f>
        <v>#N/A</v>
      </c>
    </row>
    <row r="50" spans="1:17" x14ac:dyDescent="0.3">
      <c r="A50" s="53">
        <f t="shared" si="3"/>
        <v>33207</v>
      </c>
      <c r="B50" t="str">
        <f>IFERROR(_xlfn.XLOOKUP($A50,Planilha2!$A$2:$A$34,Planilha2!C$2:C$34,"",-1),"")</f>
        <v>B2</v>
      </c>
      <c r="C50" t="str">
        <f>IFERROR(_xlfn.XLOOKUP($A50,Planilha2!$A$2:$A$34,Planilha2!D$2:D$34,"",-1),"")</f>
        <v>-</v>
      </c>
      <c r="D50" t="str" cm="1">
        <f t="array" ref="D50">IF($A50&lt;MIN(Planilha2!$A$2:$A$34),"",_xlfn.LET(_xlpm.t,_xlfn.XLOOKUP($A50,Planilha2!$A$2:$A$34,Planilha2!$E$2:$E$34,"",-1),_xlfn.IFS(ISNUMBER(SEARCH("positiva",_xlpm.t)),"Positiva",ISNUMBER(SEARCH("negativa",_xlpm.t)),"Negativa",ISNUMBER(SEARCH("estável",_xlpm.t)),"Estável",TRUE,"n/d")))</f>
        <v>Estável</v>
      </c>
      <c r="E50" t="str">
        <f>IFERROR(_xlfn.XLOOKUP($A50,Planilha2!$J$2:$J$44,Planilha2!L$2:L$44,"",-1),"")</f>
        <v/>
      </c>
      <c r="F50" t="str">
        <f>IFERROR(_xlfn.XLOOKUP($A50,Planilha2!$J$2:$J$44,Planilha2!M$2:M$44,"",-1),"")</f>
        <v/>
      </c>
      <c r="G50" t="str" cm="1">
        <f t="array" ref="G50">IF($A50&lt;MIN(Planilha2!$J$2:$J$44),"",_xlfn.LET(_xlpm.t,_xlfn.XLOOKUP($A50,Planilha2!$J$2:$J$44,Planilha2!$N$2:$N$44,"",-1),_xlfn.IFS(ISNUMBER(SEARCH("positiva",_xlpm.t)),"Positiva",ISNUMBER(SEARCH("negativa",_xlpm.t)),"Negativa",ISNUMBER(SEARCH("estável",_xlpm.t)),"Estável",TRUE,"n/d")))</f>
        <v/>
      </c>
      <c r="H50" t="str">
        <f>IFERROR(_xlfn.XLOOKUP($A50,Planilha2!$P$2:$P$38,Planilha2!R$2:R$38,"",-1),"")</f>
        <v/>
      </c>
      <c r="I50" t="str">
        <f>IFERROR(_xlfn.XLOOKUP($A50,Planilha2!$P$2:$P$38,Planilha2!S$2:S$38,"",-1),"")</f>
        <v/>
      </c>
      <c r="J50" t="str" cm="1">
        <f t="array" ref="J50">IF($A50&lt;MIN(Planilha2!$P$2:$P$38),"",_xlfn.LET(_xlpm.t,_xlfn.XLOOKUP($A50,Planilha2!$P$2:$P$38,Planilha2!$T$2:$T$38,"",-1),_xlfn.IFS(ISNUMBER(SEARCH("positiva",_xlpm.t)),"Positiva",ISNUMBER(SEARCH("negativa",_xlpm.t)),"Negativa",ISNUMBER(SEARCH("estável",_xlpm.t)),"Estável",TRUE,"n/d")))</f>
        <v/>
      </c>
      <c r="L50" s="52">
        <f>IFERROR(_xlfn.XLOOKUP(B50,'Agências de Rating Soberano'!$G$2:$G$22,'Agências de Rating Soberano'!$H$2:$H$22),NA())</f>
        <v>7</v>
      </c>
      <c r="M50" s="52" t="e">
        <f>IFERROR(_xlfn.XLOOKUP(C50,'Agências de Rating Soberano'!$G$2:$G$22,'Agências de Rating Soberano'!$H$2:$H$22),NA())</f>
        <v>#N/A</v>
      </c>
      <c r="N50" s="52" t="e">
        <f>IFERROR(_xlfn.XLOOKUP(E50,'Agências de Rating Soberano'!$J$2:$J$22,'Agências de Rating Soberano'!$K$2:$K$22),NA())</f>
        <v>#N/A</v>
      </c>
      <c r="O50" s="52" t="e">
        <f>IFERROR(_xlfn.XLOOKUP(F50,'Agências de Rating Soberano'!$J$2:$J$22,'Agências de Rating Soberano'!$K$2:$K$22),NA())</f>
        <v>#N/A</v>
      </c>
      <c r="P50" s="52" t="e">
        <f>IFERROR(_xlfn.XLOOKUP(H50,'Agências de Rating Soberano'!$J$2:$J$22,'Agências de Rating Soberano'!$K$2:$K$22),NA())</f>
        <v>#N/A</v>
      </c>
      <c r="Q50" s="52" t="e">
        <f>IFERROR(_xlfn.XLOOKUP(I50,'Agências de Rating Soberano'!$J$2:$J$22,'Agências de Rating Soberano'!$K$2:$K$22),NA())</f>
        <v>#N/A</v>
      </c>
    </row>
    <row r="51" spans="1:17" x14ac:dyDescent="0.3">
      <c r="A51" s="53">
        <f t="shared" si="3"/>
        <v>33238</v>
      </c>
      <c r="B51" t="str">
        <f>IFERROR(_xlfn.XLOOKUP($A51,Planilha2!$A$2:$A$34,Planilha2!C$2:C$34,"",-1),"")</f>
        <v>B2</v>
      </c>
      <c r="C51" t="str">
        <f>IFERROR(_xlfn.XLOOKUP($A51,Planilha2!$A$2:$A$34,Planilha2!D$2:D$34,"",-1),"")</f>
        <v>-</v>
      </c>
      <c r="D51" t="str" cm="1">
        <f t="array" ref="D51">IF($A51&lt;MIN(Planilha2!$A$2:$A$34),"",_xlfn.LET(_xlpm.t,_xlfn.XLOOKUP($A51,Planilha2!$A$2:$A$34,Planilha2!$E$2:$E$34,"",-1),_xlfn.IFS(ISNUMBER(SEARCH("positiva",_xlpm.t)),"Positiva",ISNUMBER(SEARCH("negativa",_xlpm.t)),"Negativa",ISNUMBER(SEARCH("estável",_xlpm.t)),"Estável",TRUE,"n/d")))</f>
        <v>Estável</v>
      </c>
      <c r="E51" t="str">
        <f>IFERROR(_xlfn.XLOOKUP($A51,Planilha2!$J$2:$J$44,Planilha2!L$2:L$44,"",-1),"")</f>
        <v/>
      </c>
      <c r="F51" t="str">
        <f>IFERROR(_xlfn.XLOOKUP($A51,Planilha2!$J$2:$J$44,Planilha2!M$2:M$44,"",-1),"")</f>
        <v/>
      </c>
      <c r="G51" t="str" cm="1">
        <f t="array" ref="G51">IF($A51&lt;MIN(Planilha2!$J$2:$J$44),"",_xlfn.LET(_xlpm.t,_xlfn.XLOOKUP($A51,Planilha2!$J$2:$J$44,Planilha2!$N$2:$N$44,"",-1),_xlfn.IFS(ISNUMBER(SEARCH("positiva",_xlpm.t)),"Positiva",ISNUMBER(SEARCH("negativa",_xlpm.t)),"Negativa",ISNUMBER(SEARCH("estável",_xlpm.t)),"Estável",TRUE,"n/d")))</f>
        <v/>
      </c>
      <c r="H51" t="str">
        <f>IFERROR(_xlfn.XLOOKUP($A51,Planilha2!$P$2:$P$38,Planilha2!R$2:R$38,"",-1),"")</f>
        <v/>
      </c>
      <c r="I51" t="str">
        <f>IFERROR(_xlfn.XLOOKUP($A51,Planilha2!$P$2:$P$38,Planilha2!S$2:S$38,"",-1),"")</f>
        <v/>
      </c>
      <c r="J51" t="str" cm="1">
        <f t="array" ref="J51">IF($A51&lt;MIN(Planilha2!$P$2:$P$38),"",_xlfn.LET(_xlpm.t,_xlfn.XLOOKUP($A51,Planilha2!$P$2:$P$38,Planilha2!$T$2:$T$38,"",-1),_xlfn.IFS(ISNUMBER(SEARCH("positiva",_xlpm.t)),"Positiva",ISNUMBER(SEARCH("negativa",_xlpm.t)),"Negativa",ISNUMBER(SEARCH("estável",_xlpm.t)),"Estável",TRUE,"n/d")))</f>
        <v/>
      </c>
      <c r="L51" s="52">
        <f>IFERROR(_xlfn.XLOOKUP(B51,'Agências de Rating Soberano'!$G$2:$G$22,'Agências de Rating Soberano'!$H$2:$H$22),NA())</f>
        <v>7</v>
      </c>
      <c r="M51" s="52" t="e">
        <f>IFERROR(_xlfn.XLOOKUP(C51,'Agências de Rating Soberano'!$G$2:$G$22,'Agências de Rating Soberano'!$H$2:$H$22),NA())</f>
        <v>#N/A</v>
      </c>
      <c r="N51" s="52" t="e">
        <f>IFERROR(_xlfn.XLOOKUP(E51,'Agências de Rating Soberano'!$J$2:$J$22,'Agências de Rating Soberano'!$K$2:$K$22),NA())</f>
        <v>#N/A</v>
      </c>
      <c r="O51" s="52" t="e">
        <f>IFERROR(_xlfn.XLOOKUP(F51,'Agências de Rating Soberano'!$J$2:$J$22,'Agências de Rating Soberano'!$K$2:$K$22),NA())</f>
        <v>#N/A</v>
      </c>
      <c r="P51" s="52" t="e">
        <f>IFERROR(_xlfn.XLOOKUP(H51,'Agências de Rating Soberano'!$J$2:$J$22,'Agências de Rating Soberano'!$K$2:$K$22),NA())</f>
        <v>#N/A</v>
      </c>
      <c r="Q51" s="52" t="e">
        <f>IFERROR(_xlfn.XLOOKUP(I51,'Agências de Rating Soberano'!$J$2:$J$22,'Agências de Rating Soberano'!$K$2:$K$22),NA())</f>
        <v>#N/A</v>
      </c>
    </row>
    <row r="52" spans="1:17" x14ac:dyDescent="0.3">
      <c r="A52" s="53">
        <f t="shared" si="3"/>
        <v>33269</v>
      </c>
      <c r="B52" t="str">
        <f>IFERROR(_xlfn.XLOOKUP($A52,Planilha2!$A$2:$A$34,Planilha2!C$2:C$34,"",-1),"")</f>
        <v>B2</v>
      </c>
      <c r="C52" t="str">
        <f>IFERROR(_xlfn.XLOOKUP($A52,Planilha2!$A$2:$A$34,Planilha2!D$2:D$34,"",-1),"")</f>
        <v>-</v>
      </c>
      <c r="D52" t="str" cm="1">
        <f t="array" ref="D52">IF($A52&lt;MIN(Planilha2!$A$2:$A$34),"",_xlfn.LET(_xlpm.t,_xlfn.XLOOKUP($A52,Planilha2!$A$2:$A$34,Planilha2!$E$2:$E$34,"",-1),_xlfn.IFS(ISNUMBER(SEARCH("positiva",_xlpm.t)),"Positiva",ISNUMBER(SEARCH("negativa",_xlpm.t)),"Negativa",ISNUMBER(SEARCH("estável",_xlpm.t)),"Estável",TRUE,"n/d")))</f>
        <v>Estável</v>
      </c>
      <c r="E52" t="str">
        <f>IFERROR(_xlfn.XLOOKUP($A52,Planilha2!$J$2:$J$44,Planilha2!L$2:L$44,"",-1),"")</f>
        <v/>
      </c>
      <c r="F52" t="str">
        <f>IFERROR(_xlfn.XLOOKUP($A52,Planilha2!$J$2:$J$44,Planilha2!M$2:M$44,"",-1),"")</f>
        <v/>
      </c>
      <c r="G52" t="str" cm="1">
        <f t="array" ref="G52">IF($A52&lt;MIN(Planilha2!$J$2:$J$44),"",_xlfn.LET(_xlpm.t,_xlfn.XLOOKUP($A52,Planilha2!$J$2:$J$44,Planilha2!$N$2:$N$44,"",-1),_xlfn.IFS(ISNUMBER(SEARCH("positiva",_xlpm.t)),"Positiva",ISNUMBER(SEARCH("negativa",_xlpm.t)),"Negativa",ISNUMBER(SEARCH("estável",_xlpm.t)),"Estável",TRUE,"n/d")))</f>
        <v/>
      </c>
      <c r="H52" t="str">
        <f>IFERROR(_xlfn.XLOOKUP($A52,Planilha2!$P$2:$P$38,Planilha2!R$2:R$38,"",-1),"")</f>
        <v/>
      </c>
      <c r="I52" t="str">
        <f>IFERROR(_xlfn.XLOOKUP($A52,Planilha2!$P$2:$P$38,Planilha2!S$2:S$38,"",-1),"")</f>
        <v/>
      </c>
      <c r="J52" t="str" cm="1">
        <f t="array" ref="J52">IF($A52&lt;MIN(Planilha2!$P$2:$P$38),"",_xlfn.LET(_xlpm.t,_xlfn.XLOOKUP($A52,Planilha2!$P$2:$P$38,Planilha2!$T$2:$T$38,"",-1),_xlfn.IFS(ISNUMBER(SEARCH("positiva",_xlpm.t)),"Positiva",ISNUMBER(SEARCH("negativa",_xlpm.t)),"Negativa",ISNUMBER(SEARCH("estável",_xlpm.t)),"Estável",TRUE,"n/d")))</f>
        <v/>
      </c>
      <c r="L52" s="52">
        <f>IFERROR(_xlfn.XLOOKUP(B52,'Agências de Rating Soberano'!$G$2:$G$22,'Agências de Rating Soberano'!$H$2:$H$22),NA())</f>
        <v>7</v>
      </c>
      <c r="M52" s="52" t="e">
        <f>IFERROR(_xlfn.XLOOKUP(C52,'Agências de Rating Soberano'!$G$2:$G$22,'Agências de Rating Soberano'!$H$2:$H$22),NA())</f>
        <v>#N/A</v>
      </c>
      <c r="N52" s="52" t="e">
        <f>IFERROR(_xlfn.XLOOKUP(E52,'Agências de Rating Soberano'!$J$2:$J$22,'Agências de Rating Soberano'!$K$2:$K$22),NA())</f>
        <v>#N/A</v>
      </c>
      <c r="O52" s="52" t="e">
        <f>IFERROR(_xlfn.XLOOKUP(F52,'Agências de Rating Soberano'!$J$2:$J$22,'Agências de Rating Soberano'!$K$2:$K$22),NA())</f>
        <v>#N/A</v>
      </c>
      <c r="P52" s="52" t="e">
        <f>IFERROR(_xlfn.XLOOKUP(H52,'Agências de Rating Soberano'!$J$2:$J$22,'Agências de Rating Soberano'!$K$2:$K$22),NA())</f>
        <v>#N/A</v>
      </c>
      <c r="Q52" s="52" t="e">
        <f>IFERROR(_xlfn.XLOOKUP(I52,'Agências de Rating Soberano'!$J$2:$J$22,'Agências de Rating Soberano'!$K$2:$K$22),NA())</f>
        <v>#N/A</v>
      </c>
    </row>
    <row r="53" spans="1:17" x14ac:dyDescent="0.3">
      <c r="A53" s="53">
        <f t="shared" si="3"/>
        <v>33297</v>
      </c>
      <c r="B53" t="str">
        <f>IFERROR(_xlfn.XLOOKUP($A53,Planilha2!$A$2:$A$34,Planilha2!C$2:C$34,"",-1),"")</f>
        <v>B2</v>
      </c>
      <c r="C53" t="str">
        <f>IFERROR(_xlfn.XLOOKUP($A53,Planilha2!$A$2:$A$34,Planilha2!D$2:D$34,"",-1),"")</f>
        <v>-</v>
      </c>
      <c r="D53" t="str" cm="1">
        <f t="array" ref="D53">IF($A53&lt;MIN(Planilha2!$A$2:$A$34),"",_xlfn.LET(_xlpm.t,_xlfn.XLOOKUP($A53,Planilha2!$A$2:$A$34,Planilha2!$E$2:$E$34,"",-1),_xlfn.IFS(ISNUMBER(SEARCH("positiva",_xlpm.t)),"Positiva",ISNUMBER(SEARCH("negativa",_xlpm.t)),"Negativa",ISNUMBER(SEARCH("estável",_xlpm.t)),"Estável",TRUE,"n/d")))</f>
        <v>Estável</v>
      </c>
      <c r="E53" t="str">
        <f>IFERROR(_xlfn.XLOOKUP($A53,Planilha2!$J$2:$J$44,Planilha2!L$2:L$44,"",-1),"")</f>
        <v/>
      </c>
      <c r="F53" t="str">
        <f>IFERROR(_xlfn.XLOOKUP($A53,Planilha2!$J$2:$J$44,Planilha2!M$2:M$44,"",-1),"")</f>
        <v/>
      </c>
      <c r="G53" t="str" cm="1">
        <f t="array" ref="G53">IF($A53&lt;MIN(Planilha2!$J$2:$J$44),"",_xlfn.LET(_xlpm.t,_xlfn.XLOOKUP($A53,Planilha2!$J$2:$J$44,Planilha2!$N$2:$N$44,"",-1),_xlfn.IFS(ISNUMBER(SEARCH("positiva",_xlpm.t)),"Positiva",ISNUMBER(SEARCH("negativa",_xlpm.t)),"Negativa",ISNUMBER(SEARCH("estável",_xlpm.t)),"Estável",TRUE,"n/d")))</f>
        <v/>
      </c>
      <c r="H53" t="str">
        <f>IFERROR(_xlfn.XLOOKUP($A53,Planilha2!$P$2:$P$38,Planilha2!R$2:R$38,"",-1),"")</f>
        <v/>
      </c>
      <c r="I53" t="str">
        <f>IFERROR(_xlfn.XLOOKUP($A53,Planilha2!$P$2:$P$38,Planilha2!S$2:S$38,"",-1),"")</f>
        <v/>
      </c>
      <c r="J53" t="str" cm="1">
        <f t="array" ref="J53">IF($A53&lt;MIN(Planilha2!$P$2:$P$38),"",_xlfn.LET(_xlpm.t,_xlfn.XLOOKUP($A53,Planilha2!$P$2:$P$38,Planilha2!$T$2:$T$38,"",-1),_xlfn.IFS(ISNUMBER(SEARCH("positiva",_xlpm.t)),"Positiva",ISNUMBER(SEARCH("negativa",_xlpm.t)),"Negativa",ISNUMBER(SEARCH("estável",_xlpm.t)),"Estável",TRUE,"n/d")))</f>
        <v/>
      </c>
      <c r="L53" s="52">
        <f>IFERROR(_xlfn.XLOOKUP(B53,'Agências de Rating Soberano'!$G$2:$G$22,'Agências de Rating Soberano'!$H$2:$H$22),NA())</f>
        <v>7</v>
      </c>
      <c r="M53" s="52" t="e">
        <f>IFERROR(_xlfn.XLOOKUP(C53,'Agências de Rating Soberano'!$G$2:$G$22,'Agências de Rating Soberano'!$H$2:$H$22),NA())</f>
        <v>#N/A</v>
      </c>
      <c r="N53" s="52" t="e">
        <f>IFERROR(_xlfn.XLOOKUP(E53,'Agências de Rating Soberano'!$J$2:$J$22,'Agências de Rating Soberano'!$K$2:$K$22),NA())</f>
        <v>#N/A</v>
      </c>
      <c r="O53" s="52" t="e">
        <f>IFERROR(_xlfn.XLOOKUP(F53,'Agências de Rating Soberano'!$J$2:$J$22,'Agências de Rating Soberano'!$K$2:$K$22),NA())</f>
        <v>#N/A</v>
      </c>
      <c r="P53" s="52" t="e">
        <f>IFERROR(_xlfn.XLOOKUP(H53,'Agências de Rating Soberano'!$J$2:$J$22,'Agências de Rating Soberano'!$K$2:$K$22),NA())</f>
        <v>#N/A</v>
      </c>
      <c r="Q53" s="52" t="e">
        <f>IFERROR(_xlfn.XLOOKUP(I53,'Agências de Rating Soberano'!$J$2:$J$22,'Agências de Rating Soberano'!$K$2:$K$22),NA())</f>
        <v>#N/A</v>
      </c>
    </row>
    <row r="54" spans="1:17" x14ac:dyDescent="0.3">
      <c r="A54" s="53">
        <f t="shared" si="3"/>
        <v>33328</v>
      </c>
      <c r="B54" t="str">
        <f>IFERROR(_xlfn.XLOOKUP($A54,Planilha2!$A$2:$A$34,Planilha2!C$2:C$34,"",-1),"")</f>
        <v>B2</v>
      </c>
      <c r="C54" t="str">
        <f>IFERROR(_xlfn.XLOOKUP($A54,Planilha2!$A$2:$A$34,Planilha2!D$2:D$34,"",-1),"")</f>
        <v>-</v>
      </c>
      <c r="D54" t="str" cm="1">
        <f t="array" ref="D54">IF($A54&lt;MIN(Planilha2!$A$2:$A$34),"",_xlfn.LET(_xlpm.t,_xlfn.XLOOKUP($A54,Planilha2!$A$2:$A$34,Planilha2!$E$2:$E$34,"",-1),_xlfn.IFS(ISNUMBER(SEARCH("positiva",_xlpm.t)),"Positiva",ISNUMBER(SEARCH("negativa",_xlpm.t)),"Negativa",ISNUMBER(SEARCH("estável",_xlpm.t)),"Estável",TRUE,"n/d")))</f>
        <v>Estável</v>
      </c>
      <c r="E54" t="str">
        <f>IFERROR(_xlfn.XLOOKUP($A54,Planilha2!$J$2:$J$44,Planilha2!L$2:L$44,"",-1),"")</f>
        <v/>
      </c>
      <c r="F54" t="str">
        <f>IFERROR(_xlfn.XLOOKUP($A54,Planilha2!$J$2:$J$44,Planilha2!M$2:M$44,"",-1),"")</f>
        <v/>
      </c>
      <c r="G54" t="str" cm="1">
        <f t="array" ref="G54">IF($A54&lt;MIN(Planilha2!$J$2:$J$44),"",_xlfn.LET(_xlpm.t,_xlfn.XLOOKUP($A54,Planilha2!$J$2:$J$44,Planilha2!$N$2:$N$44,"",-1),_xlfn.IFS(ISNUMBER(SEARCH("positiva",_xlpm.t)),"Positiva",ISNUMBER(SEARCH("negativa",_xlpm.t)),"Negativa",ISNUMBER(SEARCH("estável",_xlpm.t)),"Estável",TRUE,"n/d")))</f>
        <v/>
      </c>
      <c r="H54" t="str">
        <f>IFERROR(_xlfn.XLOOKUP($A54,Planilha2!$P$2:$P$38,Planilha2!R$2:R$38,"",-1),"")</f>
        <v/>
      </c>
      <c r="I54" t="str">
        <f>IFERROR(_xlfn.XLOOKUP($A54,Planilha2!$P$2:$P$38,Planilha2!S$2:S$38,"",-1),"")</f>
        <v/>
      </c>
      <c r="J54" t="str" cm="1">
        <f t="array" ref="J54">IF($A54&lt;MIN(Planilha2!$P$2:$P$38),"",_xlfn.LET(_xlpm.t,_xlfn.XLOOKUP($A54,Planilha2!$P$2:$P$38,Planilha2!$T$2:$T$38,"",-1),_xlfn.IFS(ISNUMBER(SEARCH("positiva",_xlpm.t)),"Positiva",ISNUMBER(SEARCH("negativa",_xlpm.t)),"Negativa",ISNUMBER(SEARCH("estável",_xlpm.t)),"Estável",TRUE,"n/d")))</f>
        <v/>
      </c>
      <c r="L54" s="52">
        <f>IFERROR(_xlfn.XLOOKUP(B54,'Agências de Rating Soberano'!$G$2:$G$22,'Agências de Rating Soberano'!$H$2:$H$22),NA())</f>
        <v>7</v>
      </c>
      <c r="M54" s="52" t="e">
        <f>IFERROR(_xlfn.XLOOKUP(C54,'Agências de Rating Soberano'!$G$2:$G$22,'Agências de Rating Soberano'!$H$2:$H$22),NA())</f>
        <v>#N/A</v>
      </c>
      <c r="N54" s="52" t="e">
        <f>IFERROR(_xlfn.XLOOKUP(E54,'Agências de Rating Soberano'!$J$2:$J$22,'Agências de Rating Soberano'!$K$2:$K$22),NA())</f>
        <v>#N/A</v>
      </c>
      <c r="O54" s="52" t="e">
        <f>IFERROR(_xlfn.XLOOKUP(F54,'Agências de Rating Soberano'!$J$2:$J$22,'Agências de Rating Soberano'!$K$2:$K$22),NA())</f>
        <v>#N/A</v>
      </c>
      <c r="P54" s="52" t="e">
        <f>IFERROR(_xlfn.XLOOKUP(H54,'Agências de Rating Soberano'!$J$2:$J$22,'Agências de Rating Soberano'!$K$2:$K$22),NA())</f>
        <v>#N/A</v>
      </c>
      <c r="Q54" s="52" t="e">
        <f>IFERROR(_xlfn.XLOOKUP(I54,'Agências de Rating Soberano'!$J$2:$J$22,'Agências de Rating Soberano'!$K$2:$K$22),NA())</f>
        <v>#N/A</v>
      </c>
    </row>
    <row r="55" spans="1:17" x14ac:dyDescent="0.3">
      <c r="A55" s="53">
        <f t="shared" si="3"/>
        <v>33358</v>
      </c>
      <c r="B55" t="str">
        <f>IFERROR(_xlfn.XLOOKUP($A55,Planilha2!$A$2:$A$34,Planilha2!C$2:C$34,"",-1),"")</f>
        <v>B2</v>
      </c>
      <c r="C55" t="str">
        <f>IFERROR(_xlfn.XLOOKUP($A55,Planilha2!$A$2:$A$34,Planilha2!D$2:D$34,"",-1),"")</f>
        <v>-</v>
      </c>
      <c r="D55" t="str" cm="1">
        <f t="array" ref="D55">IF($A55&lt;MIN(Planilha2!$A$2:$A$34),"",_xlfn.LET(_xlpm.t,_xlfn.XLOOKUP($A55,Planilha2!$A$2:$A$34,Planilha2!$E$2:$E$34,"",-1),_xlfn.IFS(ISNUMBER(SEARCH("positiva",_xlpm.t)),"Positiva",ISNUMBER(SEARCH("negativa",_xlpm.t)),"Negativa",ISNUMBER(SEARCH("estável",_xlpm.t)),"Estável",TRUE,"n/d")))</f>
        <v>Estável</v>
      </c>
      <c r="E55" t="str">
        <f>IFERROR(_xlfn.XLOOKUP($A55,Planilha2!$J$2:$J$44,Planilha2!L$2:L$44,"",-1),"")</f>
        <v/>
      </c>
      <c r="F55" t="str">
        <f>IFERROR(_xlfn.XLOOKUP($A55,Planilha2!$J$2:$J$44,Planilha2!M$2:M$44,"",-1),"")</f>
        <v/>
      </c>
      <c r="G55" t="str" cm="1">
        <f t="array" ref="G55">IF($A55&lt;MIN(Planilha2!$J$2:$J$44),"",_xlfn.LET(_xlpm.t,_xlfn.XLOOKUP($A55,Planilha2!$J$2:$J$44,Planilha2!$N$2:$N$44,"",-1),_xlfn.IFS(ISNUMBER(SEARCH("positiva",_xlpm.t)),"Positiva",ISNUMBER(SEARCH("negativa",_xlpm.t)),"Negativa",ISNUMBER(SEARCH("estável",_xlpm.t)),"Estável",TRUE,"n/d")))</f>
        <v/>
      </c>
      <c r="H55" t="str">
        <f>IFERROR(_xlfn.XLOOKUP($A55,Planilha2!$P$2:$P$38,Planilha2!R$2:R$38,"",-1),"")</f>
        <v/>
      </c>
      <c r="I55" t="str">
        <f>IFERROR(_xlfn.XLOOKUP($A55,Planilha2!$P$2:$P$38,Planilha2!S$2:S$38,"",-1),"")</f>
        <v/>
      </c>
      <c r="J55" t="str" cm="1">
        <f t="array" ref="J55">IF($A55&lt;MIN(Planilha2!$P$2:$P$38),"",_xlfn.LET(_xlpm.t,_xlfn.XLOOKUP($A55,Planilha2!$P$2:$P$38,Planilha2!$T$2:$T$38,"",-1),_xlfn.IFS(ISNUMBER(SEARCH("positiva",_xlpm.t)),"Positiva",ISNUMBER(SEARCH("negativa",_xlpm.t)),"Negativa",ISNUMBER(SEARCH("estável",_xlpm.t)),"Estável",TRUE,"n/d")))</f>
        <v/>
      </c>
      <c r="L55" s="52">
        <f>IFERROR(_xlfn.XLOOKUP(B55,'Agências de Rating Soberano'!$G$2:$G$22,'Agências de Rating Soberano'!$H$2:$H$22),NA())</f>
        <v>7</v>
      </c>
      <c r="M55" s="52" t="e">
        <f>IFERROR(_xlfn.XLOOKUP(C55,'Agências de Rating Soberano'!$G$2:$G$22,'Agências de Rating Soberano'!$H$2:$H$22),NA())</f>
        <v>#N/A</v>
      </c>
      <c r="N55" s="52" t="e">
        <f>IFERROR(_xlfn.XLOOKUP(E55,'Agências de Rating Soberano'!$J$2:$J$22,'Agências de Rating Soberano'!$K$2:$K$22),NA())</f>
        <v>#N/A</v>
      </c>
      <c r="O55" s="52" t="e">
        <f>IFERROR(_xlfn.XLOOKUP(F55,'Agências de Rating Soberano'!$J$2:$J$22,'Agências de Rating Soberano'!$K$2:$K$22),NA())</f>
        <v>#N/A</v>
      </c>
      <c r="P55" s="52" t="e">
        <f>IFERROR(_xlfn.XLOOKUP(H55,'Agências de Rating Soberano'!$J$2:$J$22,'Agências de Rating Soberano'!$K$2:$K$22),NA())</f>
        <v>#N/A</v>
      </c>
      <c r="Q55" s="52" t="e">
        <f>IFERROR(_xlfn.XLOOKUP(I55,'Agências de Rating Soberano'!$J$2:$J$22,'Agências de Rating Soberano'!$K$2:$K$22),NA())</f>
        <v>#N/A</v>
      </c>
    </row>
    <row r="56" spans="1:17" x14ac:dyDescent="0.3">
      <c r="A56" s="53">
        <f t="shared" si="3"/>
        <v>33389</v>
      </c>
      <c r="B56" t="str">
        <f>IFERROR(_xlfn.XLOOKUP($A56,Planilha2!$A$2:$A$34,Planilha2!C$2:C$34,"",-1),"")</f>
        <v>B2</v>
      </c>
      <c r="C56" t="str">
        <f>IFERROR(_xlfn.XLOOKUP($A56,Planilha2!$A$2:$A$34,Planilha2!D$2:D$34,"",-1),"")</f>
        <v>-</v>
      </c>
      <c r="D56" t="str" cm="1">
        <f t="array" ref="D56">IF($A56&lt;MIN(Planilha2!$A$2:$A$34),"",_xlfn.LET(_xlpm.t,_xlfn.XLOOKUP($A56,Planilha2!$A$2:$A$34,Planilha2!$E$2:$E$34,"",-1),_xlfn.IFS(ISNUMBER(SEARCH("positiva",_xlpm.t)),"Positiva",ISNUMBER(SEARCH("negativa",_xlpm.t)),"Negativa",ISNUMBER(SEARCH("estável",_xlpm.t)),"Estável",TRUE,"n/d")))</f>
        <v>Estável</v>
      </c>
      <c r="E56" t="str">
        <f>IFERROR(_xlfn.XLOOKUP($A56,Planilha2!$J$2:$J$44,Planilha2!L$2:L$44,"",-1),"")</f>
        <v/>
      </c>
      <c r="F56" t="str">
        <f>IFERROR(_xlfn.XLOOKUP($A56,Planilha2!$J$2:$J$44,Planilha2!M$2:M$44,"",-1),"")</f>
        <v/>
      </c>
      <c r="G56" t="str" cm="1">
        <f t="array" ref="G56">IF($A56&lt;MIN(Planilha2!$J$2:$J$44),"",_xlfn.LET(_xlpm.t,_xlfn.XLOOKUP($A56,Planilha2!$J$2:$J$44,Planilha2!$N$2:$N$44,"",-1),_xlfn.IFS(ISNUMBER(SEARCH("positiva",_xlpm.t)),"Positiva",ISNUMBER(SEARCH("negativa",_xlpm.t)),"Negativa",ISNUMBER(SEARCH("estável",_xlpm.t)),"Estável",TRUE,"n/d")))</f>
        <v/>
      </c>
      <c r="H56" t="str">
        <f>IFERROR(_xlfn.XLOOKUP($A56,Planilha2!$P$2:$P$38,Planilha2!R$2:R$38,"",-1),"")</f>
        <v/>
      </c>
      <c r="I56" t="str">
        <f>IFERROR(_xlfn.XLOOKUP($A56,Planilha2!$P$2:$P$38,Planilha2!S$2:S$38,"",-1),"")</f>
        <v/>
      </c>
      <c r="J56" t="str" cm="1">
        <f t="array" ref="J56">IF($A56&lt;MIN(Planilha2!$P$2:$P$38),"",_xlfn.LET(_xlpm.t,_xlfn.XLOOKUP($A56,Planilha2!$P$2:$P$38,Planilha2!$T$2:$T$38,"",-1),_xlfn.IFS(ISNUMBER(SEARCH("positiva",_xlpm.t)),"Positiva",ISNUMBER(SEARCH("negativa",_xlpm.t)),"Negativa",ISNUMBER(SEARCH("estável",_xlpm.t)),"Estável",TRUE,"n/d")))</f>
        <v/>
      </c>
      <c r="L56" s="52">
        <f>IFERROR(_xlfn.XLOOKUP(B56,'Agências de Rating Soberano'!$G$2:$G$22,'Agências de Rating Soberano'!$H$2:$H$22),NA())</f>
        <v>7</v>
      </c>
      <c r="M56" s="52" t="e">
        <f>IFERROR(_xlfn.XLOOKUP(C56,'Agências de Rating Soberano'!$G$2:$G$22,'Agências de Rating Soberano'!$H$2:$H$22),NA())</f>
        <v>#N/A</v>
      </c>
      <c r="N56" s="52" t="e">
        <f>IFERROR(_xlfn.XLOOKUP(E56,'Agências de Rating Soberano'!$J$2:$J$22,'Agências de Rating Soberano'!$K$2:$K$22),NA())</f>
        <v>#N/A</v>
      </c>
      <c r="O56" s="52" t="e">
        <f>IFERROR(_xlfn.XLOOKUP(F56,'Agências de Rating Soberano'!$J$2:$J$22,'Agências de Rating Soberano'!$K$2:$K$22),NA())</f>
        <v>#N/A</v>
      </c>
      <c r="P56" s="52" t="e">
        <f>IFERROR(_xlfn.XLOOKUP(H56,'Agências de Rating Soberano'!$J$2:$J$22,'Agências de Rating Soberano'!$K$2:$K$22),NA())</f>
        <v>#N/A</v>
      </c>
      <c r="Q56" s="52" t="e">
        <f>IFERROR(_xlfn.XLOOKUP(I56,'Agências de Rating Soberano'!$J$2:$J$22,'Agências de Rating Soberano'!$K$2:$K$22),NA())</f>
        <v>#N/A</v>
      </c>
    </row>
    <row r="57" spans="1:17" x14ac:dyDescent="0.3">
      <c r="A57" s="53">
        <f t="shared" si="3"/>
        <v>33419</v>
      </c>
      <c r="B57" t="str">
        <f>IFERROR(_xlfn.XLOOKUP($A57,Planilha2!$A$2:$A$34,Planilha2!C$2:C$34,"",-1),"")</f>
        <v>B2</v>
      </c>
      <c r="C57" t="str">
        <f>IFERROR(_xlfn.XLOOKUP($A57,Planilha2!$A$2:$A$34,Planilha2!D$2:D$34,"",-1),"")</f>
        <v>-</v>
      </c>
      <c r="D57" t="str" cm="1">
        <f t="array" ref="D57">IF($A57&lt;MIN(Planilha2!$A$2:$A$34),"",_xlfn.LET(_xlpm.t,_xlfn.XLOOKUP($A57,Planilha2!$A$2:$A$34,Planilha2!$E$2:$E$34,"",-1),_xlfn.IFS(ISNUMBER(SEARCH("positiva",_xlpm.t)),"Positiva",ISNUMBER(SEARCH("negativa",_xlpm.t)),"Negativa",ISNUMBER(SEARCH("estável",_xlpm.t)),"Estável",TRUE,"n/d")))</f>
        <v>Estável</v>
      </c>
      <c r="E57" t="str">
        <f>IFERROR(_xlfn.XLOOKUP($A57,Planilha2!$J$2:$J$44,Planilha2!L$2:L$44,"",-1),"")</f>
        <v/>
      </c>
      <c r="F57" t="str">
        <f>IFERROR(_xlfn.XLOOKUP($A57,Planilha2!$J$2:$J$44,Planilha2!M$2:M$44,"",-1),"")</f>
        <v/>
      </c>
      <c r="G57" t="str" cm="1">
        <f t="array" ref="G57">IF($A57&lt;MIN(Planilha2!$J$2:$J$44),"",_xlfn.LET(_xlpm.t,_xlfn.XLOOKUP($A57,Planilha2!$J$2:$J$44,Planilha2!$N$2:$N$44,"",-1),_xlfn.IFS(ISNUMBER(SEARCH("positiva",_xlpm.t)),"Positiva",ISNUMBER(SEARCH("negativa",_xlpm.t)),"Negativa",ISNUMBER(SEARCH("estável",_xlpm.t)),"Estável",TRUE,"n/d")))</f>
        <v/>
      </c>
      <c r="H57" t="str">
        <f>IFERROR(_xlfn.XLOOKUP($A57,Planilha2!$P$2:$P$38,Planilha2!R$2:R$38,"",-1),"")</f>
        <v/>
      </c>
      <c r="I57" t="str">
        <f>IFERROR(_xlfn.XLOOKUP($A57,Planilha2!$P$2:$P$38,Planilha2!S$2:S$38,"",-1),"")</f>
        <v/>
      </c>
      <c r="J57" t="str" cm="1">
        <f t="array" ref="J57">IF($A57&lt;MIN(Planilha2!$P$2:$P$38),"",_xlfn.LET(_xlpm.t,_xlfn.XLOOKUP($A57,Planilha2!$P$2:$P$38,Planilha2!$T$2:$T$38,"",-1),_xlfn.IFS(ISNUMBER(SEARCH("positiva",_xlpm.t)),"Positiva",ISNUMBER(SEARCH("negativa",_xlpm.t)),"Negativa",ISNUMBER(SEARCH("estável",_xlpm.t)),"Estável",TRUE,"n/d")))</f>
        <v/>
      </c>
      <c r="L57" s="52">
        <f>IFERROR(_xlfn.XLOOKUP(B57,'Agências de Rating Soberano'!$G$2:$G$22,'Agências de Rating Soberano'!$H$2:$H$22),NA())</f>
        <v>7</v>
      </c>
      <c r="M57" s="52" t="e">
        <f>IFERROR(_xlfn.XLOOKUP(C57,'Agências de Rating Soberano'!$G$2:$G$22,'Agências de Rating Soberano'!$H$2:$H$22),NA())</f>
        <v>#N/A</v>
      </c>
      <c r="N57" s="52" t="e">
        <f>IFERROR(_xlfn.XLOOKUP(E57,'Agências de Rating Soberano'!$J$2:$J$22,'Agências de Rating Soberano'!$K$2:$K$22),NA())</f>
        <v>#N/A</v>
      </c>
      <c r="O57" s="52" t="e">
        <f>IFERROR(_xlfn.XLOOKUP(F57,'Agências de Rating Soberano'!$J$2:$J$22,'Agências de Rating Soberano'!$K$2:$K$22),NA())</f>
        <v>#N/A</v>
      </c>
      <c r="P57" s="52" t="e">
        <f>IFERROR(_xlfn.XLOOKUP(H57,'Agências de Rating Soberano'!$J$2:$J$22,'Agências de Rating Soberano'!$K$2:$K$22),NA())</f>
        <v>#N/A</v>
      </c>
      <c r="Q57" s="52" t="e">
        <f>IFERROR(_xlfn.XLOOKUP(I57,'Agências de Rating Soberano'!$J$2:$J$22,'Agências de Rating Soberano'!$K$2:$K$22),NA())</f>
        <v>#N/A</v>
      </c>
    </row>
    <row r="58" spans="1:17" x14ac:dyDescent="0.3">
      <c r="A58" s="53">
        <f t="shared" si="3"/>
        <v>33450</v>
      </c>
      <c r="B58" t="str">
        <f>IFERROR(_xlfn.XLOOKUP($A58,Planilha2!$A$2:$A$34,Planilha2!C$2:C$34,"",-1),"")</f>
        <v>B2</v>
      </c>
      <c r="C58" t="str">
        <f>IFERROR(_xlfn.XLOOKUP($A58,Planilha2!$A$2:$A$34,Planilha2!D$2:D$34,"",-1),"")</f>
        <v>-</v>
      </c>
      <c r="D58" t="str" cm="1">
        <f t="array" ref="D58">IF($A58&lt;MIN(Planilha2!$A$2:$A$34),"",_xlfn.LET(_xlpm.t,_xlfn.XLOOKUP($A58,Planilha2!$A$2:$A$34,Planilha2!$E$2:$E$34,"",-1),_xlfn.IFS(ISNUMBER(SEARCH("positiva",_xlpm.t)),"Positiva",ISNUMBER(SEARCH("negativa",_xlpm.t)),"Negativa",ISNUMBER(SEARCH("estável",_xlpm.t)),"Estável",TRUE,"n/d")))</f>
        <v>Estável</v>
      </c>
      <c r="E58" t="str">
        <f>IFERROR(_xlfn.XLOOKUP($A58,Planilha2!$J$2:$J$44,Planilha2!L$2:L$44,"",-1),"")</f>
        <v/>
      </c>
      <c r="F58" t="str">
        <f>IFERROR(_xlfn.XLOOKUP($A58,Planilha2!$J$2:$J$44,Planilha2!M$2:M$44,"",-1),"")</f>
        <v/>
      </c>
      <c r="G58" t="str" cm="1">
        <f t="array" ref="G58">IF($A58&lt;MIN(Planilha2!$J$2:$J$44),"",_xlfn.LET(_xlpm.t,_xlfn.XLOOKUP($A58,Planilha2!$J$2:$J$44,Planilha2!$N$2:$N$44,"",-1),_xlfn.IFS(ISNUMBER(SEARCH("positiva",_xlpm.t)),"Positiva",ISNUMBER(SEARCH("negativa",_xlpm.t)),"Negativa",ISNUMBER(SEARCH("estável",_xlpm.t)),"Estável",TRUE,"n/d")))</f>
        <v/>
      </c>
      <c r="H58" t="str">
        <f>IFERROR(_xlfn.XLOOKUP($A58,Planilha2!$P$2:$P$38,Planilha2!R$2:R$38,"",-1),"")</f>
        <v/>
      </c>
      <c r="I58" t="str">
        <f>IFERROR(_xlfn.XLOOKUP($A58,Planilha2!$P$2:$P$38,Planilha2!S$2:S$38,"",-1),"")</f>
        <v/>
      </c>
      <c r="J58" t="str" cm="1">
        <f t="array" ref="J58">IF($A58&lt;MIN(Planilha2!$P$2:$P$38),"",_xlfn.LET(_xlpm.t,_xlfn.XLOOKUP($A58,Planilha2!$P$2:$P$38,Planilha2!$T$2:$T$38,"",-1),_xlfn.IFS(ISNUMBER(SEARCH("positiva",_xlpm.t)),"Positiva",ISNUMBER(SEARCH("negativa",_xlpm.t)),"Negativa",ISNUMBER(SEARCH("estável",_xlpm.t)),"Estável",TRUE,"n/d")))</f>
        <v/>
      </c>
      <c r="L58" s="52">
        <f>IFERROR(_xlfn.XLOOKUP(B58,'Agências de Rating Soberano'!$G$2:$G$22,'Agências de Rating Soberano'!$H$2:$H$22),NA())</f>
        <v>7</v>
      </c>
      <c r="M58" s="52" t="e">
        <f>IFERROR(_xlfn.XLOOKUP(C58,'Agências de Rating Soberano'!$G$2:$G$22,'Agências de Rating Soberano'!$H$2:$H$22),NA())</f>
        <v>#N/A</v>
      </c>
      <c r="N58" s="52" t="e">
        <f>IFERROR(_xlfn.XLOOKUP(E58,'Agências de Rating Soberano'!$J$2:$J$22,'Agências de Rating Soberano'!$K$2:$K$22),NA())</f>
        <v>#N/A</v>
      </c>
      <c r="O58" s="52" t="e">
        <f>IFERROR(_xlfn.XLOOKUP(F58,'Agências de Rating Soberano'!$J$2:$J$22,'Agências de Rating Soberano'!$K$2:$K$22),NA())</f>
        <v>#N/A</v>
      </c>
      <c r="P58" s="52" t="e">
        <f>IFERROR(_xlfn.XLOOKUP(H58,'Agências de Rating Soberano'!$J$2:$J$22,'Agências de Rating Soberano'!$K$2:$K$22),NA())</f>
        <v>#N/A</v>
      </c>
      <c r="Q58" s="52" t="e">
        <f>IFERROR(_xlfn.XLOOKUP(I58,'Agências de Rating Soberano'!$J$2:$J$22,'Agências de Rating Soberano'!$K$2:$K$22),NA())</f>
        <v>#N/A</v>
      </c>
    </row>
    <row r="59" spans="1:17" x14ac:dyDescent="0.3">
      <c r="A59" s="53">
        <f t="shared" si="3"/>
        <v>33481</v>
      </c>
      <c r="B59" t="str">
        <f>IFERROR(_xlfn.XLOOKUP($A59,Planilha2!$A$2:$A$34,Planilha2!C$2:C$34,"",-1),"")</f>
        <v>B2</v>
      </c>
      <c r="C59" t="str">
        <f>IFERROR(_xlfn.XLOOKUP($A59,Planilha2!$A$2:$A$34,Planilha2!D$2:D$34,"",-1),"")</f>
        <v>-</v>
      </c>
      <c r="D59" t="str" cm="1">
        <f t="array" ref="D59">IF($A59&lt;MIN(Planilha2!$A$2:$A$34),"",_xlfn.LET(_xlpm.t,_xlfn.XLOOKUP($A59,Planilha2!$A$2:$A$34,Planilha2!$E$2:$E$34,"",-1),_xlfn.IFS(ISNUMBER(SEARCH("positiva",_xlpm.t)),"Positiva",ISNUMBER(SEARCH("negativa",_xlpm.t)),"Negativa",ISNUMBER(SEARCH("estável",_xlpm.t)),"Estável",TRUE,"n/d")))</f>
        <v>Estável</v>
      </c>
      <c r="E59" t="str">
        <f>IFERROR(_xlfn.XLOOKUP($A59,Planilha2!$J$2:$J$44,Planilha2!L$2:L$44,"",-1),"")</f>
        <v/>
      </c>
      <c r="F59" t="str">
        <f>IFERROR(_xlfn.XLOOKUP($A59,Planilha2!$J$2:$J$44,Planilha2!M$2:M$44,"",-1),"")</f>
        <v/>
      </c>
      <c r="G59" t="str" cm="1">
        <f t="array" ref="G59">IF($A59&lt;MIN(Planilha2!$J$2:$J$44),"",_xlfn.LET(_xlpm.t,_xlfn.XLOOKUP($A59,Planilha2!$J$2:$J$44,Planilha2!$N$2:$N$44,"",-1),_xlfn.IFS(ISNUMBER(SEARCH("positiva",_xlpm.t)),"Positiva",ISNUMBER(SEARCH("negativa",_xlpm.t)),"Negativa",ISNUMBER(SEARCH("estável",_xlpm.t)),"Estável",TRUE,"n/d")))</f>
        <v/>
      </c>
      <c r="H59" t="str">
        <f>IFERROR(_xlfn.XLOOKUP($A59,Planilha2!$P$2:$P$38,Planilha2!R$2:R$38,"",-1),"")</f>
        <v/>
      </c>
      <c r="I59" t="str">
        <f>IFERROR(_xlfn.XLOOKUP($A59,Planilha2!$P$2:$P$38,Planilha2!S$2:S$38,"",-1),"")</f>
        <v/>
      </c>
      <c r="J59" t="str" cm="1">
        <f t="array" ref="J59">IF($A59&lt;MIN(Planilha2!$P$2:$P$38),"",_xlfn.LET(_xlpm.t,_xlfn.XLOOKUP($A59,Planilha2!$P$2:$P$38,Planilha2!$T$2:$T$38,"",-1),_xlfn.IFS(ISNUMBER(SEARCH("positiva",_xlpm.t)),"Positiva",ISNUMBER(SEARCH("negativa",_xlpm.t)),"Negativa",ISNUMBER(SEARCH("estável",_xlpm.t)),"Estável",TRUE,"n/d")))</f>
        <v/>
      </c>
      <c r="L59" s="52">
        <f>IFERROR(_xlfn.XLOOKUP(B59,'Agências de Rating Soberano'!$G$2:$G$22,'Agências de Rating Soberano'!$H$2:$H$22),NA())</f>
        <v>7</v>
      </c>
      <c r="M59" s="52" t="e">
        <f>IFERROR(_xlfn.XLOOKUP(C59,'Agências de Rating Soberano'!$G$2:$G$22,'Agências de Rating Soberano'!$H$2:$H$22),NA())</f>
        <v>#N/A</v>
      </c>
      <c r="N59" s="52" t="e">
        <f>IFERROR(_xlfn.XLOOKUP(E59,'Agências de Rating Soberano'!$J$2:$J$22,'Agências de Rating Soberano'!$K$2:$K$22),NA())</f>
        <v>#N/A</v>
      </c>
      <c r="O59" s="52" t="e">
        <f>IFERROR(_xlfn.XLOOKUP(F59,'Agências de Rating Soberano'!$J$2:$J$22,'Agências de Rating Soberano'!$K$2:$K$22),NA())</f>
        <v>#N/A</v>
      </c>
      <c r="P59" s="52" t="e">
        <f>IFERROR(_xlfn.XLOOKUP(H59,'Agências de Rating Soberano'!$J$2:$J$22,'Agências de Rating Soberano'!$K$2:$K$22),NA())</f>
        <v>#N/A</v>
      </c>
      <c r="Q59" s="52" t="e">
        <f>IFERROR(_xlfn.XLOOKUP(I59,'Agências de Rating Soberano'!$J$2:$J$22,'Agências de Rating Soberano'!$K$2:$K$22),NA())</f>
        <v>#N/A</v>
      </c>
    </row>
    <row r="60" spans="1:17" x14ac:dyDescent="0.3">
      <c r="A60" s="53">
        <f t="shared" si="3"/>
        <v>33511</v>
      </c>
      <c r="B60" t="str">
        <f>IFERROR(_xlfn.XLOOKUP($A60,Planilha2!$A$2:$A$34,Planilha2!C$2:C$34,"",-1),"")</f>
        <v>B2</v>
      </c>
      <c r="C60" t="str">
        <f>IFERROR(_xlfn.XLOOKUP($A60,Planilha2!$A$2:$A$34,Planilha2!D$2:D$34,"",-1),"")</f>
        <v>-</v>
      </c>
      <c r="D60" t="str" cm="1">
        <f t="array" ref="D60">IF($A60&lt;MIN(Planilha2!$A$2:$A$34),"",_xlfn.LET(_xlpm.t,_xlfn.XLOOKUP($A60,Planilha2!$A$2:$A$34,Planilha2!$E$2:$E$34,"",-1),_xlfn.IFS(ISNUMBER(SEARCH("positiva",_xlpm.t)),"Positiva",ISNUMBER(SEARCH("negativa",_xlpm.t)),"Negativa",ISNUMBER(SEARCH("estável",_xlpm.t)),"Estável",TRUE,"n/d")))</f>
        <v>Estável</v>
      </c>
      <c r="E60" t="str">
        <f>IFERROR(_xlfn.XLOOKUP($A60,Planilha2!$J$2:$J$44,Planilha2!L$2:L$44,"",-1),"")</f>
        <v/>
      </c>
      <c r="F60" t="str">
        <f>IFERROR(_xlfn.XLOOKUP($A60,Planilha2!$J$2:$J$44,Planilha2!M$2:M$44,"",-1),"")</f>
        <v/>
      </c>
      <c r="G60" t="str" cm="1">
        <f t="array" ref="G60">IF($A60&lt;MIN(Planilha2!$J$2:$J$44),"",_xlfn.LET(_xlpm.t,_xlfn.XLOOKUP($A60,Planilha2!$J$2:$J$44,Planilha2!$N$2:$N$44,"",-1),_xlfn.IFS(ISNUMBER(SEARCH("positiva",_xlpm.t)),"Positiva",ISNUMBER(SEARCH("negativa",_xlpm.t)),"Negativa",ISNUMBER(SEARCH("estável",_xlpm.t)),"Estável",TRUE,"n/d")))</f>
        <v/>
      </c>
      <c r="H60" t="str">
        <f>IFERROR(_xlfn.XLOOKUP($A60,Planilha2!$P$2:$P$38,Planilha2!R$2:R$38,"",-1),"")</f>
        <v/>
      </c>
      <c r="I60" t="str">
        <f>IFERROR(_xlfn.XLOOKUP($A60,Planilha2!$P$2:$P$38,Planilha2!S$2:S$38,"",-1),"")</f>
        <v/>
      </c>
      <c r="J60" t="str" cm="1">
        <f t="array" ref="J60">IF($A60&lt;MIN(Planilha2!$P$2:$P$38),"",_xlfn.LET(_xlpm.t,_xlfn.XLOOKUP($A60,Planilha2!$P$2:$P$38,Planilha2!$T$2:$T$38,"",-1),_xlfn.IFS(ISNUMBER(SEARCH("positiva",_xlpm.t)),"Positiva",ISNUMBER(SEARCH("negativa",_xlpm.t)),"Negativa",ISNUMBER(SEARCH("estável",_xlpm.t)),"Estável",TRUE,"n/d")))</f>
        <v/>
      </c>
      <c r="L60" s="52">
        <f>IFERROR(_xlfn.XLOOKUP(B60,'Agências de Rating Soberano'!$G$2:$G$22,'Agências de Rating Soberano'!$H$2:$H$22),NA())</f>
        <v>7</v>
      </c>
      <c r="M60" s="52" t="e">
        <f>IFERROR(_xlfn.XLOOKUP(C60,'Agências de Rating Soberano'!$G$2:$G$22,'Agências de Rating Soberano'!$H$2:$H$22),NA())</f>
        <v>#N/A</v>
      </c>
      <c r="N60" s="52" t="e">
        <f>IFERROR(_xlfn.XLOOKUP(E60,'Agências de Rating Soberano'!$J$2:$J$22,'Agências de Rating Soberano'!$K$2:$K$22),NA())</f>
        <v>#N/A</v>
      </c>
      <c r="O60" s="52" t="e">
        <f>IFERROR(_xlfn.XLOOKUP(F60,'Agências de Rating Soberano'!$J$2:$J$22,'Agências de Rating Soberano'!$K$2:$K$22),NA())</f>
        <v>#N/A</v>
      </c>
      <c r="P60" s="52" t="e">
        <f>IFERROR(_xlfn.XLOOKUP(H60,'Agências de Rating Soberano'!$J$2:$J$22,'Agências de Rating Soberano'!$K$2:$K$22),NA())</f>
        <v>#N/A</v>
      </c>
      <c r="Q60" s="52" t="e">
        <f>IFERROR(_xlfn.XLOOKUP(I60,'Agências de Rating Soberano'!$J$2:$J$22,'Agências de Rating Soberano'!$K$2:$K$22),NA())</f>
        <v>#N/A</v>
      </c>
    </row>
    <row r="61" spans="1:17" x14ac:dyDescent="0.3">
      <c r="A61" s="53">
        <f t="shared" si="3"/>
        <v>33542</v>
      </c>
      <c r="B61" t="str">
        <f>IFERROR(_xlfn.XLOOKUP($A61,Planilha2!$A$2:$A$34,Planilha2!C$2:C$34,"",-1),"")</f>
        <v>B2</v>
      </c>
      <c r="C61" t="str">
        <f>IFERROR(_xlfn.XLOOKUP($A61,Planilha2!$A$2:$A$34,Planilha2!D$2:D$34,"",-1),"")</f>
        <v>-</v>
      </c>
      <c r="D61" t="str" cm="1">
        <f t="array" ref="D61">IF($A61&lt;MIN(Planilha2!$A$2:$A$34),"",_xlfn.LET(_xlpm.t,_xlfn.XLOOKUP($A61,Planilha2!$A$2:$A$34,Planilha2!$E$2:$E$34,"",-1),_xlfn.IFS(ISNUMBER(SEARCH("positiva",_xlpm.t)),"Positiva",ISNUMBER(SEARCH("negativa",_xlpm.t)),"Negativa",ISNUMBER(SEARCH("estável",_xlpm.t)),"Estável",TRUE,"n/d")))</f>
        <v>Estável</v>
      </c>
      <c r="E61" t="str">
        <f>IFERROR(_xlfn.XLOOKUP($A61,Planilha2!$J$2:$J$44,Planilha2!L$2:L$44,"",-1),"")</f>
        <v/>
      </c>
      <c r="F61" t="str">
        <f>IFERROR(_xlfn.XLOOKUP($A61,Planilha2!$J$2:$J$44,Planilha2!M$2:M$44,"",-1),"")</f>
        <v/>
      </c>
      <c r="G61" t="str" cm="1">
        <f t="array" ref="G61">IF($A61&lt;MIN(Planilha2!$J$2:$J$44),"",_xlfn.LET(_xlpm.t,_xlfn.XLOOKUP($A61,Planilha2!$J$2:$J$44,Planilha2!$N$2:$N$44,"",-1),_xlfn.IFS(ISNUMBER(SEARCH("positiva",_xlpm.t)),"Positiva",ISNUMBER(SEARCH("negativa",_xlpm.t)),"Negativa",ISNUMBER(SEARCH("estável",_xlpm.t)),"Estável",TRUE,"n/d")))</f>
        <v/>
      </c>
      <c r="H61" t="str">
        <f>IFERROR(_xlfn.XLOOKUP($A61,Planilha2!$P$2:$P$38,Planilha2!R$2:R$38,"",-1),"")</f>
        <v/>
      </c>
      <c r="I61" t="str">
        <f>IFERROR(_xlfn.XLOOKUP($A61,Planilha2!$P$2:$P$38,Planilha2!S$2:S$38,"",-1),"")</f>
        <v/>
      </c>
      <c r="J61" t="str" cm="1">
        <f t="array" ref="J61">IF($A61&lt;MIN(Planilha2!$P$2:$P$38),"",_xlfn.LET(_xlpm.t,_xlfn.XLOOKUP($A61,Planilha2!$P$2:$P$38,Planilha2!$T$2:$T$38,"",-1),_xlfn.IFS(ISNUMBER(SEARCH("positiva",_xlpm.t)),"Positiva",ISNUMBER(SEARCH("negativa",_xlpm.t)),"Negativa",ISNUMBER(SEARCH("estável",_xlpm.t)),"Estável",TRUE,"n/d")))</f>
        <v/>
      </c>
      <c r="L61" s="52">
        <f>IFERROR(_xlfn.XLOOKUP(B61,'Agências de Rating Soberano'!$G$2:$G$22,'Agências de Rating Soberano'!$H$2:$H$22),NA())</f>
        <v>7</v>
      </c>
      <c r="M61" s="52" t="e">
        <f>IFERROR(_xlfn.XLOOKUP(C61,'Agências de Rating Soberano'!$G$2:$G$22,'Agências de Rating Soberano'!$H$2:$H$22),NA())</f>
        <v>#N/A</v>
      </c>
      <c r="N61" s="52" t="e">
        <f>IFERROR(_xlfn.XLOOKUP(E61,'Agências de Rating Soberano'!$J$2:$J$22,'Agências de Rating Soberano'!$K$2:$K$22),NA())</f>
        <v>#N/A</v>
      </c>
      <c r="O61" s="52" t="e">
        <f>IFERROR(_xlfn.XLOOKUP(F61,'Agências de Rating Soberano'!$J$2:$J$22,'Agências de Rating Soberano'!$K$2:$K$22),NA())</f>
        <v>#N/A</v>
      </c>
      <c r="P61" s="52" t="e">
        <f>IFERROR(_xlfn.XLOOKUP(H61,'Agências de Rating Soberano'!$J$2:$J$22,'Agências de Rating Soberano'!$K$2:$K$22),NA())</f>
        <v>#N/A</v>
      </c>
      <c r="Q61" s="52" t="e">
        <f>IFERROR(_xlfn.XLOOKUP(I61,'Agências de Rating Soberano'!$J$2:$J$22,'Agências de Rating Soberano'!$K$2:$K$22),NA())</f>
        <v>#N/A</v>
      </c>
    </row>
    <row r="62" spans="1:17" x14ac:dyDescent="0.3">
      <c r="A62" s="53">
        <f t="shared" si="3"/>
        <v>33572</v>
      </c>
      <c r="B62" t="str">
        <f>IFERROR(_xlfn.XLOOKUP($A62,Planilha2!$A$2:$A$34,Planilha2!C$2:C$34,"",-1),"")</f>
        <v>B2</v>
      </c>
      <c r="C62" t="str">
        <f>IFERROR(_xlfn.XLOOKUP($A62,Planilha2!$A$2:$A$34,Planilha2!D$2:D$34,"",-1),"")</f>
        <v>-</v>
      </c>
      <c r="D62" t="str" cm="1">
        <f t="array" ref="D62">IF($A62&lt;MIN(Planilha2!$A$2:$A$34),"",_xlfn.LET(_xlpm.t,_xlfn.XLOOKUP($A62,Planilha2!$A$2:$A$34,Planilha2!$E$2:$E$34,"",-1),_xlfn.IFS(ISNUMBER(SEARCH("positiva",_xlpm.t)),"Positiva",ISNUMBER(SEARCH("negativa",_xlpm.t)),"Negativa",ISNUMBER(SEARCH("estável",_xlpm.t)),"Estável",TRUE,"n/d")))</f>
        <v>Estável</v>
      </c>
      <c r="E62" t="str">
        <f>IFERROR(_xlfn.XLOOKUP($A62,Planilha2!$J$2:$J$44,Planilha2!L$2:L$44,"",-1),"")</f>
        <v/>
      </c>
      <c r="F62" t="str">
        <f>IFERROR(_xlfn.XLOOKUP($A62,Planilha2!$J$2:$J$44,Planilha2!M$2:M$44,"",-1),"")</f>
        <v/>
      </c>
      <c r="G62" t="str" cm="1">
        <f t="array" ref="G62">IF($A62&lt;MIN(Planilha2!$J$2:$J$44),"",_xlfn.LET(_xlpm.t,_xlfn.XLOOKUP($A62,Planilha2!$J$2:$J$44,Planilha2!$N$2:$N$44,"",-1),_xlfn.IFS(ISNUMBER(SEARCH("positiva",_xlpm.t)),"Positiva",ISNUMBER(SEARCH("negativa",_xlpm.t)),"Negativa",ISNUMBER(SEARCH("estável",_xlpm.t)),"Estável",TRUE,"n/d")))</f>
        <v/>
      </c>
      <c r="H62" t="str">
        <f>IFERROR(_xlfn.XLOOKUP($A62,Planilha2!$P$2:$P$38,Planilha2!R$2:R$38,"",-1),"")</f>
        <v/>
      </c>
      <c r="I62" t="str">
        <f>IFERROR(_xlfn.XLOOKUP($A62,Planilha2!$P$2:$P$38,Planilha2!S$2:S$38,"",-1),"")</f>
        <v/>
      </c>
      <c r="J62" t="str" cm="1">
        <f t="array" ref="J62">IF($A62&lt;MIN(Planilha2!$P$2:$P$38),"",_xlfn.LET(_xlpm.t,_xlfn.XLOOKUP($A62,Planilha2!$P$2:$P$38,Planilha2!$T$2:$T$38,"",-1),_xlfn.IFS(ISNUMBER(SEARCH("positiva",_xlpm.t)),"Positiva",ISNUMBER(SEARCH("negativa",_xlpm.t)),"Negativa",ISNUMBER(SEARCH("estável",_xlpm.t)),"Estável",TRUE,"n/d")))</f>
        <v/>
      </c>
      <c r="L62" s="52">
        <f>IFERROR(_xlfn.XLOOKUP(B62,'Agências de Rating Soberano'!$G$2:$G$22,'Agências de Rating Soberano'!$H$2:$H$22),NA())</f>
        <v>7</v>
      </c>
      <c r="M62" s="52" t="e">
        <f>IFERROR(_xlfn.XLOOKUP(C62,'Agências de Rating Soberano'!$G$2:$G$22,'Agências de Rating Soberano'!$H$2:$H$22),NA())</f>
        <v>#N/A</v>
      </c>
      <c r="N62" s="52" t="e">
        <f>IFERROR(_xlfn.XLOOKUP(E62,'Agências de Rating Soberano'!$J$2:$J$22,'Agências de Rating Soberano'!$K$2:$K$22),NA())</f>
        <v>#N/A</v>
      </c>
      <c r="O62" s="52" t="e">
        <f>IFERROR(_xlfn.XLOOKUP(F62,'Agências de Rating Soberano'!$J$2:$J$22,'Agências de Rating Soberano'!$K$2:$K$22),NA())</f>
        <v>#N/A</v>
      </c>
      <c r="P62" s="52" t="e">
        <f>IFERROR(_xlfn.XLOOKUP(H62,'Agências de Rating Soberano'!$J$2:$J$22,'Agências de Rating Soberano'!$K$2:$K$22),NA())</f>
        <v>#N/A</v>
      </c>
      <c r="Q62" s="52" t="e">
        <f>IFERROR(_xlfn.XLOOKUP(I62,'Agências de Rating Soberano'!$J$2:$J$22,'Agências de Rating Soberano'!$K$2:$K$22),NA())</f>
        <v>#N/A</v>
      </c>
    </row>
    <row r="63" spans="1:17" x14ac:dyDescent="0.3">
      <c r="A63" s="53">
        <f t="shared" si="3"/>
        <v>33603</v>
      </c>
      <c r="B63" t="str">
        <f>IFERROR(_xlfn.XLOOKUP($A63,Planilha2!$A$2:$A$34,Planilha2!C$2:C$34,"",-1),"")</f>
        <v>B2</v>
      </c>
      <c r="C63" t="str">
        <f>IFERROR(_xlfn.XLOOKUP($A63,Planilha2!$A$2:$A$34,Planilha2!D$2:D$34,"",-1),"")</f>
        <v>-</v>
      </c>
      <c r="D63" t="str" cm="1">
        <f t="array" ref="D63">IF($A63&lt;MIN(Planilha2!$A$2:$A$34),"",_xlfn.LET(_xlpm.t,_xlfn.XLOOKUP($A63,Planilha2!$A$2:$A$34,Planilha2!$E$2:$E$34,"",-1),_xlfn.IFS(ISNUMBER(SEARCH("positiva",_xlpm.t)),"Positiva",ISNUMBER(SEARCH("negativa",_xlpm.t)),"Negativa",ISNUMBER(SEARCH("estável",_xlpm.t)),"Estável",TRUE,"n/d")))</f>
        <v>Estável</v>
      </c>
      <c r="E63" t="str">
        <f>IFERROR(_xlfn.XLOOKUP($A63,Planilha2!$J$2:$J$44,Planilha2!L$2:L$44,"",-1),"")</f>
        <v/>
      </c>
      <c r="F63" t="str">
        <f>IFERROR(_xlfn.XLOOKUP($A63,Planilha2!$J$2:$J$44,Planilha2!M$2:M$44,"",-1),"")</f>
        <v/>
      </c>
      <c r="G63" t="str" cm="1">
        <f t="array" ref="G63">IF($A63&lt;MIN(Planilha2!$J$2:$J$44),"",_xlfn.LET(_xlpm.t,_xlfn.XLOOKUP($A63,Planilha2!$J$2:$J$44,Planilha2!$N$2:$N$44,"",-1),_xlfn.IFS(ISNUMBER(SEARCH("positiva",_xlpm.t)),"Positiva",ISNUMBER(SEARCH("negativa",_xlpm.t)),"Negativa",ISNUMBER(SEARCH("estável",_xlpm.t)),"Estável",TRUE,"n/d")))</f>
        <v/>
      </c>
      <c r="H63" t="str">
        <f>IFERROR(_xlfn.XLOOKUP($A63,Planilha2!$P$2:$P$38,Planilha2!R$2:R$38,"",-1),"")</f>
        <v/>
      </c>
      <c r="I63" t="str">
        <f>IFERROR(_xlfn.XLOOKUP($A63,Planilha2!$P$2:$P$38,Planilha2!S$2:S$38,"",-1),"")</f>
        <v/>
      </c>
      <c r="J63" t="str" cm="1">
        <f t="array" ref="J63">IF($A63&lt;MIN(Planilha2!$P$2:$P$38),"",_xlfn.LET(_xlpm.t,_xlfn.XLOOKUP($A63,Planilha2!$P$2:$P$38,Planilha2!$T$2:$T$38,"",-1),_xlfn.IFS(ISNUMBER(SEARCH("positiva",_xlpm.t)),"Positiva",ISNUMBER(SEARCH("negativa",_xlpm.t)),"Negativa",ISNUMBER(SEARCH("estável",_xlpm.t)),"Estável",TRUE,"n/d")))</f>
        <v/>
      </c>
      <c r="L63" s="52">
        <f>IFERROR(_xlfn.XLOOKUP(B63,'Agências de Rating Soberano'!$G$2:$G$22,'Agências de Rating Soberano'!$H$2:$H$22),NA())</f>
        <v>7</v>
      </c>
      <c r="M63" s="52" t="e">
        <f>IFERROR(_xlfn.XLOOKUP(C63,'Agências de Rating Soberano'!$G$2:$G$22,'Agências de Rating Soberano'!$H$2:$H$22),NA())</f>
        <v>#N/A</v>
      </c>
      <c r="N63" s="52" t="e">
        <f>IFERROR(_xlfn.XLOOKUP(E63,'Agências de Rating Soberano'!$J$2:$J$22,'Agências de Rating Soberano'!$K$2:$K$22),NA())</f>
        <v>#N/A</v>
      </c>
      <c r="O63" s="52" t="e">
        <f>IFERROR(_xlfn.XLOOKUP(F63,'Agências de Rating Soberano'!$J$2:$J$22,'Agências de Rating Soberano'!$K$2:$K$22),NA())</f>
        <v>#N/A</v>
      </c>
      <c r="P63" s="52" t="e">
        <f>IFERROR(_xlfn.XLOOKUP(H63,'Agências de Rating Soberano'!$J$2:$J$22,'Agências de Rating Soberano'!$K$2:$K$22),NA())</f>
        <v>#N/A</v>
      </c>
      <c r="Q63" s="52" t="e">
        <f>IFERROR(_xlfn.XLOOKUP(I63,'Agências de Rating Soberano'!$J$2:$J$22,'Agências de Rating Soberano'!$K$2:$K$22),NA())</f>
        <v>#N/A</v>
      </c>
    </row>
    <row r="64" spans="1:17" x14ac:dyDescent="0.3">
      <c r="A64" s="53">
        <f t="shared" si="3"/>
        <v>33634</v>
      </c>
      <c r="B64" t="str">
        <f>IFERROR(_xlfn.XLOOKUP($A64,Planilha2!$A$2:$A$34,Planilha2!C$2:C$34,"",-1),"")</f>
        <v>B2</v>
      </c>
      <c r="C64" t="str">
        <f>IFERROR(_xlfn.XLOOKUP($A64,Planilha2!$A$2:$A$34,Planilha2!D$2:D$34,"",-1),"")</f>
        <v>-</v>
      </c>
      <c r="D64" t="str" cm="1">
        <f t="array" ref="D64">IF($A64&lt;MIN(Planilha2!$A$2:$A$34),"",_xlfn.LET(_xlpm.t,_xlfn.XLOOKUP($A64,Planilha2!$A$2:$A$34,Planilha2!$E$2:$E$34,"",-1),_xlfn.IFS(ISNUMBER(SEARCH("positiva",_xlpm.t)),"Positiva",ISNUMBER(SEARCH("negativa",_xlpm.t)),"Negativa",ISNUMBER(SEARCH("estável",_xlpm.t)),"Estável",TRUE,"n/d")))</f>
        <v>Estável</v>
      </c>
      <c r="E64" t="str">
        <f>IFERROR(_xlfn.XLOOKUP($A64,Planilha2!$J$2:$J$44,Planilha2!L$2:L$44,"",-1),"")</f>
        <v/>
      </c>
      <c r="F64" t="str">
        <f>IFERROR(_xlfn.XLOOKUP($A64,Planilha2!$J$2:$J$44,Planilha2!M$2:M$44,"",-1),"")</f>
        <v/>
      </c>
      <c r="G64" t="str" cm="1">
        <f t="array" ref="G64">IF($A64&lt;MIN(Planilha2!$J$2:$J$44),"",_xlfn.LET(_xlpm.t,_xlfn.XLOOKUP($A64,Planilha2!$J$2:$J$44,Planilha2!$N$2:$N$44,"",-1),_xlfn.IFS(ISNUMBER(SEARCH("positiva",_xlpm.t)),"Positiva",ISNUMBER(SEARCH("negativa",_xlpm.t)),"Negativa",ISNUMBER(SEARCH("estável",_xlpm.t)),"Estável",TRUE,"n/d")))</f>
        <v/>
      </c>
      <c r="H64" t="str">
        <f>IFERROR(_xlfn.XLOOKUP($A64,Planilha2!$P$2:$P$38,Planilha2!R$2:R$38,"",-1),"")</f>
        <v/>
      </c>
      <c r="I64" t="str">
        <f>IFERROR(_xlfn.XLOOKUP($A64,Planilha2!$P$2:$P$38,Planilha2!S$2:S$38,"",-1),"")</f>
        <v/>
      </c>
      <c r="J64" t="str" cm="1">
        <f t="array" ref="J64">IF($A64&lt;MIN(Planilha2!$P$2:$P$38),"",_xlfn.LET(_xlpm.t,_xlfn.XLOOKUP($A64,Planilha2!$P$2:$P$38,Planilha2!$T$2:$T$38,"",-1),_xlfn.IFS(ISNUMBER(SEARCH("positiva",_xlpm.t)),"Positiva",ISNUMBER(SEARCH("negativa",_xlpm.t)),"Negativa",ISNUMBER(SEARCH("estável",_xlpm.t)),"Estável",TRUE,"n/d")))</f>
        <v/>
      </c>
      <c r="L64" s="52">
        <f>IFERROR(_xlfn.XLOOKUP(B64,'Agências de Rating Soberano'!$G$2:$G$22,'Agências de Rating Soberano'!$H$2:$H$22),NA())</f>
        <v>7</v>
      </c>
      <c r="M64" s="52" t="e">
        <f>IFERROR(_xlfn.XLOOKUP(C64,'Agências de Rating Soberano'!$G$2:$G$22,'Agências de Rating Soberano'!$H$2:$H$22),NA())</f>
        <v>#N/A</v>
      </c>
      <c r="N64" s="52" t="e">
        <f>IFERROR(_xlfn.XLOOKUP(E64,'Agências de Rating Soberano'!$J$2:$J$22,'Agências de Rating Soberano'!$K$2:$K$22),NA())</f>
        <v>#N/A</v>
      </c>
      <c r="O64" s="52" t="e">
        <f>IFERROR(_xlfn.XLOOKUP(F64,'Agências de Rating Soberano'!$J$2:$J$22,'Agências de Rating Soberano'!$K$2:$K$22),NA())</f>
        <v>#N/A</v>
      </c>
      <c r="P64" s="52" t="e">
        <f>IFERROR(_xlfn.XLOOKUP(H64,'Agências de Rating Soberano'!$J$2:$J$22,'Agências de Rating Soberano'!$K$2:$K$22),NA())</f>
        <v>#N/A</v>
      </c>
      <c r="Q64" s="52" t="e">
        <f>IFERROR(_xlfn.XLOOKUP(I64,'Agências de Rating Soberano'!$J$2:$J$22,'Agências de Rating Soberano'!$K$2:$K$22),NA())</f>
        <v>#N/A</v>
      </c>
    </row>
    <row r="65" spans="1:17" x14ac:dyDescent="0.3">
      <c r="A65" s="53">
        <f t="shared" si="3"/>
        <v>33663</v>
      </c>
      <c r="B65" t="str">
        <f>IFERROR(_xlfn.XLOOKUP($A65,Planilha2!$A$2:$A$34,Planilha2!C$2:C$34,"",-1),"")</f>
        <v>B2</v>
      </c>
      <c r="C65" t="str">
        <f>IFERROR(_xlfn.XLOOKUP($A65,Planilha2!$A$2:$A$34,Planilha2!D$2:D$34,"",-1),"")</f>
        <v>-</v>
      </c>
      <c r="D65" t="str" cm="1">
        <f t="array" ref="D65">IF($A65&lt;MIN(Planilha2!$A$2:$A$34),"",_xlfn.LET(_xlpm.t,_xlfn.XLOOKUP($A65,Planilha2!$A$2:$A$34,Planilha2!$E$2:$E$34,"",-1),_xlfn.IFS(ISNUMBER(SEARCH("positiva",_xlpm.t)),"Positiva",ISNUMBER(SEARCH("negativa",_xlpm.t)),"Negativa",ISNUMBER(SEARCH("estável",_xlpm.t)),"Estável",TRUE,"n/d")))</f>
        <v>Estável</v>
      </c>
      <c r="E65" t="str">
        <f>IFERROR(_xlfn.XLOOKUP($A65,Planilha2!$J$2:$J$44,Planilha2!L$2:L$44,"",-1),"")</f>
        <v/>
      </c>
      <c r="F65" t="str">
        <f>IFERROR(_xlfn.XLOOKUP($A65,Planilha2!$J$2:$J$44,Planilha2!M$2:M$44,"",-1),"")</f>
        <v/>
      </c>
      <c r="G65" t="str" cm="1">
        <f t="array" ref="G65">IF($A65&lt;MIN(Planilha2!$J$2:$J$44),"",_xlfn.LET(_xlpm.t,_xlfn.XLOOKUP($A65,Planilha2!$J$2:$J$44,Planilha2!$N$2:$N$44,"",-1),_xlfn.IFS(ISNUMBER(SEARCH("positiva",_xlpm.t)),"Positiva",ISNUMBER(SEARCH("negativa",_xlpm.t)),"Negativa",ISNUMBER(SEARCH("estável",_xlpm.t)),"Estável",TRUE,"n/d")))</f>
        <v/>
      </c>
      <c r="H65" t="str">
        <f>IFERROR(_xlfn.XLOOKUP($A65,Planilha2!$P$2:$P$38,Planilha2!R$2:R$38,"",-1),"")</f>
        <v/>
      </c>
      <c r="I65" t="str">
        <f>IFERROR(_xlfn.XLOOKUP($A65,Planilha2!$P$2:$P$38,Planilha2!S$2:S$38,"",-1),"")</f>
        <v/>
      </c>
      <c r="J65" t="str" cm="1">
        <f t="array" ref="J65">IF($A65&lt;MIN(Planilha2!$P$2:$P$38),"",_xlfn.LET(_xlpm.t,_xlfn.XLOOKUP($A65,Planilha2!$P$2:$P$38,Planilha2!$T$2:$T$38,"",-1),_xlfn.IFS(ISNUMBER(SEARCH("positiva",_xlpm.t)),"Positiva",ISNUMBER(SEARCH("negativa",_xlpm.t)),"Negativa",ISNUMBER(SEARCH("estável",_xlpm.t)),"Estável",TRUE,"n/d")))</f>
        <v/>
      </c>
      <c r="L65" s="52">
        <f>IFERROR(_xlfn.XLOOKUP(B65,'Agências de Rating Soberano'!$G$2:$G$22,'Agências de Rating Soberano'!$H$2:$H$22),NA())</f>
        <v>7</v>
      </c>
      <c r="M65" s="52" t="e">
        <f>IFERROR(_xlfn.XLOOKUP(C65,'Agências de Rating Soberano'!$G$2:$G$22,'Agências de Rating Soberano'!$H$2:$H$22),NA())</f>
        <v>#N/A</v>
      </c>
      <c r="N65" s="52" t="e">
        <f>IFERROR(_xlfn.XLOOKUP(E65,'Agências de Rating Soberano'!$J$2:$J$22,'Agências de Rating Soberano'!$K$2:$K$22),NA())</f>
        <v>#N/A</v>
      </c>
      <c r="O65" s="52" t="e">
        <f>IFERROR(_xlfn.XLOOKUP(F65,'Agências de Rating Soberano'!$J$2:$J$22,'Agências de Rating Soberano'!$K$2:$K$22),NA())</f>
        <v>#N/A</v>
      </c>
      <c r="P65" s="52" t="e">
        <f>IFERROR(_xlfn.XLOOKUP(H65,'Agências de Rating Soberano'!$J$2:$J$22,'Agências de Rating Soberano'!$K$2:$K$22),NA())</f>
        <v>#N/A</v>
      </c>
      <c r="Q65" s="52" t="e">
        <f>IFERROR(_xlfn.XLOOKUP(I65,'Agências de Rating Soberano'!$J$2:$J$22,'Agências de Rating Soberano'!$K$2:$K$22),NA())</f>
        <v>#N/A</v>
      </c>
    </row>
    <row r="66" spans="1:17" x14ac:dyDescent="0.3">
      <c r="A66" s="53">
        <f t="shared" si="3"/>
        <v>33694</v>
      </c>
      <c r="B66" t="str">
        <f>IFERROR(_xlfn.XLOOKUP($A66,Planilha2!$A$2:$A$34,Planilha2!C$2:C$34,"",-1),"")</f>
        <v>B2</v>
      </c>
      <c r="C66" t="str">
        <f>IFERROR(_xlfn.XLOOKUP($A66,Planilha2!$A$2:$A$34,Planilha2!D$2:D$34,"",-1),"")</f>
        <v>-</v>
      </c>
      <c r="D66" t="str" cm="1">
        <f t="array" ref="D66">IF($A66&lt;MIN(Planilha2!$A$2:$A$34),"",_xlfn.LET(_xlpm.t,_xlfn.XLOOKUP($A66,Planilha2!$A$2:$A$34,Planilha2!$E$2:$E$34,"",-1),_xlfn.IFS(ISNUMBER(SEARCH("positiva",_xlpm.t)),"Positiva",ISNUMBER(SEARCH("negativa",_xlpm.t)),"Negativa",ISNUMBER(SEARCH("estável",_xlpm.t)),"Estável",TRUE,"n/d")))</f>
        <v>Estável</v>
      </c>
      <c r="E66" t="str">
        <f>IFERROR(_xlfn.XLOOKUP($A66,Planilha2!$J$2:$J$44,Planilha2!L$2:L$44,"",-1),"")</f>
        <v/>
      </c>
      <c r="F66" t="str">
        <f>IFERROR(_xlfn.XLOOKUP($A66,Planilha2!$J$2:$J$44,Planilha2!M$2:M$44,"",-1),"")</f>
        <v/>
      </c>
      <c r="G66" t="str" cm="1">
        <f t="array" ref="G66">IF($A66&lt;MIN(Planilha2!$J$2:$J$44),"",_xlfn.LET(_xlpm.t,_xlfn.XLOOKUP($A66,Planilha2!$J$2:$J$44,Planilha2!$N$2:$N$44,"",-1),_xlfn.IFS(ISNUMBER(SEARCH("positiva",_xlpm.t)),"Positiva",ISNUMBER(SEARCH("negativa",_xlpm.t)),"Negativa",ISNUMBER(SEARCH("estável",_xlpm.t)),"Estável",TRUE,"n/d")))</f>
        <v/>
      </c>
      <c r="H66" t="str">
        <f>IFERROR(_xlfn.XLOOKUP($A66,Planilha2!$P$2:$P$38,Planilha2!R$2:R$38,"",-1),"")</f>
        <v/>
      </c>
      <c r="I66" t="str">
        <f>IFERROR(_xlfn.XLOOKUP($A66,Planilha2!$P$2:$P$38,Planilha2!S$2:S$38,"",-1),"")</f>
        <v/>
      </c>
      <c r="J66" t="str" cm="1">
        <f t="array" ref="J66">IF($A66&lt;MIN(Planilha2!$P$2:$P$38),"",_xlfn.LET(_xlpm.t,_xlfn.XLOOKUP($A66,Planilha2!$P$2:$P$38,Planilha2!$T$2:$T$38,"",-1),_xlfn.IFS(ISNUMBER(SEARCH("positiva",_xlpm.t)),"Positiva",ISNUMBER(SEARCH("negativa",_xlpm.t)),"Negativa",ISNUMBER(SEARCH("estável",_xlpm.t)),"Estável",TRUE,"n/d")))</f>
        <v/>
      </c>
      <c r="L66" s="52">
        <f>IFERROR(_xlfn.XLOOKUP(B66,'Agências de Rating Soberano'!$G$2:$G$22,'Agências de Rating Soberano'!$H$2:$H$22),NA())</f>
        <v>7</v>
      </c>
      <c r="M66" s="52" t="e">
        <f>IFERROR(_xlfn.XLOOKUP(C66,'Agências de Rating Soberano'!$G$2:$G$22,'Agências de Rating Soberano'!$H$2:$H$22),NA())</f>
        <v>#N/A</v>
      </c>
      <c r="N66" s="52" t="e">
        <f>IFERROR(_xlfn.XLOOKUP(E66,'Agências de Rating Soberano'!$J$2:$J$22,'Agências de Rating Soberano'!$K$2:$K$22),NA())</f>
        <v>#N/A</v>
      </c>
      <c r="O66" s="52" t="e">
        <f>IFERROR(_xlfn.XLOOKUP(F66,'Agências de Rating Soberano'!$J$2:$J$22,'Agências de Rating Soberano'!$K$2:$K$22),NA())</f>
        <v>#N/A</v>
      </c>
      <c r="P66" s="52" t="e">
        <f>IFERROR(_xlfn.XLOOKUP(H66,'Agências de Rating Soberano'!$J$2:$J$22,'Agências de Rating Soberano'!$K$2:$K$22),NA())</f>
        <v>#N/A</v>
      </c>
      <c r="Q66" s="52" t="e">
        <f>IFERROR(_xlfn.XLOOKUP(I66,'Agências de Rating Soberano'!$J$2:$J$22,'Agências de Rating Soberano'!$K$2:$K$22),NA())</f>
        <v>#N/A</v>
      </c>
    </row>
    <row r="67" spans="1:17" x14ac:dyDescent="0.3">
      <c r="A67" s="53">
        <f t="shared" si="3"/>
        <v>33724</v>
      </c>
      <c r="B67" t="str">
        <f>IFERROR(_xlfn.XLOOKUP($A67,Planilha2!$A$2:$A$34,Planilha2!C$2:C$34,"",-1),"")</f>
        <v>B2</v>
      </c>
      <c r="C67" t="str">
        <f>IFERROR(_xlfn.XLOOKUP($A67,Planilha2!$A$2:$A$34,Planilha2!D$2:D$34,"",-1),"")</f>
        <v>-</v>
      </c>
      <c r="D67" t="str" cm="1">
        <f t="array" ref="D67">IF($A67&lt;MIN(Planilha2!$A$2:$A$34),"",_xlfn.LET(_xlpm.t,_xlfn.XLOOKUP($A67,Planilha2!$A$2:$A$34,Planilha2!$E$2:$E$34,"",-1),_xlfn.IFS(ISNUMBER(SEARCH("positiva",_xlpm.t)),"Positiva",ISNUMBER(SEARCH("negativa",_xlpm.t)),"Negativa",ISNUMBER(SEARCH("estável",_xlpm.t)),"Estável",TRUE,"n/d")))</f>
        <v>Estável</v>
      </c>
      <c r="E67" t="str">
        <f>IFERROR(_xlfn.XLOOKUP($A67,Planilha2!$J$2:$J$44,Planilha2!L$2:L$44,"",-1),"")</f>
        <v/>
      </c>
      <c r="F67" t="str">
        <f>IFERROR(_xlfn.XLOOKUP($A67,Planilha2!$J$2:$J$44,Planilha2!M$2:M$44,"",-1),"")</f>
        <v/>
      </c>
      <c r="G67" t="str" cm="1">
        <f t="array" ref="G67">IF($A67&lt;MIN(Planilha2!$J$2:$J$44),"",_xlfn.LET(_xlpm.t,_xlfn.XLOOKUP($A67,Planilha2!$J$2:$J$44,Planilha2!$N$2:$N$44,"",-1),_xlfn.IFS(ISNUMBER(SEARCH("positiva",_xlpm.t)),"Positiva",ISNUMBER(SEARCH("negativa",_xlpm.t)),"Negativa",ISNUMBER(SEARCH("estável",_xlpm.t)),"Estável",TRUE,"n/d")))</f>
        <v/>
      </c>
      <c r="H67" t="str">
        <f>IFERROR(_xlfn.XLOOKUP($A67,Planilha2!$P$2:$P$38,Planilha2!R$2:R$38,"",-1),"")</f>
        <v/>
      </c>
      <c r="I67" t="str">
        <f>IFERROR(_xlfn.XLOOKUP($A67,Planilha2!$P$2:$P$38,Planilha2!S$2:S$38,"",-1),"")</f>
        <v/>
      </c>
      <c r="J67" t="str" cm="1">
        <f t="array" ref="J67">IF($A67&lt;MIN(Planilha2!$P$2:$P$38),"",_xlfn.LET(_xlpm.t,_xlfn.XLOOKUP($A67,Planilha2!$P$2:$P$38,Planilha2!$T$2:$T$38,"",-1),_xlfn.IFS(ISNUMBER(SEARCH("positiva",_xlpm.t)),"Positiva",ISNUMBER(SEARCH("negativa",_xlpm.t)),"Negativa",ISNUMBER(SEARCH("estável",_xlpm.t)),"Estável",TRUE,"n/d")))</f>
        <v/>
      </c>
      <c r="L67" s="52">
        <f>IFERROR(_xlfn.XLOOKUP(B67,'Agências de Rating Soberano'!$G$2:$G$22,'Agências de Rating Soberano'!$H$2:$H$22),NA())</f>
        <v>7</v>
      </c>
      <c r="M67" s="52" t="e">
        <f>IFERROR(_xlfn.XLOOKUP(C67,'Agências de Rating Soberano'!$G$2:$G$22,'Agências de Rating Soberano'!$H$2:$H$22),NA())</f>
        <v>#N/A</v>
      </c>
      <c r="N67" s="52" t="e">
        <f>IFERROR(_xlfn.XLOOKUP(E67,'Agências de Rating Soberano'!$J$2:$J$22,'Agências de Rating Soberano'!$K$2:$K$22),NA())</f>
        <v>#N/A</v>
      </c>
      <c r="O67" s="52" t="e">
        <f>IFERROR(_xlfn.XLOOKUP(F67,'Agências de Rating Soberano'!$J$2:$J$22,'Agências de Rating Soberano'!$K$2:$K$22),NA())</f>
        <v>#N/A</v>
      </c>
      <c r="P67" s="52" t="e">
        <f>IFERROR(_xlfn.XLOOKUP(H67,'Agências de Rating Soberano'!$J$2:$J$22,'Agências de Rating Soberano'!$K$2:$K$22),NA())</f>
        <v>#N/A</v>
      </c>
      <c r="Q67" s="52" t="e">
        <f>IFERROR(_xlfn.XLOOKUP(I67,'Agências de Rating Soberano'!$J$2:$J$22,'Agências de Rating Soberano'!$K$2:$K$22),NA())</f>
        <v>#N/A</v>
      </c>
    </row>
    <row r="68" spans="1:17" x14ac:dyDescent="0.3">
      <c r="A68" s="53">
        <f t="shared" ref="A68:A131" si="8">EOMONTH(A67,1)</f>
        <v>33755</v>
      </c>
      <c r="B68" t="str">
        <f>IFERROR(_xlfn.XLOOKUP($A68,Planilha2!$A$2:$A$34,Planilha2!C$2:C$34,"",-1),"")</f>
        <v>B2</v>
      </c>
      <c r="C68" t="str">
        <f>IFERROR(_xlfn.XLOOKUP($A68,Planilha2!$A$2:$A$34,Planilha2!D$2:D$34,"",-1),"")</f>
        <v>-</v>
      </c>
      <c r="D68" t="str" cm="1">
        <f t="array" ref="D68">IF($A68&lt;MIN(Planilha2!$A$2:$A$34),"",_xlfn.LET(_xlpm.t,_xlfn.XLOOKUP($A68,Planilha2!$A$2:$A$34,Planilha2!$E$2:$E$34,"",-1),_xlfn.IFS(ISNUMBER(SEARCH("positiva",_xlpm.t)),"Positiva",ISNUMBER(SEARCH("negativa",_xlpm.t)),"Negativa",ISNUMBER(SEARCH("estável",_xlpm.t)),"Estável",TRUE,"n/d")))</f>
        <v>Estável</v>
      </c>
      <c r="E68" t="str">
        <f>IFERROR(_xlfn.XLOOKUP($A68,Planilha2!$J$2:$J$44,Planilha2!L$2:L$44,"",-1),"")</f>
        <v/>
      </c>
      <c r="F68" t="str">
        <f>IFERROR(_xlfn.XLOOKUP($A68,Planilha2!$J$2:$J$44,Planilha2!M$2:M$44,"",-1),"")</f>
        <v/>
      </c>
      <c r="G68" t="str" cm="1">
        <f t="array" ref="G68">IF($A68&lt;MIN(Planilha2!$J$2:$J$44),"",_xlfn.LET(_xlpm.t,_xlfn.XLOOKUP($A68,Planilha2!$J$2:$J$44,Planilha2!$N$2:$N$44,"",-1),_xlfn.IFS(ISNUMBER(SEARCH("positiva",_xlpm.t)),"Positiva",ISNUMBER(SEARCH("negativa",_xlpm.t)),"Negativa",ISNUMBER(SEARCH("estável",_xlpm.t)),"Estável",TRUE,"n/d")))</f>
        <v/>
      </c>
      <c r="H68" t="str">
        <f>IFERROR(_xlfn.XLOOKUP($A68,Planilha2!$P$2:$P$38,Planilha2!R$2:R$38,"",-1),"")</f>
        <v/>
      </c>
      <c r="I68" t="str">
        <f>IFERROR(_xlfn.XLOOKUP($A68,Planilha2!$P$2:$P$38,Planilha2!S$2:S$38,"",-1),"")</f>
        <v/>
      </c>
      <c r="J68" t="str" cm="1">
        <f t="array" ref="J68">IF($A68&lt;MIN(Planilha2!$P$2:$P$38),"",_xlfn.LET(_xlpm.t,_xlfn.XLOOKUP($A68,Planilha2!$P$2:$P$38,Planilha2!$T$2:$T$38,"",-1),_xlfn.IFS(ISNUMBER(SEARCH("positiva",_xlpm.t)),"Positiva",ISNUMBER(SEARCH("negativa",_xlpm.t)),"Negativa",ISNUMBER(SEARCH("estável",_xlpm.t)),"Estável",TRUE,"n/d")))</f>
        <v/>
      </c>
      <c r="L68" s="52">
        <f>IFERROR(_xlfn.XLOOKUP(B68,'Agências de Rating Soberano'!$G$2:$G$22,'Agências de Rating Soberano'!$H$2:$H$22),NA())</f>
        <v>7</v>
      </c>
      <c r="M68" s="52" t="e">
        <f>IFERROR(_xlfn.XLOOKUP(C68,'Agências de Rating Soberano'!$G$2:$G$22,'Agências de Rating Soberano'!$H$2:$H$22),NA())</f>
        <v>#N/A</v>
      </c>
      <c r="N68" s="52" t="e">
        <f>IFERROR(_xlfn.XLOOKUP(E68,'Agências de Rating Soberano'!$J$2:$J$22,'Agências de Rating Soberano'!$K$2:$K$22),NA())</f>
        <v>#N/A</v>
      </c>
      <c r="O68" s="52" t="e">
        <f>IFERROR(_xlfn.XLOOKUP(F68,'Agências de Rating Soberano'!$J$2:$J$22,'Agências de Rating Soberano'!$K$2:$K$22),NA())</f>
        <v>#N/A</v>
      </c>
      <c r="P68" s="52" t="e">
        <f>IFERROR(_xlfn.XLOOKUP(H68,'Agências de Rating Soberano'!$J$2:$J$22,'Agências de Rating Soberano'!$K$2:$K$22),NA())</f>
        <v>#N/A</v>
      </c>
      <c r="Q68" s="52" t="e">
        <f>IFERROR(_xlfn.XLOOKUP(I68,'Agências de Rating Soberano'!$J$2:$J$22,'Agências de Rating Soberano'!$K$2:$K$22),NA())</f>
        <v>#N/A</v>
      </c>
    </row>
    <row r="69" spans="1:17" x14ac:dyDescent="0.3">
      <c r="A69" s="53">
        <f t="shared" si="8"/>
        <v>33785</v>
      </c>
      <c r="B69" t="str">
        <f>IFERROR(_xlfn.XLOOKUP($A69,Planilha2!$A$2:$A$34,Planilha2!C$2:C$34,"",-1),"")</f>
        <v>B2</v>
      </c>
      <c r="C69" t="str">
        <f>IFERROR(_xlfn.XLOOKUP($A69,Planilha2!$A$2:$A$34,Planilha2!D$2:D$34,"",-1),"")</f>
        <v>-</v>
      </c>
      <c r="D69" t="str" cm="1">
        <f t="array" ref="D69">IF($A69&lt;MIN(Planilha2!$A$2:$A$34),"",_xlfn.LET(_xlpm.t,_xlfn.XLOOKUP($A69,Planilha2!$A$2:$A$34,Planilha2!$E$2:$E$34,"",-1),_xlfn.IFS(ISNUMBER(SEARCH("positiva",_xlpm.t)),"Positiva",ISNUMBER(SEARCH("negativa",_xlpm.t)),"Negativa",ISNUMBER(SEARCH("estável",_xlpm.t)),"Estável",TRUE,"n/d")))</f>
        <v>Estável</v>
      </c>
      <c r="E69" t="str">
        <f>IFERROR(_xlfn.XLOOKUP($A69,Planilha2!$J$2:$J$44,Planilha2!L$2:L$44,"",-1),"")</f>
        <v/>
      </c>
      <c r="F69" t="str">
        <f>IFERROR(_xlfn.XLOOKUP($A69,Planilha2!$J$2:$J$44,Planilha2!M$2:M$44,"",-1),"")</f>
        <v/>
      </c>
      <c r="G69" t="str" cm="1">
        <f t="array" ref="G69">IF($A69&lt;MIN(Planilha2!$J$2:$J$44),"",_xlfn.LET(_xlpm.t,_xlfn.XLOOKUP($A69,Planilha2!$J$2:$J$44,Planilha2!$N$2:$N$44,"",-1),_xlfn.IFS(ISNUMBER(SEARCH("positiva",_xlpm.t)),"Positiva",ISNUMBER(SEARCH("negativa",_xlpm.t)),"Negativa",ISNUMBER(SEARCH("estável",_xlpm.t)),"Estável",TRUE,"n/d")))</f>
        <v/>
      </c>
      <c r="H69" t="str">
        <f>IFERROR(_xlfn.XLOOKUP($A69,Planilha2!$P$2:$P$38,Planilha2!R$2:R$38,"",-1),"")</f>
        <v/>
      </c>
      <c r="I69" t="str">
        <f>IFERROR(_xlfn.XLOOKUP($A69,Planilha2!$P$2:$P$38,Planilha2!S$2:S$38,"",-1),"")</f>
        <v/>
      </c>
      <c r="J69" t="str" cm="1">
        <f t="array" ref="J69">IF($A69&lt;MIN(Planilha2!$P$2:$P$38),"",_xlfn.LET(_xlpm.t,_xlfn.XLOOKUP($A69,Planilha2!$P$2:$P$38,Planilha2!$T$2:$T$38,"",-1),_xlfn.IFS(ISNUMBER(SEARCH("positiva",_xlpm.t)),"Positiva",ISNUMBER(SEARCH("negativa",_xlpm.t)),"Negativa",ISNUMBER(SEARCH("estável",_xlpm.t)),"Estável",TRUE,"n/d")))</f>
        <v/>
      </c>
      <c r="L69" s="52">
        <f>IFERROR(_xlfn.XLOOKUP(B69,'Agências de Rating Soberano'!$G$2:$G$22,'Agências de Rating Soberano'!$H$2:$H$22),NA())</f>
        <v>7</v>
      </c>
      <c r="M69" s="52" t="e">
        <f>IFERROR(_xlfn.XLOOKUP(C69,'Agências de Rating Soberano'!$G$2:$G$22,'Agências de Rating Soberano'!$H$2:$H$22),NA())</f>
        <v>#N/A</v>
      </c>
      <c r="N69" s="52" t="e">
        <f>IFERROR(_xlfn.XLOOKUP(E69,'Agências de Rating Soberano'!$J$2:$J$22,'Agências de Rating Soberano'!$K$2:$K$22),NA())</f>
        <v>#N/A</v>
      </c>
      <c r="O69" s="52" t="e">
        <f>IFERROR(_xlfn.XLOOKUP(F69,'Agências de Rating Soberano'!$J$2:$J$22,'Agências de Rating Soberano'!$K$2:$K$22),NA())</f>
        <v>#N/A</v>
      </c>
      <c r="P69" s="52" t="e">
        <f>IFERROR(_xlfn.XLOOKUP(H69,'Agências de Rating Soberano'!$J$2:$J$22,'Agências de Rating Soberano'!$K$2:$K$22),NA())</f>
        <v>#N/A</v>
      </c>
      <c r="Q69" s="52" t="e">
        <f>IFERROR(_xlfn.XLOOKUP(I69,'Agências de Rating Soberano'!$J$2:$J$22,'Agências de Rating Soberano'!$K$2:$K$22),NA())</f>
        <v>#N/A</v>
      </c>
    </row>
    <row r="70" spans="1:17" x14ac:dyDescent="0.3">
      <c r="A70" s="53">
        <f t="shared" si="8"/>
        <v>33816</v>
      </c>
      <c r="B70" t="str">
        <f>IFERROR(_xlfn.XLOOKUP($A70,Planilha2!$A$2:$A$34,Planilha2!C$2:C$34,"",-1),"")</f>
        <v>B2</v>
      </c>
      <c r="C70" t="str">
        <f>IFERROR(_xlfn.XLOOKUP($A70,Planilha2!$A$2:$A$34,Planilha2!D$2:D$34,"",-1),"")</f>
        <v>-</v>
      </c>
      <c r="D70" t="str" cm="1">
        <f t="array" ref="D70">IF($A70&lt;MIN(Planilha2!$A$2:$A$34),"",_xlfn.LET(_xlpm.t,_xlfn.XLOOKUP($A70,Planilha2!$A$2:$A$34,Planilha2!$E$2:$E$34,"",-1),_xlfn.IFS(ISNUMBER(SEARCH("positiva",_xlpm.t)),"Positiva",ISNUMBER(SEARCH("negativa",_xlpm.t)),"Negativa",ISNUMBER(SEARCH("estável",_xlpm.t)),"Estável",TRUE,"n/d")))</f>
        <v>Estável</v>
      </c>
      <c r="E70" t="str">
        <f>IFERROR(_xlfn.XLOOKUP($A70,Planilha2!$J$2:$J$44,Planilha2!L$2:L$44,"",-1),"")</f>
        <v/>
      </c>
      <c r="F70" t="str">
        <f>IFERROR(_xlfn.XLOOKUP($A70,Planilha2!$J$2:$J$44,Planilha2!M$2:M$44,"",-1),"")</f>
        <v/>
      </c>
      <c r="G70" t="str" cm="1">
        <f t="array" ref="G70">IF($A70&lt;MIN(Planilha2!$J$2:$J$44),"",_xlfn.LET(_xlpm.t,_xlfn.XLOOKUP($A70,Planilha2!$J$2:$J$44,Planilha2!$N$2:$N$44,"",-1),_xlfn.IFS(ISNUMBER(SEARCH("positiva",_xlpm.t)),"Positiva",ISNUMBER(SEARCH("negativa",_xlpm.t)),"Negativa",ISNUMBER(SEARCH("estável",_xlpm.t)),"Estável",TRUE,"n/d")))</f>
        <v/>
      </c>
      <c r="H70" t="str">
        <f>IFERROR(_xlfn.XLOOKUP($A70,Planilha2!$P$2:$P$38,Planilha2!R$2:R$38,"",-1),"")</f>
        <v/>
      </c>
      <c r="I70" t="str">
        <f>IFERROR(_xlfn.XLOOKUP($A70,Planilha2!$P$2:$P$38,Planilha2!S$2:S$38,"",-1),"")</f>
        <v/>
      </c>
      <c r="J70" t="str" cm="1">
        <f t="array" ref="J70">IF($A70&lt;MIN(Planilha2!$P$2:$P$38),"",_xlfn.LET(_xlpm.t,_xlfn.XLOOKUP($A70,Planilha2!$P$2:$P$38,Planilha2!$T$2:$T$38,"",-1),_xlfn.IFS(ISNUMBER(SEARCH("positiva",_xlpm.t)),"Positiva",ISNUMBER(SEARCH("negativa",_xlpm.t)),"Negativa",ISNUMBER(SEARCH("estável",_xlpm.t)),"Estável",TRUE,"n/d")))</f>
        <v/>
      </c>
      <c r="L70" s="52">
        <f>IFERROR(_xlfn.XLOOKUP(B70,'Agências de Rating Soberano'!$G$2:$G$22,'Agências de Rating Soberano'!$H$2:$H$22),NA())</f>
        <v>7</v>
      </c>
      <c r="M70" s="52" t="e">
        <f>IFERROR(_xlfn.XLOOKUP(C70,'Agências de Rating Soberano'!$G$2:$G$22,'Agências de Rating Soberano'!$H$2:$H$22),NA())</f>
        <v>#N/A</v>
      </c>
      <c r="N70" s="52" t="e">
        <f>IFERROR(_xlfn.XLOOKUP(E70,'Agências de Rating Soberano'!$J$2:$J$22,'Agências de Rating Soberano'!$K$2:$K$22),NA())</f>
        <v>#N/A</v>
      </c>
      <c r="O70" s="52" t="e">
        <f>IFERROR(_xlfn.XLOOKUP(F70,'Agências de Rating Soberano'!$J$2:$J$22,'Agências de Rating Soberano'!$K$2:$K$22),NA())</f>
        <v>#N/A</v>
      </c>
      <c r="P70" s="52" t="e">
        <f>IFERROR(_xlfn.XLOOKUP(H70,'Agências de Rating Soberano'!$J$2:$J$22,'Agências de Rating Soberano'!$K$2:$K$22),NA())</f>
        <v>#N/A</v>
      </c>
      <c r="Q70" s="52" t="e">
        <f>IFERROR(_xlfn.XLOOKUP(I70,'Agências de Rating Soberano'!$J$2:$J$22,'Agências de Rating Soberano'!$K$2:$K$22),NA())</f>
        <v>#N/A</v>
      </c>
    </row>
    <row r="71" spans="1:17" x14ac:dyDescent="0.3">
      <c r="A71" s="53">
        <f t="shared" si="8"/>
        <v>33847</v>
      </c>
      <c r="B71" t="str">
        <f>IFERROR(_xlfn.XLOOKUP($A71,Planilha2!$A$2:$A$34,Planilha2!C$2:C$34,"",-1),"")</f>
        <v>B2</v>
      </c>
      <c r="C71" t="str">
        <f>IFERROR(_xlfn.XLOOKUP($A71,Planilha2!$A$2:$A$34,Planilha2!D$2:D$34,"",-1),"")</f>
        <v>-</v>
      </c>
      <c r="D71" t="str" cm="1">
        <f t="array" ref="D71">IF($A71&lt;MIN(Planilha2!$A$2:$A$34),"",_xlfn.LET(_xlpm.t,_xlfn.XLOOKUP($A71,Planilha2!$A$2:$A$34,Planilha2!$E$2:$E$34,"",-1),_xlfn.IFS(ISNUMBER(SEARCH("positiva",_xlpm.t)),"Positiva",ISNUMBER(SEARCH("negativa",_xlpm.t)),"Negativa",ISNUMBER(SEARCH("estável",_xlpm.t)),"Estável",TRUE,"n/d")))</f>
        <v>Estável</v>
      </c>
      <c r="E71" t="str">
        <f>IFERROR(_xlfn.XLOOKUP($A71,Planilha2!$J$2:$J$44,Planilha2!L$2:L$44,"",-1),"")</f>
        <v/>
      </c>
      <c r="F71" t="str">
        <f>IFERROR(_xlfn.XLOOKUP($A71,Planilha2!$J$2:$J$44,Planilha2!M$2:M$44,"",-1),"")</f>
        <v/>
      </c>
      <c r="G71" t="str" cm="1">
        <f t="array" ref="G71">IF($A71&lt;MIN(Planilha2!$J$2:$J$44),"",_xlfn.LET(_xlpm.t,_xlfn.XLOOKUP($A71,Planilha2!$J$2:$J$44,Planilha2!$N$2:$N$44,"",-1),_xlfn.IFS(ISNUMBER(SEARCH("positiva",_xlpm.t)),"Positiva",ISNUMBER(SEARCH("negativa",_xlpm.t)),"Negativa",ISNUMBER(SEARCH("estável",_xlpm.t)),"Estável",TRUE,"n/d")))</f>
        <v/>
      </c>
      <c r="H71" t="str">
        <f>IFERROR(_xlfn.XLOOKUP($A71,Planilha2!$P$2:$P$38,Planilha2!R$2:R$38,"",-1),"")</f>
        <v/>
      </c>
      <c r="I71" t="str">
        <f>IFERROR(_xlfn.XLOOKUP($A71,Planilha2!$P$2:$P$38,Planilha2!S$2:S$38,"",-1),"")</f>
        <v/>
      </c>
      <c r="J71" t="str" cm="1">
        <f t="array" ref="J71">IF($A71&lt;MIN(Planilha2!$P$2:$P$38),"",_xlfn.LET(_xlpm.t,_xlfn.XLOOKUP($A71,Planilha2!$P$2:$P$38,Planilha2!$T$2:$T$38,"",-1),_xlfn.IFS(ISNUMBER(SEARCH("positiva",_xlpm.t)),"Positiva",ISNUMBER(SEARCH("negativa",_xlpm.t)),"Negativa",ISNUMBER(SEARCH("estável",_xlpm.t)),"Estável",TRUE,"n/d")))</f>
        <v/>
      </c>
      <c r="L71" s="52">
        <f>IFERROR(_xlfn.XLOOKUP(B71,'Agências de Rating Soberano'!$G$2:$G$22,'Agências de Rating Soberano'!$H$2:$H$22),NA())</f>
        <v>7</v>
      </c>
      <c r="M71" s="52" t="e">
        <f>IFERROR(_xlfn.XLOOKUP(C71,'Agências de Rating Soberano'!$G$2:$G$22,'Agências de Rating Soberano'!$H$2:$H$22),NA())</f>
        <v>#N/A</v>
      </c>
      <c r="N71" s="52" t="e">
        <f>IFERROR(_xlfn.XLOOKUP(E71,'Agências de Rating Soberano'!$J$2:$J$22,'Agências de Rating Soberano'!$K$2:$K$22),NA())</f>
        <v>#N/A</v>
      </c>
      <c r="O71" s="52" t="e">
        <f>IFERROR(_xlfn.XLOOKUP(F71,'Agências de Rating Soberano'!$J$2:$J$22,'Agências de Rating Soberano'!$K$2:$K$22),NA())</f>
        <v>#N/A</v>
      </c>
      <c r="P71" s="52" t="e">
        <f>IFERROR(_xlfn.XLOOKUP(H71,'Agências de Rating Soberano'!$J$2:$J$22,'Agências de Rating Soberano'!$K$2:$K$22),NA())</f>
        <v>#N/A</v>
      </c>
      <c r="Q71" s="52" t="e">
        <f>IFERROR(_xlfn.XLOOKUP(I71,'Agências de Rating Soberano'!$J$2:$J$22,'Agências de Rating Soberano'!$K$2:$K$22),NA())</f>
        <v>#N/A</v>
      </c>
    </row>
    <row r="72" spans="1:17" x14ac:dyDescent="0.3">
      <c r="A72" s="53">
        <f t="shared" si="8"/>
        <v>33877</v>
      </c>
      <c r="B72" t="str">
        <f>IFERROR(_xlfn.XLOOKUP($A72,Planilha2!$A$2:$A$34,Planilha2!C$2:C$34,"",-1),"")</f>
        <v>B2</v>
      </c>
      <c r="C72" t="str">
        <f>IFERROR(_xlfn.XLOOKUP($A72,Planilha2!$A$2:$A$34,Planilha2!D$2:D$34,"",-1),"")</f>
        <v>-</v>
      </c>
      <c r="D72" t="str" cm="1">
        <f t="array" ref="D72">IF($A72&lt;MIN(Planilha2!$A$2:$A$34),"",_xlfn.LET(_xlpm.t,_xlfn.XLOOKUP($A72,Planilha2!$A$2:$A$34,Planilha2!$E$2:$E$34,"",-1),_xlfn.IFS(ISNUMBER(SEARCH("positiva",_xlpm.t)),"Positiva",ISNUMBER(SEARCH("negativa",_xlpm.t)),"Negativa",ISNUMBER(SEARCH("estável",_xlpm.t)),"Estável",TRUE,"n/d")))</f>
        <v>Estável</v>
      </c>
      <c r="E72" t="str">
        <f>IFERROR(_xlfn.XLOOKUP($A72,Planilha2!$J$2:$J$44,Planilha2!L$2:L$44,"",-1),"")</f>
        <v/>
      </c>
      <c r="F72" t="str">
        <f>IFERROR(_xlfn.XLOOKUP($A72,Planilha2!$J$2:$J$44,Planilha2!M$2:M$44,"",-1),"")</f>
        <v/>
      </c>
      <c r="G72" t="str" cm="1">
        <f t="array" ref="G72">IF($A72&lt;MIN(Planilha2!$J$2:$J$44),"",_xlfn.LET(_xlpm.t,_xlfn.XLOOKUP($A72,Planilha2!$J$2:$J$44,Planilha2!$N$2:$N$44,"",-1),_xlfn.IFS(ISNUMBER(SEARCH("positiva",_xlpm.t)),"Positiva",ISNUMBER(SEARCH("negativa",_xlpm.t)),"Negativa",ISNUMBER(SEARCH("estável",_xlpm.t)),"Estável",TRUE,"n/d")))</f>
        <v/>
      </c>
      <c r="H72" t="str">
        <f>IFERROR(_xlfn.XLOOKUP($A72,Planilha2!$P$2:$P$38,Planilha2!R$2:R$38,"",-1),"")</f>
        <v/>
      </c>
      <c r="I72" t="str">
        <f>IFERROR(_xlfn.XLOOKUP($A72,Planilha2!$P$2:$P$38,Planilha2!S$2:S$38,"",-1),"")</f>
        <v/>
      </c>
      <c r="J72" t="str" cm="1">
        <f t="array" ref="J72">IF($A72&lt;MIN(Planilha2!$P$2:$P$38),"",_xlfn.LET(_xlpm.t,_xlfn.XLOOKUP($A72,Planilha2!$P$2:$P$38,Planilha2!$T$2:$T$38,"",-1),_xlfn.IFS(ISNUMBER(SEARCH("positiva",_xlpm.t)),"Positiva",ISNUMBER(SEARCH("negativa",_xlpm.t)),"Negativa",ISNUMBER(SEARCH("estável",_xlpm.t)),"Estável",TRUE,"n/d")))</f>
        <v/>
      </c>
      <c r="L72" s="52">
        <f>IFERROR(_xlfn.XLOOKUP(B72,'Agências de Rating Soberano'!$G$2:$G$22,'Agências de Rating Soberano'!$H$2:$H$22),NA())</f>
        <v>7</v>
      </c>
      <c r="M72" s="52" t="e">
        <f>IFERROR(_xlfn.XLOOKUP(C72,'Agências de Rating Soberano'!$G$2:$G$22,'Agências de Rating Soberano'!$H$2:$H$22),NA())</f>
        <v>#N/A</v>
      </c>
      <c r="N72" s="52" t="e">
        <f>IFERROR(_xlfn.XLOOKUP(E72,'Agências de Rating Soberano'!$J$2:$J$22,'Agências de Rating Soberano'!$K$2:$K$22),NA())</f>
        <v>#N/A</v>
      </c>
      <c r="O72" s="52" t="e">
        <f>IFERROR(_xlfn.XLOOKUP(F72,'Agências de Rating Soberano'!$J$2:$J$22,'Agências de Rating Soberano'!$K$2:$K$22),NA())</f>
        <v>#N/A</v>
      </c>
      <c r="P72" s="52" t="e">
        <f>IFERROR(_xlfn.XLOOKUP(H72,'Agências de Rating Soberano'!$J$2:$J$22,'Agências de Rating Soberano'!$K$2:$K$22),NA())</f>
        <v>#N/A</v>
      </c>
      <c r="Q72" s="52" t="e">
        <f>IFERROR(_xlfn.XLOOKUP(I72,'Agências de Rating Soberano'!$J$2:$J$22,'Agências de Rating Soberano'!$K$2:$K$22),NA())</f>
        <v>#N/A</v>
      </c>
    </row>
    <row r="73" spans="1:17" x14ac:dyDescent="0.3">
      <c r="A73" s="53">
        <f t="shared" si="8"/>
        <v>33908</v>
      </c>
      <c r="B73" t="str">
        <f>IFERROR(_xlfn.XLOOKUP($A73,Planilha2!$A$2:$A$34,Planilha2!C$2:C$34,"",-1),"")</f>
        <v>B2</v>
      </c>
      <c r="C73" t="str">
        <f>IFERROR(_xlfn.XLOOKUP($A73,Planilha2!$A$2:$A$34,Planilha2!D$2:D$34,"",-1),"")</f>
        <v>-</v>
      </c>
      <c r="D73" t="str" cm="1">
        <f t="array" ref="D73">IF($A73&lt;MIN(Planilha2!$A$2:$A$34),"",_xlfn.LET(_xlpm.t,_xlfn.XLOOKUP($A73,Planilha2!$A$2:$A$34,Planilha2!$E$2:$E$34,"",-1),_xlfn.IFS(ISNUMBER(SEARCH("positiva",_xlpm.t)),"Positiva",ISNUMBER(SEARCH("negativa",_xlpm.t)),"Negativa",ISNUMBER(SEARCH("estável",_xlpm.t)),"Estável",TRUE,"n/d")))</f>
        <v>Estável</v>
      </c>
      <c r="E73" t="str">
        <f>IFERROR(_xlfn.XLOOKUP($A73,Planilha2!$J$2:$J$44,Planilha2!L$2:L$44,"",-1),"")</f>
        <v/>
      </c>
      <c r="F73" t="str">
        <f>IFERROR(_xlfn.XLOOKUP($A73,Planilha2!$J$2:$J$44,Planilha2!M$2:M$44,"",-1),"")</f>
        <v/>
      </c>
      <c r="G73" t="str" cm="1">
        <f t="array" ref="G73">IF($A73&lt;MIN(Planilha2!$J$2:$J$44),"",_xlfn.LET(_xlpm.t,_xlfn.XLOOKUP($A73,Planilha2!$J$2:$J$44,Planilha2!$N$2:$N$44,"",-1),_xlfn.IFS(ISNUMBER(SEARCH("positiva",_xlpm.t)),"Positiva",ISNUMBER(SEARCH("negativa",_xlpm.t)),"Negativa",ISNUMBER(SEARCH("estável",_xlpm.t)),"Estável",TRUE,"n/d")))</f>
        <v/>
      </c>
      <c r="H73" t="str">
        <f>IFERROR(_xlfn.XLOOKUP($A73,Planilha2!$P$2:$P$38,Planilha2!R$2:R$38,"",-1),"")</f>
        <v/>
      </c>
      <c r="I73" t="str">
        <f>IFERROR(_xlfn.XLOOKUP($A73,Planilha2!$P$2:$P$38,Planilha2!S$2:S$38,"",-1),"")</f>
        <v/>
      </c>
      <c r="J73" t="str" cm="1">
        <f t="array" ref="J73">IF($A73&lt;MIN(Planilha2!$P$2:$P$38),"",_xlfn.LET(_xlpm.t,_xlfn.XLOOKUP($A73,Planilha2!$P$2:$P$38,Planilha2!$T$2:$T$38,"",-1),_xlfn.IFS(ISNUMBER(SEARCH("positiva",_xlpm.t)),"Positiva",ISNUMBER(SEARCH("negativa",_xlpm.t)),"Negativa",ISNUMBER(SEARCH("estável",_xlpm.t)),"Estável",TRUE,"n/d")))</f>
        <v/>
      </c>
      <c r="L73" s="52">
        <f>IFERROR(_xlfn.XLOOKUP(B73,'Agências de Rating Soberano'!$G$2:$G$22,'Agências de Rating Soberano'!$H$2:$H$22),NA())</f>
        <v>7</v>
      </c>
      <c r="M73" s="52" t="e">
        <f>IFERROR(_xlfn.XLOOKUP(C73,'Agências de Rating Soberano'!$G$2:$G$22,'Agências de Rating Soberano'!$H$2:$H$22),NA())</f>
        <v>#N/A</v>
      </c>
      <c r="N73" s="52" t="e">
        <f>IFERROR(_xlfn.XLOOKUP(E73,'Agências de Rating Soberano'!$J$2:$J$22,'Agências de Rating Soberano'!$K$2:$K$22),NA())</f>
        <v>#N/A</v>
      </c>
      <c r="O73" s="52" t="e">
        <f>IFERROR(_xlfn.XLOOKUP(F73,'Agências de Rating Soberano'!$J$2:$J$22,'Agências de Rating Soberano'!$K$2:$K$22),NA())</f>
        <v>#N/A</v>
      </c>
      <c r="P73" s="52" t="e">
        <f>IFERROR(_xlfn.XLOOKUP(H73,'Agências de Rating Soberano'!$J$2:$J$22,'Agências de Rating Soberano'!$K$2:$K$22),NA())</f>
        <v>#N/A</v>
      </c>
      <c r="Q73" s="52" t="e">
        <f>IFERROR(_xlfn.XLOOKUP(I73,'Agências de Rating Soberano'!$J$2:$J$22,'Agências de Rating Soberano'!$K$2:$K$22),NA())</f>
        <v>#N/A</v>
      </c>
    </row>
    <row r="74" spans="1:17" x14ac:dyDescent="0.3">
      <c r="A74" s="53">
        <f t="shared" si="8"/>
        <v>33938</v>
      </c>
      <c r="B74" t="str">
        <f>IFERROR(_xlfn.XLOOKUP($A74,Planilha2!$A$2:$A$34,Planilha2!C$2:C$34,"",-1),"")</f>
        <v>B2</v>
      </c>
      <c r="C74" t="str">
        <f>IFERROR(_xlfn.XLOOKUP($A74,Planilha2!$A$2:$A$34,Planilha2!D$2:D$34,"",-1),"")</f>
        <v>-</v>
      </c>
      <c r="D74" t="str" cm="1">
        <f t="array" ref="D74">IF($A74&lt;MIN(Planilha2!$A$2:$A$34),"",_xlfn.LET(_xlpm.t,_xlfn.XLOOKUP($A74,Planilha2!$A$2:$A$34,Planilha2!$E$2:$E$34,"",-1),_xlfn.IFS(ISNUMBER(SEARCH("positiva",_xlpm.t)),"Positiva",ISNUMBER(SEARCH("negativa",_xlpm.t)),"Negativa",ISNUMBER(SEARCH("estável",_xlpm.t)),"Estável",TRUE,"n/d")))</f>
        <v>Estável</v>
      </c>
      <c r="E74" t="str">
        <f>IFERROR(_xlfn.XLOOKUP($A74,Planilha2!$J$2:$J$44,Planilha2!L$2:L$44,"",-1),"")</f>
        <v/>
      </c>
      <c r="F74" t="str">
        <f>IFERROR(_xlfn.XLOOKUP($A74,Planilha2!$J$2:$J$44,Planilha2!M$2:M$44,"",-1),"")</f>
        <v/>
      </c>
      <c r="G74" t="str" cm="1">
        <f t="array" ref="G74">IF($A74&lt;MIN(Planilha2!$J$2:$J$44),"",_xlfn.LET(_xlpm.t,_xlfn.XLOOKUP($A74,Planilha2!$J$2:$J$44,Planilha2!$N$2:$N$44,"",-1),_xlfn.IFS(ISNUMBER(SEARCH("positiva",_xlpm.t)),"Positiva",ISNUMBER(SEARCH("negativa",_xlpm.t)),"Negativa",ISNUMBER(SEARCH("estável",_xlpm.t)),"Estável",TRUE,"n/d")))</f>
        <v/>
      </c>
      <c r="H74" t="str">
        <f>IFERROR(_xlfn.XLOOKUP($A74,Planilha2!$P$2:$P$38,Planilha2!R$2:R$38,"",-1),"")</f>
        <v/>
      </c>
      <c r="I74" t="str">
        <f>IFERROR(_xlfn.XLOOKUP($A74,Planilha2!$P$2:$P$38,Planilha2!S$2:S$38,"",-1),"")</f>
        <v/>
      </c>
      <c r="J74" t="str" cm="1">
        <f t="array" ref="J74">IF($A74&lt;MIN(Planilha2!$P$2:$P$38),"",_xlfn.LET(_xlpm.t,_xlfn.XLOOKUP($A74,Planilha2!$P$2:$P$38,Planilha2!$T$2:$T$38,"",-1),_xlfn.IFS(ISNUMBER(SEARCH("positiva",_xlpm.t)),"Positiva",ISNUMBER(SEARCH("negativa",_xlpm.t)),"Negativa",ISNUMBER(SEARCH("estável",_xlpm.t)),"Estável",TRUE,"n/d")))</f>
        <v/>
      </c>
      <c r="L74" s="52">
        <f>IFERROR(_xlfn.XLOOKUP(B74,'Agências de Rating Soberano'!$G$2:$G$22,'Agências de Rating Soberano'!$H$2:$H$22),NA())</f>
        <v>7</v>
      </c>
      <c r="M74" s="52" t="e">
        <f>IFERROR(_xlfn.XLOOKUP(C74,'Agências de Rating Soberano'!$G$2:$G$22,'Agências de Rating Soberano'!$H$2:$H$22),NA())</f>
        <v>#N/A</v>
      </c>
      <c r="N74" s="52" t="e">
        <f>IFERROR(_xlfn.XLOOKUP(E74,'Agências de Rating Soberano'!$J$2:$J$22,'Agências de Rating Soberano'!$K$2:$K$22),NA())</f>
        <v>#N/A</v>
      </c>
      <c r="O74" s="52" t="e">
        <f>IFERROR(_xlfn.XLOOKUP(F74,'Agências de Rating Soberano'!$J$2:$J$22,'Agências de Rating Soberano'!$K$2:$K$22),NA())</f>
        <v>#N/A</v>
      </c>
      <c r="P74" s="52" t="e">
        <f>IFERROR(_xlfn.XLOOKUP(H74,'Agências de Rating Soberano'!$J$2:$J$22,'Agências de Rating Soberano'!$K$2:$K$22),NA())</f>
        <v>#N/A</v>
      </c>
      <c r="Q74" s="52" t="e">
        <f>IFERROR(_xlfn.XLOOKUP(I74,'Agências de Rating Soberano'!$J$2:$J$22,'Agências de Rating Soberano'!$K$2:$K$22),NA())</f>
        <v>#N/A</v>
      </c>
    </row>
    <row r="75" spans="1:17" x14ac:dyDescent="0.3">
      <c r="A75" s="53">
        <f t="shared" si="8"/>
        <v>33969</v>
      </c>
      <c r="B75" t="str">
        <f>IFERROR(_xlfn.XLOOKUP($A75,Planilha2!$A$2:$A$34,Planilha2!C$2:C$34,"",-1),"")</f>
        <v>B2</v>
      </c>
      <c r="C75" t="str">
        <f>IFERROR(_xlfn.XLOOKUP($A75,Planilha2!$A$2:$A$34,Planilha2!D$2:D$34,"",-1),"")</f>
        <v>-</v>
      </c>
      <c r="D75" t="str" cm="1">
        <f t="array" ref="D75">IF($A75&lt;MIN(Planilha2!$A$2:$A$34),"",_xlfn.LET(_xlpm.t,_xlfn.XLOOKUP($A75,Planilha2!$A$2:$A$34,Planilha2!$E$2:$E$34,"",-1),_xlfn.IFS(ISNUMBER(SEARCH("positiva",_xlpm.t)),"Positiva",ISNUMBER(SEARCH("negativa",_xlpm.t)),"Negativa",ISNUMBER(SEARCH("estável",_xlpm.t)),"Estável",TRUE,"n/d")))</f>
        <v>Estável</v>
      </c>
      <c r="E75" t="str">
        <f>IFERROR(_xlfn.XLOOKUP($A75,Planilha2!$J$2:$J$44,Planilha2!L$2:L$44,"",-1),"")</f>
        <v/>
      </c>
      <c r="F75" t="str">
        <f>IFERROR(_xlfn.XLOOKUP($A75,Planilha2!$J$2:$J$44,Planilha2!M$2:M$44,"",-1),"")</f>
        <v/>
      </c>
      <c r="G75" t="str" cm="1">
        <f t="array" ref="G75">IF($A75&lt;MIN(Planilha2!$J$2:$J$44),"",_xlfn.LET(_xlpm.t,_xlfn.XLOOKUP($A75,Planilha2!$J$2:$J$44,Planilha2!$N$2:$N$44,"",-1),_xlfn.IFS(ISNUMBER(SEARCH("positiva",_xlpm.t)),"Positiva",ISNUMBER(SEARCH("negativa",_xlpm.t)),"Negativa",ISNUMBER(SEARCH("estável",_xlpm.t)),"Estável",TRUE,"n/d")))</f>
        <v/>
      </c>
      <c r="H75" t="str">
        <f>IFERROR(_xlfn.XLOOKUP($A75,Planilha2!$P$2:$P$38,Planilha2!R$2:R$38,"",-1),"")</f>
        <v/>
      </c>
      <c r="I75" t="str">
        <f>IFERROR(_xlfn.XLOOKUP($A75,Planilha2!$P$2:$P$38,Planilha2!S$2:S$38,"",-1),"")</f>
        <v/>
      </c>
      <c r="J75" t="str" cm="1">
        <f t="array" ref="J75">IF($A75&lt;MIN(Planilha2!$P$2:$P$38),"",_xlfn.LET(_xlpm.t,_xlfn.XLOOKUP($A75,Planilha2!$P$2:$P$38,Planilha2!$T$2:$T$38,"",-1),_xlfn.IFS(ISNUMBER(SEARCH("positiva",_xlpm.t)),"Positiva",ISNUMBER(SEARCH("negativa",_xlpm.t)),"Negativa",ISNUMBER(SEARCH("estável",_xlpm.t)),"Estável",TRUE,"n/d")))</f>
        <v/>
      </c>
      <c r="L75" s="52">
        <f>IFERROR(_xlfn.XLOOKUP(B75,'Agências de Rating Soberano'!$G$2:$G$22,'Agências de Rating Soberano'!$H$2:$H$22),NA())</f>
        <v>7</v>
      </c>
      <c r="M75" s="52" t="e">
        <f>IFERROR(_xlfn.XLOOKUP(C75,'Agências de Rating Soberano'!$G$2:$G$22,'Agências de Rating Soberano'!$H$2:$H$22),NA())</f>
        <v>#N/A</v>
      </c>
      <c r="N75" s="52" t="e">
        <f>IFERROR(_xlfn.XLOOKUP(E75,'Agências de Rating Soberano'!$J$2:$J$22,'Agências de Rating Soberano'!$K$2:$K$22),NA())</f>
        <v>#N/A</v>
      </c>
      <c r="O75" s="52" t="e">
        <f>IFERROR(_xlfn.XLOOKUP(F75,'Agências de Rating Soberano'!$J$2:$J$22,'Agências de Rating Soberano'!$K$2:$K$22),NA())</f>
        <v>#N/A</v>
      </c>
      <c r="P75" s="52" t="e">
        <f>IFERROR(_xlfn.XLOOKUP(H75,'Agências de Rating Soberano'!$J$2:$J$22,'Agências de Rating Soberano'!$K$2:$K$22),NA())</f>
        <v>#N/A</v>
      </c>
      <c r="Q75" s="52" t="e">
        <f>IFERROR(_xlfn.XLOOKUP(I75,'Agências de Rating Soberano'!$J$2:$J$22,'Agências de Rating Soberano'!$K$2:$K$22),NA())</f>
        <v>#N/A</v>
      </c>
    </row>
    <row r="76" spans="1:17" x14ac:dyDescent="0.3">
      <c r="A76" s="53">
        <f t="shared" si="8"/>
        <v>34000</v>
      </c>
      <c r="B76" t="str">
        <f>IFERROR(_xlfn.XLOOKUP($A76,Planilha2!$A$2:$A$34,Planilha2!C$2:C$34,"",-1),"")</f>
        <v>B2</v>
      </c>
      <c r="C76" t="str">
        <f>IFERROR(_xlfn.XLOOKUP($A76,Planilha2!$A$2:$A$34,Planilha2!D$2:D$34,"",-1),"")</f>
        <v>-</v>
      </c>
      <c r="D76" t="str" cm="1">
        <f t="array" ref="D76">IF($A76&lt;MIN(Planilha2!$A$2:$A$34),"",_xlfn.LET(_xlpm.t,_xlfn.XLOOKUP($A76,Planilha2!$A$2:$A$34,Planilha2!$E$2:$E$34,"",-1),_xlfn.IFS(ISNUMBER(SEARCH("positiva",_xlpm.t)),"Positiva",ISNUMBER(SEARCH("negativa",_xlpm.t)),"Negativa",ISNUMBER(SEARCH("estável",_xlpm.t)),"Estável",TRUE,"n/d")))</f>
        <v>Estável</v>
      </c>
      <c r="E76" t="str">
        <f>IFERROR(_xlfn.XLOOKUP($A76,Planilha2!$J$2:$J$44,Planilha2!L$2:L$44,"",-1),"")</f>
        <v/>
      </c>
      <c r="F76" t="str">
        <f>IFERROR(_xlfn.XLOOKUP($A76,Planilha2!$J$2:$J$44,Planilha2!M$2:M$44,"",-1),"")</f>
        <v/>
      </c>
      <c r="G76" t="str" cm="1">
        <f t="array" ref="G76">IF($A76&lt;MIN(Planilha2!$J$2:$J$44),"",_xlfn.LET(_xlpm.t,_xlfn.XLOOKUP($A76,Planilha2!$J$2:$J$44,Planilha2!$N$2:$N$44,"",-1),_xlfn.IFS(ISNUMBER(SEARCH("positiva",_xlpm.t)),"Positiva",ISNUMBER(SEARCH("negativa",_xlpm.t)),"Negativa",ISNUMBER(SEARCH("estável",_xlpm.t)),"Estável",TRUE,"n/d")))</f>
        <v/>
      </c>
      <c r="H76" t="str">
        <f>IFERROR(_xlfn.XLOOKUP($A76,Planilha2!$P$2:$P$38,Planilha2!R$2:R$38,"",-1),"")</f>
        <v/>
      </c>
      <c r="I76" t="str">
        <f>IFERROR(_xlfn.XLOOKUP($A76,Planilha2!$P$2:$P$38,Planilha2!S$2:S$38,"",-1),"")</f>
        <v/>
      </c>
      <c r="J76" t="str" cm="1">
        <f t="array" ref="J76">IF($A76&lt;MIN(Planilha2!$P$2:$P$38),"",_xlfn.LET(_xlpm.t,_xlfn.XLOOKUP($A76,Planilha2!$P$2:$P$38,Planilha2!$T$2:$T$38,"",-1),_xlfn.IFS(ISNUMBER(SEARCH("positiva",_xlpm.t)),"Positiva",ISNUMBER(SEARCH("negativa",_xlpm.t)),"Negativa",ISNUMBER(SEARCH("estável",_xlpm.t)),"Estável",TRUE,"n/d")))</f>
        <v/>
      </c>
      <c r="L76" s="52">
        <f>IFERROR(_xlfn.XLOOKUP(B76,'Agências de Rating Soberano'!$G$2:$G$22,'Agências de Rating Soberano'!$H$2:$H$22),NA())</f>
        <v>7</v>
      </c>
      <c r="M76" s="52" t="e">
        <f>IFERROR(_xlfn.XLOOKUP(C76,'Agências de Rating Soberano'!$G$2:$G$22,'Agências de Rating Soberano'!$H$2:$H$22),NA())</f>
        <v>#N/A</v>
      </c>
      <c r="N76" s="52" t="e">
        <f>IFERROR(_xlfn.XLOOKUP(E76,'Agências de Rating Soberano'!$J$2:$J$22,'Agências de Rating Soberano'!$K$2:$K$22),NA())</f>
        <v>#N/A</v>
      </c>
      <c r="O76" s="52" t="e">
        <f>IFERROR(_xlfn.XLOOKUP(F76,'Agências de Rating Soberano'!$J$2:$J$22,'Agências de Rating Soberano'!$K$2:$K$22),NA())</f>
        <v>#N/A</v>
      </c>
      <c r="P76" s="52" t="e">
        <f>IFERROR(_xlfn.XLOOKUP(H76,'Agências de Rating Soberano'!$J$2:$J$22,'Agências de Rating Soberano'!$K$2:$K$22),NA())</f>
        <v>#N/A</v>
      </c>
      <c r="Q76" s="52" t="e">
        <f>IFERROR(_xlfn.XLOOKUP(I76,'Agências de Rating Soberano'!$J$2:$J$22,'Agências de Rating Soberano'!$K$2:$K$22),NA())</f>
        <v>#N/A</v>
      </c>
    </row>
    <row r="77" spans="1:17" x14ac:dyDescent="0.3">
      <c r="A77" s="53">
        <f t="shared" si="8"/>
        <v>34028</v>
      </c>
      <c r="B77" t="str">
        <f>IFERROR(_xlfn.XLOOKUP($A77,Planilha2!$A$2:$A$34,Planilha2!C$2:C$34,"",-1),"")</f>
        <v>B2</v>
      </c>
      <c r="C77" t="str">
        <f>IFERROR(_xlfn.XLOOKUP($A77,Planilha2!$A$2:$A$34,Planilha2!D$2:D$34,"",-1),"")</f>
        <v>-</v>
      </c>
      <c r="D77" t="str" cm="1">
        <f t="array" ref="D77">IF($A77&lt;MIN(Planilha2!$A$2:$A$34),"",_xlfn.LET(_xlpm.t,_xlfn.XLOOKUP($A77,Planilha2!$A$2:$A$34,Planilha2!$E$2:$E$34,"",-1),_xlfn.IFS(ISNUMBER(SEARCH("positiva",_xlpm.t)),"Positiva",ISNUMBER(SEARCH("negativa",_xlpm.t)),"Negativa",ISNUMBER(SEARCH("estável",_xlpm.t)),"Estável",TRUE,"n/d")))</f>
        <v>Estável</v>
      </c>
      <c r="E77" t="str">
        <f>IFERROR(_xlfn.XLOOKUP($A77,Planilha2!$J$2:$J$44,Planilha2!L$2:L$44,"",-1),"")</f>
        <v/>
      </c>
      <c r="F77" t="str">
        <f>IFERROR(_xlfn.XLOOKUP($A77,Planilha2!$J$2:$J$44,Planilha2!M$2:M$44,"",-1),"")</f>
        <v/>
      </c>
      <c r="G77" t="str" cm="1">
        <f t="array" ref="G77">IF($A77&lt;MIN(Planilha2!$J$2:$J$44),"",_xlfn.LET(_xlpm.t,_xlfn.XLOOKUP($A77,Planilha2!$J$2:$J$44,Planilha2!$N$2:$N$44,"",-1),_xlfn.IFS(ISNUMBER(SEARCH("positiva",_xlpm.t)),"Positiva",ISNUMBER(SEARCH("negativa",_xlpm.t)),"Negativa",ISNUMBER(SEARCH("estável",_xlpm.t)),"Estável",TRUE,"n/d")))</f>
        <v/>
      </c>
      <c r="H77" t="str">
        <f>IFERROR(_xlfn.XLOOKUP($A77,Planilha2!$P$2:$P$38,Planilha2!R$2:R$38,"",-1),"")</f>
        <v/>
      </c>
      <c r="I77" t="str">
        <f>IFERROR(_xlfn.XLOOKUP($A77,Planilha2!$P$2:$P$38,Planilha2!S$2:S$38,"",-1),"")</f>
        <v/>
      </c>
      <c r="J77" t="str" cm="1">
        <f t="array" ref="J77">IF($A77&lt;MIN(Planilha2!$P$2:$P$38),"",_xlfn.LET(_xlpm.t,_xlfn.XLOOKUP($A77,Planilha2!$P$2:$P$38,Planilha2!$T$2:$T$38,"",-1),_xlfn.IFS(ISNUMBER(SEARCH("positiva",_xlpm.t)),"Positiva",ISNUMBER(SEARCH("negativa",_xlpm.t)),"Negativa",ISNUMBER(SEARCH("estável",_xlpm.t)),"Estável",TRUE,"n/d")))</f>
        <v/>
      </c>
      <c r="L77" s="52">
        <f>IFERROR(_xlfn.XLOOKUP(B77,'Agências de Rating Soberano'!$G$2:$G$22,'Agências de Rating Soberano'!$H$2:$H$22),NA())</f>
        <v>7</v>
      </c>
      <c r="M77" s="52" t="e">
        <f>IFERROR(_xlfn.XLOOKUP(C77,'Agências de Rating Soberano'!$G$2:$G$22,'Agências de Rating Soberano'!$H$2:$H$22),NA())</f>
        <v>#N/A</v>
      </c>
      <c r="N77" s="52" t="e">
        <f>IFERROR(_xlfn.XLOOKUP(E77,'Agências de Rating Soberano'!$J$2:$J$22,'Agências de Rating Soberano'!$K$2:$K$22),NA())</f>
        <v>#N/A</v>
      </c>
      <c r="O77" s="52" t="e">
        <f>IFERROR(_xlfn.XLOOKUP(F77,'Agências de Rating Soberano'!$J$2:$J$22,'Agências de Rating Soberano'!$K$2:$K$22),NA())</f>
        <v>#N/A</v>
      </c>
      <c r="P77" s="52" t="e">
        <f>IFERROR(_xlfn.XLOOKUP(H77,'Agências de Rating Soberano'!$J$2:$J$22,'Agências de Rating Soberano'!$K$2:$K$22),NA())</f>
        <v>#N/A</v>
      </c>
      <c r="Q77" s="52" t="e">
        <f>IFERROR(_xlfn.XLOOKUP(I77,'Agências de Rating Soberano'!$J$2:$J$22,'Agências de Rating Soberano'!$K$2:$K$22),NA())</f>
        <v>#N/A</v>
      </c>
    </row>
    <row r="78" spans="1:17" x14ac:dyDescent="0.3">
      <c r="A78" s="53">
        <f t="shared" si="8"/>
        <v>34059</v>
      </c>
      <c r="B78" t="str">
        <f>IFERROR(_xlfn.XLOOKUP($A78,Planilha2!$A$2:$A$34,Planilha2!C$2:C$34,"",-1),"")</f>
        <v>B2</v>
      </c>
      <c r="C78" t="str">
        <f>IFERROR(_xlfn.XLOOKUP($A78,Planilha2!$A$2:$A$34,Planilha2!D$2:D$34,"",-1),"")</f>
        <v>-</v>
      </c>
      <c r="D78" t="str" cm="1">
        <f t="array" ref="D78">IF($A78&lt;MIN(Planilha2!$A$2:$A$34),"",_xlfn.LET(_xlpm.t,_xlfn.XLOOKUP($A78,Planilha2!$A$2:$A$34,Planilha2!$E$2:$E$34,"",-1),_xlfn.IFS(ISNUMBER(SEARCH("positiva",_xlpm.t)),"Positiva",ISNUMBER(SEARCH("negativa",_xlpm.t)),"Negativa",ISNUMBER(SEARCH("estável",_xlpm.t)),"Estável",TRUE,"n/d")))</f>
        <v>Estável</v>
      </c>
      <c r="E78" t="str">
        <f>IFERROR(_xlfn.XLOOKUP($A78,Planilha2!$J$2:$J$44,Planilha2!L$2:L$44,"",-1),"")</f>
        <v/>
      </c>
      <c r="F78" t="str">
        <f>IFERROR(_xlfn.XLOOKUP($A78,Planilha2!$J$2:$J$44,Planilha2!M$2:M$44,"",-1),"")</f>
        <v/>
      </c>
      <c r="G78" t="str" cm="1">
        <f t="array" ref="G78">IF($A78&lt;MIN(Planilha2!$J$2:$J$44),"",_xlfn.LET(_xlpm.t,_xlfn.XLOOKUP($A78,Planilha2!$J$2:$J$44,Planilha2!$N$2:$N$44,"",-1),_xlfn.IFS(ISNUMBER(SEARCH("positiva",_xlpm.t)),"Positiva",ISNUMBER(SEARCH("negativa",_xlpm.t)),"Negativa",ISNUMBER(SEARCH("estável",_xlpm.t)),"Estável",TRUE,"n/d")))</f>
        <v/>
      </c>
      <c r="H78" t="str">
        <f>IFERROR(_xlfn.XLOOKUP($A78,Planilha2!$P$2:$P$38,Planilha2!R$2:R$38,"",-1),"")</f>
        <v/>
      </c>
      <c r="I78" t="str">
        <f>IFERROR(_xlfn.XLOOKUP($A78,Planilha2!$P$2:$P$38,Planilha2!S$2:S$38,"",-1),"")</f>
        <v/>
      </c>
      <c r="J78" t="str" cm="1">
        <f t="array" ref="J78">IF($A78&lt;MIN(Planilha2!$P$2:$P$38),"",_xlfn.LET(_xlpm.t,_xlfn.XLOOKUP($A78,Planilha2!$P$2:$P$38,Planilha2!$T$2:$T$38,"",-1),_xlfn.IFS(ISNUMBER(SEARCH("positiva",_xlpm.t)),"Positiva",ISNUMBER(SEARCH("negativa",_xlpm.t)),"Negativa",ISNUMBER(SEARCH("estável",_xlpm.t)),"Estável",TRUE,"n/d")))</f>
        <v/>
      </c>
      <c r="L78" s="52">
        <f>IFERROR(_xlfn.XLOOKUP(B78,'Agências de Rating Soberano'!$G$2:$G$22,'Agências de Rating Soberano'!$H$2:$H$22),NA())</f>
        <v>7</v>
      </c>
      <c r="M78" s="52" t="e">
        <f>IFERROR(_xlfn.XLOOKUP(C78,'Agências de Rating Soberano'!$G$2:$G$22,'Agências de Rating Soberano'!$H$2:$H$22),NA())</f>
        <v>#N/A</v>
      </c>
      <c r="N78" s="52" t="e">
        <f>IFERROR(_xlfn.XLOOKUP(E78,'Agências de Rating Soberano'!$J$2:$J$22,'Agências de Rating Soberano'!$K$2:$K$22),NA())</f>
        <v>#N/A</v>
      </c>
      <c r="O78" s="52" t="e">
        <f>IFERROR(_xlfn.XLOOKUP(F78,'Agências de Rating Soberano'!$J$2:$J$22,'Agências de Rating Soberano'!$K$2:$K$22),NA())</f>
        <v>#N/A</v>
      </c>
      <c r="P78" s="52" t="e">
        <f>IFERROR(_xlfn.XLOOKUP(H78,'Agências de Rating Soberano'!$J$2:$J$22,'Agências de Rating Soberano'!$K$2:$K$22),NA())</f>
        <v>#N/A</v>
      </c>
      <c r="Q78" s="52" t="e">
        <f>IFERROR(_xlfn.XLOOKUP(I78,'Agências de Rating Soberano'!$J$2:$J$22,'Agências de Rating Soberano'!$K$2:$K$22),NA())</f>
        <v>#N/A</v>
      </c>
    </row>
    <row r="79" spans="1:17" x14ac:dyDescent="0.3">
      <c r="A79" s="53">
        <f t="shared" si="8"/>
        <v>34089</v>
      </c>
      <c r="B79" t="str">
        <f>IFERROR(_xlfn.XLOOKUP($A79,Planilha2!$A$2:$A$34,Planilha2!C$2:C$34,"",-1),"")</f>
        <v>B2</v>
      </c>
      <c r="C79" t="str">
        <f>IFERROR(_xlfn.XLOOKUP($A79,Planilha2!$A$2:$A$34,Planilha2!D$2:D$34,"",-1),"")</f>
        <v>-</v>
      </c>
      <c r="D79" t="str" cm="1">
        <f t="array" ref="D79">IF($A79&lt;MIN(Planilha2!$A$2:$A$34),"",_xlfn.LET(_xlpm.t,_xlfn.XLOOKUP($A79,Planilha2!$A$2:$A$34,Planilha2!$E$2:$E$34,"",-1),_xlfn.IFS(ISNUMBER(SEARCH("positiva",_xlpm.t)),"Positiva",ISNUMBER(SEARCH("negativa",_xlpm.t)),"Negativa",ISNUMBER(SEARCH("estável",_xlpm.t)),"Estável",TRUE,"n/d")))</f>
        <v>Estável</v>
      </c>
      <c r="E79" t="str">
        <f>IFERROR(_xlfn.XLOOKUP($A79,Planilha2!$J$2:$J$44,Planilha2!L$2:L$44,"",-1),"")</f>
        <v/>
      </c>
      <c r="F79" t="str">
        <f>IFERROR(_xlfn.XLOOKUP($A79,Planilha2!$J$2:$J$44,Planilha2!M$2:M$44,"",-1),"")</f>
        <v/>
      </c>
      <c r="G79" t="str" cm="1">
        <f t="array" ref="G79">IF($A79&lt;MIN(Planilha2!$J$2:$J$44),"",_xlfn.LET(_xlpm.t,_xlfn.XLOOKUP($A79,Planilha2!$J$2:$J$44,Planilha2!$N$2:$N$44,"",-1),_xlfn.IFS(ISNUMBER(SEARCH("positiva",_xlpm.t)),"Positiva",ISNUMBER(SEARCH("negativa",_xlpm.t)),"Negativa",ISNUMBER(SEARCH("estável",_xlpm.t)),"Estável",TRUE,"n/d")))</f>
        <v/>
      </c>
      <c r="H79" t="str">
        <f>IFERROR(_xlfn.XLOOKUP($A79,Planilha2!$P$2:$P$38,Planilha2!R$2:R$38,"",-1),"")</f>
        <v/>
      </c>
      <c r="I79" t="str">
        <f>IFERROR(_xlfn.XLOOKUP($A79,Planilha2!$P$2:$P$38,Planilha2!S$2:S$38,"",-1),"")</f>
        <v/>
      </c>
      <c r="J79" t="str" cm="1">
        <f t="array" ref="J79">IF($A79&lt;MIN(Planilha2!$P$2:$P$38),"",_xlfn.LET(_xlpm.t,_xlfn.XLOOKUP($A79,Planilha2!$P$2:$P$38,Planilha2!$T$2:$T$38,"",-1),_xlfn.IFS(ISNUMBER(SEARCH("positiva",_xlpm.t)),"Positiva",ISNUMBER(SEARCH("negativa",_xlpm.t)),"Negativa",ISNUMBER(SEARCH("estável",_xlpm.t)),"Estável",TRUE,"n/d")))</f>
        <v/>
      </c>
      <c r="L79" s="52">
        <f>IFERROR(_xlfn.XLOOKUP(B79,'Agências de Rating Soberano'!$G$2:$G$22,'Agências de Rating Soberano'!$H$2:$H$22),NA())</f>
        <v>7</v>
      </c>
      <c r="M79" s="52" t="e">
        <f>IFERROR(_xlfn.XLOOKUP(C79,'Agências de Rating Soberano'!$G$2:$G$22,'Agências de Rating Soberano'!$H$2:$H$22),NA())</f>
        <v>#N/A</v>
      </c>
      <c r="N79" s="52" t="e">
        <f>IFERROR(_xlfn.XLOOKUP(E79,'Agências de Rating Soberano'!$J$2:$J$22,'Agências de Rating Soberano'!$K$2:$K$22),NA())</f>
        <v>#N/A</v>
      </c>
      <c r="O79" s="52" t="e">
        <f>IFERROR(_xlfn.XLOOKUP(F79,'Agências de Rating Soberano'!$J$2:$J$22,'Agências de Rating Soberano'!$K$2:$K$22),NA())</f>
        <v>#N/A</v>
      </c>
      <c r="P79" s="52" t="e">
        <f>IFERROR(_xlfn.XLOOKUP(H79,'Agências de Rating Soberano'!$J$2:$J$22,'Agências de Rating Soberano'!$K$2:$K$22),NA())</f>
        <v>#N/A</v>
      </c>
      <c r="Q79" s="52" t="e">
        <f>IFERROR(_xlfn.XLOOKUP(I79,'Agências de Rating Soberano'!$J$2:$J$22,'Agências de Rating Soberano'!$K$2:$K$22),NA())</f>
        <v>#N/A</v>
      </c>
    </row>
    <row r="80" spans="1:17" x14ac:dyDescent="0.3">
      <c r="A80" s="53">
        <f t="shared" si="8"/>
        <v>34120</v>
      </c>
      <c r="B80" t="str">
        <f>IFERROR(_xlfn.XLOOKUP($A80,Planilha2!$A$2:$A$34,Planilha2!C$2:C$34,"",-1),"")</f>
        <v>B2</v>
      </c>
      <c r="C80" t="str">
        <f>IFERROR(_xlfn.XLOOKUP($A80,Planilha2!$A$2:$A$34,Planilha2!D$2:D$34,"",-1),"")</f>
        <v>-</v>
      </c>
      <c r="D80" t="str" cm="1">
        <f t="array" ref="D80">IF($A80&lt;MIN(Planilha2!$A$2:$A$34),"",_xlfn.LET(_xlpm.t,_xlfn.XLOOKUP($A80,Planilha2!$A$2:$A$34,Planilha2!$E$2:$E$34,"",-1),_xlfn.IFS(ISNUMBER(SEARCH("positiva",_xlpm.t)),"Positiva",ISNUMBER(SEARCH("negativa",_xlpm.t)),"Negativa",ISNUMBER(SEARCH("estável",_xlpm.t)),"Estável",TRUE,"n/d")))</f>
        <v>Estável</v>
      </c>
      <c r="E80" t="str">
        <f>IFERROR(_xlfn.XLOOKUP($A80,Planilha2!$J$2:$J$44,Planilha2!L$2:L$44,"",-1),"")</f>
        <v/>
      </c>
      <c r="F80" t="str">
        <f>IFERROR(_xlfn.XLOOKUP($A80,Planilha2!$J$2:$J$44,Planilha2!M$2:M$44,"",-1),"")</f>
        <v/>
      </c>
      <c r="G80" t="str" cm="1">
        <f t="array" ref="G80">IF($A80&lt;MIN(Planilha2!$J$2:$J$44),"",_xlfn.LET(_xlpm.t,_xlfn.XLOOKUP($A80,Planilha2!$J$2:$J$44,Planilha2!$N$2:$N$44,"",-1),_xlfn.IFS(ISNUMBER(SEARCH("positiva",_xlpm.t)),"Positiva",ISNUMBER(SEARCH("negativa",_xlpm.t)),"Negativa",ISNUMBER(SEARCH("estável",_xlpm.t)),"Estável",TRUE,"n/d")))</f>
        <v/>
      </c>
      <c r="H80" t="str">
        <f>IFERROR(_xlfn.XLOOKUP($A80,Planilha2!$P$2:$P$38,Planilha2!R$2:R$38,"",-1),"")</f>
        <v/>
      </c>
      <c r="I80" t="str">
        <f>IFERROR(_xlfn.XLOOKUP($A80,Planilha2!$P$2:$P$38,Planilha2!S$2:S$38,"",-1),"")</f>
        <v/>
      </c>
      <c r="J80" t="str" cm="1">
        <f t="array" ref="J80">IF($A80&lt;MIN(Planilha2!$P$2:$P$38),"",_xlfn.LET(_xlpm.t,_xlfn.XLOOKUP($A80,Planilha2!$P$2:$P$38,Planilha2!$T$2:$T$38,"",-1),_xlfn.IFS(ISNUMBER(SEARCH("positiva",_xlpm.t)),"Positiva",ISNUMBER(SEARCH("negativa",_xlpm.t)),"Negativa",ISNUMBER(SEARCH("estável",_xlpm.t)),"Estável",TRUE,"n/d")))</f>
        <v/>
      </c>
      <c r="L80" s="52">
        <f>IFERROR(_xlfn.XLOOKUP(B80,'Agências de Rating Soberano'!$G$2:$G$22,'Agências de Rating Soberano'!$H$2:$H$22),NA())</f>
        <v>7</v>
      </c>
      <c r="M80" s="52" t="e">
        <f>IFERROR(_xlfn.XLOOKUP(C80,'Agências de Rating Soberano'!$G$2:$G$22,'Agências de Rating Soberano'!$H$2:$H$22),NA())</f>
        <v>#N/A</v>
      </c>
      <c r="N80" s="52" t="e">
        <f>IFERROR(_xlfn.XLOOKUP(E80,'Agências de Rating Soberano'!$J$2:$J$22,'Agências de Rating Soberano'!$K$2:$K$22),NA())</f>
        <v>#N/A</v>
      </c>
      <c r="O80" s="52" t="e">
        <f>IFERROR(_xlfn.XLOOKUP(F80,'Agências de Rating Soberano'!$J$2:$J$22,'Agências de Rating Soberano'!$K$2:$K$22),NA())</f>
        <v>#N/A</v>
      </c>
      <c r="P80" s="52" t="e">
        <f>IFERROR(_xlfn.XLOOKUP(H80,'Agências de Rating Soberano'!$J$2:$J$22,'Agências de Rating Soberano'!$K$2:$K$22),NA())</f>
        <v>#N/A</v>
      </c>
      <c r="Q80" s="52" t="e">
        <f>IFERROR(_xlfn.XLOOKUP(I80,'Agências de Rating Soberano'!$J$2:$J$22,'Agências de Rating Soberano'!$K$2:$K$22),NA())</f>
        <v>#N/A</v>
      </c>
    </row>
    <row r="81" spans="1:17" x14ac:dyDescent="0.3">
      <c r="A81" s="53">
        <f t="shared" si="8"/>
        <v>34150</v>
      </c>
      <c r="B81" t="str">
        <f>IFERROR(_xlfn.XLOOKUP($A81,Planilha2!$A$2:$A$34,Planilha2!C$2:C$34,"",-1),"")</f>
        <v>B2</v>
      </c>
      <c r="C81" t="str">
        <f>IFERROR(_xlfn.XLOOKUP($A81,Planilha2!$A$2:$A$34,Planilha2!D$2:D$34,"",-1),"")</f>
        <v>-</v>
      </c>
      <c r="D81" t="str" cm="1">
        <f t="array" ref="D81">IF($A81&lt;MIN(Planilha2!$A$2:$A$34),"",_xlfn.LET(_xlpm.t,_xlfn.XLOOKUP($A81,Planilha2!$A$2:$A$34,Planilha2!$E$2:$E$34,"",-1),_xlfn.IFS(ISNUMBER(SEARCH("positiva",_xlpm.t)),"Positiva",ISNUMBER(SEARCH("negativa",_xlpm.t)),"Negativa",ISNUMBER(SEARCH("estável",_xlpm.t)),"Estável",TRUE,"n/d")))</f>
        <v>Estável</v>
      </c>
      <c r="E81" t="str">
        <f>IFERROR(_xlfn.XLOOKUP($A81,Planilha2!$J$2:$J$44,Planilha2!L$2:L$44,"",-1),"")</f>
        <v/>
      </c>
      <c r="F81" t="str">
        <f>IFERROR(_xlfn.XLOOKUP($A81,Planilha2!$J$2:$J$44,Planilha2!M$2:M$44,"",-1),"")</f>
        <v/>
      </c>
      <c r="G81" t="str" cm="1">
        <f t="array" ref="G81">IF($A81&lt;MIN(Planilha2!$J$2:$J$44),"",_xlfn.LET(_xlpm.t,_xlfn.XLOOKUP($A81,Planilha2!$J$2:$J$44,Planilha2!$N$2:$N$44,"",-1),_xlfn.IFS(ISNUMBER(SEARCH("positiva",_xlpm.t)),"Positiva",ISNUMBER(SEARCH("negativa",_xlpm.t)),"Negativa",ISNUMBER(SEARCH("estável",_xlpm.t)),"Estável",TRUE,"n/d")))</f>
        <v/>
      </c>
      <c r="H81" t="str">
        <f>IFERROR(_xlfn.XLOOKUP($A81,Planilha2!$P$2:$P$38,Planilha2!R$2:R$38,"",-1),"")</f>
        <v/>
      </c>
      <c r="I81" t="str">
        <f>IFERROR(_xlfn.XLOOKUP($A81,Planilha2!$P$2:$P$38,Planilha2!S$2:S$38,"",-1),"")</f>
        <v/>
      </c>
      <c r="J81" t="str" cm="1">
        <f t="array" ref="J81">IF($A81&lt;MIN(Planilha2!$P$2:$P$38),"",_xlfn.LET(_xlpm.t,_xlfn.XLOOKUP($A81,Planilha2!$P$2:$P$38,Planilha2!$T$2:$T$38,"",-1),_xlfn.IFS(ISNUMBER(SEARCH("positiva",_xlpm.t)),"Positiva",ISNUMBER(SEARCH("negativa",_xlpm.t)),"Negativa",ISNUMBER(SEARCH("estável",_xlpm.t)),"Estável",TRUE,"n/d")))</f>
        <v/>
      </c>
      <c r="L81" s="52">
        <f>IFERROR(_xlfn.XLOOKUP(B81,'Agências de Rating Soberano'!$G$2:$G$22,'Agências de Rating Soberano'!$H$2:$H$22),NA())</f>
        <v>7</v>
      </c>
      <c r="M81" s="52" t="e">
        <f>IFERROR(_xlfn.XLOOKUP(C81,'Agências de Rating Soberano'!$G$2:$G$22,'Agências de Rating Soberano'!$H$2:$H$22),NA())</f>
        <v>#N/A</v>
      </c>
      <c r="N81" s="52" t="e">
        <f>IFERROR(_xlfn.XLOOKUP(E81,'Agências de Rating Soberano'!$J$2:$J$22,'Agências de Rating Soberano'!$K$2:$K$22),NA())</f>
        <v>#N/A</v>
      </c>
      <c r="O81" s="52" t="e">
        <f>IFERROR(_xlfn.XLOOKUP(F81,'Agências de Rating Soberano'!$J$2:$J$22,'Agências de Rating Soberano'!$K$2:$K$22),NA())</f>
        <v>#N/A</v>
      </c>
      <c r="P81" s="52" t="e">
        <f>IFERROR(_xlfn.XLOOKUP(H81,'Agências de Rating Soberano'!$J$2:$J$22,'Agências de Rating Soberano'!$K$2:$K$22),NA())</f>
        <v>#N/A</v>
      </c>
      <c r="Q81" s="52" t="e">
        <f>IFERROR(_xlfn.XLOOKUP(I81,'Agências de Rating Soberano'!$J$2:$J$22,'Agências de Rating Soberano'!$K$2:$K$22),NA())</f>
        <v>#N/A</v>
      </c>
    </row>
    <row r="82" spans="1:17" x14ac:dyDescent="0.3">
      <c r="A82" s="53">
        <f t="shared" si="8"/>
        <v>34181</v>
      </c>
      <c r="B82" t="str">
        <f>IFERROR(_xlfn.XLOOKUP($A82,Planilha2!$A$2:$A$34,Planilha2!C$2:C$34,"",-1),"")</f>
        <v>B2</v>
      </c>
      <c r="C82" t="str">
        <f>IFERROR(_xlfn.XLOOKUP($A82,Planilha2!$A$2:$A$34,Planilha2!D$2:D$34,"",-1),"")</f>
        <v>-</v>
      </c>
      <c r="D82" t="str" cm="1">
        <f t="array" ref="D82">IF($A82&lt;MIN(Planilha2!$A$2:$A$34),"",_xlfn.LET(_xlpm.t,_xlfn.XLOOKUP($A82,Planilha2!$A$2:$A$34,Planilha2!$E$2:$E$34,"",-1),_xlfn.IFS(ISNUMBER(SEARCH("positiva",_xlpm.t)),"Positiva",ISNUMBER(SEARCH("negativa",_xlpm.t)),"Negativa",ISNUMBER(SEARCH("estável",_xlpm.t)),"Estável",TRUE,"n/d")))</f>
        <v>Estável</v>
      </c>
      <c r="E82" t="str">
        <f>IFERROR(_xlfn.XLOOKUP($A82,Planilha2!$J$2:$J$44,Planilha2!L$2:L$44,"",-1),"")</f>
        <v/>
      </c>
      <c r="F82" t="str">
        <f>IFERROR(_xlfn.XLOOKUP($A82,Planilha2!$J$2:$J$44,Planilha2!M$2:M$44,"",-1),"")</f>
        <v/>
      </c>
      <c r="G82" t="str" cm="1">
        <f t="array" ref="G82">IF($A82&lt;MIN(Planilha2!$J$2:$J$44),"",_xlfn.LET(_xlpm.t,_xlfn.XLOOKUP($A82,Planilha2!$J$2:$J$44,Planilha2!$N$2:$N$44,"",-1),_xlfn.IFS(ISNUMBER(SEARCH("positiva",_xlpm.t)),"Positiva",ISNUMBER(SEARCH("negativa",_xlpm.t)),"Negativa",ISNUMBER(SEARCH("estável",_xlpm.t)),"Estável",TRUE,"n/d")))</f>
        <v/>
      </c>
      <c r="H82" t="str">
        <f>IFERROR(_xlfn.XLOOKUP($A82,Planilha2!$P$2:$P$38,Planilha2!R$2:R$38,"",-1),"")</f>
        <v/>
      </c>
      <c r="I82" t="str">
        <f>IFERROR(_xlfn.XLOOKUP($A82,Planilha2!$P$2:$P$38,Planilha2!S$2:S$38,"",-1),"")</f>
        <v/>
      </c>
      <c r="J82" t="str" cm="1">
        <f t="array" ref="J82">IF($A82&lt;MIN(Planilha2!$P$2:$P$38),"",_xlfn.LET(_xlpm.t,_xlfn.XLOOKUP($A82,Planilha2!$P$2:$P$38,Planilha2!$T$2:$T$38,"",-1),_xlfn.IFS(ISNUMBER(SEARCH("positiva",_xlpm.t)),"Positiva",ISNUMBER(SEARCH("negativa",_xlpm.t)),"Negativa",ISNUMBER(SEARCH("estável",_xlpm.t)),"Estável",TRUE,"n/d")))</f>
        <v/>
      </c>
      <c r="L82" s="52">
        <f>IFERROR(_xlfn.XLOOKUP(B82,'Agências de Rating Soberano'!$G$2:$G$22,'Agências de Rating Soberano'!$H$2:$H$22),NA())</f>
        <v>7</v>
      </c>
      <c r="M82" s="52" t="e">
        <f>IFERROR(_xlfn.XLOOKUP(C82,'Agências de Rating Soberano'!$G$2:$G$22,'Agências de Rating Soberano'!$H$2:$H$22),NA())</f>
        <v>#N/A</v>
      </c>
      <c r="N82" s="52" t="e">
        <f>IFERROR(_xlfn.XLOOKUP(E82,'Agências de Rating Soberano'!$J$2:$J$22,'Agências de Rating Soberano'!$K$2:$K$22),NA())</f>
        <v>#N/A</v>
      </c>
      <c r="O82" s="52" t="e">
        <f>IFERROR(_xlfn.XLOOKUP(F82,'Agências de Rating Soberano'!$J$2:$J$22,'Agências de Rating Soberano'!$K$2:$K$22),NA())</f>
        <v>#N/A</v>
      </c>
      <c r="P82" s="52" t="e">
        <f>IFERROR(_xlfn.XLOOKUP(H82,'Agências de Rating Soberano'!$J$2:$J$22,'Agências de Rating Soberano'!$K$2:$K$22),NA())</f>
        <v>#N/A</v>
      </c>
      <c r="Q82" s="52" t="e">
        <f>IFERROR(_xlfn.XLOOKUP(I82,'Agências de Rating Soberano'!$J$2:$J$22,'Agências de Rating Soberano'!$K$2:$K$22),NA())</f>
        <v>#N/A</v>
      </c>
    </row>
    <row r="83" spans="1:17" x14ac:dyDescent="0.3">
      <c r="A83" s="53">
        <f t="shared" si="8"/>
        <v>34212</v>
      </c>
      <c r="B83" t="str">
        <f>IFERROR(_xlfn.XLOOKUP($A83,Planilha2!$A$2:$A$34,Planilha2!C$2:C$34,"",-1),"")</f>
        <v>B2</v>
      </c>
      <c r="C83" t="str">
        <f>IFERROR(_xlfn.XLOOKUP($A83,Planilha2!$A$2:$A$34,Planilha2!D$2:D$34,"",-1),"")</f>
        <v>-</v>
      </c>
      <c r="D83" t="str" cm="1">
        <f t="array" ref="D83">IF($A83&lt;MIN(Planilha2!$A$2:$A$34),"",_xlfn.LET(_xlpm.t,_xlfn.XLOOKUP($A83,Planilha2!$A$2:$A$34,Planilha2!$E$2:$E$34,"",-1),_xlfn.IFS(ISNUMBER(SEARCH("positiva",_xlpm.t)),"Positiva",ISNUMBER(SEARCH("negativa",_xlpm.t)),"Negativa",ISNUMBER(SEARCH("estável",_xlpm.t)),"Estável",TRUE,"n/d")))</f>
        <v>Estável</v>
      </c>
      <c r="E83" t="str">
        <f>IFERROR(_xlfn.XLOOKUP($A83,Planilha2!$J$2:$J$44,Planilha2!L$2:L$44,"",-1),"")</f>
        <v/>
      </c>
      <c r="F83" t="str">
        <f>IFERROR(_xlfn.XLOOKUP($A83,Planilha2!$J$2:$J$44,Planilha2!M$2:M$44,"",-1),"")</f>
        <v/>
      </c>
      <c r="G83" t="str" cm="1">
        <f t="array" ref="G83">IF($A83&lt;MIN(Planilha2!$J$2:$J$44),"",_xlfn.LET(_xlpm.t,_xlfn.XLOOKUP($A83,Planilha2!$J$2:$J$44,Planilha2!$N$2:$N$44,"",-1),_xlfn.IFS(ISNUMBER(SEARCH("positiva",_xlpm.t)),"Positiva",ISNUMBER(SEARCH("negativa",_xlpm.t)),"Negativa",ISNUMBER(SEARCH("estável",_xlpm.t)),"Estável",TRUE,"n/d")))</f>
        <v/>
      </c>
      <c r="H83" t="str">
        <f>IFERROR(_xlfn.XLOOKUP($A83,Planilha2!$P$2:$P$38,Planilha2!R$2:R$38,"",-1),"")</f>
        <v/>
      </c>
      <c r="I83" t="str">
        <f>IFERROR(_xlfn.XLOOKUP($A83,Planilha2!$P$2:$P$38,Planilha2!S$2:S$38,"",-1),"")</f>
        <v/>
      </c>
      <c r="J83" t="str" cm="1">
        <f t="array" ref="J83">IF($A83&lt;MIN(Planilha2!$P$2:$P$38),"",_xlfn.LET(_xlpm.t,_xlfn.XLOOKUP($A83,Planilha2!$P$2:$P$38,Planilha2!$T$2:$T$38,"",-1),_xlfn.IFS(ISNUMBER(SEARCH("positiva",_xlpm.t)),"Positiva",ISNUMBER(SEARCH("negativa",_xlpm.t)),"Negativa",ISNUMBER(SEARCH("estável",_xlpm.t)),"Estável",TRUE,"n/d")))</f>
        <v/>
      </c>
      <c r="L83" s="52">
        <f>IFERROR(_xlfn.XLOOKUP(B83,'Agências de Rating Soberano'!$G$2:$G$22,'Agências de Rating Soberano'!$H$2:$H$22),NA())</f>
        <v>7</v>
      </c>
      <c r="M83" s="52" t="e">
        <f>IFERROR(_xlfn.XLOOKUP(C83,'Agências de Rating Soberano'!$G$2:$G$22,'Agências de Rating Soberano'!$H$2:$H$22),NA())</f>
        <v>#N/A</v>
      </c>
      <c r="N83" s="52" t="e">
        <f>IFERROR(_xlfn.XLOOKUP(E83,'Agências de Rating Soberano'!$J$2:$J$22,'Agências de Rating Soberano'!$K$2:$K$22),NA())</f>
        <v>#N/A</v>
      </c>
      <c r="O83" s="52" t="e">
        <f>IFERROR(_xlfn.XLOOKUP(F83,'Agências de Rating Soberano'!$J$2:$J$22,'Agências de Rating Soberano'!$K$2:$K$22),NA())</f>
        <v>#N/A</v>
      </c>
      <c r="P83" s="52" t="e">
        <f>IFERROR(_xlfn.XLOOKUP(H83,'Agências de Rating Soberano'!$J$2:$J$22,'Agências de Rating Soberano'!$K$2:$K$22),NA())</f>
        <v>#N/A</v>
      </c>
      <c r="Q83" s="52" t="e">
        <f>IFERROR(_xlfn.XLOOKUP(I83,'Agências de Rating Soberano'!$J$2:$J$22,'Agências de Rating Soberano'!$K$2:$K$22),NA())</f>
        <v>#N/A</v>
      </c>
    </row>
    <row r="84" spans="1:17" x14ac:dyDescent="0.3">
      <c r="A84" s="53">
        <f t="shared" si="8"/>
        <v>34242</v>
      </c>
      <c r="B84" t="str">
        <f>IFERROR(_xlfn.XLOOKUP($A84,Planilha2!$A$2:$A$34,Planilha2!C$2:C$34,"",-1),"")</f>
        <v>B2</v>
      </c>
      <c r="C84" t="str">
        <f>IFERROR(_xlfn.XLOOKUP($A84,Planilha2!$A$2:$A$34,Planilha2!D$2:D$34,"",-1),"")</f>
        <v>-</v>
      </c>
      <c r="D84" t="str" cm="1">
        <f t="array" ref="D84">IF($A84&lt;MIN(Planilha2!$A$2:$A$34),"",_xlfn.LET(_xlpm.t,_xlfn.XLOOKUP($A84,Planilha2!$A$2:$A$34,Planilha2!$E$2:$E$34,"",-1),_xlfn.IFS(ISNUMBER(SEARCH("positiva",_xlpm.t)),"Positiva",ISNUMBER(SEARCH("negativa",_xlpm.t)),"Negativa",ISNUMBER(SEARCH("estável",_xlpm.t)),"Estável",TRUE,"n/d")))</f>
        <v>Estável</v>
      </c>
      <c r="E84" t="str">
        <f>IFERROR(_xlfn.XLOOKUP($A84,Planilha2!$J$2:$J$44,Planilha2!L$2:L$44,"",-1),"")</f>
        <v/>
      </c>
      <c r="F84" t="str">
        <f>IFERROR(_xlfn.XLOOKUP($A84,Planilha2!$J$2:$J$44,Planilha2!M$2:M$44,"",-1),"")</f>
        <v/>
      </c>
      <c r="G84" t="str" cm="1">
        <f t="array" ref="G84">IF($A84&lt;MIN(Planilha2!$J$2:$J$44),"",_xlfn.LET(_xlpm.t,_xlfn.XLOOKUP($A84,Planilha2!$J$2:$J$44,Planilha2!$N$2:$N$44,"",-1),_xlfn.IFS(ISNUMBER(SEARCH("positiva",_xlpm.t)),"Positiva",ISNUMBER(SEARCH("negativa",_xlpm.t)),"Negativa",ISNUMBER(SEARCH("estável",_xlpm.t)),"Estável",TRUE,"n/d")))</f>
        <v/>
      </c>
      <c r="H84" t="str">
        <f>IFERROR(_xlfn.XLOOKUP($A84,Planilha2!$P$2:$P$38,Planilha2!R$2:R$38,"",-1),"")</f>
        <v/>
      </c>
      <c r="I84" t="str">
        <f>IFERROR(_xlfn.XLOOKUP($A84,Planilha2!$P$2:$P$38,Planilha2!S$2:S$38,"",-1),"")</f>
        <v/>
      </c>
      <c r="J84" t="str" cm="1">
        <f t="array" ref="J84">IF($A84&lt;MIN(Planilha2!$P$2:$P$38),"",_xlfn.LET(_xlpm.t,_xlfn.XLOOKUP($A84,Planilha2!$P$2:$P$38,Planilha2!$T$2:$T$38,"",-1),_xlfn.IFS(ISNUMBER(SEARCH("positiva",_xlpm.t)),"Positiva",ISNUMBER(SEARCH("negativa",_xlpm.t)),"Negativa",ISNUMBER(SEARCH("estável",_xlpm.t)),"Estável",TRUE,"n/d")))</f>
        <v/>
      </c>
      <c r="L84" s="52">
        <f>IFERROR(_xlfn.XLOOKUP(B84,'Agências de Rating Soberano'!$G$2:$G$22,'Agências de Rating Soberano'!$H$2:$H$22),NA())</f>
        <v>7</v>
      </c>
      <c r="M84" s="52" t="e">
        <f>IFERROR(_xlfn.XLOOKUP(C84,'Agências de Rating Soberano'!$G$2:$G$22,'Agências de Rating Soberano'!$H$2:$H$22),NA())</f>
        <v>#N/A</v>
      </c>
      <c r="N84" s="52" t="e">
        <f>IFERROR(_xlfn.XLOOKUP(E84,'Agências de Rating Soberano'!$J$2:$J$22,'Agências de Rating Soberano'!$K$2:$K$22),NA())</f>
        <v>#N/A</v>
      </c>
      <c r="O84" s="52" t="e">
        <f>IFERROR(_xlfn.XLOOKUP(F84,'Agências de Rating Soberano'!$J$2:$J$22,'Agências de Rating Soberano'!$K$2:$K$22),NA())</f>
        <v>#N/A</v>
      </c>
      <c r="P84" s="52" t="e">
        <f>IFERROR(_xlfn.XLOOKUP(H84,'Agências de Rating Soberano'!$J$2:$J$22,'Agências de Rating Soberano'!$K$2:$K$22),NA())</f>
        <v>#N/A</v>
      </c>
      <c r="Q84" s="52" t="e">
        <f>IFERROR(_xlfn.XLOOKUP(I84,'Agências de Rating Soberano'!$J$2:$J$22,'Agências de Rating Soberano'!$K$2:$K$22),NA())</f>
        <v>#N/A</v>
      </c>
    </row>
    <row r="85" spans="1:17" x14ac:dyDescent="0.3">
      <c r="A85" s="53">
        <f t="shared" si="8"/>
        <v>34273</v>
      </c>
      <c r="B85" t="str">
        <f>IFERROR(_xlfn.XLOOKUP($A85,Planilha2!$A$2:$A$34,Planilha2!C$2:C$34,"",-1),"")</f>
        <v>B2</v>
      </c>
      <c r="C85" t="str">
        <f>IFERROR(_xlfn.XLOOKUP($A85,Planilha2!$A$2:$A$34,Planilha2!D$2:D$34,"",-1),"")</f>
        <v>-</v>
      </c>
      <c r="D85" t="str" cm="1">
        <f t="array" ref="D85">IF($A85&lt;MIN(Planilha2!$A$2:$A$34),"",_xlfn.LET(_xlpm.t,_xlfn.XLOOKUP($A85,Planilha2!$A$2:$A$34,Planilha2!$E$2:$E$34,"",-1),_xlfn.IFS(ISNUMBER(SEARCH("positiva",_xlpm.t)),"Positiva",ISNUMBER(SEARCH("negativa",_xlpm.t)),"Negativa",ISNUMBER(SEARCH("estável",_xlpm.t)),"Estável",TRUE,"n/d")))</f>
        <v>Estável</v>
      </c>
      <c r="E85" t="str">
        <f>IFERROR(_xlfn.XLOOKUP($A85,Planilha2!$J$2:$J$44,Planilha2!L$2:L$44,"",-1),"")</f>
        <v/>
      </c>
      <c r="F85" t="str">
        <f>IFERROR(_xlfn.XLOOKUP($A85,Planilha2!$J$2:$J$44,Planilha2!M$2:M$44,"",-1),"")</f>
        <v/>
      </c>
      <c r="G85" t="str" cm="1">
        <f t="array" ref="G85">IF($A85&lt;MIN(Planilha2!$J$2:$J$44),"",_xlfn.LET(_xlpm.t,_xlfn.XLOOKUP($A85,Planilha2!$J$2:$J$44,Planilha2!$N$2:$N$44,"",-1),_xlfn.IFS(ISNUMBER(SEARCH("positiva",_xlpm.t)),"Positiva",ISNUMBER(SEARCH("negativa",_xlpm.t)),"Negativa",ISNUMBER(SEARCH("estável",_xlpm.t)),"Estável",TRUE,"n/d")))</f>
        <v/>
      </c>
      <c r="H85" t="str">
        <f>IFERROR(_xlfn.XLOOKUP($A85,Planilha2!$P$2:$P$38,Planilha2!R$2:R$38,"",-1),"")</f>
        <v/>
      </c>
      <c r="I85" t="str">
        <f>IFERROR(_xlfn.XLOOKUP($A85,Planilha2!$P$2:$P$38,Planilha2!S$2:S$38,"",-1),"")</f>
        <v/>
      </c>
      <c r="J85" t="str" cm="1">
        <f t="array" ref="J85">IF($A85&lt;MIN(Planilha2!$P$2:$P$38),"",_xlfn.LET(_xlpm.t,_xlfn.XLOOKUP($A85,Planilha2!$P$2:$P$38,Planilha2!$T$2:$T$38,"",-1),_xlfn.IFS(ISNUMBER(SEARCH("positiva",_xlpm.t)),"Positiva",ISNUMBER(SEARCH("negativa",_xlpm.t)),"Negativa",ISNUMBER(SEARCH("estável",_xlpm.t)),"Estável",TRUE,"n/d")))</f>
        <v/>
      </c>
      <c r="L85" s="52">
        <f>IFERROR(_xlfn.XLOOKUP(B85,'Agências de Rating Soberano'!$G$2:$G$22,'Agências de Rating Soberano'!$H$2:$H$22),NA())</f>
        <v>7</v>
      </c>
      <c r="M85" s="52" t="e">
        <f>IFERROR(_xlfn.XLOOKUP(C85,'Agências de Rating Soberano'!$G$2:$G$22,'Agências de Rating Soberano'!$H$2:$H$22),NA())</f>
        <v>#N/A</v>
      </c>
      <c r="N85" s="52" t="e">
        <f>IFERROR(_xlfn.XLOOKUP(E85,'Agências de Rating Soberano'!$J$2:$J$22,'Agências de Rating Soberano'!$K$2:$K$22),NA())</f>
        <v>#N/A</v>
      </c>
      <c r="O85" s="52" t="e">
        <f>IFERROR(_xlfn.XLOOKUP(F85,'Agências de Rating Soberano'!$J$2:$J$22,'Agências de Rating Soberano'!$K$2:$K$22),NA())</f>
        <v>#N/A</v>
      </c>
      <c r="P85" s="52" t="e">
        <f>IFERROR(_xlfn.XLOOKUP(H85,'Agências de Rating Soberano'!$J$2:$J$22,'Agências de Rating Soberano'!$K$2:$K$22),NA())</f>
        <v>#N/A</v>
      </c>
      <c r="Q85" s="52" t="e">
        <f>IFERROR(_xlfn.XLOOKUP(I85,'Agências de Rating Soberano'!$J$2:$J$22,'Agências de Rating Soberano'!$K$2:$K$22),NA())</f>
        <v>#N/A</v>
      </c>
    </row>
    <row r="86" spans="1:17" x14ac:dyDescent="0.3">
      <c r="A86" s="53">
        <f t="shared" si="8"/>
        <v>34303</v>
      </c>
      <c r="B86" t="str">
        <f>IFERROR(_xlfn.XLOOKUP($A86,Planilha2!$A$2:$A$34,Planilha2!C$2:C$34,"",-1),"")</f>
        <v>B2</v>
      </c>
      <c r="C86" t="str">
        <f>IFERROR(_xlfn.XLOOKUP($A86,Planilha2!$A$2:$A$34,Planilha2!D$2:D$34,"",-1),"")</f>
        <v>-</v>
      </c>
      <c r="D86" t="str" cm="1">
        <f t="array" ref="D86">IF($A86&lt;MIN(Planilha2!$A$2:$A$34),"",_xlfn.LET(_xlpm.t,_xlfn.XLOOKUP($A86,Planilha2!$A$2:$A$34,Planilha2!$E$2:$E$34,"",-1),_xlfn.IFS(ISNUMBER(SEARCH("positiva",_xlpm.t)),"Positiva",ISNUMBER(SEARCH("negativa",_xlpm.t)),"Negativa",ISNUMBER(SEARCH("estável",_xlpm.t)),"Estável",TRUE,"n/d")))</f>
        <v>Estável</v>
      </c>
      <c r="E86" t="str">
        <f>IFERROR(_xlfn.XLOOKUP($A86,Planilha2!$J$2:$J$44,Planilha2!L$2:L$44,"",-1),"")</f>
        <v/>
      </c>
      <c r="F86" t="str">
        <f>IFERROR(_xlfn.XLOOKUP($A86,Planilha2!$J$2:$J$44,Planilha2!M$2:M$44,"",-1),"")</f>
        <v/>
      </c>
      <c r="G86" t="str" cm="1">
        <f t="array" ref="G86">IF($A86&lt;MIN(Planilha2!$J$2:$J$44),"",_xlfn.LET(_xlpm.t,_xlfn.XLOOKUP($A86,Planilha2!$J$2:$J$44,Planilha2!$N$2:$N$44,"",-1),_xlfn.IFS(ISNUMBER(SEARCH("positiva",_xlpm.t)),"Positiva",ISNUMBER(SEARCH("negativa",_xlpm.t)),"Negativa",ISNUMBER(SEARCH("estável",_xlpm.t)),"Estável",TRUE,"n/d")))</f>
        <v/>
      </c>
      <c r="H86" t="str">
        <f>IFERROR(_xlfn.XLOOKUP($A86,Planilha2!$P$2:$P$38,Planilha2!R$2:R$38,"",-1),"")</f>
        <v/>
      </c>
      <c r="I86" t="str">
        <f>IFERROR(_xlfn.XLOOKUP($A86,Planilha2!$P$2:$P$38,Planilha2!S$2:S$38,"",-1),"")</f>
        <v/>
      </c>
      <c r="J86" t="str" cm="1">
        <f t="array" ref="J86">IF($A86&lt;MIN(Planilha2!$P$2:$P$38),"",_xlfn.LET(_xlpm.t,_xlfn.XLOOKUP($A86,Planilha2!$P$2:$P$38,Planilha2!$T$2:$T$38,"",-1),_xlfn.IFS(ISNUMBER(SEARCH("positiva",_xlpm.t)),"Positiva",ISNUMBER(SEARCH("negativa",_xlpm.t)),"Negativa",ISNUMBER(SEARCH("estável",_xlpm.t)),"Estável",TRUE,"n/d")))</f>
        <v/>
      </c>
      <c r="L86" s="52">
        <f>IFERROR(_xlfn.XLOOKUP(B86,'Agências de Rating Soberano'!$G$2:$G$22,'Agências de Rating Soberano'!$H$2:$H$22),NA())</f>
        <v>7</v>
      </c>
      <c r="M86" s="52" t="e">
        <f>IFERROR(_xlfn.XLOOKUP(C86,'Agências de Rating Soberano'!$G$2:$G$22,'Agências de Rating Soberano'!$H$2:$H$22),NA())</f>
        <v>#N/A</v>
      </c>
      <c r="N86" s="52" t="e">
        <f>IFERROR(_xlfn.XLOOKUP(E86,'Agências de Rating Soberano'!$J$2:$J$22,'Agências de Rating Soberano'!$K$2:$K$22),NA())</f>
        <v>#N/A</v>
      </c>
      <c r="O86" s="52" t="e">
        <f>IFERROR(_xlfn.XLOOKUP(F86,'Agências de Rating Soberano'!$J$2:$J$22,'Agências de Rating Soberano'!$K$2:$K$22),NA())</f>
        <v>#N/A</v>
      </c>
      <c r="P86" s="52" t="e">
        <f>IFERROR(_xlfn.XLOOKUP(H86,'Agências de Rating Soberano'!$J$2:$J$22,'Agências de Rating Soberano'!$K$2:$K$22),NA())</f>
        <v>#N/A</v>
      </c>
      <c r="Q86" s="52" t="e">
        <f>IFERROR(_xlfn.XLOOKUP(I86,'Agências de Rating Soberano'!$J$2:$J$22,'Agências de Rating Soberano'!$K$2:$K$22),NA())</f>
        <v>#N/A</v>
      </c>
    </row>
    <row r="87" spans="1:17" x14ac:dyDescent="0.3">
      <c r="A87" s="53">
        <f t="shared" si="8"/>
        <v>34334</v>
      </c>
      <c r="B87" t="str">
        <f>IFERROR(_xlfn.XLOOKUP($A87,Planilha2!$A$2:$A$34,Planilha2!C$2:C$34,"",-1),"")</f>
        <v>B2</v>
      </c>
      <c r="C87" t="str">
        <f>IFERROR(_xlfn.XLOOKUP($A87,Planilha2!$A$2:$A$34,Planilha2!D$2:D$34,"",-1),"")</f>
        <v>-</v>
      </c>
      <c r="D87" t="str" cm="1">
        <f t="array" ref="D87">IF($A87&lt;MIN(Planilha2!$A$2:$A$34),"",_xlfn.LET(_xlpm.t,_xlfn.XLOOKUP($A87,Planilha2!$A$2:$A$34,Planilha2!$E$2:$E$34,"",-1),_xlfn.IFS(ISNUMBER(SEARCH("positiva",_xlpm.t)),"Positiva",ISNUMBER(SEARCH("negativa",_xlpm.t)),"Negativa",ISNUMBER(SEARCH("estável",_xlpm.t)),"Estável",TRUE,"n/d")))</f>
        <v>Estável</v>
      </c>
      <c r="E87" t="str">
        <f>IFERROR(_xlfn.XLOOKUP($A87,Planilha2!$J$2:$J$44,Planilha2!L$2:L$44,"",-1),"")</f>
        <v/>
      </c>
      <c r="F87" t="str">
        <f>IFERROR(_xlfn.XLOOKUP($A87,Planilha2!$J$2:$J$44,Planilha2!M$2:M$44,"",-1),"")</f>
        <v/>
      </c>
      <c r="G87" t="str" cm="1">
        <f t="array" ref="G87">IF($A87&lt;MIN(Planilha2!$J$2:$J$44),"",_xlfn.LET(_xlpm.t,_xlfn.XLOOKUP($A87,Planilha2!$J$2:$J$44,Planilha2!$N$2:$N$44,"",-1),_xlfn.IFS(ISNUMBER(SEARCH("positiva",_xlpm.t)),"Positiva",ISNUMBER(SEARCH("negativa",_xlpm.t)),"Negativa",ISNUMBER(SEARCH("estável",_xlpm.t)),"Estável",TRUE,"n/d")))</f>
        <v/>
      </c>
      <c r="H87" t="str">
        <f>IFERROR(_xlfn.XLOOKUP($A87,Planilha2!$P$2:$P$38,Planilha2!R$2:R$38,"",-1),"")</f>
        <v/>
      </c>
      <c r="I87" t="str">
        <f>IFERROR(_xlfn.XLOOKUP($A87,Planilha2!$P$2:$P$38,Planilha2!S$2:S$38,"",-1),"")</f>
        <v/>
      </c>
      <c r="J87" t="str" cm="1">
        <f t="array" ref="J87">IF($A87&lt;MIN(Planilha2!$P$2:$P$38),"",_xlfn.LET(_xlpm.t,_xlfn.XLOOKUP($A87,Planilha2!$P$2:$P$38,Planilha2!$T$2:$T$38,"",-1),_xlfn.IFS(ISNUMBER(SEARCH("positiva",_xlpm.t)),"Positiva",ISNUMBER(SEARCH("negativa",_xlpm.t)),"Negativa",ISNUMBER(SEARCH("estável",_xlpm.t)),"Estável",TRUE,"n/d")))</f>
        <v/>
      </c>
      <c r="L87" s="52">
        <f>IFERROR(_xlfn.XLOOKUP(B87,'Agências de Rating Soberano'!$G$2:$G$22,'Agências de Rating Soberano'!$H$2:$H$22),NA())</f>
        <v>7</v>
      </c>
      <c r="M87" s="52" t="e">
        <f>IFERROR(_xlfn.XLOOKUP(C87,'Agências de Rating Soberano'!$G$2:$G$22,'Agências de Rating Soberano'!$H$2:$H$22),NA())</f>
        <v>#N/A</v>
      </c>
      <c r="N87" s="52" t="e">
        <f>IFERROR(_xlfn.XLOOKUP(E87,'Agências de Rating Soberano'!$J$2:$J$22,'Agências de Rating Soberano'!$K$2:$K$22),NA())</f>
        <v>#N/A</v>
      </c>
      <c r="O87" s="52" t="e">
        <f>IFERROR(_xlfn.XLOOKUP(F87,'Agências de Rating Soberano'!$J$2:$J$22,'Agências de Rating Soberano'!$K$2:$K$22),NA())</f>
        <v>#N/A</v>
      </c>
      <c r="P87" s="52" t="e">
        <f>IFERROR(_xlfn.XLOOKUP(H87,'Agências de Rating Soberano'!$J$2:$J$22,'Agências de Rating Soberano'!$K$2:$K$22),NA())</f>
        <v>#N/A</v>
      </c>
      <c r="Q87" s="52" t="e">
        <f>IFERROR(_xlfn.XLOOKUP(I87,'Agências de Rating Soberano'!$J$2:$J$22,'Agências de Rating Soberano'!$K$2:$K$22),NA())</f>
        <v>#N/A</v>
      </c>
    </row>
    <row r="88" spans="1:17" x14ac:dyDescent="0.3">
      <c r="A88" s="53">
        <f t="shared" si="8"/>
        <v>34365</v>
      </c>
      <c r="B88" t="str">
        <f>IFERROR(_xlfn.XLOOKUP($A88,Planilha2!$A$2:$A$34,Planilha2!C$2:C$34,"",-1),"")</f>
        <v>B2</v>
      </c>
      <c r="C88" t="str">
        <f>IFERROR(_xlfn.XLOOKUP($A88,Planilha2!$A$2:$A$34,Planilha2!D$2:D$34,"",-1),"")</f>
        <v>-</v>
      </c>
      <c r="D88" t="str" cm="1">
        <f t="array" ref="D88">IF($A88&lt;MIN(Planilha2!$A$2:$A$34),"",_xlfn.LET(_xlpm.t,_xlfn.XLOOKUP($A88,Planilha2!$A$2:$A$34,Planilha2!$E$2:$E$34,"",-1),_xlfn.IFS(ISNUMBER(SEARCH("positiva",_xlpm.t)),"Positiva",ISNUMBER(SEARCH("negativa",_xlpm.t)),"Negativa",ISNUMBER(SEARCH("estável",_xlpm.t)),"Estável",TRUE,"n/d")))</f>
        <v>Estável</v>
      </c>
      <c r="E88" t="str">
        <f>IFERROR(_xlfn.XLOOKUP($A88,Planilha2!$J$2:$J$44,Planilha2!L$2:L$44,"",-1),"")</f>
        <v/>
      </c>
      <c r="F88" t="str">
        <f>IFERROR(_xlfn.XLOOKUP($A88,Planilha2!$J$2:$J$44,Planilha2!M$2:M$44,"",-1),"")</f>
        <v/>
      </c>
      <c r="G88" t="str" cm="1">
        <f t="array" ref="G88">IF($A88&lt;MIN(Planilha2!$J$2:$J$44),"",_xlfn.LET(_xlpm.t,_xlfn.XLOOKUP($A88,Planilha2!$J$2:$J$44,Planilha2!$N$2:$N$44,"",-1),_xlfn.IFS(ISNUMBER(SEARCH("positiva",_xlpm.t)),"Positiva",ISNUMBER(SEARCH("negativa",_xlpm.t)),"Negativa",ISNUMBER(SEARCH("estável",_xlpm.t)),"Estável",TRUE,"n/d")))</f>
        <v/>
      </c>
      <c r="H88" t="str">
        <f>IFERROR(_xlfn.XLOOKUP($A88,Planilha2!$P$2:$P$38,Planilha2!R$2:R$38,"",-1),"")</f>
        <v/>
      </c>
      <c r="I88" t="str">
        <f>IFERROR(_xlfn.XLOOKUP($A88,Planilha2!$P$2:$P$38,Planilha2!S$2:S$38,"",-1),"")</f>
        <v/>
      </c>
      <c r="J88" t="str" cm="1">
        <f t="array" ref="J88">IF($A88&lt;MIN(Planilha2!$P$2:$P$38),"",_xlfn.LET(_xlpm.t,_xlfn.XLOOKUP($A88,Planilha2!$P$2:$P$38,Planilha2!$T$2:$T$38,"",-1),_xlfn.IFS(ISNUMBER(SEARCH("positiva",_xlpm.t)),"Positiva",ISNUMBER(SEARCH("negativa",_xlpm.t)),"Negativa",ISNUMBER(SEARCH("estável",_xlpm.t)),"Estável",TRUE,"n/d")))</f>
        <v/>
      </c>
      <c r="L88" s="52">
        <f>IFERROR(_xlfn.XLOOKUP(B88,'Agências de Rating Soberano'!$G$2:$G$22,'Agências de Rating Soberano'!$H$2:$H$22),NA())</f>
        <v>7</v>
      </c>
      <c r="M88" s="52" t="e">
        <f>IFERROR(_xlfn.XLOOKUP(C88,'Agências de Rating Soberano'!$G$2:$G$22,'Agências de Rating Soberano'!$H$2:$H$22),NA())</f>
        <v>#N/A</v>
      </c>
      <c r="N88" s="52" t="e">
        <f>IFERROR(_xlfn.XLOOKUP(E88,'Agências de Rating Soberano'!$J$2:$J$22,'Agências de Rating Soberano'!$K$2:$K$22),NA())</f>
        <v>#N/A</v>
      </c>
      <c r="O88" s="52" t="e">
        <f>IFERROR(_xlfn.XLOOKUP(F88,'Agências de Rating Soberano'!$J$2:$J$22,'Agências de Rating Soberano'!$K$2:$K$22),NA())</f>
        <v>#N/A</v>
      </c>
      <c r="P88" s="52" t="e">
        <f>IFERROR(_xlfn.XLOOKUP(H88,'Agências de Rating Soberano'!$J$2:$J$22,'Agências de Rating Soberano'!$K$2:$K$22),NA())</f>
        <v>#N/A</v>
      </c>
      <c r="Q88" s="52" t="e">
        <f>IFERROR(_xlfn.XLOOKUP(I88,'Agências de Rating Soberano'!$J$2:$J$22,'Agências de Rating Soberano'!$K$2:$K$22),NA())</f>
        <v>#N/A</v>
      </c>
    </row>
    <row r="89" spans="1:17" x14ac:dyDescent="0.3">
      <c r="A89" s="53">
        <f t="shared" si="8"/>
        <v>34393</v>
      </c>
      <c r="B89" t="str">
        <f>IFERROR(_xlfn.XLOOKUP($A89,Planilha2!$A$2:$A$34,Planilha2!C$2:C$34,"",-1),"")</f>
        <v>B2</v>
      </c>
      <c r="C89" t="str">
        <f>IFERROR(_xlfn.XLOOKUP($A89,Planilha2!$A$2:$A$34,Planilha2!D$2:D$34,"",-1),"")</f>
        <v>-</v>
      </c>
      <c r="D89" t="str" cm="1">
        <f t="array" ref="D89">IF($A89&lt;MIN(Planilha2!$A$2:$A$34),"",_xlfn.LET(_xlpm.t,_xlfn.XLOOKUP($A89,Planilha2!$A$2:$A$34,Planilha2!$E$2:$E$34,"",-1),_xlfn.IFS(ISNUMBER(SEARCH("positiva",_xlpm.t)),"Positiva",ISNUMBER(SEARCH("negativa",_xlpm.t)),"Negativa",ISNUMBER(SEARCH("estável",_xlpm.t)),"Estável",TRUE,"n/d")))</f>
        <v>Estável</v>
      </c>
      <c r="E89" t="str">
        <f>IFERROR(_xlfn.XLOOKUP($A89,Planilha2!$J$2:$J$44,Planilha2!L$2:L$44,"",-1),"")</f>
        <v/>
      </c>
      <c r="F89" t="str">
        <f>IFERROR(_xlfn.XLOOKUP($A89,Planilha2!$J$2:$J$44,Planilha2!M$2:M$44,"",-1),"")</f>
        <v/>
      </c>
      <c r="G89" t="str" cm="1">
        <f t="array" ref="G89">IF($A89&lt;MIN(Planilha2!$J$2:$J$44),"",_xlfn.LET(_xlpm.t,_xlfn.XLOOKUP($A89,Planilha2!$J$2:$J$44,Planilha2!$N$2:$N$44,"",-1),_xlfn.IFS(ISNUMBER(SEARCH("positiva",_xlpm.t)),"Positiva",ISNUMBER(SEARCH("negativa",_xlpm.t)),"Negativa",ISNUMBER(SEARCH("estável",_xlpm.t)),"Estável",TRUE,"n/d")))</f>
        <v/>
      </c>
      <c r="H89" t="str">
        <f>IFERROR(_xlfn.XLOOKUP($A89,Planilha2!$P$2:$P$38,Planilha2!R$2:R$38,"",-1),"")</f>
        <v/>
      </c>
      <c r="I89" t="str">
        <f>IFERROR(_xlfn.XLOOKUP($A89,Planilha2!$P$2:$P$38,Planilha2!S$2:S$38,"",-1),"")</f>
        <v/>
      </c>
      <c r="J89" t="str" cm="1">
        <f t="array" ref="J89">IF($A89&lt;MIN(Planilha2!$P$2:$P$38),"",_xlfn.LET(_xlpm.t,_xlfn.XLOOKUP($A89,Planilha2!$P$2:$P$38,Planilha2!$T$2:$T$38,"",-1),_xlfn.IFS(ISNUMBER(SEARCH("positiva",_xlpm.t)),"Positiva",ISNUMBER(SEARCH("negativa",_xlpm.t)),"Negativa",ISNUMBER(SEARCH("estável",_xlpm.t)),"Estável",TRUE,"n/d")))</f>
        <v/>
      </c>
      <c r="L89" s="52">
        <f>IFERROR(_xlfn.XLOOKUP(B89,'Agências de Rating Soberano'!$G$2:$G$22,'Agências de Rating Soberano'!$H$2:$H$22),NA())</f>
        <v>7</v>
      </c>
      <c r="M89" s="52" t="e">
        <f>IFERROR(_xlfn.XLOOKUP(C89,'Agências de Rating Soberano'!$G$2:$G$22,'Agências de Rating Soberano'!$H$2:$H$22),NA())</f>
        <v>#N/A</v>
      </c>
      <c r="N89" s="52" t="e">
        <f>IFERROR(_xlfn.XLOOKUP(E89,'Agências de Rating Soberano'!$J$2:$J$22,'Agências de Rating Soberano'!$K$2:$K$22),NA())</f>
        <v>#N/A</v>
      </c>
      <c r="O89" s="52" t="e">
        <f>IFERROR(_xlfn.XLOOKUP(F89,'Agências de Rating Soberano'!$J$2:$J$22,'Agências de Rating Soberano'!$K$2:$K$22),NA())</f>
        <v>#N/A</v>
      </c>
      <c r="P89" s="52" t="e">
        <f>IFERROR(_xlfn.XLOOKUP(H89,'Agências de Rating Soberano'!$J$2:$J$22,'Agências de Rating Soberano'!$K$2:$K$22),NA())</f>
        <v>#N/A</v>
      </c>
      <c r="Q89" s="52" t="e">
        <f>IFERROR(_xlfn.XLOOKUP(I89,'Agências de Rating Soberano'!$J$2:$J$22,'Agências de Rating Soberano'!$K$2:$K$22),NA())</f>
        <v>#N/A</v>
      </c>
    </row>
    <row r="90" spans="1:17" x14ac:dyDescent="0.3">
      <c r="A90" s="53">
        <f t="shared" si="8"/>
        <v>34424</v>
      </c>
      <c r="B90" t="str">
        <f>IFERROR(_xlfn.XLOOKUP($A90,Planilha2!$A$2:$A$34,Planilha2!C$2:C$34,"",-1),"")</f>
        <v>B2</v>
      </c>
      <c r="C90" t="str">
        <f>IFERROR(_xlfn.XLOOKUP($A90,Planilha2!$A$2:$A$34,Planilha2!D$2:D$34,"",-1),"")</f>
        <v>-</v>
      </c>
      <c r="D90" t="str" cm="1">
        <f t="array" ref="D90">IF($A90&lt;MIN(Planilha2!$A$2:$A$34),"",_xlfn.LET(_xlpm.t,_xlfn.XLOOKUP($A90,Planilha2!$A$2:$A$34,Planilha2!$E$2:$E$34,"",-1),_xlfn.IFS(ISNUMBER(SEARCH("positiva",_xlpm.t)),"Positiva",ISNUMBER(SEARCH("negativa",_xlpm.t)),"Negativa",ISNUMBER(SEARCH("estável",_xlpm.t)),"Estável",TRUE,"n/d")))</f>
        <v>Estável</v>
      </c>
      <c r="E90" t="str">
        <f>IFERROR(_xlfn.XLOOKUP($A90,Planilha2!$J$2:$J$44,Planilha2!L$2:L$44,"",-1),"")</f>
        <v/>
      </c>
      <c r="F90" t="str">
        <f>IFERROR(_xlfn.XLOOKUP($A90,Planilha2!$J$2:$J$44,Planilha2!M$2:M$44,"",-1),"")</f>
        <v/>
      </c>
      <c r="G90" t="str" cm="1">
        <f t="array" ref="G90">IF($A90&lt;MIN(Planilha2!$J$2:$J$44),"",_xlfn.LET(_xlpm.t,_xlfn.XLOOKUP($A90,Planilha2!$J$2:$J$44,Planilha2!$N$2:$N$44,"",-1),_xlfn.IFS(ISNUMBER(SEARCH("positiva",_xlpm.t)),"Positiva",ISNUMBER(SEARCH("negativa",_xlpm.t)),"Negativa",ISNUMBER(SEARCH("estável",_xlpm.t)),"Estável",TRUE,"n/d")))</f>
        <v/>
      </c>
      <c r="H90" t="str">
        <f>IFERROR(_xlfn.XLOOKUP($A90,Planilha2!$P$2:$P$38,Planilha2!R$2:R$38,"",-1),"")</f>
        <v/>
      </c>
      <c r="I90" t="str">
        <f>IFERROR(_xlfn.XLOOKUP($A90,Planilha2!$P$2:$P$38,Planilha2!S$2:S$38,"",-1),"")</f>
        <v/>
      </c>
      <c r="J90" t="str" cm="1">
        <f t="array" ref="J90">IF($A90&lt;MIN(Planilha2!$P$2:$P$38),"",_xlfn.LET(_xlpm.t,_xlfn.XLOOKUP($A90,Planilha2!$P$2:$P$38,Planilha2!$T$2:$T$38,"",-1),_xlfn.IFS(ISNUMBER(SEARCH("positiva",_xlpm.t)),"Positiva",ISNUMBER(SEARCH("negativa",_xlpm.t)),"Negativa",ISNUMBER(SEARCH("estável",_xlpm.t)),"Estável",TRUE,"n/d")))</f>
        <v/>
      </c>
      <c r="L90" s="52">
        <f>IFERROR(_xlfn.XLOOKUP(B90,'Agências de Rating Soberano'!$G$2:$G$22,'Agências de Rating Soberano'!$H$2:$H$22),NA())</f>
        <v>7</v>
      </c>
      <c r="M90" s="52" t="e">
        <f>IFERROR(_xlfn.XLOOKUP(C90,'Agências de Rating Soberano'!$G$2:$G$22,'Agências de Rating Soberano'!$H$2:$H$22),NA())</f>
        <v>#N/A</v>
      </c>
      <c r="N90" s="52" t="e">
        <f>IFERROR(_xlfn.XLOOKUP(E90,'Agências de Rating Soberano'!$J$2:$J$22,'Agências de Rating Soberano'!$K$2:$K$22),NA())</f>
        <v>#N/A</v>
      </c>
      <c r="O90" s="52" t="e">
        <f>IFERROR(_xlfn.XLOOKUP(F90,'Agências de Rating Soberano'!$J$2:$J$22,'Agências de Rating Soberano'!$K$2:$K$22),NA())</f>
        <v>#N/A</v>
      </c>
      <c r="P90" s="52" t="e">
        <f>IFERROR(_xlfn.XLOOKUP(H90,'Agências de Rating Soberano'!$J$2:$J$22,'Agências de Rating Soberano'!$K$2:$K$22),NA())</f>
        <v>#N/A</v>
      </c>
      <c r="Q90" s="52" t="e">
        <f>IFERROR(_xlfn.XLOOKUP(I90,'Agências de Rating Soberano'!$J$2:$J$22,'Agências de Rating Soberano'!$K$2:$K$22),NA())</f>
        <v>#N/A</v>
      </c>
    </row>
    <row r="91" spans="1:17" x14ac:dyDescent="0.3">
      <c r="A91" s="53">
        <f t="shared" si="8"/>
        <v>34454</v>
      </c>
      <c r="B91" t="str">
        <f>IFERROR(_xlfn.XLOOKUP($A91,Planilha2!$A$2:$A$34,Planilha2!C$2:C$34,"",-1),"")</f>
        <v>B2</v>
      </c>
      <c r="C91" t="str">
        <f>IFERROR(_xlfn.XLOOKUP($A91,Planilha2!$A$2:$A$34,Planilha2!D$2:D$34,"",-1),"")</f>
        <v>-</v>
      </c>
      <c r="D91" t="str" cm="1">
        <f t="array" ref="D91">IF($A91&lt;MIN(Planilha2!$A$2:$A$34),"",_xlfn.LET(_xlpm.t,_xlfn.XLOOKUP($A91,Planilha2!$A$2:$A$34,Planilha2!$E$2:$E$34,"",-1),_xlfn.IFS(ISNUMBER(SEARCH("positiva",_xlpm.t)),"Positiva",ISNUMBER(SEARCH("negativa",_xlpm.t)),"Negativa",ISNUMBER(SEARCH("estável",_xlpm.t)),"Estável",TRUE,"n/d")))</f>
        <v>Estável</v>
      </c>
      <c r="E91" t="str">
        <f>IFERROR(_xlfn.XLOOKUP($A91,Planilha2!$J$2:$J$44,Planilha2!L$2:L$44,"",-1),"")</f>
        <v/>
      </c>
      <c r="F91" t="str">
        <f>IFERROR(_xlfn.XLOOKUP($A91,Planilha2!$J$2:$J$44,Planilha2!M$2:M$44,"",-1),"")</f>
        <v/>
      </c>
      <c r="G91" t="str" cm="1">
        <f t="array" ref="G91">IF($A91&lt;MIN(Planilha2!$J$2:$J$44),"",_xlfn.LET(_xlpm.t,_xlfn.XLOOKUP($A91,Planilha2!$J$2:$J$44,Planilha2!$N$2:$N$44,"",-1),_xlfn.IFS(ISNUMBER(SEARCH("positiva",_xlpm.t)),"Positiva",ISNUMBER(SEARCH("negativa",_xlpm.t)),"Negativa",ISNUMBER(SEARCH("estável",_xlpm.t)),"Estável",TRUE,"n/d")))</f>
        <v/>
      </c>
      <c r="H91" t="str">
        <f>IFERROR(_xlfn.XLOOKUP($A91,Planilha2!$P$2:$P$38,Planilha2!R$2:R$38,"",-1),"")</f>
        <v/>
      </c>
      <c r="I91" t="str">
        <f>IFERROR(_xlfn.XLOOKUP($A91,Planilha2!$P$2:$P$38,Planilha2!S$2:S$38,"",-1),"")</f>
        <v/>
      </c>
      <c r="J91" t="str" cm="1">
        <f t="array" ref="J91">IF($A91&lt;MIN(Planilha2!$P$2:$P$38),"",_xlfn.LET(_xlpm.t,_xlfn.XLOOKUP($A91,Planilha2!$P$2:$P$38,Planilha2!$T$2:$T$38,"",-1),_xlfn.IFS(ISNUMBER(SEARCH("positiva",_xlpm.t)),"Positiva",ISNUMBER(SEARCH("negativa",_xlpm.t)),"Negativa",ISNUMBER(SEARCH("estável",_xlpm.t)),"Estável",TRUE,"n/d")))</f>
        <v/>
      </c>
      <c r="L91" s="52">
        <f>IFERROR(_xlfn.XLOOKUP(B91,'Agências de Rating Soberano'!$G$2:$G$22,'Agências de Rating Soberano'!$H$2:$H$22),NA())</f>
        <v>7</v>
      </c>
      <c r="M91" s="52" t="e">
        <f>IFERROR(_xlfn.XLOOKUP(C91,'Agências de Rating Soberano'!$G$2:$G$22,'Agências de Rating Soberano'!$H$2:$H$22),NA())</f>
        <v>#N/A</v>
      </c>
      <c r="N91" s="52" t="e">
        <f>IFERROR(_xlfn.XLOOKUP(E91,'Agências de Rating Soberano'!$J$2:$J$22,'Agências de Rating Soberano'!$K$2:$K$22),NA())</f>
        <v>#N/A</v>
      </c>
      <c r="O91" s="52" t="e">
        <f>IFERROR(_xlfn.XLOOKUP(F91,'Agências de Rating Soberano'!$J$2:$J$22,'Agências de Rating Soberano'!$K$2:$K$22),NA())</f>
        <v>#N/A</v>
      </c>
      <c r="P91" s="52" t="e">
        <f>IFERROR(_xlfn.XLOOKUP(H91,'Agências de Rating Soberano'!$J$2:$J$22,'Agências de Rating Soberano'!$K$2:$K$22),NA())</f>
        <v>#N/A</v>
      </c>
      <c r="Q91" s="52" t="e">
        <f>IFERROR(_xlfn.XLOOKUP(I91,'Agências de Rating Soberano'!$J$2:$J$22,'Agências de Rating Soberano'!$K$2:$K$22),NA())</f>
        <v>#N/A</v>
      </c>
    </row>
    <row r="92" spans="1:17" x14ac:dyDescent="0.3">
      <c r="A92" s="53">
        <f t="shared" si="8"/>
        <v>34485</v>
      </c>
      <c r="B92" t="str">
        <f>IFERROR(_xlfn.XLOOKUP($A92,Planilha2!$A$2:$A$34,Planilha2!C$2:C$34,"",-1),"")</f>
        <v>B2</v>
      </c>
      <c r="C92" t="str">
        <f>IFERROR(_xlfn.XLOOKUP($A92,Planilha2!$A$2:$A$34,Planilha2!D$2:D$34,"",-1),"")</f>
        <v>-</v>
      </c>
      <c r="D92" t="str" cm="1">
        <f t="array" ref="D92">IF($A92&lt;MIN(Planilha2!$A$2:$A$34),"",_xlfn.LET(_xlpm.t,_xlfn.XLOOKUP($A92,Planilha2!$A$2:$A$34,Planilha2!$E$2:$E$34,"",-1),_xlfn.IFS(ISNUMBER(SEARCH("positiva",_xlpm.t)),"Positiva",ISNUMBER(SEARCH("negativa",_xlpm.t)),"Negativa",ISNUMBER(SEARCH("estável",_xlpm.t)),"Estável",TRUE,"n/d")))</f>
        <v>Estável</v>
      </c>
      <c r="E92" t="str">
        <f>IFERROR(_xlfn.XLOOKUP($A92,Planilha2!$J$2:$J$44,Planilha2!L$2:L$44,"",-1),"")</f>
        <v/>
      </c>
      <c r="F92" t="str">
        <f>IFERROR(_xlfn.XLOOKUP($A92,Planilha2!$J$2:$J$44,Planilha2!M$2:M$44,"",-1),"")</f>
        <v/>
      </c>
      <c r="G92" t="str" cm="1">
        <f t="array" ref="G92">IF($A92&lt;MIN(Planilha2!$J$2:$J$44),"",_xlfn.LET(_xlpm.t,_xlfn.XLOOKUP($A92,Planilha2!$J$2:$J$44,Planilha2!$N$2:$N$44,"",-1),_xlfn.IFS(ISNUMBER(SEARCH("positiva",_xlpm.t)),"Positiva",ISNUMBER(SEARCH("negativa",_xlpm.t)),"Negativa",ISNUMBER(SEARCH("estável",_xlpm.t)),"Estável",TRUE,"n/d")))</f>
        <v/>
      </c>
      <c r="H92" t="str">
        <f>IFERROR(_xlfn.XLOOKUP($A92,Planilha2!$P$2:$P$38,Planilha2!R$2:R$38,"",-1),"")</f>
        <v/>
      </c>
      <c r="I92" t="str">
        <f>IFERROR(_xlfn.XLOOKUP($A92,Planilha2!$P$2:$P$38,Planilha2!S$2:S$38,"",-1),"")</f>
        <v/>
      </c>
      <c r="J92" t="str" cm="1">
        <f t="array" ref="J92">IF($A92&lt;MIN(Planilha2!$P$2:$P$38),"",_xlfn.LET(_xlpm.t,_xlfn.XLOOKUP($A92,Planilha2!$P$2:$P$38,Planilha2!$T$2:$T$38,"",-1),_xlfn.IFS(ISNUMBER(SEARCH("positiva",_xlpm.t)),"Positiva",ISNUMBER(SEARCH("negativa",_xlpm.t)),"Negativa",ISNUMBER(SEARCH("estável",_xlpm.t)),"Estável",TRUE,"n/d")))</f>
        <v/>
      </c>
      <c r="L92" s="52">
        <f>IFERROR(_xlfn.XLOOKUP(B92,'Agências de Rating Soberano'!$G$2:$G$22,'Agências de Rating Soberano'!$H$2:$H$22),NA())</f>
        <v>7</v>
      </c>
      <c r="M92" s="52" t="e">
        <f>IFERROR(_xlfn.XLOOKUP(C92,'Agências de Rating Soberano'!$G$2:$G$22,'Agências de Rating Soberano'!$H$2:$H$22),NA())</f>
        <v>#N/A</v>
      </c>
      <c r="N92" s="52" t="e">
        <f>IFERROR(_xlfn.XLOOKUP(E92,'Agências de Rating Soberano'!$J$2:$J$22,'Agências de Rating Soberano'!$K$2:$K$22),NA())</f>
        <v>#N/A</v>
      </c>
      <c r="O92" s="52" t="e">
        <f>IFERROR(_xlfn.XLOOKUP(F92,'Agências de Rating Soberano'!$J$2:$J$22,'Agências de Rating Soberano'!$K$2:$K$22),NA())</f>
        <v>#N/A</v>
      </c>
      <c r="P92" s="52" t="e">
        <f>IFERROR(_xlfn.XLOOKUP(H92,'Agências de Rating Soberano'!$J$2:$J$22,'Agências de Rating Soberano'!$K$2:$K$22),NA())</f>
        <v>#N/A</v>
      </c>
      <c r="Q92" s="52" t="e">
        <f>IFERROR(_xlfn.XLOOKUP(I92,'Agências de Rating Soberano'!$J$2:$J$22,'Agências de Rating Soberano'!$K$2:$K$22),NA())</f>
        <v>#N/A</v>
      </c>
    </row>
    <row r="93" spans="1:17" x14ac:dyDescent="0.3">
      <c r="A93" s="53">
        <f t="shared" si="8"/>
        <v>34515</v>
      </c>
      <c r="B93" t="str">
        <f>IFERROR(_xlfn.XLOOKUP($A93,Planilha2!$A$2:$A$34,Planilha2!C$2:C$34,"",-1),"")</f>
        <v>B2</v>
      </c>
      <c r="C93" t="str">
        <f>IFERROR(_xlfn.XLOOKUP($A93,Planilha2!$A$2:$A$34,Planilha2!D$2:D$34,"",-1),"")</f>
        <v>-</v>
      </c>
      <c r="D93" t="str" cm="1">
        <f t="array" ref="D93">IF($A93&lt;MIN(Planilha2!$A$2:$A$34),"",_xlfn.LET(_xlpm.t,_xlfn.XLOOKUP($A93,Planilha2!$A$2:$A$34,Planilha2!$E$2:$E$34,"",-1),_xlfn.IFS(ISNUMBER(SEARCH("positiva",_xlpm.t)),"Positiva",ISNUMBER(SEARCH("negativa",_xlpm.t)),"Negativa",ISNUMBER(SEARCH("estável",_xlpm.t)),"Estável",TRUE,"n/d")))</f>
        <v>Estável</v>
      </c>
      <c r="E93" t="str">
        <f>IFERROR(_xlfn.XLOOKUP($A93,Planilha2!$J$2:$J$44,Planilha2!L$2:L$44,"",-1),"")</f>
        <v/>
      </c>
      <c r="F93" t="str">
        <f>IFERROR(_xlfn.XLOOKUP($A93,Planilha2!$J$2:$J$44,Planilha2!M$2:M$44,"",-1),"")</f>
        <v/>
      </c>
      <c r="G93" t="str" cm="1">
        <f t="array" ref="G93">IF($A93&lt;MIN(Planilha2!$J$2:$J$44),"",_xlfn.LET(_xlpm.t,_xlfn.XLOOKUP($A93,Planilha2!$J$2:$J$44,Planilha2!$N$2:$N$44,"",-1),_xlfn.IFS(ISNUMBER(SEARCH("positiva",_xlpm.t)),"Positiva",ISNUMBER(SEARCH("negativa",_xlpm.t)),"Negativa",ISNUMBER(SEARCH("estável",_xlpm.t)),"Estável",TRUE,"n/d")))</f>
        <v/>
      </c>
      <c r="H93" t="str">
        <f>IFERROR(_xlfn.XLOOKUP($A93,Planilha2!$P$2:$P$38,Planilha2!R$2:R$38,"",-1),"")</f>
        <v/>
      </c>
      <c r="I93" t="str">
        <f>IFERROR(_xlfn.XLOOKUP($A93,Planilha2!$P$2:$P$38,Planilha2!S$2:S$38,"",-1),"")</f>
        <v/>
      </c>
      <c r="J93" t="str" cm="1">
        <f t="array" ref="J93">IF($A93&lt;MIN(Planilha2!$P$2:$P$38),"",_xlfn.LET(_xlpm.t,_xlfn.XLOOKUP($A93,Planilha2!$P$2:$P$38,Planilha2!$T$2:$T$38,"",-1),_xlfn.IFS(ISNUMBER(SEARCH("positiva",_xlpm.t)),"Positiva",ISNUMBER(SEARCH("negativa",_xlpm.t)),"Negativa",ISNUMBER(SEARCH("estável",_xlpm.t)),"Estável",TRUE,"n/d")))</f>
        <v/>
      </c>
      <c r="L93" s="52">
        <f>IFERROR(_xlfn.XLOOKUP(B93,'Agências de Rating Soberano'!$G$2:$G$22,'Agências de Rating Soberano'!$H$2:$H$22),NA())</f>
        <v>7</v>
      </c>
      <c r="M93" s="52" t="e">
        <f>IFERROR(_xlfn.XLOOKUP(C93,'Agências de Rating Soberano'!$G$2:$G$22,'Agências de Rating Soberano'!$H$2:$H$22),NA())</f>
        <v>#N/A</v>
      </c>
      <c r="N93" s="52" t="e">
        <f>IFERROR(_xlfn.XLOOKUP(E93,'Agências de Rating Soberano'!$J$2:$J$22,'Agências de Rating Soberano'!$K$2:$K$22),NA())</f>
        <v>#N/A</v>
      </c>
      <c r="O93" s="52" t="e">
        <f>IFERROR(_xlfn.XLOOKUP(F93,'Agências de Rating Soberano'!$J$2:$J$22,'Agências de Rating Soberano'!$K$2:$K$22),NA())</f>
        <v>#N/A</v>
      </c>
      <c r="P93" s="52" t="e">
        <f>IFERROR(_xlfn.XLOOKUP(H93,'Agências de Rating Soberano'!$J$2:$J$22,'Agências de Rating Soberano'!$K$2:$K$22),NA())</f>
        <v>#N/A</v>
      </c>
      <c r="Q93" s="52" t="e">
        <f>IFERROR(_xlfn.XLOOKUP(I93,'Agências de Rating Soberano'!$J$2:$J$22,'Agências de Rating Soberano'!$K$2:$K$22),NA())</f>
        <v>#N/A</v>
      </c>
    </row>
    <row r="94" spans="1:17" x14ac:dyDescent="0.3">
      <c r="A94" s="53">
        <f t="shared" si="8"/>
        <v>34546</v>
      </c>
      <c r="B94" t="str">
        <f>IFERROR(_xlfn.XLOOKUP($A94,Planilha2!$A$2:$A$34,Planilha2!C$2:C$34,"",-1),"")</f>
        <v>B2</v>
      </c>
      <c r="C94" t="str">
        <f>IFERROR(_xlfn.XLOOKUP($A94,Planilha2!$A$2:$A$34,Planilha2!D$2:D$34,"",-1),"")</f>
        <v>-</v>
      </c>
      <c r="D94" t="str" cm="1">
        <f t="array" ref="D94">IF($A94&lt;MIN(Planilha2!$A$2:$A$34),"",_xlfn.LET(_xlpm.t,_xlfn.XLOOKUP($A94,Planilha2!$A$2:$A$34,Planilha2!$E$2:$E$34,"",-1),_xlfn.IFS(ISNUMBER(SEARCH("positiva",_xlpm.t)),"Positiva",ISNUMBER(SEARCH("negativa",_xlpm.t)),"Negativa",ISNUMBER(SEARCH("estável",_xlpm.t)),"Estável",TRUE,"n/d")))</f>
        <v>Estável</v>
      </c>
      <c r="E94" t="str">
        <f>IFERROR(_xlfn.XLOOKUP($A94,Planilha2!$J$2:$J$44,Planilha2!L$2:L$44,"",-1),"")</f>
        <v/>
      </c>
      <c r="F94" t="str">
        <f>IFERROR(_xlfn.XLOOKUP($A94,Planilha2!$J$2:$J$44,Planilha2!M$2:M$44,"",-1),"")</f>
        <v/>
      </c>
      <c r="G94" t="str" cm="1">
        <f t="array" ref="G94">IF($A94&lt;MIN(Planilha2!$J$2:$J$44),"",_xlfn.LET(_xlpm.t,_xlfn.XLOOKUP($A94,Planilha2!$J$2:$J$44,Planilha2!$N$2:$N$44,"",-1),_xlfn.IFS(ISNUMBER(SEARCH("positiva",_xlpm.t)),"Positiva",ISNUMBER(SEARCH("negativa",_xlpm.t)),"Negativa",ISNUMBER(SEARCH("estável",_xlpm.t)),"Estável",TRUE,"n/d")))</f>
        <v/>
      </c>
      <c r="H94" t="str">
        <f>IFERROR(_xlfn.XLOOKUP($A94,Planilha2!$P$2:$P$38,Planilha2!R$2:R$38,"",-1),"")</f>
        <v/>
      </c>
      <c r="I94" t="str">
        <f>IFERROR(_xlfn.XLOOKUP($A94,Planilha2!$P$2:$P$38,Planilha2!S$2:S$38,"",-1),"")</f>
        <v/>
      </c>
      <c r="J94" t="str" cm="1">
        <f t="array" ref="J94">IF($A94&lt;MIN(Planilha2!$P$2:$P$38),"",_xlfn.LET(_xlpm.t,_xlfn.XLOOKUP($A94,Planilha2!$P$2:$P$38,Planilha2!$T$2:$T$38,"",-1),_xlfn.IFS(ISNUMBER(SEARCH("positiva",_xlpm.t)),"Positiva",ISNUMBER(SEARCH("negativa",_xlpm.t)),"Negativa",ISNUMBER(SEARCH("estável",_xlpm.t)),"Estável",TRUE,"n/d")))</f>
        <v/>
      </c>
      <c r="L94" s="52">
        <f>IFERROR(_xlfn.XLOOKUP(B94,'Agências de Rating Soberano'!$G$2:$G$22,'Agências de Rating Soberano'!$H$2:$H$22),NA())</f>
        <v>7</v>
      </c>
      <c r="M94" s="52" t="e">
        <f>IFERROR(_xlfn.XLOOKUP(C94,'Agências de Rating Soberano'!$G$2:$G$22,'Agências de Rating Soberano'!$H$2:$H$22),NA())</f>
        <v>#N/A</v>
      </c>
      <c r="N94" s="52" t="e">
        <f>IFERROR(_xlfn.XLOOKUP(E94,'Agências de Rating Soberano'!$J$2:$J$22,'Agências de Rating Soberano'!$K$2:$K$22),NA())</f>
        <v>#N/A</v>
      </c>
      <c r="O94" s="52" t="e">
        <f>IFERROR(_xlfn.XLOOKUP(F94,'Agências de Rating Soberano'!$J$2:$J$22,'Agências de Rating Soberano'!$K$2:$K$22),NA())</f>
        <v>#N/A</v>
      </c>
      <c r="P94" s="52" t="e">
        <f>IFERROR(_xlfn.XLOOKUP(H94,'Agências de Rating Soberano'!$J$2:$J$22,'Agências de Rating Soberano'!$K$2:$K$22),NA())</f>
        <v>#N/A</v>
      </c>
      <c r="Q94" s="52" t="e">
        <f>IFERROR(_xlfn.XLOOKUP(I94,'Agências de Rating Soberano'!$J$2:$J$22,'Agências de Rating Soberano'!$K$2:$K$22),NA())</f>
        <v>#N/A</v>
      </c>
    </row>
    <row r="95" spans="1:17" x14ac:dyDescent="0.3">
      <c r="A95" s="53">
        <f t="shared" si="8"/>
        <v>34577</v>
      </c>
      <c r="B95" t="str">
        <f>IFERROR(_xlfn.XLOOKUP($A95,Planilha2!$A$2:$A$34,Planilha2!C$2:C$34,"",-1),"")</f>
        <v>B2</v>
      </c>
      <c r="C95" t="str">
        <f>IFERROR(_xlfn.XLOOKUP($A95,Planilha2!$A$2:$A$34,Planilha2!D$2:D$34,"",-1),"")</f>
        <v>-</v>
      </c>
      <c r="D95" t="str" cm="1">
        <f t="array" ref="D95">IF($A95&lt;MIN(Planilha2!$A$2:$A$34),"",_xlfn.LET(_xlpm.t,_xlfn.XLOOKUP($A95,Planilha2!$A$2:$A$34,Planilha2!$E$2:$E$34,"",-1),_xlfn.IFS(ISNUMBER(SEARCH("positiva",_xlpm.t)),"Positiva",ISNUMBER(SEARCH("negativa",_xlpm.t)),"Negativa",ISNUMBER(SEARCH("estável",_xlpm.t)),"Estável",TRUE,"n/d")))</f>
        <v>Estável</v>
      </c>
      <c r="E95" t="str">
        <f>IFERROR(_xlfn.XLOOKUP($A95,Planilha2!$J$2:$J$44,Planilha2!L$2:L$44,"",-1),"")</f>
        <v/>
      </c>
      <c r="F95" t="str">
        <f>IFERROR(_xlfn.XLOOKUP($A95,Planilha2!$J$2:$J$44,Planilha2!M$2:M$44,"",-1),"")</f>
        <v/>
      </c>
      <c r="G95" t="str" cm="1">
        <f t="array" ref="G95">IF($A95&lt;MIN(Planilha2!$J$2:$J$44),"",_xlfn.LET(_xlpm.t,_xlfn.XLOOKUP($A95,Planilha2!$J$2:$J$44,Planilha2!$N$2:$N$44,"",-1),_xlfn.IFS(ISNUMBER(SEARCH("positiva",_xlpm.t)),"Positiva",ISNUMBER(SEARCH("negativa",_xlpm.t)),"Negativa",ISNUMBER(SEARCH("estável",_xlpm.t)),"Estável",TRUE,"n/d")))</f>
        <v/>
      </c>
      <c r="H95" t="str">
        <f>IFERROR(_xlfn.XLOOKUP($A95,Planilha2!$P$2:$P$38,Planilha2!R$2:R$38,"",-1),"")</f>
        <v/>
      </c>
      <c r="I95" t="str">
        <f>IFERROR(_xlfn.XLOOKUP($A95,Planilha2!$P$2:$P$38,Planilha2!S$2:S$38,"",-1),"")</f>
        <v/>
      </c>
      <c r="J95" t="str" cm="1">
        <f t="array" ref="J95">IF($A95&lt;MIN(Planilha2!$P$2:$P$38),"",_xlfn.LET(_xlpm.t,_xlfn.XLOOKUP($A95,Planilha2!$P$2:$P$38,Planilha2!$T$2:$T$38,"",-1),_xlfn.IFS(ISNUMBER(SEARCH("positiva",_xlpm.t)),"Positiva",ISNUMBER(SEARCH("negativa",_xlpm.t)),"Negativa",ISNUMBER(SEARCH("estável",_xlpm.t)),"Estável",TRUE,"n/d")))</f>
        <v/>
      </c>
      <c r="L95" s="52">
        <f>IFERROR(_xlfn.XLOOKUP(B95,'Agências de Rating Soberano'!$G$2:$G$22,'Agências de Rating Soberano'!$H$2:$H$22),NA())</f>
        <v>7</v>
      </c>
      <c r="M95" s="52" t="e">
        <f>IFERROR(_xlfn.XLOOKUP(C95,'Agências de Rating Soberano'!$G$2:$G$22,'Agências de Rating Soberano'!$H$2:$H$22),NA())</f>
        <v>#N/A</v>
      </c>
      <c r="N95" s="52" t="e">
        <f>IFERROR(_xlfn.XLOOKUP(E95,'Agências de Rating Soberano'!$J$2:$J$22,'Agências de Rating Soberano'!$K$2:$K$22),NA())</f>
        <v>#N/A</v>
      </c>
      <c r="O95" s="52" t="e">
        <f>IFERROR(_xlfn.XLOOKUP(F95,'Agências de Rating Soberano'!$J$2:$J$22,'Agências de Rating Soberano'!$K$2:$K$22),NA())</f>
        <v>#N/A</v>
      </c>
      <c r="P95" s="52" t="e">
        <f>IFERROR(_xlfn.XLOOKUP(H95,'Agências de Rating Soberano'!$J$2:$J$22,'Agências de Rating Soberano'!$K$2:$K$22),NA())</f>
        <v>#N/A</v>
      </c>
      <c r="Q95" s="52" t="e">
        <f>IFERROR(_xlfn.XLOOKUP(I95,'Agências de Rating Soberano'!$J$2:$J$22,'Agências de Rating Soberano'!$K$2:$K$22),NA())</f>
        <v>#N/A</v>
      </c>
    </row>
    <row r="96" spans="1:17" x14ac:dyDescent="0.3">
      <c r="A96" s="53">
        <f t="shared" si="8"/>
        <v>34607</v>
      </c>
      <c r="B96" t="str">
        <f>IFERROR(_xlfn.XLOOKUP($A96,Planilha2!$A$2:$A$34,Planilha2!C$2:C$34,"",-1),"")</f>
        <v>B2</v>
      </c>
      <c r="C96" t="str">
        <f>IFERROR(_xlfn.XLOOKUP($A96,Planilha2!$A$2:$A$34,Planilha2!D$2:D$34,"",-1),"")</f>
        <v>-</v>
      </c>
      <c r="D96" t="str" cm="1">
        <f t="array" ref="D96">IF($A96&lt;MIN(Planilha2!$A$2:$A$34),"",_xlfn.LET(_xlpm.t,_xlfn.XLOOKUP($A96,Planilha2!$A$2:$A$34,Planilha2!$E$2:$E$34,"",-1),_xlfn.IFS(ISNUMBER(SEARCH("positiva",_xlpm.t)),"Positiva",ISNUMBER(SEARCH("negativa",_xlpm.t)),"Negativa",ISNUMBER(SEARCH("estável",_xlpm.t)),"Estável",TRUE,"n/d")))</f>
        <v>Estável</v>
      </c>
      <c r="E96" t="str">
        <f>IFERROR(_xlfn.XLOOKUP($A96,Planilha2!$J$2:$J$44,Planilha2!L$2:L$44,"",-1),"")</f>
        <v/>
      </c>
      <c r="F96" t="str">
        <f>IFERROR(_xlfn.XLOOKUP($A96,Planilha2!$J$2:$J$44,Planilha2!M$2:M$44,"",-1),"")</f>
        <v/>
      </c>
      <c r="G96" t="str" cm="1">
        <f t="array" ref="G96">IF($A96&lt;MIN(Planilha2!$J$2:$J$44),"",_xlfn.LET(_xlpm.t,_xlfn.XLOOKUP($A96,Planilha2!$J$2:$J$44,Planilha2!$N$2:$N$44,"",-1),_xlfn.IFS(ISNUMBER(SEARCH("positiva",_xlpm.t)),"Positiva",ISNUMBER(SEARCH("negativa",_xlpm.t)),"Negativa",ISNUMBER(SEARCH("estável",_xlpm.t)),"Estável",TRUE,"n/d")))</f>
        <v/>
      </c>
      <c r="H96" t="str">
        <f>IFERROR(_xlfn.XLOOKUP($A96,Planilha2!$P$2:$P$38,Planilha2!R$2:R$38,"",-1),"")</f>
        <v/>
      </c>
      <c r="I96" t="str">
        <f>IFERROR(_xlfn.XLOOKUP($A96,Planilha2!$P$2:$P$38,Planilha2!S$2:S$38,"",-1),"")</f>
        <v/>
      </c>
      <c r="J96" t="str" cm="1">
        <f t="array" ref="J96">IF($A96&lt;MIN(Planilha2!$P$2:$P$38),"",_xlfn.LET(_xlpm.t,_xlfn.XLOOKUP($A96,Planilha2!$P$2:$P$38,Planilha2!$T$2:$T$38,"",-1),_xlfn.IFS(ISNUMBER(SEARCH("positiva",_xlpm.t)),"Positiva",ISNUMBER(SEARCH("negativa",_xlpm.t)),"Negativa",ISNUMBER(SEARCH("estável",_xlpm.t)),"Estável",TRUE,"n/d")))</f>
        <v/>
      </c>
      <c r="L96" s="52">
        <f>IFERROR(_xlfn.XLOOKUP(B96,'Agências de Rating Soberano'!$G$2:$G$22,'Agências de Rating Soberano'!$H$2:$H$22),NA())</f>
        <v>7</v>
      </c>
      <c r="M96" s="52" t="e">
        <f>IFERROR(_xlfn.XLOOKUP(C96,'Agências de Rating Soberano'!$G$2:$G$22,'Agências de Rating Soberano'!$H$2:$H$22),NA())</f>
        <v>#N/A</v>
      </c>
      <c r="N96" s="52" t="e">
        <f>IFERROR(_xlfn.XLOOKUP(E96,'Agências de Rating Soberano'!$J$2:$J$22,'Agências de Rating Soberano'!$K$2:$K$22),NA())</f>
        <v>#N/A</v>
      </c>
      <c r="O96" s="52" t="e">
        <f>IFERROR(_xlfn.XLOOKUP(F96,'Agências de Rating Soberano'!$J$2:$J$22,'Agências de Rating Soberano'!$K$2:$K$22),NA())</f>
        <v>#N/A</v>
      </c>
      <c r="P96" s="52" t="e">
        <f>IFERROR(_xlfn.XLOOKUP(H96,'Agências de Rating Soberano'!$J$2:$J$22,'Agências de Rating Soberano'!$K$2:$K$22),NA())</f>
        <v>#N/A</v>
      </c>
      <c r="Q96" s="52" t="e">
        <f>IFERROR(_xlfn.XLOOKUP(I96,'Agências de Rating Soberano'!$J$2:$J$22,'Agências de Rating Soberano'!$K$2:$K$22),NA())</f>
        <v>#N/A</v>
      </c>
    </row>
    <row r="97" spans="1:17" x14ac:dyDescent="0.3">
      <c r="A97" s="53">
        <f t="shared" si="8"/>
        <v>34638</v>
      </c>
      <c r="B97" t="str">
        <f>IFERROR(_xlfn.XLOOKUP($A97,Planilha2!$A$2:$A$34,Planilha2!C$2:C$34,"",-1),"")</f>
        <v>B2</v>
      </c>
      <c r="C97" t="str">
        <f>IFERROR(_xlfn.XLOOKUP($A97,Planilha2!$A$2:$A$34,Planilha2!D$2:D$34,"",-1),"")</f>
        <v>-</v>
      </c>
      <c r="D97" t="str" cm="1">
        <f t="array" ref="D97">IF($A97&lt;MIN(Planilha2!$A$2:$A$34),"",_xlfn.LET(_xlpm.t,_xlfn.XLOOKUP($A97,Planilha2!$A$2:$A$34,Planilha2!$E$2:$E$34,"",-1),_xlfn.IFS(ISNUMBER(SEARCH("positiva",_xlpm.t)),"Positiva",ISNUMBER(SEARCH("negativa",_xlpm.t)),"Negativa",ISNUMBER(SEARCH("estável",_xlpm.t)),"Estável",TRUE,"n/d")))</f>
        <v>Positiva</v>
      </c>
      <c r="E97" t="str">
        <f>IFERROR(_xlfn.XLOOKUP($A97,Planilha2!$J$2:$J$44,Planilha2!L$2:L$44,"",-1),"")</f>
        <v/>
      </c>
      <c r="F97" t="str">
        <f>IFERROR(_xlfn.XLOOKUP($A97,Planilha2!$J$2:$J$44,Planilha2!M$2:M$44,"",-1),"")</f>
        <v/>
      </c>
      <c r="G97" t="str" cm="1">
        <f t="array" ref="G97">IF($A97&lt;MIN(Planilha2!$J$2:$J$44),"",_xlfn.LET(_xlpm.t,_xlfn.XLOOKUP($A97,Planilha2!$J$2:$J$44,Planilha2!$N$2:$N$44,"",-1),_xlfn.IFS(ISNUMBER(SEARCH("positiva",_xlpm.t)),"Positiva",ISNUMBER(SEARCH("negativa",_xlpm.t)),"Negativa",ISNUMBER(SEARCH("estável",_xlpm.t)),"Estável",TRUE,"n/d")))</f>
        <v/>
      </c>
      <c r="H97" t="str">
        <f>IFERROR(_xlfn.XLOOKUP($A97,Planilha2!$P$2:$P$38,Planilha2!R$2:R$38,"",-1),"")</f>
        <v/>
      </c>
      <c r="I97" t="str">
        <f>IFERROR(_xlfn.XLOOKUP($A97,Planilha2!$P$2:$P$38,Planilha2!S$2:S$38,"",-1),"")</f>
        <v/>
      </c>
      <c r="J97" t="str" cm="1">
        <f t="array" ref="J97">IF($A97&lt;MIN(Planilha2!$P$2:$P$38),"",_xlfn.LET(_xlpm.t,_xlfn.XLOOKUP($A97,Planilha2!$P$2:$P$38,Planilha2!$T$2:$T$38,"",-1),_xlfn.IFS(ISNUMBER(SEARCH("positiva",_xlpm.t)),"Positiva",ISNUMBER(SEARCH("negativa",_xlpm.t)),"Negativa",ISNUMBER(SEARCH("estável",_xlpm.t)),"Estável",TRUE,"n/d")))</f>
        <v/>
      </c>
      <c r="L97" s="52">
        <f>IFERROR(_xlfn.XLOOKUP(B97,'Agências de Rating Soberano'!$G$2:$G$22,'Agências de Rating Soberano'!$H$2:$H$22),NA())</f>
        <v>7</v>
      </c>
      <c r="M97" s="52" t="e">
        <f>IFERROR(_xlfn.XLOOKUP(C97,'Agências de Rating Soberano'!$G$2:$G$22,'Agências de Rating Soberano'!$H$2:$H$22),NA())</f>
        <v>#N/A</v>
      </c>
      <c r="N97" s="52" t="e">
        <f>IFERROR(_xlfn.XLOOKUP(E97,'Agências de Rating Soberano'!$J$2:$J$22,'Agências de Rating Soberano'!$K$2:$K$22),NA())</f>
        <v>#N/A</v>
      </c>
      <c r="O97" s="52" t="e">
        <f>IFERROR(_xlfn.XLOOKUP(F97,'Agências de Rating Soberano'!$J$2:$J$22,'Agências de Rating Soberano'!$K$2:$K$22),NA())</f>
        <v>#N/A</v>
      </c>
      <c r="P97" s="52" t="e">
        <f>IFERROR(_xlfn.XLOOKUP(H97,'Agências de Rating Soberano'!$J$2:$J$22,'Agências de Rating Soberano'!$K$2:$K$22),NA())</f>
        <v>#N/A</v>
      </c>
      <c r="Q97" s="52" t="e">
        <f>IFERROR(_xlfn.XLOOKUP(I97,'Agências de Rating Soberano'!$J$2:$J$22,'Agências de Rating Soberano'!$K$2:$K$22),NA())</f>
        <v>#N/A</v>
      </c>
    </row>
    <row r="98" spans="1:17" x14ac:dyDescent="0.3">
      <c r="A98" s="53">
        <f t="shared" si="8"/>
        <v>34668</v>
      </c>
      <c r="B98" t="str">
        <f>IFERROR(_xlfn.XLOOKUP($A98,Planilha2!$A$2:$A$34,Planilha2!C$2:C$34,"",-1),"")</f>
        <v>B1</v>
      </c>
      <c r="C98" t="str">
        <f>IFERROR(_xlfn.XLOOKUP($A98,Planilha2!$A$2:$A$34,Planilha2!D$2:D$34,"",-1),"")</f>
        <v>-</v>
      </c>
      <c r="D98" t="str" cm="1">
        <f t="array" ref="D98">IF($A98&lt;MIN(Planilha2!$A$2:$A$34),"",_xlfn.LET(_xlpm.t,_xlfn.XLOOKUP($A98,Planilha2!$A$2:$A$34,Planilha2!$E$2:$E$34,"",-1),_xlfn.IFS(ISNUMBER(SEARCH("positiva",_xlpm.t)),"Positiva",ISNUMBER(SEARCH("negativa",_xlpm.t)),"Negativa",ISNUMBER(SEARCH("estável",_xlpm.t)),"Estável",TRUE,"n/d")))</f>
        <v>Estável</v>
      </c>
      <c r="E98" t="str">
        <f>IFERROR(_xlfn.XLOOKUP($A98,Planilha2!$J$2:$J$44,Planilha2!L$2:L$44,"",-1),"")</f>
        <v/>
      </c>
      <c r="F98" t="str">
        <f>IFERROR(_xlfn.XLOOKUP($A98,Planilha2!$J$2:$J$44,Planilha2!M$2:M$44,"",-1),"")</f>
        <v/>
      </c>
      <c r="G98" t="str" cm="1">
        <f t="array" ref="G98">IF($A98&lt;MIN(Planilha2!$J$2:$J$44),"",_xlfn.LET(_xlpm.t,_xlfn.XLOOKUP($A98,Planilha2!$J$2:$J$44,Planilha2!$N$2:$N$44,"",-1),_xlfn.IFS(ISNUMBER(SEARCH("positiva",_xlpm.t)),"Positiva",ISNUMBER(SEARCH("negativa",_xlpm.t)),"Negativa",ISNUMBER(SEARCH("estável",_xlpm.t)),"Estável",TRUE,"n/d")))</f>
        <v/>
      </c>
      <c r="H98" t="str">
        <f>IFERROR(_xlfn.XLOOKUP($A98,Planilha2!$P$2:$P$38,Planilha2!R$2:R$38,"",-1),"")</f>
        <v/>
      </c>
      <c r="I98" t="str">
        <f>IFERROR(_xlfn.XLOOKUP($A98,Planilha2!$P$2:$P$38,Planilha2!S$2:S$38,"",-1),"")</f>
        <v/>
      </c>
      <c r="J98" t="str" cm="1">
        <f t="array" ref="J98">IF($A98&lt;MIN(Planilha2!$P$2:$P$38),"",_xlfn.LET(_xlpm.t,_xlfn.XLOOKUP($A98,Planilha2!$P$2:$P$38,Planilha2!$T$2:$T$38,"",-1),_xlfn.IFS(ISNUMBER(SEARCH("positiva",_xlpm.t)),"Positiva",ISNUMBER(SEARCH("negativa",_xlpm.t)),"Negativa",ISNUMBER(SEARCH("estável",_xlpm.t)),"Estável",TRUE,"n/d")))</f>
        <v/>
      </c>
      <c r="L98" s="52">
        <f>IFERROR(_xlfn.XLOOKUP(B98,'Agências de Rating Soberano'!$G$2:$G$22,'Agências de Rating Soberano'!$H$2:$H$22),NA())</f>
        <v>8</v>
      </c>
      <c r="M98" s="52" t="e">
        <f>IFERROR(_xlfn.XLOOKUP(C98,'Agências de Rating Soberano'!$G$2:$G$22,'Agências de Rating Soberano'!$H$2:$H$22),NA())</f>
        <v>#N/A</v>
      </c>
      <c r="N98" s="52" t="e">
        <f>IFERROR(_xlfn.XLOOKUP(E98,'Agências de Rating Soberano'!$J$2:$J$22,'Agências de Rating Soberano'!$K$2:$K$22),NA())</f>
        <v>#N/A</v>
      </c>
      <c r="O98" s="52" t="e">
        <f>IFERROR(_xlfn.XLOOKUP(F98,'Agências de Rating Soberano'!$J$2:$J$22,'Agências de Rating Soberano'!$K$2:$K$22),NA())</f>
        <v>#N/A</v>
      </c>
      <c r="P98" s="52" t="e">
        <f>IFERROR(_xlfn.XLOOKUP(H98,'Agências de Rating Soberano'!$J$2:$J$22,'Agências de Rating Soberano'!$K$2:$K$22),NA())</f>
        <v>#N/A</v>
      </c>
      <c r="Q98" s="52" t="e">
        <f>IFERROR(_xlfn.XLOOKUP(I98,'Agências de Rating Soberano'!$J$2:$J$22,'Agências de Rating Soberano'!$K$2:$K$22),NA())</f>
        <v>#N/A</v>
      </c>
    </row>
    <row r="99" spans="1:17" x14ac:dyDescent="0.3">
      <c r="A99" s="53">
        <f t="shared" si="8"/>
        <v>34699</v>
      </c>
      <c r="B99" t="str">
        <f>IFERROR(_xlfn.XLOOKUP($A99,Planilha2!$A$2:$A$34,Planilha2!C$2:C$34,"",-1),"")</f>
        <v>B1</v>
      </c>
      <c r="C99" t="str">
        <f>IFERROR(_xlfn.XLOOKUP($A99,Planilha2!$A$2:$A$34,Planilha2!D$2:D$34,"",-1),"")</f>
        <v>-</v>
      </c>
      <c r="D99" t="str" cm="1">
        <f t="array" ref="D99">IF($A99&lt;MIN(Planilha2!$A$2:$A$34),"",_xlfn.LET(_xlpm.t,_xlfn.XLOOKUP($A99,Planilha2!$A$2:$A$34,Planilha2!$E$2:$E$34,"",-1),_xlfn.IFS(ISNUMBER(SEARCH("positiva",_xlpm.t)),"Positiva",ISNUMBER(SEARCH("negativa",_xlpm.t)),"Negativa",ISNUMBER(SEARCH("estável",_xlpm.t)),"Estável",TRUE,"n/d")))</f>
        <v>Estável</v>
      </c>
      <c r="E99" t="str">
        <f>IFERROR(_xlfn.XLOOKUP($A99,Planilha2!$J$2:$J$44,Planilha2!L$2:L$44,"",-1),"")</f>
        <v>B+</v>
      </c>
      <c r="F99" t="str">
        <f>IFERROR(_xlfn.XLOOKUP($A99,Planilha2!$J$2:$J$44,Planilha2!M$2:M$44,"",-1),"")</f>
        <v>-</v>
      </c>
      <c r="G99" t="str" cm="1">
        <f t="array" ref="G99">IF($A99&lt;MIN(Planilha2!$J$2:$J$44),"",_xlfn.LET(_xlpm.t,_xlfn.XLOOKUP($A99,Planilha2!$J$2:$J$44,Planilha2!$N$2:$N$44,"",-1),_xlfn.IFS(ISNUMBER(SEARCH("positiva",_xlpm.t)),"Positiva",ISNUMBER(SEARCH("negativa",_xlpm.t)),"Negativa",ISNUMBER(SEARCH("estável",_xlpm.t)),"Estável",TRUE,"n/d")))</f>
        <v>n/d</v>
      </c>
      <c r="H99" t="str">
        <f>IFERROR(_xlfn.XLOOKUP($A99,Planilha2!$P$2:$P$38,Planilha2!R$2:R$38,"",-1),"")</f>
        <v/>
      </c>
      <c r="I99" t="str">
        <f>IFERROR(_xlfn.XLOOKUP($A99,Planilha2!$P$2:$P$38,Planilha2!S$2:S$38,"",-1),"")</f>
        <v/>
      </c>
      <c r="J99" t="str" cm="1">
        <f t="array" ref="J99">IF($A99&lt;MIN(Planilha2!$P$2:$P$38),"",_xlfn.LET(_xlpm.t,_xlfn.XLOOKUP($A99,Planilha2!$P$2:$P$38,Planilha2!$T$2:$T$38,"",-1),_xlfn.IFS(ISNUMBER(SEARCH("positiva",_xlpm.t)),"Positiva",ISNUMBER(SEARCH("negativa",_xlpm.t)),"Negativa",ISNUMBER(SEARCH("estável",_xlpm.t)),"Estável",TRUE,"n/d")))</f>
        <v/>
      </c>
      <c r="L99" s="52">
        <f>IFERROR(_xlfn.XLOOKUP(B99,'Agências de Rating Soberano'!$G$2:$G$22,'Agências de Rating Soberano'!$H$2:$H$22),NA())</f>
        <v>8</v>
      </c>
      <c r="M99" s="52" t="e">
        <f>IFERROR(_xlfn.XLOOKUP(C99,'Agências de Rating Soberano'!$G$2:$G$22,'Agências de Rating Soberano'!$H$2:$H$22),NA())</f>
        <v>#N/A</v>
      </c>
      <c r="N99" s="52">
        <f>IFERROR(_xlfn.XLOOKUP(E99,'Agências de Rating Soberano'!$J$2:$J$22,'Agências de Rating Soberano'!$K$2:$K$22),NA())</f>
        <v>8</v>
      </c>
      <c r="O99" s="52" t="e">
        <f>IFERROR(_xlfn.XLOOKUP(F99,'Agências de Rating Soberano'!$J$2:$J$22,'Agências de Rating Soberano'!$K$2:$K$22),NA())</f>
        <v>#N/A</v>
      </c>
      <c r="P99" s="52" t="e">
        <f>IFERROR(_xlfn.XLOOKUP(H99,'Agências de Rating Soberano'!$J$2:$J$22,'Agências de Rating Soberano'!$K$2:$K$22),NA())</f>
        <v>#N/A</v>
      </c>
      <c r="Q99" s="52" t="e">
        <f>IFERROR(_xlfn.XLOOKUP(I99,'Agências de Rating Soberano'!$J$2:$J$22,'Agências de Rating Soberano'!$K$2:$K$22),NA())</f>
        <v>#N/A</v>
      </c>
    </row>
    <row r="100" spans="1:17" x14ac:dyDescent="0.3">
      <c r="A100" s="53">
        <f t="shared" si="8"/>
        <v>34730</v>
      </c>
      <c r="B100" t="str">
        <f>IFERROR(_xlfn.XLOOKUP($A100,Planilha2!$A$2:$A$34,Planilha2!C$2:C$34,"",-1),"")</f>
        <v>B1</v>
      </c>
      <c r="C100" t="str">
        <f>IFERROR(_xlfn.XLOOKUP($A100,Planilha2!$A$2:$A$34,Planilha2!D$2:D$34,"",-1),"")</f>
        <v>-</v>
      </c>
      <c r="D100" t="str" cm="1">
        <f t="array" ref="D100">IF($A100&lt;MIN(Planilha2!$A$2:$A$34),"",_xlfn.LET(_xlpm.t,_xlfn.XLOOKUP($A100,Planilha2!$A$2:$A$34,Planilha2!$E$2:$E$34,"",-1),_xlfn.IFS(ISNUMBER(SEARCH("positiva",_xlpm.t)),"Positiva",ISNUMBER(SEARCH("negativa",_xlpm.t)),"Negativa",ISNUMBER(SEARCH("estável",_xlpm.t)),"Estável",TRUE,"n/d")))</f>
        <v>Estável</v>
      </c>
      <c r="E100" t="str">
        <f>IFERROR(_xlfn.XLOOKUP($A100,Planilha2!$J$2:$J$44,Planilha2!L$2:L$44,"",-1),"")</f>
        <v>B+</v>
      </c>
      <c r="F100" t="str">
        <f>IFERROR(_xlfn.XLOOKUP($A100,Planilha2!$J$2:$J$44,Planilha2!M$2:M$44,"",-1),"")</f>
        <v>-</v>
      </c>
      <c r="G100" t="str" cm="1">
        <f t="array" ref="G100">IF($A100&lt;MIN(Planilha2!$J$2:$J$44),"",_xlfn.LET(_xlpm.t,_xlfn.XLOOKUP($A100,Planilha2!$J$2:$J$44,Planilha2!$N$2:$N$44,"",-1),_xlfn.IFS(ISNUMBER(SEARCH("positiva",_xlpm.t)),"Positiva",ISNUMBER(SEARCH("negativa",_xlpm.t)),"Negativa",ISNUMBER(SEARCH("estável",_xlpm.t)),"Estável",TRUE,"n/d")))</f>
        <v>n/d</v>
      </c>
      <c r="H100" t="str">
        <f>IFERROR(_xlfn.XLOOKUP($A100,Planilha2!$P$2:$P$38,Planilha2!R$2:R$38,"",-1),"")</f>
        <v/>
      </c>
      <c r="I100" t="str">
        <f>IFERROR(_xlfn.XLOOKUP($A100,Planilha2!$P$2:$P$38,Planilha2!S$2:S$38,"",-1),"")</f>
        <v/>
      </c>
      <c r="J100" t="str" cm="1">
        <f t="array" ref="J100">IF($A100&lt;MIN(Planilha2!$P$2:$P$38),"",_xlfn.LET(_xlpm.t,_xlfn.XLOOKUP($A100,Planilha2!$P$2:$P$38,Planilha2!$T$2:$T$38,"",-1),_xlfn.IFS(ISNUMBER(SEARCH("positiva",_xlpm.t)),"Positiva",ISNUMBER(SEARCH("negativa",_xlpm.t)),"Negativa",ISNUMBER(SEARCH("estável",_xlpm.t)),"Estável",TRUE,"n/d")))</f>
        <v/>
      </c>
      <c r="L100" s="52">
        <f>IFERROR(_xlfn.XLOOKUP(B100,'Agências de Rating Soberano'!$G$2:$G$22,'Agências de Rating Soberano'!$H$2:$H$22),NA())</f>
        <v>8</v>
      </c>
      <c r="M100" s="52" t="e">
        <f>IFERROR(_xlfn.XLOOKUP(C100,'Agências de Rating Soberano'!$G$2:$G$22,'Agências de Rating Soberano'!$H$2:$H$22),NA())</f>
        <v>#N/A</v>
      </c>
      <c r="N100" s="52">
        <f>IFERROR(_xlfn.XLOOKUP(E100,'Agências de Rating Soberano'!$J$2:$J$22,'Agências de Rating Soberano'!$K$2:$K$22),NA())</f>
        <v>8</v>
      </c>
      <c r="O100" s="52" t="e">
        <f>IFERROR(_xlfn.XLOOKUP(F100,'Agências de Rating Soberano'!$J$2:$J$22,'Agências de Rating Soberano'!$K$2:$K$22),NA())</f>
        <v>#N/A</v>
      </c>
      <c r="P100" s="52" t="e">
        <f>IFERROR(_xlfn.XLOOKUP(H100,'Agências de Rating Soberano'!$J$2:$J$22,'Agências de Rating Soberano'!$K$2:$K$22),NA())</f>
        <v>#N/A</v>
      </c>
      <c r="Q100" s="52" t="e">
        <f>IFERROR(_xlfn.XLOOKUP(I100,'Agências de Rating Soberano'!$J$2:$J$22,'Agências de Rating Soberano'!$K$2:$K$22),NA())</f>
        <v>#N/A</v>
      </c>
    </row>
    <row r="101" spans="1:17" x14ac:dyDescent="0.3">
      <c r="A101" s="53">
        <f t="shared" si="8"/>
        <v>34758</v>
      </c>
      <c r="B101" t="str">
        <f>IFERROR(_xlfn.XLOOKUP($A101,Planilha2!$A$2:$A$34,Planilha2!C$2:C$34,"",-1),"")</f>
        <v>B1</v>
      </c>
      <c r="C101" t="str">
        <f>IFERROR(_xlfn.XLOOKUP($A101,Planilha2!$A$2:$A$34,Planilha2!D$2:D$34,"",-1),"")</f>
        <v>-</v>
      </c>
      <c r="D101" t="str" cm="1">
        <f t="array" ref="D101">IF($A101&lt;MIN(Planilha2!$A$2:$A$34),"",_xlfn.LET(_xlpm.t,_xlfn.XLOOKUP($A101,Planilha2!$A$2:$A$34,Planilha2!$E$2:$E$34,"",-1),_xlfn.IFS(ISNUMBER(SEARCH("positiva",_xlpm.t)),"Positiva",ISNUMBER(SEARCH("negativa",_xlpm.t)),"Negativa",ISNUMBER(SEARCH("estável",_xlpm.t)),"Estável",TRUE,"n/d")))</f>
        <v>Estável</v>
      </c>
      <c r="E101" t="str">
        <f>IFERROR(_xlfn.XLOOKUP($A101,Planilha2!$J$2:$J$44,Planilha2!L$2:L$44,"",-1),"")</f>
        <v>B+</v>
      </c>
      <c r="F101" t="str">
        <f>IFERROR(_xlfn.XLOOKUP($A101,Planilha2!$J$2:$J$44,Planilha2!M$2:M$44,"",-1),"")</f>
        <v>-</v>
      </c>
      <c r="G101" t="str" cm="1">
        <f t="array" ref="G101">IF($A101&lt;MIN(Planilha2!$J$2:$J$44),"",_xlfn.LET(_xlpm.t,_xlfn.XLOOKUP($A101,Planilha2!$J$2:$J$44,Planilha2!$N$2:$N$44,"",-1),_xlfn.IFS(ISNUMBER(SEARCH("positiva",_xlpm.t)),"Positiva",ISNUMBER(SEARCH("negativa",_xlpm.t)),"Negativa",ISNUMBER(SEARCH("estável",_xlpm.t)),"Estável",TRUE,"n/d")))</f>
        <v>n/d</v>
      </c>
      <c r="H101" t="str">
        <f>IFERROR(_xlfn.XLOOKUP($A101,Planilha2!$P$2:$P$38,Planilha2!R$2:R$38,"",-1),"")</f>
        <v/>
      </c>
      <c r="I101" t="str">
        <f>IFERROR(_xlfn.XLOOKUP($A101,Planilha2!$P$2:$P$38,Planilha2!S$2:S$38,"",-1),"")</f>
        <v/>
      </c>
      <c r="J101" t="str" cm="1">
        <f t="array" ref="J101">IF($A101&lt;MIN(Planilha2!$P$2:$P$38),"",_xlfn.LET(_xlpm.t,_xlfn.XLOOKUP($A101,Planilha2!$P$2:$P$38,Planilha2!$T$2:$T$38,"",-1),_xlfn.IFS(ISNUMBER(SEARCH("positiva",_xlpm.t)),"Positiva",ISNUMBER(SEARCH("negativa",_xlpm.t)),"Negativa",ISNUMBER(SEARCH("estável",_xlpm.t)),"Estável",TRUE,"n/d")))</f>
        <v/>
      </c>
      <c r="L101" s="52">
        <f>IFERROR(_xlfn.XLOOKUP(B101,'Agências de Rating Soberano'!$G$2:$G$22,'Agências de Rating Soberano'!$H$2:$H$22),NA())</f>
        <v>8</v>
      </c>
      <c r="M101" s="52" t="e">
        <f>IFERROR(_xlfn.XLOOKUP(C101,'Agências de Rating Soberano'!$G$2:$G$22,'Agências de Rating Soberano'!$H$2:$H$22),NA())</f>
        <v>#N/A</v>
      </c>
      <c r="N101" s="52">
        <f>IFERROR(_xlfn.XLOOKUP(E101,'Agências de Rating Soberano'!$J$2:$J$22,'Agências de Rating Soberano'!$K$2:$K$22),NA())</f>
        <v>8</v>
      </c>
      <c r="O101" s="52" t="e">
        <f>IFERROR(_xlfn.XLOOKUP(F101,'Agências de Rating Soberano'!$J$2:$J$22,'Agências de Rating Soberano'!$K$2:$K$22),NA())</f>
        <v>#N/A</v>
      </c>
      <c r="P101" s="52" t="e">
        <f>IFERROR(_xlfn.XLOOKUP(H101,'Agências de Rating Soberano'!$J$2:$J$22,'Agências de Rating Soberano'!$K$2:$K$22),NA())</f>
        <v>#N/A</v>
      </c>
      <c r="Q101" s="52" t="e">
        <f>IFERROR(_xlfn.XLOOKUP(I101,'Agências de Rating Soberano'!$J$2:$J$22,'Agências de Rating Soberano'!$K$2:$K$22),NA())</f>
        <v>#N/A</v>
      </c>
    </row>
    <row r="102" spans="1:17" x14ac:dyDescent="0.3">
      <c r="A102" s="53">
        <f t="shared" si="8"/>
        <v>34789</v>
      </c>
      <c r="B102" t="str">
        <f>IFERROR(_xlfn.XLOOKUP($A102,Planilha2!$A$2:$A$34,Planilha2!C$2:C$34,"",-1),"")</f>
        <v>B1</v>
      </c>
      <c r="C102" t="str">
        <f>IFERROR(_xlfn.XLOOKUP($A102,Planilha2!$A$2:$A$34,Planilha2!D$2:D$34,"",-1),"")</f>
        <v>-</v>
      </c>
      <c r="D102" t="str" cm="1">
        <f t="array" ref="D102">IF($A102&lt;MIN(Planilha2!$A$2:$A$34),"",_xlfn.LET(_xlpm.t,_xlfn.XLOOKUP($A102,Planilha2!$A$2:$A$34,Planilha2!$E$2:$E$34,"",-1),_xlfn.IFS(ISNUMBER(SEARCH("positiva",_xlpm.t)),"Positiva",ISNUMBER(SEARCH("negativa",_xlpm.t)),"Negativa",ISNUMBER(SEARCH("estável",_xlpm.t)),"Estável",TRUE,"n/d")))</f>
        <v>Estável</v>
      </c>
      <c r="E102" t="str">
        <f>IFERROR(_xlfn.XLOOKUP($A102,Planilha2!$J$2:$J$44,Planilha2!L$2:L$44,"",-1),"")</f>
        <v>B+</v>
      </c>
      <c r="F102" t="str">
        <f>IFERROR(_xlfn.XLOOKUP($A102,Planilha2!$J$2:$J$44,Planilha2!M$2:M$44,"",-1),"")</f>
        <v>-</v>
      </c>
      <c r="G102" t="str" cm="1">
        <f t="array" ref="G102">IF($A102&lt;MIN(Planilha2!$J$2:$J$44),"",_xlfn.LET(_xlpm.t,_xlfn.XLOOKUP($A102,Planilha2!$J$2:$J$44,Planilha2!$N$2:$N$44,"",-1),_xlfn.IFS(ISNUMBER(SEARCH("positiva",_xlpm.t)),"Positiva",ISNUMBER(SEARCH("negativa",_xlpm.t)),"Negativa",ISNUMBER(SEARCH("estável",_xlpm.t)),"Estável",TRUE,"n/d")))</f>
        <v>n/d</v>
      </c>
      <c r="H102" t="str">
        <f>IFERROR(_xlfn.XLOOKUP($A102,Planilha2!$P$2:$P$38,Planilha2!R$2:R$38,"",-1),"")</f>
        <v/>
      </c>
      <c r="I102" t="str">
        <f>IFERROR(_xlfn.XLOOKUP($A102,Planilha2!$P$2:$P$38,Planilha2!S$2:S$38,"",-1),"")</f>
        <v/>
      </c>
      <c r="J102" t="str" cm="1">
        <f t="array" ref="J102">IF($A102&lt;MIN(Planilha2!$P$2:$P$38),"",_xlfn.LET(_xlpm.t,_xlfn.XLOOKUP($A102,Planilha2!$P$2:$P$38,Planilha2!$T$2:$T$38,"",-1),_xlfn.IFS(ISNUMBER(SEARCH("positiva",_xlpm.t)),"Positiva",ISNUMBER(SEARCH("negativa",_xlpm.t)),"Negativa",ISNUMBER(SEARCH("estável",_xlpm.t)),"Estável",TRUE,"n/d")))</f>
        <v/>
      </c>
      <c r="L102" s="52">
        <f>IFERROR(_xlfn.XLOOKUP(B102,'Agências de Rating Soberano'!$G$2:$G$22,'Agências de Rating Soberano'!$H$2:$H$22),NA())</f>
        <v>8</v>
      </c>
      <c r="M102" s="52" t="e">
        <f>IFERROR(_xlfn.XLOOKUP(C102,'Agências de Rating Soberano'!$G$2:$G$22,'Agências de Rating Soberano'!$H$2:$H$22),NA())</f>
        <v>#N/A</v>
      </c>
      <c r="N102" s="52">
        <f>IFERROR(_xlfn.XLOOKUP(E102,'Agências de Rating Soberano'!$J$2:$J$22,'Agências de Rating Soberano'!$K$2:$K$22),NA())</f>
        <v>8</v>
      </c>
      <c r="O102" s="52" t="e">
        <f>IFERROR(_xlfn.XLOOKUP(F102,'Agências de Rating Soberano'!$J$2:$J$22,'Agências de Rating Soberano'!$K$2:$K$22),NA())</f>
        <v>#N/A</v>
      </c>
      <c r="P102" s="52" t="e">
        <f>IFERROR(_xlfn.XLOOKUP(H102,'Agências de Rating Soberano'!$J$2:$J$22,'Agências de Rating Soberano'!$K$2:$K$22),NA())</f>
        <v>#N/A</v>
      </c>
      <c r="Q102" s="52" t="e">
        <f>IFERROR(_xlfn.XLOOKUP(I102,'Agências de Rating Soberano'!$J$2:$J$22,'Agências de Rating Soberano'!$K$2:$K$22),NA())</f>
        <v>#N/A</v>
      </c>
    </row>
    <row r="103" spans="1:17" x14ac:dyDescent="0.3">
      <c r="A103" s="53">
        <f t="shared" si="8"/>
        <v>34819</v>
      </c>
      <c r="B103" t="str">
        <f>IFERROR(_xlfn.XLOOKUP($A103,Planilha2!$A$2:$A$34,Planilha2!C$2:C$34,"",-1),"")</f>
        <v>B1</v>
      </c>
      <c r="C103" t="str">
        <f>IFERROR(_xlfn.XLOOKUP($A103,Planilha2!$A$2:$A$34,Planilha2!D$2:D$34,"",-1),"")</f>
        <v>-</v>
      </c>
      <c r="D103" t="str" cm="1">
        <f t="array" ref="D103">IF($A103&lt;MIN(Planilha2!$A$2:$A$34),"",_xlfn.LET(_xlpm.t,_xlfn.XLOOKUP($A103,Planilha2!$A$2:$A$34,Planilha2!$E$2:$E$34,"",-1),_xlfn.IFS(ISNUMBER(SEARCH("positiva",_xlpm.t)),"Positiva",ISNUMBER(SEARCH("negativa",_xlpm.t)),"Negativa",ISNUMBER(SEARCH("estável",_xlpm.t)),"Estável",TRUE,"n/d")))</f>
        <v>Estável</v>
      </c>
      <c r="E103" t="str">
        <f>IFERROR(_xlfn.XLOOKUP($A103,Planilha2!$J$2:$J$44,Planilha2!L$2:L$44,"",-1),"")</f>
        <v>B+</v>
      </c>
      <c r="F103" t="str">
        <f>IFERROR(_xlfn.XLOOKUP($A103,Planilha2!$J$2:$J$44,Planilha2!M$2:M$44,"",-1),"")</f>
        <v>-</v>
      </c>
      <c r="G103" t="str" cm="1">
        <f t="array" ref="G103">IF($A103&lt;MIN(Planilha2!$J$2:$J$44),"",_xlfn.LET(_xlpm.t,_xlfn.XLOOKUP($A103,Planilha2!$J$2:$J$44,Planilha2!$N$2:$N$44,"",-1),_xlfn.IFS(ISNUMBER(SEARCH("positiva",_xlpm.t)),"Positiva",ISNUMBER(SEARCH("negativa",_xlpm.t)),"Negativa",ISNUMBER(SEARCH("estável",_xlpm.t)),"Estável",TRUE,"n/d")))</f>
        <v>n/d</v>
      </c>
      <c r="H103" t="str">
        <f>IFERROR(_xlfn.XLOOKUP($A103,Planilha2!$P$2:$P$38,Planilha2!R$2:R$38,"",-1),"")</f>
        <v/>
      </c>
      <c r="I103" t="str">
        <f>IFERROR(_xlfn.XLOOKUP($A103,Planilha2!$P$2:$P$38,Planilha2!S$2:S$38,"",-1),"")</f>
        <v/>
      </c>
      <c r="J103" t="str" cm="1">
        <f t="array" ref="J103">IF($A103&lt;MIN(Planilha2!$P$2:$P$38),"",_xlfn.LET(_xlpm.t,_xlfn.XLOOKUP($A103,Planilha2!$P$2:$P$38,Planilha2!$T$2:$T$38,"",-1),_xlfn.IFS(ISNUMBER(SEARCH("positiva",_xlpm.t)),"Positiva",ISNUMBER(SEARCH("negativa",_xlpm.t)),"Negativa",ISNUMBER(SEARCH("estável",_xlpm.t)),"Estável",TRUE,"n/d")))</f>
        <v/>
      </c>
      <c r="L103" s="52">
        <f>IFERROR(_xlfn.XLOOKUP(B103,'Agências de Rating Soberano'!$G$2:$G$22,'Agências de Rating Soberano'!$H$2:$H$22),NA())</f>
        <v>8</v>
      </c>
      <c r="M103" s="52" t="e">
        <f>IFERROR(_xlfn.XLOOKUP(C103,'Agências de Rating Soberano'!$G$2:$G$22,'Agências de Rating Soberano'!$H$2:$H$22),NA())</f>
        <v>#N/A</v>
      </c>
      <c r="N103" s="52">
        <f>IFERROR(_xlfn.XLOOKUP(E103,'Agências de Rating Soberano'!$J$2:$J$22,'Agências de Rating Soberano'!$K$2:$K$22),NA())</f>
        <v>8</v>
      </c>
      <c r="O103" s="52" t="e">
        <f>IFERROR(_xlfn.XLOOKUP(F103,'Agências de Rating Soberano'!$J$2:$J$22,'Agências de Rating Soberano'!$K$2:$K$22),NA())</f>
        <v>#N/A</v>
      </c>
      <c r="P103" s="52" t="e">
        <f>IFERROR(_xlfn.XLOOKUP(H103,'Agências de Rating Soberano'!$J$2:$J$22,'Agências de Rating Soberano'!$K$2:$K$22),NA())</f>
        <v>#N/A</v>
      </c>
      <c r="Q103" s="52" t="e">
        <f>IFERROR(_xlfn.XLOOKUP(I103,'Agências de Rating Soberano'!$J$2:$J$22,'Agências de Rating Soberano'!$K$2:$K$22),NA())</f>
        <v>#N/A</v>
      </c>
    </row>
    <row r="104" spans="1:17" x14ac:dyDescent="0.3">
      <c r="A104" s="53">
        <f t="shared" si="8"/>
        <v>34850</v>
      </c>
      <c r="B104" t="str">
        <f>IFERROR(_xlfn.XLOOKUP($A104,Planilha2!$A$2:$A$34,Planilha2!C$2:C$34,"",-1),"")</f>
        <v>B1</v>
      </c>
      <c r="C104" t="str">
        <f>IFERROR(_xlfn.XLOOKUP($A104,Planilha2!$A$2:$A$34,Planilha2!D$2:D$34,"",-1),"")</f>
        <v>-</v>
      </c>
      <c r="D104" t="str" cm="1">
        <f t="array" ref="D104">IF($A104&lt;MIN(Planilha2!$A$2:$A$34),"",_xlfn.LET(_xlpm.t,_xlfn.XLOOKUP($A104,Planilha2!$A$2:$A$34,Planilha2!$E$2:$E$34,"",-1),_xlfn.IFS(ISNUMBER(SEARCH("positiva",_xlpm.t)),"Positiva",ISNUMBER(SEARCH("negativa",_xlpm.t)),"Negativa",ISNUMBER(SEARCH("estável",_xlpm.t)),"Estável",TRUE,"n/d")))</f>
        <v>Estável</v>
      </c>
      <c r="E104" t="str">
        <f>IFERROR(_xlfn.XLOOKUP($A104,Planilha2!$J$2:$J$44,Planilha2!L$2:L$44,"",-1),"")</f>
        <v>B+</v>
      </c>
      <c r="F104" t="str">
        <f>IFERROR(_xlfn.XLOOKUP($A104,Planilha2!$J$2:$J$44,Planilha2!M$2:M$44,"",-1),"")</f>
        <v>-</v>
      </c>
      <c r="G104" t="str" cm="1">
        <f t="array" ref="G104">IF($A104&lt;MIN(Planilha2!$J$2:$J$44),"",_xlfn.LET(_xlpm.t,_xlfn.XLOOKUP($A104,Planilha2!$J$2:$J$44,Planilha2!$N$2:$N$44,"",-1),_xlfn.IFS(ISNUMBER(SEARCH("positiva",_xlpm.t)),"Positiva",ISNUMBER(SEARCH("negativa",_xlpm.t)),"Negativa",ISNUMBER(SEARCH("estável",_xlpm.t)),"Estável",TRUE,"n/d")))</f>
        <v>n/d</v>
      </c>
      <c r="H104" t="str">
        <f>IFERROR(_xlfn.XLOOKUP($A104,Planilha2!$P$2:$P$38,Planilha2!R$2:R$38,"",-1),"")</f>
        <v/>
      </c>
      <c r="I104" t="str">
        <f>IFERROR(_xlfn.XLOOKUP($A104,Planilha2!$P$2:$P$38,Planilha2!S$2:S$38,"",-1),"")</f>
        <v/>
      </c>
      <c r="J104" t="str" cm="1">
        <f t="array" ref="J104">IF($A104&lt;MIN(Planilha2!$P$2:$P$38),"",_xlfn.LET(_xlpm.t,_xlfn.XLOOKUP($A104,Planilha2!$P$2:$P$38,Planilha2!$T$2:$T$38,"",-1),_xlfn.IFS(ISNUMBER(SEARCH("positiva",_xlpm.t)),"Positiva",ISNUMBER(SEARCH("negativa",_xlpm.t)),"Negativa",ISNUMBER(SEARCH("estável",_xlpm.t)),"Estável",TRUE,"n/d")))</f>
        <v/>
      </c>
      <c r="L104" s="52">
        <f>IFERROR(_xlfn.XLOOKUP(B104,'Agências de Rating Soberano'!$G$2:$G$22,'Agências de Rating Soberano'!$H$2:$H$22),NA())</f>
        <v>8</v>
      </c>
      <c r="M104" s="52" t="e">
        <f>IFERROR(_xlfn.XLOOKUP(C104,'Agências de Rating Soberano'!$G$2:$G$22,'Agências de Rating Soberano'!$H$2:$H$22),NA())</f>
        <v>#N/A</v>
      </c>
      <c r="N104" s="52">
        <f>IFERROR(_xlfn.XLOOKUP(E104,'Agências de Rating Soberano'!$J$2:$J$22,'Agências de Rating Soberano'!$K$2:$K$22),NA())</f>
        <v>8</v>
      </c>
      <c r="O104" s="52" t="e">
        <f>IFERROR(_xlfn.XLOOKUP(F104,'Agências de Rating Soberano'!$J$2:$J$22,'Agências de Rating Soberano'!$K$2:$K$22),NA())</f>
        <v>#N/A</v>
      </c>
      <c r="P104" s="52" t="e">
        <f>IFERROR(_xlfn.XLOOKUP(H104,'Agências de Rating Soberano'!$J$2:$J$22,'Agências de Rating Soberano'!$K$2:$K$22),NA())</f>
        <v>#N/A</v>
      </c>
      <c r="Q104" s="52" t="e">
        <f>IFERROR(_xlfn.XLOOKUP(I104,'Agências de Rating Soberano'!$J$2:$J$22,'Agências de Rating Soberano'!$K$2:$K$22),NA())</f>
        <v>#N/A</v>
      </c>
    </row>
    <row r="105" spans="1:17" x14ac:dyDescent="0.3">
      <c r="A105" s="53">
        <f t="shared" si="8"/>
        <v>34880</v>
      </c>
      <c r="B105" t="str">
        <f>IFERROR(_xlfn.XLOOKUP($A105,Planilha2!$A$2:$A$34,Planilha2!C$2:C$34,"",-1),"")</f>
        <v>B1</v>
      </c>
      <c r="C105" t="str">
        <f>IFERROR(_xlfn.XLOOKUP($A105,Planilha2!$A$2:$A$34,Planilha2!D$2:D$34,"",-1),"")</f>
        <v>-</v>
      </c>
      <c r="D105" t="str" cm="1">
        <f t="array" ref="D105">IF($A105&lt;MIN(Planilha2!$A$2:$A$34),"",_xlfn.LET(_xlpm.t,_xlfn.XLOOKUP($A105,Planilha2!$A$2:$A$34,Planilha2!$E$2:$E$34,"",-1),_xlfn.IFS(ISNUMBER(SEARCH("positiva",_xlpm.t)),"Positiva",ISNUMBER(SEARCH("negativa",_xlpm.t)),"Negativa",ISNUMBER(SEARCH("estável",_xlpm.t)),"Estável",TRUE,"n/d")))</f>
        <v>Estável</v>
      </c>
      <c r="E105" t="str">
        <f>IFERROR(_xlfn.XLOOKUP($A105,Planilha2!$J$2:$J$44,Planilha2!L$2:L$44,"",-1),"")</f>
        <v>B+</v>
      </c>
      <c r="F105" t="str">
        <f>IFERROR(_xlfn.XLOOKUP($A105,Planilha2!$J$2:$J$44,Planilha2!M$2:M$44,"",-1),"")</f>
        <v>-</v>
      </c>
      <c r="G105" t="str" cm="1">
        <f t="array" ref="G105">IF($A105&lt;MIN(Planilha2!$J$2:$J$44),"",_xlfn.LET(_xlpm.t,_xlfn.XLOOKUP($A105,Planilha2!$J$2:$J$44,Planilha2!$N$2:$N$44,"",-1),_xlfn.IFS(ISNUMBER(SEARCH("positiva",_xlpm.t)),"Positiva",ISNUMBER(SEARCH("negativa",_xlpm.t)),"Negativa",ISNUMBER(SEARCH("estável",_xlpm.t)),"Estável",TRUE,"n/d")))</f>
        <v>n/d</v>
      </c>
      <c r="H105" t="str">
        <f>IFERROR(_xlfn.XLOOKUP($A105,Planilha2!$P$2:$P$38,Planilha2!R$2:R$38,"",-1),"")</f>
        <v/>
      </c>
      <c r="I105" t="str">
        <f>IFERROR(_xlfn.XLOOKUP($A105,Planilha2!$P$2:$P$38,Planilha2!S$2:S$38,"",-1),"")</f>
        <v/>
      </c>
      <c r="J105" t="str" cm="1">
        <f t="array" ref="J105">IF($A105&lt;MIN(Planilha2!$P$2:$P$38),"",_xlfn.LET(_xlpm.t,_xlfn.XLOOKUP($A105,Planilha2!$P$2:$P$38,Planilha2!$T$2:$T$38,"",-1),_xlfn.IFS(ISNUMBER(SEARCH("positiva",_xlpm.t)),"Positiva",ISNUMBER(SEARCH("negativa",_xlpm.t)),"Negativa",ISNUMBER(SEARCH("estável",_xlpm.t)),"Estável",TRUE,"n/d")))</f>
        <v/>
      </c>
      <c r="L105" s="52">
        <f>IFERROR(_xlfn.XLOOKUP(B105,'Agências de Rating Soberano'!$G$2:$G$22,'Agências de Rating Soberano'!$H$2:$H$22),NA())</f>
        <v>8</v>
      </c>
      <c r="M105" s="52" t="e">
        <f>IFERROR(_xlfn.XLOOKUP(C105,'Agências de Rating Soberano'!$G$2:$G$22,'Agências de Rating Soberano'!$H$2:$H$22),NA())</f>
        <v>#N/A</v>
      </c>
      <c r="N105" s="52">
        <f>IFERROR(_xlfn.XLOOKUP(E105,'Agências de Rating Soberano'!$J$2:$J$22,'Agências de Rating Soberano'!$K$2:$K$22),NA())</f>
        <v>8</v>
      </c>
      <c r="O105" s="52" t="e">
        <f>IFERROR(_xlfn.XLOOKUP(F105,'Agências de Rating Soberano'!$J$2:$J$22,'Agências de Rating Soberano'!$K$2:$K$22),NA())</f>
        <v>#N/A</v>
      </c>
      <c r="P105" s="52" t="e">
        <f>IFERROR(_xlfn.XLOOKUP(H105,'Agências de Rating Soberano'!$J$2:$J$22,'Agências de Rating Soberano'!$K$2:$K$22),NA())</f>
        <v>#N/A</v>
      </c>
      <c r="Q105" s="52" t="e">
        <f>IFERROR(_xlfn.XLOOKUP(I105,'Agências de Rating Soberano'!$J$2:$J$22,'Agências de Rating Soberano'!$K$2:$K$22),NA())</f>
        <v>#N/A</v>
      </c>
    </row>
    <row r="106" spans="1:17" x14ac:dyDescent="0.3">
      <c r="A106" s="53">
        <f t="shared" si="8"/>
        <v>34911</v>
      </c>
      <c r="B106" t="str">
        <f>IFERROR(_xlfn.XLOOKUP($A106,Planilha2!$A$2:$A$34,Planilha2!C$2:C$34,"",-1),"")</f>
        <v>B1</v>
      </c>
      <c r="C106" t="str">
        <f>IFERROR(_xlfn.XLOOKUP($A106,Planilha2!$A$2:$A$34,Planilha2!D$2:D$34,"",-1),"")</f>
        <v>-</v>
      </c>
      <c r="D106" t="str" cm="1">
        <f t="array" ref="D106">IF($A106&lt;MIN(Planilha2!$A$2:$A$34),"",_xlfn.LET(_xlpm.t,_xlfn.XLOOKUP($A106,Planilha2!$A$2:$A$34,Planilha2!$E$2:$E$34,"",-1),_xlfn.IFS(ISNUMBER(SEARCH("positiva",_xlpm.t)),"Positiva",ISNUMBER(SEARCH("negativa",_xlpm.t)),"Negativa",ISNUMBER(SEARCH("estável",_xlpm.t)),"Estável",TRUE,"n/d")))</f>
        <v>Estável</v>
      </c>
      <c r="E106" t="str">
        <f>IFERROR(_xlfn.XLOOKUP($A106,Planilha2!$J$2:$J$44,Planilha2!L$2:L$44,"",-1),"")</f>
        <v>B+</v>
      </c>
      <c r="F106" t="str">
        <f>IFERROR(_xlfn.XLOOKUP($A106,Planilha2!$J$2:$J$44,Planilha2!M$2:M$44,"",-1),"")</f>
        <v>-</v>
      </c>
      <c r="G106" t="str" cm="1">
        <f t="array" ref="G106">IF($A106&lt;MIN(Planilha2!$J$2:$J$44),"",_xlfn.LET(_xlpm.t,_xlfn.XLOOKUP($A106,Planilha2!$J$2:$J$44,Planilha2!$N$2:$N$44,"",-1),_xlfn.IFS(ISNUMBER(SEARCH("positiva",_xlpm.t)),"Positiva",ISNUMBER(SEARCH("negativa",_xlpm.t)),"Negativa",ISNUMBER(SEARCH("estável",_xlpm.t)),"Estável",TRUE,"n/d")))</f>
        <v>n/d</v>
      </c>
      <c r="H106" t="str">
        <f>IFERROR(_xlfn.XLOOKUP($A106,Planilha2!$P$2:$P$38,Planilha2!R$2:R$38,"",-1),"")</f>
        <v/>
      </c>
      <c r="I106" t="str">
        <f>IFERROR(_xlfn.XLOOKUP($A106,Planilha2!$P$2:$P$38,Planilha2!S$2:S$38,"",-1),"")</f>
        <v/>
      </c>
      <c r="J106" t="str" cm="1">
        <f t="array" ref="J106">IF($A106&lt;MIN(Planilha2!$P$2:$P$38),"",_xlfn.LET(_xlpm.t,_xlfn.XLOOKUP($A106,Planilha2!$P$2:$P$38,Planilha2!$T$2:$T$38,"",-1),_xlfn.IFS(ISNUMBER(SEARCH("positiva",_xlpm.t)),"Positiva",ISNUMBER(SEARCH("negativa",_xlpm.t)),"Negativa",ISNUMBER(SEARCH("estável",_xlpm.t)),"Estável",TRUE,"n/d")))</f>
        <v/>
      </c>
      <c r="L106" s="52">
        <f>IFERROR(_xlfn.XLOOKUP(B106,'Agências de Rating Soberano'!$G$2:$G$22,'Agências de Rating Soberano'!$H$2:$H$22),NA())</f>
        <v>8</v>
      </c>
      <c r="M106" s="52" t="e">
        <f>IFERROR(_xlfn.XLOOKUP(C106,'Agências de Rating Soberano'!$G$2:$G$22,'Agências de Rating Soberano'!$H$2:$H$22),NA())</f>
        <v>#N/A</v>
      </c>
      <c r="N106" s="52">
        <f>IFERROR(_xlfn.XLOOKUP(E106,'Agências de Rating Soberano'!$J$2:$J$22,'Agências de Rating Soberano'!$K$2:$K$22),NA())</f>
        <v>8</v>
      </c>
      <c r="O106" s="52" t="e">
        <f>IFERROR(_xlfn.XLOOKUP(F106,'Agências de Rating Soberano'!$J$2:$J$22,'Agências de Rating Soberano'!$K$2:$K$22),NA())</f>
        <v>#N/A</v>
      </c>
      <c r="P106" s="52" t="e">
        <f>IFERROR(_xlfn.XLOOKUP(H106,'Agências de Rating Soberano'!$J$2:$J$22,'Agências de Rating Soberano'!$K$2:$K$22),NA())</f>
        <v>#N/A</v>
      </c>
      <c r="Q106" s="52" t="e">
        <f>IFERROR(_xlfn.XLOOKUP(I106,'Agências de Rating Soberano'!$J$2:$J$22,'Agências de Rating Soberano'!$K$2:$K$22),NA())</f>
        <v>#N/A</v>
      </c>
    </row>
    <row r="107" spans="1:17" x14ac:dyDescent="0.3">
      <c r="A107" s="53">
        <f t="shared" si="8"/>
        <v>34942</v>
      </c>
      <c r="B107" t="str">
        <f>IFERROR(_xlfn.XLOOKUP($A107,Planilha2!$A$2:$A$34,Planilha2!C$2:C$34,"",-1),"")</f>
        <v>B1</v>
      </c>
      <c r="C107" t="str">
        <f>IFERROR(_xlfn.XLOOKUP($A107,Planilha2!$A$2:$A$34,Planilha2!D$2:D$34,"",-1),"")</f>
        <v>-</v>
      </c>
      <c r="D107" t="str" cm="1">
        <f t="array" ref="D107">IF($A107&lt;MIN(Planilha2!$A$2:$A$34),"",_xlfn.LET(_xlpm.t,_xlfn.XLOOKUP($A107,Planilha2!$A$2:$A$34,Planilha2!$E$2:$E$34,"",-1),_xlfn.IFS(ISNUMBER(SEARCH("positiva",_xlpm.t)),"Positiva",ISNUMBER(SEARCH("negativa",_xlpm.t)),"Negativa",ISNUMBER(SEARCH("estável",_xlpm.t)),"Estável",TRUE,"n/d")))</f>
        <v>Estável</v>
      </c>
      <c r="E107" t="str">
        <f>IFERROR(_xlfn.XLOOKUP($A107,Planilha2!$J$2:$J$44,Planilha2!L$2:L$44,"",-1),"")</f>
        <v>B+</v>
      </c>
      <c r="F107" t="str">
        <f>IFERROR(_xlfn.XLOOKUP($A107,Planilha2!$J$2:$J$44,Planilha2!M$2:M$44,"",-1),"")</f>
        <v>-</v>
      </c>
      <c r="G107" t="str" cm="1">
        <f t="array" ref="G107">IF($A107&lt;MIN(Planilha2!$J$2:$J$44),"",_xlfn.LET(_xlpm.t,_xlfn.XLOOKUP($A107,Planilha2!$J$2:$J$44,Planilha2!$N$2:$N$44,"",-1),_xlfn.IFS(ISNUMBER(SEARCH("positiva",_xlpm.t)),"Positiva",ISNUMBER(SEARCH("negativa",_xlpm.t)),"Negativa",ISNUMBER(SEARCH("estável",_xlpm.t)),"Estável",TRUE,"n/d")))</f>
        <v>n/d</v>
      </c>
      <c r="H107" t="str">
        <f>IFERROR(_xlfn.XLOOKUP($A107,Planilha2!$P$2:$P$38,Planilha2!R$2:R$38,"",-1),"")</f>
        <v/>
      </c>
      <c r="I107" t="str">
        <f>IFERROR(_xlfn.XLOOKUP($A107,Planilha2!$P$2:$P$38,Planilha2!S$2:S$38,"",-1),"")</f>
        <v/>
      </c>
      <c r="J107" t="str" cm="1">
        <f t="array" ref="J107">IF($A107&lt;MIN(Planilha2!$P$2:$P$38),"",_xlfn.LET(_xlpm.t,_xlfn.XLOOKUP($A107,Planilha2!$P$2:$P$38,Planilha2!$T$2:$T$38,"",-1),_xlfn.IFS(ISNUMBER(SEARCH("positiva",_xlpm.t)),"Positiva",ISNUMBER(SEARCH("negativa",_xlpm.t)),"Negativa",ISNUMBER(SEARCH("estável",_xlpm.t)),"Estável",TRUE,"n/d")))</f>
        <v/>
      </c>
      <c r="L107" s="52">
        <f>IFERROR(_xlfn.XLOOKUP(B107,'Agências de Rating Soberano'!$G$2:$G$22,'Agências de Rating Soberano'!$H$2:$H$22),NA())</f>
        <v>8</v>
      </c>
      <c r="M107" s="52" t="e">
        <f>IFERROR(_xlfn.XLOOKUP(C107,'Agências de Rating Soberano'!$G$2:$G$22,'Agências de Rating Soberano'!$H$2:$H$22),NA())</f>
        <v>#N/A</v>
      </c>
      <c r="N107" s="52">
        <f>IFERROR(_xlfn.XLOOKUP(E107,'Agências de Rating Soberano'!$J$2:$J$22,'Agências de Rating Soberano'!$K$2:$K$22),NA())</f>
        <v>8</v>
      </c>
      <c r="O107" s="52" t="e">
        <f>IFERROR(_xlfn.XLOOKUP(F107,'Agências de Rating Soberano'!$J$2:$J$22,'Agências de Rating Soberano'!$K$2:$K$22),NA())</f>
        <v>#N/A</v>
      </c>
      <c r="P107" s="52" t="e">
        <f>IFERROR(_xlfn.XLOOKUP(H107,'Agências de Rating Soberano'!$J$2:$J$22,'Agências de Rating Soberano'!$K$2:$K$22),NA())</f>
        <v>#N/A</v>
      </c>
      <c r="Q107" s="52" t="e">
        <f>IFERROR(_xlfn.XLOOKUP(I107,'Agências de Rating Soberano'!$J$2:$J$22,'Agências de Rating Soberano'!$K$2:$K$22),NA())</f>
        <v>#N/A</v>
      </c>
    </row>
    <row r="108" spans="1:17" x14ac:dyDescent="0.3">
      <c r="A108" s="53">
        <f t="shared" si="8"/>
        <v>34972</v>
      </c>
      <c r="B108" t="str">
        <f>IFERROR(_xlfn.XLOOKUP($A108,Planilha2!$A$2:$A$34,Planilha2!C$2:C$34,"",-1),"")</f>
        <v>B1</v>
      </c>
      <c r="C108" t="str">
        <f>IFERROR(_xlfn.XLOOKUP($A108,Planilha2!$A$2:$A$34,Planilha2!D$2:D$34,"",-1),"")</f>
        <v>-</v>
      </c>
      <c r="D108" t="str" cm="1">
        <f t="array" ref="D108">IF($A108&lt;MIN(Planilha2!$A$2:$A$34),"",_xlfn.LET(_xlpm.t,_xlfn.XLOOKUP($A108,Planilha2!$A$2:$A$34,Planilha2!$E$2:$E$34,"",-1),_xlfn.IFS(ISNUMBER(SEARCH("positiva",_xlpm.t)),"Positiva",ISNUMBER(SEARCH("negativa",_xlpm.t)),"Negativa",ISNUMBER(SEARCH("estável",_xlpm.t)),"Estável",TRUE,"n/d")))</f>
        <v>Estável</v>
      </c>
      <c r="E108" t="str">
        <f>IFERROR(_xlfn.XLOOKUP($A108,Planilha2!$J$2:$J$44,Planilha2!L$2:L$44,"",-1),"")</f>
        <v>B+</v>
      </c>
      <c r="F108" t="str">
        <f>IFERROR(_xlfn.XLOOKUP($A108,Planilha2!$J$2:$J$44,Planilha2!M$2:M$44,"",-1),"")</f>
        <v>-</v>
      </c>
      <c r="G108" t="str" cm="1">
        <f t="array" ref="G108">IF($A108&lt;MIN(Planilha2!$J$2:$J$44),"",_xlfn.LET(_xlpm.t,_xlfn.XLOOKUP($A108,Planilha2!$J$2:$J$44,Planilha2!$N$2:$N$44,"",-1),_xlfn.IFS(ISNUMBER(SEARCH("positiva",_xlpm.t)),"Positiva",ISNUMBER(SEARCH("negativa",_xlpm.t)),"Negativa",ISNUMBER(SEARCH("estável",_xlpm.t)),"Estável",TRUE,"n/d")))</f>
        <v>n/d</v>
      </c>
      <c r="H108" t="str">
        <f>IFERROR(_xlfn.XLOOKUP($A108,Planilha2!$P$2:$P$38,Planilha2!R$2:R$38,"",-1),"")</f>
        <v/>
      </c>
      <c r="I108" t="str">
        <f>IFERROR(_xlfn.XLOOKUP($A108,Planilha2!$P$2:$P$38,Planilha2!S$2:S$38,"",-1),"")</f>
        <v/>
      </c>
      <c r="J108" t="str" cm="1">
        <f t="array" ref="J108">IF($A108&lt;MIN(Planilha2!$P$2:$P$38),"",_xlfn.LET(_xlpm.t,_xlfn.XLOOKUP($A108,Planilha2!$P$2:$P$38,Planilha2!$T$2:$T$38,"",-1),_xlfn.IFS(ISNUMBER(SEARCH("positiva",_xlpm.t)),"Positiva",ISNUMBER(SEARCH("negativa",_xlpm.t)),"Negativa",ISNUMBER(SEARCH("estável",_xlpm.t)),"Estável",TRUE,"n/d")))</f>
        <v/>
      </c>
      <c r="L108" s="52">
        <f>IFERROR(_xlfn.XLOOKUP(B108,'Agências de Rating Soberano'!$G$2:$G$22,'Agências de Rating Soberano'!$H$2:$H$22),NA())</f>
        <v>8</v>
      </c>
      <c r="M108" s="52" t="e">
        <f>IFERROR(_xlfn.XLOOKUP(C108,'Agências de Rating Soberano'!$G$2:$G$22,'Agências de Rating Soberano'!$H$2:$H$22),NA())</f>
        <v>#N/A</v>
      </c>
      <c r="N108" s="52">
        <f>IFERROR(_xlfn.XLOOKUP(E108,'Agências de Rating Soberano'!$J$2:$J$22,'Agências de Rating Soberano'!$K$2:$K$22),NA())</f>
        <v>8</v>
      </c>
      <c r="O108" s="52" t="e">
        <f>IFERROR(_xlfn.XLOOKUP(F108,'Agências de Rating Soberano'!$J$2:$J$22,'Agências de Rating Soberano'!$K$2:$K$22),NA())</f>
        <v>#N/A</v>
      </c>
      <c r="P108" s="52" t="e">
        <f>IFERROR(_xlfn.XLOOKUP(H108,'Agências de Rating Soberano'!$J$2:$J$22,'Agências de Rating Soberano'!$K$2:$K$22),NA())</f>
        <v>#N/A</v>
      </c>
      <c r="Q108" s="52" t="e">
        <f>IFERROR(_xlfn.XLOOKUP(I108,'Agências de Rating Soberano'!$J$2:$J$22,'Agências de Rating Soberano'!$K$2:$K$22),NA())</f>
        <v>#N/A</v>
      </c>
    </row>
    <row r="109" spans="1:17" x14ac:dyDescent="0.3">
      <c r="A109" s="53">
        <f t="shared" si="8"/>
        <v>35003</v>
      </c>
      <c r="B109" t="str">
        <f>IFERROR(_xlfn.XLOOKUP($A109,Planilha2!$A$2:$A$34,Planilha2!C$2:C$34,"",-1),"")</f>
        <v>B1</v>
      </c>
      <c r="C109" t="str">
        <f>IFERROR(_xlfn.XLOOKUP($A109,Planilha2!$A$2:$A$34,Planilha2!D$2:D$34,"",-1),"")</f>
        <v>-</v>
      </c>
      <c r="D109" t="str" cm="1">
        <f t="array" ref="D109">IF($A109&lt;MIN(Planilha2!$A$2:$A$34),"",_xlfn.LET(_xlpm.t,_xlfn.XLOOKUP($A109,Planilha2!$A$2:$A$34,Planilha2!$E$2:$E$34,"",-1),_xlfn.IFS(ISNUMBER(SEARCH("positiva",_xlpm.t)),"Positiva",ISNUMBER(SEARCH("negativa",_xlpm.t)),"Negativa",ISNUMBER(SEARCH("estável",_xlpm.t)),"Estável",TRUE,"n/d")))</f>
        <v>Estável</v>
      </c>
      <c r="E109" t="str">
        <f>IFERROR(_xlfn.XLOOKUP($A109,Planilha2!$J$2:$J$44,Planilha2!L$2:L$44,"",-1),"")</f>
        <v>B+</v>
      </c>
      <c r="F109" t="str">
        <f>IFERROR(_xlfn.XLOOKUP($A109,Planilha2!$J$2:$J$44,Planilha2!M$2:M$44,"",-1),"")</f>
        <v>-</v>
      </c>
      <c r="G109" t="str" cm="1">
        <f t="array" ref="G109">IF($A109&lt;MIN(Planilha2!$J$2:$J$44),"",_xlfn.LET(_xlpm.t,_xlfn.XLOOKUP($A109,Planilha2!$J$2:$J$44,Planilha2!$N$2:$N$44,"",-1),_xlfn.IFS(ISNUMBER(SEARCH("positiva",_xlpm.t)),"Positiva",ISNUMBER(SEARCH("negativa",_xlpm.t)),"Negativa",ISNUMBER(SEARCH("estável",_xlpm.t)),"Estável",TRUE,"n/d")))</f>
        <v>n/d</v>
      </c>
      <c r="H109" t="str">
        <f>IFERROR(_xlfn.XLOOKUP($A109,Planilha2!$P$2:$P$38,Planilha2!R$2:R$38,"",-1),"")</f>
        <v/>
      </c>
      <c r="I109" t="str">
        <f>IFERROR(_xlfn.XLOOKUP($A109,Planilha2!$P$2:$P$38,Planilha2!S$2:S$38,"",-1),"")</f>
        <v/>
      </c>
      <c r="J109" t="str" cm="1">
        <f t="array" ref="J109">IF($A109&lt;MIN(Planilha2!$P$2:$P$38),"",_xlfn.LET(_xlpm.t,_xlfn.XLOOKUP($A109,Planilha2!$P$2:$P$38,Planilha2!$T$2:$T$38,"",-1),_xlfn.IFS(ISNUMBER(SEARCH("positiva",_xlpm.t)),"Positiva",ISNUMBER(SEARCH("negativa",_xlpm.t)),"Negativa",ISNUMBER(SEARCH("estável",_xlpm.t)),"Estável",TRUE,"n/d")))</f>
        <v/>
      </c>
      <c r="L109" s="52">
        <f>IFERROR(_xlfn.XLOOKUP(B109,'Agências de Rating Soberano'!$G$2:$G$22,'Agências de Rating Soberano'!$H$2:$H$22),NA())</f>
        <v>8</v>
      </c>
      <c r="M109" s="52" t="e">
        <f>IFERROR(_xlfn.XLOOKUP(C109,'Agências de Rating Soberano'!$G$2:$G$22,'Agências de Rating Soberano'!$H$2:$H$22),NA())</f>
        <v>#N/A</v>
      </c>
      <c r="N109" s="52">
        <f>IFERROR(_xlfn.XLOOKUP(E109,'Agências de Rating Soberano'!$J$2:$J$22,'Agências de Rating Soberano'!$K$2:$K$22),NA())</f>
        <v>8</v>
      </c>
      <c r="O109" s="52" t="e">
        <f>IFERROR(_xlfn.XLOOKUP(F109,'Agências de Rating Soberano'!$J$2:$J$22,'Agências de Rating Soberano'!$K$2:$K$22),NA())</f>
        <v>#N/A</v>
      </c>
      <c r="P109" s="52" t="e">
        <f>IFERROR(_xlfn.XLOOKUP(H109,'Agências de Rating Soberano'!$J$2:$J$22,'Agências de Rating Soberano'!$K$2:$K$22),NA())</f>
        <v>#N/A</v>
      </c>
      <c r="Q109" s="52" t="e">
        <f>IFERROR(_xlfn.XLOOKUP(I109,'Agências de Rating Soberano'!$J$2:$J$22,'Agências de Rating Soberano'!$K$2:$K$22),NA())</f>
        <v>#N/A</v>
      </c>
    </row>
    <row r="110" spans="1:17" x14ac:dyDescent="0.3">
      <c r="A110" s="53">
        <f t="shared" si="8"/>
        <v>35033</v>
      </c>
      <c r="B110" t="str">
        <f>IFERROR(_xlfn.XLOOKUP($A110,Planilha2!$A$2:$A$34,Planilha2!C$2:C$34,"",-1),"")</f>
        <v>B1</v>
      </c>
      <c r="C110" t="str">
        <f>IFERROR(_xlfn.XLOOKUP($A110,Planilha2!$A$2:$A$34,Planilha2!D$2:D$34,"",-1),"")</f>
        <v>-</v>
      </c>
      <c r="D110" t="str" cm="1">
        <f t="array" ref="D110">IF($A110&lt;MIN(Planilha2!$A$2:$A$34),"",_xlfn.LET(_xlpm.t,_xlfn.XLOOKUP($A110,Planilha2!$A$2:$A$34,Planilha2!$E$2:$E$34,"",-1),_xlfn.IFS(ISNUMBER(SEARCH("positiva",_xlpm.t)),"Positiva",ISNUMBER(SEARCH("negativa",_xlpm.t)),"Negativa",ISNUMBER(SEARCH("estável",_xlpm.t)),"Estável",TRUE,"n/d")))</f>
        <v>Estável</v>
      </c>
      <c r="E110" t="str">
        <f>IFERROR(_xlfn.XLOOKUP($A110,Planilha2!$J$2:$J$44,Planilha2!L$2:L$44,"",-1),"")</f>
        <v>B+</v>
      </c>
      <c r="F110" t="str">
        <f>IFERROR(_xlfn.XLOOKUP($A110,Planilha2!$J$2:$J$44,Planilha2!M$2:M$44,"",-1),"")</f>
        <v>-</v>
      </c>
      <c r="G110" t="str" cm="1">
        <f t="array" ref="G110">IF($A110&lt;MIN(Planilha2!$J$2:$J$44),"",_xlfn.LET(_xlpm.t,_xlfn.XLOOKUP($A110,Planilha2!$J$2:$J$44,Planilha2!$N$2:$N$44,"",-1),_xlfn.IFS(ISNUMBER(SEARCH("positiva",_xlpm.t)),"Positiva",ISNUMBER(SEARCH("negativa",_xlpm.t)),"Negativa",ISNUMBER(SEARCH("estável",_xlpm.t)),"Estável",TRUE,"n/d")))</f>
        <v>n/d</v>
      </c>
      <c r="H110" t="str">
        <f>IFERROR(_xlfn.XLOOKUP($A110,Planilha2!$P$2:$P$38,Planilha2!R$2:R$38,"",-1),"")</f>
        <v/>
      </c>
      <c r="I110" t="str">
        <f>IFERROR(_xlfn.XLOOKUP($A110,Planilha2!$P$2:$P$38,Planilha2!S$2:S$38,"",-1),"")</f>
        <v/>
      </c>
      <c r="J110" t="str" cm="1">
        <f t="array" ref="J110">IF($A110&lt;MIN(Planilha2!$P$2:$P$38),"",_xlfn.LET(_xlpm.t,_xlfn.XLOOKUP($A110,Planilha2!$P$2:$P$38,Planilha2!$T$2:$T$38,"",-1),_xlfn.IFS(ISNUMBER(SEARCH("positiva",_xlpm.t)),"Positiva",ISNUMBER(SEARCH("negativa",_xlpm.t)),"Negativa",ISNUMBER(SEARCH("estável",_xlpm.t)),"Estável",TRUE,"n/d")))</f>
        <v/>
      </c>
      <c r="L110" s="52">
        <f>IFERROR(_xlfn.XLOOKUP(B110,'Agências de Rating Soberano'!$G$2:$G$22,'Agências de Rating Soberano'!$H$2:$H$22),NA())</f>
        <v>8</v>
      </c>
      <c r="M110" s="52" t="e">
        <f>IFERROR(_xlfn.XLOOKUP(C110,'Agências de Rating Soberano'!$G$2:$G$22,'Agências de Rating Soberano'!$H$2:$H$22),NA())</f>
        <v>#N/A</v>
      </c>
      <c r="N110" s="52">
        <f>IFERROR(_xlfn.XLOOKUP(E110,'Agências de Rating Soberano'!$J$2:$J$22,'Agências de Rating Soberano'!$K$2:$K$22),NA())</f>
        <v>8</v>
      </c>
      <c r="O110" s="52" t="e">
        <f>IFERROR(_xlfn.XLOOKUP(F110,'Agências de Rating Soberano'!$J$2:$J$22,'Agências de Rating Soberano'!$K$2:$K$22),NA())</f>
        <v>#N/A</v>
      </c>
      <c r="P110" s="52" t="e">
        <f>IFERROR(_xlfn.XLOOKUP(H110,'Agências de Rating Soberano'!$J$2:$J$22,'Agências de Rating Soberano'!$K$2:$K$22),NA())</f>
        <v>#N/A</v>
      </c>
      <c r="Q110" s="52" t="e">
        <f>IFERROR(_xlfn.XLOOKUP(I110,'Agências de Rating Soberano'!$J$2:$J$22,'Agências de Rating Soberano'!$K$2:$K$22),NA())</f>
        <v>#N/A</v>
      </c>
    </row>
    <row r="111" spans="1:17" x14ac:dyDescent="0.3">
      <c r="A111" s="53">
        <f t="shared" si="8"/>
        <v>35064</v>
      </c>
      <c r="B111" t="str">
        <f>IFERROR(_xlfn.XLOOKUP($A111,Planilha2!$A$2:$A$34,Planilha2!C$2:C$34,"",-1),"")</f>
        <v>B1</v>
      </c>
      <c r="C111" t="str">
        <f>IFERROR(_xlfn.XLOOKUP($A111,Planilha2!$A$2:$A$34,Planilha2!D$2:D$34,"",-1),"")</f>
        <v>-</v>
      </c>
      <c r="D111" t="str" cm="1">
        <f t="array" ref="D111">IF($A111&lt;MIN(Planilha2!$A$2:$A$34),"",_xlfn.LET(_xlpm.t,_xlfn.XLOOKUP($A111,Planilha2!$A$2:$A$34,Planilha2!$E$2:$E$34,"",-1),_xlfn.IFS(ISNUMBER(SEARCH("positiva",_xlpm.t)),"Positiva",ISNUMBER(SEARCH("negativa",_xlpm.t)),"Negativa",ISNUMBER(SEARCH("estável",_xlpm.t)),"Estável",TRUE,"n/d")))</f>
        <v>Estável</v>
      </c>
      <c r="E111" t="str">
        <f>IFERROR(_xlfn.XLOOKUP($A111,Planilha2!$J$2:$J$44,Planilha2!L$2:L$44,"",-1),"")</f>
        <v>B+</v>
      </c>
      <c r="F111" t="str">
        <f>IFERROR(_xlfn.XLOOKUP($A111,Planilha2!$J$2:$J$44,Planilha2!M$2:M$44,"",-1),"")</f>
        <v>-</v>
      </c>
      <c r="G111" t="str" cm="1">
        <f t="array" ref="G111">IF($A111&lt;MIN(Planilha2!$J$2:$J$44),"",_xlfn.LET(_xlpm.t,_xlfn.XLOOKUP($A111,Planilha2!$J$2:$J$44,Planilha2!$N$2:$N$44,"",-1),_xlfn.IFS(ISNUMBER(SEARCH("positiva",_xlpm.t)),"Positiva",ISNUMBER(SEARCH("negativa",_xlpm.t)),"Negativa",ISNUMBER(SEARCH("estável",_xlpm.t)),"Estável",TRUE,"n/d")))</f>
        <v>n/d</v>
      </c>
      <c r="H111" t="str">
        <f>IFERROR(_xlfn.XLOOKUP($A111,Planilha2!$P$2:$P$38,Planilha2!R$2:R$38,"",-1),"")</f>
        <v/>
      </c>
      <c r="I111" t="str">
        <f>IFERROR(_xlfn.XLOOKUP($A111,Planilha2!$P$2:$P$38,Planilha2!S$2:S$38,"",-1),"")</f>
        <v/>
      </c>
      <c r="J111" t="str" cm="1">
        <f t="array" ref="J111">IF($A111&lt;MIN(Planilha2!$P$2:$P$38),"",_xlfn.LET(_xlpm.t,_xlfn.XLOOKUP($A111,Planilha2!$P$2:$P$38,Planilha2!$T$2:$T$38,"",-1),_xlfn.IFS(ISNUMBER(SEARCH("positiva",_xlpm.t)),"Positiva",ISNUMBER(SEARCH("negativa",_xlpm.t)),"Negativa",ISNUMBER(SEARCH("estável",_xlpm.t)),"Estável",TRUE,"n/d")))</f>
        <v/>
      </c>
      <c r="L111" s="52">
        <f>IFERROR(_xlfn.XLOOKUP(B111,'Agências de Rating Soberano'!$G$2:$G$22,'Agências de Rating Soberano'!$H$2:$H$22),NA())</f>
        <v>8</v>
      </c>
      <c r="M111" s="52" t="e">
        <f>IFERROR(_xlfn.XLOOKUP(C111,'Agências de Rating Soberano'!$G$2:$G$22,'Agências de Rating Soberano'!$H$2:$H$22),NA())</f>
        <v>#N/A</v>
      </c>
      <c r="N111" s="52">
        <f>IFERROR(_xlfn.XLOOKUP(E111,'Agências de Rating Soberano'!$J$2:$J$22,'Agências de Rating Soberano'!$K$2:$K$22),NA())</f>
        <v>8</v>
      </c>
      <c r="O111" s="52" t="e">
        <f>IFERROR(_xlfn.XLOOKUP(F111,'Agências de Rating Soberano'!$J$2:$J$22,'Agências de Rating Soberano'!$K$2:$K$22),NA())</f>
        <v>#N/A</v>
      </c>
      <c r="P111" s="52" t="e">
        <f>IFERROR(_xlfn.XLOOKUP(H111,'Agências de Rating Soberano'!$J$2:$J$22,'Agências de Rating Soberano'!$K$2:$K$22),NA())</f>
        <v>#N/A</v>
      </c>
      <c r="Q111" s="52" t="e">
        <f>IFERROR(_xlfn.XLOOKUP(I111,'Agências de Rating Soberano'!$J$2:$J$22,'Agências de Rating Soberano'!$K$2:$K$22),NA())</f>
        <v>#N/A</v>
      </c>
    </row>
    <row r="112" spans="1:17" x14ac:dyDescent="0.3">
      <c r="A112" s="53">
        <f t="shared" si="8"/>
        <v>35095</v>
      </c>
      <c r="B112" t="str">
        <f>IFERROR(_xlfn.XLOOKUP($A112,Planilha2!$A$2:$A$34,Planilha2!C$2:C$34,"",-1),"")</f>
        <v>B1</v>
      </c>
      <c r="C112" t="str">
        <f>IFERROR(_xlfn.XLOOKUP($A112,Planilha2!$A$2:$A$34,Planilha2!D$2:D$34,"",-1),"")</f>
        <v>-</v>
      </c>
      <c r="D112" t="str" cm="1">
        <f t="array" ref="D112">IF($A112&lt;MIN(Planilha2!$A$2:$A$34),"",_xlfn.LET(_xlpm.t,_xlfn.XLOOKUP($A112,Planilha2!$A$2:$A$34,Planilha2!$E$2:$E$34,"",-1),_xlfn.IFS(ISNUMBER(SEARCH("positiva",_xlpm.t)),"Positiva",ISNUMBER(SEARCH("negativa",_xlpm.t)),"Negativa",ISNUMBER(SEARCH("estável",_xlpm.t)),"Estável",TRUE,"n/d")))</f>
        <v>Estável</v>
      </c>
      <c r="E112" t="str">
        <f>IFERROR(_xlfn.XLOOKUP($A112,Planilha2!$J$2:$J$44,Planilha2!L$2:L$44,"",-1),"")</f>
        <v>B+</v>
      </c>
      <c r="F112" t="str">
        <f>IFERROR(_xlfn.XLOOKUP($A112,Planilha2!$J$2:$J$44,Planilha2!M$2:M$44,"",-1),"")</f>
        <v>-</v>
      </c>
      <c r="G112" t="str" cm="1">
        <f t="array" ref="G112">IF($A112&lt;MIN(Planilha2!$J$2:$J$44),"",_xlfn.LET(_xlpm.t,_xlfn.XLOOKUP($A112,Planilha2!$J$2:$J$44,Planilha2!$N$2:$N$44,"",-1),_xlfn.IFS(ISNUMBER(SEARCH("positiva",_xlpm.t)),"Positiva",ISNUMBER(SEARCH("negativa",_xlpm.t)),"Negativa",ISNUMBER(SEARCH("estável",_xlpm.t)),"Estável",TRUE,"n/d")))</f>
        <v>n/d</v>
      </c>
      <c r="H112" t="str">
        <f>IFERROR(_xlfn.XLOOKUP($A112,Planilha2!$P$2:$P$38,Planilha2!R$2:R$38,"",-1),"")</f>
        <v/>
      </c>
      <c r="I112" t="str">
        <f>IFERROR(_xlfn.XLOOKUP($A112,Planilha2!$P$2:$P$38,Planilha2!S$2:S$38,"",-1),"")</f>
        <v/>
      </c>
      <c r="J112" t="str" cm="1">
        <f t="array" ref="J112">IF($A112&lt;MIN(Planilha2!$P$2:$P$38),"",_xlfn.LET(_xlpm.t,_xlfn.XLOOKUP($A112,Planilha2!$P$2:$P$38,Planilha2!$T$2:$T$38,"",-1),_xlfn.IFS(ISNUMBER(SEARCH("positiva",_xlpm.t)),"Positiva",ISNUMBER(SEARCH("negativa",_xlpm.t)),"Negativa",ISNUMBER(SEARCH("estável",_xlpm.t)),"Estável",TRUE,"n/d")))</f>
        <v/>
      </c>
      <c r="L112" s="52">
        <f>IFERROR(_xlfn.XLOOKUP(B112,'Agências de Rating Soberano'!$G$2:$G$22,'Agências de Rating Soberano'!$H$2:$H$22),NA())</f>
        <v>8</v>
      </c>
      <c r="M112" s="52" t="e">
        <f>IFERROR(_xlfn.XLOOKUP(C112,'Agências de Rating Soberano'!$G$2:$G$22,'Agências de Rating Soberano'!$H$2:$H$22),NA())</f>
        <v>#N/A</v>
      </c>
      <c r="N112" s="52">
        <f>IFERROR(_xlfn.XLOOKUP(E112,'Agências de Rating Soberano'!$J$2:$J$22,'Agências de Rating Soberano'!$K$2:$K$22),NA())</f>
        <v>8</v>
      </c>
      <c r="O112" s="52" t="e">
        <f>IFERROR(_xlfn.XLOOKUP(F112,'Agências de Rating Soberano'!$J$2:$J$22,'Agências de Rating Soberano'!$K$2:$K$22),NA())</f>
        <v>#N/A</v>
      </c>
      <c r="P112" s="52" t="e">
        <f>IFERROR(_xlfn.XLOOKUP(H112,'Agências de Rating Soberano'!$J$2:$J$22,'Agências de Rating Soberano'!$K$2:$K$22),NA())</f>
        <v>#N/A</v>
      </c>
      <c r="Q112" s="52" t="e">
        <f>IFERROR(_xlfn.XLOOKUP(I112,'Agências de Rating Soberano'!$J$2:$J$22,'Agências de Rating Soberano'!$K$2:$K$22),NA())</f>
        <v>#N/A</v>
      </c>
    </row>
    <row r="113" spans="1:17" x14ac:dyDescent="0.3">
      <c r="A113" s="53">
        <f t="shared" si="8"/>
        <v>35124</v>
      </c>
      <c r="B113" t="str">
        <f>IFERROR(_xlfn.XLOOKUP($A113,Planilha2!$A$2:$A$34,Planilha2!C$2:C$34,"",-1),"")</f>
        <v>B1</v>
      </c>
      <c r="C113" t="str">
        <f>IFERROR(_xlfn.XLOOKUP($A113,Planilha2!$A$2:$A$34,Planilha2!D$2:D$34,"",-1),"")</f>
        <v>-</v>
      </c>
      <c r="D113" t="str" cm="1">
        <f t="array" ref="D113">IF($A113&lt;MIN(Planilha2!$A$2:$A$34),"",_xlfn.LET(_xlpm.t,_xlfn.XLOOKUP($A113,Planilha2!$A$2:$A$34,Planilha2!$E$2:$E$34,"",-1),_xlfn.IFS(ISNUMBER(SEARCH("positiva",_xlpm.t)),"Positiva",ISNUMBER(SEARCH("negativa",_xlpm.t)),"Negativa",ISNUMBER(SEARCH("estável",_xlpm.t)),"Estável",TRUE,"n/d")))</f>
        <v>Estável</v>
      </c>
      <c r="E113" t="str">
        <f>IFERROR(_xlfn.XLOOKUP($A113,Planilha2!$J$2:$J$44,Planilha2!L$2:L$44,"",-1),"")</f>
        <v>B+</v>
      </c>
      <c r="F113" t="str">
        <f>IFERROR(_xlfn.XLOOKUP($A113,Planilha2!$J$2:$J$44,Planilha2!M$2:M$44,"",-1),"")</f>
        <v>-</v>
      </c>
      <c r="G113" t="str" cm="1">
        <f t="array" ref="G113">IF($A113&lt;MIN(Planilha2!$J$2:$J$44),"",_xlfn.LET(_xlpm.t,_xlfn.XLOOKUP($A113,Planilha2!$J$2:$J$44,Planilha2!$N$2:$N$44,"",-1),_xlfn.IFS(ISNUMBER(SEARCH("positiva",_xlpm.t)),"Positiva",ISNUMBER(SEARCH("negativa",_xlpm.t)),"Negativa",ISNUMBER(SEARCH("estável",_xlpm.t)),"Estável",TRUE,"n/d")))</f>
        <v>n/d</v>
      </c>
      <c r="H113" t="str">
        <f>IFERROR(_xlfn.XLOOKUP($A113,Planilha2!$P$2:$P$38,Planilha2!R$2:R$38,"",-1),"")</f>
        <v/>
      </c>
      <c r="I113" t="str">
        <f>IFERROR(_xlfn.XLOOKUP($A113,Planilha2!$P$2:$P$38,Planilha2!S$2:S$38,"",-1),"")</f>
        <v/>
      </c>
      <c r="J113" t="str" cm="1">
        <f t="array" ref="J113">IF($A113&lt;MIN(Planilha2!$P$2:$P$38),"",_xlfn.LET(_xlpm.t,_xlfn.XLOOKUP($A113,Planilha2!$P$2:$P$38,Planilha2!$T$2:$T$38,"",-1),_xlfn.IFS(ISNUMBER(SEARCH("positiva",_xlpm.t)),"Positiva",ISNUMBER(SEARCH("negativa",_xlpm.t)),"Negativa",ISNUMBER(SEARCH("estável",_xlpm.t)),"Estável",TRUE,"n/d")))</f>
        <v/>
      </c>
      <c r="L113" s="52">
        <f>IFERROR(_xlfn.XLOOKUP(B113,'Agências de Rating Soberano'!$G$2:$G$22,'Agências de Rating Soberano'!$H$2:$H$22),NA())</f>
        <v>8</v>
      </c>
      <c r="M113" s="52" t="e">
        <f>IFERROR(_xlfn.XLOOKUP(C113,'Agências de Rating Soberano'!$G$2:$G$22,'Agências de Rating Soberano'!$H$2:$H$22),NA())</f>
        <v>#N/A</v>
      </c>
      <c r="N113" s="52">
        <f>IFERROR(_xlfn.XLOOKUP(E113,'Agências de Rating Soberano'!$J$2:$J$22,'Agências de Rating Soberano'!$K$2:$K$22),NA())</f>
        <v>8</v>
      </c>
      <c r="O113" s="52" t="e">
        <f>IFERROR(_xlfn.XLOOKUP(F113,'Agências de Rating Soberano'!$J$2:$J$22,'Agências de Rating Soberano'!$K$2:$K$22),NA())</f>
        <v>#N/A</v>
      </c>
      <c r="P113" s="52" t="e">
        <f>IFERROR(_xlfn.XLOOKUP(H113,'Agências de Rating Soberano'!$J$2:$J$22,'Agências de Rating Soberano'!$K$2:$K$22),NA())</f>
        <v>#N/A</v>
      </c>
      <c r="Q113" s="52" t="e">
        <f>IFERROR(_xlfn.XLOOKUP(I113,'Agências de Rating Soberano'!$J$2:$J$22,'Agências de Rating Soberano'!$K$2:$K$22),NA())</f>
        <v>#N/A</v>
      </c>
    </row>
    <row r="114" spans="1:17" x14ac:dyDescent="0.3">
      <c r="A114" s="53">
        <f t="shared" si="8"/>
        <v>35155</v>
      </c>
      <c r="B114" t="str">
        <f>IFERROR(_xlfn.XLOOKUP($A114,Planilha2!$A$2:$A$34,Planilha2!C$2:C$34,"",-1),"")</f>
        <v>B1</v>
      </c>
      <c r="C114" t="str">
        <f>IFERROR(_xlfn.XLOOKUP($A114,Planilha2!$A$2:$A$34,Planilha2!D$2:D$34,"",-1),"")</f>
        <v>-</v>
      </c>
      <c r="D114" t="str" cm="1">
        <f t="array" ref="D114">IF($A114&lt;MIN(Planilha2!$A$2:$A$34),"",_xlfn.LET(_xlpm.t,_xlfn.XLOOKUP($A114,Planilha2!$A$2:$A$34,Planilha2!$E$2:$E$34,"",-1),_xlfn.IFS(ISNUMBER(SEARCH("positiva",_xlpm.t)),"Positiva",ISNUMBER(SEARCH("negativa",_xlpm.t)),"Negativa",ISNUMBER(SEARCH("estável",_xlpm.t)),"Estável",TRUE,"n/d")))</f>
        <v>Estável</v>
      </c>
      <c r="E114" t="str">
        <f>IFERROR(_xlfn.XLOOKUP($A114,Planilha2!$J$2:$J$44,Planilha2!L$2:L$44,"",-1),"")</f>
        <v>B+</v>
      </c>
      <c r="F114" t="str">
        <f>IFERROR(_xlfn.XLOOKUP($A114,Planilha2!$J$2:$J$44,Planilha2!M$2:M$44,"",-1),"")</f>
        <v>-</v>
      </c>
      <c r="G114" t="str" cm="1">
        <f t="array" ref="G114">IF($A114&lt;MIN(Planilha2!$J$2:$J$44),"",_xlfn.LET(_xlpm.t,_xlfn.XLOOKUP($A114,Planilha2!$J$2:$J$44,Planilha2!$N$2:$N$44,"",-1),_xlfn.IFS(ISNUMBER(SEARCH("positiva",_xlpm.t)),"Positiva",ISNUMBER(SEARCH("negativa",_xlpm.t)),"Negativa",ISNUMBER(SEARCH("estável",_xlpm.t)),"Estável",TRUE,"n/d")))</f>
        <v>n/d</v>
      </c>
      <c r="H114" t="str">
        <f>IFERROR(_xlfn.XLOOKUP($A114,Planilha2!$P$2:$P$38,Planilha2!R$2:R$38,"",-1),"")</f>
        <v/>
      </c>
      <c r="I114" t="str">
        <f>IFERROR(_xlfn.XLOOKUP($A114,Planilha2!$P$2:$P$38,Planilha2!S$2:S$38,"",-1),"")</f>
        <v/>
      </c>
      <c r="J114" t="str" cm="1">
        <f t="array" ref="J114">IF($A114&lt;MIN(Planilha2!$P$2:$P$38),"",_xlfn.LET(_xlpm.t,_xlfn.XLOOKUP($A114,Planilha2!$P$2:$P$38,Planilha2!$T$2:$T$38,"",-1),_xlfn.IFS(ISNUMBER(SEARCH("positiva",_xlpm.t)),"Positiva",ISNUMBER(SEARCH("negativa",_xlpm.t)),"Negativa",ISNUMBER(SEARCH("estável",_xlpm.t)),"Estável",TRUE,"n/d")))</f>
        <v/>
      </c>
      <c r="L114" s="52">
        <f>IFERROR(_xlfn.XLOOKUP(B114,'Agências de Rating Soberano'!$G$2:$G$22,'Agências de Rating Soberano'!$H$2:$H$22),NA())</f>
        <v>8</v>
      </c>
      <c r="M114" s="52" t="e">
        <f>IFERROR(_xlfn.XLOOKUP(C114,'Agências de Rating Soberano'!$G$2:$G$22,'Agências de Rating Soberano'!$H$2:$H$22),NA())</f>
        <v>#N/A</v>
      </c>
      <c r="N114" s="52">
        <f>IFERROR(_xlfn.XLOOKUP(E114,'Agências de Rating Soberano'!$J$2:$J$22,'Agências de Rating Soberano'!$K$2:$K$22),NA())</f>
        <v>8</v>
      </c>
      <c r="O114" s="52" t="e">
        <f>IFERROR(_xlfn.XLOOKUP(F114,'Agências de Rating Soberano'!$J$2:$J$22,'Agências de Rating Soberano'!$K$2:$K$22),NA())</f>
        <v>#N/A</v>
      </c>
      <c r="P114" s="52" t="e">
        <f>IFERROR(_xlfn.XLOOKUP(H114,'Agências de Rating Soberano'!$J$2:$J$22,'Agências de Rating Soberano'!$K$2:$K$22),NA())</f>
        <v>#N/A</v>
      </c>
      <c r="Q114" s="52" t="e">
        <f>IFERROR(_xlfn.XLOOKUP(I114,'Agências de Rating Soberano'!$J$2:$J$22,'Agências de Rating Soberano'!$K$2:$K$22),NA())</f>
        <v>#N/A</v>
      </c>
    </row>
    <row r="115" spans="1:17" x14ac:dyDescent="0.3">
      <c r="A115" s="53">
        <f t="shared" si="8"/>
        <v>35185</v>
      </c>
      <c r="B115" t="str">
        <f>IFERROR(_xlfn.XLOOKUP($A115,Planilha2!$A$2:$A$34,Planilha2!C$2:C$34,"",-1),"")</f>
        <v>B1</v>
      </c>
      <c r="C115" t="str">
        <f>IFERROR(_xlfn.XLOOKUP($A115,Planilha2!$A$2:$A$34,Planilha2!D$2:D$34,"",-1),"")</f>
        <v>-</v>
      </c>
      <c r="D115" t="str" cm="1">
        <f t="array" ref="D115">IF($A115&lt;MIN(Planilha2!$A$2:$A$34),"",_xlfn.LET(_xlpm.t,_xlfn.XLOOKUP($A115,Planilha2!$A$2:$A$34,Planilha2!$E$2:$E$34,"",-1),_xlfn.IFS(ISNUMBER(SEARCH("positiva",_xlpm.t)),"Positiva",ISNUMBER(SEARCH("negativa",_xlpm.t)),"Negativa",ISNUMBER(SEARCH("estável",_xlpm.t)),"Estável",TRUE,"n/d")))</f>
        <v>Estável</v>
      </c>
      <c r="E115" t="str">
        <f>IFERROR(_xlfn.XLOOKUP($A115,Planilha2!$J$2:$J$44,Planilha2!L$2:L$44,"",-1),"")</f>
        <v>B+</v>
      </c>
      <c r="F115" t="str">
        <f>IFERROR(_xlfn.XLOOKUP($A115,Planilha2!$J$2:$J$44,Planilha2!M$2:M$44,"",-1),"")</f>
        <v>-</v>
      </c>
      <c r="G115" t="str" cm="1">
        <f t="array" ref="G115">IF($A115&lt;MIN(Planilha2!$J$2:$J$44),"",_xlfn.LET(_xlpm.t,_xlfn.XLOOKUP($A115,Planilha2!$J$2:$J$44,Planilha2!$N$2:$N$44,"",-1),_xlfn.IFS(ISNUMBER(SEARCH("positiva",_xlpm.t)),"Positiva",ISNUMBER(SEARCH("negativa",_xlpm.t)),"Negativa",ISNUMBER(SEARCH("estável",_xlpm.t)),"Estável",TRUE,"n/d")))</f>
        <v>n/d</v>
      </c>
      <c r="H115" t="str">
        <f>IFERROR(_xlfn.XLOOKUP($A115,Planilha2!$P$2:$P$38,Planilha2!R$2:R$38,"",-1),"")</f>
        <v/>
      </c>
      <c r="I115" t="str">
        <f>IFERROR(_xlfn.XLOOKUP($A115,Planilha2!$P$2:$P$38,Planilha2!S$2:S$38,"",-1),"")</f>
        <v/>
      </c>
      <c r="J115" t="str" cm="1">
        <f t="array" ref="J115">IF($A115&lt;MIN(Planilha2!$P$2:$P$38),"",_xlfn.LET(_xlpm.t,_xlfn.XLOOKUP($A115,Planilha2!$P$2:$P$38,Planilha2!$T$2:$T$38,"",-1),_xlfn.IFS(ISNUMBER(SEARCH("positiva",_xlpm.t)),"Positiva",ISNUMBER(SEARCH("negativa",_xlpm.t)),"Negativa",ISNUMBER(SEARCH("estável",_xlpm.t)),"Estável",TRUE,"n/d")))</f>
        <v/>
      </c>
      <c r="L115" s="52">
        <f>IFERROR(_xlfn.XLOOKUP(B115,'Agências de Rating Soberano'!$G$2:$G$22,'Agências de Rating Soberano'!$H$2:$H$22),NA())</f>
        <v>8</v>
      </c>
      <c r="M115" s="52" t="e">
        <f>IFERROR(_xlfn.XLOOKUP(C115,'Agências de Rating Soberano'!$G$2:$G$22,'Agências de Rating Soberano'!$H$2:$H$22),NA())</f>
        <v>#N/A</v>
      </c>
      <c r="N115" s="52">
        <f>IFERROR(_xlfn.XLOOKUP(E115,'Agências de Rating Soberano'!$J$2:$J$22,'Agências de Rating Soberano'!$K$2:$K$22),NA())</f>
        <v>8</v>
      </c>
      <c r="O115" s="52" t="e">
        <f>IFERROR(_xlfn.XLOOKUP(F115,'Agências de Rating Soberano'!$J$2:$J$22,'Agências de Rating Soberano'!$K$2:$K$22),NA())</f>
        <v>#N/A</v>
      </c>
      <c r="P115" s="52" t="e">
        <f>IFERROR(_xlfn.XLOOKUP(H115,'Agências de Rating Soberano'!$J$2:$J$22,'Agências de Rating Soberano'!$K$2:$K$22),NA())</f>
        <v>#N/A</v>
      </c>
      <c r="Q115" s="52" t="e">
        <f>IFERROR(_xlfn.XLOOKUP(I115,'Agências de Rating Soberano'!$J$2:$J$22,'Agências de Rating Soberano'!$K$2:$K$22),NA())</f>
        <v>#N/A</v>
      </c>
    </row>
    <row r="116" spans="1:17" x14ac:dyDescent="0.3">
      <c r="A116" s="53">
        <f t="shared" si="8"/>
        <v>35216</v>
      </c>
      <c r="B116" t="str">
        <f>IFERROR(_xlfn.XLOOKUP($A116,Planilha2!$A$2:$A$34,Planilha2!C$2:C$34,"",-1),"")</f>
        <v>B1</v>
      </c>
      <c r="C116" t="str">
        <f>IFERROR(_xlfn.XLOOKUP($A116,Planilha2!$A$2:$A$34,Planilha2!D$2:D$34,"",-1),"")</f>
        <v>-</v>
      </c>
      <c r="D116" t="str" cm="1">
        <f t="array" ref="D116">IF($A116&lt;MIN(Planilha2!$A$2:$A$34),"",_xlfn.LET(_xlpm.t,_xlfn.XLOOKUP($A116,Planilha2!$A$2:$A$34,Planilha2!$E$2:$E$34,"",-1),_xlfn.IFS(ISNUMBER(SEARCH("positiva",_xlpm.t)),"Positiva",ISNUMBER(SEARCH("negativa",_xlpm.t)),"Negativa",ISNUMBER(SEARCH("estável",_xlpm.t)),"Estável",TRUE,"n/d")))</f>
        <v>Estável</v>
      </c>
      <c r="E116" t="str">
        <f>IFERROR(_xlfn.XLOOKUP($A116,Planilha2!$J$2:$J$44,Planilha2!L$2:L$44,"",-1),"")</f>
        <v>B+</v>
      </c>
      <c r="F116" t="str">
        <f>IFERROR(_xlfn.XLOOKUP($A116,Planilha2!$J$2:$J$44,Planilha2!M$2:M$44,"",-1),"")</f>
        <v>-</v>
      </c>
      <c r="G116" t="str" cm="1">
        <f t="array" ref="G116">IF($A116&lt;MIN(Planilha2!$J$2:$J$44),"",_xlfn.LET(_xlpm.t,_xlfn.XLOOKUP($A116,Planilha2!$J$2:$J$44,Planilha2!$N$2:$N$44,"",-1),_xlfn.IFS(ISNUMBER(SEARCH("positiva",_xlpm.t)),"Positiva",ISNUMBER(SEARCH("negativa",_xlpm.t)),"Negativa",ISNUMBER(SEARCH("estável",_xlpm.t)),"Estável",TRUE,"n/d")))</f>
        <v>n/d</v>
      </c>
      <c r="H116" t="str">
        <f>IFERROR(_xlfn.XLOOKUP($A116,Planilha2!$P$2:$P$38,Planilha2!R$2:R$38,"",-1),"")</f>
        <v/>
      </c>
      <c r="I116" t="str">
        <f>IFERROR(_xlfn.XLOOKUP($A116,Planilha2!$P$2:$P$38,Planilha2!S$2:S$38,"",-1),"")</f>
        <v/>
      </c>
      <c r="J116" t="str" cm="1">
        <f t="array" ref="J116">IF($A116&lt;MIN(Planilha2!$P$2:$P$38),"",_xlfn.LET(_xlpm.t,_xlfn.XLOOKUP($A116,Planilha2!$P$2:$P$38,Planilha2!$T$2:$T$38,"",-1),_xlfn.IFS(ISNUMBER(SEARCH("positiva",_xlpm.t)),"Positiva",ISNUMBER(SEARCH("negativa",_xlpm.t)),"Negativa",ISNUMBER(SEARCH("estável",_xlpm.t)),"Estável",TRUE,"n/d")))</f>
        <v/>
      </c>
      <c r="L116" s="52">
        <f>IFERROR(_xlfn.XLOOKUP(B116,'Agências de Rating Soberano'!$G$2:$G$22,'Agências de Rating Soberano'!$H$2:$H$22),NA())</f>
        <v>8</v>
      </c>
      <c r="M116" s="52" t="e">
        <f>IFERROR(_xlfn.XLOOKUP(C116,'Agências de Rating Soberano'!$G$2:$G$22,'Agências de Rating Soberano'!$H$2:$H$22),NA())</f>
        <v>#N/A</v>
      </c>
      <c r="N116" s="52">
        <f>IFERROR(_xlfn.XLOOKUP(E116,'Agências de Rating Soberano'!$J$2:$J$22,'Agências de Rating Soberano'!$K$2:$K$22),NA())</f>
        <v>8</v>
      </c>
      <c r="O116" s="52" t="e">
        <f>IFERROR(_xlfn.XLOOKUP(F116,'Agências de Rating Soberano'!$J$2:$J$22,'Agências de Rating Soberano'!$K$2:$K$22),NA())</f>
        <v>#N/A</v>
      </c>
      <c r="P116" s="52" t="e">
        <f>IFERROR(_xlfn.XLOOKUP(H116,'Agências de Rating Soberano'!$J$2:$J$22,'Agências de Rating Soberano'!$K$2:$K$22),NA())</f>
        <v>#N/A</v>
      </c>
      <c r="Q116" s="52" t="e">
        <f>IFERROR(_xlfn.XLOOKUP(I116,'Agências de Rating Soberano'!$J$2:$J$22,'Agências de Rating Soberano'!$K$2:$K$22),NA())</f>
        <v>#N/A</v>
      </c>
    </row>
    <row r="117" spans="1:17" x14ac:dyDescent="0.3">
      <c r="A117" s="53">
        <f t="shared" si="8"/>
        <v>35246</v>
      </c>
      <c r="B117" t="str">
        <f>IFERROR(_xlfn.XLOOKUP($A117,Planilha2!$A$2:$A$34,Planilha2!C$2:C$34,"",-1),"")</f>
        <v>B1</v>
      </c>
      <c r="C117" t="str">
        <f>IFERROR(_xlfn.XLOOKUP($A117,Planilha2!$A$2:$A$34,Planilha2!D$2:D$34,"",-1),"")</f>
        <v>-</v>
      </c>
      <c r="D117" t="str" cm="1">
        <f t="array" ref="D117">IF($A117&lt;MIN(Planilha2!$A$2:$A$34),"",_xlfn.LET(_xlpm.t,_xlfn.XLOOKUP($A117,Planilha2!$A$2:$A$34,Planilha2!$E$2:$E$34,"",-1),_xlfn.IFS(ISNUMBER(SEARCH("positiva",_xlpm.t)),"Positiva",ISNUMBER(SEARCH("negativa",_xlpm.t)),"Negativa",ISNUMBER(SEARCH("estável",_xlpm.t)),"Estável",TRUE,"n/d")))</f>
        <v>Estável</v>
      </c>
      <c r="E117" t="str">
        <f>IFERROR(_xlfn.XLOOKUP($A117,Planilha2!$J$2:$J$44,Planilha2!L$2:L$44,"",-1),"")</f>
        <v>B+</v>
      </c>
      <c r="F117" t="str">
        <f>IFERROR(_xlfn.XLOOKUP($A117,Planilha2!$J$2:$J$44,Planilha2!M$2:M$44,"",-1),"")</f>
        <v>-</v>
      </c>
      <c r="G117" t="str" cm="1">
        <f t="array" ref="G117">IF($A117&lt;MIN(Planilha2!$J$2:$J$44),"",_xlfn.LET(_xlpm.t,_xlfn.XLOOKUP($A117,Planilha2!$J$2:$J$44,Planilha2!$N$2:$N$44,"",-1),_xlfn.IFS(ISNUMBER(SEARCH("positiva",_xlpm.t)),"Positiva",ISNUMBER(SEARCH("negativa",_xlpm.t)),"Negativa",ISNUMBER(SEARCH("estável",_xlpm.t)),"Estável",TRUE,"n/d")))</f>
        <v>n/d</v>
      </c>
      <c r="H117" t="str">
        <f>IFERROR(_xlfn.XLOOKUP($A117,Planilha2!$P$2:$P$38,Planilha2!R$2:R$38,"",-1),"")</f>
        <v>B+</v>
      </c>
      <c r="I117" t="str">
        <f>IFERROR(_xlfn.XLOOKUP($A117,Planilha2!$P$2:$P$38,Planilha2!S$2:S$38,"",-1),"")</f>
        <v>BB</v>
      </c>
      <c r="J117" t="str" cm="1">
        <f t="array" ref="J117">IF($A117&lt;MIN(Planilha2!$P$2:$P$38),"",_xlfn.LET(_xlpm.t,_xlfn.XLOOKUP($A117,Planilha2!$P$2:$P$38,Planilha2!$T$2:$T$38,"",-1),_xlfn.IFS(ISNUMBER(SEARCH("positiva",_xlpm.t)),"Positiva",ISNUMBER(SEARCH("negativa",_xlpm.t)),"Negativa",ISNUMBER(SEARCH("estável",_xlpm.t)),"Estável",TRUE,"n/d")))</f>
        <v>Positiva</v>
      </c>
      <c r="L117" s="52">
        <f>IFERROR(_xlfn.XLOOKUP(B117,'Agências de Rating Soberano'!$G$2:$G$22,'Agências de Rating Soberano'!$H$2:$H$22),NA())</f>
        <v>8</v>
      </c>
      <c r="M117" s="52" t="e">
        <f>IFERROR(_xlfn.XLOOKUP(C117,'Agências de Rating Soberano'!$G$2:$G$22,'Agências de Rating Soberano'!$H$2:$H$22),NA())</f>
        <v>#N/A</v>
      </c>
      <c r="N117" s="52">
        <f>IFERROR(_xlfn.XLOOKUP(E117,'Agências de Rating Soberano'!$J$2:$J$22,'Agências de Rating Soberano'!$K$2:$K$22),NA())</f>
        <v>8</v>
      </c>
      <c r="O117" s="52" t="e">
        <f>IFERROR(_xlfn.XLOOKUP(F117,'Agências de Rating Soberano'!$J$2:$J$22,'Agências de Rating Soberano'!$K$2:$K$22),NA())</f>
        <v>#N/A</v>
      </c>
      <c r="P117" s="52">
        <f>IFERROR(_xlfn.XLOOKUP(H117,'Agências de Rating Soberano'!$J$2:$J$22,'Agências de Rating Soberano'!$K$2:$K$22),NA())</f>
        <v>8</v>
      </c>
      <c r="Q117" s="52">
        <f>IFERROR(_xlfn.XLOOKUP(I117,'Agências de Rating Soberano'!$J$2:$J$22,'Agências de Rating Soberano'!$K$2:$K$22),NA())</f>
        <v>10</v>
      </c>
    </row>
    <row r="118" spans="1:17" x14ac:dyDescent="0.3">
      <c r="A118" s="53">
        <f t="shared" si="8"/>
        <v>35277</v>
      </c>
      <c r="B118" t="str">
        <f>IFERROR(_xlfn.XLOOKUP($A118,Planilha2!$A$2:$A$34,Planilha2!C$2:C$34,"",-1),"")</f>
        <v>B1</v>
      </c>
      <c r="C118" t="str">
        <f>IFERROR(_xlfn.XLOOKUP($A118,Planilha2!$A$2:$A$34,Planilha2!D$2:D$34,"",-1),"")</f>
        <v>-</v>
      </c>
      <c r="D118" t="str" cm="1">
        <f t="array" ref="D118">IF($A118&lt;MIN(Planilha2!$A$2:$A$34),"",_xlfn.LET(_xlpm.t,_xlfn.XLOOKUP($A118,Planilha2!$A$2:$A$34,Planilha2!$E$2:$E$34,"",-1),_xlfn.IFS(ISNUMBER(SEARCH("positiva",_xlpm.t)),"Positiva",ISNUMBER(SEARCH("negativa",_xlpm.t)),"Negativa",ISNUMBER(SEARCH("estável",_xlpm.t)),"Estável",TRUE,"n/d")))</f>
        <v>Estável</v>
      </c>
      <c r="E118" t="str">
        <f>IFERROR(_xlfn.XLOOKUP($A118,Planilha2!$J$2:$J$44,Planilha2!L$2:L$44,"",-1),"")</f>
        <v>B+</v>
      </c>
      <c r="F118" t="str">
        <f>IFERROR(_xlfn.XLOOKUP($A118,Planilha2!$J$2:$J$44,Planilha2!M$2:M$44,"",-1),"")</f>
        <v>-</v>
      </c>
      <c r="G118" t="str" cm="1">
        <f t="array" ref="G118">IF($A118&lt;MIN(Planilha2!$J$2:$J$44),"",_xlfn.LET(_xlpm.t,_xlfn.XLOOKUP($A118,Planilha2!$J$2:$J$44,Planilha2!$N$2:$N$44,"",-1),_xlfn.IFS(ISNUMBER(SEARCH("positiva",_xlpm.t)),"Positiva",ISNUMBER(SEARCH("negativa",_xlpm.t)),"Negativa",ISNUMBER(SEARCH("estável",_xlpm.t)),"Estável",TRUE,"n/d")))</f>
        <v>n/d</v>
      </c>
      <c r="H118" t="str">
        <f>IFERROR(_xlfn.XLOOKUP($A118,Planilha2!$P$2:$P$38,Planilha2!R$2:R$38,"",-1),"")</f>
        <v>B+</v>
      </c>
      <c r="I118" t="str">
        <f>IFERROR(_xlfn.XLOOKUP($A118,Planilha2!$P$2:$P$38,Planilha2!S$2:S$38,"",-1),"")</f>
        <v>BB</v>
      </c>
      <c r="J118" t="str" cm="1">
        <f t="array" ref="J118">IF($A118&lt;MIN(Planilha2!$P$2:$P$38),"",_xlfn.LET(_xlpm.t,_xlfn.XLOOKUP($A118,Planilha2!$P$2:$P$38,Planilha2!$T$2:$T$38,"",-1),_xlfn.IFS(ISNUMBER(SEARCH("positiva",_xlpm.t)),"Positiva",ISNUMBER(SEARCH("negativa",_xlpm.t)),"Negativa",ISNUMBER(SEARCH("estável",_xlpm.t)),"Estável",TRUE,"n/d")))</f>
        <v>Positiva</v>
      </c>
      <c r="L118" s="52">
        <f>IFERROR(_xlfn.XLOOKUP(B118,'Agências de Rating Soberano'!$G$2:$G$22,'Agências de Rating Soberano'!$H$2:$H$22),NA())</f>
        <v>8</v>
      </c>
      <c r="M118" s="52" t="e">
        <f>IFERROR(_xlfn.XLOOKUP(C118,'Agências de Rating Soberano'!$G$2:$G$22,'Agências de Rating Soberano'!$H$2:$H$22),NA())</f>
        <v>#N/A</v>
      </c>
      <c r="N118" s="52">
        <f>IFERROR(_xlfn.XLOOKUP(E118,'Agências de Rating Soberano'!$J$2:$J$22,'Agências de Rating Soberano'!$K$2:$K$22),NA())</f>
        <v>8</v>
      </c>
      <c r="O118" s="52" t="e">
        <f>IFERROR(_xlfn.XLOOKUP(F118,'Agências de Rating Soberano'!$J$2:$J$22,'Agências de Rating Soberano'!$K$2:$K$22),NA())</f>
        <v>#N/A</v>
      </c>
      <c r="P118" s="52">
        <f>IFERROR(_xlfn.XLOOKUP(H118,'Agências de Rating Soberano'!$J$2:$J$22,'Agências de Rating Soberano'!$K$2:$K$22),NA())</f>
        <v>8</v>
      </c>
      <c r="Q118" s="52">
        <f>IFERROR(_xlfn.XLOOKUP(I118,'Agências de Rating Soberano'!$J$2:$J$22,'Agências de Rating Soberano'!$K$2:$K$22),NA())</f>
        <v>10</v>
      </c>
    </row>
    <row r="119" spans="1:17" x14ac:dyDescent="0.3">
      <c r="A119" s="53">
        <f t="shared" si="8"/>
        <v>35308</v>
      </c>
      <c r="B119" t="str">
        <f>IFERROR(_xlfn.XLOOKUP($A119,Planilha2!$A$2:$A$34,Planilha2!C$2:C$34,"",-1),"")</f>
        <v>B1</v>
      </c>
      <c r="C119" t="str">
        <f>IFERROR(_xlfn.XLOOKUP($A119,Planilha2!$A$2:$A$34,Planilha2!D$2:D$34,"",-1),"")</f>
        <v>-</v>
      </c>
      <c r="D119" t="str" cm="1">
        <f t="array" ref="D119">IF($A119&lt;MIN(Planilha2!$A$2:$A$34),"",_xlfn.LET(_xlpm.t,_xlfn.XLOOKUP($A119,Planilha2!$A$2:$A$34,Planilha2!$E$2:$E$34,"",-1),_xlfn.IFS(ISNUMBER(SEARCH("positiva",_xlpm.t)),"Positiva",ISNUMBER(SEARCH("negativa",_xlpm.t)),"Negativa",ISNUMBER(SEARCH("estável",_xlpm.t)),"Estável",TRUE,"n/d")))</f>
        <v>Estável</v>
      </c>
      <c r="E119" t="str">
        <f>IFERROR(_xlfn.XLOOKUP($A119,Planilha2!$J$2:$J$44,Planilha2!L$2:L$44,"",-1),"")</f>
        <v>B+</v>
      </c>
      <c r="F119" t="str">
        <f>IFERROR(_xlfn.XLOOKUP($A119,Planilha2!$J$2:$J$44,Planilha2!M$2:M$44,"",-1),"")</f>
        <v>-</v>
      </c>
      <c r="G119" t="str" cm="1">
        <f t="array" ref="G119">IF($A119&lt;MIN(Planilha2!$J$2:$J$44),"",_xlfn.LET(_xlpm.t,_xlfn.XLOOKUP($A119,Planilha2!$J$2:$J$44,Planilha2!$N$2:$N$44,"",-1),_xlfn.IFS(ISNUMBER(SEARCH("positiva",_xlpm.t)),"Positiva",ISNUMBER(SEARCH("negativa",_xlpm.t)),"Negativa",ISNUMBER(SEARCH("estável",_xlpm.t)),"Estável",TRUE,"n/d")))</f>
        <v>n/d</v>
      </c>
      <c r="H119" t="str">
        <f>IFERROR(_xlfn.XLOOKUP($A119,Planilha2!$P$2:$P$38,Planilha2!R$2:R$38,"",-1),"")</f>
        <v>B+</v>
      </c>
      <c r="I119" t="str">
        <f>IFERROR(_xlfn.XLOOKUP($A119,Planilha2!$P$2:$P$38,Planilha2!S$2:S$38,"",-1),"")</f>
        <v>BB</v>
      </c>
      <c r="J119" t="str" cm="1">
        <f t="array" ref="J119">IF($A119&lt;MIN(Planilha2!$P$2:$P$38),"",_xlfn.LET(_xlpm.t,_xlfn.XLOOKUP($A119,Planilha2!$P$2:$P$38,Planilha2!$T$2:$T$38,"",-1),_xlfn.IFS(ISNUMBER(SEARCH("positiva",_xlpm.t)),"Positiva",ISNUMBER(SEARCH("negativa",_xlpm.t)),"Negativa",ISNUMBER(SEARCH("estável",_xlpm.t)),"Estável",TRUE,"n/d")))</f>
        <v>Positiva</v>
      </c>
      <c r="L119" s="52">
        <f>IFERROR(_xlfn.XLOOKUP(B119,'Agências de Rating Soberano'!$G$2:$G$22,'Agências de Rating Soberano'!$H$2:$H$22),NA())</f>
        <v>8</v>
      </c>
      <c r="M119" s="52" t="e">
        <f>IFERROR(_xlfn.XLOOKUP(C119,'Agências de Rating Soberano'!$G$2:$G$22,'Agências de Rating Soberano'!$H$2:$H$22),NA())</f>
        <v>#N/A</v>
      </c>
      <c r="N119" s="52">
        <f>IFERROR(_xlfn.XLOOKUP(E119,'Agências de Rating Soberano'!$J$2:$J$22,'Agências de Rating Soberano'!$K$2:$K$22),NA())</f>
        <v>8</v>
      </c>
      <c r="O119" s="52" t="e">
        <f>IFERROR(_xlfn.XLOOKUP(F119,'Agências de Rating Soberano'!$J$2:$J$22,'Agências de Rating Soberano'!$K$2:$K$22),NA())</f>
        <v>#N/A</v>
      </c>
      <c r="P119" s="52">
        <f>IFERROR(_xlfn.XLOOKUP(H119,'Agências de Rating Soberano'!$J$2:$J$22,'Agências de Rating Soberano'!$K$2:$K$22),NA())</f>
        <v>8</v>
      </c>
      <c r="Q119" s="52">
        <f>IFERROR(_xlfn.XLOOKUP(I119,'Agências de Rating Soberano'!$J$2:$J$22,'Agências de Rating Soberano'!$K$2:$K$22),NA())</f>
        <v>10</v>
      </c>
    </row>
    <row r="120" spans="1:17" x14ac:dyDescent="0.3">
      <c r="A120" s="53">
        <f t="shared" si="8"/>
        <v>35338</v>
      </c>
      <c r="B120" t="str">
        <f>IFERROR(_xlfn.XLOOKUP($A120,Planilha2!$A$2:$A$34,Planilha2!C$2:C$34,"",-1),"")</f>
        <v>B1</v>
      </c>
      <c r="C120" t="str">
        <f>IFERROR(_xlfn.XLOOKUP($A120,Planilha2!$A$2:$A$34,Planilha2!D$2:D$34,"",-1),"")</f>
        <v>-</v>
      </c>
      <c r="D120" t="str" cm="1">
        <f t="array" ref="D120">IF($A120&lt;MIN(Planilha2!$A$2:$A$34),"",_xlfn.LET(_xlpm.t,_xlfn.XLOOKUP($A120,Planilha2!$A$2:$A$34,Planilha2!$E$2:$E$34,"",-1),_xlfn.IFS(ISNUMBER(SEARCH("positiva",_xlpm.t)),"Positiva",ISNUMBER(SEARCH("negativa",_xlpm.t)),"Negativa",ISNUMBER(SEARCH("estável",_xlpm.t)),"Estável",TRUE,"n/d")))</f>
        <v>Estável</v>
      </c>
      <c r="E120" t="str">
        <f>IFERROR(_xlfn.XLOOKUP($A120,Planilha2!$J$2:$J$44,Planilha2!L$2:L$44,"",-1),"")</f>
        <v>B+</v>
      </c>
      <c r="F120" t="str">
        <f>IFERROR(_xlfn.XLOOKUP($A120,Planilha2!$J$2:$J$44,Planilha2!M$2:M$44,"",-1),"")</f>
        <v>-</v>
      </c>
      <c r="G120" t="str" cm="1">
        <f t="array" ref="G120">IF($A120&lt;MIN(Planilha2!$J$2:$J$44),"",_xlfn.LET(_xlpm.t,_xlfn.XLOOKUP($A120,Planilha2!$J$2:$J$44,Planilha2!$N$2:$N$44,"",-1),_xlfn.IFS(ISNUMBER(SEARCH("positiva",_xlpm.t)),"Positiva",ISNUMBER(SEARCH("negativa",_xlpm.t)),"Negativa",ISNUMBER(SEARCH("estável",_xlpm.t)),"Estável",TRUE,"n/d")))</f>
        <v>n/d</v>
      </c>
      <c r="H120" t="str">
        <f>IFERROR(_xlfn.XLOOKUP($A120,Planilha2!$P$2:$P$38,Planilha2!R$2:R$38,"",-1),"")</f>
        <v>B+</v>
      </c>
      <c r="I120" t="str">
        <f>IFERROR(_xlfn.XLOOKUP($A120,Planilha2!$P$2:$P$38,Planilha2!S$2:S$38,"",-1),"")</f>
        <v>BB</v>
      </c>
      <c r="J120" t="str" cm="1">
        <f t="array" ref="J120">IF($A120&lt;MIN(Planilha2!$P$2:$P$38),"",_xlfn.LET(_xlpm.t,_xlfn.XLOOKUP($A120,Planilha2!$P$2:$P$38,Planilha2!$T$2:$T$38,"",-1),_xlfn.IFS(ISNUMBER(SEARCH("positiva",_xlpm.t)),"Positiva",ISNUMBER(SEARCH("negativa",_xlpm.t)),"Negativa",ISNUMBER(SEARCH("estável",_xlpm.t)),"Estável",TRUE,"n/d")))</f>
        <v>Positiva</v>
      </c>
      <c r="L120" s="52">
        <f>IFERROR(_xlfn.XLOOKUP(B120,'Agências de Rating Soberano'!$G$2:$G$22,'Agências de Rating Soberano'!$H$2:$H$22),NA())</f>
        <v>8</v>
      </c>
      <c r="M120" s="52" t="e">
        <f>IFERROR(_xlfn.XLOOKUP(C120,'Agências de Rating Soberano'!$G$2:$G$22,'Agências de Rating Soberano'!$H$2:$H$22),NA())</f>
        <v>#N/A</v>
      </c>
      <c r="N120" s="52">
        <f>IFERROR(_xlfn.XLOOKUP(E120,'Agências de Rating Soberano'!$J$2:$J$22,'Agências de Rating Soberano'!$K$2:$K$22),NA())</f>
        <v>8</v>
      </c>
      <c r="O120" s="52" t="e">
        <f>IFERROR(_xlfn.XLOOKUP(F120,'Agências de Rating Soberano'!$J$2:$J$22,'Agências de Rating Soberano'!$K$2:$K$22),NA())</f>
        <v>#N/A</v>
      </c>
      <c r="P120" s="52">
        <f>IFERROR(_xlfn.XLOOKUP(H120,'Agências de Rating Soberano'!$J$2:$J$22,'Agências de Rating Soberano'!$K$2:$K$22),NA())</f>
        <v>8</v>
      </c>
      <c r="Q120" s="52">
        <f>IFERROR(_xlfn.XLOOKUP(I120,'Agências de Rating Soberano'!$J$2:$J$22,'Agências de Rating Soberano'!$K$2:$K$22),NA())</f>
        <v>10</v>
      </c>
    </row>
    <row r="121" spans="1:17" x14ac:dyDescent="0.3">
      <c r="A121" s="53">
        <f t="shared" si="8"/>
        <v>35369</v>
      </c>
      <c r="B121" t="str">
        <f>IFERROR(_xlfn.XLOOKUP($A121,Planilha2!$A$2:$A$34,Planilha2!C$2:C$34,"",-1),"")</f>
        <v>B1</v>
      </c>
      <c r="C121" t="str">
        <f>IFERROR(_xlfn.XLOOKUP($A121,Planilha2!$A$2:$A$34,Planilha2!D$2:D$34,"",-1),"")</f>
        <v>-</v>
      </c>
      <c r="D121" t="str" cm="1">
        <f t="array" ref="D121">IF($A121&lt;MIN(Planilha2!$A$2:$A$34),"",_xlfn.LET(_xlpm.t,_xlfn.XLOOKUP($A121,Planilha2!$A$2:$A$34,Planilha2!$E$2:$E$34,"",-1),_xlfn.IFS(ISNUMBER(SEARCH("positiva",_xlpm.t)),"Positiva",ISNUMBER(SEARCH("negativa",_xlpm.t)),"Negativa",ISNUMBER(SEARCH("estável",_xlpm.t)),"Estável",TRUE,"n/d")))</f>
        <v>Estável</v>
      </c>
      <c r="E121" t="str">
        <f>IFERROR(_xlfn.XLOOKUP($A121,Planilha2!$J$2:$J$44,Planilha2!L$2:L$44,"",-1),"")</f>
        <v>B+</v>
      </c>
      <c r="F121" t="str">
        <f>IFERROR(_xlfn.XLOOKUP($A121,Planilha2!$J$2:$J$44,Planilha2!M$2:M$44,"",-1),"")</f>
        <v>-</v>
      </c>
      <c r="G121" t="str" cm="1">
        <f t="array" ref="G121">IF($A121&lt;MIN(Planilha2!$J$2:$J$44),"",_xlfn.LET(_xlpm.t,_xlfn.XLOOKUP($A121,Planilha2!$J$2:$J$44,Planilha2!$N$2:$N$44,"",-1),_xlfn.IFS(ISNUMBER(SEARCH("positiva",_xlpm.t)),"Positiva",ISNUMBER(SEARCH("negativa",_xlpm.t)),"Negativa",ISNUMBER(SEARCH("estável",_xlpm.t)),"Estável",TRUE,"n/d")))</f>
        <v>n/d</v>
      </c>
      <c r="H121" t="str">
        <f>IFERROR(_xlfn.XLOOKUP($A121,Planilha2!$P$2:$P$38,Planilha2!R$2:R$38,"",-1),"")</f>
        <v>B+</v>
      </c>
      <c r="I121" t="str">
        <f>IFERROR(_xlfn.XLOOKUP($A121,Planilha2!$P$2:$P$38,Planilha2!S$2:S$38,"",-1),"")</f>
        <v>BB</v>
      </c>
      <c r="J121" t="str" cm="1">
        <f t="array" ref="J121">IF($A121&lt;MIN(Planilha2!$P$2:$P$38),"",_xlfn.LET(_xlpm.t,_xlfn.XLOOKUP($A121,Planilha2!$P$2:$P$38,Planilha2!$T$2:$T$38,"",-1),_xlfn.IFS(ISNUMBER(SEARCH("positiva",_xlpm.t)),"Positiva",ISNUMBER(SEARCH("negativa",_xlpm.t)),"Negativa",ISNUMBER(SEARCH("estável",_xlpm.t)),"Estável",TRUE,"n/d")))</f>
        <v>Positiva</v>
      </c>
      <c r="L121" s="52">
        <f>IFERROR(_xlfn.XLOOKUP(B121,'Agências de Rating Soberano'!$G$2:$G$22,'Agências de Rating Soberano'!$H$2:$H$22),NA())</f>
        <v>8</v>
      </c>
      <c r="M121" s="52" t="e">
        <f>IFERROR(_xlfn.XLOOKUP(C121,'Agências de Rating Soberano'!$G$2:$G$22,'Agências de Rating Soberano'!$H$2:$H$22),NA())</f>
        <v>#N/A</v>
      </c>
      <c r="N121" s="52">
        <f>IFERROR(_xlfn.XLOOKUP(E121,'Agências de Rating Soberano'!$J$2:$J$22,'Agências de Rating Soberano'!$K$2:$K$22),NA())</f>
        <v>8</v>
      </c>
      <c r="O121" s="52" t="e">
        <f>IFERROR(_xlfn.XLOOKUP(F121,'Agências de Rating Soberano'!$J$2:$J$22,'Agências de Rating Soberano'!$K$2:$K$22),NA())</f>
        <v>#N/A</v>
      </c>
      <c r="P121" s="52">
        <f>IFERROR(_xlfn.XLOOKUP(H121,'Agências de Rating Soberano'!$J$2:$J$22,'Agências de Rating Soberano'!$K$2:$K$22),NA())</f>
        <v>8</v>
      </c>
      <c r="Q121" s="52">
        <f>IFERROR(_xlfn.XLOOKUP(I121,'Agências de Rating Soberano'!$J$2:$J$22,'Agências de Rating Soberano'!$K$2:$K$22),NA())</f>
        <v>10</v>
      </c>
    </row>
    <row r="122" spans="1:17" x14ac:dyDescent="0.3">
      <c r="A122" s="53">
        <f t="shared" si="8"/>
        <v>35399</v>
      </c>
      <c r="B122" t="str">
        <f>IFERROR(_xlfn.XLOOKUP($A122,Planilha2!$A$2:$A$34,Planilha2!C$2:C$34,"",-1),"")</f>
        <v>B1</v>
      </c>
      <c r="C122" t="str">
        <f>IFERROR(_xlfn.XLOOKUP($A122,Planilha2!$A$2:$A$34,Planilha2!D$2:D$34,"",-1),"")</f>
        <v>-</v>
      </c>
      <c r="D122" t="str" cm="1">
        <f t="array" ref="D122">IF($A122&lt;MIN(Planilha2!$A$2:$A$34),"",_xlfn.LET(_xlpm.t,_xlfn.XLOOKUP($A122,Planilha2!$A$2:$A$34,Planilha2!$E$2:$E$34,"",-1),_xlfn.IFS(ISNUMBER(SEARCH("positiva",_xlpm.t)),"Positiva",ISNUMBER(SEARCH("negativa",_xlpm.t)),"Negativa",ISNUMBER(SEARCH("estável",_xlpm.t)),"Estável",TRUE,"n/d")))</f>
        <v>Estável</v>
      </c>
      <c r="E122" t="str">
        <f>IFERROR(_xlfn.XLOOKUP($A122,Planilha2!$J$2:$J$44,Planilha2!L$2:L$44,"",-1),"")</f>
        <v>B+</v>
      </c>
      <c r="F122" t="str">
        <f>IFERROR(_xlfn.XLOOKUP($A122,Planilha2!$J$2:$J$44,Planilha2!M$2:M$44,"",-1),"")</f>
        <v>-</v>
      </c>
      <c r="G122" t="str" cm="1">
        <f t="array" ref="G122">IF($A122&lt;MIN(Planilha2!$J$2:$J$44),"",_xlfn.LET(_xlpm.t,_xlfn.XLOOKUP($A122,Planilha2!$J$2:$J$44,Planilha2!$N$2:$N$44,"",-1),_xlfn.IFS(ISNUMBER(SEARCH("positiva",_xlpm.t)),"Positiva",ISNUMBER(SEARCH("negativa",_xlpm.t)),"Negativa",ISNUMBER(SEARCH("estável",_xlpm.t)),"Estável",TRUE,"n/d")))</f>
        <v>n/d</v>
      </c>
      <c r="H122" t="str">
        <f>IFERROR(_xlfn.XLOOKUP($A122,Planilha2!$P$2:$P$38,Planilha2!R$2:R$38,"",-1),"")</f>
        <v>B+</v>
      </c>
      <c r="I122" t="str">
        <f>IFERROR(_xlfn.XLOOKUP($A122,Planilha2!$P$2:$P$38,Planilha2!S$2:S$38,"",-1),"")</f>
        <v>BB</v>
      </c>
      <c r="J122" t="str" cm="1">
        <f t="array" ref="J122">IF($A122&lt;MIN(Planilha2!$P$2:$P$38),"",_xlfn.LET(_xlpm.t,_xlfn.XLOOKUP($A122,Planilha2!$P$2:$P$38,Planilha2!$T$2:$T$38,"",-1),_xlfn.IFS(ISNUMBER(SEARCH("positiva",_xlpm.t)),"Positiva",ISNUMBER(SEARCH("negativa",_xlpm.t)),"Negativa",ISNUMBER(SEARCH("estável",_xlpm.t)),"Estável",TRUE,"n/d")))</f>
        <v>Positiva</v>
      </c>
      <c r="L122" s="52">
        <f>IFERROR(_xlfn.XLOOKUP(B122,'Agências de Rating Soberano'!$G$2:$G$22,'Agências de Rating Soberano'!$H$2:$H$22),NA())</f>
        <v>8</v>
      </c>
      <c r="M122" s="52" t="e">
        <f>IFERROR(_xlfn.XLOOKUP(C122,'Agências de Rating Soberano'!$G$2:$G$22,'Agências de Rating Soberano'!$H$2:$H$22),NA())</f>
        <v>#N/A</v>
      </c>
      <c r="N122" s="52">
        <f>IFERROR(_xlfn.XLOOKUP(E122,'Agências de Rating Soberano'!$J$2:$J$22,'Agências de Rating Soberano'!$K$2:$K$22),NA())</f>
        <v>8</v>
      </c>
      <c r="O122" s="52" t="e">
        <f>IFERROR(_xlfn.XLOOKUP(F122,'Agências de Rating Soberano'!$J$2:$J$22,'Agências de Rating Soberano'!$K$2:$K$22),NA())</f>
        <v>#N/A</v>
      </c>
      <c r="P122" s="52">
        <f>IFERROR(_xlfn.XLOOKUP(H122,'Agências de Rating Soberano'!$J$2:$J$22,'Agências de Rating Soberano'!$K$2:$K$22),NA())</f>
        <v>8</v>
      </c>
      <c r="Q122" s="52">
        <f>IFERROR(_xlfn.XLOOKUP(I122,'Agências de Rating Soberano'!$J$2:$J$22,'Agências de Rating Soberano'!$K$2:$K$22),NA())</f>
        <v>10</v>
      </c>
    </row>
    <row r="123" spans="1:17" x14ac:dyDescent="0.3">
      <c r="A123" s="53">
        <f t="shared" si="8"/>
        <v>35430</v>
      </c>
      <c r="B123" t="str">
        <f>IFERROR(_xlfn.XLOOKUP($A123,Planilha2!$A$2:$A$34,Planilha2!C$2:C$34,"",-1),"")</f>
        <v>B1</v>
      </c>
      <c r="C123" t="str">
        <f>IFERROR(_xlfn.XLOOKUP($A123,Planilha2!$A$2:$A$34,Planilha2!D$2:D$34,"",-1),"")</f>
        <v>-</v>
      </c>
      <c r="D123" t="str" cm="1">
        <f t="array" ref="D123">IF($A123&lt;MIN(Planilha2!$A$2:$A$34),"",_xlfn.LET(_xlpm.t,_xlfn.XLOOKUP($A123,Planilha2!$A$2:$A$34,Planilha2!$E$2:$E$34,"",-1),_xlfn.IFS(ISNUMBER(SEARCH("positiva",_xlpm.t)),"Positiva",ISNUMBER(SEARCH("negativa",_xlpm.t)),"Negativa",ISNUMBER(SEARCH("estável",_xlpm.t)),"Estável",TRUE,"n/d")))</f>
        <v>Estável</v>
      </c>
      <c r="E123" t="str">
        <f>IFERROR(_xlfn.XLOOKUP($A123,Planilha2!$J$2:$J$44,Planilha2!L$2:L$44,"",-1),"")</f>
        <v>B+</v>
      </c>
      <c r="F123" t="str">
        <f>IFERROR(_xlfn.XLOOKUP($A123,Planilha2!$J$2:$J$44,Planilha2!M$2:M$44,"",-1),"")</f>
        <v>-</v>
      </c>
      <c r="G123" t="str" cm="1">
        <f t="array" ref="G123">IF($A123&lt;MIN(Planilha2!$J$2:$J$44),"",_xlfn.LET(_xlpm.t,_xlfn.XLOOKUP($A123,Planilha2!$J$2:$J$44,Planilha2!$N$2:$N$44,"",-1),_xlfn.IFS(ISNUMBER(SEARCH("positiva",_xlpm.t)),"Positiva",ISNUMBER(SEARCH("negativa",_xlpm.t)),"Negativa",ISNUMBER(SEARCH("estável",_xlpm.t)),"Estável",TRUE,"n/d")))</f>
        <v>n/d</v>
      </c>
      <c r="H123" t="str">
        <f>IFERROR(_xlfn.XLOOKUP($A123,Planilha2!$P$2:$P$38,Planilha2!R$2:R$38,"",-1),"")</f>
        <v>B+</v>
      </c>
      <c r="I123" t="str">
        <f>IFERROR(_xlfn.XLOOKUP($A123,Planilha2!$P$2:$P$38,Planilha2!S$2:S$38,"",-1),"")</f>
        <v>BB</v>
      </c>
      <c r="J123" t="str" cm="1">
        <f t="array" ref="J123">IF($A123&lt;MIN(Planilha2!$P$2:$P$38),"",_xlfn.LET(_xlpm.t,_xlfn.XLOOKUP($A123,Planilha2!$P$2:$P$38,Planilha2!$T$2:$T$38,"",-1),_xlfn.IFS(ISNUMBER(SEARCH("positiva",_xlpm.t)),"Positiva",ISNUMBER(SEARCH("negativa",_xlpm.t)),"Negativa",ISNUMBER(SEARCH("estável",_xlpm.t)),"Estável",TRUE,"n/d")))</f>
        <v>Positiva</v>
      </c>
      <c r="L123" s="52">
        <f>IFERROR(_xlfn.XLOOKUP(B123,'Agências de Rating Soberano'!$G$2:$G$22,'Agências de Rating Soberano'!$H$2:$H$22),NA())</f>
        <v>8</v>
      </c>
      <c r="M123" s="52" t="e">
        <f>IFERROR(_xlfn.XLOOKUP(C123,'Agências de Rating Soberano'!$G$2:$G$22,'Agências de Rating Soberano'!$H$2:$H$22),NA())</f>
        <v>#N/A</v>
      </c>
      <c r="N123" s="52">
        <f>IFERROR(_xlfn.XLOOKUP(E123,'Agências de Rating Soberano'!$J$2:$J$22,'Agências de Rating Soberano'!$K$2:$K$22),NA())</f>
        <v>8</v>
      </c>
      <c r="O123" s="52" t="e">
        <f>IFERROR(_xlfn.XLOOKUP(F123,'Agências de Rating Soberano'!$J$2:$J$22,'Agências de Rating Soberano'!$K$2:$K$22),NA())</f>
        <v>#N/A</v>
      </c>
      <c r="P123" s="52">
        <f>IFERROR(_xlfn.XLOOKUP(H123,'Agências de Rating Soberano'!$J$2:$J$22,'Agências de Rating Soberano'!$K$2:$K$22),NA())</f>
        <v>8</v>
      </c>
      <c r="Q123" s="52">
        <f>IFERROR(_xlfn.XLOOKUP(I123,'Agências de Rating Soberano'!$J$2:$J$22,'Agências de Rating Soberano'!$K$2:$K$22),NA())</f>
        <v>10</v>
      </c>
    </row>
    <row r="124" spans="1:17" x14ac:dyDescent="0.3">
      <c r="A124" s="53">
        <f t="shared" si="8"/>
        <v>35461</v>
      </c>
      <c r="B124" t="str">
        <f>IFERROR(_xlfn.XLOOKUP($A124,Planilha2!$A$2:$A$34,Planilha2!C$2:C$34,"",-1),"")</f>
        <v>B1</v>
      </c>
      <c r="C124" t="str">
        <f>IFERROR(_xlfn.XLOOKUP($A124,Planilha2!$A$2:$A$34,Planilha2!D$2:D$34,"",-1),"")</f>
        <v>-</v>
      </c>
      <c r="D124" t="str" cm="1">
        <f t="array" ref="D124">IF($A124&lt;MIN(Planilha2!$A$2:$A$34),"",_xlfn.LET(_xlpm.t,_xlfn.XLOOKUP($A124,Planilha2!$A$2:$A$34,Planilha2!$E$2:$E$34,"",-1),_xlfn.IFS(ISNUMBER(SEARCH("positiva",_xlpm.t)),"Positiva",ISNUMBER(SEARCH("negativa",_xlpm.t)),"Negativa",ISNUMBER(SEARCH("estável",_xlpm.t)),"Estável",TRUE,"n/d")))</f>
        <v>Estável</v>
      </c>
      <c r="E124" t="str">
        <f>IFERROR(_xlfn.XLOOKUP($A124,Planilha2!$J$2:$J$44,Planilha2!L$2:L$44,"",-1),"")</f>
        <v>B+</v>
      </c>
      <c r="F124" t="str">
        <f>IFERROR(_xlfn.XLOOKUP($A124,Planilha2!$J$2:$J$44,Planilha2!M$2:M$44,"",-1),"")</f>
        <v>-</v>
      </c>
      <c r="G124" t="str" cm="1">
        <f t="array" ref="G124">IF($A124&lt;MIN(Planilha2!$J$2:$J$44),"",_xlfn.LET(_xlpm.t,_xlfn.XLOOKUP($A124,Planilha2!$J$2:$J$44,Planilha2!$N$2:$N$44,"",-1),_xlfn.IFS(ISNUMBER(SEARCH("positiva",_xlpm.t)),"Positiva",ISNUMBER(SEARCH("negativa",_xlpm.t)),"Negativa",ISNUMBER(SEARCH("estável",_xlpm.t)),"Estável",TRUE,"n/d")))</f>
        <v>n/d</v>
      </c>
      <c r="H124" t="str">
        <f>IFERROR(_xlfn.XLOOKUP($A124,Planilha2!$P$2:$P$38,Planilha2!R$2:R$38,"",-1),"")</f>
        <v>B+</v>
      </c>
      <c r="I124" t="str">
        <f>IFERROR(_xlfn.XLOOKUP($A124,Planilha2!$P$2:$P$38,Planilha2!S$2:S$38,"",-1),"")</f>
        <v>BB</v>
      </c>
      <c r="J124" t="str" cm="1">
        <f t="array" ref="J124">IF($A124&lt;MIN(Planilha2!$P$2:$P$38),"",_xlfn.LET(_xlpm.t,_xlfn.XLOOKUP($A124,Planilha2!$P$2:$P$38,Planilha2!$T$2:$T$38,"",-1),_xlfn.IFS(ISNUMBER(SEARCH("positiva",_xlpm.t)),"Positiva",ISNUMBER(SEARCH("negativa",_xlpm.t)),"Negativa",ISNUMBER(SEARCH("estável",_xlpm.t)),"Estável",TRUE,"n/d")))</f>
        <v>Positiva</v>
      </c>
      <c r="L124" s="52">
        <f>IFERROR(_xlfn.XLOOKUP(B124,'Agências de Rating Soberano'!$G$2:$G$22,'Agências de Rating Soberano'!$H$2:$H$22),NA())</f>
        <v>8</v>
      </c>
      <c r="M124" s="52" t="e">
        <f>IFERROR(_xlfn.XLOOKUP(C124,'Agências de Rating Soberano'!$G$2:$G$22,'Agências de Rating Soberano'!$H$2:$H$22),NA())</f>
        <v>#N/A</v>
      </c>
      <c r="N124" s="52">
        <f>IFERROR(_xlfn.XLOOKUP(E124,'Agências de Rating Soberano'!$J$2:$J$22,'Agências de Rating Soberano'!$K$2:$K$22),NA())</f>
        <v>8</v>
      </c>
      <c r="O124" s="52" t="e">
        <f>IFERROR(_xlfn.XLOOKUP(F124,'Agências de Rating Soberano'!$J$2:$J$22,'Agências de Rating Soberano'!$K$2:$K$22),NA())</f>
        <v>#N/A</v>
      </c>
      <c r="P124" s="52">
        <f>IFERROR(_xlfn.XLOOKUP(H124,'Agências de Rating Soberano'!$J$2:$J$22,'Agências de Rating Soberano'!$K$2:$K$22),NA())</f>
        <v>8</v>
      </c>
      <c r="Q124" s="52">
        <f>IFERROR(_xlfn.XLOOKUP(I124,'Agências de Rating Soberano'!$J$2:$J$22,'Agências de Rating Soberano'!$K$2:$K$22),NA())</f>
        <v>10</v>
      </c>
    </row>
    <row r="125" spans="1:17" x14ac:dyDescent="0.3">
      <c r="A125" s="53">
        <f t="shared" si="8"/>
        <v>35489</v>
      </c>
      <c r="B125" t="str">
        <f>IFERROR(_xlfn.XLOOKUP($A125,Planilha2!$A$2:$A$34,Planilha2!C$2:C$34,"",-1),"")</f>
        <v>B1</v>
      </c>
      <c r="C125" t="str">
        <f>IFERROR(_xlfn.XLOOKUP($A125,Planilha2!$A$2:$A$34,Planilha2!D$2:D$34,"",-1),"")</f>
        <v>-</v>
      </c>
      <c r="D125" t="str" cm="1">
        <f t="array" ref="D125">IF($A125&lt;MIN(Planilha2!$A$2:$A$34),"",_xlfn.LET(_xlpm.t,_xlfn.XLOOKUP($A125,Planilha2!$A$2:$A$34,Planilha2!$E$2:$E$34,"",-1),_xlfn.IFS(ISNUMBER(SEARCH("positiva",_xlpm.t)),"Positiva",ISNUMBER(SEARCH("negativa",_xlpm.t)),"Negativa",ISNUMBER(SEARCH("estável",_xlpm.t)),"Estável",TRUE,"n/d")))</f>
        <v>Estável</v>
      </c>
      <c r="E125" t="str">
        <f>IFERROR(_xlfn.XLOOKUP($A125,Planilha2!$J$2:$J$44,Planilha2!L$2:L$44,"",-1),"")</f>
        <v>B+</v>
      </c>
      <c r="F125" t="str">
        <f>IFERROR(_xlfn.XLOOKUP($A125,Planilha2!$J$2:$J$44,Planilha2!M$2:M$44,"",-1),"")</f>
        <v>-</v>
      </c>
      <c r="G125" t="str" cm="1">
        <f t="array" ref="G125">IF($A125&lt;MIN(Planilha2!$J$2:$J$44),"",_xlfn.LET(_xlpm.t,_xlfn.XLOOKUP($A125,Planilha2!$J$2:$J$44,Planilha2!$N$2:$N$44,"",-1),_xlfn.IFS(ISNUMBER(SEARCH("positiva",_xlpm.t)),"Positiva",ISNUMBER(SEARCH("negativa",_xlpm.t)),"Negativa",ISNUMBER(SEARCH("estável",_xlpm.t)),"Estável",TRUE,"n/d")))</f>
        <v>n/d</v>
      </c>
      <c r="H125" t="str">
        <f>IFERROR(_xlfn.XLOOKUP($A125,Planilha2!$P$2:$P$38,Planilha2!R$2:R$38,"",-1),"")</f>
        <v>B+</v>
      </c>
      <c r="I125" t="str">
        <f>IFERROR(_xlfn.XLOOKUP($A125,Planilha2!$P$2:$P$38,Planilha2!S$2:S$38,"",-1),"")</f>
        <v>BB</v>
      </c>
      <c r="J125" t="str" cm="1">
        <f t="array" ref="J125">IF($A125&lt;MIN(Planilha2!$P$2:$P$38),"",_xlfn.LET(_xlpm.t,_xlfn.XLOOKUP($A125,Planilha2!$P$2:$P$38,Planilha2!$T$2:$T$38,"",-1),_xlfn.IFS(ISNUMBER(SEARCH("positiva",_xlpm.t)),"Positiva",ISNUMBER(SEARCH("negativa",_xlpm.t)),"Negativa",ISNUMBER(SEARCH("estável",_xlpm.t)),"Estável",TRUE,"n/d")))</f>
        <v>Positiva</v>
      </c>
      <c r="L125" s="52">
        <f>IFERROR(_xlfn.XLOOKUP(B125,'Agências de Rating Soberano'!$G$2:$G$22,'Agências de Rating Soberano'!$H$2:$H$22),NA())</f>
        <v>8</v>
      </c>
      <c r="M125" s="52" t="e">
        <f>IFERROR(_xlfn.XLOOKUP(C125,'Agências de Rating Soberano'!$G$2:$G$22,'Agências de Rating Soberano'!$H$2:$H$22),NA())</f>
        <v>#N/A</v>
      </c>
      <c r="N125" s="52">
        <f>IFERROR(_xlfn.XLOOKUP(E125,'Agências de Rating Soberano'!$J$2:$J$22,'Agências de Rating Soberano'!$K$2:$K$22),NA())</f>
        <v>8</v>
      </c>
      <c r="O125" s="52" t="e">
        <f>IFERROR(_xlfn.XLOOKUP(F125,'Agências de Rating Soberano'!$J$2:$J$22,'Agências de Rating Soberano'!$K$2:$K$22),NA())</f>
        <v>#N/A</v>
      </c>
      <c r="P125" s="52">
        <f>IFERROR(_xlfn.XLOOKUP(H125,'Agências de Rating Soberano'!$J$2:$J$22,'Agências de Rating Soberano'!$K$2:$K$22),NA())</f>
        <v>8</v>
      </c>
      <c r="Q125" s="52">
        <f>IFERROR(_xlfn.XLOOKUP(I125,'Agências de Rating Soberano'!$J$2:$J$22,'Agências de Rating Soberano'!$K$2:$K$22),NA())</f>
        <v>10</v>
      </c>
    </row>
    <row r="126" spans="1:17" x14ac:dyDescent="0.3">
      <c r="A126" s="53">
        <f t="shared" si="8"/>
        <v>35520</v>
      </c>
      <c r="B126" t="str">
        <f>IFERROR(_xlfn.XLOOKUP($A126,Planilha2!$A$2:$A$34,Planilha2!C$2:C$34,"",-1),"")</f>
        <v>B1</v>
      </c>
      <c r="C126" t="str">
        <f>IFERROR(_xlfn.XLOOKUP($A126,Planilha2!$A$2:$A$34,Planilha2!D$2:D$34,"",-1),"")</f>
        <v>-</v>
      </c>
      <c r="D126" t="str" cm="1">
        <f t="array" ref="D126">IF($A126&lt;MIN(Planilha2!$A$2:$A$34),"",_xlfn.LET(_xlpm.t,_xlfn.XLOOKUP($A126,Planilha2!$A$2:$A$34,Planilha2!$E$2:$E$34,"",-1),_xlfn.IFS(ISNUMBER(SEARCH("positiva",_xlpm.t)),"Positiva",ISNUMBER(SEARCH("negativa",_xlpm.t)),"Negativa",ISNUMBER(SEARCH("estável",_xlpm.t)),"Estável",TRUE,"n/d")))</f>
        <v>Estável</v>
      </c>
      <c r="E126" t="str">
        <f>IFERROR(_xlfn.XLOOKUP($A126,Planilha2!$J$2:$J$44,Planilha2!L$2:L$44,"",-1),"")</f>
        <v>B+</v>
      </c>
      <c r="F126" t="str">
        <f>IFERROR(_xlfn.XLOOKUP($A126,Planilha2!$J$2:$J$44,Planilha2!M$2:M$44,"",-1),"")</f>
        <v>-</v>
      </c>
      <c r="G126" t="str" cm="1">
        <f t="array" ref="G126">IF($A126&lt;MIN(Planilha2!$J$2:$J$44),"",_xlfn.LET(_xlpm.t,_xlfn.XLOOKUP($A126,Planilha2!$J$2:$J$44,Planilha2!$N$2:$N$44,"",-1),_xlfn.IFS(ISNUMBER(SEARCH("positiva",_xlpm.t)),"Positiva",ISNUMBER(SEARCH("negativa",_xlpm.t)),"Negativa",ISNUMBER(SEARCH("estável",_xlpm.t)),"Estável",TRUE,"n/d")))</f>
        <v>n/d</v>
      </c>
      <c r="H126" t="str">
        <f>IFERROR(_xlfn.XLOOKUP($A126,Planilha2!$P$2:$P$38,Planilha2!R$2:R$38,"",-1),"")</f>
        <v>B+</v>
      </c>
      <c r="I126" t="str">
        <f>IFERROR(_xlfn.XLOOKUP($A126,Planilha2!$P$2:$P$38,Planilha2!S$2:S$38,"",-1),"")</f>
        <v>BB</v>
      </c>
      <c r="J126" t="str" cm="1">
        <f t="array" ref="J126">IF($A126&lt;MIN(Planilha2!$P$2:$P$38),"",_xlfn.LET(_xlpm.t,_xlfn.XLOOKUP($A126,Planilha2!$P$2:$P$38,Planilha2!$T$2:$T$38,"",-1),_xlfn.IFS(ISNUMBER(SEARCH("positiva",_xlpm.t)),"Positiva",ISNUMBER(SEARCH("negativa",_xlpm.t)),"Negativa",ISNUMBER(SEARCH("estável",_xlpm.t)),"Estável",TRUE,"n/d")))</f>
        <v>Positiva</v>
      </c>
      <c r="L126" s="52">
        <f>IFERROR(_xlfn.XLOOKUP(B126,'Agências de Rating Soberano'!$G$2:$G$22,'Agências de Rating Soberano'!$H$2:$H$22),NA())</f>
        <v>8</v>
      </c>
      <c r="M126" s="52" t="e">
        <f>IFERROR(_xlfn.XLOOKUP(C126,'Agências de Rating Soberano'!$G$2:$G$22,'Agências de Rating Soberano'!$H$2:$H$22),NA())</f>
        <v>#N/A</v>
      </c>
      <c r="N126" s="52">
        <f>IFERROR(_xlfn.XLOOKUP(E126,'Agências de Rating Soberano'!$J$2:$J$22,'Agências de Rating Soberano'!$K$2:$K$22),NA())</f>
        <v>8</v>
      </c>
      <c r="O126" s="52" t="e">
        <f>IFERROR(_xlfn.XLOOKUP(F126,'Agências de Rating Soberano'!$J$2:$J$22,'Agências de Rating Soberano'!$K$2:$K$22),NA())</f>
        <v>#N/A</v>
      </c>
      <c r="P126" s="52">
        <f>IFERROR(_xlfn.XLOOKUP(H126,'Agências de Rating Soberano'!$J$2:$J$22,'Agências de Rating Soberano'!$K$2:$K$22),NA())</f>
        <v>8</v>
      </c>
      <c r="Q126" s="52">
        <f>IFERROR(_xlfn.XLOOKUP(I126,'Agências de Rating Soberano'!$J$2:$J$22,'Agências de Rating Soberano'!$K$2:$K$22),NA())</f>
        <v>10</v>
      </c>
    </row>
    <row r="127" spans="1:17" x14ac:dyDescent="0.3">
      <c r="A127" s="53">
        <f t="shared" si="8"/>
        <v>35550</v>
      </c>
      <c r="B127" t="str">
        <f>IFERROR(_xlfn.XLOOKUP($A127,Planilha2!$A$2:$A$34,Planilha2!C$2:C$34,"",-1),"")</f>
        <v>B1</v>
      </c>
      <c r="C127" t="str">
        <f>IFERROR(_xlfn.XLOOKUP($A127,Planilha2!$A$2:$A$34,Planilha2!D$2:D$34,"",-1),"")</f>
        <v>-</v>
      </c>
      <c r="D127" t="str" cm="1">
        <f t="array" ref="D127">IF($A127&lt;MIN(Planilha2!$A$2:$A$34),"",_xlfn.LET(_xlpm.t,_xlfn.XLOOKUP($A127,Planilha2!$A$2:$A$34,Planilha2!$E$2:$E$34,"",-1),_xlfn.IFS(ISNUMBER(SEARCH("positiva",_xlpm.t)),"Positiva",ISNUMBER(SEARCH("negativa",_xlpm.t)),"Negativa",ISNUMBER(SEARCH("estável",_xlpm.t)),"Estável",TRUE,"n/d")))</f>
        <v>Estável</v>
      </c>
      <c r="E127" t="str">
        <f>IFERROR(_xlfn.XLOOKUP($A127,Planilha2!$J$2:$J$44,Planilha2!L$2:L$44,"",-1),"")</f>
        <v>B+</v>
      </c>
      <c r="F127" t="str">
        <f>IFERROR(_xlfn.XLOOKUP($A127,Planilha2!$J$2:$J$44,Planilha2!M$2:M$44,"",-1),"")</f>
        <v>-</v>
      </c>
      <c r="G127" t="str" cm="1">
        <f t="array" ref="G127">IF($A127&lt;MIN(Planilha2!$J$2:$J$44),"",_xlfn.LET(_xlpm.t,_xlfn.XLOOKUP($A127,Planilha2!$J$2:$J$44,Planilha2!$N$2:$N$44,"",-1),_xlfn.IFS(ISNUMBER(SEARCH("positiva",_xlpm.t)),"Positiva",ISNUMBER(SEARCH("negativa",_xlpm.t)),"Negativa",ISNUMBER(SEARCH("estável",_xlpm.t)),"Estável",TRUE,"n/d")))</f>
        <v>n/d</v>
      </c>
      <c r="H127" t="str">
        <f>IFERROR(_xlfn.XLOOKUP($A127,Planilha2!$P$2:$P$38,Planilha2!R$2:R$38,"",-1),"")</f>
        <v>BB-</v>
      </c>
      <c r="I127" t="str">
        <f>IFERROR(_xlfn.XLOOKUP($A127,Planilha2!$P$2:$P$38,Planilha2!S$2:S$38,"",-1),"")</f>
        <v>BB+</v>
      </c>
      <c r="J127" t="str" cm="1">
        <f t="array" ref="J127">IF($A127&lt;MIN(Planilha2!$P$2:$P$38),"",_xlfn.LET(_xlpm.t,_xlfn.XLOOKUP($A127,Planilha2!$P$2:$P$38,Planilha2!$T$2:$T$38,"",-1),_xlfn.IFS(ISNUMBER(SEARCH("positiva",_xlpm.t)),"Positiva",ISNUMBER(SEARCH("negativa",_xlpm.t)),"Negativa",ISNUMBER(SEARCH("estável",_xlpm.t)),"Estável",TRUE,"n/d")))</f>
        <v>Estável</v>
      </c>
      <c r="L127" s="52">
        <f>IFERROR(_xlfn.XLOOKUP(B127,'Agências de Rating Soberano'!$G$2:$G$22,'Agências de Rating Soberano'!$H$2:$H$22),NA())</f>
        <v>8</v>
      </c>
      <c r="M127" s="52" t="e">
        <f>IFERROR(_xlfn.XLOOKUP(C127,'Agências de Rating Soberano'!$G$2:$G$22,'Agências de Rating Soberano'!$H$2:$H$22),NA())</f>
        <v>#N/A</v>
      </c>
      <c r="N127" s="52">
        <f>IFERROR(_xlfn.XLOOKUP(E127,'Agências de Rating Soberano'!$J$2:$J$22,'Agências de Rating Soberano'!$K$2:$K$22),NA())</f>
        <v>8</v>
      </c>
      <c r="O127" s="52" t="e">
        <f>IFERROR(_xlfn.XLOOKUP(F127,'Agências de Rating Soberano'!$J$2:$J$22,'Agências de Rating Soberano'!$K$2:$K$22),NA())</f>
        <v>#N/A</v>
      </c>
      <c r="P127" s="52">
        <f>IFERROR(_xlfn.XLOOKUP(H127,'Agências de Rating Soberano'!$J$2:$J$22,'Agências de Rating Soberano'!$K$2:$K$22),NA())</f>
        <v>9</v>
      </c>
      <c r="Q127" s="52">
        <f>IFERROR(_xlfn.XLOOKUP(I127,'Agências de Rating Soberano'!$J$2:$J$22,'Agências de Rating Soberano'!$K$2:$K$22),NA())</f>
        <v>11</v>
      </c>
    </row>
    <row r="128" spans="1:17" x14ac:dyDescent="0.3">
      <c r="A128" s="53">
        <f t="shared" si="8"/>
        <v>35581</v>
      </c>
      <c r="B128" t="str">
        <f>IFERROR(_xlfn.XLOOKUP($A128,Planilha2!$A$2:$A$34,Planilha2!C$2:C$34,"",-1),"")</f>
        <v>B1</v>
      </c>
      <c r="C128" t="str">
        <f>IFERROR(_xlfn.XLOOKUP($A128,Planilha2!$A$2:$A$34,Planilha2!D$2:D$34,"",-1),"")</f>
        <v>-</v>
      </c>
      <c r="D128" t="str" cm="1">
        <f t="array" ref="D128">IF($A128&lt;MIN(Planilha2!$A$2:$A$34),"",_xlfn.LET(_xlpm.t,_xlfn.XLOOKUP($A128,Planilha2!$A$2:$A$34,Planilha2!$E$2:$E$34,"",-1),_xlfn.IFS(ISNUMBER(SEARCH("positiva",_xlpm.t)),"Positiva",ISNUMBER(SEARCH("negativa",_xlpm.t)),"Negativa",ISNUMBER(SEARCH("estável",_xlpm.t)),"Estável",TRUE,"n/d")))</f>
        <v>Estável</v>
      </c>
      <c r="E128" t="str">
        <f>IFERROR(_xlfn.XLOOKUP($A128,Planilha2!$J$2:$J$44,Planilha2!L$2:L$44,"",-1),"")</f>
        <v>B+</v>
      </c>
      <c r="F128" t="str">
        <f>IFERROR(_xlfn.XLOOKUP($A128,Planilha2!$J$2:$J$44,Planilha2!M$2:M$44,"",-1),"")</f>
        <v>-</v>
      </c>
      <c r="G128" t="str" cm="1">
        <f t="array" ref="G128">IF($A128&lt;MIN(Planilha2!$J$2:$J$44),"",_xlfn.LET(_xlpm.t,_xlfn.XLOOKUP($A128,Planilha2!$J$2:$J$44,Planilha2!$N$2:$N$44,"",-1),_xlfn.IFS(ISNUMBER(SEARCH("positiva",_xlpm.t)),"Positiva",ISNUMBER(SEARCH("negativa",_xlpm.t)),"Negativa",ISNUMBER(SEARCH("estável",_xlpm.t)),"Estável",TRUE,"n/d")))</f>
        <v>n/d</v>
      </c>
      <c r="H128" t="str">
        <f>IFERROR(_xlfn.XLOOKUP($A128,Planilha2!$P$2:$P$38,Planilha2!R$2:R$38,"",-1),"")</f>
        <v>BB-</v>
      </c>
      <c r="I128" t="str">
        <f>IFERROR(_xlfn.XLOOKUP($A128,Planilha2!$P$2:$P$38,Planilha2!S$2:S$38,"",-1),"")</f>
        <v>BB+</v>
      </c>
      <c r="J128" t="str" cm="1">
        <f t="array" ref="J128">IF($A128&lt;MIN(Planilha2!$P$2:$P$38),"",_xlfn.LET(_xlpm.t,_xlfn.XLOOKUP($A128,Planilha2!$P$2:$P$38,Planilha2!$T$2:$T$38,"",-1),_xlfn.IFS(ISNUMBER(SEARCH("positiva",_xlpm.t)),"Positiva",ISNUMBER(SEARCH("negativa",_xlpm.t)),"Negativa",ISNUMBER(SEARCH("estável",_xlpm.t)),"Estável",TRUE,"n/d")))</f>
        <v>Estável</v>
      </c>
      <c r="L128" s="52">
        <f>IFERROR(_xlfn.XLOOKUP(B128,'Agências de Rating Soberano'!$G$2:$G$22,'Agências de Rating Soberano'!$H$2:$H$22),NA())</f>
        <v>8</v>
      </c>
      <c r="M128" s="52" t="e">
        <f>IFERROR(_xlfn.XLOOKUP(C128,'Agências de Rating Soberano'!$G$2:$G$22,'Agências de Rating Soberano'!$H$2:$H$22),NA())</f>
        <v>#N/A</v>
      </c>
      <c r="N128" s="52">
        <f>IFERROR(_xlfn.XLOOKUP(E128,'Agências de Rating Soberano'!$J$2:$J$22,'Agências de Rating Soberano'!$K$2:$K$22),NA())</f>
        <v>8</v>
      </c>
      <c r="O128" s="52" t="e">
        <f>IFERROR(_xlfn.XLOOKUP(F128,'Agências de Rating Soberano'!$J$2:$J$22,'Agências de Rating Soberano'!$K$2:$K$22),NA())</f>
        <v>#N/A</v>
      </c>
      <c r="P128" s="52">
        <f>IFERROR(_xlfn.XLOOKUP(H128,'Agências de Rating Soberano'!$J$2:$J$22,'Agências de Rating Soberano'!$K$2:$K$22),NA())</f>
        <v>9</v>
      </c>
      <c r="Q128" s="52">
        <f>IFERROR(_xlfn.XLOOKUP(I128,'Agências de Rating Soberano'!$J$2:$J$22,'Agências de Rating Soberano'!$K$2:$K$22),NA())</f>
        <v>11</v>
      </c>
    </row>
    <row r="129" spans="1:17" x14ac:dyDescent="0.3">
      <c r="A129" s="53">
        <f t="shared" si="8"/>
        <v>35611</v>
      </c>
      <c r="B129" t="str">
        <f>IFERROR(_xlfn.XLOOKUP($A129,Planilha2!$A$2:$A$34,Planilha2!C$2:C$34,"",-1),"")</f>
        <v>B1</v>
      </c>
      <c r="C129" t="str">
        <f>IFERROR(_xlfn.XLOOKUP($A129,Planilha2!$A$2:$A$34,Planilha2!D$2:D$34,"",-1),"")</f>
        <v>-</v>
      </c>
      <c r="D129" t="str" cm="1">
        <f t="array" ref="D129">IF($A129&lt;MIN(Planilha2!$A$2:$A$34),"",_xlfn.LET(_xlpm.t,_xlfn.XLOOKUP($A129,Planilha2!$A$2:$A$34,Planilha2!$E$2:$E$34,"",-1),_xlfn.IFS(ISNUMBER(SEARCH("positiva",_xlpm.t)),"Positiva",ISNUMBER(SEARCH("negativa",_xlpm.t)),"Negativa",ISNUMBER(SEARCH("estável",_xlpm.t)),"Estável",TRUE,"n/d")))</f>
        <v>Estável</v>
      </c>
      <c r="E129" t="str">
        <f>IFERROR(_xlfn.XLOOKUP($A129,Planilha2!$J$2:$J$44,Planilha2!L$2:L$44,"",-1),"")</f>
        <v>B+</v>
      </c>
      <c r="F129" t="str">
        <f>IFERROR(_xlfn.XLOOKUP($A129,Planilha2!$J$2:$J$44,Planilha2!M$2:M$44,"",-1),"")</f>
        <v>-</v>
      </c>
      <c r="G129" t="str" cm="1">
        <f t="array" ref="G129">IF($A129&lt;MIN(Planilha2!$J$2:$J$44),"",_xlfn.LET(_xlpm.t,_xlfn.XLOOKUP($A129,Planilha2!$J$2:$J$44,Planilha2!$N$2:$N$44,"",-1),_xlfn.IFS(ISNUMBER(SEARCH("positiva",_xlpm.t)),"Positiva",ISNUMBER(SEARCH("negativa",_xlpm.t)),"Negativa",ISNUMBER(SEARCH("estável",_xlpm.t)),"Estável",TRUE,"n/d")))</f>
        <v>n/d</v>
      </c>
      <c r="H129" t="str">
        <f>IFERROR(_xlfn.XLOOKUP($A129,Planilha2!$P$2:$P$38,Planilha2!R$2:R$38,"",-1),"")</f>
        <v>BB-</v>
      </c>
      <c r="I129" t="str">
        <f>IFERROR(_xlfn.XLOOKUP($A129,Planilha2!$P$2:$P$38,Planilha2!S$2:S$38,"",-1),"")</f>
        <v>BB+</v>
      </c>
      <c r="J129" t="str" cm="1">
        <f t="array" ref="J129">IF($A129&lt;MIN(Planilha2!$P$2:$P$38),"",_xlfn.LET(_xlpm.t,_xlfn.XLOOKUP($A129,Planilha2!$P$2:$P$38,Planilha2!$T$2:$T$38,"",-1),_xlfn.IFS(ISNUMBER(SEARCH("positiva",_xlpm.t)),"Positiva",ISNUMBER(SEARCH("negativa",_xlpm.t)),"Negativa",ISNUMBER(SEARCH("estável",_xlpm.t)),"Estável",TRUE,"n/d")))</f>
        <v>Estável</v>
      </c>
      <c r="L129" s="52">
        <f>IFERROR(_xlfn.XLOOKUP(B129,'Agências de Rating Soberano'!$G$2:$G$22,'Agências de Rating Soberano'!$H$2:$H$22),NA())</f>
        <v>8</v>
      </c>
      <c r="M129" s="52" t="e">
        <f>IFERROR(_xlfn.XLOOKUP(C129,'Agências de Rating Soberano'!$G$2:$G$22,'Agências de Rating Soberano'!$H$2:$H$22),NA())</f>
        <v>#N/A</v>
      </c>
      <c r="N129" s="52">
        <f>IFERROR(_xlfn.XLOOKUP(E129,'Agências de Rating Soberano'!$J$2:$J$22,'Agências de Rating Soberano'!$K$2:$K$22),NA())</f>
        <v>8</v>
      </c>
      <c r="O129" s="52" t="e">
        <f>IFERROR(_xlfn.XLOOKUP(F129,'Agências de Rating Soberano'!$J$2:$J$22,'Agências de Rating Soberano'!$K$2:$K$22),NA())</f>
        <v>#N/A</v>
      </c>
      <c r="P129" s="52">
        <f>IFERROR(_xlfn.XLOOKUP(H129,'Agências de Rating Soberano'!$J$2:$J$22,'Agências de Rating Soberano'!$K$2:$K$22),NA())</f>
        <v>9</v>
      </c>
      <c r="Q129" s="52">
        <f>IFERROR(_xlfn.XLOOKUP(I129,'Agências de Rating Soberano'!$J$2:$J$22,'Agências de Rating Soberano'!$K$2:$K$22),NA())</f>
        <v>11</v>
      </c>
    </row>
    <row r="130" spans="1:17" x14ac:dyDescent="0.3">
      <c r="A130" s="53">
        <f t="shared" si="8"/>
        <v>35642</v>
      </c>
      <c r="B130" t="str">
        <f>IFERROR(_xlfn.XLOOKUP($A130,Planilha2!$A$2:$A$34,Planilha2!C$2:C$34,"",-1),"")</f>
        <v>B1</v>
      </c>
      <c r="C130" t="str">
        <f>IFERROR(_xlfn.XLOOKUP($A130,Planilha2!$A$2:$A$34,Planilha2!D$2:D$34,"",-1),"")</f>
        <v>-</v>
      </c>
      <c r="D130" t="str" cm="1">
        <f t="array" ref="D130">IF($A130&lt;MIN(Planilha2!$A$2:$A$34),"",_xlfn.LET(_xlpm.t,_xlfn.XLOOKUP($A130,Planilha2!$A$2:$A$34,Planilha2!$E$2:$E$34,"",-1),_xlfn.IFS(ISNUMBER(SEARCH("positiva",_xlpm.t)),"Positiva",ISNUMBER(SEARCH("negativa",_xlpm.t)),"Negativa",ISNUMBER(SEARCH("estável",_xlpm.t)),"Estável",TRUE,"n/d")))</f>
        <v>Estável</v>
      </c>
      <c r="E130" t="str">
        <f>IFERROR(_xlfn.XLOOKUP($A130,Planilha2!$J$2:$J$44,Planilha2!L$2:L$44,"",-1),"")</f>
        <v>B+</v>
      </c>
      <c r="F130" t="str">
        <f>IFERROR(_xlfn.XLOOKUP($A130,Planilha2!$J$2:$J$44,Planilha2!M$2:M$44,"",-1),"")</f>
        <v>-</v>
      </c>
      <c r="G130" t="str" cm="1">
        <f t="array" ref="G130">IF($A130&lt;MIN(Planilha2!$J$2:$J$44),"",_xlfn.LET(_xlpm.t,_xlfn.XLOOKUP($A130,Planilha2!$J$2:$J$44,Planilha2!$N$2:$N$44,"",-1),_xlfn.IFS(ISNUMBER(SEARCH("positiva",_xlpm.t)),"Positiva",ISNUMBER(SEARCH("negativa",_xlpm.t)),"Negativa",ISNUMBER(SEARCH("estável",_xlpm.t)),"Estável",TRUE,"n/d")))</f>
        <v>n/d</v>
      </c>
      <c r="H130" t="str">
        <f>IFERROR(_xlfn.XLOOKUP($A130,Planilha2!$P$2:$P$38,Planilha2!R$2:R$38,"",-1),"")</f>
        <v>BB-</v>
      </c>
      <c r="I130" t="str">
        <f>IFERROR(_xlfn.XLOOKUP($A130,Planilha2!$P$2:$P$38,Planilha2!S$2:S$38,"",-1),"")</f>
        <v>BB+</v>
      </c>
      <c r="J130" t="str" cm="1">
        <f t="array" ref="J130">IF($A130&lt;MIN(Planilha2!$P$2:$P$38),"",_xlfn.LET(_xlpm.t,_xlfn.XLOOKUP($A130,Planilha2!$P$2:$P$38,Planilha2!$T$2:$T$38,"",-1),_xlfn.IFS(ISNUMBER(SEARCH("positiva",_xlpm.t)),"Positiva",ISNUMBER(SEARCH("negativa",_xlpm.t)),"Negativa",ISNUMBER(SEARCH("estável",_xlpm.t)),"Estável",TRUE,"n/d")))</f>
        <v>Estável</v>
      </c>
      <c r="L130" s="52">
        <f>IFERROR(_xlfn.XLOOKUP(B130,'Agências de Rating Soberano'!$G$2:$G$22,'Agências de Rating Soberano'!$H$2:$H$22),NA())</f>
        <v>8</v>
      </c>
      <c r="M130" s="52" t="e">
        <f>IFERROR(_xlfn.XLOOKUP(C130,'Agências de Rating Soberano'!$G$2:$G$22,'Agências de Rating Soberano'!$H$2:$H$22),NA())</f>
        <v>#N/A</v>
      </c>
      <c r="N130" s="52">
        <f>IFERROR(_xlfn.XLOOKUP(E130,'Agências de Rating Soberano'!$J$2:$J$22,'Agências de Rating Soberano'!$K$2:$K$22),NA())</f>
        <v>8</v>
      </c>
      <c r="O130" s="52" t="e">
        <f>IFERROR(_xlfn.XLOOKUP(F130,'Agências de Rating Soberano'!$J$2:$J$22,'Agências de Rating Soberano'!$K$2:$K$22),NA())</f>
        <v>#N/A</v>
      </c>
      <c r="P130" s="52">
        <f>IFERROR(_xlfn.XLOOKUP(H130,'Agências de Rating Soberano'!$J$2:$J$22,'Agências de Rating Soberano'!$K$2:$K$22),NA())</f>
        <v>9</v>
      </c>
      <c r="Q130" s="52">
        <f>IFERROR(_xlfn.XLOOKUP(I130,'Agências de Rating Soberano'!$J$2:$J$22,'Agências de Rating Soberano'!$K$2:$K$22),NA())</f>
        <v>11</v>
      </c>
    </row>
    <row r="131" spans="1:17" x14ac:dyDescent="0.3">
      <c r="A131" s="53">
        <f t="shared" si="8"/>
        <v>35673</v>
      </c>
      <c r="B131" t="str">
        <f>IFERROR(_xlfn.XLOOKUP($A131,Planilha2!$A$2:$A$34,Planilha2!C$2:C$34,"",-1),"")</f>
        <v>B1</v>
      </c>
      <c r="C131" t="str">
        <f>IFERROR(_xlfn.XLOOKUP($A131,Planilha2!$A$2:$A$34,Planilha2!D$2:D$34,"",-1),"")</f>
        <v>-</v>
      </c>
      <c r="D131" t="str" cm="1">
        <f t="array" ref="D131">IF($A131&lt;MIN(Planilha2!$A$2:$A$34),"",_xlfn.LET(_xlpm.t,_xlfn.XLOOKUP($A131,Planilha2!$A$2:$A$34,Planilha2!$E$2:$E$34,"",-1),_xlfn.IFS(ISNUMBER(SEARCH("positiva",_xlpm.t)),"Positiva",ISNUMBER(SEARCH("negativa",_xlpm.t)),"Negativa",ISNUMBER(SEARCH("estável",_xlpm.t)),"Estável",TRUE,"n/d")))</f>
        <v>Estável</v>
      </c>
      <c r="E131" t="str">
        <f>IFERROR(_xlfn.XLOOKUP($A131,Planilha2!$J$2:$J$44,Planilha2!L$2:L$44,"",-1),"")</f>
        <v>B+</v>
      </c>
      <c r="F131" t="str">
        <f>IFERROR(_xlfn.XLOOKUP($A131,Planilha2!$J$2:$J$44,Planilha2!M$2:M$44,"",-1),"")</f>
        <v>-</v>
      </c>
      <c r="G131" t="str" cm="1">
        <f t="array" ref="G131">IF($A131&lt;MIN(Planilha2!$J$2:$J$44),"",_xlfn.LET(_xlpm.t,_xlfn.XLOOKUP($A131,Planilha2!$J$2:$J$44,Planilha2!$N$2:$N$44,"",-1),_xlfn.IFS(ISNUMBER(SEARCH("positiva",_xlpm.t)),"Positiva",ISNUMBER(SEARCH("negativa",_xlpm.t)),"Negativa",ISNUMBER(SEARCH("estável",_xlpm.t)),"Estável",TRUE,"n/d")))</f>
        <v>n/d</v>
      </c>
      <c r="H131" t="str">
        <f>IFERROR(_xlfn.XLOOKUP($A131,Planilha2!$P$2:$P$38,Planilha2!R$2:R$38,"",-1),"")</f>
        <v>BB-</v>
      </c>
      <c r="I131" t="str">
        <f>IFERROR(_xlfn.XLOOKUP($A131,Planilha2!$P$2:$P$38,Planilha2!S$2:S$38,"",-1),"")</f>
        <v>BB+</v>
      </c>
      <c r="J131" t="str" cm="1">
        <f t="array" ref="J131">IF($A131&lt;MIN(Planilha2!$P$2:$P$38),"",_xlfn.LET(_xlpm.t,_xlfn.XLOOKUP($A131,Planilha2!$P$2:$P$38,Planilha2!$T$2:$T$38,"",-1),_xlfn.IFS(ISNUMBER(SEARCH("positiva",_xlpm.t)),"Positiva",ISNUMBER(SEARCH("negativa",_xlpm.t)),"Negativa",ISNUMBER(SEARCH("estável",_xlpm.t)),"Estável",TRUE,"n/d")))</f>
        <v>Estável</v>
      </c>
      <c r="L131" s="52">
        <f>IFERROR(_xlfn.XLOOKUP(B131,'Agências de Rating Soberano'!$G$2:$G$22,'Agências de Rating Soberano'!$H$2:$H$22),NA())</f>
        <v>8</v>
      </c>
      <c r="M131" s="52" t="e">
        <f>IFERROR(_xlfn.XLOOKUP(C131,'Agências de Rating Soberano'!$G$2:$G$22,'Agências de Rating Soberano'!$H$2:$H$22),NA())</f>
        <v>#N/A</v>
      </c>
      <c r="N131" s="52">
        <f>IFERROR(_xlfn.XLOOKUP(E131,'Agências de Rating Soberano'!$J$2:$J$22,'Agências de Rating Soberano'!$K$2:$K$22),NA())</f>
        <v>8</v>
      </c>
      <c r="O131" s="52" t="e">
        <f>IFERROR(_xlfn.XLOOKUP(F131,'Agências de Rating Soberano'!$J$2:$J$22,'Agências de Rating Soberano'!$K$2:$K$22),NA())</f>
        <v>#N/A</v>
      </c>
      <c r="P131" s="52">
        <f>IFERROR(_xlfn.XLOOKUP(H131,'Agências de Rating Soberano'!$J$2:$J$22,'Agências de Rating Soberano'!$K$2:$K$22),NA())</f>
        <v>9</v>
      </c>
      <c r="Q131" s="52">
        <f>IFERROR(_xlfn.XLOOKUP(I131,'Agências de Rating Soberano'!$J$2:$J$22,'Agências de Rating Soberano'!$K$2:$K$22),NA())</f>
        <v>11</v>
      </c>
    </row>
    <row r="132" spans="1:17" x14ac:dyDescent="0.3">
      <c r="A132" s="53">
        <f t="shared" ref="A132:A195" si="9">EOMONTH(A131,1)</f>
        <v>35703</v>
      </c>
      <c r="B132" t="str">
        <f>IFERROR(_xlfn.XLOOKUP($A132,Planilha2!$A$2:$A$34,Planilha2!C$2:C$34,"",-1),"")</f>
        <v>B1</v>
      </c>
      <c r="C132" t="str">
        <f>IFERROR(_xlfn.XLOOKUP($A132,Planilha2!$A$2:$A$34,Planilha2!D$2:D$34,"",-1),"")</f>
        <v>-</v>
      </c>
      <c r="D132" t="str" cm="1">
        <f t="array" ref="D132">IF($A132&lt;MIN(Planilha2!$A$2:$A$34),"",_xlfn.LET(_xlpm.t,_xlfn.XLOOKUP($A132,Planilha2!$A$2:$A$34,Planilha2!$E$2:$E$34,"",-1),_xlfn.IFS(ISNUMBER(SEARCH("positiva",_xlpm.t)),"Positiva",ISNUMBER(SEARCH("negativa",_xlpm.t)),"Negativa",ISNUMBER(SEARCH("estável",_xlpm.t)),"Estável",TRUE,"n/d")))</f>
        <v>Estável</v>
      </c>
      <c r="E132" t="str">
        <f>IFERROR(_xlfn.XLOOKUP($A132,Planilha2!$J$2:$J$44,Planilha2!L$2:L$44,"",-1),"")</f>
        <v>B+</v>
      </c>
      <c r="F132" t="str">
        <f>IFERROR(_xlfn.XLOOKUP($A132,Planilha2!$J$2:$J$44,Planilha2!M$2:M$44,"",-1),"")</f>
        <v>-</v>
      </c>
      <c r="G132" t="str" cm="1">
        <f t="array" ref="G132">IF($A132&lt;MIN(Planilha2!$J$2:$J$44),"",_xlfn.LET(_xlpm.t,_xlfn.XLOOKUP($A132,Planilha2!$J$2:$J$44,Planilha2!$N$2:$N$44,"",-1),_xlfn.IFS(ISNUMBER(SEARCH("positiva",_xlpm.t)),"Positiva",ISNUMBER(SEARCH("negativa",_xlpm.t)),"Negativa",ISNUMBER(SEARCH("estável",_xlpm.t)),"Estável",TRUE,"n/d")))</f>
        <v>n/d</v>
      </c>
      <c r="H132" t="str">
        <f>IFERROR(_xlfn.XLOOKUP($A132,Planilha2!$P$2:$P$38,Planilha2!R$2:R$38,"",-1),"")</f>
        <v>BB-</v>
      </c>
      <c r="I132" t="str">
        <f>IFERROR(_xlfn.XLOOKUP($A132,Planilha2!$P$2:$P$38,Planilha2!S$2:S$38,"",-1),"")</f>
        <v>BB+</v>
      </c>
      <c r="J132" t="str" cm="1">
        <f t="array" ref="J132">IF($A132&lt;MIN(Planilha2!$P$2:$P$38),"",_xlfn.LET(_xlpm.t,_xlfn.XLOOKUP($A132,Planilha2!$P$2:$P$38,Planilha2!$T$2:$T$38,"",-1),_xlfn.IFS(ISNUMBER(SEARCH("positiva",_xlpm.t)),"Positiva",ISNUMBER(SEARCH("negativa",_xlpm.t)),"Negativa",ISNUMBER(SEARCH("estável",_xlpm.t)),"Estável",TRUE,"n/d")))</f>
        <v>Estável</v>
      </c>
      <c r="L132" s="52">
        <f>IFERROR(_xlfn.XLOOKUP(B132,'Agências de Rating Soberano'!$G$2:$G$22,'Agências de Rating Soberano'!$H$2:$H$22),NA())</f>
        <v>8</v>
      </c>
      <c r="M132" s="52" t="e">
        <f>IFERROR(_xlfn.XLOOKUP(C132,'Agências de Rating Soberano'!$G$2:$G$22,'Agências de Rating Soberano'!$H$2:$H$22),NA())</f>
        <v>#N/A</v>
      </c>
      <c r="N132" s="52">
        <f>IFERROR(_xlfn.XLOOKUP(E132,'Agências de Rating Soberano'!$J$2:$J$22,'Agências de Rating Soberano'!$K$2:$K$22),NA())</f>
        <v>8</v>
      </c>
      <c r="O132" s="52" t="e">
        <f>IFERROR(_xlfn.XLOOKUP(F132,'Agências de Rating Soberano'!$J$2:$J$22,'Agências de Rating Soberano'!$K$2:$K$22),NA())</f>
        <v>#N/A</v>
      </c>
      <c r="P132" s="52">
        <f>IFERROR(_xlfn.XLOOKUP(H132,'Agências de Rating Soberano'!$J$2:$J$22,'Agências de Rating Soberano'!$K$2:$K$22),NA())</f>
        <v>9</v>
      </c>
      <c r="Q132" s="52">
        <f>IFERROR(_xlfn.XLOOKUP(I132,'Agências de Rating Soberano'!$J$2:$J$22,'Agências de Rating Soberano'!$K$2:$K$22),NA())</f>
        <v>11</v>
      </c>
    </row>
    <row r="133" spans="1:17" x14ac:dyDescent="0.3">
      <c r="A133" s="53">
        <f t="shared" si="9"/>
        <v>35734</v>
      </c>
      <c r="B133" t="str">
        <f>IFERROR(_xlfn.XLOOKUP($A133,Planilha2!$A$2:$A$34,Planilha2!C$2:C$34,"",-1),"")</f>
        <v>B1</v>
      </c>
      <c r="C133" t="str">
        <f>IFERROR(_xlfn.XLOOKUP($A133,Planilha2!$A$2:$A$34,Planilha2!D$2:D$34,"",-1),"")</f>
        <v>-</v>
      </c>
      <c r="D133" t="str" cm="1">
        <f t="array" ref="D133">IF($A133&lt;MIN(Planilha2!$A$2:$A$34),"",_xlfn.LET(_xlpm.t,_xlfn.XLOOKUP($A133,Planilha2!$A$2:$A$34,Planilha2!$E$2:$E$34,"",-1),_xlfn.IFS(ISNUMBER(SEARCH("positiva",_xlpm.t)),"Positiva",ISNUMBER(SEARCH("negativa",_xlpm.t)),"Negativa",ISNUMBER(SEARCH("estável",_xlpm.t)),"Estável",TRUE,"n/d")))</f>
        <v>Estável</v>
      </c>
      <c r="E133" t="str">
        <f>IFERROR(_xlfn.XLOOKUP($A133,Planilha2!$J$2:$J$44,Planilha2!L$2:L$44,"",-1),"")</f>
        <v>B+</v>
      </c>
      <c r="F133" t="str">
        <f>IFERROR(_xlfn.XLOOKUP($A133,Planilha2!$J$2:$J$44,Planilha2!M$2:M$44,"",-1),"")</f>
        <v>-</v>
      </c>
      <c r="G133" t="str" cm="1">
        <f t="array" ref="G133">IF($A133&lt;MIN(Planilha2!$J$2:$J$44),"",_xlfn.LET(_xlpm.t,_xlfn.XLOOKUP($A133,Planilha2!$J$2:$J$44,Planilha2!$N$2:$N$44,"",-1),_xlfn.IFS(ISNUMBER(SEARCH("positiva",_xlpm.t)),"Positiva",ISNUMBER(SEARCH("negativa",_xlpm.t)),"Negativa",ISNUMBER(SEARCH("estável",_xlpm.t)),"Estável",TRUE,"n/d")))</f>
        <v>n/d</v>
      </c>
      <c r="H133" t="str">
        <f>IFERROR(_xlfn.XLOOKUP($A133,Planilha2!$P$2:$P$38,Planilha2!R$2:R$38,"",-1),"")</f>
        <v>BB-</v>
      </c>
      <c r="I133" t="str">
        <f>IFERROR(_xlfn.XLOOKUP($A133,Planilha2!$P$2:$P$38,Planilha2!S$2:S$38,"",-1),"")</f>
        <v>BB+</v>
      </c>
      <c r="J133" t="str" cm="1">
        <f t="array" ref="J133">IF($A133&lt;MIN(Planilha2!$P$2:$P$38),"",_xlfn.LET(_xlpm.t,_xlfn.XLOOKUP($A133,Planilha2!$P$2:$P$38,Planilha2!$T$2:$T$38,"",-1),_xlfn.IFS(ISNUMBER(SEARCH("positiva",_xlpm.t)),"Positiva",ISNUMBER(SEARCH("negativa",_xlpm.t)),"Negativa",ISNUMBER(SEARCH("estável",_xlpm.t)),"Estável",TRUE,"n/d")))</f>
        <v>Estável</v>
      </c>
      <c r="L133" s="52">
        <f>IFERROR(_xlfn.XLOOKUP(B133,'Agências de Rating Soberano'!$G$2:$G$22,'Agências de Rating Soberano'!$H$2:$H$22),NA())</f>
        <v>8</v>
      </c>
      <c r="M133" s="52" t="e">
        <f>IFERROR(_xlfn.XLOOKUP(C133,'Agências de Rating Soberano'!$G$2:$G$22,'Agências de Rating Soberano'!$H$2:$H$22),NA())</f>
        <v>#N/A</v>
      </c>
      <c r="N133" s="52">
        <f>IFERROR(_xlfn.XLOOKUP(E133,'Agências de Rating Soberano'!$J$2:$J$22,'Agências de Rating Soberano'!$K$2:$K$22),NA())</f>
        <v>8</v>
      </c>
      <c r="O133" s="52" t="e">
        <f>IFERROR(_xlfn.XLOOKUP(F133,'Agências de Rating Soberano'!$J$2:$J$22,'Agências de Rating Soberano'!$K$2:$K$22),NA())</f>
        <v>#N/A</v>
      </c>
      <c r="P133" s="52">
        <f>IFERROR(_xlfn.XLOOKUP(H133,'Agências de Rating Soberano'!$J$2:$J$22,'Agências de Rating Soberano'!$K$2:$K$22),NA())</f>
        <v>9</v>
      </c>
      <c r="Q133" s="52">
        <f>IFERROR(_xlfn.XLOOKUP(I133,'Agências de Rating Soberano'!$J$2:$J$22,'Agências de Rating Soberano'!$K$2:$K$22),NA())</f>
        <v>11</v>
      </c>
    </row>
    <row r="134" spans="1:17" x14ac:dyDescent="0.3">
      <c r="A134" s="53">
        <f t="shared" si="9"/>
        <v>35764</v>
      </c>
      <c r="B134" t="str">
        <f>IFERROR(_xlfn.XLOOKUP($A134,Planilha2!$A$2:$A$34,Planilha2!C$2:C$34,"",-1),"")</f>
        <v>B1</v>
      </c>
      <c r="C134" t="str">
        <f>IFERROR(_xlfn.XLOOKUP($A134,Planilha2!$A$2:$A$34,Planilha2!D$2:D$34,"",-1),"")</f>
        <v>-</v>
      </c>
      <c r="D134" t="str" cm="1">
        <f t="array" ref="D134">IF($A134&lt;MIN(Planilha2!$A$2:$A$34),"",_xlfn.LET(_xlpm.t,_xlfn.XLOOKUP($A134,Planilha2!$A$2:$A$34,Planilha2!$E$2:$E$34,"",-1),_xlfn.IFS(ISNUMBER(SEARCH("positiva",_xlpm.t)),"Positiva",ISNUMBER(SEARCH("negativa",_xlpm.t)),"Negativa",ISNUMBER(SEARCH("estável",_xlpm.t)),"Estável",TRUE,"n/d")))</f>
        <v>Estável</v>
      </c>
      <c r="E134" t="str">
        <f>IFERROR(_xlfn.XLOOKUP($A134,Planilha2!$J$2:$J$44,Planilha2!L$2:L$44,"",-1),"")</f>
        <v>B+</v>
      </c>
      <c r="F134" t="str">
        <f>IFERROR(_xlfn.XLOOKUP($A134,Planilha2!$J$2:$J$44,Planilha2!M$2:M$44,"",-1),"")</f>
        <v>-</v>
      </c>
      <c r="G134" t="str" cm="1">
        <f t="array" ref="G134">IF($A134&lt;MIN(Planilha2!$J$2:$J$44),"",_xlfn.LET(_xlpm.t,_xlfn.XLOOKUP($A134,Planilha2!$J$2:$J$44,Planilha2!$N$2:$N$44,"",-1),_xlfn.IFS(ISNUMBER(SEARCH("positiva",_xlpm.t)),"Positiva",ISNUMBER(SEARCH("negativa",_xlpm.t)),"Negativa",ISNUMBER(SEARCH("estável",_xlpm.t)),"Estável",TRUE,"n/d")))</f>
        <v>n/d</v>
      </c>
      <c r="H134" t="str">
        <f>IFERROR(_xlfn.XLOOKUP($A134,Planilha2!$P$2:$P$38,Planilha2!R$2:R$38,"",-1),"")</f>
        <v>BB-</v>
      </c>
      <c r="I134" t="str">
        <f>IFERROR(_xlfn.XLOOKUP($A134,Planilha2!$P$2:$P$38,Planilha2!S$2:S$38,"",-1),"")</f>
        <v>BB+</v>
      </c>
      <c r="J134" t="str" cm="1">
        <f t="array" ref="J134">IF($A134&lt;MIN(Planilha2!$P$2:$P$38),"",_xlfn.LET(_xlpm.t,_xlfn.XLOOKUP($A134,Planilha2!$P$2:$P$38,Planilha2!$T$2:$T$38,"",-1),_xlfn.IFS(ISNUMBER(SEARCH("positiva",_xlpm.t)),"Positiva",ISNUMBER(SEARCH("negativa",_xlpm.t)),"Negativa",ISNUMBER(SEARCH("estável",_xlpm.t)),"Estável",TRUE,"n/d")))</f>
        <v>Estável</v>
      </c>
      <c r="L134" s="52">
        <f>IFERROR(_xlfn.XLOOKUP(B134,'Agências de Rating Soberano'!$G$2:$G$22,'Agências de Rating Soberano'!$H$2:$H$22),NA())</f>
        <v>8</v>
      </c>
      <c r="M134" s="52" t="e">
        <f>IFERROR(_xlfn.XLOOKUP(C134,'Agências de Rating Soberano'!$G$2:$G$22,'Agências de Rating Soberano'!$H$2:$H$22),NA())</f>
        <v>#N/A</v>
      </c>
      <c r="N134" s="52">
        <f>IFERROR(_xlfn.XLOOKUP(E134,'Agências de Rating Soberano'!$J$2:$J$22,'Agências de Rating Soberano'!$K$2:$K$22),NA())</f>
        <v>8</v>
      </c>
      <c r="O134" s="52" t="e">
        <f>IFERROR(_xlfn.XLOOKUP(F134,'Agências de Rating Soberano'!$J$2:$J$22,'Agências de Rating Soberano'!$K$2:$K$22),NA())</f>
        <v>#N/A</v>
      </c>
      <c r="P134" s="52">
        <f>IFERROR(_xlfn.XLOOKUP(H134,'Agências de Rating Soberano'!$J$2:$J$22,'Agências de Rating Soberano'!$K$2:$K$22),NA())</f>
        <v>9</v>
      </c>
      <c r="Q134" s="52">
        <f>IFERROR(_xlfn.XLOOKUP(I134,'Agências de Rating Soberano'!$J$2:$J$22,'Agências de Rating Soberano'!$K$2:$K$22),NA())</f>
        <v>11</v>
      </c>
    </row>
    <row r="135" spans="1:17" x14ac:dyDescent="0.3">
      <c r="A135" s="53">
        <f t="shared" si="9"/>
        <v>35795</v>
      </c>
      <c r="B135" t="str">
        <f>IFERROR(_xlfn.XLOOKUP($A135,Planilha2!$A$2:$A$34,Planilha2!C$2:C$34,"",-1),"")</f>
        <v>B1</v>
      </c>
      <c r="C135" t="str">
        <f>IFERROR(_xlfn.XLOOKUP($A135,Planilha2!$A$2:$A$34,Planilha2!D$2:D$34,"",-1),"")</f>
        <v>-</v>
      </c>
      <c r="D135" t="str" cm="1">
        <f t="array" ref="D135">IF($A135&lt;MIN(Planilha2!$A$2:$A$34),"",_xlfn.LET(_xlpm.t,_xlfn.XLOOKUP($A135,Planilha2!$A$2:$A$34,Planilha2!$E$2:$E$34,"",-1),_xlfn.IFS(ISNUMBER(SEARCH("positiva",_xlpm.t)),"Positiva",ISNUMBER(SEARCH("negativa",_xlpm.t)),"Negativa",ISNUMBER(SEARCH("estável",_xlpm.t)),"Estável",TRUE,"n/d")))</f>
        <v>Estável</v>
      </c>
      <c r="E135" t="str">
        <f>IFERROR(_xlfn.XLOOKUP($A135,Planilha2!$J$2:$J$44,Planilha2!L$2:L$44,"",-1),"")</f>
        <v>B+</v>
      </c>
      <c r="F135" t="str">
        <f>IFERROR(_xlfn.XLOOKUP($A135,Planilha2!$J$2:$J$44,Planilha2!M$2:M$44,"",-1),"")</f>
        <v>-</v>
      </c>
      <c r="G135" t="str" cm="1">
        <f t="array" ref="G135">IF($A135&lt;MIN(Planilha2!$J$2:$J$44),"",_xlfn.LET(_xlpm.t,_xlfn.XLOOKUP($A135,Planilha2!$J$2:$J$44,Planilha2!$N$2:$N$44,"",-1),_xlfn.IFS(ISNUMBER(SEARCH("positiva",_xlpm.t)),"Positiva",ISNUMBER(SEARCH("negativa",_xlpm.t)),"Negativa",ISNUMBER(SEARCH("estável",_xlpm.t)),"Estável",TRUE,"n/d")))</f>
        <v>n/d</v>
      </c>
      <c r="H135" t="str">
        <f>IFERROR(_xlfn.XLOOKUP($A135,Planilha2!$P$2:$P$38,Planilha2!R$2:R$38,"",-1),"")</f>
        <v>BB-</v>
      </c>
      <c r="I135" t="str">
        <f>IFERROR(_xlfn.XLOOKUP($A135,Planilha2!$P$2:$P$38,Planilha2!S$2:S$38,"",-1),"")</f>
        <v>BB+</v>
      </c>
      <c r="J135" t="str" cm="1">
        <f t="array" ref="J135">IF($A135&lt;MIN(Planilha2!$P$2:$P$38),"",_xlfn.LET(_xlpm.t,_xlfn.XLOOKUP($A135,Planilha2!$P$2:$P$38,Planilha2!$T$2:$T$38,"",-1),_xlfn.IFS(ISNUMBER(SEARCH("positiva",_xlpm.t)),"Positiva",ISNUMBER(SEARCH("negativa",_xlpm.t)),"Negativa",ISNUMBER(SEARCH("estável",_xlpm.t)),"Estável",TRUE,"n/d")))</f>
        <v>Estável</v>
      </c>
      <c r="L135" s="52">
        <f>IFERROR(_xlfn.XLOOKUP(B135,'Agências de Rating Soberano'!$G$2:$G$22,'Agências de Rating Soberano'!$H$2:$H$22),NA())</f>
        <v>8</v>
      </c>
      <c r="M135" s="52" t="e">
        <f>IFERROR(_xlfn.XLOOKUP(C135,'Agências de Rating Soberano'!$G$2:$G$22,'Agências de Rating Soberano'!$H$2:$H$22),NA())</f>
        <v>#N/A</v>
      </c>
      <c r="N135" s="52">
        <f>IFERROR(_xlfn.XLOOKUP(E135,'Agências de Rating Soberano'!$J$2:$J$22,'Agências de Rating Soberano'!$K$2:$K$22),NA())</f>
        <v>8</v>
      </c>
      <c r="O135" s="52" t="e">
        <f>IFERROR(_xlfn.XLOOKUP(F135,'Agências de Rating Soberano'!$J$2:$J$22,'Agências de Rating Soberano'!$K$2:$K$22),NA())</f>
        <v>#N/A</v>
      </c>
      <c r="P135" s="52">
        <f>IFERROR(_xlfn.XLOOKUP(H135,'Agências de Rating Soberano'!$J$2:$J$22,'Agências de Rating Soberano'!$K$2:$K$22),NA())</f>
        <v>9</v>
      </c>
      <c r="Q135" s="52">
        <f>IFERROR(_xlfn.XLOOKUP(I135,'Agências de Rating Soberano'!$J$2:$J$22,'Agências de Rating Soberano'!$K$2:$K$22),NA())</f>
        <v>11</v>
      </c>
    </row>
    <row r="136" spans="1:17" x14ac:dyDescent="0.3">
      <c r="A136" s="53">
        <f t="shared" si="9"/>
        <v>35826</v>
      </c>
      <c r="B136" t="str">
        <f>IFERROR(_xlfn.XLOOKUP($A136,Planilha2!$A$2:$A$34,Planilha2!C$2:C$34,"",-1),"")</f>
        <v>B1</v>
      </c>
      <c r="C136" t="str">
        <f>IFERROR(_xlfn.XLOOKUP($A136,Planilha2!$A$2:$A$34,Planilha2!D$2:D$34,"",-1),"")</f>
        <v>-</v>
      </c>
      <c r="D136" t="str" cm="1">
        <f t="array" ref="D136">IF($A136&lt;MIN(Planilha2!$A$2:$A$34),"",_xlfn.LET(_xlpm.t,_xlfn.XLOOKUP($A136,Planilha2!$A$2:$A$34,Planilha2!$E$2:$E$34,"",-1),_xlfn.IFS(ISNUMBER(SEARCH("positiva",_xlpm.t)),"Positiva",ISNUMBER(SEARCH("negativa",_xlpm.t)),"Negativa",ISNUMBER(SEARCH("estável",_xlpm.t)),"Estável",TRUE,"n/d")))</f>
        <v>Estável</v>
      </c>
      <c r="E136" t="str">
        <f>IFERROR(_xlfn.XLOOKUP($A136,Planilha2!$J$2:$J$44,Planilha2!L$2:L$44,"",-1),"")</f>
        <v>B+</v>
      </c>
      <c r="F136" t="str">
        <f>IFERROR(_xlfn.XLOOKUP($A136,Planilha2!$J$2:$J$44,Planilha2!M$2:M$44,"",-1),"")</f>
        <v>-</v>
      </c>
      <c r="G136" t="str" cm="1">
        <f t="array" ref="G136">IF($A136&lt;MIN(Planilha2!$J$2:$J$44),"",_xlfn.LET(_xlpm.t,_xlfn.XLOOKUP($A136,Planilha2!$J$2:$J$44,Planilha2!$N$2:$N$44,"",-1),_xlfn.IFS(ISNUMBER(SEARCH("positiva",_xlpm.t)),"Positiva",ISNUMBER(SEARCH("negativa",_xlpm.t)),"Negativa",ISNUMBER(SEARCH("estável",_xlpm.t)),"Estável",TRUE,"n/d")))</f>
        <v>n/d</v>
      </c>
      <c r="H136" t="str">
        <f>IFERROR(_xlfn.XLOOKUP($A136,Planilha2!$P$2:$P$38,Planilha2!R$2:R$38,"",-1),"")</f>
        <v>BB-</v>
      </c>
      <c r="I136" t="str">
        <f>IFERROR(_xlfn.XLOOKUP($A136,Planilha2!$P$2:$P$38,Planilha2!S$2:S$38,"",-1),"")</f>
        <v>BB+</v>
      </c>
      <c r="J136" t="str" cm="1">
        <f t="array" ref="J136">IF($A136&lt;MIN(Planilha2!$P$2:$P$38),"",_xlfn.LET(_xlpm.t,_xlfn.XLOOKUP($A136,Planilha2!$P$2:$P$38,Planilha2!$T$2:$T$38,"",-1),_xlfn.IFS(ISNUMBER(SEARCH("positiva",_xlpm.t)),"Positiva",ISNUMBER(SEARCH("negativa",_xlpm.t)),"Negativa",ISNUMBER(SEARCH("estável",_xlpm.t)),"Estável",TRUE,"n/d")))</f>
        <v>Estável</v>
      </c>
      <c r="L136" s="52">
        <f>IFERROR(_xlfn.XLOOKUP(B136,'Agências de Rating Soberano'!$G$2:$G$22,'Agências de Rating Soberano'!$H$2:$H$22),NA())</f>
        <v>8</v>
      </c>
      <c r="M136" s="52" t="e">
        <f>IFERROR(_xlfn.XLOOKUP(C136,'Agências de Rating Soberano'!$G$2:$G$22,'Agências de Rating Soberano'!$H$2:$H$22),NA())</f>
        <v>#N/A</v>
      </c>
      <c r="N136" s="52">
        <f>IFERROR(_xlfn.XLOOKUP(E136,'Agências de Rating Soberano'!$J$2:$J$22,'Agências de Rating Soberano'!$K$2:$K$22),NA())</f>
        <v>8</v>
      </c>
      <c r="O136" s="52" t="e">
        <f>IFERROR(_xlfn.XLOOKUP(F136,'Agências de Rating Soberano'!$J$2:$J$22,'Agências de Rating Soberano'!$K$2:$K$22),NA())</f>
        <v>#N/A</v>
      </c>
      <c r="P136" s="52">
        <f>IFERROR(_xlfn.XLOOKUP(H136,'Agências de Rating Soberano'!$J$2:$J$22,'Agências de Rating Soberano'!$K$2:$K$22),NA())</f>
        <v>9</v>
      </c>
      <c r="Q136" s="52">
        <f>IFERROR(_xlfn.XLOOKUP(I136,'Agências de Rating Soberano'!$J$2:$J$22,'Agências de Rating Soberano'!$K$2:$K$22),NA())</f>
        <v>11</v>
      </c>
    </row>
    <row r="137" spans="1:17" x14ac:dyDescent="0.3">
      <c r="A137" s="53">
        <f t="shared" si="9"/>
        <v>35854</v>
      </c>
      <c r="B137" t="str">
        <f>IFERROR(_xlfn.XLOOKUP($A137,Planilha2!$A$2:$A$34,Planilha2!C$2:C$34,"",-1),"")</f>
        <v>B1</v>
      </c>
      <c r="C137" t="str">
        <f>IFERROR(_xlfn.XLOOKUP($A137,Planilha2!$A$2:$A$34,Planilha2!D$2:D$34,"",-1),"")</f>
        <v>-</v>
      </c>
      <c r="D137" t="str" cm="1">
        <f t="array" ref="D137">IF($A137&lt;MIN(Planilha2!$A$2:$A$34),"",_xlfn.LET(_xlpm.t,_xlfn.XLOOKUP($A137,Planilha2!$A$2:$A$34,Planilha2!$E$2:$E$34,"",-1),_xlfn.IFS(ISNUMBER(SEARCH("positiva",_xlpm.t)),"Positiva",ISNUMBER(SEARCH("negativa",_xlpm.t)),"Negativa",ISNUMBER(SEARCH("estável",_xlpm.t)),"Estável",TRUE,"n/d")))</f>
        <v>Estável</v>
      </c>
      <c r="E137" t="str">
        <f>IFERROR(_xlfn.XLOOKUP($A137,Planilha2!$J$2:$J$44,Planilha2!L$2:L$44,"",-1),"")</f>
        <v>B+</v>
      </c>
      <c r="F137" t="str">
        <f>IFERROR(_xlfn.XLOOKUP($A137,Planilha2!$J$2:$J$44,Planilha2!M$2:M$44,"",-1),"")</f>
        <v>-</v>
      </c>
      <c r="G137" t="str" cm="1">
        <f t="array" ref="G137">IF($A137&lt;MIN(Planilha2!$J$2:$J$44),"",_xlfn.LET(_xlpm.t,_xlfn.XLOOKUP($A137,Planilha2!$J$2:$J$44,Planilha2!$N$2:$N$44,"",-1),_xlfn.IFS(ISNUMBER(SEARCH("positiva",_xlpm.t)),"Positiva",ISNUMBER(SEARCH("negativa",_xlpm.t)),"Negativa",ISNUMBER(SEARCH("estável",_xlpm.t)),"Estável",TRUE,"n/d")))</f>
        <v>n/d</v>
      </c>
      <c r="H137" t="str">
        <f>IFERROR(_xlfn.XLOOKUP($A137,Planilha2!$P$2:$P$38,Planilha2!R$2:R$38,"",-1),"")</f>
        <v>BB-</v>
      </c>
      <c r="I137" t="str">
        <f>IFERROR(_xlfn.XLOOKUP($A137,Planilha2!$P$2:$P$38,Planilha2!S$2:S$38,"",-1),"")</f>
        <v>BB+</v>
      </c>
      <c r="J137" t="str" cm="1">
        <f t="array" ref="J137">IF($A137&lt;MIN(Planilha2!$P$2:$P$38),"",_xlfn.LET(_xlpm.t,_xlfn.XLOOKUP($A137,Planilha2!$P$2:$P$38,Planilha2!$T$2:$T$38,"",-1),_xlfn.IFS(ISNUMBER(SEARCH("positiva",_xlpm.t)),"Positiva",ISNUMBER(SEARCH("negativa",_xlpm.t)),"Negativa",ISNUMBER(SEARCH("estável",_xlpm.t)),"Estável",TRUE,"n/d")))</f>
        <v>Estável</v>
      </c>
      <c r="L137" s="52">
        <f>IFERROR(_xlfn.XLOOKUP(B137,'Agências de Rating Soberano'!$G$2:$G$22,'Agências de Rating Soberano'!$H$2:$H$22),NA())</f>
        <v>8</v>
      </c>
      <c r="M137" s="52" t="e">
        <f>IFERROR(_xlfn.XLOOKUP(C137,'Agências de Rating Soberano'!$G$2:$G$22,'Agências de Rating Soberano'!$H$2:$H$22),NA())</f>
        <v>#N/A</v>
      </c>
      <c r="N137" s="52">
        <f>IFERROR(_xlfn.XLOOKUP(E137,'Agências de Rating Soberano'!$J$2:$J$22,'Agências de Rating Soberano'!$K$2:$K$22),NA())</f>
        <v>8</v>
      </c>
      <c r="O137" s="52" t="e">
        <f>IFERROR(_xlfn.XLOOKUP(F137,'Agências de Rating Soberano'!$J$2:$J$22,'Agências de Rating Soberano'!$K$2:$K$22),NA())</f>
        <v>#N/A</v>
      </c>
      <c r="P137" s="52">
        <f>IFERROR(_xlfn.XLOOKUP(H137,'Agências de Rating Soberano'!$J$2:$J$22,'Agências de Rating Soberano'!$K$2:$K$22),NA())</f>
        <v>9</v>
      </c>
      <c r="Q137" s="52">
        <f>IFERROR(_xlfn.XLOOKUP(I137,'Agências de Rating Soberano'!$J$2:$J$22,'Agências de Rating Soberano'!$K$2:$K$22),NA())</f>
        <v>11</v>
      </c>
    </row>
    <row r="138" spans="1:17" x14ac:dyDescent="0.3">
      <c r="A138" s="53">
        <f t="shared" si="9"/>
        <v>35885</v>
      </c>
      <c r="B138" t="str">
        <f>IFERROR(_xlfn.XLOOKUP($A138,Planilha2!$A$2:$A$34,Planilha2!C$2:C$34,"",-1),"")</f>
        <v>B1</v>
      </c>
      <c r="C138" t="str">
        <f>IFERROR(_xlfn.XLOOKUP($A138,Planilha2!$A$2:$A$34,Planilha2!D$2:D$34,"",-1),"")</f>
        <v>-</v>
      </c>
      <c r="D138" t="str" cm="1">
        <f t="array" ref="D138">IF($A138&lt;MIN(Planilha2!$A$2:$A$34),"",_xlfn.LET(_xlpm.t,_xlfn.XLOOKUP($A138,Planilha2!$A$2:$A$34,Planilha2!$E$2:$E$34,"",-1),_xlfn.IFS(ISNUMBER(SEARCH("positiva",_xlpm.t)),"Positiva",ISNUMBER(SEARCH("negativa",_xlpm.t)),"Negativa",ISNUMBER(SEARCH("estável",_xlpm.t)),"Estável",TRUE,"n/d")))</f>
        <v>Estável</v>
      </c>
      <c r="E138" t="str">
        <f>IFERROR(_xlfn.XLOOKUP($A138,Planilha2!$J$2:$J$44,Planilha2!L$2:L$44,"",-1),"")</f>
        <v>B+</v>
      </c>
      <c r="F138" t="str">
        <f>IFERROR(_xlfn.XLOOKUP($A138,Planilha2!$J$2:$J$44,Planilha2!M$2:M$44,"",-1),"")</f>
        <v>-</v>
      </c>
      <c r="G138" t="str" cm="1">
        <f t="array" ref="G138">IF($A138&lt;MIN(Planilha2!$J$2:$J$44),"",_xlfn.LET(_xlpm.t,_xlfn.XLOOKUP($A138,Planilha2!$J$2:$J$44,Planilha2!$N$2:$N$44,"",-1),_xlfn.IFS(ISNUMBER(SEARCH("positiva",_xlpm.t)),"Positiva",ISNUMBER(SEARCH("negativa",_xlpm.t)),"Negativa",ISNUMBER(SEARCH("estável",_xlpm.t)),"Estável",TRUE,"n/d")))</f>
        <v>n/d</v>
      </c>
      <c r="H138" t="str">
        <f>IFERROR(_xlfn.XLOOKUP($A138,Planilha2!$P$2:$P$38,Planilha2!R$2:R$38,"",-1),"")</f>
        <v>BB-</v>
      </c>
      <c r="I138" t="str">
        <f>IFERROR(_xlfn.XLOOKUP($A138,Planilha2!$P$2:$P$38,Planilha2!S$2:S$38,"",-1),"")</f>
        <v>BB+</v>
      </c>
      <c r="J138" t="str" cm="1">
        <f t="array" ref="J138">IF($A138&lt;MIN(Planilha2!$P$2:$P$38),"",_xlfn.LET(_xlpm.t,_xlfn.XLOOKUP($A138,Planilha2!$P$2:$P$38,Planilha2!$T$2:$T$38,"",-1),_xlfn.IFS(ISNUMBER(SEARCH("positiva",_xlpm.t)),"Positiva",ISNUMBER(SEARCH("negativa",_xlpm.t)),"Negativa",ISNUMBER(SEARCH("estável",_xlpm.t)),"Estável",TRUE,"n/d")))</f>
        <v>Estável</v>
      </c>
      <c r="L138" s="52">
        <f>IFERROR(_xlfn.XLOOKUP(B138,'Agências de Rating Soberano'!$G$2:$G$22,'Agências de Rating Soberano'!$H$2:$H$22),NA())</f>
        <v>8</v>
      </c>
      <c r="M138" s="52" t="e">
        <f>IFERROR(_xlfn.XLOOKUP(C138,'Agências de Rating Soberano'!$G$2:$G$22,'Agências de Rating Soberano'!$H$2:$H$22),NA())</f>
        <v>#N/A</v>
      </c>
      <c r="N138" s="52">
        <f>IFERROR(_xlfn.XLOOKUP(E138,'Agências de Rating Soberano'!$J$2:$J$22,'Agências de Rating Soberano'!$K$2:$K$22),NA())</f>
        <v>8</v>
      </c>
      <c r="O138" s="52" t="e">
        <f>IFERROR(_xlfn.XLOOKUP(F138,'Agências de Rating Soberano'!$J$2:$J$22,'Agências de Rating Soberano'!$K$2:$K$22),NA())</f>
        <v>#N/A</v>
      </c>
      <c r="P138" s="52">
        <f>IFERROR(_xlfn.XLOOKUP(H138,'Agências de Rating Soberano'!$J$2:$J$22,'Agências de Rating Soberano'!$K$2:$K$22),NA())</f>
        <v>9</v>
      </c>
      <c r="Q138" s="52">
        <f>IFERROR(_xlfn.XLOOKUP(I138,'Agências de Rating Soberano'!$J$2:$J$22,'Agências de Rating Soberano'!$K$2:$K$22),NA())</f>
        <v>11</v>
      </c>
    </row>
    <row r="139" spans="1:17" x14ac:dyDescent="0.3">
      <c r="A139" s="53">
        <f t="shared" si="9"/>
        <v>35915</v>
      </c>
      <c r="B139" t="str">
        <f>IFERROR(_xlfn.XLOOKUP($A139,Planilha2!$A$2:$A$34,Planilha2!C$2:C$34,"",-1),"")</f>
        <v>B1</v>
      </c>
      <c r="C139" t="str">
        <f>IFERROR(_xlfn.XLOOKUP($A139,Planilha2!$A$2:$A$34,Planilha2!D$2:D$34,"",-1),"")</f>
        <v>-</v>
      </c>
      <c r="D139" t="str" cm="1">
        <f t="array" ref="D139">IF($A139&lt;MIN(Planilha2!$A$2:$A$34),"",_xlfn.LET(_xlpm.t,_xlfn.XLOOKUP($A139,Planilha2!$A$2:$A$34,Planilha2!$E$2:$E$34,"",-1),_xlfn.IFS(ISNUMBER(SEARCH("positiva",_xlpm.t)),"Positiva",ISNUMBER(SEARCH("negativa",_xlpm.t)),"Negativa",ISNUMBER(SEARCH("estável",_xlpm.t)),"Estável",TRUE,"n/d")))</f>
        <v>Estável</v>
      </c>
      <c r="E139" t="str">
        <f>IFERROR(_xlfn.XLOOKUP($A139,Planilha2!$J$2:$J$44,Planilha2!L$2:L$44,"",-1),"")</f>
        <v>B+</v>
      </c>
      <c r="F139" t="str">
        <f>IFERROR(_xlfn.XLOOKUP($A139,Planilha2!$J$2:$J$44,Planilha2!M$2:M$44,"",-1),"")</f>
        <v>-</v>
      </c>
      <c r="G139" t="str" cm="1">
        <f t="array" ref="G139">IF($A139&lt;MIN(Planilha2!$J$2:$J$44),"",_xlfn.LET(_xlpm.t,_xlfn.XLOOKUP($A139,Planilha2!$J$2:$J$44,Planilha2!$N$2:$N$44,"",-1),_xlfn.IFS(ISNUMBER(SEARCH("positiva",_xlpm.t)),"Positiva",ISNUMBER(SEARCH("negativa",_xlpm.t)),"Negativa",ISNUMBER(SEARCH("estável",_xlpm.t)),"Estável",TRUE,"n/d")))</f>
        <v>n/d</v>
      </c>
      <c r="H139" t="str">
        <f>IFERROR(_xlfn.XLOOKUP($A139,Planilha2!$P$2:$P$38,Planilha2!R$2:R$38,"",-1),"")</f>
        <v>BB-</v>
      </c>
      <c r="I139" t="str">
        <f>IFERROR(_xlfn.XLOOKUP($A139,Planilha2!$P$2:$P$38,Planilha2!S$2:S$38,"",-1),"")</f>
        <v>BB+</v>
      </c>
      <c r="J139" t="str" cm="1">
        <f t="array" ref="J139">IF($A139&lt;MIN(Planilha2!$P$2:$P$38),"",_xlfn.LET(_xlpm.t,_xlfn.XLOOKUP($A139,Planilha2!$P$2:$P$38,Planilha2!$T$2:$T$38,"",-1),_xlfn.IFS(ISNUMBER(SEARCH("positiva",_xlpm.t)),"Positiva",ISNUMBER(SEARCH("negativa",_xlpm.t)),"Negativa",ISNUMBER(SEARCH("estável",_xlpm.t)),"Estável",TRUE,"n/d")))</f>
        <v>Estável</v>
      </c>
      <c r="L139" s="52">
        <f>IFERROR(_xlfn.XLOOKUP(B139,'Agências de Rating Soberano'!$G$2:$G$22,'Agências de Rating Soberano'!$H$2:$H$22),NA())</f>
        <v>8</v>
      </c>
      <c r="M139" s="52" t="e">
        <f>IFERROR(_xlfn.XLOOKUP(C139,'Agências de Rating Soberano'!$G$2:$G$22,'Agências de Rating Soberano'!$H$2:$H$22),NA())</f>
        <v>#N/A</v>
      </c>
      <c r="N139" s="52">
        <f>IFERROR(_xlfn.XLOOKUP(E139,'Agências de Rating Soberano'!$J$2:$J$22,'Agências de Rating Soberano'!$K$2:$K$22),NA())</f>
        <v>8</v>
      </c>
      <c r="O139" s="52" t="e">
        <f>IFERROR(_xlfn.XLOOKUP(F139,'Agências de Rating Soberano'!$J$2:$J$22,'Agências de Rating Soberano'!$K$2:$K$22),NA())</f>
        <v>#N/A</v>
      </c>
      <c r="P139" s="52">
        <f>IFERROR(_xlfn.XLOOKUP(H139,'Agências de Rating Soberano'!$J$2:$J$22,'Agências de Rating Soberano'!$K$2:$K$22),NA())</f>
        <v>9</v>
      </c>
      <c r="Q139" s="52">
        <f>IFERROR(_xlfn.XLOOKUP(I139,'Agências de Rating Soberano'!$J$2:$J$22,'Agências de Rating Soberano'!$K$2:$K$22),NA())</f>
        <v>11</v>
      </c>
    </row>
    <row r="140" spans="1:17" x14ac:dyDescent="0.3">
      <c r="A140" s="53">
        <f t="shared" si="9"/>
        <v>35946</v>
      </c>
      <c r="B140" t="str">
        <f>IFERROR(_xlfn.XLOOKUP($A140,Planilha2!$A$2:$A$34,Planilha2!C$2:C$34,"",-1),"")</f>
        <v>B1</v>
      </c>
      <c r="C140" t="str">
        <f>IFERROR(_xlfn.XLOOKUP($A140,Planilha2!$A$2:$A$34,Planilha2!D$2:D$34,"",-1),"")</f>
        <v>-</v>
      </c>
      <c r="D140" t="str" cm="1">
        <f t="array" ref="D140">IF($A140&lt;MIN(Planilha2!$A$2:$A$34),"",_xlfn.LET(_xlpm.t,_xlfn.XLOOKUP($A140,Planilha2!$A$2:$A$34,Planilha2!$E$2:$E$34,"",-1),_xlfn.IFS(ISNUMBER(SEARCH("positiva",_xlpm.t)),"Positiva",ISNUMBER(SEARCH("negativa",_xlpm.t)),"Negativa",ISNUMBER(SEARCH("estável",_xlpm.t)),"Estável",TRUE,"n/d")))</f>
        <v>Estável</v>
      </c>
      <c r="E140" t="str">
        <f>IFERROR(_xlfn.XLOOKUP($A140,Planilha2!$J$2:$J$44,Planilha2!L$2:L$44,"",-1),"")</f>
        <v>B+</v>
      </c>
      <c r="F140" t="str">
        <f>IFERROR(_xlfn.XLOOKUP($A140,Planilha2!$J$2:$J$44,Planilha2!M$2:M$44,"",-1),"")</f>
        <v>-</v>
      </c>
      <c r="G140" t="str" cm="1">
        <f t="array" ref="G140">IF($A140&lt;MIN(Planilha2!$J$2:$J$44),"",_xlfn.LET(_xlpm.t,_xlfn.XLOOKUP($A140,Planilha2!$J$2:$J$44,Planilha2!$N$2:$N$44,"",-1),_xlfn.IFS(ISNUMBER(SEARCH("positiva",_xlpm.t)),"Positiva",ISNUMBER(SEARCH("negativa",_xlpm.t)),"Negativa",ISNUMBER(SEARCH("estável",_xlpm.t)),"Estável",TRUE,"n/d")))</f>
        <v>n/d</v>
      </c>
      <c r="H140" t="str">
        <f>IFERROR(_xlfn.XLOOKUP($A140,Planilha2!$P$2:$P$38,Planilha2!R$2:R$38,"",-1),"")</f>
        <v>BB-</v>
      </c>
      <c r="I140" t="str">
        <f>IFERROR(_xlfn.XLOOKUP($A140,Planilha2!$P$2:$P$38,Planilha2!S$2:S$38,"",-1),"")</f>
        <v>BB+</v>
      </c>
      <c r="J140" t="str" cm="1">
        <f t="array" ref="J140">IF($A140&lt;MIN(Planilha2!$P$2:$P$38),"",_xlfn.LET(_xlpm.t,_xlfn.XLOOKUP($A140,Planilha2!$P$2:$P$38,Planilha2!$T$2:$T$38,"",-1),_xlfn.IFS(ISNUMBER(SEARCH("positiva",_xlpm.t)),"Positiva",ISNUMBER(SEARCH("negativa",_xlpm.t)),"Negativa",ISNUMBER(SEARCH("estável",_xlpm.t)),"Estável",TRUE,"n/d")))</f>
        <v>Estável</v>
      </c>
      <c r="L140" s="52">
        <f>IFERROR(_xlfn.XLOOKUP(B140,'Agências de Rating Soberano'!$G$2:$G$22,'Agências de Rating Soberano'!$H$2:$H$22),NA())</f>
        <v>8</v>
      </c>
      <c r="M140" s="52" t="e">
        <f>IFERROR(_xlfn.XLOOKUP(C140,'Agências de Rating Soberano'!$G$2:$G$22,'Agências de Rating Soberano'!$H$2:$H$22),NA())</f>
        <v>#N/A</v>
      </c>
      <c r="N140" s="52">
        <f>IFERROR(_xlfn.XLOOKUP(E140,'Agências de Rating Soberano'!$J$2:$J$22,'Agências de Rating Soberano'!$K$2:$K$22),NA())</f>
        <v>8</v>
      </c>
      <c r="O140" s="52" t="e">
        <f>IFERROR(_xlfn.XLOOKUP(F140,'Agências de Rating Soberano'!$J$2:$J$22,'Agências de Rating Soberano'!$K$2:$K$22),NA())</f>
        <v>#N/A</v>
      </c>
      <c r="P140" s="52">
        <f>IFERROR(_xlfn.XLOOKUP(H140,'Agências de Rating Soberano'!$J$2:$J$22,'Agências de Rating Soberano'!$K$2:$K$22),NA())</f>
        <v>9</v>
      </c>
      <c r="Q140" s="52">
        <f>IFERROR(_xlfn.XLOOKUP(I140,'Agências de Rating Soberano'!$J$2:$J$22,'Agências de Rating Soberano'!$K$2:$K$22),NA())</f>
        <v>11</v>
      </c>
    </row>
    <row r="141" spans="1:17" x14ac:dyDescent="0.3">
      <c r="A141" s="53">
        <f t="shared" si="9"/>
        <v>35976</v>
      </c>
      <c r="B141" t="str">
        <f>IFERROR(_xlfn.XLOOKUP($A141,Planilha2!$A$2:$A$34,Planilha2!C$2:C$34,"",-1),"")</f>
        <v>B1</v>
      </c>
      <c r="C141" t="str">
        <f>IFERROR(_xlfn.XLOOKUP($A141,Planilha2!$A$2:$A$34,Planilha2!D$2:D$34,"",-1),"")</f>
        <v>-</v>
      </c>
      <c r="D141" t="str" cm="1">
        <f t="array" ref="D141">IF($A141&lt;MIN(Planilha2!$A$2:$A$34),"",_xlfn.LET(_xlpm.t,_xlfn.XLOOKUP($A141,Planilha2!$A$2:$A$34,Planilha2!$E$2:$E$34,"",-1),_xlfn.IFS(ISNUMBER(SEARCH("positiva",_xlpm.t)),"Positiva",ISNUMBER(SEARCH("negativa",_xlpm.t)),"Negativa",ISNUMBER(SEARCH("estável",_xlpm.t)),"Estável",TRUE,"n/d")))</f>
        <v>Estável</v>
      </c>
      <c r="E141" t="str">
        <f>IFERROR(_xlfn.XLOOKUP($A141,Planilha2!$J$2:$J$44,Planilha2!L$2:L$44,"",-1),"")</f>
        <v>B+</v>
      </c>
      <c r="F141" t="str">
        <f>IFERROR(_xlfn.XLOOKUP($A141,Planilha2!$J$2:$J$44,Planilha2!M$2:M$44,"",-1),"")</f>
        <v>-</v>
      </c>
      <c r="G141" t="str" cm="1">
        <f t="array" ref="G141">IF($A141&lt;MIN(Planilha2!$J$2:$J$44),"",_xlfn.LET(_xlpm.t,_xlfn.XLOOKUP($A141,Planilha2!$J$2:$J$44,Planilha2!$N$2:$N$44,"",-1),_xlfn.IFS(ISNUMBER(SEARCH("positiva",_xlpm.t)),"Positiva",ISNUMBER(SEARCH("negativa",_xlpm.t)),"Negativa",ISNUMBER(SEARCH("estável",_xlpm.t)),"Estável",TRUE,"n/d")))</f>
        <v>n/d</v>
      </c>
      <c r="H141" t="str">
        <f>IFERROR(_xlfn.XLOOKUP($A141,Planilha2!$P$2:$P$38,Planilha2!R$2:R$38,"",-1),"")</f>
        <v>BB-</v>
      </c>
      <c r="I141" t="str">
        <f>IFERROR(_xlfn.XLOOKUP($A141,Planilha2!$P$2:$P$38,Planilha2!S$2:S$38,"",-1),"")</f>
        <v>BB+</v>
      </c>
      <c r="J141" t="str" cm="1">
        <f t="array" ref="J141">IF($A141&lt;MIN(Planilha2!$P$2:$P$38),"",_xlfn.LET(_xlpm.t,_xlfn.XLOOKUP($A141,Planilha2!$P$2:$P$38,Planilha2!$T$2:$T$38,"",-1),_xlfn.IFS(ISNUMBER(SEARCH("positiva",_xlpm.t)),"Positiva",ISNUMBER(SEARCH("negativa",_xlpm.t)),"Negativa",ISNUMBER(SEARCH("estável",_xlpm.t)),"Estável",TRUE,"n/d")))</f>
        <v>Estável</v>
      </c>
      <c r="L141" s="52">
        <f>IFERROR(_xlfn.XLOOKUP(B141,'Agências de Rating Soberano'!$G$2:$G$22,'Agências de Rating Soberano'!$H$2:$H$22),NA())</f>
        <v>8</v>
      </c>
      <c r="M141" s="52" t="e">
        <f>IFERROR(_xlfn.XLOOKUP(C141,'Agências de Rating Soberano'!$G$2:$G$22,'Agências de Rating Soberano'!$H$2:$H$22),NA())</f>
        <v>#N/A</v>
      </c>
      <c r="N141" s="52">
        <f>IFERROR(_xlfn.XLOOKUP(E141,'Agências de Rating Soberano'!$J$2:$J$22,'Agências de Rating Soberano'!$K$2:$K$22),NA())</f>
        <v>8</v>
      </c>
      <c r="O141" s="52" t="e">
        <f>IFERROR(_xlfn.XLOOKUP(F141,'Agências de Rating Soberano'!$J$2:$J$22,'Agências de Rating Soberano'!$K$2:$K$22),NA())</f>
        <v>#N/A</v>
      </c>
      <c r="P141" s="52">
        <f>IFERROR(_xlfn.XLOOKUP(H141,'Agências de Rating Soberano'!$J$2:$J$22,'Agências de Rating Soberano'!$K$2:$K$22),NA())</f>
        <v>9</v>
      </c>
      <c r="Q141" s="52">
        <f>IFERROR(_xlfn.XLOOKUP(I141,'Agências de Rating Soberano'!$J$2:$J$22,'Agências de Rating Soberano'!$K$2:$K$22),NA())</f>
        <v>11</v>
      </c>
    </row>
    <row r="142" spans="1:17" x14ac:dyDescent="0.3">
      <c r="A142" s="53">
        <f t="shared" si="9"/>
        <v>36007</v>
      </c>
      <c r="B142" t="str">
        <f>IFERROR(_xlfn.XLOOKUP($A142,Planilha2!$A$2:$A$34,Planilha2!C$2:C$34,"",-1),"")</f>
        <v>B1</v>
      </c>
      <c r="C142" t="str">
        <f>IFERROR(_xlfn.XLOOKUP($A142,Planilha2!$A$2:$A$34,Planilha2!D$2:D$34,"",-1),"")</f>
        <v>-</v>
      </c>
      <c r="D142" t="str" cm="1">
        <f t="array" ref="D142">IF($A142&lt;MIN(Planilha2!$A$2:$A$34),"",_xlfn.LET(_xlpm.t,_xlfn.XLOOKUP($A142,Planilha2!$A$2:$A$34,Planilha2!$E$2:$E$34,"",-1),_xlfn.IFS(ISNUMBER(SEARCH("positiva",_xlpm.t)),"Positiva",ISNUMBER(SEARCH("negativa",_xlpm.t)),"Negativa",ISNUMBER(SEARCH("estável",_xlpm.t)),"Estável",TRUE,"n/d")))</f>
        <v>Estável</v>
      </c>
      <c r="E142" t="str">
        <f>IFERROR(_xlfn.XLOOKUP($A142,Planilha2!$J$2:$J$44,Planilha2!L$2:L$44,"",-1),"")</f>
        <v>B+</v>
      </c>
      <c r="F142" t="str">
        <f>IFERROR(_xlfn.XLOOKUP($A142,Planilha2!$J$2:$J$44,Planilha2!M$2:M$44,"",-1),"")</f>
        <v>-</v>
      </c>
      <c r="G142" t="str" cm="1">
        <f t="array" ref="G142">IF($A142&lt;MIN(Planilha2!$J$2:$J$44),"",_xlfn.LET(_xlpm.t,_xlfn.XLOOKUP($A142,Planilha2!$J$2:$J$44,Planilha2!$N$2:$N$44,"",-1),_xlfn.IFS(ISNUMBER(SEARCH("positiva",_xlpm.t)),"Positiva",ISNUMBER(SEARCH("negativa",_xlpm.t)),"Negativa",ISNUMBER(SEARCH("estável",_xlpm.t)),"Estável",TRUE,"n/d")))</f>
        <v>n/d</v>
      </c>
      <c r="H142" t="str">
        <f>IFERROR(_xlfn.XLOOKUP($A142,Planilha2!$P$2:$P$38,Planilha2!R$2:R$38,"",-1),"")</f>
        <v>BB-</v>
      </c>
      <c r="I142" t="str">
        <f>IFERROR(_xlfn.XLOOKUP($A142,Planilha2!$P$2:$P$38,Planilha2!S$2:S$38,"",-1),"")</f>
        <v>BB+</v>
      </c>
      <c r="J142" t="str" cm="1">
        <f t="array" ref="J142">IF($A142&lt;MIN(Planilha2!$P$2:$P$38),"",_xlfn.LET(_xlpm.t,_xlfn.XLOOKUP($A142,Planilha2!$P$2:$P$38,Planilha2!$T$2:$T$38,"",-1),_xlfn.IFS(ISNUMBER(SEARCH("positiva",_xlpm.t)),"Positiva",ISNUMBER(SEARCH("negativa",_xlpm.t)),"Negativa",ISNUMBER(SEARCH("estável",_xlpm.t)),"Estável",TRUE,"n/d")))</f>
        <v>Estável</v>
      </c>
      <c r="L142" s="52">
        <f>IFERROR(_xlfn.XLOOKUP(B142,'Agências de Rating Soberano'!$G$2:$G$22,'Agências de Rating Soberano'!$H$2:$H$22),NA())</f>
        <v>8</v>
      </c>
      <c r="M142" s="52" t="e">
        <f>IFERROR(_xlfn.XLOOKUP(C142,'Agências de Rating Soberano'!$G$2:$G$22,'Agências de Rating Soberano'!$H$2:$H$22),NA())</f>
        <v>#N/A</v>
      </c>
      <c r="N142" s="52">
        <f>IFERROR(_xlfn.XLOOKUP(E142,'Agências de Rating Soberano'!$J$2:$J$22,'Agências de Rating Soberano'!$K$2:$K$22),NA())</f>
        <v>8</v>
      </c>
      <c r="O142" s="52" t="e">
        <f>IFERROR(_xlfn.XLOOKUP(F142,'Agências de Rating Soberano'!$J$2:$J$22,'Agências de Rating Soberano'!$K$2:$K$22),NA())</f>
        <v>#N/A</v>
      </c>
      <c r="P142" s="52">
        <f>IFERROR(_xlfn.XLOOKUP(H142,'Agências de Rating Soberano'!$J$2:$J$22,'Agências de Rating Soberano'!$K$2:$K$22),NA())</f>
        <v>9</v>
      </c>
      <c r="Q142" s="52">
        <f>IFERROR(_xlfn.XLOOKUP(I142,'Agências de Rating Soberano'!$J$2:$J$22,'Agências de Rating Soberano'!$K$2:$K$22),NA())</f>
        <v>11</v>
      </c>
    </row>
    <row r="143" spans="1:17" x14ac:dyDescent="0.3">
      <c r="A143" s="53">
        <f t="shared" si="9"/>
        <v>36038</v>
      </c>
      <c r="B143" t="str">
        <f>IFERROR(_xlfn.XLOOKUP($A143,Planilha2!$A$2:$A$34,Planilha2!C$2:C$34,"",-1),"")</f>
        <v>B1</v>
      </c>
      <c r="C143" t="str">
        <f>IFERROR(_xlfn.XLOOKUP($A143,Planilha2!$A$2:$A$34,Planilha2!D$2:D$34,"",-1),"")</f>
        <v>-</v>
      </c>
      <c r="D143" t="str" cm="1">
        <f t="array" ref="D143">IF($A143&lt;MIN(Planilha2!$A$2:$A$34),"",_xlfn.LET(_xlpm.t,_xlfn.XLOOKUP($A143,Planilha2!$A$2:$A$34,Planilha2!$E$2:$E$34,"",-1),_xlfn.IFS(ISNUMBER(SEARCH("positiva",_xlpm.t)),"Positiva",ISNUMBER(SEARCH("negativa",_xlpm.t)),"Negativa",ISNUMBER(SEARCH("estável",_xlpm.t)),"Estável",TRUE,"n/d")))</f>
        <v>Estável</v>
      </c>
      <c r="E143" t="str">
        <f>IFERROR(_xlfn.XLOOKUP($A143,Planilha2!$J$2:$J$44,Planilha2!L$2:L$44,"",-1),"")</f>
        <v>B+</v>
      </c>
      <c r="F143" t="str">
        <f>IFERROR(_xlfn.XLOOKUP($A143,Planilha2!$J$2:$J$44,Planilha2!M$2:M$44,"",-1),"")</f>
        <v>-</v>
      </c>
      <c r="G143" t="str" cm="1">
        <f t="array" ref="G143">IF($A143&lt;MIN(Planilha2!$J$2:$J$44),"",_xlfn.LET(_xlpm.t,_xlfn.XLOOKUP($A143,Planilha2!$J$2:$J$44,Planilha2!$N$2:$N$44,"",-1),_xlfn.IFS(ISNUMBER(SEARCH("positiva",_xlpm.t)),"Positiva",ISNUMBER(SEARCH("negativa",_xlpm.t)),"Negativa",ISNUMBER(SEARCH("estável",_xlpm.t)),"Estável",TRUE,"n/d")))</f>
        <v>n/d</v>
      </c>
      <c r="H143" t="str">
        <f>IFERROR(_xlfn.XLOOKUP($A143,Planilha2!$P$2:$P$38,Planilha2!R$2:R$38,"",-1),"")</f>
        <v>BB-</v>
      </c>
      <c r="I143" t="str">
        <f>IFERROR(_xlfn.XLOOKUP($A143,Planilha2!$P$2:$P$38,Planilha2!S$2:S$38,"",-1),"")</f>
        <v>BB+</v>
      </c>
      <c r="J143" t="str" cm="1">
        <f t="array" ref="J143">IF($A143&lt;MIN(Planilha2!$P$2:$P$38),"",_xlfn.LET(_xlpm.t,_xlfn.XLOOKUP($A143,Planilha2!$P$2:$P$38,Planilha2!$T$2:$T$38,"",-1),_xlfn.IFS(ISNUMBER(SEARCH("positiva",_xlpm.t)),"Positiva",ISNUMBER(SEARCH("negativa",_xlpm.t)),"Negativa",ISNUMBER(SEARCH("estável",_xlpm.t)),"Estável",TRUE,"n/d")))</f>
        <v>Estável</v>
      </c>
      <c r="L143" s="52">
        <f>IFERROR(_xlfn.XLOOKUP(B143,'Agências de Rating Soberano'!$G$2:$G$22,'Agências de Rating Soberano'!$H$2:$H$22),NA())</f>
        <v>8</v>
      </c>
      <c r="M143" s="52" t="e">
        <f>IFERROR(_xlfn.XLOOKUP(C143,'Agências de Rating Soberano'!$G$2:$G$22,'Agências de Rating Soberano'!$H$2:$H$22),NA())</f>
        <v>#N/A</v>
      </c>
      <c r="N143" s="52">
        <f>IFERROR(_xlfn.XLOOKUP(E143,'Agências de Rating Soberano'!$J$2:$J$22,'Agências de Rating Soberano'!$K$2:$K$22),NA())</f>
        <v>8</v>
      </c>
      <c r="O143" s="52" t="e">
        <f>IFERROR(_xlfn.XLOOKUP(F143,'Agências de Rating Soberano'!$J$2:$J$22,'Agências de Rating Soberano'!$K$2:$K$22),NA())</f>
        <v>#N/A</v>
      </c>
      <c r="P143" s="52">
        <f>IFERROR(_xlfn.XLOOKUP(H143,'Agências de Rating Soberano'!$J$2:$J$22,'Agências de Rating Soberano'!$K$2:$K$22),NA())</f>
        <v>9</v>
      </c>
      <c r="Q143" s="52">
        <f>IFERROR(_xlfn.XLOOKUP(I143,'Agências de Rating Soberano'!$J$2:$J$22,'Agências de Rating Soberano'!$K$2:$K$22),NA())</f>
        <v>11</v>
      </c>
    </row>
    <row r="144" spans="1:17" x14ac:dyDescent="0.3">
      <c r="A144" s="53">
        <f t="shared" si="9"/>
        <v>36068</v>
      </c>
      <c r="B144" t="str">
        <f>IFERROR(_xlfn.XLOOKUP($A144,Planilha2!$A$2:$A$34,Planilha2!C$2:C$34,"",-1),"")</f>
        <v>B2</v>
      </c>
      <c r="C144" t="str">
        <f>IFERROR(_xlfn.XLOOKUP($A144,Planilha2!$A$2:$A$34,Planilha2!D$2:D$34,"",-1),"")</f>
        <v>Caa1</v>
      </c>
      <c r="D144" t="str" cm="1">
        <f t="array" ref="D144">IF($A144&lt;MIN(Planilha2!$A$2:$A$34),"",_xlfn.LET(_xlpm.t,_xlfn.XLOOKUP($A144,Planilha2!$A$2:$A$34,Planilha2!$E$2:$E$34,"",-1),_xlfn.IFS(ISNUMBER(SEARCH("positiva",_xlpm.t)),"Positiva",ISNUMBER(SEARCH("negativa",_xlpm.t)),"Negativa",ISNUMBER(SEARCH("estável",_xlpm.t)),"Estável",TRUE,"n/d")))</f>
        <v>Estável</v>
      </c>
      <c r="E144" t="str">
        <f>IFERROR(_xlfn.XLOOKUP($A144,Planilha2!$J$2:$J$44,Planilha2!L$2:L$44,"",-1),"")</f>
        <v>B+</v>
      </c>
      <c r="F144" t="str">
        <f>IFERROR(_xlfn.XLOOKUP($A144,Planilha2!$J$2:$J$44,Planilha2!M$2:M$44,"",-1),"")</f>
        <v>-</v>
      </c>
      <c r="G144" t="str" cm="1">
        <f t="array" ref="G144">IF($A144&lt;MIN(Planilha2!$J$2:$J$44),"",_xlfn.LET(_xlpm.t,_xlfn.XLOOKUP($A144,Planilha2!$J$2:$J$44,Planilha2!$N$2:$N$44,"",-1),_xlfn.IFS(ISNUMBER(SEARCH("positiva",_xlpm.t)),"Positiva",ISNUMBER(SEARCH("negativa",_xlpm.t)),"Negativa",ISNUMBER(SEARCH("estável",_xlpm.t)),"Estável",TRUE,"n/d")))</f>
        <v>n/d</v>
      </c>
      <c r="H144" t="str">
        <f>IFERROR(_xlfn.XLOOKUP($A144,Planilha2!$P$2:$P$38,Planilha2!R$2:R$38,"",-1),"")</f>
        <v>BB-</v>
      </c>
      <c r="I144" t="str">
        <f>IFERROR(_xlfn.XLOOKUP($A144,Planilha2!$P$2:$P$38,Planilha2!S$2:S$38,"",-1),"")</f>
        <v>BB+</v>
      </c>
      <c r="J144" t="str" cm="1">
        <f t="array" ref="J144">IF($A144&lt;MIN(Planilha2!$P$2:$P$38),"",_xlfn.LET(_xlpm.t,_xlfn.XLOOKUP($A144,Planilha2!$P$2:$P$38,Planilha2!$T$2:$T$38,"",-1),_xlfn.IFS(ISNUMBER(SEARCH("positiva",_xlpm.t)),"Positiva",ISNUMBER(SEARCH("negativa",_xlpm.t)),"Negativa",ISNUMBER(SEARCH("estável",_xlpm.t)),"Estável",TRUE,"n/d")))</f>
        <v>Negativa</v>
      </c>
      <c r="L144" s="52">
        <f>IFERROR(_xlfn.XLOOKUP(B144,'Agências de Rating Soberano'!$G$2:$G$22,'Agências de Rating Soberano'!$H$2:$H$22),NA())</f>
        <v>7</v>
      </c>
      <c r="M144" s="52">
        <f>IFERROR(_xlfn.XLOOKUP(C144,'Agências de Rating Soberano'!$G$2:$G$22,'Agências de Rating Soberano'!$H$2:$H$22),NA())</f>
        <v>5</v>
      </c>
      <c r="N144" s="52">
        <f>IFERROR(_xlfn.XLOOKUP(E144,'Agências de Rating Soberano'!$J$2:$J$22,'Agências de Rating Soberano'!$K$2:$K$22),NA())</f>
        <v>8</v>
      </c>
      <c r="O144" s="52" t="e">
        <f>IFERROR(_xlfn.XLOOKUP(F144,'Agências de Rating Soberano'!$J$2:$J$22,'Agências de Rating Soberano'!$K$2:$K$22),NA())</f>
        <v>#N/A</v>
      </c>
      <c r="P144" s="52">
        <f>IFERROR(_xlfn.XLOOKUP(H144,'Agências de Rating Soberano'!$J$2:$J$22,'Agências de Rating Soberano'!$K$2:$K$22),NA())</f>
        <v>9</v>
      </c>
      <c r="Q144" s="52">
        <f>IFERROR(_xlfn.XLOOKUP(I144,'Agências de Rating Soberano'!$J$2:$J$22,'Agências de Rating Soberano'!$K$2:$K$22),NA())</f>
        <v>11</v>
      </c>
    </row>
    <row r="145" spans="1:17" x14ac:dyDescent="0.3">
      <c r="A145" s="53">
        <f t="shared" si="9"/>
        <v>36099</v>
      </c>
      <c r="B145" t="str">
        <f>IFERROR(_xlfn.XLOOKUP($A145,Planilha2!$A$2:$A$34,Planilha2!C$2:C$34,"",-1),"")</f>
        <v>B2</v>
      </c>
      <c r="C145" t="str">
        <f>IFERROR(_xlfn.XLOOKUP($A145,Planilha2!$A$2:$A$34,Planilha2!D$2:D$34,"",-1),"")</f>
        <v>Caa1</v>
      </c>
      <c r="D145" t="str" cm="1">
        <f t="array" ref="D145">IF($A145&lt;MIN(Planilha2!$A$2:$A$34),"",_xlfn.LET(_xlpm.t,_xlfn.XLOOKUP($A145,Planilha2!$A$2:$A$34,Planilha2!$E$2:$E$34,"",-1),_xlfn.IFS(ISNUMBER(SEARCH("positiva",_xlpm.t)),"Positiva",ISNUMBER(SEARCH("negativa",_xlpm.t)),"Negativa",ISNUMBER(SEARCH("estável",_xlpm.t)),"Estável",TRUE,"n/d")))</f>
        <v>Estável</v>
      </c>
      <c r="E145" t="str">
        <f>IFERROR(_xlfn.XLOOKUP($A145,Planilha2!$J$2:$J$44,Planilha2!L$2:L$44,"",-1),"")</f>
        <v>B+</v>
      </c>
      <c r="F145" t="str">
        <f>IFERROR(_xlfn.XLOOKUP($A145,Planilha2!$J$2:$J$44,Planilha2!M$2:M$44,"",-1),"")</f>
        <v>-</v>
      </c>
      <c r="G145" t="str" cm="1">
        <f t="array" ref="G145">IF($A145&lt;MIN(Planilha2!$J$2:$J$44),"",_xlfn.LET(_xlpm.t,_xlfn.XLOOKUP($A145,Planilha2!$J$2:$J$44,Planilha2!$N$2:$N$44,"",-1),_xlfn.IFS(ISNUMBER(SEARCH("positiva",_xlpm.t)),"Positiva",ISNUMBER(SEARCH("negativa",_xlpm.t)),"Negativa",ISNUMBER(SEARCH("estável",_xlpm.t)),"Estável",TRUE,"n/d")))</f>
        <v>n/d</v>
      </c>
      <c r="H145" t="str">
        <f>IFERROR(_xlfn.XLOOKUP($A145,Planilha2!$P$2:$P$38,Planilha2!R$2:R$38,"",-1),"")</f>
        <v>BB-</v>
      </c>
      <c r="I145" t="str">
        <f>IFERROR(_xlfn.XLOOKUP($A145,Planilha2!$P$2:$P$38,Planilha2!S$2:S$38,"",-1),"")</f>
        <v>BB+</v>
      </c>
      <c r="J145" t="str" cm="1">
        <f t="array" ref="J145">IF($A145&lt;MIN(Planilha2!$P$2:$P$38),"",_xlfn.LET(_xlpm.t,_xlfn.XLOOKUP($A145,Planilha2!$P$2:$P$38,Planilha2!$T$2:$T$38,"",-1),_xlfn.IFS(ISNUMBER(SEARCH("positiva",_xlpm.t)),"Positiva",ISNUMBER(SEARCH("negativa",_xlpm.t)),"Negativa",ISNUMBER(SEARCH("estável",_xlpm.t)),"Estável",TRUE,"n/d")))</f>
        <v>Negativa</v>
      </c>
      <c r="L145" s="52">
        <f>IFERROR(_xlfn.XLOOKUP(B145,'Agências de Rating Soberano'!$G$2:$G$22,'Agências de Rating Soberano'!$H$2:$H$22),NA())</f>
        <v>7</v>
      </c>
      <c r="M145" s="52">
        <f>IFERROR(_xlfn.XLOOKUP(C145,'Agências de Rating Soberano'!$G$2:$G$22,'Agências de Rating Soberano'!$H$2:$H$22),NA())</f>
        <v>5</v>
      </c>
      <c r="N145" s="52">
        <f>IFERROR(_xlfn.XLOOKUP(E145,'Agências de Rating Soberano'!$J$2:$J$22,'Agências de Rating Soberano'!$K$2:$K$22),NA())</f>
        <v>8</v>
      </c>
      <c r="O145" s="52" t="e">
        <f>IFERROR(_xlfn.XLOOKUP(F145,'Agências de Rating Soberano'!$J$2:$J$22,'Agências de Rating Soberano'!$K$2:$K$22),NA())</f>
        <v>#N/A</v>
      </c>
      <c r="P145" s="52">
        <f>IFERROR(_xlfn.XLOOKUP(H145,'Agências de Rating Soberano'!$J$2:$J$22,'Agências de Rating Soberano'!$K$2:$K$22),NA())</f>
        <v>9</v>
      </c>
      <c r="Q145" s="52">
        <f>IFERROR(_xlfn.XLOOKUP(I145,'Agências de Rating Soberano'!$J$2:$J$22,'Agências de Rating Soberano'!$K$2:$K$22),NA())</f>
        <v>11</v>
      </c>
    </row>
    <row r="146" spans="1:17" x14ac:dyDescent="0.3">
      <c r="A146" s="53">
        <f t="shared" si="9"/>
        <v>36129</v>
      </c>
      <c r="B146" t="str">
        <f>IFERROR(_xlfn.XLOOKUP($A146,Planilha2!$A$2:$A$34,Planilha2!C$2:C$34,"",-1),"")</f>
        <v>B2</v>
      </c>
      <c r="C146" t="str">
        <f>IFERROR(_xlfn.XLOOKUP($A146,Planilha2!$A$2:$A$34,Planilha2!D$2:D$34,"",-1),"")</f>
        <v>Caa1</v>
      </c>
      <c r="D146" t="str" cm="1">
        <f t="array" ref="D146">IF($A146&lt;MIN(Planilha2!$A$2:$A$34),"",_xlfn.LET(_xlpm.t,_xlfn.XLOOKUP($A146,Planilha2!$A$2:$A$34,Planilha2!$E$2:$E$34,"",-1),_xlfn.IFS(ISNUMBER(SEARCH("positiva",_xlpm.t)),"Positiva",ISNUMBER(SEARCH("negativa",_xlpm.t)),"Negativa",ISNUMBER(SEARCH("estável",_xlpm.t)),"Estável",TRUE,"n/d")))</f>
        <v>Estável</v>
      </c>
      <c r="E146" t="str">
        <f>IFERROR(_xlfn.XLOOKUP($A146,Planilha2!$J$2:$J$44,Planilha2!L$2:L$44,"",-1),"")</f>
        <v>B+</v>
      </c>
      <c r="F146" t="str">
        <f>IFERROR(_xlfn.XLOOKUP($A146,Planilha2!$J$2:$J$44,Planilha2!M$2:M$44,"",-1),"")</f>
        <v>-</v>
      </c>
      <c r="G146" t="str" cm="1">
        <f t="array" ref="G146">IF($A146&lt;MIN(Planilha2!$J$2:$J$44),"",_xlfn.LET(_xlpm.t,_xlfn.XLOOKUP($A146,Planilha2!$J$2:$J$44,Planilha2!$N$2:$N$44,"",-1),_xlfn.IFS(ISNUMBER(SEARCH("positiva",_xlpm.t)),"Positiva",ISNUMBER(SEARCH("negativa",_xlpm.t)),"Negativa",ISNUMBER(SEARCH("estável",_xlpm.t)),"Estável",TRUE,"n/d")))</f>
        <v>n/d</v>
      </c>
      <c r="H146" t="str">
        <f>IFERROR(_xlfn.XLOOKUP($A146,Planilha2!$P$2:$P$38,Planilha2!R$2:R$38,"",-1),"")</f>
        <v>BB-</v>
      </c>
      <c r="I146" t="str">
        <f>IFERROR(_xlfn.XLOOKUP($A146,Planilha2!$P$2:$P$38,Planilha2!S$2:S$38,"",-1),"")</f>
        <v>BB+</v>
      </c>
      <c r="J146" t="str" cm="1">
        <f t="array" ref="J146">IF($A146&lt;MIN(Planilha2!$P$2:$P$38),"",_xlfn.LET(_xlpm.t,_xlfn.XLOOKUP($A146,Planilha2!$P$2:$P$38,Planilha2!$T$2:$T$38,"",-1),_xlfn.IFS(ISNUMBER(SEARCH("positiva",_xlpm.t)),"Positiva",ISNUMBER(SEARCH("negativa",_xlpm.t)),"Negativa",ISNUMBER(SEARCH("estável",_xlpm.t)),"Estável",TRUE,"n/d")))</f>
        <v>Negativa</v>
      </c>
      <c r="L146" s="52">
        <f>IFERROR(_xlfn.XLOOKUP(B146,'Agências de Rating Soberano'!$G$2:$G$22,'Agências de Rating Soberano'!$H$2:$H$22),NA())</f>
        <v>7</v>
      </c>
      <c r="M146" s="52">
        <f>IFERROR(_xlfn.XLOOKUP(C146,'Agências de Rating Soberano'!$G$2:$G$22,'Agências de Rating Soberano'!$H$2:$H$22),NA())</f>
        <v>5</v>
      </c>
      <c r="N146" s="52">
        <f>IFERROR(_xlfn.XLOOKUP(E146,'Agências de Rating Soberano'!$J$2:$J$22,'Agências de Rating Soberano'!$K$2:$K$22),NA())</f>
        <v>8</v>
      </c>
      <c r="O146" s="52" t="e">
        <f>IFERROR(_xlfn.XLOOKUP(F146,'Agências de Rating Soberano'!$J$2:$J$22,'Agências de Rating Soberano'!$K$2:$K$22),NA())</f>
        <v>#N/A</v>
      </c>
      <c r="P146" s="52">
        <f>IFERROR(_xlfn.XLOOKUP(H146,'Agências de Rating Soberano'!$J$2:$J$22,'Agências de Rating Soberano'!$K$2:$K$22),NA())</f>
        <v>9</v>
      </c>
      <c r="Q146" s="52">
        <f>IFERROR(_xlfn.XLOOKUP(I146,'Agências de Rating Soberano'!$J$2:$J$22,'Agências de Rating Soberano'!$K$2:$K$22),NA())</f>
        <v>11</v>
      </c>
    </row>
    <row r="147" spans="1:17" x14ac:dyDescent="0.3">
      <c r="A147" s="53">
        <f t="shared" si="9"/>
        <v>36160</v>
      </c>
      <c r="B147" t="str">
        <f>IFERROR(_xlfn.XLOOKUP($A147,Planilha2!$A$2:$A$34,Planilha2!C$2:C$34,"",-1),"")</f>
        <v>B2</v>
      </c>
      <c r="C147" t="str">
        <f>IFERROR(_xlfn.XLOOKUP($A147,Planilha2!$A$2:$A$34,Planilha2!D$2:D$34,"",-1),"")</f>
        <v>Caa1</v>
      </c>
      <c r="D147" t="str" cm="1">
        <f t="array" ref="D147">IF($A147&lt;MIN(Planilha2!$A$2:$A$34),"",_xlfn.LET(_xlpm.t,_xlfn.XLOOKUP($A147,Planilha2!$A$2:$A$34,Planilha2!$E$2:$E$34,"",-1),_xlfn.IFS(ISNUMBER(SEARCH("positiva",_xlpm.t)),"Positiva",ISNUMBER(SEARCH("negativa",_xlpm.t)),"Negativa",ISNUMBER(SEARCH("estável",_xlpm.t)),"Estável",TRUE,"n/d")))</f>
        <v>Estável</v>
      </c>
      <c r="E147" t="str">
        <f>IFERROR(_xlfn.XLOOKUP($A147,Planilha2!$J$2:$J$44,Planilha2!L$2:L$44,"",-1),"")</f>
        <v>B+</v>
      </c>
      <c r="F147" t="str">
        <f>IFERROR(_xlfn.XLOOKUP($A147,Planilha2!$J$2:$J$44,Planilha2!M$2:M$44,"",-1),"")</f>
        <v>-</v>
      </c>
      <c r="G147" t="str" cm="1">
        <f t="array" ref="G147">IF($A147&lt;MIN(Planilha2!$J$2:$J$44),"",_xlfn.LET(_xlpm.t,_xlfn.XLOOKUP($A147,Planilha2!$J$2:$J$44,Planilha2!$N$2:$N$44,"",-1),_xlfn.IFS(ISNUMBER(SEARCH("positiva",_xlpm.t)),"Positiva",ISNUMBER(SEARCH("negativa",_xlpm.t)),"Negativa",ISNUMBER(SEARCH("estável",_xlpm.t)),"Estável",TRUE,"n/d")))</f>
        <v>n/d</v>
      </c>
      <c r="H147" t="str">
        <f>IFERROR(_xlfn.XLOOKUP($A147,Planilha2!$P$2:$P$38,Planilha2!R$2:R$38,"",-1),"")</f>
        <v>BB-</v>
      </c>
      <c r="I147" t="str">
        <f>IFERROR(_xlfn.XLOOKUP($A147,Planilha2!$P$2:$P$38,Planilha2!S$2:S$38,"",-1),"")</f>
        <v>BB+</v>
      </c>
      <c r="J147" t="str" cm="1">
        <f t="array" ref="J147">IF($A147&lt;MIN(Planilha2!$P$2:$P$38),"",_xlfn.LET(_xlpm.t,_xlfn.XLOOKUP($A147,Planilha2!$P$2:$P$38,Planilha2!$T$2:$T$38,"",-1),_xlfn.IFS(ISNUMBER(SEARCH("positiva",_xlpm.t)),"Positiva",ISNUMBER(SEARCH("negativa",_xlpm.t)),"Negativa",ISNUMBER(SEARCH("estável",_xlpm.t)),"Estável",TRUE,"n/d")))</f>
        <v>Negativa</v>
      </c>
      <c r="L147" s="52">
        <f>IFERROR(_xlfn.XLOOKUP(B147,'Agências de Rating Soberano'!$G$2:$G$22,'Agências de Rating Soberano'!$H$2:$H$22),NA())</f>
        <v>7</v>
      </c>
      <c r="M147" s="52">
        <f>IFERROR(_xlfn.XLOOKUP(C147,'Agências de Rating Soberano'!$G$2:$G$22,'Agências de Rating Soberano'!$H$2:$H$22),NA())</f>
        <v>5</v>
      </c>
      <c r="N147" s="52">
        <f>IFERROR(_xlfn.XLOOKUP(E147,'Agências de Rating Soberano'!$J$2:$J$22,'Agências de Rating Soberano'!$K$2:$K$22),NA())</f>
        <v>8</v>
      </c>
      <c r="O147" s="52" t="e">
        <f>IFERROR(_xlfn.XLOOKUP(F147,'Agências de Rating Soberano'!$J$2:$J$22,'Agências de Rating Soberano'!$K$2:$K$22),NA())</f>
        <v>#N/A</v>
      </c>
      <c r="P147" s="52">
        <f>IFERROR(_xlfn.XLOOKUP(H147,'Agências de Rating Soberano'!$J$2:$J$22,'Agências de Rating Soberano'!$K$2:$K$22),NA())</f>
        <v>9</v>
      </c>
      <c r="Q147" s="52">
        <f>IFERROR(_xlfn.XLOOKUP(I147,'Agências de Rating Soberano'!$J$2:$J$22,'Agências de Rating Soberano'!$K$2:$K$22),NA())</f>
        <v>11</v>
      </c>
    </row>
    <row r="148" spans="1:17" x14ac:dyDescent="0.3">
      <c r="A148" s="53">
        <f t="shared" si="9"/>
        <v>36191</v>
      </c>
      <c r="B148" t="str">
        <f>IFERROR(_xlfn.XLOOKUP($A148,Planilha2!$A$2:$A$34,Planilha2!C$2:C$34,"",-1),"")</f>
        <v>B2</v>
      </c>
      <c r="C148" t="str">
        <f>IFERROR(_xlfn.XLOOKUP($A148,Planilha2!$A$2:$A$34,Planilha2!D$2:D$34,"",-1),"")</f>
        <v>Caa1</v>
      </c>
      <c r="D148" t="str" cm="1">
        <f t="array" ref="D148">IF($A148&lt;MIN(Planilha2!$A$2:$A$34),"",_xlfn.LET(_xlpm.t,_xlfn.XLOOKUP($A148,Planilha2!$A$2:$A$34,Planilha2!$E$2:$E$34,"",-1),_xlfn.IFS(ISNUMBER(SEARCH("positiva",_xlpm.t)),"Positiva",ISNUMBER(SEARCH("negativa",_xlpm.t)),"Negativa",ISNUMBER(SEARCH("estável",_xlpm.t)),"Estável",TRUE,"n/d")))</f>
        <v>Estável</v>
      </c>
      <c r="E148" t="str">
        <f>IFERROR(_xlfn.XLOOKUP($A148,Planilha2!$J$2:$J$44,Planilha2!L$2:L$44,"",-1),"")</f>
        <v>B</v>
      </c>
      <c r="F148" t="str">
        <f>IFERROR(_xlfn.XLOOKUP($A148,Planilha2!$J$2:$J$44,Planilha2!M$2:M$44,"",-1),"")</f>
        <v>B</v>
      </c>
      <c r="G148" t="str" cm="1">
        <f t="array" ref="G148">IF($A148&lt;MIN(Planilha2!$J$2:$J$44),"",_xlfn.LET(_xlpm.t,_xlfn.XLOOKUP($A148,Planilha2!$J$2:$J$44,Planilha2!$N$2:$N$44,"",-1),_xlfn.IFS(ISNUMBER(SEARCH("positiva",_xlpm.t)),"Positiva",ISNUMBER(SEARCH("negativa",_xlpm.t)),"Negativa",ISNUMBER(SEARCH("estável",_xlpm.t)),"Estável",TRUE,"n/d")))</f>
        <v>n/d</v>
      </c>
      <c r="H148" t="str">
        <f>IFERROR(_xlfn.XLOOKUP($A148,Planilha2!$P$2:$P$38,Planilha2!R$2:R$38,"",-1),"")</f>
        <v>B+</v>
      </c>
      <c r="I148" t="str">
        <f>IFERROR(_xlfn.XLOOKUP($A148,Planilha2!$P$2:$P$38,Planilha2!S$2:S$38,"",-1),"")</f>
        <v>BB-</v>
      </c>
      <c r="J148" t="str" cm="1">
        <f t="array" ref="J148">IF($A148&lt;MIN(Planilha2!$P$2:$P$38),"",_xlfn.LET(_xlpm.t,_xlfn.XLOOKUP($A148,Planilha2!$P$2:$P$38,Planilha2!$T$2:$T$38,"",-1),_xlfn.IFS(ISNUMBER(SEARCH("positiva",_xlpm.t)),"Positiva",ISNUMBER(SEARCH("negativa",_xlpm.t)),"Negativa",ISNUMBER(SEARCH("estável",_xlpm.t)),"Estável",TRUE,"n/d")))</f>
        <v>Negativa</v>
      </c>
      <c r="L148" s="52">
        <f>IFERROR(_xlfn.XLOOKUP(B148,'Agências de Rating Soberano'!$G$2:$G$22,'Agências de Rating Soberano'!$H$2:$H$22),NA())</f>
        <v>7</v>
      </c>
      <c r="M148" s="52">
        <f>IFERROR(_xlfn.XLOOKUP(C148,'Agências de Rating Soberano'!$G$2:$G$22,'Agências de Rating Soberano'!$H$2:$H$22),NA())</f>
        <v>5</v>
      </c>
      <c r="N148" s="52">
        <f>IFERROR(_xlfn.XLOOKUP(E148,'Agências de Rating Soberano'!$J$2:$J$22,'Agências de Rating Soberano'!$K$2:$K$22),NA())</f>
        <v>7</v>
      </c>
      <c r="O148" s="52">
        <f>IFERROR(_xlfn.XLOOKUP(F148,'Agências de Rating Soberano'!$J$2:$J$22,'Agências de Rating Soberano'!$K$2:$K$22),NA())</f>
        <v>7</v>
      </c>
      <c r="P148" s="52">
        <f>IFERROR(_xlfn.XLOOKUP(H148,'Agências de Rating Soberano'!$J$2:$J$22,'Agências de Rating Soberano'!$K$2:$K$22),NA())</f>
        <v>8</v>
      </c>
      <c r="Q148" s="52">
        <f>IFERROR(_xlfn.XLOOKUP(I148,'Agências de Rating Soberano'!$J$2:$J$22,'Agências de Rating Soberano'!$K$2:$K$22),NA())</f>
        <v>9</v>
      </c>
    </row>
    <row r="149" spans="1:17" x14ac:dyDescent="0.3">
      <c r="A149" s="53">
        <f t="shared" si="9"/>
        <v>36219</v>
      </c>
      <c r="B149" t="str">
        <f>IFERROR(_xlfn.XLOOKUP($A149,Planilha2!$A$2:$A$34,Planilha2!C$2:C$34,"",-1),"")</f>
        <v>B2</v>
      </c>
      <c r="C149" t="str">
        <f>IFERROR(_xlfn.XLOOKUP($A149,Planilha2!$A$2:$A$34,Planilha2!D$2:D$34,"",-1),"")</f>
        <v>Caa1</v>
      </c>
      <c r="D149" t="str" cm="1">
        <f t="array" ref="D149">IF($A149&lt;MIN(Planilha2!$A$2:$A$34),"",_xlfn.LET(_xlpm.t,_xlfn.XLOOKUP($A149,Planilha2!$A$2:$A$34,Planilha2!$E$2:$E$34,"",-1),_xlfn.IFS(ISNUMBER(SEARCH("positiva",_xlpm.t)),"Positiva",ISNUMBER(SEARCH("negativa",_xlpm.t)),"Negativa",ISNUMBER(SEARCH("estável",_xlpm.t)),"Estável",TRUE,"n/d")))</f>
        <v>Estável</v>
      </c>
      <c r="E149" t="str">
        <f>IFERROR(_xlfn.XLOOKUP($A149,Planilha2!$J$2:$J$44,Planilha2!L$2:L$44,"",-1),"")</f>
        <v>B</v>
      </c>
      <c r="F149" t="str">
        <f>IFERROR(_xlfn.XLOOKUP($A149,Planilha2!$J$2:$J$44,Planilha2!M$2:M$44,"",-1),"")</f>
        <v>B</v>
      </c>
      <c r="G149" t="str" cm="1">
        <f t="array" ref="G149">IF($A149&lt;MIN(Planilha2!$J$2:$J$44),"",_xlfn.LET(_xlpm.t,_xlfn.XLOOKUP($A149,Planilha2!$J$2:$J$44,Planilha2!$N$2:$N$44,"",-1),_xlfn.IFS(ISNUMBER(SEARCH("positiva",_xlpm.t)),"Positiva",ISNUMBER(SEARCH("negativa",_xlpm.t)),"Negativa",ISNUMBER(SEARCH("estável",_xlpm.t)),"Estável",TRUE,"n/d")))</f>
        <v>n/d</v>
      </c>
      <c r="H149" t="str">
        <f>IFERROR(_xlfn.XLOOKUP($A149,Planilha2!$P$2:$P$38,Planilha2!R$2:R$38,"",-1),"")</f>
        <v>B+</v>
      </c>
      <c r="I149" t="str">
        <f>IFERROR(_xlfn.XLOOKUP($A149,Planilha2!$P$2:$P$38,Planilha2!S$2:S$38,"",-1),"")</f>
        <v>BB-</v>
      </c>
      <c r="J149" t="str" cm="1">
        <f t="array" ref="J149">IF($A149&lt;MIN(Planilha2!$P$2:$P$38),"",_xlfn.LET(_xlpm.t,_xlfn.XLOOKUP($A149,Planilha2!$P$2:$P$38,Planilha2!$T$2:$T$38,"",-1),_xlfn.IFS(ISNUMBER(SEARCH("positiva",_xlpm.t)),"Positiva",ISNUMBER(SEARCH("negativa",_xlpm.t)),"Negativa",ISNUMBER(SEARCH("estável",_xlpm.t)),"Estável",TRUE,"n/d")))</f>
        <v>Negativa</v>
      </c>
      <c r="L149" s="52">
        <f>IFERROR(_xlfn.XLOOKUP(B149,'Agências de Rating Soberano'!$G$2:$G$22,'Agências de Rating Soberano'!$H$2:$H$22),NA())</f>
        <v>7</v>
      </c>
      <c r="M149" s="52">
        <f>IFERROR(_xlfn.XLOOKUP(C149,'Agências de Rating Soberano'!$G$2:$G$22,'Agências de Rating Soberano'!$H$2:$H$22),NA())</f>
        <v>5</v>
      </c>
      <c r="N149" s="52">
        <f>IFERROR(_xlfn.XLOOKUP(E149,'Agências de Rating Soberano'!$J$2:$J$22,'Agências de Rating Soberano'!$K$2:$K$22),NA())</f>
        <v>7</v>
      </c>
      <c r="O149" s="52">
        <f>IFERROR(_xlfn.XLOOKUP(F149,'Agências de Rating Soberano'!$J$2:$J$22,'Agências de Rating Soberano'!$K$2:$K$22),NA())</f>
        <v>7</v>
      </c>
      <c r="P149" s="52">
        <f>IFERROR(_xlfn.XLOOKUP(H149,'Agências de Rating Soberano'!$J$2:$J$22,'Agências de Rating Soberano'!$K$2:$K$22),NA())</f>
        <v>8</v>
      </c>
      <c r="Q149" s="52">
        <f>IFERROR(_xlfn.XLOOKUP(I149,'Agências de Rating Soberano'!$J$2:$J$22,'Agências de Rating Soberano'!$K$2:$K$22),NA())</f>
        <v>9</v>
      </c>
    </row>
    <row r="150" spans="1:17" x14ac:dyDescent="0.3">
      <c r="A150" s="53">
        <f t="shared" si="9"/>
        <v>36250</v>
      </c>
      <c r="B150" t="str">
        <f>IFERROR(_xlfn.XLOOKUP($A150,Planilha2!$A$2:$A$34,Planilha2!C$2:C$34,"",-1),"")</f>
        <v>B2</v>
      </c>
      <c r="C150" t="str">
        <f>IFERROR(_xlfn.XLOOKUP($A150,Planilha2!$A$2:$A$34,Planilha2!D$2:D$34,"",-1),"")</f>
        <v>Caa1</v>
      </c>
      <c r="D150" t="str" cm="1">
        <f t="array" ref="D150">IF($A150&lt;MIN(Planilha2!$A$2:$A$34),"",_xlfn.LET(_xlpm.t,_xlfn.XLOOKUP($A150,Planilha2!$A$2:$A$34,Planilha2!$E$2:$E$34,"",-1),_xlfn.IFS(ISNUMBER(SEARCH("positiva",_xlpm.t)),"Positiva",ISNUMBER(SEARCH("negativa",_xlpm.t)),"Negativa",ISNUMBER(SEARCH("estável",_xlpm.t)),"Estável",TRUE,"n/d")))</f>
        <v>Estável</v>
      </c>
      <c r="E150" t="str">
        <f>IFERROR(_xlfn.XLOOKUP($A150,Planilha2!$J$2:$J$44,Planilha2!L$2:L$44,"",-1),"")</f>
        <v>B</v>
      </c>
      <c r="F150" t="str">
        <f>IFERROR(_xlfn.XLOOKUP($A150,Planilha2!$J$2:$J$44,Planilha2!M$2:M$44,"",-1),"")</f>
        <v>B</v>
      </c>
      <c r="G150" t="str" cm="1">
        <f t="array" ref="G150">IF($A150&lt;MIN(Planilha2!$J$2:$J$44),"",_xlfn.LET(_xlpm.t,_xlfn.XLOOKUP($A150,Planilha2!$J$2:$J$44,Planilha2!$N$2:$N$44,"",-1),_xlfn.IFS(ISNUMBER(SEARCH("positiva",_xlpm.t)),"Positiva",ISNUMBER(SEARCH("negativa",_xlpm.t)),"Negativa",ISNUMBER(SEARCH("estável",_xlpm.t)),"Estável",TRUE,"n/d")))</f>
        <v>n/d</v>
      </c>
      <c r="H150" t="str">
        <f>IFERROR(_xlfn.XLOOKUP($A150,Planilha2!$P$2:$P$38,Planilha2!R$2:R$38,"",-1),"")</f>
        <v>B+</v>
      </c>
      <c r="I150" t="str">
        <f>IFERROR(_xlfn.XLOOKUP($A150,Planilha2!$P$2:$P$38,Planilha2!S$2:S$38,"",-1),"")</f>
        <v>BB-</v>
      </c>
      <c r="J150" t="str" cm="1">
        <f t="array" ref="J150">IF($A150&lt;MIN(Planilha2!$P$2:$P$38),"",_xlfn.LET(_xlpm.t,_xlfn.XLOOKUP($A150,Planilha2!$P$2:$P$38,Planilha2!$T$2:$T$38,"",-1),_xlfn.IFS(ISNUMBER(SEARCH("positiva",_xlpm.t)),"Positiva",ISNUMBER(SEARCH("negativa",_xlpm.t)),"Negativa",ISNUMBER(SEARCH("estável",_xlpm.t)),"Estável",TRUE,"n/d")))</f>
        <v>Negativa</v>
      </c>
      <c r="L150" s="52">
        <f>IFERROR(_xlfn.XLOOKUP(B150,'Agências de Rating Soberano'!$G$2:$G$22,'Agências de Rating Soberano'!$H$2:$H$22),NA())</f>
        <v>7</v>
      </c>
      <c r="M150" s="52">
        <f>IFERROR(_xlfn.XLOOKUP(C150,'Agências de Rating Soberano'!$G$2:$G$22,'Agências de Rating Soberano'!$H$2:$H$22),NA())</f>
        <v>5</v>
      </c>
      <c r="N150" s="52">
        <f>IFERROR(_xlfn.XLOOKUP(E150,'Agências de Rating Soberano'!$J$2:$J$22,'Agências de Rating Soberano'!$K$2:$K$22),NA())</f>
        <v>7</v>
      </c>
      <c r="O150" s="52">
        <f>IFERROR(_xlfn.XLOOKUP(F150,'Agências de Rating Soberano'!$J$2:$J$22,'Agências de Rating Soberano'!$K$2:$K$22),NA())</f>
        <v>7</v>
      </c>
      <c r="P150" s="52">
        <f>IFERROR(_xlfn.XLOOKUP(H150,'Agências de Rating Soberano'!$J$2:$J$22,'Agências de Rating Soberano'!$K$2:$K$22),NA())</f>
        <v>8</v>
      </c>
      <c r="Q150" s="52">
        <f>IFERROR(_xlfn.XLOOKUP(I150,'Agências de Rating Soberano'!$J$2:$J$22,'Agências de Rating Soberano'!$K$2:$K$22),NA())</f>
        <v>9</v>
      </c>
    </row>
    <row r="151" spans="1:17" x14ac:dyDescent="0.3">
      <c r="A151" s="53">
        <f t="shared" si="9"/>
        <v>36280</v>
      </c>
      <c r="B151" t="str">
        <f>IFERROR(_xlfn.XLOOKUP($A151,Planilha2!$A$2:$A$34,Planilha2!C$2:C$34,"",-1),"")</f>
        <v>B2</v>
      </c>
      <c r="C151" t="str">
        <f>IFERROR(_xlfn.XLOOKUP($A151,Planilha2!$A$2:$A$34,Planilha2!D$2:D$34,"",-1),"")</f>
        <v>Caa1</v>
      </c>
      <c r="D151" t="str" cm="1">
        <f t="array" ref="D151">IF($A151&lt;MIN(Planilha2!$A$2:$A$34),"",_xlfn.LET(_xlpm.t,_xlfn.XLOOKUP($A151,Planilha2!$A$2:$A$34,Planilha2!$E$2:$E$34,"",-1),_xlfn.IFS(ISNUMBER(SEARCH("positiva",_xlpm.t)),"Positiva",ISNUMBER(SEARCH("negativa",_xlpm.t)),"Negativa",ISNUMBER(SEARCH("estável",_xlpm.t)),"Estável",TRUE,"n/d")))</f>
        <v>Estável</v>
      </c>
      <c r="E151" t="str">
        <f>IFERROR(_xlfn.XLOOKUP($A151,Planilha2!$J$2:$J$44,Planilha2!L$2:L$44,"",-1),"")</f>
        <v>B</v>
      </c>
      <c r="F151" t="str">
        <f>IFERROR(_xlfn.XLOOKUP($A151,Planilha2!$J$2:$J$44,Planilha2!M$2:M$44,"",-1),"")</f>
        <v>B</v>
      </c>
      <c r="G151" t="str" cm="1">
        <f t="array" ref="G151">IF($A151&lt;MIN(Planilha2!$J$2:$J$44),"",_xlfn.LET(_xlpm.t,_xlfn.XLOOKUP($A151,Planilha2!$J$2:$J$44,Planilha2!$N$2:$N$44,"",-1),_xlfn.IFS(ISNUMBER(SEARCH("positiva",_xlpm.t)),"Positiva",ISNUMBER(SEARCH("negativa",_xlpm.t)),"Negativa",ISNUMBER(SEARCH("estável",_xlpm.t)),"Estável",TRUE,"n/d")))</f>
        <v>n/d</v>
      </c>
      <c r="H151" t="str">
        <f>IFERROR(_xlfn.XLOOKUP($A151,Planilha2!$P$2:$P$38,Planilha2!R$2:R$38,"",-1),"")</f>
        <v>B+</v>
      </c>
      <c r="I151" t="str">
        <f>IFERROR(_xlfn.XLOOKUP($A151,Planilha2!$P$2:$P$38,Planilha2!S$2:S$38,"",-1),"")</f>
        <v>BB-</v>
      </c>
      <c r="J151" t="str" cm="1">
        <f t="array" ref="J151">IF($A151&lt;MIN(Planilha2!$P$2:$P$38),"",_xlfn.LET(_xlpm.t,_xlfn.XLOOKUP($A151,Planilha2!$P$2:$P$38,Planilha2!$T$2:$T$38,"",-1),_xlfn.IFS(ISNUMBER(SEARCH("positiva",_xlpm.t)),"Positiva",ISNUMBER(SEARCH("negativa",_xlpm.t)),"Negativa",ISNUMBER(SEARCH("estável",_xlpm.t)),"Estável",TRUE,"n/d")))</f>
        <v>Negativa</v>
      </c>
      <c r="L151" s="52">
        <f>IFERROR(_xlfn.XLOOKUP(B151,'Agências de Rating Soberano'!$G$2:$G$22,'Agências de Rating Soberano'!$H$2:$H$22),NA())</f>
        <v>7</v>
      </c>
      <c r="M151" s="52">
        <f>IFERROR(_xlfn.XLOOKUP(C151,'Agências de Rating Soberano'!$G$2:$G$22,'Agências de Rating Soberano'!$H$2:$H$22),NA())</f>
        <v>5</v>
      </c>
      <c r="N151" s="52">
        <f>IFERROR(_xlfn.XLOOKUP(E151,'Agências de Rating Soberano'!$J$2:$J$22,'Agências de Rating Soberano'!$K$2:$K$22),NA())</f>
        <v>7</v>
      </c>
      <c r="O151" s="52">
        <f>IFERROR(_xlfn.XLOOKUP(F151,'Agências de Rating Soberano'!$J$2:$J$22,'Agências de Rating Soberano'!$K$2:$K$22),NA())</f>
        <v>7</v>
      </c>
      <c r="P151" s="52">
        <f>IFERROR(_xlfn.XLOOKUP(H151,'Agências de Rating Soberano'!$J$2:$J$22,'Agências de Rating Soberano'!$K$2:$K$22),NA())</f>
        <v>8</v>
      </c>
      <c r="Q151" s="52">
        <f>IFERROR(_xlfn.XLOOKUP(I151,'Agências de Rating Soberano'!$J$2:$J$22,'Agências de Rating Soberano'!$K$2:$K$22),NA())</f>
        <v>9</v>
      </c>
    </row>
    <row r="152" spans="1:17" x14ac:dyDescent="0.3">
      <c r="A152" s="53">
        <f t="shared" si="9"/>
        <v>36311</v>
      </c>
      <c r="B152" t="str">
        <f>IFERROR(_xlfn.XLOOKUP($A152,Planilha2!$A$2:$A$34,Planilha2!C$2:C$34,"",-1),"")</f>
        <v>B2</v>
      </c>
      <c r="C152" t="str">
        <f>IFERROR(_xlfn.XLOOKUP($A152,Planilha2!$A$2:$A$34,Planilha2!D$2:D$34,"",-1),"")</f>
        <v>Caa1</v>
      </c>
      <c r="D152" t="str" cm="1">
        <f t="array" ref="D152">IF($A152&lt;MIN(Planilha2!$A$2:$A$34),"",_xlfn.LET(_xlpm.t,_xlfn.XLOOKUP($A152,Planilha2!$A$2:$A$34,Planilha2!$E$2:$E$34,"",-1),_xlfn.IFS(ISNUMBER(SEARCH("positiva",_xlpm.t)),"Positiva",ISNUMBER(SEARCH("negativa",_xlpm.t)),"Negativa",ISNUMBER(SEARCH("estável",_xlpm.t)),"Estável",TRUE,"n/d")))</f>
        <v>Estável</v>
      </c>
      <c r="E152" t="str">
        <f>IFERROR(_xlfn.XLOOKUP($A152,Planilha2!$J$2:$J$44,Planilha2!L$2:L$44,"",-1),"")</f>
        <v>B</v>
      </c>
      <c r="F152" t="str">
        <f>IFERROR(_xlfn.XLOOKUP($A152,Planilha2!$J$2:$J$44,Planilha2!M$2:M$44,"",-1),"")</f>
        <v>B</v>
      </c>
      <c r="G152" t="str" cm="1">
        <f t="array" ref="G152">IF($A152&lt;MIN(Planilha2!$J$2:$J$44),"",_xlfn.LET(_xlpm.t,_xlfn.XLOOKUP($A152,Planilha2!$J$2:$J$44,Planilha2!$N$2:$N$44,"",-1),_xlfn.IFS(ISNUMBER(SEARCH("positiva",_xlpm.t)),"Positiva",ISNUMBER(SEARCH("negativa",_xlpm.t)),"Negativa",ISNUMBER(SEARCH("estável",_xlpm.t)),"Estável",TRUE,"n/d")))</f>
        <v>n/d</v>
      </c>
      <c r="H152" t="str">
        <f>IFERROR(_xlfn.XLOOKUP($A152,Planilha2!$P$2:$P$38,Planilha2!R$2:R$38,"",-1),"")</f>
        <v>B+</v>
      </c>
      <c r="I152" t="str">
        <f>IFERROR(_xlfn.XLOOKUP($A152,Planilha2!$P$2:$P$38,Planilha2!S$2:S$38,"",-1),"")</f>
        <v>BB-</v>
      </c>
      <c r="J152" t="str" cm="1">
        <f t="array" ref="J152">IF($A152&lt;MIN(Planilha2!$P$2:$P$38),"",_xlfn.LET(_xlpm.t,_xlfn.XLOOKUP($A152,Planilha2!$P$2:$P$38,Planilha2!$T$2:$T$38,"",-1),_xlfn.IFS(ISNUMBER(SEARCH("positiva",_xlpm.t)),"Positiva",ISNUMBER(SEARCH("negativa",_xlpm.t)),"Negativa",ISNUMBER(SEARCH("estável",_xlpm.t)),"Estável",TRUE,"n/d")))</f>
        <v>Negativa</v>
      </c>
      <c r="L152" s="52">
        <f>IFERROR(_xlfn.XLOOKUP(B152,'Agências de Rating Soberano'!$G$2:$G$22,'Agências de Rating Soberano'!$H$2:$H$22),NA())</f>
        <v>7</v>
      </c>
      <c r="M152" s="52">
        <f>IFERROR(_xlfn.XLOOKUP(C152,'Agências de Rating Soberano'!$G$2:$G$22,'Agências de Rating Soberano'!$H$2:$H$22),NA())</f>
        <v>5</v>
      </c>
      <c r="N152" s="52">
        <f>IFERROR(_xlfn.XLOOKUP(E152,'Agências de Rating Soberano'!$J$2:$J$22,'Agências de Rating Soberano'!$K$2:$K$22),NA())</f>
        <v>7</v>
      </c>
      <c r="O152" s="52">
        <f>IFERROR(_xlfn.XLOOKUP(F152,'Agências de Rating Soberano'!$J$2:$J$22,'Agências de Rating Soberano'!$K$2:$K$22),NA())</f>
        <v>7</v>
      </c>
      <c r="P152" s="52">
        <f>IFERROR(_xlfn.XLOOKUP(H152,'Agências de Rating Soberano'!$J$2:$J$22,'Agências de Rating Soberano'!$K$2:$K$22),NA())</f>
        <v>8</v>
      </c>
      <c r="Q152" s="52">
        <f>IFERROR(_xlfn.XLOOKUP(I152,'Agências de Rating Soberano'!$J$2:$J$22,'Agências de Rating Soberano'!$K$2:$K$22),NA())</f>
        <v>9</v>
      </c>
    </row>
    <row r="153" spans="1:17" x14ac:dyDescent="0.3">
      <c r="A153" s="53">
        <f t="shared" si="9"/>
        <v>36341</v>
      </c>
      <c r="B153" t="str">
        <f>IFERROR(_xlfn.XLOOKUP($A153,Planilha2!$A$2:$A$34,Planilha2!C$2:C$34,"",-1),"")</f>
        <v>B2</v>
      </c>
      <c r="C153" t="str">
        <f>IFERROR(_xlfn.XLOOKUP($A153,Planilha2!$A$2:$A$34,Planilha2!D$2:D$34,"",-1),"")</f>
        <v>Caa1</v>
      </c>
      <c r="D153" t="str" cm="1">
        <f t="array" ref="D153">IF($A153&lt;MIN(Planilha2!$A$2:$A$34),"",_xlfn.LET(_xlpm.t,_xlfn.XLOOKUP($A153,Planilha2!$A$2:$A$34,Planilha2!$E$2:$E$34,"",-1),_xlfn.IFS(ISNUMBER(SEARCH("positiva",_xlpm.t)),"Positiva",ISNUMBER(SEARCH("negativa",_xlpm.t)),"Negativa",ISNUMBER(SEARCH("estável",_xlpm.t)),"Estável",TRUE,"n/d")))</f>
        <v>Estável</v>
      </c>
      <c r="E153" t="str">
        <f>IFERROR(_xlfn.XLOOKUP($A153,Planilha2!$J$2:$J$44,Planilha2!L$2:L$44,"",-1),"")</f>
        <v>B</v>
      </c>
      <c r="F153" t="str">
        <f>IFERROR(_xlfn.XLOOKUP($A153,Planilha2!$J$2:$J$44,Planilha2!M$2:M$44,"",-1),"")</f>
        <v>B</v>
      </c>
      <c r="G153" t="str" cm="1">
        <f t="array" ref="G153">IF($A153&lt;MIN(Planilha2!$J$2:$J$44),"",_xlfn.LET(_xlpm.t,_xlfn.XLOOKUP($A153,Planilha2!$J$2:$J$44,Planilha2!$N$2:$N$44,"",-1),_xlfn.IFS(ISNUMBER(SEARCH("positiva",_xlpm.t)),"Positiva",ISNUMBER(SEARCH("negativa",_xlpm.t)),"Negativa",ISNUMBER(SEARCH("estável",_xlpm.t)),"Estável",TRUE,"n/d")))</f>
        <v>n/d</v>
      </c>
      <c r="H153" t="str">
        <f>IFERROR(_xlfn.XLOOKUP($A153,Planilha2!$P$2:$P$38,Planilha2!R$2:R$38,"",-1),"")</f>
        <v>B+</v>
      </c>
      <c r="I153" t="str">
        <f>IFERROR(_xlfn.XLOOKUP($A153,Planilha2!$P$2:$P$38,Planilha2!S$2:S$38,"",-1),"")</f>
        <v>BB-</v>
      </c>
      <c r="J153" t="str" cm="1">
        <f t="array" ref="J153">IF($A153&lt;MIN(Planilha2!$P$2:$P$38),"",_xlfn.LET(_xlpm.t,_xlfn.XLOOKUP($A153,Planilha2!$P$2:$P$38,Planilha2!$T$2:$T$38,"",-1),_xlfn.IFS(ISNUMBER(SEARCH("positiva",_xlpm.t)),"Positiva",ISNUMBER(SEARCH("negativa",_xlpm.t)),"Negativa",ISNUMBER(SEARCH("estável",_xlpm.t)),"Estável",TRUE,"n/d")))</f>
        <v>Negativa</v>
      </c>
      <c r="L153" s="52">
        <f>IFERROR(_xlfn.XLOOKUP(B153,'Agências de Rating Soberano'!$G$2:$G$22,'Agências de Rating Soberano'!$H$2:$H$22),NA())</f>
        <v>7</v>
      </c>
      <c r="M153" s="52">
        <f>IFERROR(_xlfn.XLOOKUP(C153,'Agências de Rating Soberano'!$G$2:$G$22,'Agências de Rating Soberano'!$H$2:$H$22),NA())</f>
        <v>5</v>
      </c>
      <c r="N153" s="52">
        <f>IFERROR(_xlfn.XLOOKUP(E153,'Agências de Rating Soberano'!$J$2:$J$22,'Agências de Rating Soberano'!$K$2:$K$22),NA())</f>
        <v>7</v>
      </c>
      <c r="O153" s="52">
        <f>IFERROR(_xlfn.XLOOKUP(F153,'Agências de Rating Soberano'!$J$2:$J$22,'Agências de Rating Soberano'!$K$2:$K$22),NA())</f>
        <v>7</v>
      </c>
      <c r="P153" s="52">
        <f>IFERROR(_xlfn.XLOOKUP(H153,'Agências de Rating Soberano'!$J$2:$J$22,'Agências de Rating Soberano'!$K$2:$K$22),NA())</f>
        <v>8</v>
      </c>
      <c r="Q153" s="52">
        <f>IFERROR(_xlfn.XLOOKUP(I153,'Agências de Rating Soberano'!$J$2:$J$22,'Agências de Rating Soberano'!$K$2:$K$22),NA())</f>
        <v>9</v>
      </c>
    </row>
    <row r="154" spans="1:17" x14ac:dyDescent="0.3">
      <c r="A154" s="53">
        <f t="shared" si="9"/>
        <v>36372</v>
      </c>
      <c r="B154" t="str">
        <f>IFERROR(_xlfn.XLOOKUP($A154,Planilha2!$A$2:$A$34,Planilha2!C$2:C$34,"",-1),"")</f>
        <v>B2</v>
      </c>
      <c r="C154" t="str">
        <f>IFERROR(_xlfn.XLOOKUP($A154,Planilha2!$A$2:$A$34,Planilha2!D$2:D$34,"",-1),"")</f>
        <v>Caa1</v>
      </c>
      <c r="D154" t="str" cm="1">
        <f t="array" ref="D154">IF($A154&lt;MIN(Planilha2!$A$2:$A$34),"",_xlfn.LET(_xlpm.t,_xlfn.XLOOKUP($A154,Planilha2!$A$2:$A$34,Planilha2!$E$2:$E$34,"",-1),_xlfn.IFS(ISNUMBER(SEARCH("positiva",_xlpm.t)),"Positiva",ISNUMBER(SEARCH("negativa",_xlpm.t)),"Negativa",ISNUMBER(SEARCH("estável",_xlpm.t)),"Estável",TRUE,"n/d")))</f>
        <v>Estável</v>
      </c>
      <c r="E154" t="str">
        <f>IFERROR(_xlfn.XLOOKUP($A154,Planilha2!$J$2:$J$44,Planilha2!L$2:L$44,"",-1),"")</f>
        <v>B</v>
      </c>
      <c r="F154" t="str">
        <f>IFERROR(_xlfn.XLOOKUP($A154,Planilha2!$J$2:$J$44,Planilha2!M$2:M$44,"",-1),"")</f>
        <v>B</v>
      </c>
      <c r="G154" t="str" cm="1">
        <f t="array" ref="G154">IF($A154&lt;MIN(Planilha2!$J$2:$J$44),"",_xlfn.LET(_xlpm.t,_xlfn.XLOOKUP($A154,Planilha2!$J$2:$J$44,Planilha2!$N$2:$N$44,"",-1),_xlfn.IFS(ISNUMBER(SEARCH("positiva",_xlpm.t)),"Positiva",ISNUMBER(SEARCH("negativa",_xlpm.t)),"Negativa",ISNUMBER(SEARCH("estável",_xlpm.t)),"Estável",TRUE,"n/d")))</f>
        <v>n/d</v>
      </c>
      <c r="H154" t="str">
        <f>IFERROR(_xlfn.XLOOKUP($A154,Planilha2!$P$2:$P$38,Planilha2!R$2:R$38,"",-1),"")</f>
        <v>B+</v>
      </c>
      <c r="I154" t="str">
        <f>IFERROR(_xlfn.XLOOKUP($A154,Planilha2!$P$2:$P$38,Planilha2!S$2:S$38,"",-1),"")</f>
        <v>BB-</v>
      </c>
      <c r="J154" t="str" cm="1">
        <f t="array" ref="J154">IF($A154&lt;MIN(Planilha2!$P$2:$P$38),"",_xlfn.LET(_xlpm.t,_xlfn.XLOOKUP($A154,Planilha2!$P$2:$P$38,Planilha2!$T$2:$T$38,"",-1),_xlfn.IFS(ISNUMBER(SEARCH("positiva",_xlpm.t)),"Positiva",ISNUMBER(SEARCH("negativa",_xlpm.t)),"Negativa",ISNUMBER(SEARCH("estável",_xlpm.t)),"Estável",TRUE,"n/d")))</f>
        <v>Negativa</v>
      </c>
      <c r="L154" s="52">
        <f>IFERROR(_xlfn.XLOOKUP(B154,'Agências de Rating Soberano'!$G$2:$G$22,'Agências de Rating Soberano'!$H$2:$H$22),NA())</f>
        <v>7</v>
      </c>
      <c r="M154" s="52">
        <f>IFERROR(_xlfn.XLOOKUP(C154,'Agências de Rating Soberano'!$G$2:$G$22,'Agências de Rating Soberano'!$H$2:$H$22),NA())</f>
        <v>5</v>
      </c>
      <c r="N154" s="52">
        <f>IFERROR(_xlfn.XLOOKUP(E154,'Agências de Rating Soberano'!$J$2:$J$22,'Agências de Rating Soberano'!$K$2:$K$22),NA())</f>
        <v>7</v>
      </c>
      <c r="O154" s="52">
        <f>IFERROR(_xlfn.XLOOKUP(F154,'Agências de Rating Soberano'!$J$2:$J$22,'Agências de Rating Soberano'!$K$2:$K$22),NA())</f>
        <v>7</v>
      </c>
      <c r="P154" s="52">
        <f>IFERROR(_xlfn.XLOOKUP(H154,'Agências de Rating Soberano'!$J$2:$J$22,'Agências de Rating Soberano'!$K$2:$K$22),NA())</f>
        <v>8</v>
      </c>
      <c r="Q154" s="52">
        <f>IFERROR(_xlfn.XLOOKUP(I154,'Agências de Rating Soberano'!$J$2:$J$22,'Agências de Rating Soberano'!$K$2:$K$22),NA())</f>
        <v>9</v>
      </c>
    </row>
    <row r="155" spans="1:17" x14ac:dyDescent="0.3">
      <c r="A155" s="53">
        <f t="shared" si="9"/>
        <v>36403</v>
      </c>
      <c r="B155" t="str">
        <f>IFERROR(_xlfn.XLOOKUP($A155,Planilha2!$A$2:$A$34,Planilha2!C$2:C$34,"",-1),"")</f>
        <v>B2</v>
      </c>
      <c r="C155" t="str">
        <f>IFERROR(_xlfn.XLOOKUP($A155,Planilha2!$A$2:$A$34,Planilha2!D$2:D$34,"",-1),"")</f>
        <v>Caa1</v>
      </c>
      <c r="D155" t="str" cm="1">
        <f t="array" ref="D155">IF($A155&lt;MIN(Planilha2!$A$2:$A$34),"",_xlfn.LET(_xlpm.t,_xlfn.XLOOKUP($A155,Planilha2!$A$2:$A$34,Planilha2!$E$2:$E$34,"",-1),_xlfn.IFS(ISNUMBER(SEARCH("positiva",_xlpm.t)),"Positiva",ISNUMBER(SEARCH("negativa",_xlpm.t)),"Negativa",ISNUMBER(SEARCH("estável",_xlpm.t)),"Estável",TRUE,"n/d")))</f>
        <v>Estável</v>
      </c>
      <c r="E155" t="str">
        <f>IFERROR(_xlfn.XLOOKUP($A155,Planilha2!$J$2:$J$44,Planilha2!L$2:L$44,"",-1),"")</f>
        <v>B</v>
      </c>
      <c r="F155" t="str">
        <f>IFERROR(_xlfn.XLOOKUP($A155,Planilha2!$J$2:$J$44,Planilha2!M$2:M$44,"",-1),"")</f>
        <v>B</v>
      </c>
      <c r="G155" t="str" cm="1">
        <f t="array" ref="G155">IF($A155&lt;MIN(Planilha2!$J$2:$J$44),"",_xlfn.LET(_xlpm.t,_xlfn.XLOOKUP($A155,Planilha2!$J$2:$J$44,Planilha2!$N$2:$N$44,"",-1),_xlfn.IFS(ISNUMBER(SEARCH("positiva",_xlpm.t)),"Positiva",ISNUMBER(SEARCH("negativa",_xlpm.t)),"Negativa",ISNUMBER(SEARCH("estável",_xlpm.t)),"Estável",TRUE,"n/d")))</f>
        <v>n/d</v>
      </c>
      <c r="H155" t="str">
        <f>IFERROR(_xlfn.XLOOKUP($A155,Planilha2!$P$2:$P$38,Planilha2!R$2:R$38,"",-1),"")</f>
        <v>B+</v>
      </c>
      <c r="I155" t="str">
        <f>IFERROR(_xlfn.XLOOKUP($A155,Planilha2!$P$2:$P$38,Planilha2!S$2:S$38,"",-1),"")</f>
        <v>BB-</v>
      </c>
      <c r="J155" t="str" cm="1">
        <f t="array" ref="J155">IF($A155&lt;MIN(Planilha2!$P$2:$P$38),"",_xlfn.LET(_xlpm.t,_xlfn.XLOOKUP($A155,Planilha2!$P$2:$P$38,Planilha2!$T$2:$T$38,"",-1),_xlfn.IFS(ISNUMBER(SEARCH("positiva",_xlpm.t)),"Positiva",ISNUMBER(SEARCH("negativa",_xlpm.t)),"Negativa",ISNUMBER(SEARCH("estável",_xlpm.t)),"Estável",TRUE,"n/d")))</f>
        <v>Negativa</v>
      </c>
      <c r="L155" s="52">
        <f>IFERROR(_xlfn.XLOOKUP(B155,'Agências de Rating Soberano'!$G$2:$G$22,'Agências de Rating Soberano'!$H$2:$H$22),NA())</f>
        <v>7</v>
      </c>
      <c r="M155" s="52">
        <f>IFERROR(_xlfn.XLOOKUP(C155,'Agências de Rating Soberano'!$G$2:$G$22,'Agências de Rating Soberano'!$H$2:$H$22),NA())</f>
        <v>5</v>
      </c>
      <c r="N155" s="52">
        <f>IFERROR(_xlfn.XLOOKUP(E155,'Agências de Rating Soberano'!$J$2:$J$22,'Agências de Rating Soberano'!$K$2:$K$22),NA())</f>
        <v>7</v>
      </c>
      <c r="O155" s="52">
        <f>IFERROR(_xlfn.XLOOKUP(F155,'Agências de Rating Soberano'!$J$2:$J$22,'Agências de Rating Soberano'!$K$2:$K$22),NA())</f>
        <v>7</v>
      </c>
      <c r="P155" s="52">
        <f>IFERROR(_xlfn.XLOOKUP(H155,'Agências de Rating Soberano'!$J$2:$J$22,'Agências de Rating Soberano'!$K$2:$K$22),NA())</f>
        <v>8</v>
      </c>
      <c r="Q155" s="52">
        <f>IFERROR(_xlfn.XLOOKUP(I155,'Agências de Rating Soberano'!$J$2:$J$22,'Agências de Rating Soberano'!$K$2:$K$22),NA())</f>
        <v>9</v>
      </c>
    </row>
    <row r="156" spans="1:17" x14ac:dyDescent="0.3">
      <c r="A156" s="53">
        <f t="shared" si="9"/>
        <v>36433</v>
      </c>
      <c r="B156" t="str">
        <f>IFERROR(_xlfn.XLOOKUP($A156,Planilha2!$A$2:$A$34,Planilha2!C$2:C$34,"",-1),"")</f>
        <v>B2</v>
      </c>
      <c r="C156" t="str">
        <f>IFERROR(_xlfn.XLOOKUP($A156,Planilha2!$A$2:$A$34,Planilha2!D$2:D$34,"",-1),"")</f>
        <v>Caa1</v>
      </c>
      <c r="D156" t="str" cm="1">
        <f t="array" ref="D156">IF($A156&lt;MIN(Planilha2!$A$2:$A$34),"",_xlfn.LET(_xlpm.t,_xlfn.XLOOKUP($A156,Planilha2!$A$2:$A$34,Planilha2!$E$2:$E$34,"",-1),_xlfn.IFS(ISNUMBER(SEARCH("positiva",_xlpm.t)),"Positiva",ISNUMBER(SEARCH("negativa",_xlpm.t)),"Negativa",ISNUMBER(SEARCH("estável",_xlpm.t)),"Estável",TRUE,"n/d")))</f>
        <v>Estável</v>
      </c>
      <c r="E156" t="str">
        <f>IFERROR(_xlfn.XLOOKUP($A156,Planilha2!$J$2:$J$44,Planilha2!L$2:L$44,"",-1),"")</f>
        <v>B</v>
      </c>
      <c r="F156" t="str">
        <f>IFERROR(_xlfn.XLOOKUP($A156,Planilha2!$J$2:$J$44,Planilha2!M$2:M$44,"",-1),"")</f>
        <v>B</v>
      </c>
      <c r="G156" t="str" cm="1">
        <f t="array" ref="G156">IF($A156&lt;MIN(Planilha2!$J$2:$J$44),"",_xlfn.LET(_xlpm.t,_xlfn.XLOOKUP($A156,Planilha2!$J$2:$J$44,Planilha2!$N$2:$N$44,"",-1),_xlfn.IFS(ISNUMBER(SEARCH("positiva",_xlpm.t)),"Positiva",ISNUMBER(SEARCH("negativa",_xlpm.t)),"Negativa",ISNUMBER(SEARCH("estável",_xlpm.t)),"Estável",TRUE,"n/d")))</f>
        <v>n/d</v>
      </c>
      <c r="H156" t="str">
        <f>IFERROR(_xlfn.XLOOKUP($A156,Planilha2!$P$2:$P$38,Planilha2!R$2:R$38,"",-1),"")</f>
        <v>B+</v>
      </c>
      <c r="I156" t="str">
        <f>IFERROR(_xlfn.XLOOKUP($A156,Planilha2!$P$2:$P$38,Planilha2!S$2:S$38,"",-1),"")</f>
        <v>BB-</v>
      </c>
      <c r="J156" t="str" cm="1">
        <f t="array" ref="J156">IF($A156&lt;MIN(Planilha2!$P$2:$P$38),"",_xlfn.LET(_xlpm.t,_xlfn.XLOOKUP($A156,Planilha2!$P$2:$P$38,Planilha2!$T$2:$T$38,"",-1),_xlfn.IFS(ISNUMBER(SEARCH("positiva",_xlpm.t)),"Positiva",ISNUMBER(SEARCH("negativa",_xlpm.t)),"Negativa",ISNUMBER(SEARCH("estável",_xlpm.t)),"Estável",TRUE,"n/d")))</f>
        <v>Negativa</v>
      </c>
      <c r="L156" s="52">
        <f>IFERROR(_xlfn.XLOOKUP(B156,'Agências de Rating Soberano'!$G$2:$G$22,'Agências de Rating Soberano'!$H$2:$H$22),NA())</f>
        <v>7</v>
      </c>
      <c r="M156" s="52">
        <f>IFERROR(_xlfn.XLOOKUP(C156,'Agências de Rating Soberano'!$G$2:$G$22,'Agências de Rating Soberano'!$H$2:$H$22),NA())</f>
        <v>5</v>
      </c>
      <c r="N156" s="52">
        <f>IFERROR(_xlfn.XLOOKUP(E156,'Agências de Rating Soberano'!$J$2:$J$22,'Agências de Rating Soberano'!$K$2:$K$22),NA())</f>
        <v>7</v>
      </c>
      <c r="O156" s="52">
        <f>IFERROR(_xlfn.XLOOKUP(F156,'Agências de Rating Soberano'!$J$2:$J$22,'Agências de Rating Soberano'!$K$2:$K$22),NA())</f>
        <v>7</v>
      </c>
      <c r="P156" s="52">
        <f>IFERROR(_xlfn.XLOOKUP(H156,'Agências de Rating Soberano'!$J$2:$J$22,'Agências de Rating Soberano'!$K$2:$K$22),NA())</f>
        <v>8</v>
      </c>
      <c r="Q156" s="52">
        <f>IFERROR(_xlfn.XLOOKUP(I156,'Agências de Rating Soberano'!$J$2:$J$22,'Agências de Rating Soberano'!$K$2:$K$22),NA())</f>
        <v>9</v>
      </c>
    </row>
    <row r="157" spans="1:17" x14ac:dyDescent="0.3">
      <c r="A157" s="53">
        <f t="shared" si="9"/>
        <v>36464</v>
      </c>
      <c r="B157" t="str">
        <f>IFERROR(_xlfn.XLOOKUP($A157,Planilha2!$A$2:$A$34,Planilha2!C$2:C$34,"",-1),"")</f>
        <v>B2</v>
      </c>
      <c r="C157" t="str">
        <f>IFERROR(_xlfn.XLOOKUP($A157,Planilha2!$A$2:$A$34,Planilha2!D$2:D$34,"",-1),"")</f>
        <v>Caa1</v>
      </c>
      <c r="D157" t="str" cm="1">
        <f t="array" ref="D157">IF($A157&lt;MIN(Planilha2!$A$2:$A$34),"",_xlfn.LET(_xlpm.t,_xlfn.XLOOKUP($A157,Planilha2!$A$2:$A$34,Planilha2!$E$2:$E$34,"",-1),_xlfn.IFS(ISNUMBER(SEARCH("positiva",_xlpm.t)),"Positiva",ISNUMBER(SEARCH("negativa",_xlpm.t)),"Negativa",ISNUMBER(SEARCH("estável",_xlpm.t)),"Estável",TRUE,"n/d")))</f>
        <v>Estável</v>
      </c>
      <c r="E157" t="str">
        <f>IFERROR(_xlfn.XLOOKUP($A157,Planilha2!$J$2:$J$44,Planilha2!L$2:L$44,"",-1),"")</f>
        <v>B</v>
      </c>
      <c r="F157" t="str">
        <f>IFERROR(_xlfn.XLOOKUP($A157,Planilha2!$J$2:$J$44,Planilha2!M$2:M$44,"",-1),"")</f>
        <v>B</v>
      </c>
      <c r="G157" t="str" cm="1">
        <f t="array" ref="G157">IF($A157&lt;MIN(Planilha2!$J$2:$J$44),"",_xlfn.LET(_xlpm.t,_xlfn.XLOOKUP($A157,Planilha2!$J$2:$J$44,Planilha2!$N$2:$N$44,"",-1),_xlfn.IFS(ISNUMBER(SEARCH("positiva",_xlpm.t)),"Positiva",ISNUMBER(SEARCH("negativa",_xlpm.t)),"Negativa",ISNUMBER(SEARCH("estável",_xlpm.t)),"Estável",TRUE,"n/d")))</f>
        <v>n/d</v>
      </c>
      <c r="H157" t="str">
        <f>IFERROR(_xlfn.XLOOKUP($A157,Planilha2!$P$2:$P$38,Planilha2!R$2:R$38,"",-1),"")</f>
        <v>B+</v>
      </c>
      <c r="I157" t="str">
        <f>IFERROR(_xlfn.XLOOKUP($A157,Planilha2!$P$2:$P$38,Planilha2!S$2:S$38,"",-1),"")</f>
        <v>BB-</v>
      </c>
      <c r="J157" t="str" cm="1">
        <f t="array" ref="J157">IF($A157&lt;MIN(Planilha2!$P$2:$P$38),"",_xlfn.LET(_xlpm.t,_xlfn.XLOOKUP($A157,Planilha2!$P$2:$P$38,Planilha2!$T$2:$T$38,"",-1),_xlfn.IFS(ISNUMBER(SEARCH("positiva",_xlpm.t)),"Positiva",ISNUMBER(SEARCH("negativa",_xlpm.t)),"Negativa",ISNUMBER(SEARCH("estável",_xlpm.t)),"Estável",TRUE,"n/d")))</f>
        <v>Negativa</v>
      </c>
      <c r="L157" s="52">
        <f>IFERROR(_xlfn.XLOOKUP(B157,'Agências de Rating Soberano'!$G$2:$G$22,'Agências de Rating Soberano'!$H$2:$H$22),NA())</f>
        <v>7</v>
      </c>
      <c r="M157" s="52">
        <f>IFERROR(_xlfn.XLOOKUP(C157,'Agências de Rating Soberano'!$G$2:$G$22,'Agências de Rating Soberano'!$H$2:$H$22),NA())</f>
        <v>5</v>
      </c>
      <c r="N157" s="52">
        <f>IFERROR(_xlfn.XLOOKUP(E157,'Agências de Rating Soberano'!$J$2:$J$22,'Agências de Rating Soberano'!$K$2:$K$22),NA())</f>
        <v>7</v>
      </c>
      <c r="O157" s="52">
        <f>IFERROR(_xlfn.XLOOKUP(F157,'Agências de Rating Soberano'!$J$2:$J$22,'Agências de Rating Soberano'!$K$2:$K$22),NA())</f>
        <v>7</v>
      </c>
      <c r="P157" s="52">
        <f>IFERROR(_xlfn.XLOOKUP(H157,'Agências de Rating Soberano'!$J$2:$J$22,'Agências de Rating Soberano'!$K$2:$K$22),NA())</f>
        <v>8</v>
      </c>
      <c r="Q157" s="52">
        <f>IFERROR(_xlfn.XLOOKUP(I157,'Agências de Rating Soberano'!$J$2:$J$22,'Agências de Rating Soberano'!$K$2:$K$22),NA())</f>
        <v>9</v>
      </c>
    </row>
    <row r="158" spans="1:17" x14ac:dyDescent="0.3">
      <c r="A158" s="53">
        <f t="shared" si="9"/>
        <v>36494</v>
      </c>
      <c r="B158" t="str">
        <f>IFERROR(_xlfn.XLOOKUP($A158,Planilha2!$A$2:$A$34,Planilha2!C$2:C$34,"",-1),"")</f>
        <v>B2</v>
      </c>
      <c r="C158" t="str">
        <f>IFERROR(_xlfn.XLOOKUP($A158,Planilha2!$A$2:$A$34,Planilha2!D$2:D$34,"",-1),"")</f>
        <v>Caa1</v>
      </c>
      <c r="D158" t="str" cm="1">
        <f t="array" ref="D158">IF($A158&lt;MIN(Planilha2!$A$2:$A$34),"",_xlfn.LET(_xlpm.t,_xlfn.XLOOKUP($A158,Planilha2!$A$2:$A$34,Planilha2!$E$2:$E$34,"",-1),_xlfn.IFS(ISNUMBER(SEARCH("positiva",_xlpm.t)),"Positiva",ISNUMBER(SEARCH("negativa",_xlpm.t)),"Negativa",ISNUMBER(SEARCH("estável",_xlpm.t)),"Estável",TRUE,"n/d")))</f>
        <v>Estável</v>
      </c>
      <c r="E158" t="str">
        <f>IFERROR(_xlfn.XLOOKUP($A158,Planilha2!$J$2:$J$44,Planilha2!L$2:L$44,"",-1),"")</f>
        <v>B</v>
      </c>
      <c r="F158" t="str">
        <f>IFERROR(_xlfn.XLOOKUP($A158,Planilha2!$J$2:$J$44,Planilha2!M$2:M$44,"",-1),"")</f>
        <v>B</v>
      </c>
      <c r="G158" t="str" cm="1">
        <f t="array" ref="G158">IF($A158&lt;MIN(Planilha2!$J$2:$J$44),"",_xlfn.LET(_xlpm.t,_xlfn.XLOOKUP($A158,Planilha2!$J$2:$J$44,Planilha2!$N$2:$N$44,"",-1),_xlfn.IFS(ISNUMBER(SEARCH("positiva",_xlpm.t)),"Positiva",ISNUMBER(SEARCH("negativa",_xlpm.t)),"Negativa",ISNUMBER(SEARCH("estável",_xlpm.t)),"Estável",TRUE,"n/d")))</f>
        <v>n/d</v>
      </c>
      <c r="H158" t="str">
        <f>IFERROR(_xlfn.XLOOKUP($A158,Planilha2!$P$2:$P$38,Planilha2!R$2:R$38,"",-1),"")</f>
        <v>B+</v>
      </c>
      <c r="I158" t="str">
        <f>IFERROR(_xlfn.XLOOKUP($A158,Planilha2!$P$2:$P$38,Planilha2!S$2:S$38,"",-1),"")</f>
        <v>BB-</v>
      </c>
      <c r="J158" t="str" cm="1">
        <f t="array" ref="J158">IF($A158&lt;MIN(Planilha2!$P$2:$P$38),"",_xlfn.LET(_xlpm.t,_xlfn.XLOOKUP($A158,Planilha2!$P$2:$P$38,Planilha2!$T$2:$T$38,"",-1),_xlfn.IFS(ISNUMBER(SEARCH("positiva",_xlpm.t)),"Positiva",ISNUMBER(SEARCH("negativa",_xlpm.t)),"Negativa",ISNUMBER(SEARCH("estável",_xlpm.t)),"Estável",TRUE,"n/d")))</f>
        <v>Estável</v>
      </c>
      <c r="L158" s="52">
        <f>IFERROR(_xlfn.XLOOKUP(B158,'Agências de Rating Soberano'!$G$2:$G$22,'Agências de Rating Soberano'!$H$2:$H$22),NA())</f>
        <v>7</v>
      </c>
      <c r="M158" s="52">
        <f>IFERROR(_xlfn.XLOOKUP(C158,'Agências de Rating Soberano'!$G$2:$G$22,'Agências de Rating Soberano'!$H$2:$H$22),NA())</f>
        <v>5</v>
      </c>
      <c r="N158" s="52">
        <f>IFERROR(_xlfn.XLOOKUP(E158,'Agências de Rating Soberano'!$J$2:$J$22,'Agências de Rating Soberano'!$K$2:$K$22),NA())</f>
        <v>7</v>
      </c>
      <c r="O158" s="52">
        <f>IFERROR(_xlfn.XLOOKUP(F158,'Agências de Rating Soberano'!$J$2:$J$22,'Agências de Rating Soberano'!$K$2:$K$22),NA())</f>
        <v>7</v>
      </c>
      <c r="P158" s="52">
        <f>IFERROR(_xlfn.XLOOKUP(H158,'Agências de Rating Soberano'!$J$2:$J$22,'Agências de Rating Soberano'!$K$2:$K$22),NA())</f>
        <v>8</v>
      </c>
      <c r="Q158" s="52">
        <f>IFERROR(_xlfn.XLOOKUP(I158,'Agências de Rating Soberano'!$J$2:$J$22,'Agências de Rating Soberano'!$K$2:$K$22),NA())</f>
        <v>9</v>
      </c>
    </row>
    <row r="159" spans="1:17" x14ac:dyDescent="0.3">
      <c r="A159" s="53">
        <f t="shared" si="9"/>
        <v>36525</v>
      </c>
      <c r="B159" t="str">
        <f>IFERROR(_xlfn.XLOOKUP($A159,Planilha2!$A$2:$A$34,Planilha2!C$2:C$34,"",-1),"")</f>
        <v>B2</v>
      </c>
      <c r="C159" t="str">
        <f>IFERROR(_xlfn.XLOOKUP($A159,Planilha2!$A$2:$A$34,Planilha2!D$2:D$34,"",-1),"")</f>
        <v>Caa1</v>
      </c>
      <c r="D159" t="str" cm="1">
        <f t="array" ref="D159">IF($A159&lt;MIN(Planilha2!$A$2:$A$34),"",_xlfn.LET(_xlpm.t,_xlfn.XLOOKUP($A159,Planilha2!$A$2:$A$34,Planilha2!$E$2:$E$34,"",-1),_xlfn.IFS(ISNUMBER(SEARCH("positiva",_xlpm.t)),"Positiva",ISNUMBER(SEARCH("negativa",_xlpm.t)),"Negativa",ISNUMBER(SEARCH("estável",_xlpm.t)),"Estável",TRUE,"n/d")))</f>
        <v>Estável</v>
      </c>
      <c r="E159" t="str">
        <f>IFERROR(_xlfn.XLOOKUP($A159,Planilha2!$J$2:$J$44,Planilha2!L$2:L$44,"",-1),"")</f>
        <v>B</v>
      </c>
      <c r="F159" t="str">
        <f>IFERROR(_xlfn.XLOOKUP($A159,Planilha2!$J$2:$J$44,Planilha2!M$2:M$44,"",-1),"")</f>
        <v>B</v>
      </c>
      <c r="G159" t="str" cm="1">
        <f t="array" ref="G159">IF($A159&lt;MIN(Planilha2!$J$2:$J$44),"",_xlfn.LET(_xlpm.t,_xlfn.XLOOKUP($A159,Planilha2!$J$2:$J$44,Planilha2!$N$2:$N$44,"",-1),_xlfn.IFS(ISNUMBER(SEARCH("positiva",_xlpm.t)),"Positiva",ISNUMBER(SEARCH("negativa",_xlpm.t)),"Negativa",ISNUMBER(SEARCH("estável",_xlpm.t)),"Estável",TRUE,"n/d")))</f>
        <v>n/d</v>
      </c>
      <c r="H159" t="str">
        <f>IFERROR(_xlfn.XLOOKUP($A159,Planilha2!$P$2:$P$38,Planilha2!R$2:R$38,"",-1),"")</f>
        <v>B+</v>
      </c>
      <c r="I159" t="str">
        <f>IFERROR(_xlfn.XLOOKUP($A159,Planilha2!$P$2:$P$38,Planilha2!S$2:S$38,"",-1),"")</f>
        <v>BB-</v>
      </c>
      <c r="J159" t="str" cm="1">
        <f t="array" ref="J159">IF($A159&lt;MIN(Planilha2!$P$2:$P$38),"",_xlfn.LET(_xlpm.t,_xlfn.XLOOKUP($A159,Planilha2!$P$2:$P$38,Planilha2!$T$2:$T$38,"",-1),_xlfn.IFS(ISNUMBER(SEARCH("positiva",_xlpm.t)),"Positiva",ISNUMBER(SEARCH("negativa",_xlpm.t)),"Negativa",ISNUMBER(SEARCH("estável",_xlpm.t)),"Estável",TRUE,"n/d")))</f>
        <v>Estável</v>
      </c>
      <c r="L159" s="52">
        <f>IFERROR(_xlfn.XLOOKUP(B159,'Agências de Rating Soberano'!$G$2:$G$22,'Agências de Rating Soberano'!$H$2:$H$22),NA())</f>
        <v>7</v>
      </c>
      <c r="M159" s="52">
        <f>IFERROR(_xlfn.XLOOKUP(C159,'Agências de Rating Soberano'!$G$2:$G$22,'Agências de Rating Soberano'!$H$2:$H$22),NA())</f>
        <v>5</v>
      </c>
      <c r="N159" s="52">
        <f>IFERROR(_xlfn.XLOOKUP(E159,'Agências de Rating Soberano'!$J$2:$J$22,'Agências de Rating Soberano'!$K$2:$K$22),NA())</f>
        <v>7</v>
      </c>
      <c r="O159" s="52">
        <f>IFERROR(_xlfn.XLOOKUP(F159,'Agências de Rating Soberano'!$J$2:$J$22,'Agências de Rating Soberano'!$K$2:$K$22),NA())</f>
        <v>7</v>
      </c>
      <c r="P159" s="52">
        <f>IFERROR(_xlfn.XLOOKUP(H159,'Agências de Rating Soberano'!$J$2:$J$22,'Agências de Rating Soberano'!$K$2:$K$22),NA())</f>
        <v>8</v>
      </c>
      <c r="Q159" s="52">
        <f>IFERROR(_xlfn.XLOOKUP(I159,'Agências de Rating Soberano'!$J$2:$J$22,'Agências de Rating Soberano'!$K$2:$K$22),NA())</f>
        <v>9</v>
      </c>
    </row>
    <row r="160" spans="1:17" x14ac:dyDescent="0.3">
      <c r="A160" s="53">
        <f t="shared" si="9"/>
        <v>36556</v>
      </c>
      <c r="B160" t="str">
        <f>IFERROR(_xlfn.XLOOKUP($A160,Planilha2!$A$2:$A$34,Planilha2!C$2:C$34,"",-1),"")</f>
        <v>B2</v>
      </c>
      <c r="C160" t="str">
        <f>IFERROR(_xlfn.XLOOKUP($A160,Planilha2!$A$2:$A$34,Planilha2!D$2:D$34,"",-1),"")</f>
        <v>Caa1</v>
      </c>
      <c r="D160" t="str" cm="1">
        <f t="array" ref="D160">IF($A160&lt;MIN(Planilha2!$A$2:$A$34),"",_xlfn.LET(_xlpm.t,_xlfn.XLOOKUP($A160,Planilha2!$A$2:$A$34,Planilha2!$E$2:$E$34,"",-1),_xlfn.IFS(ISNUMBER(SEARCH("positiva",_xlpm.t)),"Positiva",ISNUMBER(SEARCH("negativa",_xlpm.t)),"Negativa",ISNUMBER(SEARCH("estável",_xlpm.t)),"Estável",TRUE,"n/d")))</f>
        <v>Estável</v>
      </c>
      <c r="E160" t="str">
        <f>IFERROR(_xlfn.XLOOKUP($A160,Planilha2!$J$2:$J$44,Planilha2!L$2:L$44,"",-1),"")</f>
        <v>B</v>
      </c>
      <c r="F160" t="str">
        <f>IFERROR(_xlfn.XLOOKUP($A160,Planilha2!$J$2:$J$44,Planilha2!M$2:M$44,"",-1),"")</f>
        <v>B</v>
      </c>
      <c r="G160" t="str" cm="1">
        <f t="array" ref="G160">IF($A160&lt;MIN(Planilha2!$J$2:$J$44),"",_xlfn.LET(_xlpm.t,_xlfn.XLOOKUP($A160,Planilha2!$J$2:$J$44,Planilha2!$N$2:$N$44,"",-1),_xlfn.IFS(ISNUMBER(SEARCH("positiva",_xlpm.t)),"Positiva",ISNUMBER(SEARCH("negativa",_xlpm.t)),"Negativa",ISNUMBER(SEARCH("estável",_xlpm.t)),"Estável",TRUE,"n/d")))</f>
        <v>n/d</v>
      </c>
      <c r="H160" t="str">
        <f>IFERROR(_xlfn.XLOOKUP($A160,Planilha2!$P$2:$P$38,Planilha2!R$2:R$38,"",-1),"")</f>
        <v>B+</v>
      </c>
      <c r="I160" t="str">
        <f>IFERROR(_xlfn.XLOOKUP($A160,Planilha2!$P$2:$P$38,Planilha2!S$2:S$38,"",-1),"")</f>
        <v>BB-</v>
      </c>
      <c r="J160" t="str" cm="1">
        <f t="array" ref="J160">IF($A160&lt;MIN(Planilha2!$P$2:$P$38),"",_xlfn.LET(_xlpm.t,_xlfn.XLOOKUP($A160,Planilha2!$P$2:$P$38,Planilha2!$T$2:$T$38,"",-1),_xlfn.IFS(ISNUMBER(SEARCH("positiva",_xlpm.t)),"Positiva",ISNUMBER(SEARCH("negativa",_xlpm.t)),"Negativa",ISNUMBER(SEARCH("estável",_xlpm.t)),"Estável",TRUE,"n/d")))</f>
        <v>Estável</v>
      </c>
      <c r="L160" s="52">
        <f>IFERROR(_xlfn.XLOOKUP(B160,'Agências de Rating Soberano'!$G$2:$G$22,'Agências de Rating Soberano'!$H$2:$H$22),NA())</f>
        <v>7</v>
      </c>
      <c r="M160" s="52">
        <f>IFERROR(_xlfn.XLOOKUP(C160,'Agências de Rating Soberano'!$G$2:$G$22,'Agências de Rating Soberano'!$H$2:$H$22),NA())</f>
        <v>5</v>
      </c>
      <c r="N160" s="52">
        <f>IFERROR(_xlfn.XLOOKUP(E160,'Agências de Rating Soberano'!$J$2:$J$22,'Agências de Rating Soberano'!$K$2:$K$22),NA())</f>
        <v>7</v>
      </c>
      <c r="O160" s="52">
        <f>IFERROR(_xlfn.XLOOKUP(F160,'Agências de Rating Soberano'!$J$2:$J$22,'Agências de Rating Soberano'!$K$2:$K$22),NA())</f>
        <v>7</v>
      </c>
      <c r="P160" s="52">
        <f>IFERROR(_xlfn.XLOOKUP(H160,'Agências de Rating Soberano'!$J$2:$J$22,'Agências de Rating Soberano'!$K$2:$K$22),NA())</f>
        <v>8</v>
      </c>
      <c r="Q160" s="52">
        <f>IFERROR(_xlfn.XLOOKUP(I160,'Agências de Rating Soberano'!$J$2:$J$22,'Agências de Rating Soberano'!$K$2:$K$22),NA())</f>
        <v>9</v>
      </c>
    </row>
    <row r="161" spans="1:17" x14ac:dyDescent="0.3">
      <c r="A161" s="53">
        <f t="shared" si="9"/>
        <v>36585</v>
      </c>
      <c r="B161" t="str">
        <f>IFERROR(_xlfn.XLOOKUP($A161,Planilha2!$A$2:$A$34,Planilha2!C$2:C$34,"",-1),"")</f>
        <v>B2</v>
      </c>
      <c r="C161" t="str">
        <f>IFERROR(_xlfn.XLOOKUP($A161,Planilha2!$A$2:$A$34,Planilha2!D$2:D$34,"",-1),"")</f>
        <v>Caa1</v>
      </c>
      <c r="D161" t="str" cm="1">
        <f t="array" ref="D161">IF($A161&lt;MIN(Planilha2!$A$2:$A$34),"",_xlfn.LET(_xlpm.t,_xlfn.XLOOKUP($A161,Planilha2!$A$2:$A$34,Planilha2!$E$2:$E$34,"",-1),_xlfn.IFS(ISNUMBER(SEARCH("positiva",_xlpm.t)),"Positiva",ISNUMBER(SEARCH("negativa",_xlpm.t)),"Negativa",ISNUMBER(SEARCH("estável",_xlpm.t)),"Estável",TRUE,"n/d")))</f>
        <v>Estável</v>
      </c>
      <c r="E161" t="str">
        <f>IFERROR(_xlfn.XLOOKUP($A161,Planilha2!$J$2:$J$44,Planilha2!L$2:L$44,"",-1),"")</f>
        <v>B+</v>
      </c>
      <c r="F161" t="str">
        <f>IFERROR(_xlfn.XLOOKUP($A161,Planilha2!$J$2:$J$44,Planilha2!M$2:M$44,"",-1),"")</f>
        <v>B+</v>
      </c>
      <c r="G161" t="str" cm="1">
        <f t="array" ref="G161">IF($A161&lt;MIN(Planilha2!$J$2:$J$44),"",_xlfn.LET(_xlpm.t,_xlfn.XLOOKUP($A161,Planilha2!$J$2:$J$44,Planilha2!$N$2:$N$44,"",-1),_xlfn.IFS(ISNUMBER(SEARCH("positiva",_xlpm.t)),"Positiva",ISNUMBER(SEARCH("negativa",_xlpm.t)),"Negativa",ISNUMBER(SEARCH("estável",_xlpm.t)),"Estável",TRUE,"n/d")))</f>
        <v>n/d</v>
      </c>
      <c r="H161" t="str">
        <f>IFERROR(_xlfn.XLOOKUP($A161,Planilha2!$P$2:$P$38,Planilha2!R$2:R$38,"",-1),"")</f>
        <v>B+</v>
      </c>
      <c r="I161" t="str">
        <f>IFERROR(_xlfn.XLOOKUP($A161,Planilha2!$P$2:$P$38,Planilha2!S$2:S$38,"",-1),"")</f>
        <v>BB</v>
      </c>
      <c r="J161" t="str" cm="1">
        <f t="array" ref="J161">IF($A161&lt;MIN(Planilha2!$P$2:$P$38),"",_xlfn.LET(_xlpm.t,_xlfn.XLOOKUP($A161,Planilha2!$P$2:$P$38,Planilha2!$T$2:$T$38,"",-1),_xlfn.IFS(ISNUMBER(SEARCH("positiva",_xlpm.t)),"Positiva",ISNUMBER(SEARCH("negativa",_xlpm.t)),"Negativa",ISNUMBER(SEARCH("estável",_xlpm.t)),"Estável",TRUE,"n/d")))</f>
        <v>Positiva</v>
      </c>
      <c r="L161" s="52">
        <f>IFERROR(_xlfn.XLOOKUP(B161,'Agências de Rating Soberano'!$G$2:$G$22,'Agências de Rating Soberano'!$H$2:$H$22),NA())</f>
        <v>7</v>
      </c>
      <c r="M161" s="52">
        <f>IFERROR(_xlfn.XLOOKUP(C161,'Agências de Rating Soberano'!$G$2:$G$22,'Agências de Rating Soberano'!$H$2:$H$22),NA())</f>
        <v>5</v>
      </c>
      <c r="N161" s="52">
        <f>IFERROR(_xlfn.XLOOKUP(E161,'Agências de Rating Soberano'!$J$2:$J$22,'Agências de Rating Soberano'!$K$2:$K$22),NA())</f>
        <v>8</v>
      </c>
      <c r="O161" s="52">
        <f>IFERROR(_xlfn.XLOOKUP(F161,'Agências de Rating Soberano'!$J$2:$J$22,'Agências de Rating Soberano'!$K$2:$K$22),NA())</f>
        <v>8</v>
      </c>
      <c r="P161" s="52">
        <f>IFERROR(_xlfn.XLOOKUP(H161,'Agências de Rating Soberano'!$J$2:$J$22,'Agências de Rating Soberano'!$K$2:$K$22),NA())</f>
        <v>8</v>
      </c>
      <c r="Q161" s="52">
        <f>IFERROR(_xlfn.XLOOKUP(I161,'Agências de Rating Soberano'!$J$2:$J$22,'Agências de Rating Soberano'!$K$2:$K$22),NA())</f>
        <v>10</v>
      </c>
    </row>
    <row r="162" spans="1:17" x14ac:dyDescent="0.3">
      <c r="A162" s="53">
        <f t="shared" si="9"/>
        <v>36616</v>
      </c>
      <c r="B162" t="str">
        <f>IFERROR(_xlfn.XLOOKUP($A162,Planilha2!$A$2:$A$34,Planilha2!C$2:C$34,"",-1),"")</f>
        <v>B2</v>
      </c>
      <c r="C162" t="str">
        <f>IFERROR(_xlfn.XLOOKUP($A162,Planilha2!$A$2:$A$34,Planilha2!D$2:D$34,"",-1),"")</f>
        <v>Caa1</v>
      </c>
      <c r="D162" t="str" cm="1">
        <f t="array" ref="D162">IF($A162&lt;MIN(Planilha2!$A$2:$A$34),"",_xlfn.LET(_xlpm.t,_xlfn.XLOOKUP($A162,Planilha2!$A$2:$A$34,Planilha2!$E$2:$E$34,"",-1),_xlfn.IFS(ISNUMBER(SEARCH("positiva",_xlpm.t)),"Positiva",ISNUMBER(SEARCH("negativa",_xlpm.t)),"Negativa",ISNUMBER(SEARCH("estável",_xlpm.t)),"Estável",TRUE,"n/d")))</f>
        <v>Estável</v>
      </c>
      <c r="E162" t="str">
        <f>IFERROR(_xlfn.XLOOKUP($A162,Planilha2!$J$2:$J$44,Planilha2!L$2:L$44,"",-1),"")</f>
        <v>B+</v>
      </c>
      <c r="F162" t="str">
        <f>IFERROR(_xlfn.XLOOKUP($A162,Planilha2!$J$2:$J$44,Planilha2!M$2:M$44,"",-1),"")</f>
        <v>B+</v>
      </c>
      <c r="G162" t="str" cm="1">
        <f t="array" ref="G162">IF($A162&lt;MIN(Planilha2!$J$2:$J$44),"",_xlfn.LET(_xlpm.t,_xlfn.XLOOKUP($A162,Planilha2!$J$2:$J$44,Planilha2!$N$2:$N$44,"",-1),_xlfn.IFS(ISNUMBER(SEARCH("positiva",_xlpm.t)),"Positiva",ISNUMBER(SEARCH("negativa",_xlpm.t)),"Negativa",ISNUMBER(SEARCH("estável",_xlpm.t)),"Estável",TRUE,"n/d")))</f>
        <v>n/d</v>
      </c>
      <c r="H162" t="str">
        <f>IFERROR(_xlfn.XLOOKUP($A162,Planilha2!$P$2:$P$38,Planilha2!R$2:R$38,"",-1),"")</f>
        <v>B+</v>
      </c>
      <c r="I162" t="str">
        <f>IFERROR(_xlfn.XLOOKUP($A162,Planilha2!$P$2:$P$38,Planilha2!S$2:S$38,"",-1),"")</f>
        <v>BB</v>
      </c>
      <c r="J162" t="str" cm="1">
        <f t="array" ref="J162">IF($A162&lt;MIN(Planilha2!$P$2:$P$38),"",_xlfn.LET(_xlpm.t,_xlfn.XLOOKUP($A162,Planilha2!$P$2:$P$38,Planilha2!$T$2:$T$38,"",-1),_xlfn.IFS(ISNUMBER(SEARCH("positiva",_xlpm.t)),"Positiva",ISNUMBER(SEARCH("negativa",_xlpm.t)),"Negativa",ISNUMBER(SEARCH("estável",_xlpm.t)),"Estável",TRUE,"n/d")))</f>
        <v>Positiva</v>
      </c>
      <c r="L162" s="52">
        <f>IFERROR(_xlfn.XLOOKUP(B162,'Agências de Rating Soberano'!$G$2:$G$22,'Agências de Rating Soberano'!$H$2:$H$22),NA())</f>
        <v>7</v>
      </c>
      <c r="M162" s="52">
        <f>IFERROR(_xlfn.XLOOKUP(C162,'Agências de Rating Soberano'!$G$2:$G$22,'Agências de Rating Soberano'!$H$2:$H$22),NA())</f>
        <v>5</v>
      </c>
      <c r="N162" s="52">
        <f>IFERROR(_xlfn.XLOOKUP(E162,'Agências de Rating Soberano'!$J$2:$J$22,'Agências de Rating Soberano'!$K$2:$K$22),NA())</f>
        <v>8</v>
      </c>
      <c r="O162" s="52">
        <f>IFERROR(_xlfn.XLOOKUP(F162,'Agências de Rating Soberano'!$J$2:$J$22,'Agências de Rating Soberano'!$K$2:$K$22),NA())</f>
        <v>8</v>
      </c>
      <c r="P162" s="52">
        <f>IFERROR(_xlfn.XLOOKUP(H162,'Agências de Rating Soberano'!$J$2:$J$22,'Agências de Rating Soberano'!$K$2:$K$22),NA())</f>
        <v>8</v>
      </c>
      <c r="Q162" s="52">
        <f>IFERROR(_xlfn.XLOOKUP(I162,'Agências de Rating Soberano'!$J$2:$J$22,'Agências de Rating Soberano'!$K$2:$K$22),NA())</f>
        <v>10</v>
      </c>
    </row>
    <row r="163" spans="1:17" x14ac:dyDescent="0.3">
      <c r="A163" s="53">
        <f t="shared" si="9"/>
        <v>36646</v>
      </c>
      <c r="B163" t="str">
        <f>IFERROR(_xlfn.XLOOKUP($A163,Planilha2!$A$2:$A$34,Planilha2!C$2:C$34,"",-1),"")</f>
        <v>B2</v>
      </c>
      <c r="C163" t="str">
        <f>IFERROR(_xlfn.XLOOKUP($A163,Planilha2!$A$2:$A$34,Planilha2!D$2:D$34,"",-1),"")</f>
        <v>Caa1</v>
      </c>
      <c r="D163" t="str" cm="1">
        <f t="array" ref="D163">IF($A163&lt;MIN(Planilha2!$A$2:$A$34),"",_xlfn.LET(_xlpm.t,_xlfn.XLOOKUP($A163,Planilha2!$A$2:$A$34,Planilha2!$E$2:$E$34,"",-1),_xlfn.IFS(ISNUMBER(SEARCH("positiva",_xlpm.t)),"Positiva",ISNUMBER(SEARCH("negativa",_xlpm.t)),"Negativa",ISNUMBER(SEARCH("estável",_xlpm.t)),"Estável",TRUE,"n/d")))</f>
        <v>Estável</v>
      </c>
      <c r="E163" t="str">
        <f>IFERROR(_xlfn.XLOOKUP($A163,Planilha2!$J$2:$J$44,Planilha2!L$2:L$44,"",-1),"")</f>
        <v>B+</v>
      </c>
      <c r="F163" t="str">
        <f>IFERROR(_xlfn.XLOOKUP($A163,Planilha2!$J$2:$J$44,Planilha2!M$2:M$44,"",-1),"")</f>
        <v>B+</v>
      </c>
      <c r="G163" t="str" cm="1">
        <f t="array" ref="G163">IF($A163&lt;MIN(Planilha2!$J$2:$J$44),"",_xlfn.LET(_xlpm.t,_xlfn.XLOOKUP($A163,Planilha2!$J$2:$J$44,Planilha2!$N$2:$N$44,"",-1),_xlfn.IFS(ISNUMBER(SEARCH("positiva",_xlpm.t)),"Positiva",ISNUMBER(SEARCH("negativa",_xlpm.t)),"Negativa",ISNUMBER(SEARCH("estável",_xlpm.t)),"Estável",TRUE,"n/d")))</f>
        <v>n/d</v>
      </c>
      <c r="H163" t="str">
        <f>IFERROR(_xlfn.XLOOKUP($A163,Planilha2!$P$2:$P$38,Planilha2!R$2:R$38,"",-1),"")</f>
        <v>B+</v>
      </c>
      <c r="I163" t="str">
        <f>IFERROR(_xlfn.XLOOKUP($A163,Planilha2!$P$2:$P$38,Planilha2!S$2:S$38,"",-1),"")</f>
        <v>BB</v>
      </c>
      <c r="J163" t="str" cm="1">
        <f t="array" ref="J163">IF($A163&lt;MIN(Planilha2!$P$2:$P$38),"",_xlfn.LET(_xlpm.t,_xlfn.XLOOKUP($A163,Planilha2!$P$2:$P$38,Planilha2!$T$2:$T$38,"",-1),_xlfn.IFS(ISNUMBER(SEARCH("positiva",_xlpm.t)),"Positiva",ISNUMBER(SEARCH("negativa",_xlpm.t)),"Negativa",ISNUMBER(SEARCH("estável",_xlpm.t)),"Estável",TRUE,"n/d")))</f>
        <v>Positiva</v>
      </c>
      <c r="L163" s="52">
        <f>IFERROR(_xlfn.XLOOKUP(B163,'Agências de Rating Soberano'!$G$2:$G$22,'Agências de Rating Soberano'!$H$2:$H$22),NA())</f>
        <v>7</v>
      </c>
      <c r="M163" s="52">
        <f>IFERROR(_xlfn.XLOOKUP(C163,'Agências de Rating Soberano'!$G$2:$G$22,'Agências de Rating Soberano'!$H$2:$H$22),NA())</f>
        <v>5</v>
      </c>
      <c r="N163" s="52">
        <f>IFERROR(_xlfn.XLOOKUP(E163,'Agências de Rating Soberano'!$J$2:$J$22,'Agências de Rating Soberano'!$K$2:$K$22),NA())</f>
        <v>8</v>
      </c>
      <c r="O163" s="52">
        <f>IFERROR(_xlfn.XLOOKUP(F163,'Agências de Rating Soberano'!$J$2:$J$22,'Agências de Rating Soberano'!$K$2:$K$22),NA())</f>
        <v>8</v>
      </c>
      <c r="P163" s="52">
        <f>IFERROR(_xlfn.XLOOKUP(H163,'Agências de Rating Soberano'!$J$2:$J$22,'Agências de Rating Soberano'!$K$2:$K$22),NA())</f>
        <v>8</v>
      </c>
      <c r="Q163" s="52">
        <f>IFERROR(_xlfn.XLOOKUP(I163,'Agências de Rating Soberano'!$J$2:$J$22,'Agências de Rating Soberano'!$K$2:$K$22),NA())</f>
        <v>10</v>
      </c>
    </row>
    <row r="164" spans="1:17" x14ac:dyDescent="0.3">
      <c r="A164" s="53">
        <f t="shared" si="9"/>
        <v>36677</v>
      </c>
      <c r="B164" t="str">
        <f>IFERROR(_xlfn.XLOOKUP($A164,Planilha2!$A$2:$A$34,Planilha2!C$2:C$34,"",-1),"")</f>
        <v>B2</v>
      </c>
      <c r="C164" t="str">
        <f>IFERROR(_xlfn.XLOOKUP($A164,Planilha2!$A$2:$A$34,Planilha2!D$2:D$34,"",-1),"")</f>
        <v>Caa1</v>
      </c>
      <c r="D164" t="str" cm="1">
        <f t="array" ref="D164">IF($A164&lt;MIN(Planilha2!$A$2:$A$34),"",_xlfn.LET(_xlpm.t,_xlfn.XLOOKUP($A164,Planilha2!$A$2:$A$34,Planilha2!$E$2:$E$34,"",-1),_xlfn.IFS(ISNUMBER(SEARCH("positiva",_xlpm.t)),"Positiva",ISNUMBER(SEARCH("negativa",_xlpm.t)),"Negativa",ISNUMBER(SEARCH("estável",_xlpm.t)),"Estável",TRUE,"n/d")))</f>
        <v>Estável</v>
      </c>
      <c r="E164" t="str">
        <f>IFERROR(_xlfn.XLOOKUP($A164,Planilha2!$J$2:$J$44,Planilha2!L$2:L$44,"",-1),"")</f>
        <v>BB-</v>
      </c>
      <c r="F164" t="str">
        <f>IFERROR(_xlfn.XLOOKUP($A164,Planilha2!$J$2:$J$44,Planilha2!M$2:M$44,"",-1),"")</f>
        <v>-</v>
      </c>
      <c r="G164" t="str" cm="1">
        <f t="array" ref="G164">IF($A164&lt;MIN(Planilha2!$J$2:$J$44),"",_xlfn.LET(_xlpm.t,_xlfn.XLOOKUP($A164,Planilha2!$J$2:$J$44,Planilha2!$N$2:$N$44,"",-1),_xlfn.IFS(ISNUMBER(SEARCH("positiva",_xlpm.t)),"Positiva",ISNUMBER(SEARCH("negativa",_xlpm.t)),"Negativa",ISNUMBER(SEARCH("estável",_xlpm.t)),"Estável",TRUE,"n/d")))</f>
        <v>n/d</v>
      </c>
      <c r="H164" t="str">
        <f>IFERROR(_xlfn.XLOOKUP($A164,Planilha2!$P$2:$P$38,Planilha2!R$2:R$38,"",-1),"")</f>
        <v>B+</v>
      </c>
      <c r="I164" t="str">
        <f>IFERROR(_xlfn.XLOOKUP($A164,Planilha2!$P$2:$P$38,Planilha2!S$2:S$38,"",-1),"")</f>
        <v>BB</v>
      </c>
      <c r="J164" t="str" cm="1">
        <f t="array" ref="J164">IF($A164&lt;MIN(Planilha2!$P$2:$P$38),"",_xlfn.LET(_xlpm.t,_xlfn.XLOOKUP($A164,Planilha2!$P$2:$P$38,Planilha2!$T$2:$T$38,"",-1),_xlfn.IFS(ISNUMBER(SEARCH("positiva",_xlpm.t)),"Positiva",ISNUMBER(SEARCH("negativa",_xlpm.t)),"Negativa",ISNUMBER(SEARCH("estável",_xlpm.t)),"Estável",TRUE,"n/d")))</f>
        <v>Positiva</v>
      </c>
      <c r="L164" s="52">
        <f>IFERROR(_xlfn.XLOOKUP(B164,'Agências de Rating Soberano'!$G$2:$G$22,'Agências de Rating Soberano'!$H$2:$H$22),NA())</f>
        <v>7</v>
      </c>
      <c r="M164" s="52">
        <f>IFERROR(_xlfn.XLOOKUP(C164,'Agências de Rating Soberano'!$G$2:$G$22,'Agências de Rating Soberano'!$H$2:$H$22),NA())</f>
        <v>5</v>
      </c>
      <c r="N164" s="52">
        <f>IFERROR(_xlfn.XLOOKUP(E164,'Agências de Rating Soberano'!$J$2:$J$22,'Agências de Rating Soberano'!$K$2:$K$22),NA())</f>
        <v>9</v>
      </c>
      <c r="O164" s="52" t="e">
        <f>IFERROR(_xlfn.XLOOKUP(F164,'Agências de Rating Soberano'!$J$2:$J$22,'Agências de Rating Soberano'!$K$2:$K$22),NA())</f>
        <v>#N/A</v>
      </c>
      <c r="P164" s="52">
        <f>IFERROR(_xlfn.XLOOKUP(H164,'Agências de Rating Soberano'!$J$2:$J$22,'Agências de Rating Soberano'!$K$2:$K$22),NA())</f>
        <v>8</v>
      </c>
      <c r="Q164" s="52">
        <f>IFERROR(_xlfn.XLOOKUP(I164,'Agências de Rating Soberano'!$J$2:$J$22,'Agências de Rating Soberano'!$K$2:$K$22),NA())</f>
        <v>10</v>
      </c>
    </row>
    <row r="165" spans="1:17" x14ac:dyDescent="0.3">
      <c r="A165" s="53">
        <f t="shared" si="9"/>
        <v>36707</v>
      </c>
      <c r="B165" t="str">
        <f>IFERROR(_xlfn.XLOOKUP($A165,Planilha2!$A$2:$A$34,Planilha2!C$2:C$34,"",-1),"")</f>
        <v>B2</v>
      </c>
      <c r="C165" t="str">
        <f>IFERROR(_xlfn.XLOOKUP($A165,Planilha2!$A$2:$A$34,Planilha2!D$2:D$34,"",-1),"")</f>
        <v>Caa1</v>
      </c>
      <c r="D165" t="str" cm="1">
        <f t="array" ref="D165">IF($A165&lt;MIN(Planilha2!$A$2:$A$34),"",_xlfn.LET(_xlpm.t,_xlfn.XLOOKUP($A165,Planilha2!$A$2:$A$34,Planilha2!$E$2:$E$34,"",-1),_xlfn.IFS(ISNUMBER(SEARCH("positiva",_xlpm.t)),"Positiva",ISNUMBER(SEARCH("negativa",_xlpm.t)),"Negativa",ISNUMBER(SEARCH("estável",_xlpm.t)),"Estável",TRUE,"n/d")))</f>
        <v>Estável</v>
      </c>
      <c r="E165" t="str">
        <f>IFERROR(_xlfn.XLOOKUP($A165,Planilha2!$J$2:$J$44,Planilha2!L$2:L$44,"",-1),"")</f>
        <v>BB-</v>
      </c>
      <c r="F165" t="str">
        <f>IFERROR(_xlfn.XLOOKUP($A165,Planilha2!$J$2:$J$44,Planilha2!M$2:M$44,"",-1),"")</f>
        <v>-</v>
      </c>
      <c r="G165" t="str" cm="1">
        <f t="array" ref="G165">IF($A165&lt;MIN(Planilha2!$J$2:$J$44),"",_xlfn.LET(_xlpm.t,_xlfn.XLOOKUP($A165,Planilha2!$J$2:$J$44,Planilha2!$N$2:$N$44,"",-1),_xlfn.IFS(ISNUMBER(SEARCH("positiva",_xlpm.t)),"Positiva",ISNUMBER(SEARCH("negativa",_xlpm.t)),"Negativa",ISNUMBER(SEARCH("estável",_xlpm.t)),"Estável",TRUE,"n/d")))</f>
        <v>n/d</v>
      </c>
      <c r="H165" t="str">
        <f>IFERROR(_xlfn.XLOOKUP($A165,Planilha2!$P$2:$P$38,Planilha2!R$2:R$38,"",-1),"")</f>
        <v>B+</v>
      </c>
      <c r="I165" t="str">
        <f>IFERROR(_xlfn.XLOOKUP($A165,Planilha2!$P$2:$P$38,Planilha2!S$2:S$38,"",-1),"")</f>
        <v>BB</v>
      </c>
      <c r="J165" t="str" cm="1">
        <f t="array" ref="J165">IF($A165&lt;MIN(Planilha2!$P$2:$P$38),"",_xlfn.LET(_xlpm.t,_xlfn.XLOOKUP($A165,Planilha2!$P$2:$P$38,Planilha2!$T$2:$T$38,"",-1),_xlfn.IFS(ISNUMBER(SEARCH("positiva",_xlpm.t)),"Positiva",ISNUMBER(SEARCH("negativa",_xlpm.t)),"Negativa",ISNUMBER(SEARCH("estável",_xlpm.t)),"Estável",TRUE,"n/d")))</f>
        <v>Positiva</v>
      </c>
      <c r="L165" s="52">
        <f>IFERROR(_xlfn.XLOOKUP(B165,'Agências de Rating Soberano'!$G$2:$G$22,'Agências de Rating Soberano'!$H$2:$H$22),NA())</f>
        <v>7</v>
      </c>
      <c r="M165" s="52">
        <f>IFERROR(_xlfn.XLOOKUP(C165,'Agências de Rating Soberano'!$G$2:$G$22,'Agências de Rating Soberano'!$H$2:$H$22),NA())</f>
        <v>5</v>
      </c>
      <c r="N165" s="52">
        <f>IFERROR(_xlfn.XLOOKUP(E165,'Agências de Rating Soberano'!$J$2:$J$22,'Agências de Rating Soberano'!$K$2:$K$22),NA())</f>
        <v>9</v>
      </c>
      <c r="O165" s="52" t="e">
        <f>IFERROR(_xlfn.XLOOKUP(F165,'Agências de Rating Soberano'!$J$2:$J$22,'Agências de Rating Soberano'!$K$2:$K$22),NA())</f>
        <v>#N/A</v>
      </c>
      <c r="P165" s="52">
        <f>IFERROR(_xlfn.XLOOKUP(H165,'Agências de Rating Soberano'!$J$2:$J$22,'Agências de Rating Soberano'!$K$2:$K$22),NA())</f>
        <v>8</v>
      </c>
      <c r="Q165" s="52">
        <f>IFERROR(_xlfn.XLOOKUP(I165,'Agências de Rating Soberano'!$J$2:$J$22,'Agências de Rating Soberano'!$K$2:$K$22),NA())</f>
        <v>10</v>
      </c>
    </row>
    <row r="166" spans="1:17" x14ac:dyDescent="0.3">
      <c r="A166" s="53">
        <f t="shared" si="9"/>
        <v>36738</v>
      </c>
      <c r="B166" t="str">
        <f>IFERROR(_xlfn.XLOOKUP($A166,Planilha2!$A$2:$A$34,Planilha2!C$2:C$34,"",-1),"")</f>
        <v>B2</v>
      </c>
      <c r="C166" t="str">
        <f>IFERROR(_xlfn.XLOOKUP($A166,Planilha2!$A$2:$A$34,Planilha2!D$2:D$34,"",-1),"")</f>
        <v>Caa1</v>
      </c>
      <c r="D166" t="str" cm="1">
        <f t="array" ref="D166">IF($A166&lt;MIN(Planilha2!$A$2:$A$34),"",_xlfn.LET(_xlpm.t,_xlfn.XLOOKUP($A166,Planilha2!$A$2:$A$34,Planilha2!$E$2:$E$34,"",-1),_xlfn.IFS(ISNUMBER(SEARCH("positiva",_xlpm.t)),"Positiva",ISNUMBER(SEARCH("negativa",_xlpm.t)),"Negativa",ISNUMBER(SEARCH("estável",_xlpm.t)),"Estável",TRUE,"n/d")))</f>
        <v>Estável</v>
      </c>
      <c r="E166" t="str">
        <f>IFERROR(_xlfn.XLOOKUP($A166,Planilha2!$J$2:$J$44,Planilha2!L$2:L$44,"",-1),"")</f>
        <v>BB-</v>
      </c>
      <c r="F166" t="str">
        <f>IFERROR(_xlfn.XLOOKUP($A166,Planilha2!$J$2:$J$44,Planilha2!M$2:M$44,"",-1),"")</f>
        <v>-</v>
      </c>
      <c r="G166" t="str" cm="1">
        <f t="array" ref="G166">IF($A166&lt;MIN(Planilha2!$J$2:$J$44),"",_xlfn.LET(_xlpm.t,_xlfn.XLOOKUP($A166,Planilha2!$J$2:$J$44,Planilha2!$N$2:$N$44,"",-1),_xlfn.IFS(ISNUMBER(SEARCH("positiva",_xlpm.t)),"Positiva",ISNUMBER(SEARCH("negativa",_xlpm.t)),"Negativa",ISNUMBER(SEARCH("estável",_xlpm.t)),"Estável",TRUE,"n/d")))</f>
        <v>n/d</v>
      </c>
      <c r="H166" t="str">
        <f>IFERROR(_xlfn.XLOOKUP($A166,Planilha2!$P$2:$P$38,Planilha2!R$2:R$38,"",-1),"")</f>
        <v>B+</v>
      </c>
      <c r="I166" t="str">
        <f>IFERROR(_xlfn.XLOOKUP($A166,Planilha2!$P$2:$P$38,Planilha2!S$2:S$38,"",-1),"")</f>
        <v>BB</v>
      </c>
      <c r="J166" t="str" cm="1">
        <f t="array" ref="J166">IF($A166&lt;MIN(Planilha2!$P$2:$P$38),"",_xlfn.LET(_xlpm.t,_xlfn.XLOOKUP($A166,Planilha2!$P$2:$P$38,Planilha2!$T$2:$T$38,"",-1),_xlfn.IFS(ISNUMBER(SEARCH("positiva",_xlpm.t)),"Positiva",ISNUMBER(SEARCH("negativa",_xlpm.t)),"Negativa",ISNUMBER(SEARCH("estável",_xlpm.t)),"Estável",TRUE,"n/d")))</f>
        <v>Positiva</v>
      </c>
      <c r="L166" s="52">
        <f>IFERROR(_xlfn.XLOOKUP(B166,'Agências de Rating Soberano'!$G$2:$G$22,'Agências de Rating Soberano'!$H$2:$H$22),NA())</f>
        <v>7</v>
      </c>
      <c r="M166" s="52">
        <f>IFERROR(_xlfn.XLOOKUP(C166,'Agências de Rating Soberano'!$G$2:$G$22,'Agências de Rating Soberano'!$H$2:$H$22),NA())</f>
        <v>5</v>
      </c>
      <c r="N166" s="52">
        <f>IFERROR(_xlfn.XLOOKUP(E166,'Agências de Rating Soberano'!$J$2:$J$22,'Agências de Rating Soberano'!$K$2:$K$22),NA())</f>
        <v>9</v>
      </c>
      <c r="O166" s="52" t="e">
        <f>IFERROR(_xlfn.XLOOKUP(F166,'Agências de Rating Soberano'!$J$2:$J$22,'Agências de Rating Soberano'!$K$2:$K$22),NA())</f>
        <v>#N/A</v>
      </c>
      <c r="P166" s="52">
        <f>IFERROR(_xlfn.XLOOKUP(H166,'Agências de Rating Soberano'!$J$2:$J$22,'Agências de Rating Soberano'!$K$2:$K$22),NA())</f>
        <v>8</v>
      </c>
      <c r="Q166" s="52">
        <f>IFERROR(_xlfn.XLOOKUP(I166,'Agências de Rating Soberano'!$J$2:$J$22,'Agências de Rating Soberano'!$K$2:$K$22),NA())</f>
        <v>10</v>
      </c>
    </row>
    <row r="167" spans="1:17" x14ac:dyDescent="0.3">
      <c r="A167" s="53">
        <f t="shared" si="9"/>
        <v>36769</v>
      </c>
      <c r="B167" t="str">
        <f>IFERROR(_xlfn.XLOOKUP($A167,Planilha2!$A$2:$A$34,Planilha2!C$2:C$34,"",-1),"")</f>
        <v>B2</v>
      </c>
      <c r="C167" t="str">
        <f>IFERROR(_xlfn.XLOOKUP($A167,Planilha2!$A$2:$A$34,Planilha2!D$2:D$34,"",-1),"")</f>
        <v>Caa1</v>
      </c>
      <c r="D167" t="str" cm="1">
        <f t="array" ref="D167">IF($A167&lt;MIN(Planilha2!$A$2:$A$34),"",_xlfn.LET(_xlpm.t,_xlfn.XLOOKUP($A167,Planilha2!$A$2:$A$34,Planilha2!$E$2:$E$34,"",-1),_xlfn.IFS(ISNUMBER(SEARCH("positiva",_xlpm.t)),"Positiva",ISNUMBER(SEARCH("negativa",_xlpm.t)),"Negativa",ISNUMBER(SEARCH("estável",_xlpm.t)),"Estável",TRUE,"n/d")))</f>
        <v>Estável</v>
      </c>
      <c r="E167" t="str">
        <f>IFERROR(_xlfn.XLOOKUP($A167,Planilha2!$J$2:$J$44,Planilha2!L$2:L$44,"",-1),"")</f>
        <v>BB-</v>
      </c>
      <c r="F167" t="str">
        <f>IFERROR(_xlfn.XLOOKUP($A167,Planilha2!$J$2:$J$44,Planilha2!M$2:M$44,"",-1),"")</f>
        <v>-</v>
      </c>
      <c r="G167" t="str" cm="1">
        <f t="array" ref="G167">IF($A167&lt;MIN(Planilha2!$J$2:$J$44),"",_xlfn.LET(_xlpm.t,_xlfn.XLOOKUP($A167,Planilha2!$J$2:$J$44,Planilha2!$N$2:$N$44,"",-1),_xlfn.IFS(ISNUMBER(SEARCH("positiva",_xlpm.t)),"Positiva",ISNUMBER(SEARCH("negativa",_xlpm.t)),"Negativa",ISNUMBER(SEARCH("estável",_xlpm.t)),"Estável",TRUE,"n/d")))</f>
        <v>n/d</v>
      </c>
      <c r="H167" t="str">
        <f>IFERROR(_xlfn.XLOOKUP($A167,Planilha2!$P$2:$P$38,Planilha2!R$2:R$38,"",-1),"")</f>
        <v>B+</v>
      </c>
      <c r="I167" t="str">
        <f>IFERROR(_xlfn.XLOOKUP($A167,Planilha2!$P$2:$P$38,Planilha2!S$2:S$38,"",-1),"")</f>
        <v>BB</v>
      </c>
      <c r="J167" t="str" cm="1">
        <f t="array" ref="J167">IF($A167&lt;MIN(Planilha2!$P$2:$P$38),"",_xlfn.LET(_xlpm.t,_xlfn.XLOOKUP($A167,Planilha2!$P$2:$P$38,Planilha2!$T$2:$T$38,"",-1),_xlfn.IFS(ISNUMBER(SEARCH("positiva",_xlpm.t)),"Positiva",ISNUMBER(SEARCH("negativa",_xlpm.t)),"Negativa",ISNUMBER(SEARCH("estável",_xlpm.t)),"Estável",TRUE,"n/d")))</f>
        <v>Positiva</v>
      </c>
      <c r="L167" s="52">
        <f>IFERROR(_xlfn.XLOOKUP(B167,'Agências de Rating Soberano'!$G$2:$G$22,'Agências de Rating Soberano'!$H$2:$H$22),NA())</f>
        <v>7</v>
      </c>
      <c r="M167" s="52">
        <f>IFERROR(_xlfn.XLOOKUP(C167,'Agências de Rating Soberano'!$G$2:$G$22,'Agências de Rating Soberano'!$H$2:$H$22),NA())</f>
        <v>5</v>
      </c>
      <c r="N167" s="52">
        <f>IFERROR(_xlfn.XLOOKUP(E167,'Agências de Rating Soberano'!$J$2:$J$22,'Agências de Rating Soberano'!$K$2:$K$22),NA())</f>
        <v>9</v>
      </c>
      <c r="O167" s="52" t="e">
        <f>IFERROR(_xlfn.XLOOKUP(F167,'Agências de Rating Soberano'!$J$2:$J$22,'Agências de Rating Soberano'!$K$2:$K$22),NA())</f>
        <v>#N/A</v>
      </c>
      <c r="P167" s="52">
        <f>IFERROR(_xlfn.XLOOKUP(H167,'Agências de Rating Soberano'!$J$2:$J$22,'Agências de Rating Soberano'!$K$2:$K$22),NA())</f>
        <v>8</v>
      </c>
      <c r="Q167" s="52">
        <f>IFERROR(_xlfn.XLOOKUP(I167,'Agências de Rating Soberano'!$J$2:$J$22,'Agências de Rating Soberano'!$K$2:$K$22),NA())</f>
        <v>10</v>
      </c>
    </row>
    <row r="168" spans="1:17" x14ac:dyDescent="0.3">
      <c r="A168" s="53">
        <f t="shared" si="9"/>
        <v>36799</v>
      </c>
      <c r="B168" t="str">
        <f>IFERROR(_xlfn.XLOOKUP($A168,Planilha2!$A$2:$A$34,Planilha2!C$2:C$34,"",-1),"")</f>
        <v>B2</v>
      </c>
      <c r="C168" t="str">
        <f>IFERROR(_xlfn.XLOOKUP($A168,Planilha2!$A$2:$A$34,Planilha2!D$2:D$34,"",-1),"")</f>
        <v>Caa1</v>
      </c>
      <c r="D168" t="str" cm="1">
        <f t="array" ref="D168">IF($A168&lt;MIN(Planilha2!$A$2:$A$34),"",_xlfn.LET(_xlpm.t,_xlfn.XLOOKUP($A168,Planilha2!$A$2:$A$34,Planilha2!$E$2:$E$34,"",-1),_xlfn.IFS(ISNUMBER(SEARCH("positiva",_xlpm.t)),"Positiva",ISNUMBER(SEARCH("negativa",_xlpm.t)),"Negativa",ISNUMBER(SEARCH("estável",_xlpm.t)),"Estável",TRUE,"n/d")))</f>
        <v>Estável</v>
      </c>
      <c r="E168" t="str">
        <f>IFERROR(_xlfn.XLOOKUP($A168,Planilha2!$J$2:$J$44,Planilha2!L$2:L$44,"",-1),"")</f>
        <v>BB-</v>
      </c>
      <c r="F168" t="str">
        <f>IFERROR(_xlfn.XLOOKUP($A168,Planilha2!$J$2:$J$44,Planilha2!M$2:M$44,"",-1),"")</f>
        <v>B+</v>
      </c>
      <c r="G168" t="str" cm="1">
        <f t="array" ref="G168">IF($A168&lt;MIN(Planilha2!$J$2:$J$44),"",_xlfn.LET(_xlpm.t,_xlfn.XLOOKUP($A168,Planilha2!$J$2:$J$44,Planilha2!$N$2:$N$44,"",-1),_xlfn.IFS(ISNUMBER(SEARCH("positiva",_xlpm.t)),"Positiva",ISNUMBER(SEARCH("negativa",_xlpm.t)),"Negativa",ISNUMBER(SEARCH("estável",_xlpm.t)),"Estável",TRUE,"n/d")))</f>
        <v>Estável</v>
      </c>
      <c r="H168" t="str">
        <f>IFERROR(_xlfn.XLOOKUP($A168,Planilha2!$P$2:$P$38,Planilha2!R$2:R$38,"",-1),"")</f>
        <v>B+</v>
      </c>
      <c r="I168" t="str">
        <f>IFERROR(_xlfn.XLOOKUP($A168,Planilha2!$P$2:$P$38,Planilha2!S$2:S$38,"",-1),"")</f>
        <v>BB</v>
      </c>
      <c r="J168" t="str" cm="1">
        <f t="array" ref="J168">IF($A168&lt;MIN(Planilha2!$P$2:$P$38),"",_xlfn.LET(_xlpm.t,_xlfn.XLOOKUP($A168,Planilha2!$P$2:$P$38,Planilha2!$T$2:$T$38,"",-1),_xlfn.IFS(ISNUMBER(SEARCH("positiva",_xlpm.t)),"Positiva",ISNUMBER(SEARCH("negativa",_xlpm.t)),"Negativa",ISNUMBER(SEARCH("estável",_xlpm.t)),"Estável",TRUE,"n/d")))</f>
        <v>Positiva</v>
      </c>
      <c r="L168" s="52">
        <f>IFERROR(_xlfn.XLOOKUP(B168,'Agências de Rating Soberano'!$G$2:$G$22,'Agências de Rating Soberano'!$H$2:$H$22),NA())</f>
        <v>7</v>
      </c>
      <c r="M168" s="52">
        <f>IFERROR(_xlfn.XLOOKUP(C168,'Agências de Rating Soberano'!$G$2:$G$22,'Agências de Rating Soberano'!$H$2:$H$22),NA())</f>
        <v>5</v>
      </c>
      <c r="N168" s="52">
        <f>IFERROR(_xlfn.XLOOKUP(E168,'Agências de Rating Soberano'!$J$2:$J$22,'Agências de Rating Soberano'!$K$2:$K$22),NA())</f>
        <v>9</v>
      </c>
      <c r="O168" s="52">
        <f>IFERROR(_xlfn.XLOOKUP(F168,'Agências de Rating Soberano'!$J$2:$J$22,'Agências de Rating Soberano'!$K$2:$K$22),NA())</f>
        <v>8</v>
      </c>
      <c r="P168" s="52">
        <f>IFERROR(_xlfn.XLOOKUP(H168,'Agências de Rating Soberano'!$J$2:$J$22,'Agências de Rating Soberano'!$K$2:$K$22),NA())</f>
        <v>8</v>
      </c>
      <c r="Q168" s="52">
        <f>IFERROR(_xlfn.XLOOKUP(I168,'Agências de Rating Soberano'!$J$2:$J$22,'Agências de Rating Soberano'!$K$2:$K$22),NA())</f>
        <v>10</v>
      </c>
    </row>
    <row r="169" spans="1:17" x14ac:dyDescent="0.3">
      <c r="A169" s="53">
        <f t="shared" si="9"/>
        <v>36830</v>
      </c>
      <c r="B169" t="str">
        <f>IFERROR(_xlfn.XLOOKUP($A169,Planilha2!$A$2:$A$34,Planilha2!C$2:C$34,"",-1),"")</f>
        <v>B1</v>
      </c>
      <c r="C169" t="str">
        <f>IFERROR(_xlfn.XLOOKUP($A169,Planilha2!$A$2:$A$34,Planilha2!D$2:D$34,"",-1),"")</f>
        <v>B1</v>
      </c>
      <c r="D169" t="str" cm="1">
        <f t="array" ref="D169">IF($A169&lt;MIN(Planilha2!$A$2:$A$34),"",_xlfn.LET(_xlpm.t,_xlfn.XLOOKUP($A169,Planilha2!$A$2:$A$34,Planilha2!$E$2:$E$34,"",-1),_xlfn.IFS(ISNUMBER(SEARCH("positiva",_xlpm.t)),"Positiva",ISNUMBER(SEARCH("negativa",_xlpm.t)),"Negativa",ISNUMBER(SEARCH("estável",_xlpm.t)),"Estável",TRUE,"n/d")))</f>
        <v>Positiva</v>
      </c>
      <c r="E169" t="str">
        <f>IFERROR(_xlfn.XLOOKUP($A169,Planilha2!$J$2:$J$44,Planilha2!L$2:L$44,"",-1),"")</f>
        <v>BB-</v>
      </c>
      <c r="F169" t="str">
        <f>IFERROR(_xlfn.XLOOKUP($A169,Planilha2!$J$2:$J$44,Planilha2!M$2:M$44,"",-1),"")</f>
        <v>B+</v>
      </c>
      <c r="G169" t="str" cm="1">
        <f t="array" ref="G169">IF($A169&lt;MIN(Planilha2!$J$2:$J$44),"",_xlfn.LET(_xlpm.t,_xlfn.XLOOKUP($A169,Planilha2!$J$2:$J$44,Planilha2!$N$2:$N$44,"",-1),_xlfn.IFS(ISNUMBER(SEARCH("positiva",_xlpm.t)),"Positiva",ISNUMBER(SEARCH("negativa",_xlpm.t)),"Negativa",ISNUMBER(SEARCH("estável",_xlpm.t)),"Estável",TRUE,"n/d")))</f>
        <v>Estável</v>
      </c>
      <c r="H169" t="str">
        <f>IFERROR(_xlfn.XLOOKUP($A169,Planilha2!$P$2:$P$38,Planilha2!R$2:R$38,"",-1),"")</f>
        <v>B+</v>
      </c>
      <c r="I169" t="str">
        <f>IFERROR(_xlfn.XLOOKUP($A169,Planilha2!$P$2:$P$38,Planilha2!S$2:S$38,"",-1),"")</f>
        <v>BB</v>
      </c>
      <c r="J169" t="str" cm="1">
        <f t="array" ref="J169">IF($A169&lt;MIN(Planilha2!$P$2:$P$38),"",_xlfn.LET(_xlpm.t,_xlfn.XLOOKUP($A169,Planilha2!$P$2:$P$38,Planilha2!$T$2:$T$38,"",-1),_xlfn.IFS(ISNUMBER(SEARCH("positiva",_xlpm.t)),"Positiva",ISNUMBER(SEARCH("negativa",_xlpm.t)),"Negativa",ISNUMBER(SEARCH("estável",_xlpm.t)),"Estável",TRUE,"n/d")))</f>
        <v>Positiva</v>
      </c>
      <c r="L169" s="52">
        <f>IFERROR(_xlfn.XLOOKUP(B169,'Agências de Rating Soberano'!$G$2:$G$22,'Agências de Rating Soberano'!$H$2:$H$22),NA())</f>
        <v>8</v>
      </c>
      <c r="M169" s="52">
        <f>IFERROR(_xlfn.XLOOKUP(C169,'Agências de Rating Soberano'!$G$2:$G$22,'Agências de Rating Soberano'!$H$2:$H$22),NA())</f>
        <v>8</v>
      </c>
      <c r="N169" s="52">
        <f>IFERROR(_xlfn.XLOOKUP(E169,'Agências de Rating Soberano'!$J$2:$J$22,'Agências de Rating Soberano'!$K$2:$K$22),NA())</f>
        <v>9</v>
      </c>
      <c r="O169" s="52">
        <f>IFERROR(_xlfn.XLOOKUP(F169,'Agências de Rating Soberano'!$J$2:$J$22,'Agências de Rating Soberano'!$K$2:$K$22),NA())</f>
        <v>8</v>
      </c>
      <c r="P169" s="52">
        <f>IFERROR(_xlfn.XLOOKUP(H169,'Agências de Rating Soberano'!$J$2:$J$22,'Agências de Rating Soberano'!$K$2:$K$22),NA())</f>
        <v>8</v>
      </c>
      <c r="Q169" s="52">
        <f>IFERROR(_xlfn.XLOOKUP(I169,'Agências de Rating Soberano'!$J$2:$J$22,'Agências de Rating Soberano'!$K$2:$K$22),NA())</f>
        <v>10</v>
      </c>
    </row>
    <row r="170" spans="1:17" x14ac:dyDescent="0.3">
      <c r="A170" s="53">
        <f t="shared" si="9"/>
        <v>36860</v>
      </c>
      <c r="B170" t="str">
        <f>IFERROR(_xlfn.XLOOKUP($A170,Planilha2!$A$2:$A$34,Planilha2!C$2:C$34,"",-1),"")</f>
        <v>B1</v>
      </c>
      <c r="C170" t="str">
        <f>IFERROR(_xlfn.XLOOKUP($A170,Planilha2!$A$2:$A$34,Planilha2!D$2:D$34,"",-1),"")</f>
        <v>B1</v>
      </c>
      <c r="D170" t="str" cm="1">
        <f t="array" ref="D170">IF($A170&lt;MIN(Planilha2!$A$2:$A$34),"",_xlfn.LET(_xlpm.t,_xlfn.XLOOKUP($A170,Planilha2!$A$2:$A$34,Planilha2!$E$2:$E$34,"",-1),_xlfn.IFS(ISNUMBER(SEARCH("positiva",_xlpm.t)),"Positiva",ISNUMBER(SEARCH("negativa",_xlpm.t)),"Negativa",ISNUMBER(SEARCH("estável",_xlpm.t)),"Estável",TRUE,"n/d")))</f>
        <v>Positiva</v>
      </c>
      <c r="E170" t="str">
        <f>IFERROR(_xlfn.XLOOKUP($A170,Planilha2!$J$2:$J$44,Planilha2!L$2:L$44,"",-1),"")</f>
        <v>BB-</v>
      </c>
      <c r="F170" t="str">
        <f>IFERROR(_xlfn.XLOOKUP($A170,Planilha2!$J$2:$J$44,Planilha2!M$2:M$44,"",-1),"")</f>
        <v>B+</v>
      </c>
      <c r="G170" t="str" cm="1">
        <f t="array" ref="G170">IF($A170&lt;MIN(Planilha2!$J$2:$J$44),"",_xlfn.LET(_xlpm.t,_xlfn.XLOOKUP($A170,Planilha2!$J$2:$J$44,Planilha2!$N$2:$N$44,"",-1),_xlfn.IFS(ISNUMBER(SEARCH("positiva",_xlpm.t)),"Positiva",ISNUMBER(SEARCH("negativa",_xlpm.t)),"Negativa",ISNUMBER(SEARCH("estável",_xlpm.t)),"Estável",TRUE,"n/d")))</f>
        <v>Estável</v>
      </c>
      <c r="H170" t="str">
        <f>IFERROR(_xlfn.XLOOKUP($A170,Planilha2!$P$2:$P$38,Planilha2!R$2:R$38,"",-1),"")</f>
        <v>B+</v>
      </c>
      <c r="I170" t="str">
        <f>IFERROR(_xlfn.XLOOKUP($A170,Planilha2!$P$2:$P$38,Planilha2!S$2:S$38,"",-1),"")</f>
        <v>BB</v>
      </c>
      <c r="J170" t="str" cm="1">
        <f t="array" ref="J170">IF($A170&lt;MIN(Planilha2!$P$2:$P$38),"",_xlfn.LET(_xlpm.t,_xlfn.XLOOKUP($A170,Planilha2!$P$2:$P$38,Planilha2!$T$2:$T$38,"",-1),_xlfn.IFS(ISNUMBER(SEARCH("positiva",_xlpm.t)),"Positiva",ISNUMBER(SEARCH("negativa",_xlpm.t)),"Negativa",ISNUMBER(SEARCH("estável",_xlpm.t)),"Estável",TRUE,"n/d")))</f>
        <v>Positiva</v>
      </c>
      <c r="L170" s="52">
        <f>IFERROR(_xlfn.XLOOKUP(B170,'Agências de Rating Soberano'!$G$2:$G$22,'Agências de Rating Soberano'!$H$2:$H$22),NA())</f>
        <v>8</v>
      </c>
      <c r="M170" s="52">
        <f>IFERROR(_xlfn.XLOOKUP(C170,'Agências de Rating Soberano'!$G$2:$G$22,'Agências de Rating Soberano'!$H$2:$H$22),NA())</f>
        <v>8</v>
      </c>
      <c r="N170" s="52">
        <f>IFERROR(_xlfn.XLOOKUP(E170,'Agências de Rating Soberano'!$J$2:$J$22,'Agências de Rating Soberano'!$K$2:$K$22),NA())</f>
        <v>9</v>
      </c>
      <c r="O170" s="52">
        <f>IFERROR(_xlfn.XLOOKUP(F170,'Agências de Rating Soberano'!$J$2:$J$22,'Agências de Rating Soberano'!$K$2:$K$22),NA())</f>
        <v>8</v>
      </c>
      <c r="P170" s="52">
        <f>IFERROR(_xlfn.XLOOKUP(H170,'Agências de Rating Soberano'!$J$2:$J$22,'Agências de Rating Soberano'!$K$2:$K$22),NA())</f>
        <v>8</v>
      </c>
      <c r="Q170" s="52">
        <f>IFERROR(_xlfn.XLOOKUP(I170,'Agências de Rating Soberano'!$J$2:$J$22,'Agências de Rating Soberano'!$K$2:$K$22),NA())</f>
        <v>10</v>
      </c>
    </row>
    <row r="171" spans="1:17" x14ac:dyDescent="0.3">
      <c r="A171" s="53">
        <f t="shared" si="9"/>
        <v>36891</v>
      </c>
      <c r="B171" t="str">
        <f>IFERROR(_xlfn.XLOOKUP($A171,Planilha2!$A$2:$A$34,Planilha2!C$2:C$34,"",-1),"")</f>
        <v>B1</v>
      </c>
      <c r="C171" t="str">
        <f>IFERROR(_xlfn.XLOOKUP($A171,Planilha2!$A$2:$A$34,Planilha2!D$2:D$34,"",-1),"")</f>
        <v>B1</v>
      </c>
      <c r="D171" t="str" cm="1">
        <f t="array" ref="D171">IF($A171&lt;MIN(Planilha2!$A$2:$A$34),"",_xlfn.LET(_xlpm.t,_xlfn.XLOOKUP($A171,Planilha2!$A$2:$A$34,Planilha2!$E$2:$E$34,"",-1),_xlfn.IFS(ISNUMBER(SEARCH("positiva",_xlpm.t)),"Positiva",ISNUMBER(SEARCH("negativa",_xlpm.t)),"Negativa",ISNUMBER(SEARCH("estável",_xlpm.t)),"Estável",TRUE,"n/d")))</f>
        <v>Positiva</v>
      </c>
      <c r="E171" t="str">
        <f>IFERROR(_xlfn.XLOOKUP($A171,Planilha2!$J$2:$J$44,Planilha2!L$2:L$44,"",-1),"")</f>
        <v>BB-</v>
      </c>
      <c r="F171" t="str">
        <f>IFERROR(_xlfn.XLOOKUP($A171,Planilha2!$J$2:$J$44,Planilha2!M$2:M$44,"",-1),"")</f>
        <v>B+</v>
      </c>
      <c r="G171" t="str" cm="1">
        <f t="array" ref="G171">IF($A171&lt;MIN(Planilha2!$J$2:$J$44),"",_xlfn.LET(_xlpm.t,_xlfn.XLOOKUP($A171,Planilha2!$J$2:$J$44,Planilha2!$N$2:$N$44,"",-1),_xlfn.IFS(ISNUMBER(SEARCH("positiva",_xlpm.t)),"Positiva",ISNUMBER(SEARCH("negativa",_xlpm.t)),"Negativa",ISNUMBER(SEARCH("estável",_xlpm.t)),"Estável",TRUE,"n/d")))</f>
        <v>Estável</v>
      </c>
      <c r="H171" t="str">
        <f>IFERROR(_xlfn.XLOOKUP($A171,Planilha2!$P$2:$P$38,Planilha2!R$2:R$38,"",-1),"")</f>
        <v>B+</v>
      </c>
      <c r="I171" t="str">
        <f>IFERROR(_xlfn.XLOOKUP($A171,Planilha2!$P$2:$P$38,Planilha2!S$2:S$38,"",-1),"")</f>
        <v>BB</v>
      </c>
      <c r="J171" t="str" cm="1">
        <f t="array" ref="J171">IF($A171&lt;MIN(Planilha2!$P$2:$P$38),"",_xlfn.LET(_xlpm.t,_xlfn.XLOOKUP($A171,Planilha2!$P$2:$P$38,Planilha2!$T$2:$T$38,"",-1),_xlfn.IFS(ISNUMBER(SEARCH("positiva",_xlpm.t)),"Positiva",ISNUMBER(SEARCH("negativa",_xlpm.t)),"Negativa",ISNUMBER(SEARCH("estável",_xlpm.t)),"Estável",TRUE,"n/d")))</f>
        <v>Positiva</v>
      </c>
      <c r="L171" s="52">
        <f>IFERROR(_xlfn.XLOOKUP(B171,'Agências de Rating Soberano'!$G$2:$G$22,'Agências de Rating Soberano'!$H$2:$H$22),NA())</f>
        <v>8</v>
      </c>
      <c r="M171" s="52">
        <f>IFERROR(_xlfn.XLOOKUP(C171,'Agências de Rating Soberano'!$G$2:$G$22,'Agências de Rating Soberano'!$H$2:$H$22),NA())</f>
        <v>8</v>
      </c>
      <c r="N171" s="52">
        <f>IFERROR(_xlfn.XLOOKUP(E171,'Agências de Rating Soberano'!$J$2:$J$22,'Agências de Rating Soberano'!$K$2:$K$22),NA())</f>
        <v>9</v>
      </c>
      <c r="O171" s="52">
        <f>IFERROR(_xlfn.XLOOKUP(F171,'Agências de Rating Soberano'!$J$2:$J$22,'Agências de Rating Soberano'!$K$2:$K$22),NA())</f>
        <v>8</v>
      </c>
      <c r="P171" s="52">
        <f>IFERROR(_xlfn.XLOOKUP(H171,'Agências de Rating Soberano'!$J$2:$J$22,'Agências de Rating Soberano'!$K$2:$K$22),NA())</f>
        <v>8</v>
      </c>
      <c r="Q171" s="52">
        <f>IFERROR(_xlfn.XLOOKUP(I171,'Agências de Rating Soberano'!$J$2:$J$22,'Agências de Rating Soberano'!$K$2:$K$22),NA())</f>
        <v>10</v>
      </c>
    </row>
    <row r="172" spans="1:17" x14ac:dyDescent="0.3">
      <c r="A172" s="53">
        <f t="shared" si="9"/>
        <v>36922</v>
      </c>
      <c r="B172" t="str">
        <f>IFERROR(_xlfn.XLOOKUP($A172,Planilha2!$A$2:$A$34,Planilha2!C$2:C$34,"",-1),"")</f>
        <v>B1</v>
      </c>
      <c r="C172" t="str">
        <f>IFERROR(_xlfn.XLOOKUP($A172,Planilha2!$A$2:$A$34,Planilha2!D$2:D$34,"",-1),"")</f>
        <v>B1</v>
      </c>
      <c r="D172" t="str" cm="1">
        <f t="array" ref="D172">IF($A172&lt;MIN(Planilha2!$A$2:$A$34),"",_xlfn.LET(_xlpm.t,_xlfn.XLOOKUP($A172,Planilha2!$A$2:$A$34,Planilha2!$E$2:$E$34,"",-1),_xlfn.IFS(ISNUMBER(SEARCH("positiva",_xlpm.t)),"Positiva",ISNUMBER(SEARCH("negativa",_xlpm.t)),"Negativa",ISNUMBER(SEARCH("estável",_xlpm.t)),"Estável",TRUE,"n/d")))</f>
        <v>Positiva</v>
      </c>
      <c r="E172" t="str">
        <f>IFERROR(_xlfn.XLOOKUP($A172,Planilha2!$J$2:$J$44,Planilha2!L$2:L$44,"",-1),"")</f>
        <v>BB-</v>
      </c>
      <c r="F172" t="str">
        <f>IFERROR(_xlfn.XLOOKUP($A172,Planilha2!$J$2:$J$44,Planilha2!M$2:M$44,"",-1),"")</f>
        <v>B+</v>
      </c>
      <c r="G172" t="str" cm="1">
        <f t="array" ref="G172">IF($A172&lt;MIN(Planilha2!$J$2:$J$44),"",_xlfn.LET(_xlpm.t,_xlfn.XLOOKUP($A172,Planilha2!$J$2:$J$44,Planilha2!$N$2:$N$44,"",-1),_xlfn.IFS(ISNUMBER(SEARCH("positiva",_xlpm.t)),"Positiva",ISNUMBER(SEARCH("negativa",_xlpm.t)),"Negativa",ISNUMBER(SEARCH("estável",_xlpm.t)),"Estável",TRUE,"n/d")))</f>
        <v>Estável</v>
      </c>
      <c r="H172" t="str">
        <f>IFERROR(_xlfn.XLOOKUP($A172,Planilha2!$P$2:$P$38,Planilha2!R$2:R$38,"",-1),"")</f>
        <v>BB-</v>
      </c>
      <c r="I172" t="str">
        <f>IFERROR(_xlfn.XLOOKUP($A172,Planilha2!$P$2:$P$38,Planilha2!S$2:S$38,"",-1),"")</f>
        <v>BB+</v>
      </c>
      <c r="J172" t="str" cm="1">
        <f t="array" ref="J172">IF($A172&lt;MIN(Planilha2!$P$2:$P$38),"",_xlfn.LET(_xlpm.t,_xlfn.XLOOKUP($A172,Planilha2!$P$2:$P$38,Planilha2!$T$2:$T$38,"",-1),_xlfn.IFS(ISNUMBER(SEARCH("positiva",_xlpm.t)),"Positiva",ISNUMBER(SEARCH("negativa",_xlpm.t)),"Negativa",ISNUMBER(SEARCH("estável",_xlpm.t)),"Estável",TRUE,"n/d")))</f>
        <v>Estável</v>
      </c>
      <c r="L172" s="52">
        <f>IFERROR(_xlfn.XLOOKUP(B172,'Agências de Rating Soberano'!$G$2:$G$22,'Agências de Rating Soberano'!$H$2:$H$22),NA())</f>
        <v>8</v>
      </c>
      <c r="M172" s="52">
        <f>IFERROR(_xlfn.XLOOKUP(C172,'Agências de Rating Soberano'!$G$2:$G$22,'Agências de Rating Soberano'!$H$2:$H$22),NA())</f>
        <v>8</v>
      </c>
      <c r="N172" s="52">
        <f>IFERROR(_xlfn.XLOOKUP(E172,'Agências de Rating Soberano'!$J$2:$J$22,'Agências de Rating Soberano'!$K$2:$K$22),NA())</f>
        <v>9</v>
      </c>
      <c r="O172" s="52">
        <f>IFERROR(_xlfn.XLOOKUP(F172,'Agências de Rating Soberano'!$J$2:$J$22,'Agências de Rating Soberano'!$K$2:$K$22),NA())</f>
        <v>8</v>
      </c>
      <c r="P172" s="52">
        <f>IFERROR(_xlfn.XLOOKUP(H172,'Agências de Rating Soberano'!$J$2:$J$22,'Agências de Rating Soberano'!$K$2:$K$22),NA())</f>
        <v>9</v>
      </c>
      <c r="Q172" s="52">
        <f>IFERROR(_xlfn.XLOOKUP(I172,'Agências de Rating Soberano'!$J$2:$J$22,'Agências de Rating Soberano'!$K$2:$K$22),NA())</f>
        <v>11</v>
      </c>
    </row>
    <row r="173" spans="1:17" x14ac:dyDescent="0.3">
      <c r="A173" s="53">
        <f t="shared" si="9"/>
        <v>36950</v>
      </c>
      <c r="B173" t="str">
        <f>IFERROR(_xlfn.XLOOKUP($A173,Planilha2!$A$2:$A$34,Planilha2!C$2:C$34,"",-1),"")</f>
        <v>B1</v>
      </c>
      <c r="C173" t="str">
        <f>IFERROR(_xlfn.XLOOKUP($A173,Planilha2!$A$2:$A$34,Planilha2!D$2:D$34,"",-1),"")</f>
        <v>B1</v>
      </c>
      <c r="D173" t="str" cm="1">
        <f t="array" ref="D173">IF($A173&lt;MIN(Planilha2!$A$2:$A$34),"",_xlfn.LET(_xlpm.t,_xlfn.XLOOKUP($A173,Planilha2!$A$2:$A$34,Planilha2!$E$2:$E$34,"",-1),_xlfn.IFS(ISNUMBER(SEARCH("positiva",_xlpm.t)),"Positiva",ISNUMBER(SEARCH("negativa",_xlpm.t)),"Negativa",ISNUMBER(SEARCH("estável",_xlpm.t)),"Estável",TRUE,"n/d")))</f>
        <v>Positiva</v>
      </c>
      <c r="E173" t="str">
        <f>IFERROR(_xlfn.XLOOKUP($A173,Planilha2!$J$2:$J$44,Planilha2!L$2:L$44,"",-1),"")</f>
        <v>BB-</v>
      </c>
      <c r="F173" t="str">
        <f>IFERROR(_xlfn.XLOOKUP($A173,Planilha2!$J$2:$J$44,Planilha2!M$2:M$44,"",-1),"")</f>
        <v>B+</v>
      </c>
      <c r="G173" t="str" cm="1">
        <f t="array" ref="G173">IF($A173&lt;MIN(Planilha2!$J$2:$J$44),"",_xlfn.LET(_xlpm.t,_xlfn.XLOOKUP($A173,Planilha2!$J$2:$J$44,Planilha2!$N$2:$N$44,"",-1),_xlfn.IFS(ISNUMBER(SEARCH("positiva",_xlpm.t)),"Positiva",ISNUMBER(SEARCH("negativa",_xlpm.t)),"Negativa",ISNUMBER(SEARCH("estável",_xlpm.t)),"Estável",TRUE,"n/d")))</f>
        <v>Estável</v>
      </c>
      <c r="H173" t="str">
        <f>IFERROR(_xlfn.XLOOKUP($A173,Planilha2!$P$2:$P$38,Planilha2!R$2:R$38,"",-1),"")</f>
        <v>BB-</v>
      </c>
      <c r="I173" t="str">
        <f>IFERROR(_xlfn.XLOOKUP($A173,Planilha2!$P$2:$P$38,Planilha2!S$2:S$38,"",-1),"")</f>
        <v>BB+</v>
      </c>
      <c r="J173" t="str" cm="1">
        <f t="array" ref="J173">IF($A173&lt;MIN(Planilha2!$P$2:$P$38),"",_xlfn.LET(_xlpm.t,_xlfn.XLOOKUP($A173,Planilha2!$P$2:$P$38,Planilha2!$T$2:$T$38,"",-1),_xlfn.IFS(ISNUMBER(SEARCH("positiva",_xlpm.t)),"Positiva",ISNUMBER(SEARCH("negativa",_xlpm.t)),"Negativa",ISNUMBER(SEARCH("estável",_xlpm.t)),"Estável",TRUE,"n/d")))</f>
        <v>Estável</v>
      </c>
      <c r="L173" s="52">
        <f>IFERROR(_xlfn.XLOOKUP(B173,'Agências de Rating Soberano'!$G$2:$G$22,'Agências de Rating Soberano'!$H$2:$H$22),NA())</f>
        <v>8</v>
      </c>
      <c r="M173" s="52">
        <f>IFERROR(_xlfn.XLOOKUP(C173,'Agências de Rating Soberano'!$G$2:$G$22,'Agências de Rating Soberano'!$H$2:$H$22),NA())</f>
        <v>8</v>
      </c>
      <c r="N173" s="52">
        <f>IFERROR(_xlfn.XLOOKUP(E173,'Agências de Rating Soberano'!$J$2:$J$22,'Agências de Rating Soberano'!$K$2:$K$22),NA())</f>
        <v>9</v>
      </c>
      <c r="O173" s="52">
        <f>IFERROR(_xlfn.XLOOKUP(F173,'Agências de Rating Soberano'!$J$2:$J$22,'Agências de Rating Soberano'!$K$2:$K$22),NA())</f>
        <v>8</v>
      </c>
      <c r="P173" s="52">
        <f>IFERROR(_xlfn.XLOOKUP(H173,'Agências de Rating Soberano'!$J$2:$J$22,'Agências de Rating Soberano'!$K$2:$K$22),NA())</f>
        <v>9</v>
      </c>
      <c r="Q173" s="52">
        <f>IFERROR(_xlfn.XLOOKUP(I173,'Agências de Rating Soberano'!$J$2:$J$22,'Agências de Rating Soberano'!$K$2:$K$22),NA())</f>
        <v>11</v>
      </c>
    </row>
    <row r="174" spans="1:17" x14ac:dyDescent="0.3">
      <c r="A174" s="53">
        <f t="shared" si="9"/>
        <v>36981</v>
      </c>
      <c r="B174" t="str">
        <f>IFERROR(_xlfn.XLOOKUP($A174,Planilha2!$A$2:$A$34,Planilha2!C$2:C$34,"",-1),"")</f>
        <v>B1</v>
      </c>
      <c r="C174" t="str">
        <f>IFERROR(_xlfn.XLOOKUP($A174,Planilha2!$A$2:$A$34,Planilha2!D$2:D$34,"",-1),"")</f>
        <v>B1</v>
      </c>
      <c r="D174" t="str" cm="1">
        <f t="array" ref="D174">IF($A174&lt;MIN(Planilha2!$A$2:$A$34),"",_xlfn.LET(_xlpm.t,_xlfn.XLOOKUP($A174,Planilha2!$A$2:$A$34,Planilha2!$E$2:$E$34,"",-1),_xlfn.IFS(ISNUMBER(SEARCH("positiva",_xlpm.t)),"Positiva",ISNUMBER(SEARCH("negativa",_xlpm.t)),"Negativa",ISNUMBER(SEARCH("estável",_xlpm.t)),"Estável",TRUE,"n/d")))</f>
        <v>Positiva</v>
      </c>
      <c r="E174" t="str">
        <f>IFERROR(_xlfn.XLOOKUP($A174,Planilha2!$J$2:$J$44,Planilha2!L$2:L$44,"",-1),"")</f>
        <v>BB-</v>
      </c>
      <c r="F174" t="str">
        <f>IFERROR(_xlfn.XLOOKUP($A174,Planilha2!$J$2:$J$44,Planilha2!M$2:M$44,"",-1),"")</f>
        <v>B+</v>
      </c>
      <c r="G174" t="str" cm="1">
        <f t="array" ref="G174">IF($A174&lt;MIN(Planilha2!$J$2:$J$44),"",_xlfn.LET(_xlpm.t,_xlfn.XLOOKUP($A174,Planilha2!$J$2:$J$44,Planilha2!$N$2:$N$44,"",-1),_xlfn.IFS(ISNUMBER(SEARCH("positiva",_xlpm.t)),"Positiva",ISNUMBER(SEARCH("negativa",_xlpm.t)),"Negativa",ISNUMBER(SEARCH("estável",_xlpm.t)),"Estável",TRUE,"n/d")))</f>
        <v>Estável</v>
      </c>
      <c r="H174" t="str">
        <f>IFERROR(_xlfn.XLOOKUP($A174,Planilha2!$P$2:$P$38,Planilha2!R$2:R$38,"",-1),"")</f>
        <v>BB-</v>
      </c>
      <c r="I174" t="str">
        <f>IFERROR(_xlfn.XLOOKUP($A174,Planilha2!$P$2:$P$38,Planilha2!S$2:S$38,"",-1),"")</f>
        <v>BB+</v>
      </c>
      <c r="J174" t="str" cm="1">
        <f t="array" ref="J174">IF($A174&lt;MIN(Planilha2!$P$2:$P$38),"",_xlfn.LET(_xlpm.t,_xlfn.XLOOKUP($A174,Planilha2!$P$2:$P$38,Planilha2!$T$2:$T$38,"",-1),_xlfn.IFS(ISNUMBER(SEARCH("positiva",_xlpm.t)),"Positiva",ISNUMBER(SEARCH("negativa",_xlpm.t)),"Negativa",ISNUMBER(SEARCH("estável",_xlpm.t)),"Estável",TRUE,"n/d")))</f>
        <v>Estável</v>
      </c>
      <c r="L174" s="52">
        <f>IFERROR(_xlfn.XLOOKUP(B174,'Agências de Rating Soberano'!$G$2:$G$22,'Agências de Rating Soberano'!$H$2:$H$22),NA())</f>
        <v>8</v>
      </c>
      <c r="M174" s="52">
        <f>IFERROR(_xlfn.XLOOKUP(C174,'Agências de Rating Soberano'!$G$2:$G$22,'Agências de Rating Soberano'!$H$2:$H$22),NA())</f>
        <v>8</v>
      </c>
      <c r="N174" s="52">
        <f>IFERROR(_xlfn.XLOOKUP(E174,'Agências de Rating Soberano'!$J$2:$J$22,'Agências de Rating Soberano'!$K$2:$K$22),NA())</f>
        <v>9</v>
      </c>
      <c r="O174" s="52">
        <f>IFERROR(_xlfn.XLOOKUP(F174,'Agências de Rating Soberano'!$J$2:$J$22,'Agências de Rating Soberano'!$K$2:$K$22),NA())</f>
        <v>8</v>
      </c>
      <c r="P174" s="52">
        <f>IFERROR(_xlfn.XLOOKUP(H174,'Agências de Rating Soberano'!$J$2:$J$22,'Agências de Rating Soberano'!$K$2:$K$22),NA())</f>
        <v>9</v>
      </c>
      <c r="Q174" s="52">
        <f>IFERROR(_xlfn.XLOOKUP(I174,'Agências de Rating Soberano'!$J$2:$J$22,'Agências de Rating Soberano'!$K$2:$K$22),NA())</f>
        <v>11</v>
      </c>
    </row>
    <row r="175" spans="1:17" x14ac:dyDescent="0.3">
      <c r="A175" s="53">
        <f t="shared" si="9"/>
        <v>37011</v>
      </c>
      <c r="B175" t="str">
        <f>IFERROR(_xlfn.XLOOKUP($A175,Planilha2!$A$2:$A$34,Planilha2!C$2:C$34,"",-1),"")</f>
        <v>B1</v>
      </c>
      <c r="C175" t="str">
        <f>IFERROR(_xlfn.XLOOKUP($A175,Planilha2!$A$2:$A$34,Planilha2!D$2:D$34,"",-1),"")</f>
        <v>B1</v>
      </c>
      <c r="D175" t="str" cm="1">
        <f t="array" ref="D175">IF($A175&lt;MIN(Planilha2!$A$2:$A$34),"",_xlfn.LET(_xlpm.t,_xlfn.XLOOKUP($A175,Planilha2!$A$2:$A$34,Planilha2!$E$2:$E$34,"",-1),_xlfn.IFS(ISNUMBER(SEARCH("positiva",_xlpm.t)),"Positiva",ISNUMBER(SEARCH("negativa",_xlpm.t)),"Negativa",ISNUMBER(SEARCH("estável",_xlpm.t)),"Estável",TRUE,"n/d")))</f>
        <v>Positiva</v>
      </c>
      <c r="E175" t="str">
        <f>IFERROR(_xlfn.XLOOKUP($A175,Planilha2!$J$2:$J$44,Planilha2!L$2:L$44,"",-1),"")</f>
        <v>BB-</v>
      </c>
      <c r="F175" t="str">
        <f>IFERROR(_xlfn.XLOOKUP($A175,Planilha2!$J$2:$J$44,Planilha2!M$2:M$44,"",-1),"")</f>
        <v>B+</v>
      </c>
      <c r="G175" t="str" cm="1">
        <f t="array" ref="G175">IF($A175&lt;MIN(Planilha2!$J$2:$J$44),"",_xlfn.LET(_xlpm.t,_xlfn.XLOOKUP($A175,Planilha2!$J$2:$J$44,Planilha2!$N$2:$N$44,"",-1),_xlfn.IFS(ISNUMBER(SEARCH("positiva",_xlpm.t)),"Positiva",ISNUMBER(SEARCH("negativa",_xlpm.t)),"Negativa",ISNUMBER(SEARCH("estável",_xlpm.t)),"Estável",TRUE,"n/d")))</f>
        <v>Estável</v>
      </c>
      <c r="H175" t="str">
        <f>IFERROR(_xlfn.XLOOKUP($A175,Planilha2!$P$2:$P$38,Planilha2!R$2:R$38,"",-1),"")</f>
        <v>BB-</v>
      </c>
      <c r="I175" t="str">
        <f>IFERROR(_xlfn.XLOOKUP($A175,Planilha2!$P$2:$P$38,Planilha2!S$2:S$38,"",-1),"")</f>
        <v>BB+</v>
      </c>
      <c r="J175" t="str" cm="1">
        <f t="array" ref="J175">IF($A175&lt;MIN(Planilha2!$P$2:$P$38),"",_xlfn.LET(_xlpm.t,_xlfn.XLOOKUP($A175,Planilha2!$P$2:$P$38,Planilha2!$T$2:$T$38,"",-1),_xlfn.IFS(ISNUMBER(SEARCH("positiva",_xlpm.t)),"Positiva",ISNUMBER(SEARCH("negativa",_xlpm.t)),"Negativa",ISNUMBER(SEARCH("estável",_xlpm.t)),"Estável",TRUE,"n/d")))</f>
        <v>Estável</v>
      </c>
      <c r="L175" s="52">
        <f>IFERROR(_xlfn.XLOOKUP(B175,'Agências de Rating Soberano'!$G$2:$G$22,'Agências de Rating Soberano'!$H$2:$H$22),NA())</f>
        <v>8</v>
      </c>
      <c r="M175" s="52">
        <f>IFERROR(_xlfn.XLOOKUP(C175,'Agências de Rating Soberano'!$G$2:$G$22,'Agências de Rating Soberano'!$H$2:$H$22),NA())</f>
        <v>8</v>
      </c>
      <c r="N175" s="52">
        <f>IFERROR(_xlfn.XLOOKUP(E175,'Agências de Rating Soberano'!$J$2:$J$22,'Agências de Rating Soberano'!$K$2:$K$22),NA())</f>
        <v>9</v>
      </c>
      <c r="O175" s="52">
        <f>IFERROR(_xlfn.XLOOKUP(F175,'Agências de Rating Soberano'!$J$2:$J$22,'Agências de Rating Soberano'!$K$2:$K$22),NA())</f>
        <v>8</v>
      </c>
      <c r="P175" s="52">
        <f>IFERROR(_xlfn.XLOOKUP(H175,'Agências de Rating Soberano'!$J$2:$J$22,'Agências de Rating Soberano'!$K$2:$K$22),NA())</f>
        <v>9</v>
      </c>
      <c r="Q175" s="52">
        <f>IFERROR(_xlfn.XLOOKUP(I175,'Agências de Rating Soberano'!$J$2:$J$22,'Agências de Rating Soberano'!$K$2:$K$22),NA())</f>
        <v>11</v>
      </c>
    </row>
    <row r="176" spans="1:17" x14ac:dyDescent="0.3">
      <c r="A176" s="53">
        <f t="shared" si="9"/>
        <v>37042</v>
      </c>
      <c r="B176" t="str">
        <f>IFERROR(_xlfn.XLOOKUP($A176,Planilha2!$A$2:$A$34,Planilha2!C$2:C$34,"",-1),"")</f>
        <v>B1</v>
      </c>
      <c r="C176" t="str">
        <f>IFERROR(_xlfn.XLOOKUP($A176,Planilha2!$A$2:$A$34,Planilha2!D$2:D$34,"",-1),"")</f>
        <v>B1</v>
      </c>
      <c r="D176" t="str" cm="1">
        <f t="array" ref="D176">IF($A176&lt;MIN(Planilha2!$A$2:$A$34),"",_xlfn.LET(_xlpm.t,_xlfn.XLOOKUP($A176,Planilha2!$A$2:$A$34,Planilha2!$E$2:$E$34,"",-1),_xlfn.IFS(ISNUMBER(SEARCH("positiva",_xlpm.t)),"Positiva",ISNUMBER(SEARCH("negativa",_xlpm.t)),"Negativa",ISNUMBER(SEARCH("estável",_xlpm.t)),"Estável",TRUE,"n/d")))</f>
        <v>Positiva</v>
      </c>
      <c r="E176" t="str">
        <f>IFERROR(_xlfn.XLOOKUP($A176,Planilha2!$J$2:$J$44,Planilha2!L$2:L$44,"",-1),"")</f>
        <v>BB-</v>
      </c>
      <c r="F176" t="str">
        <f>IFERROR(_xlfn.XLOOKUP($A176,Planilha2!$J$2:$J$44,Planilha2!M$2:M$44,"",-1),"")</f>
        <v>B+</v>
      </c>
      <c r="G176" t="str" cm="1">
        <f t="array" ref="G176">IF($A176&lt;MIN(Planilha2!$J$2:$J$44),"",_xlfn.LET(_xlpm.t,_xlfn.XLOOKUP($A176,Planilha2!$J$2:$J$44,Planilha2!$N$2:$N$44,"",-1),_xlfn.IFS(ISNUMBER(SEARCH("positiva",_xlpm.t)),"Positiva",ISNUMBER(SEARCH("negativa",_xlpm.t)),"Negativa",ISNUMBER(SEARCH("estável",_xlpm.t)),"Estável",TRUE,"n/d")))</f>
        <v>Estável</v>
      </c>
      <c r="H176" t="str">
        <f>IFERROR(_xlfn.XLOOKUP($A176,Planilha2!$P$2:$P$38,Planilha2!R$2:R$38,"",-1),"")</f>
        <v>BB-</v>
      </c>
      <c r="I176" t="str">
        <f>IFERROR(_xlfn.XLOOKUP($A176,Planilha2!$P$2:$P$38,Planilha2!S$2:S$38,"",-1),"")</f>
        <v>BB+</v>
      </c>
      <c r="J176" t="str" cm="1">
        <f t="array" ref="J176">IF($A176&lt;MIN(Planilha2!$P$2:$P$38),"",_xlfn.LET(_xlpm.t,_xlfn.XLOOKUP($A176,Planilha2!$P$2:$P$38,Planilha2!$T$2:$T$38,"",-1),_xlfn.IFS(ISNUMBER(SEARCH("positiva",_xlpm.t)),"Positiva",ISNUMBER(SEARCH("negativa",_xlpm.t)),"Negativa",ISNUMBER(SEARCH("estável",_xlpm.t)),"Estável",TRUE,"n/d")))</f>
        <v>Estável</v>
      </c>
      <c r="L176" s="52">
        <f>IFERROR(_xlfn.XLOOKUP(B176,'Agências de Rating Soberano'!$G$2:$G$22,'Agências de Rating Soberano'!$H$2:$H$22),NA())</f>
        <v>8</v>
      </c>
      <c r="M176" s="52">
        <f>IFERROR(_xlfn.XLOOKUP(C176,'Agências de Rating Soberano'!$G$2:$G$22,'Agências de Rating Soberano'!$H$2:$H$22),NA())</f>
        <v>8</v>
      </c>
      <c r="N176" s="52">
        <f>IFERROR(_xlfn.XLOOKUP(E176,'Agências de Rating Soberano'!$J$2:$J$22,'Agências de Rating Soberano'!$K$2:$K$22),NA())</f>
        <v>9</v>
      </c>
      <c r="O176" s="52">
        <f>IFERROR(_xlfn.XLOOKUP(F176,'Agências de Rating Soberano'!$J$2:$J$22,'Agências de Rating Soberano'!$K$2:$K$22),NA())</f>
        <v>8</v>
      </c>
      <c r="P176" s="52">
        <f>IFERROR(_xlfn.XLOOKUP(H176,'Agências de Rating Soberano'!$J$2:$J$22,'Agências de Rating Soberano'!$K$2:$K$22),NA())</f>
        <v>9</v>
      </c>
      <c r="Q176" s="52">
        <f>IFERROR(_xlfn.XLOOKUP(I176,'Agências de Rating Soberano'!$J$2:$J$22,'Agências de Rating Soberano'!$K$2:$K$22),NA())</f>
        <v>11</v>
      </c>
    </row>
    <row r="177" spans="1:17" x14ac:dyDescent="0.3">
      <c r="A177" s="53">
        <f t="shared" si="9"/>
        <v>37072</v>
      </c>
      <c r="B177" t="str">
        <f>IFERROR(_xlfn.XLOOKUP($A177,Planilha2!$A$2:$A$34,Planilha2!C$2:C$34,"",-1),"")</f>
        <v>B1</v>
      </c>
      <c r="C177" t="str">
        <f>IFERROR(_xlfn.XLOOKUP($A177,Planilha2!$A$2:$A$34,Planilha2!D$2:D$34,"",-1),"")</f>
        <v>B1</v>
      </c>
      <c r="D177" t="str" cm="1">
        <f t="array" ref="D177">IF($A177&lt;MIN(Planilha2!$A$2:$A$34),"",_xlfn.LET(_xlpm.t,_xlfn.XLOOKUP($A177,Planilha2!$A$2:$A$34,Planilha2!$E$2:$E$34,"",-1),_xlfn.IFS(ISNUMBER(SEARCH("positiva",_xlpm.t)),"Positiva",ISNUMBER(SEARCH("negativa",_xlpm.t)),"Negativa",ISNUMBER(SEARCH("estável",_xlpm.t)),"Estável",TRUE,"n/d")))</f>
        <v>Positiva</v>
      </c>
      <c r="E177" t="str">
        <f>IFERROR(_xlfn.XLOOKUP($A177,Planilha2!$J$2:$J$44,Planilha2!L$2:L$44,"",-1),"")</f>
        <v>BB-</v>
      </c>
      <c r="F177" t="str">
        <f>IFERROR(_xlfn.XLOOKUP($A177,Planilha2!$J$2:$J$44,Planilha2!M$2:M$44,"",-1),"")</f>
        <v>B+</v>
      </c>
      <c r="G177" t="str" cm="1">
        <f t="array" ref="G177">IF($A177&lt;MIN(Planilha2!$J$2:$J$44),"",_xlfn.LET(_xlpm.t,_xlfn.XLOOKUP($A177,Planilha2!$J$2:$J$44,Planilha2!$N$2:$N$44,"",-1),_xlfn.IFS(ISNUMBER(SEARCH("positiva",_xlpm.t)),"Positiva",ISNUMBER(SEARCH("negativa",_xlpm.t)),"Negativa",ISNUMBER(SEARCH("estável",_xlpm.t)),"Estável",TRUE,"n/d")))</f>
        <v>Estável</v>
      </c>
      <c r="H177" t="str">
        <f>IFERROR(_xlfn.XLOOKUP($A177,Planilha2!$P$2:$P$38,Planilha2!R$2:R$38,"",-1),"")</f>
        <v>BB-</v>
      </c>
      <c r="I177" t="str">
        <f>IFERROR(_xlfn.XLOOKUP($A177,Planilha2!$P$2:$P$38,Planilha2!S$2:S$38,"",-1),"")</f>
        <v>BB+</v>
      </c>
      <c r="J177" t="str" cm="1">
        <f t="array" ref="J177">IF($A177&lt;MIN(Planilha2!$P$2:$P$38),"",_xlfn.LET(_xlpm.t,_xlfn.XLOOKUP($A177,Planilha2!$P$2:$P$38,Planilha2!$T$2:$T$38,"",-1),_xlfn.IFS(ISNUMBER(SEARCH("positiva",_xlpm.t)),"Positiva",ISNUMBER(SEARCH("negativa",_xlpm.t)),"Negativa",ISNUMBER(SEARCH("estável",_xlpm.t)),"Estável",TRUE,"n/d")))</f>
        <v>Estável</v>
      </c>
      <c r="L177" s="52">
        <f>IFERROR(_xlfn.XLOOKUP(B177,'Agências de Rating Soberano'!$G$2:$G$22,'Agências de Rating Soberano'!$H$2:$H$22),NA())</f>
        <v>8</v>
      </c>
      <c r="M177" s="52">
        <f>IFERROR(_xlfn.XLOOKUP(C177,'Agências de Rating Soberano'!$G$2:$G$22,'Agências de Rating Soberano'!$H$2:$H$22),NA())</f>
        <v>8</v>
      </c>
      <c r="N177" s="52">
        <f>IFERROR(_xlfn.XLOOKUP(E177,'Agências de Rating Soberano'!$J$2:$J$22,'Agências de Rating Soberano'!$K$2:$K$22),NA())</f>
        <v>9</v>
      </c>
      <c r="O177" s="52">
        <f>IFERROR(_xlfn.XLOOKUP(F177,'Agências de Rating Soberano'!$J$2:$J$22,'Agências de Rating Soberano'!$K$2:$K$22),NA())</f>
        <v>8</v>
      </c>
      <c r="P177" s="52">
        <f>IFERROR(_xlfn.XLOOKUP(H177,'Agências de Rating Soberano'!$J$2:$J$22,'Agências de Rating Soberano'!$K$2:$K$22),NA())</f>
        <v>9</v>
      </c>
      <c r="Q177" s="52">
        <f>IFERROR(_xlfn.XLOOKUP(I177,'Agências de Rating Soberano'!$J$2:$J$22,'Agências de Rating Soberano'!$K$2:$K$22),NA())</f>
        <v>11</v>
      </c>
    </row>
    <row r="178" spans="1:17" x14ac:dyDescent="0.3">
      <c r="A178" s="53">
        <f t="shared" si="9"/>
        <v>37103</v>
      </c>
      <c r="B178" t="str">
        <f>IFERROR(_xlfn.XLOOKUP($A178,Planilha2!$A$2:$A$34,Planilha2!C$2:C$34,"",-1),"")</f>
        <v>B1</v>
      </c>
      <c r="C178" t="str">
        <f>IFERROR(_xlfn.XLOOKUP($A178,Planilha2!$A$2:$A$34,Planilha2!D$2:D$34,"",-1),"")</f>
        <v>B1</v>
      </c>
      <c r="D178" t="str" cm="1">
        <f t="array" ref="D178">IF($A178&lt;MIN(Planilha2!$A$2:$A$34),"",_xlfn.LET(_xlpm.t,_xlfn.XLOOKUP($A178,Planilha2!$A$2:$A$34,Planilha2!$E$2:$E$34,"",-1),_xlfn.IFS(ISNUMBER(SEARCH("positiva",_xlpm.t)),"Positiva",ISNUMBER(SEARCH("negativa",_xlpm.t)),"Negativa",ISNUMBER(SEARCH("estável",_xlpm.t)),"Estável",TRUE,"n/d")))</f>
        <v>Positiva</v>
      </c>
      <c r="E178" t="str">
        <f>IFERROR(_xlfn.XLOOKUP($A178,Planilha2!$J$2:$J$44,Planilha2!L$2:L$44,"",-1),"")</f>
        <v>BB-</v>
      </c>
      <c r="F178" t="str">
        <f>IFERROR(_xlfn.XLOOKUP($A178,Planilha2!$J$2:$J$44,Planilha2!M$2:M$44,"",-1),"")</f>
        <v>B+</v>
      </c>
      <c r="G178" t="str" cm="1">
        <f t="array" ref="G178">IF($A178&lt;MIN(Planilha2!$J$2:$J$44),"",_xlfn.LET(_xlpm.t,_xlfn.XLOOKUP($A178,Planilha2!$J$2:$J$44,Planilha2!$N$2:$N$44,"",-1),_xlfn.IFS(ISNUMBER(SEARCH("positiva",_xlpm.t)),"Positiva",ISNUMBER(SEARCH("negativa",_xlpm.t)),"Negativa",ISNUMBER(SEARCH("estável",_xlpm.t)),"Estável",TRUE,"n/d")))</f>
        <v>Negativa</v>
      </c>
      <c r="H178" t="str">
        <f>IFERROR(_xlfn.XLOOKUP($A178,Planilha2!$P$2:$P$38,Planilha2!R$2:R$38,"",-1),"")</f>
        <v>BB-</v>
      </c>
      <c r="I178" t="str">
        <f>IFERROR(_xlfn.XLOOKUP($A178,Planilha2!$P$2:$P$38,Planilha2!S$2:S$38,"",-1),"")</f>
        <v>BB+</v>
      </c>
      <c r="J178" t="str" cm="1">
        <f t="array" ref="J178">IF($A178&lt;MIN(Planilha2!$P$2:$P$38),"",_xlfn.LET(_xlpm.t,_xlfn.XLOOKUP($A178,Planilha2!$P$2:$P$38,Planilha2!$T$2:$T$38,"",-1),_xlfn.IFS(ISNUMBER(SEARCH("positiva",_xlpm.t)),"Positiva",ISNUMBER(SEARCH("negativa",_xlpm.t)),"Negativa",ISNUMBER(SEARCH("estável",_xlpm.t)),"Estável",TRUE,"n/d")))</f>
        <v>Estável</v>
      </c>
      <c r="L178" s="52">
        <f>IFERROR(_xlfn.XLOOKUP(B178,'Agências de Rating Soberano'!$G$2:$G$22,'Agências de Rating Soberano'!$H$2:$H$22),NA())</f>
        <v>8</v>
      </c>
      <c r="M178" s="52">
        <f>IFERROR(_xlfn.XLOOKUP(C178,'Agências de Rating Soberano'!$G$2:$G$22,'Agências de Rating Soberano'!$H$2:$H$22),NA())</f>
        <v>8</v>
      </c>
      <c r="N178" s="52">
        <f>IFERROR(_xlfn.XLOOKUP(E178,'Agências de Rating Soberano'!$J$2:$J$22,'Agências de Rating Soberano'!$K$2:$K$22),NA())</f>
        <v>9</v>
      </c>
      <c r="O178" s="52">
        <f>IFERROR(_xlfn.XLOOKUP(F178,'Agências de Rating Soberano'!$J$2:$J$22,'Agências de Rating Soberano'!$K$2:$K$22),NA())</f>
        <v>8</v>
      </c>
      <c r="P178" s="52">
        <f>IFERROR(_xlfn.XLOOKUP(H178,'Agências de Rating Soberano'!$J$2:$J$22,'Agências de Rating Soberano'!$K$2:$K$22),NA())</f>
        <v>9</v>
      </c>
      <c r="Q178" s="52">
        <f>IFERROR(_xlfn.XLOOKUP(I178,'Agências de Rating Soberano'!$J$2:$J$22,'Agências de Rating Soberano'!$K$2:$K$22),NA())</f>
        <v>11</v>
      </c>
    </row>
    <row r="179" spans="1:17" x14ac:dyDescent="0.3">
      <c r="A179" s="53">
        <f t="shared" si="9"/>
        <v>37134</v>
      </c>
      <c r="B179" t="str">
        <f>IFERROR(_xlfn.XLOOKUP($A179,Planilha2!$A$2:$A$34,Planilha2!C$2:C$34,"",-1),"")</f>
        <v>B1</v>
      </c>
      <c r="C179" t="str">
        <f>IFERROR(_xlfn.XLOOKUP($A179,Planilha2!$A$2:$A$34,Planilha2!D$2:D$34,"",-1),"")</f>
        <v>B1</v>
      </c>
      <c r="D179" t="str" cm="1">
        <f t="array" ref="D179">IF($A179&lt;MIN(Planilha2!$A$2:$A$34),"",_xlfn.LET(_xlpm.t,_xlfn.XLOOKUP($A179,Planilha2!$A$2:$A$34,Planilha2!$E$2:$E$34,"",-1),_xlfn.IFS(ISNUMBER(SEARCH("positiva",_xlpm.t)),"Positiva",ISNUMBER(SEARCH("negativa",_xlpm.t)),"Negativa",ISNUMBER(SEARCH("estável",_xlpm.t)),"Estável",TRUE,"n/d")))</f>
        <v>Positiva</v>
      </c>
      <c r="E179" t="str">
        <f>IFERROR(_xlfn.XLOOKUP($A179,Planilha2!$J$2:$J$44,Planilha2!L$2:L$44,"",-1),"")</f>
        <v>BB-</v>
      </c>
      <c r="F179" t="str">
        <f>IFERROR(_xlfn.XLOOKUP($A179,Planilha2!$J$2:$J$44,Planilha2!M$2:M$44,"",-1),"")</f>
        <v>B+</v>
      </c>
      <c r="G179" t="str" cm="1">
        <f t="array" ref="G179">IF($A179&lt;MIN(Planilha2!$J$2:$J$44),"",_xlfn.LET(_xlpm.t,_xlfn.XLOOKUP($A179,Planilha2!$J$2:$J$44,Planilha2!$N$2:$N$44,"",-1),_xlfn.IFS(ISNUMBER(SEARCH("positiva",_xlpm.t)),"Positiva",ISNUMBER(SEARCH("negativa",_xlpm.t)),"Negativa",ISNUMBER(SEARCH("estável",_xlpm.t)),"Estável",TRUE,"n/d")))</f>
        <v>Negativa</v>
      </c>
      <c r="H179" t="str">
        <f>IFERROR(_xlfn.XLOOKUP($A179,Planilha2!$P$2:$P$38,Planilha2!R$2:R$38,"",-1),"")</f>
        <v>BB-</v>
      </c>
      <c r="I179" t="str">
        <f>IFERROR(_xlfn.XLOOKUP($A179,Planilha2!$P$2:$P$38,Planilha2!S$2:S$38,"",-1),"")</f>
        <v>BB+</v>
      </c>
      <c r="J179" t="str" cm="1">
        <f t="array" ref="J179">IF($A179&lt;MIN(Planilha2!$P$2:$P$38),"",_xlfn.LET(_xlpm.t,_xlfn.XLOOKUP($A179,Planilha2!$P$2:$P$38,Planilha2!$T$2:$T$38,"",-1),_xlfn.IFS(ISNUMBER(SEARCH("positiva",_xlpm.t)),"Positiva",ISNUMBER(SEARCH("negativa",_xlpm.t)),"Negativa",ISNUMBER(SEARCH("estável",_xlpm.t)),"Estável",TRUE,"n/d")))</f>
        <v>Negativa</v>
      </c>
      <c r="L179" s="52">
        <f>IFERROR(_xlfn.XLOOKUP(B179,'Agências de Rating Soberano'!$G$2:$G$22,'Agências de Rating Soberano'!$H$2:$H$22),NA())</f>
        <v>8</v>
      </c>
      <c r="M179" s="52">
        <f>IFERROR(_xlfn.XLOOKUP(C179,'Agências de Rating Soberano'!$G$2:$G$22,'Agências de Rating Soberano'!$H$2:$H$22),NA())</f>
        <v>8</v>
      </c>
      <c r="N179" s="52">
        <f>IFERROR(_xlfn.XLOOKUP(E179,'Agências de Rating Soberano'!$J$2:$J$22,'Agências de Rating Soberano'!$K$2:$K$22),NA())</f>
        <v>9</v>
      </c>
      <c r="O179" s="52">
        <f>IFERROR(_xlfn.XLOOKUP(F179,'Agências de Rating Soberano'!$J$2:$J$22,'Agências de Rating Soberano'!$K$2:$K$22),NA())</f>
        <v>8</v>
      </c>
      <c r="P179" s="52">
        <f>IFERROR(_xlfn.XLOOKUP(H179,'Agências de Rating Soberano'!$J$2:$J$22,'Agências de Rating Soberano'!$K$2:$K$22),NA())</f>
        <v>9</v>
      </c>
      <c r="Q179" s="52">
        <f>IFERROR(_xlfn.XLOOKUP(I179,'Agências de Rating Soberano'!$J$2:$J$22,'Agências de Rating Soberano'!$K$2:$K$22),NA())</f>
        <v>11</v>
      </c>
    </row>
    <row r="180" spans="1:17" x14ac:dyDescent="0.3">
      <c r="A180" s="53">
        <f t="shared" si="9"/>
        <v>37164</v>
      </c>
      <c r="B180" t="str">
        <f>IFERROR(_xlfn.XLOOKUP($A180,Planilha2!$A$2:$A$34,Planilha2!C$2:C$34,"",-1),"")</f>
        <v>B1</v>
      </c>
      <c r="C180" t="str">
        <f>IFERROR(_xlfn.XLOOKUP($A180,Planilha2!$A$2:$A$34,Planilha2!D$2:D$34,"",-1),"")</f>
        <v>B1</v>
      </c>
      <c r="D180" t="str" cm="1">
        <f t="array" ref="D180">IF($A180&lt;MIN(Planilha2!$A$2:$A$34),"",_xlfn.LET(_xlpm.t,_xlfn.XLOOKUP($A180,Planilha2!$A$2:$A$34,Planilha2!$E$2:$E$34,"",-1),_xlfn.IFS(ISNUMBER(SEARCH("positiva",_xlpm.t)),"Positiva",ISNUMBER(SEARCH("negativa",_xlpm.t)),"Negativa",ISNUMBER(SEARCH("estável",_xlpm.t)),"Estável",TRUE,"n/d")))</f>
        <v>Positiva</v>
      </c>
      <c r="E180" t="str">
        <f>IFERROR(_xlfn.XLOOKUP($A180,Planilha2!$J$2:$J$44,Planilha2!L$2:L$44,"",-1),"")</f>
        <v>BB-</v>
      </c>
      <c r="F180" t="str">
        <f>IFERROR(_xlfn.XLOOKUP($A180,Planilha2!$J$2:$J$44,Planilha2!M$2:M$44,"",-1),"")</f>
        <v>B+</v>
      </c>
      <c r="G180" t="str" cm="1">
        <f t="array" ref="G180">IF($A180&lt;MIN(Planilha2!$J$2:$J$44),"",_xlfn.LET(_xlpm.t,_xlfn.XLOOKUP($A180,Planilha2!$J$2:$J$44,Planilha2!$N$2:$N$44,"",-1),_xlfn.IFS(ISNUMBER(SEARCH("positiva",_xlpm.t)),"Positiva",ISNUMBER(SEARCH("negativa",_xlpm.t)),"Negativa",ISNUMBER(SEARCH("estável",_xlpm.t)),"Estável",TRUE,"n/d")))</f>
        <v>Negativa</v>
      </c>
      <c r="H180" t="str">
        <f>IFERROR(_xlfn.XLOOKUP($A180,Planilha2!$P$2:$P$38,Planilha2!R$2:R$38,"",-1),"")</f>
        <v>BB-</v>
      </c>
      <c r="I180" t="str">
        <f>IFERROR(_xlfn.XLOOKUP($A180,Planilha2!$P$2:$P$38,Planilha2!S$2:S$38,"",-1),"")</f>
        <v>BB+</v>
      </c>
      <c r="J180" t="str" cm="1">
        <f t="array" ref="J180">IF($A180&lt;MIN(Planilha2!$P$2:$P$38),"",_xlfn.LET(_xlpm.t,_xlfn.XLOOKUP($A180,Planilha2!$P$2:$P$38,Planilha2!$T$2:$T$38,"",-1),_xlfn.IFS(ISNUMBER(SEARCH("positiva",_xlpm.t)),"Positiva",ISNUMBER(SEARCH("negativa",_xlpm.t)),"Negativa",ISNUMBER(SEARCH("estável",_xlpm.t)),"Estável",TRUE,"n/d")))</f>
        <v>Negativa</v>
      </c>
      <c r="L180" s="52">
        <f>IFERROR(_xlfn.XLOOKUP(B180,'Agências de Rating Soberano'!$G$2:$G$22,'Agências de Rating Soberano'!$H$2:$H$22),NA())</f>
        <v>8</v>
      </c>
      <c r="M180" s="52">
        <f>IFERROR(_xlfn.XLOOKUP(C180,'Agências de Rating Soberano'!$G$2:$G$22,'Agências de Rating Soberano'!$H$2:$H$22),NA())</f>
        <v>8</v>
      </c>
      <c r="N180" s="52">
        <f>IFERROR(_xlfn.XLOOKUP(E180,'Agências de Rating Soberano'!$J$2:$J$22,'Agências de Rating Soberano'!$K$2:$K$22),NA())</f>
        <v>9</v>
      </c>
      <c r="O180" s="52">
        <f>IFERROR(_xlfn.XLOOKUP(F180,'Agências de Rating Soberano'!$J$2:$J$22,'Agências de Rating Soberano'!$K$2:$K$22),NA())</f>
        <v>8</v>
      </c>
      <c r="P180" s="52">
        <f>IFERROR(_xlfn.XLOOKUP(H180,'Agências de Rating Soberano'!$J$2:$J$22,'Agências de Rating Soberano'!$K$2:$K$22),NA())</f>
        <v>9</v>
      </c>
      <c r="Q180" s="52">
        <f>IFERROR(_xlfn.XLOOKUP(I180,'Agências de Rating Soberano'!$J$2:$J$22,'Agências de Rating Soberano'!$K$2:$K$22),NA())</f>
        <v>11</v>
      </c>
    </row>
    <row r="181" spans="1:17" x14ac:dyDescent="0.3">
      <c r="A181" s="53">
        <f t="shared" si="9"/>
        <v>37195</v>
      </c>
      <c r="B181" t="str">
        <f>IFERROR(_xlfn.XLOOKUP($A181,Planilha2!$A$2:$A$34,Planilha2!C$2:C$34,"",-1),"")</f>
        <v>B1</v>
      </c>
      <c r="C181" t="str">
        <f>IFERROR(_xlfn.XLOOKUP($A181,Planilha2!$A$2:$A$34,Planilha2!D$2:D$34,"",-1),"")</f>
        <v>B1</v>
      </c>
      <c r="D181" t="str" cm="1">
        <f t="array" ref="D181">IF($A181&lt;MIN(Planilha2!$A$2:$A$34),"",_xlfn.LET(_xlpm.t,_xlfn.XLOOKUP($A181,Planilha2!$A$2:$A$34,Planilha2!$E$2:$E$34,"",-1),_xlfn.IFS(ISNUMBER(SEARCH("positiva",_xlpm.t)),"Positiva",ISNUMBER(SEARCH("negativa",_xlpm.t)),"Negativa",ISNUMBER(SEARCH("estável",_xlpm.t)),"Estável",TRUE,"n/d")))</f>
        <v>Positiva</v>
      </c>
      <c r="E181" t="str">
        <f>IFERROR(_xlfn.XLOOKUP($A181,Planilha2!$J$2:$J$44,Planilha2!L$2:L$44,"",-1),"")</f>
        <v>BB-</v>
      </c>
      <c r="F181" t="str">
        <f>IFERROR(_xlfn.XLOOKUP($A181,Planilha2!$J$2:$J$44,Planilha2!M$2:M$44,"",-1),"")</f>
        <v>B+</v>
      </c>
      <c r="G181" t="str" cm="1">
        <f t="array" ref="G181">IF($A181&lt;MIN(Planilha2!$J$2:$J$44),"",_xlfn.LET(_xlpm.t,_xlfn.XLOOKUP($A181,Planilha2!$J$2:$J$44,Planilha2!$N$2:$N$44,"",-1),_xlfn.IFS(ISNUMBER(SEARCH("positiva",_xlpm.t)),"Positiva",ISNUMBER(SEARCH("negativa",_xlpm.t)),"Negativa",ISNUMBER(SEARCH("estável",_xlpm.t)),"Estável",TRUE,"n/d")))</f>
        <v>Negativa</v>
      </c>
      <c r="H181" t="str">
        <f>IFERROR(_xlfn.XLOOKUP($A181,Planilha2!$P$2:$P$38,Planilha2!R$2:R$38,"",-1),"")</f>
        <v>BB-</v>
      </c>
      <c r="I181" t="str">
        <f>IFERROR(_xlfn.XLOOKUP($A181,Planilha2!$P$2:$P$38,Planilha2!S$2:S$38,"",-1),"")</f>
        <v>BB+</v>
      </c>
      <c r="J181" t="str" cm="1">
        <f t="array" ref="J181">IF($A181&lt;MIN(Planilha2!$P$2:$P$38),"",_xlfn.LET(_xlpm.t,_xlfn.XLOOKUP($A181,Planilha2!$P$2:$P$38,Planilha2!$T$2:$T$38,"",-1),_xlfn.IFS(ISNUMBER(SEARCH("positiva",_xlpm.t)),"Positiva",ISNUMBER(SEARCH("negativa",_xlpm.t)),"Negativa",ISNUMBER(SEARCH("estável",_xlpm.t)),"Estável",TRUE,"n/d")))</f>
        <v>Negativa</v>
      </c>
      <c r="L181" s="52">
        <f>IFERROR(_xlfn.XLOOKUP(B181,'Agências de Rating Soberano'!$G$2:$G$22,'Agências de Rating Soberano'!$H$2:$H$22),NA())</f>
        <v>8</v>
      </c>
      <c r="M181" s="52">
        <f>IFERROR(_xlfn.XLOOKUP(C181,'Agências de Rating Soberano'!$G$2:$G$22,'Agências de Rating Soberano'!$H$2:$H$22),NA())</f>
        <v>8</v>
      </c>
      <c r="N181" s="52">
        <f>IFERROR(_xlfn.XLOOKUP(E181,'Agências de Rating Soberano'!$J$2:$J$22,'Agências de Rating Soberano'!$K$2:$K$22),NA())</f>
        <v>9</v>
      </c>
      <c r="O181" s="52">
        <f>IFERROR(_xlfn.XLOOKUP(F181,'Agências de Rating Soberano'!$J$2:$J$22,'Agências de Rating Soberano'!$K$2:$K$22),NA())</f>
        <v>8</v>
      </c>
      <c r="P181" s="52">
        <f>IFERROR(_xlfn.XLOOKUP(H181,'Agências de Rating Soberano'!$J$2:$J$22,'Agências de Rating Soberano'!$K$2:$K$22),NA())</f>
        <v>9</v>
      </c>
      <c r="Q181" s="52">
        <f>IFERROR(_xlfn.XLOOKUP(I181,'Agências de Rating Soberano'!$J$2:$J$22,'Agências de Rating Soberano'!$K$2:$K$22),NA())</f>
        <v>11</v>
      </c>
    </row>
    <row r="182" spans="1:17" x14ac:dyDescent="0.3">
      <c r="A182" s="53">
        <f t="shared" si="9"/>
        <v>37225</v>
      </c>
      <c r="B182" t="str">
        <f>IFERROR(_xlfn.XLOOKUP($A182,Planilha2!$A$2:$A$34,Planilha2!C$2:C$34,"",-1),"")</f>
        <v>B1</v>
      </c>
      <c r="C182" t="str">
        <f>IFERROR(_xlfn.XLOOKUP($A182,Planilha2!$A$2:$A$34,Planilha2!D$2:D$34,"",-1),"")</f>
        <v>B1</v>
      </c>
      <c r="D182" t="str" cm="1">
        <f t="array" ref="D182">IF($A182&lt;MIN(Planilha2!$A$2:$A$34),"",_xlfn.LET(_xlpm.t,_xlfn.XLOOKUP($A182,Planilha2!$A$2:$A$34,Planilha2!$E$2:$E$34,"",-1),_xlfn.IFS(ISNUMBER(SEARCH("positiva",_xlpm.t)),"Positiva",ISNUMBER(SEARCH("negativa",_xlpm.t)),"Negativa",ISNUMBER(SEARCH("estável",_xlpm.t)),"Estável",TRUE,"n/d")))</f>
        <v>Positiva</v>
      </c>
      <c r="E182" t="str">
        <f>IFERROR(_xlfn.XLOOKUP($A182,Planilha2!$J$2:$J$44,Planilha2!L$2:L$44,"",-1),"")</f>
        <v>BB-</v>
      </c>
      <c r="F182" t="str">
        <f>IFERROR(_xlfn.XLOOKUP($A182,Planilha2!$J$2:$J$44,Planilha2!M$2:M$44,"",-1),"")</f>
        <v>B+</v>
      </c>
      <c r="G182" t="str" cm="1">
        <f t="array" ref="G182">IF($A182&lt;MIN(Planilha2!$J$2:$J$44),"",_xlfn.LET(_xlpm.t,_xlfn.XLOOKUP($A182,Planilha2!$J$2:$J$44,Planilha2!$N$2:$N$44,"",-1),_xlfn.IFS(ISNUMBER(SEARCH("positiva",_xlpm.t)),"Positiva",ISNUMBER(SEARCH("negativa",_xlpm.t)),"Negativa",ISNUMBER(SEARCH("estável",_xlpm.t)),"Estável",TRUE,"n/d")))</f>
        <v>Negativa</v>
      </c>
      <c r="H182" t="str">
        <f>IFERROR(_xlfn.XLOOKUP($A182,Planilha2!$P$2:$P$38,Planilha2!R$2:R$38,"",-1),"")</f>
        <v>BB-</v>
      </c>
      <c r="I182" t="str">
        <f>IFERROR(_xlfn.XLOOKUP($A182,Planilha2!$P$2:$P$38,Planilha2!S$2:S$38,"",-1),"")</f>
        <v>BB+</v>
      </c>
      <c r="J182" t="str" cm="1">
        <f t="array" ref="J182">IF($A182&lt;MIN(Planilha2!$P$2:$P$38),"",_xlfn.LET(_xlpm.t,_xlfn.XLOOKUP($A182,Planilha2!$P$2:$P$38,Planilha2!$T$2:$T$38,"",-1),_xlfn.IFS(ISNUMBER(SEARCH("positiva",_xlpm.t)),"Positiva",ISNUMBER(SEARCH("negativa",_xlpm.t)),"Negativa",ISNUMBER(SEARCH("estável",_xlpm.t)),"Estável",TRUE,"n/d")))</f>
        <v>Negativa</v>
      </c>
      <c r="L182" s="52">
        <f>IFERROR(_xlfn.XLOOKUP(B182,'Agências de Rating Soberano'!$G$2:$G$22,'Agências de Rating Soberano'!$H$2:$H$22),NA())</f>
        <v>8</v>
      </c>
      <c r="M182" s="52">
        <f>IFERROR(_xlfn.XLOOKUP(C182,'Agências de Rating Soberano'!$G$2:$G$22,'Agências de Rating Soberano'!$H$2:$H$22),NA())</f>
        <v>8</v>
      </c>
      <c r="N182" s="52">
        <f>IFERROR(_xlfn.XLOOKUP(E182,'Agências de Rating Soberano'!$J$2:$J$22,'Agências de Rating Soberano'!$K$2:$K$22),NA())</f>
        <v>9</v>
      </c>
      <c r="O182" s="52">
        <f>IFERROR(_xlfn.XLOOKUP(F182,'Agências de Rating Soberano'!$J$2:$J$22,'Agências de Rating Soberano'!$K$2:$K$22),NA())</f>
        <v>8</v>
      </c>
      <c r="P182" s="52">
        <f>IFERROR(_xlfn.XLOOKUP(H182,'Agências de Rating Soberano'!$J$2:$J$22,'Agências de Rating Soberano'!$K$2:$K$22),NA())</f>
        <v>9</v>
      </c>
      <c r="Q182" s="52">
        <f>IFERROR(_xlfn.XLOOKUP(I182,'Agências de Rating Soberano'!$J$2:$J$22,'Agências de Rating Soberano'!$K$2:$K$22),NA())</f>
        <v>11</v>
      </c>
    </row>
    <row r="183" spans="1:17" x14ac:dyDescent="0.3">
      <c r="A183" s="53">
        <f t="shared" si="9"/>
        <v>37256</v>
      </c>
      <c r="B183" t="str">
        <f>IFERROR(_xlfn.XLOOKUP($A183,Planilha2!$A$2:$A$34,Planilha2!C$2:C$34,"",-1),"")</f>
        <v>B1</v>
      </c>
      <c r="C183" t="str">
        <f>IFERROR(_xlfn.XLOOKUP($A183,Planilha2!$A$2:$A$34,Planilha2!D$2:D$34,"",-1),"")</f>
        <v>B1</v>
      </c>
      <c r="D183" t="str" cm="1">
        <f t="array" ref="D183">IF($A183&lt;MIN(Planilha2!$A$2:$A$34),"",_xlfn.LET(_xlpm.t,_xlfn.XLOOKUP($A183,Planilha2!$A$2:$A$34,Planilha2!$E$2:$E$34,"",-1),_xlfn.IFS(ISNUMBER(SEARCH("positiva",_xlpm.t)),"Positiva",ISNUMBER(SEARCH("negativa",_xlpm.t)),"Negativa",ISNUMBER(SEARCH("estável",_xlpm.t)),"Estável",TRUE,"n/d")))</f>
        <v>Positiva</v>
      </c>
      <c r="E183" t="str">
        <f>IFERROR(_xlfn.XLOOKUP($A183,Planilha2!$J$2:$J$44,Planilha2!L$2:L$44,"",-1),"")</f>
        <v>BB-</v>
      </c>
      <c r="F183" t="str">
        <f>IFERROR(_xlfn.XLOOKUP($A183,Planilha2!$J$2:$J$44,Planilha2!M$2:M$44,"",-1),"")</f>
        <v>B+</v>
      </c>
      <c r="G183" t="str" cm="1">
        <f t="array" ref="G183">IF($A183&lt;MIN(Planilha2!$J$2:$J$44),"",_xlfn.LET(_xlpm.t,_xlfn.XLOOKUP($A183,Planilha2!$J$2:$J$44,Planilha2!$N$2:$N$44,"",-1),_xlfn.IFS(ISNUMBER(SEARCH("positiva",_xlpm.t)),"Positiva",ISNUMBER(SEARCH("negativa",_xlpm.t)),"Negativa",ISNUMBER(SEARCH("estável",_xlpm.t)),"Estável",TRUE,"n/d")))</f>
        <v>Negativa</v>
      </c>
      <c r="H183" t="str">
        <f>IFERROR(_xlfn.XLOOKUP($A183,Planilha2!$P$2:$P$38,Planilha2!R$2:R$38,"",-1),"")</f>
        <v>BB-</v>
      </c>
      <c r="I183" t="str">
        <f>IFERROR(_xlfn.XLOOKUP($A183,Planilha2!$P$2:$P$38,Planilha2!S$2:S$38,"",-1),"")</f>
        <v>BB+</v>
      </c>
      <c r="J183" t="str" cm="1">
        <f t="array" ref="J183">IF($A183&lt;MIN(Planilha2!$P$2:$P$38),"",_xlfn.LET(_xlpm.t,_xlfn.XLOOKUP($A183,Planilha2!$P$2:$P$38,Planilha2!$T$2:$T$38,"",-1),_xlfn.IFS(ISNUMBER(SEARCH("positiva",_xlpm.t)),"Positiva",ISNUMBER(SEARCH("negativa",_xlpm.t)),"Negativa",ISNUMBER(SEARCH("estável",_xlpm.t)),"Estável",TRUE,"n/d")))</f>
        <v>Negativa</v>
      </c>
      <c r="L183" s="52">
        <f>IFERROR(_xlfn.XLOOKUP(B183,'Agências de Rating Soberano'!$G$2:$G$22,'Agências de Rating Soberano'!$H$2:$H$22),NA())</f>
        <v>8</v>
      </c>
      <c r="M183" s="52">
        <f>IFERROR(_xlfn.XLOOKUP(C183,'Agências de Rating Soberano'!$G$2:$G$22,'Agências de Rating Soberano'!$H$2:$H$22),NA())</f>
        <v>8</v>
      </c>
      <c r="N183" s="52">
        <f>IFERROR(_xlfn.XLOOKUP(E183,'Agências de Rating Soberano'!$J$2:$J$22,'Agências de Rating Soberano'!$K$2:$K$22),NA())</f>
        <v>9</v>
      </c>
      <c r="O183" s="52">
        <f>IFERROR(_xlfn.XLOOKUP(F183,'Agências de Rating Soberano'!$J$2:$J$22,'Agências de Rating Soberano'!$K$2:$K$22),NA())</f>
        <v>8</v>
      </c>
      <c r="P183" s="52">
        <f>IFERROR(_xlfn.XLOOKUP(H183,'Agências de Rating Soberano'!$J$2:$J$22,'Agências de Rating Soberano'!$K$2:$K$22),NA())</f>
        <v>9</v>
      </c>
      <c r="Q183" s="52">
        <f>IFERROR(_xlfn.XLOOKUP(I183,'Agências de Rating Soberano'!$J$2:$J$22,'Agências de Rating Soberano'!$K$2:$K$22),NA())</f>
        <v>11</v>
      </c>
    </row>
    <row r="184" spans="1:17" x14ac:dyDescent="0.3">
      <c r="A184" s="53">
        <f t="shared" si="9"/>
        <v>37287</v>
      </c>
      <c r="B184" t="str">
        <f>IFERROR(_xlfn.XLOOKUP($A184,Planilha2!$A$2:$A$34,Planilha2!C$2:C$34,"",-1),"")</f>
        <v>B1</v>
      </c>
      <c r="C184" t="str">
        <f>IFERROR(_xlfn.XLOOKUP($A184,Planilha2!$A$2:$A$34,Planilha2!D$2:D$34,"",-1),"")</f>
        <v>B1</v>
      </c>
      <c r="D184" t="str" cm="1">
        <f t="array" ref="D184">IF($A184&lt;MIN(Planilha2!$A$2:$A$34),"",_xlfn.LET(_xlpm.t,_xlfn.XLOOKUP($A184,Planilha2!$A$2:$A$34,Planilha2!$E$2:$E$34,"",-1),_xlfn.IFS(ISNUMBER(SEARCH("positiva",_xlpm.t)),"Positiva",ISNUMBER(SEARCH("negativa",_xlpm.t)),"Negativa",ISNUMBER(SEARCH("estável",_xlpm.t)),"Estável",TRUE,"n/d")))</f>
        <v>Positiva</v>
      </c>
      <c r="E184" t="str">
        <f>IFERROR(_xlfn.XLOOKUP($A184,Planilha2!$J$2:$J$44,Planilha2!L$2:L$44,"",-1),"")</f>
        <v>BB-</v>
      </c>
      <c r="F184" t="str">
        <f>IFERROR(_xlfn.XLOOKUP($A184,Planilha2!$J$2:$J$44,Planilha2!M$2:M$44,"",-1),"")</f>
        <v>B+</v>
      </c>
      <c r="G184" t="str" cm="1">
        <f t="array" ref="G184">IF($A184&lt;MIN(Planilha2!$J$2:$J$44),"",_xlfn.LET(_xlpm.t,_xlfn.XLOOKUP($A184,Planilha2!$J$2:$J$44,Planilha2!$N$2:$N$44,"",-1),_xlfn.IFS(ISNUMBER(SEARCH("positiva",_xlpm.t)),"Positiva",ISNUMBER(SEARCH("negativa",_xlpm.t)),"Negativa",ISNUMBER(SEARCH("estável",_xlpm.t)),"Estável",TRUE,"n/d")))</f>
        <v>Negativa</v>
      </c>
      <c r="H184" t="str">
        <f>IFERROR(_xlfn.XLOOKUP($A184,Planilha2!$P$2:$P$38,Planilha2!R$2:R$38,"",-1),"")</f>
        <v>BB-</v>
      </c>
      <c r="I184" t="str">
        <f>IFERROR(_xlfn.XLOOKUP($A184,Planilha2!$P$2:$P$38,Planilha2!S$2:S$38,"",-1),"")</f>
        <v>BB+</v>
      </c>
      <c r="J184" t="str" cm="1">
        <f t="array" ref="J184">IF($A184&lt;MIN(Planilha2!$P$2:$P$38),"",_xlfn.LET(_xlpm.t,_xlfn.XLOOKUP($A184,Planilha2!$P$2:$P$38,Planilha2!$T$2:$T$38,"",-1),_xlfn.IFS(ISNUMBER(SEARCH("positiva",_xlpm.t)),"Positiva",ISNUMBER(SEARCH("negativa",_xlpm.t)),"Negativa",ISNUMBER(SEARCH("estável",_xlpm.t)),"Estável",TRUE,"n/d")))</f>
        <v>Negativa</v>
      </c>
      <c r="L184" s="52">
        <f>IFERROR(_xlfn.XLOOKUP(B184,'Agências de Rating Soberano'!$G$2:$G$22,'Agências de Rating Soberano'!$H$2:$H$22),NA())</f>
        <v>8</v>
      </c>
      <c r="M184" s="52">
        <f>IFERROR(_xlfn.XLOOKUP(C184,'Agências de Rating Soberano'!$G$2:$G$22,'Agências de Rating Soberano'!$H$2:$H$22),NA())</f>
        <v>8</v>
      </c>
      <c r="N184" s="52">
        <f>IFERROR(_xlfn.XLOOKUP(E184,'Agências de Rating Soberano'!$J$2:$J$22,'Agências de Rating Soberano'!$K$2:$K$22),NA())</f>
        <v>9</v>
      </c>
      <c r="O184" s="52">
        <f>IFERROR(_xlfn.XLOOKUP(F184,'Agências de Rating Soberano'!$J$2:$J$22,'Agências de Rating Soberano'!$K$2:$K$22),NA())</f>
        <v>8</v>
      </c>
      <c r="P184" s="52">
        <f>IFERROR(_xlfn.XLOOKUP(H184,'Agências de Rating Soberano'!$J$2:$J$22,'Agências de Rating Soberano'!$K$2:$K$22),NA())</f>
        <v>9</v>
      </c>
      <c r="Q184" s="52">
        <f>IFERROR(_xlfn.XLOOKUP(I184,'Agências de Rating Soberano'!$J$2:$J$22,'Agências de Rating Soberano'!$K$2:$K$22),NA())</f>
        <v>11</v>
      </c>
    </row>
    <row r="185" spans="1:17" x14ac:dyDescent="0.3">
      <c r="A185" s="53">
        <f t="shared" si="9"/>
        <v>37315</v>
      </c>
      <c r="B185" t="str">
        <f>IFERROR(_xlfn.XLOOKUP($A185,Planilha2!$A$2:$A$34,Planilha2!C$2:C$34,"",-1),"")</f>
        <v>B1</v>
      </c>
      <c r="C185" t="str">
        <f>IFERROR(_xlfn.XLOOKUP($A185,Planilha2!$A$2:$A$34,Planilha2!D$2:D$34,"",-1),"")</f>
        <v>B1</v>
      </c>
      <c r="D185" t="str" cm="1">
        <f t="array" ref="D185">IF($A185&lt;MIN(Planilha2!$A$2:$A$34),"",_xlfn.LET(_xlpm.t,_xlfn.XLOOKUP($A185,Planilha2!$A$2:$A$34,Planilha2!$E$2:$E$34,"",-1),_xlfn.IFS(ISNUMBER(SEARCH("positiva",_xlpm.t)),"Positiva",ISNUMBER(SEARCH("negativa",_xlpm.t)),"Negativa",ISNUMBER(SEARCH("estável",_xlpm.t)),"Estável",TRUE,"n/d")))</f>
        <v>Positiva</v>
      </c>
      <c r="E185" t="str">
        <f>IFERROR(_xlfn.XLOOKUP($A185,Planilha2!$J$2:$J$44,Planilha2!L$2:L$44,"",-1),"")</f>
        <v>BB-</v>
      </c>
      <c r="F185" t="str">
        <f>IFERROR(_xlfn.XLOOKUP($A185,Planilha2!$J$2:$J$44,Planilha2!M$2:M$44,"",-1),"")</f>
        <v>B+</v>
      </c>
      <c r="G185" t="str" cm="1">
        <f t="array" ref="G185">IF($A185&lt;MIN(Planilha2!$J$2:$J$44),"",_xlfn.LET(_xlpm.t,_xlfn.XLOOKUP($A185,Planilha2!$J$2:$J$44,Planilha2!$N$2:$N$44,"",-1),_xlfn.IFS(ISNUMBER(SEARCH("positiva",_xlpm.t)),"Positiva",ISNUMBER(SEARCH("negativa",_xlpm.t)),"Negativa",ISNUMBER(SEARCH("estável",_xlpm.t)),"Estável",TRUE,"n/d")))</f>
        <v>Negativa</v>
      </c>
      <c r="H185" t="str">
        <f>IFERROR(_xlfn.XLOOKUP($A185,Planilha2!$P$2:$P$38,Planilha2!R$2:R$38,"",-1),"")</f>
        <v>BB-</v>
      </c>
      <c r="I185" t="str">
        <f>IFERROR(_xlfn.XLOOKUP($A185,Planilha2!$P$2:$P$38,Planilha2!S$2:S$38,"",-1),"")</f>
        <v>BB+</v>
      </c>
      <c r="J185" t="str" cm="1">
        <f t="array" ref="J185">IF($A185&lt;MIN(Planilha2!$P$2:$P$38),"",_xlfn.LET(_xlpm.t,_xlfn.XLOOKUP($A185,Planilha2!$P$2:$P$38,Planilha2!$T$2:$T$38,"",-1),_xlfn.IFS(ISNUMBER(SEARCH("positiva",_xlpm.t)),"Positiva",ISNUMBER(SEARCH("negativa",_xlpm.t)),"Negativa",ISNUMBER(SEARCH("estável",_xlpm.t)),"Estável",TRUE,"n/d")))</f>
        <v>Negativa</v>
      </c>
      <c r="L185" s="52">
        <f>IFERROR(_xlfn.XLOOKUP(B185,'Agências de Rating Soberano'!$G$2:$G$22,'Agências de Rating Soberano'!$H$2:$H$22),NA())</f>
        <v>8</v>
      </c>
      <c r="M185" s="52">
        <f>IFERROR(_xlfn.XLOOKUP(C185,'Agências de Rating Soberano'!$G$2:$G$22,'Agências de Rating Soberano'!$H$2:$H$22),NA())</f>
        <v>8</v>
      </c>
      <c r="N185" s="52">
        <f>IFERROR(_xlfn.XLOOKUP(E185,'Agências de Rating Soberano'!$J$2:$J$22,'Agências de Rating Soberano'!$K$2:$K$22),NA())</f>
        <v>9</v>
      </c>
      <c r="O185" s="52">
        <f>IFERROR(_xlfn.XLOOKUP(F185,'Agências de Rating Soberano'!$J$2:$J$22,'Agências de Rating Soberano'!$K$2:$K$22),NA())</f>
        <v>8</v>
      </c>
      <c r="P185" s="52">
        <f>IFERROR(_xlfn.XLOOKUP(H185,'Agências de Rating Soberano'!$J$2:$J$22,'Agências de Rating Soberano'!$K$2:$K$22),NA())</f>
        <v>9</v>
      </c>
      <c r="Q185" s="52">
        <f>IFERROR(_xlfn.XLOOKUP(I185,'Agências de Rating Soberano'!$J$2:$J$22,'Agências de Rating Soberano'!$K$2:$K$22),NA())</f>
        <v>11</v>
      </c>
    </row>
    <row r="186" spans="1:17" x14ac:dyDescent="0.3">
      <c r="A186" s="53">
        <f t="shared" si="9"/>
        <v>37346</v>
      </c>
      <c r="B186" t="str">
        <f>IFERROR(_xlfn.XLOOKUP($A186,Planilha2!$A$2:$A$34,Planilha2!C$2:C$34,"",-1),"")</f>
        <v>B1</v>
      </c>
      <c r="C186" t="str">
        <f>IFERROR(_xlfn.XLOOKUP($A186,Planilha2!$A$2:$A$34,Planilha2!D$2:D$34,"",-1),"")</f>
        <v>B1</v>
      </c>
      <c r="D186" t="str" cm="1">
        <f t="array" ref="D186">IF($A186&lt;MIN(Planilha2!$A$2:$A$34),"",_xlfn.LET(_xlpm.t,_xlfn.XLOOKUP($A186,Planilha2!$A$2:$A$34,Planilha2!$E$2:$E$34,"",-1),_xlfn.IFS(ISNUMBER(SEARCH("positiva",_xlpm.t)),"Positiva",ISNUMBER(SEARCH("negativa",_xlpm.t)),"Negativa",ISNUMBER(SEARCH("estável",_xlpm.t)),"Estável",TRUE,"n/d")))</f>
        <v>Positiva</v>
      </c>
      <c r="E186" t="str">
        <f>IFERROR(_xlfn.XLOOKUP($A186,Planilha2!$J$2:$J$44,Planilha2!L$2:L$44,"",-1),"")</f>
        <v>BB-</v>
      </c>
      <c r="F186" t="str">
        <f>IFERROR(_xlfn.XLOOKUP($A186,Planilha2!$J$2:$J$44,Planilha2!M$2:M$44,"",-1),"")</f>
        <v>B+</v>
      </c>
      <c r="G186" t="str" cm="1">
        <f t="array" ref="G186">IF($A186&lt;MIN(Planilha2!$J$2:$J$44),"",_xlfn.LET(_xlpm.t,_xlfn.XLOOKUP($A186,Planilha2!$J$2:$J$44,Planilha2!$N$2:$N$44,"",-1),_xlfn.IFS(ISNUMBER(SEARCH("positiva",_xlpm.t)),"Positiva",ISNUMBER(SEARCH("negativa",_xlpm.t)),"Negativa",ISNUMBER(SEARCH("estável",_xlpm.t)),"Estável",TRUE,"n/d")))</f>
        <v>Negativa</v>
      </c>
      <c r="H186" t="str">
        <f>IFERROR(_xlfn.XLOOKUP($A186,Planilha2!$P$2:$P$38,Planilha2!R$2:R$38,"",-1),"")</f>
        <v>BB-</v>
      </c>
      <c r="I186" t="str">
        <f>IFERROR(_xlfn.XLOOKUP($A186,Planilha2!$P$2:$P$38,Planilha2!S$2:S$38,"",-1),"")</f>
        <v>BB+</v>
      </c>
      <c r="J186" t="str" cm="1">
        <f t="array" ref="J186">IF($A186&lt;MIN(Planilha2!$P$2:$P$38),"",_xlfn.LET(_xlpm.t,_xlfn.XLOOKUP($A186,Planilha2!$P$2:$P$38,Planilha2!$T$2:$T$38,"",-1),_xlfn.IFS(ISNUMBER(SEARCH("positiva",_xlpm.t)),"Positiva",ISNUMBER(SEARCH("negativa",_xlpm.t)),"Negativa",ISNUMBER(SEARCH("estável",_xlpm.t)),"Estável",TRUE,"n/d")))</f>
        <v>Negativa</v>
      </c>
      <c r="L186" s="52">
        <f>IFERROR(_xlfn.XLOOKUP(B186,'Agências de Rating Soberano'!$G$2:$G$22,'Agências de Rating Soberano'!$H$2:$H$22),NA())</f>
        <v>8</v>
      </c>
      <c r="M186" s="52">
        <f>IFERROR(_xlfn.XLOOKUP(C186,'Agências de Rating Soberano'!$G$2:$G$22,'Agências de Rating Soberano'!$H$2:$H$22),NA())</f>
        <v>8</v>
      </c>
      <c r="N186" s="52">
        <f>IFERROR(_xlfn.XLOOKUP(E186,'Agências de Rating Soberano'!$J$2:$J$22,'Agências de Rating Soberano'!$K$2:$K$22),NA())</f>
        <v>9</v>
      </c>
      <c r="O186" s="52">
        <f>IFERROR(_xlfn.XLOOKUP(F186,'Agências de Rating Soberano'!$J$2:$J$22,'Agências de Rating Soberano'!$K$2:$K$22),NA())</f>
        <v>8</v>
      </c>
      <c r="P186" s="52">
        <f>IFERROR(_xlfn.XLOOKUP(H186,'Agências de Rating Soberano'!$J$2:$J$22,'Agências de Rating Soberano'!$K$2:$K$22),NA())</f>
        <v>9</v>
      </c>
      <c r="Q186" s="52">
        <f>IFERROR(_xlfn.XLOOKUP(I186,'Agências de Rating Soberano'!$J$2:$J$22,'Agências de Rating Soberano'!$K$2:$K$22),NA())</f>
        <v>11</v>
      </c>
    </row>
    <row r="187" spans="1:17" x14ac:dyDescent="0.3">
      <c r="A187" s="53">
        <f t="shared" si="9"/>
        <v>37376</v>
      </c>
      <c r="B187" t="str">
        <f>IFERROR(_xlfn.XLOOKUP($A187,Planilha2!$A$2:$A$34,Planilha2!C$2:C$34,"",-1),"")</f>
        <v>B1</v>
      </c>
      <c r="C187" t="str">
        <f>IFERROR(_xlfn.XLOOKUP($A187,Planilha2!$A$2:$A$34,Planilha2!D$2:D$34,"",-1),"")</f>
        <v>B1</v>
      </c>
      <c r="D187" t="str" cm="1">
        <f t="array" ref="D187">IF($A187&lt;MIN(Planilha2!$A$2:$A$34),"",_xlfn.LET(_xlpm.t,_xlfn.XLOOKUP($A187,Planilha2!$A$2:$A$34,Planilha2!$E$2:$E$34,"",-1),_xlfn.IFS(ISNUMBER(SEARCH("positiva",_xlpm.t)),"Positiva",ISNUMBER(SEARCH("negativa",_xlpm.t)),"Negativa",ISNUMBER(SEARCH("estável",_xlpm.t)),"Estável",TRUE,"n/d")))</f>
        <v>Positiva</v>
      </c>
      <c r="E187" t="str">
        <f>IFERROR(_xlfn.XLOOKUP($A187,Planilha2!$J$2:$J$44,Planilha2!L$2:L$44,"",-1),"")</f>
        <v>BB-</v>
      </c>
      <c r="F187" t="str">
        <f>IFERROR(_xlfn.XLOOKUP($A187,Planilha2!$J$2:$J$44,Planilha2!M$2:M$44,"",-1),"")</f>
        <v>B+</v>
      </c>
      <c r="G187" t="str" cm="1">
        <f t="array" ref="G187">IF($A187&lt;MIN(Planilha2!$J$2:$J$44),"",_xlfn.LET(_xlpm.t,_xlfn.XLOOKUP($A187,Planilha2!$J$2:$J$44,Planilha2!$N$2:$N$44,"",-1),_xlfn.IFS(ISNUMBER(SEARCH("positiva",_xlpm.t)),"Positiva",ISNUMBER(SEARCH("negativa",_xlpm.t)),"Negativa",ISNUMBER(SEARCH("estável",_xlpm.t)),"Estável",TRUE,"n/d")))</f>
        <v>Negativa</v>
      </c>
      <c r="H187" t="str">
        <f>IFERROR(_xlfn.XLOOKUP($A187,Planilha2!$P$2:$P$38,Planilha2!R$2:R$38,"",-1),"")</f>
        <v>BB-</v>
      </c>
      <c r="I187" t="str">
        <f>IFERROR(_xlfn.XLOOKUP($A187,Planilha2!$P$2:$P$38,Planilha2!S$2:S$38,"",-1),"")</f>
        <v>BB+</v>
      </c>
      <c r="J187" t="str" cm="1">
        <f t="array" ref="J187">IF($A187&lt;MIN(Planilha2!$P$2:$P$38),"",_xlfn.LET(_xlpm.t,_xlfn.XLOOKUP($A187,Planilha2!$P$2:$P$38,Planilha2!$T$2:$T$38,"",-1),_xlfn.IFS(ISNUMBER(SEARCH("positiva",_xlpm.t)),"Positiva",ISNUMBER(SEARCH("negativa",_xlpm.t)),"Negativa",ISNUMBER(SEARCH("estável",_xlpm.t)),"Estável",TRUE,"n/d")))</f>
        <v>Negativa</v>
      </c>
      <c r="L187" s="52">
        <f>IFERROR(_xlfn.XLOOKUP(B187,'Agências de Rating Soberano'!$G$2:$G$22,'Agências de Rating Soberano'!$H$2:$H$22),NA())</f>
        <v>8</v>
      </c>
      <c r="M187" s="52">
        <f>IFERROR(_xlfn.XLOOKUP(C187,'Agências de Rating Soberano'!$G$2:$G$22,'Agências de Rating Soberano'!$H$2:$H$22),NA())</f>
        <v>8</v>
      </c>
      <c r="N187" s="52">
        <f>IFERROR(_xlfn.XLOOKUP(E187,'Agências de Rating Soberano'!$J$2:$J$22,'Agências de Rating Soberano'!$K$2:$K$22),NA())</f>
        <v>9</v>
      </c>
      <c r="O187" s="52">
        <f>IFERROR(_xlfn.XLOOKUP(F187,'Agências de Rating Soberano'!$J$2:$J$22,'Agências de Rating Soberano'!$K$2:$K$22),NA())</f>
        <v>8</v>
      </c>
      <c r="P187" s="52">
        <f>IFERROR(_xlfn.XLOOKUP(H187,'Agências de Rating Soberano'!$J$2:$J$22,'Agências de Rating Soberano'!$K$2:$K$22),NA())</f>
        <v>9</v>
      </c>
      <c r="Q187" s="52">
        <f>IFERROR(_xlfn.XLOOKUP(I187,'Agências de Rating Soberano'!$J$2:$J$22,'Agências de Rating Soberano'!$K$2:$K$22),NA())</f>
        <v>11</v>
      </c>
    </row>
    <row r="188" spans="1:17" x14ac:dyDescent="0.3">
      <c r="A188" s="53">
        <f t="shared" si="9"/>
        <v>37407</v>
      </c>
      <c r="B188" t="str">
        <f>IFERROR(_xlfn.XLOOKUP($A188,Planilha2!$A$2:$A$34,Planilha2!C$2:C$34,"",-1),"")</f>
        <v>B1</v>
      </c>
      <c r="C188" t="str">
        <f>IFERROR(_xlfn.XLOOKUP($A188,Planilha2!$A$2:$A$34,Planilha2!D$2:D$34,"",-1),"")</f>
        <v>B1</v>
      </c>
      <c r="D188" t="str" cm="1">
        <f t="array" ref="D188">IF($A188&lt;MIN(Planilha2!$A$2:$A$34),"",_xlfn.LET(_xlpm.t,_xlfn.XLOOKUP($A188,Planilha2!$A$2:$A$34,Planilha2!$E$2:$E$34,"",-1),_xlfn.IFS(ISNUMBER(SEARCH("positiva",_xlpm.t)),"Positiva",ISNUMBER(SEARCH("negativa",_xlpm.t)),"Negativa",ISNUMBER(SEARCH("estável",_xlpm.t)),"Estável",TRUE,"n/d")))</f>
        <v>Positiva</v>
      </c>
      <c r="E188" t="str">
        <f>IFERROR(_xlfn.XLOOKUP($A188,Planilha2!$J$2:$J$44,Planilha2!L$2:L$44,"",-1),"")</f>
        <v>BB-</v>
      </c>
      <c r="F188" t="str">
        <f>IFERROR(_xlfn.XLOOKUP($A188,Planilha2!$J$2:$J$44,Planilha2!M$2:M$44,"",-1),"")</f>
        <v>B+</v>
      </c>
      <c r="G188" t="str" cm="1">
        <f t="array" ref="G188">IF($A188&lt;MIN(Planilha2!$J$2:$J$44),"",_xlfn.LET(_xlpm.t,_xlfn.XLOOKUP($A188,Planilha2!$J$2:$J$44,Planilha2!$N$2:$N$44,"",-1),_xlfn.IFS(ISNUMBER(SEARCH("positiva",_xlpm.t)),"Positiva",ISNUMBER(SEARCH("negativa",_xlpm.t)),"Negativa",ISNUMBER(SEARCH("estável",_xlpm.t)),"Estável",TRUE,"n/d")))</f>
        <v>Negativa</v>
      </c>
      <c r="H188" t="str">
        <f>IFERROR(_xlfn.XLOOKUP($A188,Planilha2!$P$2:$P$38,Planilha2!R$2:R$38,"",-1),"")</f>
        <v>BB-</v>
      </c>
      <c r="I188" t="str">
        <f>IFERROR(_xlfn.XLOOKUP($A188,Planilha2!$P$2:$P$38,Planilha2!S$2:S$38,"",-1),"")</f>
        <v>BB+</v>
      </c>
      <c r="J188" t="str" cm="1">
        <f t="array" ref="J188">IF($A188&lt;MIN(Planilha2!$P$2:$P$38),"",_xlfn.LET(_xlpm.t,_xlfn.XLOOKUP($A188,Planilha2!$P$2:$P$38,Planilha2!$T$2:$T$38,"",-1),_xlfn.IFS(ISNUMBER(SEARCH("positiva",_xlpm.t)),"Positiva",ISNUMBER(SEARCH("negativa",_xlpm.t)),"Negativa",ISNUMBER(SEARCH("estável",_xlpm.t)),"Estável",TRUE,"n/d")))</f>
        <v>Negativa</v>
      </c>
      <c r="L188" s="52">
        <f>IFERROR(_xlfn.XLOOKUP(B188,'Agências de Rating Soberano'!$G$2:$G$22,'Agências de Rating Soberano'!$H$2:$H$22),NA())</f>
        <v>8</v>
      </c>
      <c r="M188" s="52">
        <f>IFERROR(_xlfn.XLOOKUP(C188,'Agências de Rating Soberano'!$G$2:$G$22,'Agências de Rating Soberano'!$H$2:$H$22),NA())</f>
        <v>8</v>
      </c>
      <c r="N188" s="52">
        <f>IFERROR(_xlfn.XLOOKUP(E188,'Agências de Rating Soberano'!$J$2:$J$22,'Agências de Rating Soberano'!$K$2:$K$22),NA())</f>
        <v>9</v>
      </c>
      <c r="O188" s="52">
        <f>IFERROR(_xlfn.XLOOKUP(F188,'Agências de Rating Soberano'!$J$2:$J$22,'Agências de Rating Soberano'!$K$2:$K$22),NA())</f>
        <v>8</v>
      </c>
      <c r="P188" s="52">
        <f>IFERROR(_xlfn.XLOOKUP(H188,'Agências de Rating Soberano'!$J$2:$J$22,'Agências de Rating Soberano'!$K$2:$K$22),NA())</f>
        <v>9</v>
      </c>
      <c r="Q188" s="52">
        <f>IFERROR(_xlfn.XLOOKUP(I188,'Agências de Rating Soberano'!$J$2:$J$22,'Agências de Rating Soberano'!$K$2:$K$22),NA())</f>
        <v>11</v>
      </c>
    </row>
    <row r="189" spans="1:17" x14ac:dyDescent="0.3">
      <c r="A189" s="53">
        <f t="shared" si="9"/>
        <v>37437</v>
      </c>
      <c r="B189" t="str">
        <f>IFERROR(_xlfn.XLOOKUP($A189,Planilha2!$A$2:$A$34,Planilha2!C$2:C$34,"",-1),"")</f>
        <v>B1</v>
      </c>
      <c r="C189" t="str">
        <f>IFERROR(_xlfn.XLOOKUP($A189,Planilha2!$A$2:$A$34,Planilha2!D$2:D$34,"",-1),"")</f>
        <v>B1</v>
      </c>
      <c r="D189" t="str" cm="1">
        <f t="array" ref="D189">IF($A189&lt;MIN(Planilha2!$A$2:$A$34),"",_xlfn.LET(_xlpm.t,_xlfn.XLOOKUP($A189,Planilha2!$A$2:$A$34,Planilha2!$E$2:$E$34,"",-1),_xlfn.IFS(ISNUMBER(SEARCH("positiva",_xlpm.t)),"Positiva",ISNUMBER(SEARCH("negativa",_xlpm.t)),"Negativa",ISNUMBER(SEARCH("estável",_xlpm.t)),"Estável",TRUE,"n/d")))</f>
        <v>Negativa</v>
      </c>
      <c r="E189" t="str">
        <f>IFERROR(_xlfn.XLOOKUP($A189,Planilha2!$J$2:$J$44,Planilha2!L$2:L$44,"",-1),"")</f>
        <v>B+</v>
      </c>
      <c r="F189" t="str">
        <f>IFERROR(_xlfn.XLOOKUP($A189,Planilha2!$J$2:$J$44,Planilha2!M$2:M$44,"",-1),"")</f>
        <v>-</v>
      </c>
      <c r="G189" t="str" cm="1">
        <f t="array" ref="G189">IF($A189&lt;MIN(Planilha2!$J$2:$J$44),"",_xlfn.LET(_xlpm.t,_xlfn.XLOOKUP($A189,Planilha2!$J$2:$J$44,Planilha2!$N$2:$N$44,"",-1),_xlfn.IFS(ISNUMBER(SEARCH("positiva",_xlpm.t)),"Positiva",ISNUMBER(SEARCH("negativa",_xlpm.t)),"Negativa",ISNUMBER(SEARCH("estável",_xlpm.t)),"Estável",TRUE,"n/d")))</f>
        <v>Negativa</v>
      </c>
      <c r="H189" t="str">
        <f>IFERROR(_xlfn.XLOOKUP($A189,Planilha2!$P$2:$P$38,Planilha2!R$2:R$38,"",-1),"")</f>
        <v>BB-</v>
      </c>
      <c r="I189" t="str">
        <f>IFERROR(_xlfn.XLOOKUP($A189,Planilha2!$P$2:$P$38,Planilha2!S$2:S$38,"",-1),"")</f>
        <v>BB+</v>
      </c>
      <c r="J189" t="str" cm="1">
        <f t="array" ref="J189">IF($A189&lt;MIN(Planilha2!$P$2:$P$38),"",_xlfn.LET(_xlpm.t,_xlfn.XLOOKUP($A189,Planilha2!$P$2:$P$38,Planilha2!$T$2:$T$38,"",-1),_xlfn.IFS(ISNUMBER(SEARCH("positiva",_xlpm.t)),"Positiva",ISNUMBER(SEARCH("negativa",_xlpm.t)),"Negativa",ISNUMBER(SEARCH("estável",_xlpm.t)),"Estável",TRUE,"n/d")))</f>
        <v>Negativa</v>
      </c>
      <c r="L189" s="52">
        <f>IFERROR(_xlfn.XLOOKUP(B189,'Agências de Rating Soberano'!$G$2:$G$22,'Agências de Rating Soberano'!$H$2:$H$22),NA())</f>
        <v>8</v>
      </c>
      <c r="M189" s="52">
        <f>IFERROR(_xlfn.XLOOKUP(C189,'Agências de Rating Soberano'!$G$2:$G$22,'Agências de Rating Soberano'!$H$2:$H$22),NA())</f>
        <v>8</v>
      </c>
      <c r="N189" s="52">
        <f>IFERROR(_xlfn.XLOOKUP(E189,'Agências de Rating Soberano'!$J$2:$J$22,'Agências de Rating Soberano'!$K$2:$K$22),NA())</f>
        <v>8</v>
      </c>
      <c r="O189" s="52" t="e">
        <f>IFERROR(_xlfn.XLOOKUP(F189,'Agências de Rating Soberano'!$J$2:$J$22,'Agências de Rating Soberano'!$K$2:$K$22),NA())</f>
        <v>#N/A</v>
      </c>
      <c r="P189" s="52">
        <f>IFERROR(_xlfn.XLOOKUP(H189,'Agências de Rating Soberano'!$J$2:$J$22,'Agências de Rating Soberano'!$K$2:$K$22),NA())</f>
        <v>9</v>
      </c>
      <c r="Q189" s="52">
        <f>IFERROR(_xlfn.XLOOKUP(I189,'Agências de Rating Soberano'!$J$2:$J$22,'Agências de Rating Soberano'!$K$2:$K$22),NA())</f>
        <v>11</v>
      </c>
    </row>
    <row r="190" spans="1:17" x14ac:dyDescent="0.3">
      <c r="A190" s="53">
        <f t="shared" si="9"/>
        <v>37468</v>
      </c>
      <c r="B190" t="str">
        <f>IFERROR(_xlfn.XLOOKUP($A190,Planilha2!$A$2:$A$34,Planilha2!C$2:C$34,"",-1),"")</f>
        <v>B1</v>
      </c>
      <c r="C190" t="str">
        <f>IFERROR(_xlfn.XLOOKUP($A190,Planilha2!$A$2:$A$34,Planilha2!D$2:D$34,"",-1),"")</f>
        <v>B1</v>
      </c>
      <c r="D190" t="str" cm="1">
        <f t="array" ref="D190">IF($A190&lt;MIN(Planilha2!$A$2:$A$34),"",_xlfn.LET(_xlpm.t,_xlfn.XLOOKUP($A190,Planilha2!$A$2:$A$34,Planilha2!$E$2:$E$34,"",-1),_xlfn.IFS(ISNUMBER(SEARCH("positiva",_xlpm.t)),"Positiva",ISNUMBER(SEARCH("negativa",_xlpm.t)),"Negativa",ISNUMBER(SEARCH("estável",_xlpm.t)),"Estável",TRUE,"n/d")))</f>
        <v>Negativa</v>
      </c>
      <c r="E190" t="str">
        <f>IFERROR(_xlfn.XLOOKUP($A190,Planilha2!$J$2:$J$44,Planilha2!L$2:L$44,"",-1),"")</f>
        <v>B+</v>
      </c>
      <c r="F190" t="str">
        <f>IFERROR(_xlfn.XLOOKUP($A190,Planilha2!$J$2:$J$44,Planilha2!M$2:M$44,"",-1),"")</f>
        <v>-</v>
      </c>
      <c r="G190" t="str" cm="1">
        <f t="array" ref="G190">IF($A190&lt;MIN(Planilha2!$J$2:$J$44),"",_xlfn.LET(_xlpm.t,_xlfn.XLOOKUP($A190,Planilha2!$J$2:$J$44,Planilha2!$N$2:$N$44,"",-1),_xlfn.IFS(ISNUMBER(SEARCH("positiva",_xlpm.t)),"Positiva",ISNUMBER(SEARCH("negativa",_xlpm.t)),"Negativa",ISNUMBER(SEARCH("estável",_xlpm.t)),"Estável",TRUE,"n/d")))</f>
        <v>Negativa</v>
      </c>
      <c r="H190" t="str">
        <f>IFERROR(_xlfn.XLOOKUP($A190,Planilha2!$P$2:$P$38,Planilha2!R$2:R$38,"",-1),"")</f>
        <v>B+</v>
      </c>
      <c r="I190" t="str">
        <f>IFERROR(_xlfn.XLOOKUP($A190,Planilha2!$P$2:$P$38,Planilha2!S$2:S$38,"",-1),"")</f>
        <v>BB</v>
      </c>
      <c r="J190" t="str" cm="1">
        <f t="array" ref="J190">IF($A190&lt;MIN(Planilha2!$P$2:$P$38),"",_xlfn.LET(_xlpm.t,_xlfn.XLOOKUP($A190,Planilha2!$P$2:$P$38,Planilha2!$T$2:$T$38,"",-1),_xlfn.IFS(ISNUMBER(SEARCH("positiva",_xlpm.t)),"Positiva",ISNUMBER(SEARCH("negativa",_xlpm.t)),"Negativa",ISNUMBER(SEARCH("estável",_xlpm.t)),"Estável",TRUE,"n/d")))</f>
        <v>Negativa</v>
      </c>
      <c r="L190" s="52">
        <f>IFERROR(_xlfn.XLOOKUP(B190,'Agências de Rating Soberano'!$G$2:$G$22,'Agências de Rating Soberano'!$H$2:$H$22),NA())</f>
        <v>8</v>
      </c>
      <c r="M190" s="52">
        <f>IFERROR(_xlfn.XLOOKUP(C190,'Agências de Rating Soberano'!$G$2:$G$22,'Agências de Rating Soberano'!$H$2:$H$22),NA())</f>
        <v>8</v>
      </c>
      <c r="N190" s="52">
        <f>IFERROR(_xlfn.XLOOKUP(E190,'Agências de Rating Soberano'!$J$2:$J$22,'Agências de Rating Soberano'!$K$2:$K$22),NA())</f>
        <v>8</v>
      </c>
      <c r="O190" s="52" t="e">
        <f>IFERROR(_xlfn.XLOOKUP(F190,'Agências de Rating Soberano'!$J$2:$J$22,'Agências de Rating Soberano'!$K$2:$K$22),NA())</f>
        <v>#N/A</v>
      </c>
      <c r="P190" s="52">
        <f>IFERROR(_xlfn.XLOOKUP(H190,'Agências de Rating Soberano'!$J$2:$J$22,'Agências de Rating Soberano'!$K$2:$K$22),NA())</f>
        <v>8</v>
      </c>
      <c r="Q190" s="52">
        <f>IFERROR(_xlfn.XLOOKUP(I190,'Agências de Rating Soberano'!$J$2:$J$22,'Agências de Rating Soberano'!$K$2:$K$22),NA())</f>
        <v>10</v>
      </c>
    </row>
    <row r="191" spans="1:17" x14ac:dyDescent="0.3">
      <c r="A191" s="53">
        <f t="shared" si="9"/>
        <v>37499</v>
      </c>
      <c r="B191" t="str">
        <f>IFERROR(_xlfn.XLOOKUP($A191,Planilha2!$A$2:$A$34,Planilha2!C$2:C$34,"",-1),"")</f>
        <v>B2</v>
      </c>
      <c r="C191" t="str">
        <f>IFERROR(_xlfn.XLOOKUP($A191,Planilha2!$A$2:$A$34,Planilha2!D$2:D$34,"",-1),"")</f>
        <v>B2</v>
      </c>
      <c r="D191" t="str" cm="1">
        <f t="array" ref="D191">IF($A191&lt;MIN(Planilha2!$A$2:$A$34),"",_xlfn.LET(_xlpm.t,_xlfn.XLOOKUP($A191,Planilha2!$A$2:$A$34,Planilha2!$E$2:$E$34,"",-1),_xlfn.IFS(ISNUMBER(SEARCH("positiva",_xlpm.t)),"Positiva",ISNUMBER(SEARCH("negativa",_xlpm.t)),"Negativa",ISNUMBER(SEARCH("estável",_xlpm.t)),"Estável",TRUE,"n/d")))</f>
        <v>Estável</v>
      </c>
      <c r="E191" t="str">
        <f>IFERROR(_xlfn.XLOOKUP($A191,Planilha2!$J$2:$J$44,Planilha2!L$2:L$44,"",-1),"")</f>
        <v>B</v>
      </c>
      <c r="F191" t="str">
        <f>IFERROR(_xlfn.XLOOKUP($A191,Planilha2!$J$2:$J$44,Planilha2!M$2:M$44,"",-1),"")</f>
        <v>B</v>
      </c>
      <c r="G191" t="str" cm="1">
        <f t="array" ref="G191">IF($A191&lt;MIN(Planilha2!$J$2:$J$44),"",_xlfn.LET(_xlpm.t,_xlfn.XLOOKUP($A191,Planilha2!$J$2:$J$44,Planilha2!$N$2:$N$44,"",-1),_xlfn.IFS(ISNUMBER(SEARCH("positiva",_xlpm.t)),"Positiva",ISNUMBER(SEARCH("negativa",_xlpm.t)),"Negativa",ISNUMBER(SEARCH("estável",_xlpm.t)),"Estável",TRUE,"n/d")))</f>
        <v>Negativa</v>
      </c>
      <c r="H191" t="str">
        <f>IFERROR(_xlfn.XLOOKUP($A191,Planilha2!$P$2:$P$38,Planilha2!R$2:R$38,"",-1),"")</f>
        <v>B+</v>
      </c>
      <c r="I191" t="str">
        <f>IFERROR(_xlfn.XLOOKUP($A191,Planilha2!$P$2:$P$38,Planilha2!S$2:S$38,"",-1),"")</f>
        <v>BB</v>
      </c>
      <c r="J191" t="str" cm="1">
        <f t="array" ref="J191">IF($A191&lt;MIN(Planilha2!$P$2:$P$38),"",_xlfn.LET(_xlpm.t,_xlfn.XLOOKUP($A191,Planilha2!$P$2:$P$38,Planilha2!$T$2:$T$38,"",-1),_xlfn.IFS(ISNUMBER(SEARCH("positiva",_xlpm.t)),"Positiva",ISNUMBER(SEARCH("negativa",_xlpm.t)),"Negativa",ISNUMBER(SEARCH("estável",_xlpm.t)),"Estável",TRUE,"n/d")))</f>
        <v>Negativa</v>
      </c>
      <c r="L191" s="52">
        <f>IFERROR(_xlfn.XLOOKUP(B191,'Agências de Rating Soberano'!$G$2:$G$22,'Agências de Rating Soberano'!$H$2:$H$22),NA())</f>
        <v>7</v>
      </c>
      <c r="M191" s="52">
        <f>IFERROR(_xlfn.XLOOKUP(C191,'Agências de Rating Soberano'!$G$2:$G$22,'Agências de Rating Soberano'!$H$2:$H$22),NA())</f>
        <v>7</v>
      </c>
      <c r="N191" s="52">
        <f>IFERROR(_xlfn.XLOOKUP(E191,'Agências de Rating Soberano'!$J$2:$J$22,'Agências de Rating Soberano'!$K$2:$K$22),NA())</f>
        <v>7</v>
      </c>
      <c r="O191" s="52">
        <f>IFERROR(_xlfn.XLOOKUP(F191,'Agências de Rating Soberano'!$J$2:$J$22,'Agências de Rating Soberano'!$K$2:$K$22),NA())</f>
        <v>7</v>
      </c>
      <c r="P191" s="52">
        <f>IFERROR(_xlfn.XLOOKUP(H191,'Agências de Rating Soberano'!$J$2:$J$22,'Agências de Rating Soberano'!$K$2:$K$22),NA())</f>
        <v>8</v>
      </c>
      <c r="Q191" s="52">
        <f>IFERROR(_xlfn.XLOOKUP(I191,'Agências de Rating Soberano'!$J$2:$J$22,'Agências de Rating Soberano'!$K$2:$K$22),NA())</f>
        <v>10</v>
      </c>
    </row>
    <row r="192" spans="1:17" x14ac:dyDescent="0.3">
      <c r="A192" s="53">
        <f t="shared" si="9"/>
        <v>37529</v>
      </c>
      <c r="B192" t="str">
        <f>IFERROR(_xlfn.XLOOKUP($A192,Planilha2!$A$2:$A$34,Planilha2!C$2:C$34,"",-1),"")</f>
        <v>B2</v>
      </c>
      <c r="C192" t="str">
        <f>IFERROR(_xlfn.XLOOKUP($A192,Planilha2!$A$2:$A$34,Planilha2!D$2:D$34,"",-1),"")</f>
        <v>B2</v>
      </c>
      <c r="D192" t="str" cm="1">
        <f t="array" ref="D192">IF($A192&lt;MIN(Planilha2!$A$2:$A$34),"",_xlfn.LET(_xlpm.t,_xlfn.XLOOKUP($A192,Planilha2!$A$2:$A$34,Planilha2!$E$2:$E$34,"",-1),_xlfn.IFS(ISNUMBER(SEARCH("positiva",_xlpm.t)),"Positiva",ISNUMBER(SEARCH("negativa",_xlpm.t)),"Negativa",ISNUMBER(SEARCH("estável",_xlpm.t)),"Estável",TRUE,"n/d")))</f>
        <v>Estável</v>
      </c>
      <c r="E192" t="str">
        <f>IFERROR(_xlfn.XLOOKUP($A192,Planilha2!$J$2:$J$44,Planilha2!L$2:L$44,"",-1),"")</f>
        <v>B</v>
      </c>
      <c r="F192" t="str">
        <f>IFERROR(_xlfn.XLOOKUP($A192,Planilha2!$J$2:$J$44,Planilha2!M$2:M$44,"",-1),"")</f>
        <v>B</v>
      </c>
      <c r="G192" t="str" cm="1">
        <f t="array" ref="G192">IF($A192&lt;MIN(Planilha2!$J$2:$J$44),"",_xlfn.LET(_xlpm.t,_xlfn.XLOOKUP($A192,Planilha2!$J$2:$J$44,Planilha2!$N$2:$N$44,"",-1),_xlfn.IFS(ISNUMBER(SEARCH("positiva",_xlpm.t)),"Positiva",ISNUMBER(SEARCH("negativa",_xlpm.t)),"Negativa",ISNUMBER(SEARCH("estável",_xlpm.t)),"Estável",TRUE,"n/d")))</f>
        <v>Negativa</v>
      </c>
      <c r="H192" t="str">
        <f>IFERROR(_xlfn.XLOOKUP($A192,Planilha2!$P$2:$P$38,Planilha2!R$2:R$38,"",-1),"")</f>
        <v>B+</v>
      </c>
      <c r="I192" t="str">
        <f>IFERROR(_xlfn.XLOOKUP($A192,Planilha2!$P$2:$P$38,Planilha2!S$2:S$38,"",-1),"")</f>
        <v>BB</v>
      </c>
      <c r="J192" t="str" cm="1">
        <f t="array" ref="J192">IF($A192&lt;MIN(Planilha2!$P$2:$P$38),"",_xlfn.LET(_xlpm.t,_xlfn.XLOOKUP($A192,Planilha2!$P$2:$P$38,Planilha2!$T$2:$T$38,"",-1),_xlfn.IFS(ISNUMBER(SEARCH("positiva",_xlpm.t)),"Positiva",ISNUMBER(SEARCH("negativa",_xlpm.t)),"Negativa",ISNUMBER(SEARCH("estável",_xlpm.t)),"Estável",TRUE,"n/d")))</f>
        <v>Negativa</v>
      </c>
      <c r="L192" s="52">
        <f>IFERROR(_xlfn.XLOOKUP(B192,'Agências de Rating Soberano'!$G$2:$G$22,'Agências de Rating Soberano'!$H$2:$H$22),NA())</f>
        <v>7</v>
      </c>
      <c r="M192" s="52">
        <f>IFERROR(_xlfn.XLOOKUP(C192,'Agências de Rating Soberano'!$G$2:$G$22,'Agências de Rating Soberano'!$H$2:$H$22),NA())</f>
        <v>7</v>
      </c>
      <c r="N192" s="52">
        <f>IFERROR(_xlfn.XLOOKUP(E192,'Agências de Rating Soberano'!$J$2:$J$22,'Agências de Rating Soberano'!$K$2:$K$22),NA())</f>
        <v>7</v>
      </c>
      <c r="O192" s="52">
        <f>IFERROR(_xlfn.XLOOKUP(F192,'Agências de Rating Soberano'!$J$2:$J$22,'Agências de Rating Soberano'!$K$2:$K$22),NA())</f>
        <v>7</v>
      </c>
      <c r="P192" s="52">
        <f>IFERROR(_xlfn.XLOOKUP(H192,'Agências de Rating Soberano'!$J$2:$J$22,'Agências de Rating Soberano'!$K$2:$K$22),NA())</f>
        <v>8</v>
      </c>
      <c r="Q192" s="52">
        <f>IFERROR(_xlfn.XLOOKUP(I192,'Agências de Rating Soberano'!$J$2:$J$22,'Agências de Rating Soberano'!$K$2:$K$22),NA())</f>
        <v>10</v>
      </c>
    </row>
    <row r="193" spans="1:17" x14ac:dyDescent="0.3">
      <c r="A193" s="53">
        <f t="shared" si="9"/>
        <v>37560</v>
      </c>
      <c r="B193" t="str">
        <f>IFERROR(_xlfn.XLOOKUP($A193,Planilha2!$A$2:$A$34,Planilha2!C$2:C$34,"",-1),"")</f>
        <v>B2</v>
      </c>
      <c r="C193" t="str">
        <f>IFERROR(_xlfn.XLOOKUP($A193,Planilha2!$A$2:$A$34,Planilha2!D$2:D$34,"",-1),"")</f>
        <v>B2</v>
      </c>
      <c r="D193" t="str" cm="1">
        <f t="array" ref="D193">IF($A193&lt;MIN(Planilha2!$A$2:$A$34),"",_xlfn.LET(_xlpm.t,_xlfn.XLOOKUP($A193,Planilha2!$A$2:$A$34,Planilha2!$E$2:$E$34,"",-1),_xlfn.IFS(ISNUMBER(SEARCH("positiva",_xlpm.t)),"Positiva",ISNUMBER(SEARCH("negativa",_xlpm.t)),"Negativa",ISNUMBER(SEARCH("estável",_xlpm.t)),"Estável",TRUE,"n/d")))</f>
        <v>Estável</v>
      </c>
      <c r="E193" t="str">
        <f>IFERROR(_xlfn.XLOOKUP($A193,Planilha2!$J$2:$J$44,Planilha2!L$2:L$44,"",-1),"")</f>
        <v>B</v>
      </c>
      <c r="F193" t="str">
        <f>IFERROR(_xlfn.XLOOKUP($A193,Planilha2!$J$2:$J$44,Planilha2!M$2:M$44,"",-1),"")</f>
        <v>B</v>
      </c>
      <c r="G193" t="str" cm="1">
        <f t="array" ref="G193">IF($A193&lt;MIN(Planilha2!$J$2:$J$44),"",_xlfn.LET(_xlpm.t,_xlfn.XLOOKUP($A193,Planilha2!$J$2:$J$44,Planilha2!$N$2:$N$44,"",-1),_xlfn.IFS(ISNUMBER(SEARCH("positiva",_xlpm.t)),"Positiva",ISNUMBER(SEARCH("negativa",_xlpm.t)),"Negativa",ISNUMBER(SEARCH("estável",_xlpm.t)),"Estável",TRUE,"n/d")))</f>
        <v>Negativa</v>
      </c>
      <c r="H193" t="str">
        <f>IFERROR(_xlfn.XLOOKUP($A193,Planilha2!$P$2:$P$38,Planilha2!R$2:R$38,"",-1),"")</f>
        <v>B+</v>
      </c>
      <c r="I193" t="str">
        <f>IFERROR(_xlfn.XLOOKUP($A193,Planilha2!$P$2:$P$38,Planilha2!S$2:S$38,"",-1),"")</f>
        <v>BB</v>
      </c>
      <c r="J193" t="str" cm="1">
        <f t="array" ref="J193">IF($A193&lt;MIN(Planilha2!$P$2:$P$38),"",_xlfn.LET(_xlpm.t,_xlfn.XLOOKUP($A193,Planilha2!$P$2:$P$38,Planilha2!$T$2:$T$38,"",-1),_xlfn.IFS(ISNUMBER(SEARCH("positiva",_xlpm.t)),"Positiva",ISNUMBER(SEARCH("negativa",_xlpm.t)),"Negativa",ISNUMBER(SEARCH("estável",_xlpm.t)),"Estável",TRUE,"n/d")))</f>
        <v>Negativa</v>
      </c>
      <c r="L193" s="52">
        <f>IFERROR(_xlfn.XLOOKUP(B193,'Agências de Rating Soberano'!$G$2:$G$22,'Agências de Rating Soberano'!$H$2:$H$22),NA())</f>
        <v>7</v>
      </c>
      <c r="M193" s="52">
        <f>IFERROR(_xlfn.XLOOKUP(C193,'Agências de Rating Soberano'!$G$2:$G$22,'Agências de Rating Soberano'!$H$2:$H$22),NA())</f>
        <v>7</v>
      </c>
      <c r="N193" s="52">
        <f>IFERROR(_xlfn.XLOOKUP(E193,'Agências de Rating Soberano'!$J$2:$J$22,'Agências de Rating Soberano'!$K$2:$K$22),NA())</f>
        <v>7</v>
      </c>
      <c r="O193" s="52">
        <f>IFERROR(_xlfn.XLOOKUP(F193,'Agências de Rating Soberano'!$J$2:$J$22,'Agências de Rating Soberano'!$K$2:$K$22),NA())</f>
        <v>7</v>
      </c>
      <c r="P193" s="52">
        <f>IFERROR(_xlfn.XLOOKUP(H193,'Agências de Rating Soberano'!$J$2:$J$22,'Agências de Rating Soberano'!$K$2:$K$22),NA())</f>
        <v>8</v>
      </c>
      <c r="Q193" s="52">
        <f>IFERROR(_xlfn.XLOOKUP(I193,'Agências de Rating Soberano'!$J$2:$J$22,'Agências de Rating Soberano'!$K$2:$K$22),NA())</f>
        <v>10</v>
      </c>
    </row>
    <row r="194" spans="1:17" x14ac:dyDescent="0.3">
      <c r="A194" s="53">
        <f t="shared" si="9"/>
        <v>37590</v>
      </c>
      <c r="B194" t="str">
        <f>IFERROR(_xlfn.XLOOKUP($A194,Planilha2!$A$2:$A$34,Planilha2!C$2:C$34,"",-1),"")</f>
        <v>B2</v>
      </c>
      <c r="C194" t="str">
        <f>IFERROR(_xlfn.XLOOKUP($A194,Planilha2!$A$2:$A$34,Planilha2!D$2:D$34,"",-1),"")</f>
        <v>B2</v>
      </c>
      <c r="D194" t="str" cm="1">
        <f t="array" ref="D194">IF($A194&lt;MIN(Planilha2!$A$2:$A$34),"",_xlfn.LET(_xlpm.t,_xlfn.XLOOKUP($A194,Planilha2!$A$2:$A$34,Planilha2!$E$2:$E$34,"",-1),_xlfn.IFS(ISNUMBER(SEARCH("positiva",_xlpm.t)),"Positiva",ISNUMBER(SEARCH("negativa",_xlpm.t)),"Negativa",ISNUMBER(SEARCH("estável",_xlpm.t)),"Estável",TRUE,"n/d")))</f>
        <v>Estável</v>
      </c>
      <c r="E194" t="str">
        <f>IFERROR(_xlfn.XLOOKUP($A194,Planilha2!$J$2:$J$44,Planilha2!L$2:L$44,"",-1),"")</f>
        <v>B</v>
      </c>
      <c r="F194" t="str">
        <f>IFERROR(_xlfn.XLOOKUP($A194,Planilha2!$J$2:$J$44,Planilha2!M$2:M$44,"",-1),"")</f>
        <v>B</v>
      </c>
      <c r="G194" t="str" cm="1">
        <f t="array" ref="G194">IF($A194&lt;MIN(Planilha2!$J$2:$J$44),"",_xlfn.LET(_xlpm.t,_xlfn.XLOOKUP($A194,Planilha2!$J$2:$J$44,Planilha2!$N$2:$N$44,"",-1),_xlfn.IFS(ISNUMBER(SEARCH("positiva",_xlpm.t)),"Positiva",ISNUMBER(SEARCH("negativa",_xlpm.t)),"Negativa",ISNUMBER(SEARCH("estável",_xlpm.t)),"Estável",TRUE,"n/d")))</f>
        <v>Negativa</v>
      </c>
      <c r="H194" t="str">
        <f>IFERROR(_xlfn.XLOOKUP($A194,Planilha2!$P$2:$P$38,Planilha2!R$2:R$38,"",-1),"")</f>
        <v>B+</v>
      </c>
      <c r="I194" t="str">
        <f>IFERROR(_xlfn.XLOOKUP($A194,Planilha2!$P$2:$P$38,Planilha2!S$2:S$38,"",-1),"")</f>
        <v>BB</v>
      </c>
      <c r="J194" t="str" cm="1">
        <f t="array" ref="J194">IF($A194&lt;MIN(Planilha2!$P$2:$P$38),"",_xlfn.LET(_xlpm.t,_xlfn.XLOOKUP($A194,Planilha2!$P$2:$P$38,Planilha2!$T$2:$T$38,"",-1),_xlfn.IFS(ISNUMBER(SEARCH("positiva",_xlpm.t)),"Positiva",ISNUMBER(SEARCH("negativa",_xlpm.t)),"Negativa",ISNUMBER(SEARCH("estável",_xlpm.t)),"Estável",TRUE,"n/d")))</f>
        <v>Negativa</v>
      </c>
      <c r="L194" s="52">
        <f>IFERROR(_xlfn.XLOOKUP(B194,'Agências de Rating Soberano'!$G$2:$G$22,'Agências de Rating Soberano'!$H$2:$H$22),NA())</f>
        <v>7</v>
      </c>
      <c r="M194" s="52">
        <f>IFERROR(_xlfn.XLOOKUP(C194,'Agências de Rating Soberano'!$G$2:$G$22,'Agências de Rating Soberano'!$H$2:$H$22),NA())</f>
        <v>7</v>
      </c>
      <c r="N194" s="52">
        <f>IFERROR(_xlfn.XLOOKUP(E194,'Agências de Rating Soberano'!$J$2:$J$22,'Agências de Rating Soberano'!$K$2:$K$22),NA())</f>
        <v>7</v>
      </c>
      <c r="O194" s="52">
        <f>IFERROR(_xlfn.XLOOKUP(F194,'Agências de Rating Soberano'!$J$2:$J$22,'Agências de Rating Soberano'!$K$2:$K$22),NA())</f>
        <v>7</v>
      </c>
      <c r="P194" s="52">
        <f>IFERROR(_xlfn.XLOOKUP(H194,'Agências de Rating Soberano'!$J$2:$J$22,'Agências de Rating Soberano'!$K$2:$K$22),NA())</f>
        <v>8</v>
      </c>
      <c r="Q194" s="52">
        <f>IFERROR(_xlfn.XLOOKUP(I194,'Agências de Rating Soberano'!$J$2:$J$22,'Agências de Rating Soberano'!$K$2:$K$22),NA())</f>
        <v>10</v>
      </c>
    </row>
    <row r="195" spans="1:17" x14ac:dyDescent="0.3">
      <c r="A195" s="53">
        <f t="shared" si="9"/>
        <v>37621</v>
      </c>
      <c r="B195" t="str">
        <f>IFERROR(_xlfn.XLOOKUP($A195,Planilha2!$A$2:$A$34,Planilha2!C$2:C$34,"",-1),"")</f>
        <v>B2</v>
      </c>
      <c r="C195" t="str">
        <f>IFERROR(_xlfn.XLOOKUP($A195,Planilha2!$A$2:$A$34,Planilha2!D$2:D$34,"",-1),"")</f>
        <v>B2</v>
      </c>
      <c r="D195" t="str" cm="1">
        <f t="array" ref="D195">IF($A195&lt;MIN(Planilha2!$A$2:$A$34),"",_xlfn.LET(_xlpm.t,_xlfn.XLOOKUP($A195,Planilha2!$A$2:$A$34,Planilha2!$E$2:$E$34,"",-1),_xlfn.IFS(ISNUMBER(SEARCH("positiva",_xlpm.t)),"Positiva",ISNUMBER(SEARCH("negativa",_xlpm.t)),"Negativa",ISNUMBER(SEARCH("estável",_xlpm.t)),"Estável",TRUE,"n/d")))</f>
        <v>Estável</v>
      </c>
      <c r="E195" t="str">
        <f>IFERROR(_xlfn.XLOOKUP($A195,Planilha2!$J$2:$J$44,Planilha2!L$2:L$44,"",-1),"")</f>
        <v>B</v>
      </c>
      <c r="F195" t="str">
        <f>IFERROR(_xlfn.XLOOKUP($A195,Planilha2!$J$2:$J$44,Planilha2!M$2:M$44,"",-1),"")</f>
        <v>B</v>
      </c>
      <c r="G195" t="str" cm="1">
        <f t="array" ref="G195">IF($A195&lt;MIN(Planilha2!$J$2:$J$44),"",_xlfn.LET(_xlpm.t,_xlfn.XLOOKUP($A195,Planilha2!$J$2:$J$44,Planilha2!$N$2:$N$44,"",-1),_xlfn.IFS(ISNUMBER(SEARCH("positiva",_xlpm.t)),"Positiva",ISNUMBER(SEARCH("negativa",_xlpm.t)),"Negativa",ISNUMBER(SEARCH("estável",_xlpm.t)),"Estável",TRUE,"n/d")))</f>
        <v>Negativa</v>
      </c>
      <c r="H195" t="str">
        <f>IFERROR(_xlfn.XLOOKUP($A195,Planilha2!$P$2:$P$38,Planilha2!R$2:R$38,"",-1),"")</f>
        <v>B+</v>
      </c>
      <c r="I195" t="str">
        <f>IFERROR(_xlfn.XLOOKUP($A195,Planilha2!$P$2:$P$38,Planilha2!S$2:S$38,"",-1),"")</f>
        <v>BB</v>
      </c>
      <c r="J195" t="str" cm="1">
        <f t="array" ref="J195">IF($A195&lt;MIN(Planilha2!$P$2:$P$38),"",_xlfn.LET(_xlpm.t,_xlfn.XLOOKUP($A195,Planilha2!$P$2:$P$38,Planilha2!$T$2:$T$38,"",-1),_xlfn.IFS(ISNUMBER(SEARCH("positiva",_xlpm.t)),"Positiva",ISNUMBER(SEARCH("negativa",_xlpm.t)),"Negativa",ISNUMBER(SEARCH("estável",_xlpm.t)),"Estável",TRUE,"n/d")))</f>
        <v>Negativa</v>
      </c>
      <c r="L195" s="52">
        <f>IFERROR(_xlfn.XLOOKUP(B195,'Agências de Rating Soberano'!$G$2:$G$22,'Agências de Rating Soberano'!$H$2:$H$22),NA())</f>
        <v>7</v>
      </c>
      <c r="M195" s="52">
        <f>IFERROR(_xlfn.XLOOKUP(C195,'Agências de Rating Soberano'!$G$2:$G$22,'Agências de Rating Soberano'!$H$2:$H$22),NA())</f>
        <v>7</v>
      </c>
      <c r="N195" s="52">
        <f>IFERROR(_xlfn.XLOOKUP(E195,'Agências de Rating Soberano'!$J$2:$J$22,'Agências de Rating Soberano'!$K$2:$K$22),NA())</f>
        <v>7</v>
      </c>
      <c r="O195" s="52">
        <f>IFERROR(_xlfn.XLOOKUP(F195,'Agências de Rating Soberano'!$J$2:$J$22,'Agências de Rating Soberano'!$K$2:$K$22),NA())</f>
        <v>7</v>
      </c>
      <c r="P195" s="52">
        <f>IFERROR(_xlfn.XLOOKUP(H195,'Agências de Rating Soberano'!$J$2:$J$22,'Agências de Rating Soberano'!$K$2:$K$22),NA())</f>
        <v>8</v>
      </c>
      <c r="Q195" s="52">
        <f>IFERROR(_xlfn.XLOOKUP(I195,'Agências de Rating Soberano'!$J$2:$J$22,'Agências de Rating Soberano'!$K$2:$K$22),NA())</f>
        <v>10</v>
      </c>
    </row>
    <row r="196" spans="1:17" x14ac:dyDescent="0.3">
      <c r="A196" s="53">
        <f t="shared" ref="A196:A259" si="10">EOMONTH(A195,1)</f>
        <v>37652</v>
      </c>
      <c r="B196" t="str">
        <f>IFERROR(_xlfn.XLOOKUP($A196,Planilha2!$A$2:$A$34,Planilha2!C$2:C$34,"",-1),"")</f>
        <v>B2</v>
      </c>
      <c r="C196" t="str">
        <f>IFERROR(_xlfn.XLOOKUP($A196,Planilha2!$A$2:$A$34,Planilha2!D$2:D$34,"",-1),"")</f>
        <v>B2</v>
      </c>
      <c r="D196" t="str" cm="1">
        <f t="array" ref="D196">IF($A196&lt;MIN(Planilha2!$A$2:$A$34),"",_xlfn.LET(_xlpm.t,_xlfn.XLOOKUP($A196,Planilha2!$A$2:$A$34,Planilha2!$E$2:$E$34,"",-1),_xlfn.IFS(ISNUMBER(SEARCH("positiva",_xlpm.t)),"Positiva",ISNUMBER(SEARCH("negativa",_xlpm.t)),"Negativa",ISNUMBER(SEARCH("estável",_xlpm.t)),"Estável",TRUE,"n/d")))</f>
        <v>Estável</v>
      </c>
      <c r="E196" t="str">
        <f>IFERROR(_xlfn.XLOOKUP($A196,Planilha2!$J$2:$J$44,Planilha2!L$2:L$44,"",-1),"")</f>
        <v>B</v>
      </c>
      <c r="F196" t="str">
        <f>IFERROR(_xlfn.XLOOKUP($A196,Planilha2!$J$2:$J$44,Planilha2!M$2:M$44,"",-1),"")</f>
        <v>B</v>
      </c>
      <c r="G196" t="str" cm="1">
        <f t="array" ref="G196">IF($A196&lt;MIN(Planilha2!$J$2:$J$44),"",_xlfn.LET(_xlpm.t,_xlfn.XLOOKUP($A196,Planilha2!$J$2:$J$44,Planilha2!$N$2:$N$44,"",-1),_xlfn.IFS(ISNUMBER(SEARCH("positiva",_xlpm.t)),"Positiva",ISNUMBER(SEARCH("negativa",_xlpm.t)),"Negativa",ISNUMBER(SEARCH("estável",_xlpm.t)),"Estável",TRUE,"n/d")))</f>
        <v>Negativa</v>
      </c>
      <c r="H196" t="str">
        <f>IFERROR(_xlfn.XLOOKUP($A196,Planilha2!$P$2:$P$38,Planilha2!R$2:R$38,"",-1),"")</f>
        <v>B+</v>
      </c>
      <c r="I196" t="str">
        <f>IFERROR(_xlfn.XLOOKUP($A196,Planilha2!$P$2:$P$38,Planilha2!S$2:S$38,"",-1),"")</f>
        <v>BB</v>
      </c>
      <c r="J196" t="str" cm="1">
        <f t="array" ref="J196">IF($A196&lt;MIN(Planilha2!$P$2:$P$38),"",_xlfn.LET(_xlpm.t,_xlfn.XLOOKUP($A196,Planilha2!$P$2:$P$38,Planilha2!$T$2:$T$38,"",-1),_xlfn.IFS(ISNUMBER(SEARCH("positiva",_xlpm.t)),"Positiva",ISNUMBER(SEARCH("negativa",_xlpm.t)),"Negativa",ISNUMBER(SEARCH("estável",_xlpm.t)),"Estável",TRUE,"n/d")))</f>
        <v>Negativa</v>
      </c>
      <c r="L196" s="52">
        <f>IFERROR(_xlfn.XLOOKUP(B196,'Agências de Rating Soberano'!$G$2:$G$22,'Agências de Rating Soberano'!$H$2:$H$22),NA())</f>
        <v>7</v>
      </c>
      <c r="M196" s="52">
        <f>IFERROR(_xlfn.XLOOKUP(C196,'Agências de Rating Soberano'!$G$2:$G$22,'Agências de Rating Soberano'!$H$2:$H$22),NA())</f>
        <v>7</v>
      </c>
      <c r="N196" s="52">
        <f>IFERROR(_xlfn.XLOOKUP(E196,'Agências de Rating Soberano'!$J$2:$J$22,'Agências de Rating Soberano'!$K$2:$K$22),NA())</f>
        <v>7</v>
      </c>
      <c r="O196" s="52">
        <f>IFERROR(_xlfn.XLOOKUP(F196,'Agências de Rating Soberano'!$J$2:$J$22,'Agências de Rating Soberano'!$K$2:$K$22),NA())</f>
        <v>7</v>
      </c>
      <c r="P196" s="52">
        <f>IFERROR(_xlfn.XLOOKUP(H196,'Agências de Rating Soberano'!$J$2:$J$22,'Agências de Rating Soberano'!$K$2:$K$22),NA())</f>
        <v>8</v>
      </c>
      <c r="Q196" s="52">
        <f>IFERROR(_xlfn.XLOOKUP(I196,'Agências de Rating Soberano'!$J$2:$J$22,'Agências de Rating Soberano'!$K$2:$K$22),NA())</f>
        <v>10</v>
      </c>
    </row>
    <row r="197" spans="1:17" x14ac:dyDescent="0.3">
      <c r="A197" s="53">
        <f t="shared" si="10"/>
        <v>37680</v>
      </c>
      <c r="B197" t="str">
        <f>IFERROR(_xlfn.XLOOKUP($A197,Planilha2!$A$2:$A$34,Planilha2!C$2:C$34,"",-1),"")</f>
        <v>B2</v>
      </c>
      <c r="C197" t="str">
        <f>IFERROR(_xlfn.XLOOKUP($A197,Planilha2!$A$2:$A$34,Planilha2!D$2:D$34,"",-1),"")</f>
        <v>B2</v>
      </c>
      <c r="D197" t="str" cm="1">
        <f t="array" ref="D197">IF($A197&lt;MIN(Planilha2!$A$2:$A$34),"",_xlfn.LET(_xlpm.t,_xlfn.XLOOKUP($A197,Planilha2!$A$2:$A$34,Planilha2!$E$2:$E$34,"",-1),_xlfn.IFS(ISNUMBER(SEARCH("positiva",_xlpm.t)),"Positiva",ISNUMBER(SEARCH("negativa",_xlpm.t)),"Negativa",ISNUMBER(SEARCH("estável",_xlpm.t)),"Estável",TRUE,"n/d")))</f>
        <v>Estável</v>
      </c>
      <c r="E197" t="str">
        <f>IFERROR(_xlfn.XLOOKUP($A197,Planilha2!$J$2:$J$44,Planilha2!L$2:L$44,"",-1),"")</f>
        <v>B</v>
      </c>
      <c r="F197" t="str">
        <f>IFERROR(_xlfn.XLOOKUP($A197,Planilha2!$J$2:$J$44,Planilha2!M$2:M$44,"",-1),"")</f>
        <v>B</v>
      </c>
      <c r="G197" t="str" cm="1">
        <f t="array" ref="G197">IF($A197&lt;MIN(Planilha2!$J$2:$J$44),"",_xlfn.LET(_xlpm.t,_xlfn.XLOOKUP($A197,Planilha2!$J$2:$J$44,Planilha2!$N$2:$N$44,"",-1),_xlfn.IFS(ISNUMBER(SEARCH("positiva",_xlpm.t)),"Positiva",ISNUMBER(SEARCH("negativa",_xlpm.t)),"Negativa",ISNUMBER(SEARCH("estável",_xlpm.t)),"Estável",TRUE,"n/d")))</f>
        <v>Negativa</v>
      </c>
      <c r="H197" t="str">
        <f>IFERROR(_xlfn.XLOOKUP($A197,Planilha2!$P$2:$P$38,Planilha2!R$2:R$38,"",-1),"")</f>
        <v>B+</v>
      </c>
      <c r="I197" t="str">
        <f>IFERROR(_xlfn.XLOOKUP($A197,Planilha2!$P$2:$P$38,Planilha2!S$2:S$38,"",-1),"")</f>
        <v>BB</v>
      </c>
      <c r="J197" t="str" cm="1">
        <f t="array" ref="J197">IF($A197&lt;MIN(Planilha2!$P$2:$P$38),"",_xlfn.LET(_xlpm.t,_xlfn.XLOOKUP($A197,Planilha2!$P$2:$P$38,Planilha2!$T$2:$T$38,"",-1),_xlfn.IFS(ISNUMBER(SEARCH("positiva",_xlpm.t)),"Positiva",ISNUMBER(SEARCH("negativa",_xlpm.t)),"Negativa",ISNUMBER(SEARCH("estável",_xlpm.t)),"Estável",TRUE,"n/d")))</f>
        <v>Negativa</v>
      </c>
      <c r="L197" s="52">
        <f>IFERROR(_xlfn.XLOOKUP(B197,'Agências de Rating Soberano'!$G$2:$G$22,'Agências de Rating Soberano'!$H$2:$H$22),NA())</f>
        <v>7</v>
      </c>
      <c r="M197" s="52">
        <f>IFERROR(_xlfn.XLOOKUP(C197,'Agências de Rating Soberano'!$G$2:$G$22,'Agências de Rating Soberano'!$H$2:$H$22),NA())</f>
        <v>7</v>
      </c>
      <c r="N197" s="52">
        <f>IFERROR(_xlfn.XLOOKUP(E197,'Agências de Rating Soberano'!$J$2:$J$22,'Agências de Rating Soberano'!$K$2:$K$22),NA())</f>
        <v>7</v>
      </c>
      <c r="O197" s="52">
        <f>IFERROR(_xlfn.XLOOKUP(F197,'Agências de Rating Soberano'!$J$2:$J$22,'Agências de Rating Soberano'!$K$2:$K$22),NA())</f>
        <v>7</v>
      </c>
      <c r="P197" s="52">
        <f>IFERROR(_xlfn.XLOOKUP(H197,'Agências de Rating Soberano'!$J$2:$J$22,'Agências de Rating Soberano'!$K$2:$K$22),NA())</f>
        <v>8</v>
      </c>
      <c r="Q197" s="52">
        <f>IFERROR(_xlfn.XLOOKUP(I197,'Agências de Rating Soberano'!$J$2:$J$22,'Agências de Rating Soberano'!$K$2:$K$22),NA())</f>
        <v>10</v>
      </c>
    </row>
    <row r="198" spans="1:17" x14ac:dyDescent="0.3">
      <c r="A198" s="53">
        <f t="shared" si="10"/>
        <v>37711</v>
      </c>
      <c r="B198" t="str">
        <f>IFERROR(_xlfn.XLOOKUP($A198,Planilha2!$A$2:$A$34,Planilha2!C$2:C$34,"",-1),"")</f>
        <v>B2</v>
      </c>
      <c r="C198" t="str">
        <f>IFERROR(_xlfn.XLOOKUP($A198,Planilha2!$A$2:$A$34,Planilha2!D$2:D$34,"",-1),"")</f>
        <v>B2</v>
      </c>
      <c r="D198" t="str" cm="1">
        <f t="array" ref="D198">IF($A198&lt;MIN(Planilha2!$A$2:$A$34),"",_xlfn.LET(_xlpm.t,_xlfn.XLOOKUP($A198,Planilha2!$A$2:$A$34,Planilha2!$E$2:$E$34,"",-1),_xlfn.IFS(ISNUMBER(SEARCH("positiva",_xlpm.t)),"Positiva",ISNUMBER(SEARCH("negativa",_xlpm.t)),"Negativa",ISNUMBER(SEARCH("estável",_xlpm.t)),"Estável",TRUE,"n/d")))</f>
        <v>Estável</v>
      </c>
      <c r="E198" t="str">
        <f>IFERROR(_xlfn.XLOOKUP($A198,Planilha2!$J$2:$J$44,Planilha2!L$2:L$44,"",-1),"")</f>
        <v>B</v>
      </c>
      <c r="F198" t="str">
        <f>IFERROR(_xlfn.XLOOKUP($A198,Planilha2!$J$2:$J$44,Planilha2!M$2:M$44,"",-1),"")</f>
        <v>B</v>
      </c>
      <c r="G198" t="str" cm="1">
        <f t="array" ref="G198">IF($A198&lt;MIN(Planilha2!$J$2:$J$44),"",_xlfn.LET(_xlpm.t,_xlfn.XLOOKUP($A198,Planilha2!$J$2:$J$44,Planilha2!$N$2:$N$44,"",-1),_xlfn.IFS(ISNUMBER(SEARCH("positiva",_xlpm.t)),"Positiva",ISNUMBER(SEARCH("negativa",_xlpm.t)),"Negativa",ISNUMBER(SEARCH("estável",_xlpm.t)),"Estável",TRUE,"n/d")))</f>
        <v>Negativa</v>
      </c>
      <c r="H198" t="str">
        <f>IFERROR(_xlfn.XLOOKUP($A198,Planilha2!$P$2:$P$38,Planilha2!R$2:R$38,"",-1),"")</f>
        <v>B+</v>
      </c>
      <c r="I198" t="str">
        <f>IFERROR(_xlfn.XLOOKUP($A198,Planilha2!$P$2:$P$38,Planilha2!S$2:S$38,"",-1),"")</f>
        <v>BB</v>
      </c>
      <c r="J198" t="str" cm="1">
        <f t="array" ref="J198">IF($A198&lt;MIN(Planilha2!$P$2:$P$38),"",_xlfn.LET(_xlpm.t,_xlfn.XLOOKUP($A198,Planilha2!$P$2:$P$38,Planilha2!$T$2:$T$38,"",-1),_xlfn.IFS(ISNUMBER(SEARCH("positiva",_xlpm.t)),"Positiva",ISNUMBER(SEARCH("negativa",_xlpm.t)),"Negativa",ISNUMBER(SEARCH("estável",_xlpm.t)),"Estável",TRUE,"n/d")))</f>
        <v>Negativa</v>
      </c>
      <c r="L198" s="52">
        <f>IFERROR(_xlfn.XLOOKUP(B198,'Agências de Rating Soberano'!$G$2:$G$22,'Agências de Rating Soberano'!$H$2:$H$22),NA())</f>
        <v>7</v>
      </c>
      <c r="M198" s="52">
        <f>IFERROR(_xlfn.XLOOKUP(C198,'Agências de Rating Soberano'!$G$2:$G$22,'Agências de Rating Soberano'!$H$2:$H$22),NA())</f>
        <v>7</v>
      </c>
      <c r="N198" s="52">
        <f>IFERROR(_xlfn.XLOOKUP(E198,'Agências de Rating Soberano'!$J$2:$J$22,'Agências de Rating Soberano'!$K$2:$K$22),NA())</f>
        <v>7</v>
      </c>
      <c r="O198" s="52">
        <f>IFERROR(_xlfn.XLOOKUP(F198,'Agências de Rating Soberano'!$J$2:$J$22,'Agências de Rating Soberano'!$K$2:$K$22),NA())</f>
        <v>7</v>
      </c>
      <c r="P198" s="52">
        <f>IFERROR(_xlfn.XLOOKUP(H198,'Agências de Rating Soberano'!$J$2:$J$22,'Agências de Rating Soberano'!$K$2:$K$22),NA())</f>
        <v>8</v>
      </c>
      <c r="Q198" s="52">
        <f>IFERROR(_xlfn.XLOOKUP(I198,'Agências de Rating Soberano'!$J$2:$J$22,'Agências de Rating Soberano'!$K$2:$K$22),NA())</f>
        <v>10</v>
      </c>
    </row>
    <row r="199" spans="1:17" x14ac:dyDescent="0.3">
      <c r="A199" s="53">
        <f t="shared" si="10"/>
        <v>37741</v>
      </c>
      <c r="B199" t="str">
        <f>IFERROR(_xlfn.XLOOKUP($A199,Planilha2!$A$2:$A$34,Planilha2!C$2:C$34,"",-1),"")</f>
        <v>B2</v>
      </c>
      <c r="C199" t="str">
        <f>IFERROR(_xlfn.XLOOKUP($A199,Planilha2!$A$2:$A$34,Planilha2!D$2:D$34,"",-1),"")</f>
        <v>B2</v>
      </c>
      <c r="D199" t="str" cm="1">
        <f t="array" ref="D199">IF($A199&lt;MIN(Planilha2!$A$2:$A$34),"",_xlfn.LET(_xlpm.t,_xlfn.XLOOKUP($A199,Planilha2!$A$2:$A$34,Planilha2!$E$2:$E$34,"",-1),_xlfn.IFS(ISNUMBER(SEARCH("positiva",_xlpm.t)),"Positiva",ISNUMBER(SEARCH("negativa",_xlpm.t)),"Negativa",ISNUMBER(SEARCH("estável",_xlpm.t)),"Estável",TRUE,"n/d")))</f>
        <v>Estável</v>
      </c>
      <c r="E199" t="str">
        <f>IFERROR(_xlfn.XLOOKUP($A199,Planilha2!$J$2:$J$44,Planilha2!L$2:L$44,"",-1),"")</f>
        <v>B</v>
      </c>
      <c r="F199" t="str">
        <f>IFERROR(_xlfn.XLOOKUP($A199,Planilha2!$J$2:$J$44,Planilha2!M$2:M$44,"",-1),"")</f>
        <v>B</v>
      </c>
      <c r="G199" t="str" cm="1">
        <f t="array" ref="G199">IF($A199&lt;MIN(Planilha2!$J$2:$J$44),"",_xlfn.LET(_xlpm.t,_xlfn.XLOOKUP($A199,Planilha2!$J$2:$J$44,Planilha2!$N$2:$N$44,"",-1),_xlfn.IFS(ISNUMBER(SEARCH("positiva",_xlpm.t)),"Positiva",ISNUMBER(SEARCH("negativa",_xlpm.t)),"Negativa",ISNUMBER(SEARCH("estável",_xlpm.t)),"Estável",TRUE,"n/d")))</f>
        <v>Negativa</v>
      </c>
      <c r="H199" t="str">
        <f>IFERROR(_xlfn.XLOOKUP($A199,Planilha2!$P$2:$P$38,Planilha2!R$2:R$38,"",-1),"")</f>
        <v>B+</v>
      </c>
      <c r="I199" t="str">
        <f>IFERROR(_xlfn.XLOOKUP($A199,Planilha2!$P$2:$P$38,Planilha2!S$2:S$38,"",-1),"")</f>
        <v>BB</v>
      </c>
      <c r="J199" t="str" cm="1">
        <f t="array" ref="J199">IF($A199&lt;MIN(Planilha2!$P$2:$P$38),"",_xlfn.LET(_xlpm.t,_xlfn.XLOOKUP($A199,Planilha2!$P$2:$P$38,Planilha2!$T$2:$T$38,"",-1),_xlfn.IFS(ISNUMBER(SEARCH("positiva",_xlpm.t)),"Positiva",ISNUMBER(SEARCH("negativa",_xlpm.t)),"Negativa",ISNUMBER(SEARCH("estável",_xlpm.t)),"Estável",TRUE,"n/d")))</f>
        <v>Estável</v>
      </c>
      <c r="L199" s="52">
        <f>IFERROR(_xlfn.XLOOKUP(B199,'Agências de Rating Soberano'!$G$2:$G$22,'Agências de Rating Soberano'!$H$2:$H$22),NA())</f>
        <v>7</v>
      </c>
      <c r="M199" s="52">
        <f>IFERROR(_xlfn.XLOOKUP(C199,'Agências de Rating Soberano'!$G$2:$G$22,'Agências de Rating Soberano'!$H$2:$H$22),NA())</f>
        <v>7</v>
      </c>
      <c r="N199" s="52">
        <f>IFERROR(_xlfn.XLOOKUP(E199,'Agências de Rating Soberano'!$J$2:$J$22,'Agências de Rating Soberano'!$K$2:$K$22),NA())</f>
        <v>7</v>
      </c>
      <c r="O199" s="52">
        <f>IFERROR(_xlfn.XLOOKUP(F199,'Agências de Rating Soberano'!$J$2:$J$22,'Agências de Rating Soberano'!$K$2:$K$22),NA())</f>
        <v>7</v>
      </c>
      <c r="P199" s="52">
        <f>IFERROR(_xlfn.XLOOKUP(H199,'Agências de Rating Soberano'!$J$2:$J$22,'Agências de Rating Soberano'!$K$2:$K$22),NA())</f>
        <v>8</v>
      </c>
      <c r="Q199" s="52">
        <f>IFERROR(_xlfn.XLOOKUP(I199,'Agências de Rating Soberano'!$J$2:$J$22,'Agências de Rating Soberano'!$K$2:$K$22),NA())</f>
        <v>10</v>
      </c>
    </row>
    <row r="200" spans="1:17" x14ac:dyDescent="0.3">
      <c r="A200" s="53">
        <f t="shared" si="10"/>
        <v>37772</v>
      </c>
      <c r="B200" t="str">
        <f>IFERROR(_xlfn.XLOOKUP($A200,Planilha2!$A$2:$A$34,Planilha2!C$2:C$34,"",-1),"")</f>
        <v>B2</v>
      </c>
      <c r="C200" t="str">
        <f>IFERROR(_xlfn.XLOOKUP($A200,Planilha2!$A$2:$A$34,Planilha2!D$2:D$34,"",-1),"")</f>
        <v>B2</v>
      </c>
      <c r="D200" t="str" cm="1">
        <f t="array" ref="D200">IF($A200&lt;MIN(Planilha2!$A$2:$A$34),"",_xlfn.LET(_xlpm.t,_xlfn.XLOOKUP($A200,Planilha2!$A$2:$A$34,Planilha2!$E$2:$E$34,"",-1),_xlfn.IFS(ISNUMBER(SEARCH("positiva",_xlpm.t)),"Positiva",ISNUMBER(SEARCH("negativa",_xlpm.t)),"Negativa",ISNUMBER(SEARCH("estável",_xlpm.t)),"Estável",TRUE,"n/d")))</f>
        <v>Estável</v>
      </c>
      <c r="E200" t="str">
        <f>IFERROR(_xlfn.XLOOKUP($A200,Planilha2!$J$2:$J$44,Planilha2!L$2:L$44,"",-1),"")</f>
        <v>B</v>
      </c>
      <c r="F200" t="str">
        <f>IFERROR(_xlfn.XLOOKUP($A200,Planilha2!$J$2:$J$44,Planilha2!M$2:M$44,"",-1),"")</f>
        <v>B</v>
      </c>
      <c r="G200" t="str" cm="1">
        <f t="array" ref="G200">IF($A200&lt;MIN(Planilha2!$J$2:$J$44),"",_xlfn.LET(_xlpm.t,_xlfn.XLOOKUP($A200,Planilha2!$J$2:$J$44,Planilha2!$N$2:$N$44,"",-1),_xlfn.IFS(ISNUMBER(SEARCH("positiva",_xlpm.t)),"Positiva",ISNUMBER(SEARCH("negativa",_xlpm.t)),"Negativa",ISNUMBER(SEARCH("estável",_xlpm.t)),"Estável",TRUE,"n/d")))</f>
        <v>Negativa</v>
      </c>
      <c r="H200" t="str">
        <f>IFERROR(_xlfn.XLOOKUP($A200,Planilha2!$P$2:$P$38,Planilha2!R$2:R$38,"",-1),"")</f>
        <v>B+</v>
      </c>
      <c r="I200" t="str">
        <f>IFERROR(_xlfn.XLOOKUP($A200,Planilha2!$P$2:$P$38,Planilha2!S$2:S$38,"",-1),"")</f>
        <v>BB</v>
      </c>
      <c r="J200" t="str" cm="1">
        <f t="array" ref="J200">IF($A200&lt;MIN(Planilha2!$P$2:$P$38),"",_xlfn.LET(_xlpm.t,_xlfn.XLOOKUP($A200,Planilha2!$P$2:$P$38,Planilha2!$T$2:$T$38,"",-1),_xlfn.IFS(ISNUMBER(SEARCH("positiva",_xlpm.t)),"Positiva",ISNUMBER(SEARCH("negativa",_xlpm.t)),"Negativa",ISNUMBER(SEARCH("estável",_xlpm.t)),"Estável",TRUE,"n/d")))</f>
        <v>Estável</v>
      </c>
      <c r="L200" s="52">
        <f>IFERROR(_xlfn.XLOOKUP(B200,'Agências de Rating Soberano'!$G$2:$G$22,'Agências de Rating Soberano'!$H$2:$H$22),NA())</f>
        <v>7</v>
      </c>
      <c r="M200" s="52">
        <f>IFERROR(_xlfn.XLOOKUP(C200,'Agências de Rating Soberano'!$G$2:$G$22,'Agências de Rating Soberano'!$H$2:$H$22),NA())</f>
        <v>7</v>
      </c>
      <c r="N200" s="52">
        <f>IFERROR(_xlfn.XLOOKUP(E200,'Agências de Rating Soberano'!$J$2:$J$22,'Agências de Rating Soberano'!$K$2:$K$22),NA())</f>
        <v>7</v>
      </c>
      <c r="O200" s="52">
        <f>IFERROR(_xlfn.XLOOKUP(F200,'Agências de Rating Soberano'!$J$2:$J$22,'Agências de Rating Soberano'!$K$2:$K$22),NA())</f>
        <v>7</v>
      </c>
      <c r="P200" s="52">
        <f>IFERROR(_xlfn.XLOOKUP(H200,'Agências de Rating Soberano'!$J$2:$J$22,'Agências de Rating Soberano'!$K$2:$K$22),NA())</f>
        <v>8</v>
      </c>
      <c r="Q200" s="52">
        <f>IFERROR(_xlfn.XLOOKUP(I200,'Agências de Rating Soberano'!$J$2:$J$22,'Agências de Rating Soberano'!$K$2:$K$22),NA())</f>
        <v>10</v>
      </c>
    </row>
    <row r="201" spans="1:17" x14ac:dyDescent="0.3">
      <c r="A201" s="53">
        <f t="shared" si="10"/>
        <v>37802</v>
      </c>
      <c r="B201" t="str">
        <f>IFERROR(_xlfn.XLOOKUP($A201,Planilha2!$A$2:$A$34,Planilha2!C$2:C$34,"",-1),"")</f>
        <v>B2</v>
      </c>
      <c r="C201" t="str">
        <f>IFERROR(_xlfn.XLOOKUP($A201,Planilha2!$A$2:$A$34,Planilha2!D$2:D$34,"",-1),"")</f>
        <v>B2</v>
      </c>
      <c r="D201" t="str" cm="1">
        <f t="array" ref="D201">IF($A201&lt;MIN(Planilha2!$A$2:$A$34),"",_xlfn.LET(_xlpm.t,_xlfn.XLOOKUP($A201,Planilha2!$A$2:$A$34,Planilha2!$E$2:$E$34,"",-1),_xlfn.IFS(ISNUMBER(SEARCH("positiva",_xlpm.t)),"Positiva",ISNUMBER(SEARCH("negativa",_xlpm.t)),"Negativa",ISNUMBER(SEARCH("estável",_xlpm.t)),"Estável",TRUE,"n/d")))</f>
        <v>Estável</v>
      </c>
      <c r="E201" t="str">
        <f>IFERROR(_xlfn.XLOOKUP($A201,Planilha2!$J$2:$J$44,Planilha2!L$2:L$44,"",-1),"")</f>
        <v>B</v>
      </c>
      <c r="F201" t="str">
        <f>IFERROR(_xlfn.XLOOKUP($A201,Planilha2!$J$2:$J$44,Planilha2!M$2:M$44,"",-1),"")</f>
        <v>B</v>
      </c>
      <c r="G201" t="str" cm="1">
        <f t="array" ref="G201">IF($A201&lt;MIN(Planilha2!$J$2:$J$44),"",_xlfn.LET(_xlpm.t,_xlfn.XLOOKUP($A201,Planilha2!$J$2:$J$44,Planilha2!$N$2:$N$44,"",-1),_xlfn.IFS(ISNUMBER(SEARCH("positiva",_xlpm.t)),"Positiva",ISNUMBER(SEARCH("negativa",_xlpm.t)),"Negativa",ISNUMBER(SEARCH("estável",_xlpm.t)),"Estável",TRUE,"n/d")))</f>
        <v>Positiva</v>
      </c>
      <c r="H201" t="str">
        <f>IFERROR(_xlfn.XLOOKUP($A201,Planilha2!$P$2:$P$38,Planilha2!R$2:R$38,"",-1),"")</f>
        <v>B+</v>
      </c>
      <c r="I201" t="str">
        <f>IFERROR(_xlfn.XLOOKUP($A201,Planilha2!$P$2:$P$38,Planilha2!S$2:S$38,"",-1),"")</f>
        <v>BB</v>
      </c>
      <c r="J201" t="str" cm="1">
        <f t="array" ref="J201">IF($A201&lt;MIN(Planilha2!$P$2:$P$38),"",_xlfn.LET(_xlpm.t,_xlfn.XLOOKUP($A201,Planilha2!$P$2:$P$38,Planilha2!$T$2:$T$38,"",-1),_xlfn.IFS(ISNUMBER(SEARCH("positiva",_xlpm.t)),"Positiva",ISNUMBER(SEARCH("negativa",_xlpm.t)),"Negativa",ISNUMBER(SEARCH("estável",_xlpm.t)),"Estável",TRUE,"n/d")))</f>
        <v>Estável</v>
      </c>
      <c r="L201" s="52">
        <f>IFERROR(_xlfn.XLOOKUP(B201,'Agências de Rating Soberano'!$G$2:$G$22,'Agências de Rating Soberano'!$H$2:$H$22),NA())</f>
        <v>7</v>
      </c>
      <c r="M201" s="52">
        <f>IFERROR(_xlfn.XLOOKUP(C201,'Agências de Rating Soberano'!$G$2:$G$22,'Agências de Rating Soberano'!$H$2:$H$22),NA())</f>
        <v>7</v>
      </c>
      <c r="N201" s="52">
        <f>IFERROR(_xlfn.XLOOKUP(E201,'Agências de Rating Soberano'!$J$2:$J$22,'Agências de Rating Soberano'!$K$2:$K$22),NA())</f>
        <v>7</v>
      </c>
      <c r="O201" s="52">
        <f>IFERROR(_xlfn.XLOOKUP(F201,'Agências de Rating Soberano'!$J$2:$J$22,'Agências de Rating Soberano'!$K$2:$K$22),NA())</f>
        <v>7</v>
      </c>
      <c r="P201" s="52">
        <f>IFERROR(_xlfn.XLOOKUP(H201,'Agências de Rating Soberano'!$J$2:$J$22,'Agências de Rating Soberano'!$K$2:$K$22),NA())</f>
        <v>8</v>
      </c>
      <c r="Q201" s="52">
        <f>IFERROR(_xlfn.XLOOKUP(I201,'Agências de Rating Soberano'!$J$2:$J$22,'Agências de Rating Soberano'!$K$2:$K$22),NA())</f>
        <v>10</v>
      </c>
    </row>
    <row r="202" spans="1:17" x14ac:dyDescent="0.3">
      <c r="A202" s="53">
        <f t="shared" si="10"/>
        <v>37833</v>
      </c>
      <c r="B202" t="str">
        <f>IFERROR(_xlfn.XLOOKUP($A202,Planilha2!$A$2:$A$34,Planilha2!C$2:C$34,"",-1),"")</f>
        <v>B2</v>
      </c>
      <c r="C202" t="str">
        <f>IFERROR(_xlfn.XLOOKUP($A202,Planilha2!$A$2:$A$34,Planilha2!D$2:D$34,"",-1),"")</f>
        <v>B2</v>
      </c>
      <c r="D202" t="str" cm="1">
        <f t="array" ref="D202">IF($A202&lt;MIN(Planilha2!$A$2:$A$34),"",_xlfn.LET(_xlpm.t,_xlfn.XLOOKUP($A202,Planilha2!$A$2:$A$34,Planilha2!$E$2:$E$34,"",-1),_xlfn.IFS(ISNUMBER(SEARCH("positiva",_xlpm.t)),"Positiva",ISNUMBER(SEARCH("negativa",_xlpm.t)),"Negativa",ISNUMBER(SEARCH("estável",_xlpm.t)),"Estável",TRUE,"n/d")))</f>
        <v>Estável</v>
      </c>
      <c r="E202" t="str">
        <f>IFERROR(_xlfn.XLOOKUP($A202,Planilha2!$J$2:$J$44,Planilha2!L$2:L$44,"",-1),"")</f>
        <v>B</v>
      </c>
      <c r="F202" t="str">
        <f>IFERROR(_xlfn.XLOOKUP($A202,Planilha2!$J$2:$J$44,Planilha2!M$2:M$44,"",-1),"")</f>
        <v>B</v>
      </c>
      <c r="G202" t="str" cm="1">
        <f t="array" ref="G202">IF($A202&lt;MIN(Planilha2!$J$2:$J$44),"",_xlfn.LET(_xlpm.t,_xlfn.XLOOKUP($A202,Planilha2!$J$2:$J$44,Planilha2!$N$2:$N$44,"",-1),_xlfn.IFS(ISNUMBER(SEARCH("positiva",_xlpm.t)),"Positiva",ISNUMBER(SEARCH("negativa",_xlpm.t)),"Negativa",ISNUMBER(SEARCH("estável",_xlpm.t)),"Estável",TRUE,"n/d")))</f>
        <v>Positiva</v>
      </c>
      <c r="H202" t="str">
        <f>IFERROR(_xlfn.XLOOKUP($A202,Planilha2!$P$2:$P$38,Planilha2!R$2:R$38,"",-1),"")</f>
        <v>B+</v>
      </c>
      <c r="I202" t="str">
        <f>IFERROR(_xlfn.XLOOKUP($A202,Planilha2!$P$2:$P$38,Planilha2!S$2:S$38,"",-1),"")</f>
        <v>BB</v>
      </c>
      <c r="J202" t="str" cm="1">
        <f t="array" ref="J202">IF($A202&lt;MIN(Planilha2!$P$2:$P$38),"",_xlfn.LET(_xlpm.t,_xlfn.XLOOKUP($A202,Planilha2!$P$2:$P$38,Planilha2!$T$2:$T$38,"",-1),_xlfn.IFS(ISNUMBER(SEARCH("positiva",_xlpm.t)),"Positiva",ISNUMBER(SEARCH("negativa",_xlpm.t)),"Negativa",ISNUMBER(SEARCH("estável",_xlpm.t)),"Estável",TRUE,"n/d")))</f>
        <v>Estável</v>
      </c>
      <c r="L202" s="52">
        <f>IFERROR(_xlfn.XLOOKUP(B202,'Agências de Rating Soberano'!$G$2:$G$22,'Agências de Rating Soberano'!$H$2:$H$22),NA())</f>
        <v>7</v>
      </c>
      <c r="M202" s="52">
        <f>IFERROR(_xlfn.XLOOKUP(C202,'Agências de Rating Soberano'!$G$2:$G$22,'Agências de Rating Soberano'!$H$2:$H$22),NA())</f>
        <v>7</v>
      </c>
      <c r="N202" s="52">
        <f>IFERROR(_xlfn.XLOOKUP(E202,'Agências de Rating Soberano'!$J$2:$J$22,'Agências de Rating Soberano'!$K$2:$K$22),NA())</f>
        <v>7</v>
      </c>
      <c r="O202" s="52">
        <f>IFERROR(_xlfn.XLOOKUP(F202,'Agências de Rating Soberano'!$J$2:$J$22,'Agências de Rating Soberano'!$K$2:$K$22),NA())</f>
        <v>7</v>
      </c>
      <c r="P202" s="52">
        <f>IFERROR(_xlfn.XLOOKUP(H202,'Agências de Rating Soberano'!$J$2:$J$22,'Agências de Rating Soberano'!$K$2:$K$22),NA())</f>
        <v>8</v>
      </c>
      <c r="Q202" s="52">
        <f>IFERROR(_xlfn.XLOOKUP(I202,'Agências de Rating Soberano'!$J$2:$J$22,'Agências de Rating Soberano'!$K$2:$K$22),NA())</f>
        <v>10</v>
      </c>
    </row>
    <row r="203" spans="1:17" x14ac:dyDescent="0.3">
      <c r="A203" s="53">
        <f t="shared" si="10"/>
        <v>37864</v>
      </c>
      <c r="B203" t="str">
        <f>IFERROR(_xlfn.XLOOKUP($A203,Planilha2!$A$2:$A$34,Planilha2!C$2:C$34,"",-1),"")</f>
        <v>B2</v>
      </c>
      <c r="C203" t="str">
        <f>IFERROR(_xlfn.XLOOKUP($A203,Planilha2!$A$2:$A$34,Planilha2!D$2:D$34,"",-1),"")</f>
        <v>B2</v>
      </c>
      <c r="D203" t="str" cm="1">
        <f t="array" ref="D203">IF($A203&lt;MIN(Planilha2!$A$2:$A$34),"",_xlfn.LET(_xlpm.t,_xlfn.XLOOKUP($A203,Planilha2!$A$2:$A$34,Planilha2!$E$2:$E$34,"",-1),_xlfn.IFS(ISNUMBER(SEARCH("positiva",_xlpm.t)),"Positiva",ISNUMBER(SEARCH("negativa",_xlpm.t)),"Negativa",ISNUMBER(SEARCH("estável",_xlpm.t)),"Estável",TRUE,"n/d")))</f>
        <v>Estável</v>
      </c>
      <c r="E203" t="str">
        <f>IFERROR(_xlfn.XLOOKUP($A203,Planilha2!$J$2:$J$44,Planilha2!L$2:L$44,"",-1),"")</f>
        <v>B</v>
      </c>
      <c r="F203" t="str">
        <f>IFERROR(_xlfn.XLOOKUP($A203,Planilha2!$J$2:$J$44,Planilha2!M$2:M$44,"",-1),"")</f>
        <v>B</v>
      </c>
      <c r="G203" t="str" cm="1">
        <f t="array" ref="G203">IF($A203&lt;MIN(Planilha2!$J$2:$J$44),"",_xlfn.LET(_xlpm.t,_xlfn.XLOOKUP($A203,Planilha2!$J$2:$J$44,Planilha2!$N$2:$N$44,"",-1),_xlfn.IFS(ISNUMBER(SEARCH("positiva",_xlpm.t)),"Positiva",ISNUMBER(SEARCH("negativa",_xlpm.t)),"Negativa",ISNUMBER(SEARCH("estável",_xlpm.t)),"Estável",TRUE,"n/d")))</f>
        <v>Positiva</v>
      </c>
      <c r="H203" t="str">
        <f>IFERROR(_xlfn.XLOOKUP($A203,Planilha2!$P$2:$P$38,Planilha2!R$2:R$38,"",-1),"")</f>
        <v>B+</v>
      </c>
      <c r="I203" t="str">
        <f>IFERROR(_xlfn.XLOOKUP($A203,Planilha2!$P$2:$P$38,Planilha2!S$2:S$38,"",-1),"")</f>
        <v>BB</v>
      </c>
      <c r="J203" t="str" cm="1">
        <f t="array" ref="J203">IF($A203&lt;MIN(Planilha2!$P$2:$P$38),"",_xlfn.LET(_xlpm.t,_xlfn.XLOOKUP($A203,Planilha2!$P$2:$P$38,Planilha2!$T$2:$T$38,"",-1),_xlfn.IFS(ISNUMBER(SEARCH("positiva",_xlpm.t)),"Positiva",ISNUMBER(SEARCH("negativa",_xlpm.t)),"Negativa",ISNUMBER(SEARCH("estável",_xlpm.t)),"Estável",TRUE,"n/d")))</f>
        <v>Estável</v>
      </c>
      <c r="L203" s="52">
        <f>IFERROR(_xlfn.XLOOKUP(B203,'Agências de Rating Soberano'!$G$2:$G$22,'Agências de Rating Soberano'!$H$2:$H$22),NA())</f>
        <v>7</v>
      </c>
      <c r="M203" s="52">
        <f>IFERROR(_xlfn.XLOOKUP(C203,'Agências de Rating Soberano'!$G$2:$G$22,'Agências de Rating Soberano'!$H$2:$H$22),NA())</f>
        <v>7</v>
      </c>
      <c r="N203" s="52">
        <f>IFERROR(_xlfn.XLOOKUP(E203,'Agências de Rating Soberano'!$J$2:$J$22,'Agências de Rating Soberano'!$K$2:$K$22),NA())</f>
        <v>7</v>
      </c>
      <c r="O203" s="52">
        <f>IFERROR(_xlfn.XLOOKUP(F203,'Agências de Rating Soberano'!$J$2:$J$22,'Agências de Rating Soberano'!$K$2:$K$22),NA())</f>
        <v>7</v>
      </c>
      <c r="P203" s="52">
        <f>IFERROR(_xlfn.XLOOKUP(H203,'Agências de Rating Soberano'!$J$2:$J$22,'Agências de Rating Soberano'!$K$2:$K$22),NA())</f>
        <v>8</v>
      </c>
      <c r="Q203" s="52">
        <f>IFERROR(_xlfn.XLOOKUP(I203,'Agências de Rating Soberano'!$J$2:$J$22,'Agências de Rating Soberano'!$K$2:$K$22),NA())</f>
        <v>10</v>
      </c>
    </row>
    <row r="204" spans="1:17" x14ac:dyDescent="0.3">
      <c r="A204" s="53">
        <f t="shared" si="10"/>
        <v>37894</v>
      </c>
      <c r="B204" t="str">
        <f>IFERROR(_xlfn.XLOOKUP($A204,Planilha2!$A$2:$A$34,Planilha2!C$2:C$34,"",-1),"")</f>
        <v>B2</v>
      </c>
      <c r="C204" t="str">
        <f>IFERROR(_xlfn.XLOOKUP($A204,Planilha2!$A$2:$A$34,Planilha2!D$2:D$34,"",-1),"")</f>
        <v>B2</v>
      </c>
      <c r="D204" t="str" cm="1">
        <f t="array" ref="D204">IF($A204&lt;MIN(Planilha2!$A$2:$A$34),"",_xlfn.LET(_xlpm.t,_xlfn.XLOOKUP($A204,Planilha2!$A$2:$A$34,Planilha2!$E$2:$E$34,"",-1),_xlfn.IFS(ISNUMBER(SEARCH("positiva",_xlpm.t)),"Positiva",ISNUMBER(SEARCH("negativa",_xlpm.t)),"Negativa",ISNUMBER(SEARCH("estável",_xlpm.t)),"Estável",TRUE,"n/d")))</f>
        <v>Estável</v>
      </c>
      <c r="E204" t="str">
        <f>IFERROR(_xlfn.XLOOKUP($A204,Planilha2!$J$2:$J$44,Planilha2!L$2:L$44,"",-1),"")</f>
        <v>B</v>
      </c>
      <c r="F204" t="str">
        <f>IFERROR(_xlfn.XLOOKUP($A204,Planilha2!$J$2:$J$44,Planilha2!M$2:M$44,"",-1),"")</f>
        <v>B</v>
      </c>
      <c r="G204" t="str" cm="1">
        <f t="array" ref="G204">IF($A204&lt;MIN(Planilha2!$J$2:$J$44),"",_xlfn.LET(_xlpm.t,_xlfn.XLOOKUP($A204,Planilha2!$J$2:$J$44,Planilha2!$N$2:$N$44,"",-1),_xlfn.IFS(ISNUMBER(SEARCH("positiva",_xlpm.t)),"Positiva",ISNUMBER(SEARCH("negativa",_xlpm.t)),"Negativa",ISNUMBER(SEARCH("estável",_xlpm.t)),"Estável",TRUE,"n/d")))</f>
        <v>Positiva</v>
      </c>
      <c r="H204" t="str">
        <f>IFERROR(_xlfn.XLOOKUP($A204,Planilha2!$P$2:$P$38,Planilha2!R$2:R$38,"",-1),"")</f>
        <v>B+</v>
      </c>
      <c r="I204" t="str">
        <f>IFERROR(_xlfn.XLOOKUP($A204,Planilha2!$P$2:$P$38,Planilha2!S$2:S$38,"",-1),"")</f>
        <v>BB</v>
      </c>
      <c r="J204" t="str" cm="1">
        <f t="array" ref="J204">IF($A204&lt;MIN(Planilha2!$P$2:$P$38),"",_xlfn.LET(_xlpm.t,_xlfn.XLOOKUP($A204,Planilha2!$P$2:$P$38,Planilha2!$T$2:$T$38,"",-1),_xlfn.IFS(ISNUMBER(SEARCH("positiva",_xlpm.t)),"Positiva",ISNUMBER(SEARCH("negativa",_xlpm.t)),"Negativa",ISNUMBER(SEARCH("estável",_xlpm.t)),"Estável",TRUE,"n/d")))</f>
        <v>Estável</v>
      </c>
      <c r="L204" s="52">
        <f>IFERROR(_xlfn.XLOOKUP(B204,'Agências de Rating Soberano'!$G$2:$G$22,'Agências de Rating Soberano'!$H$2:$H$22),NA())</f>
        <v>7</v>
      </c>
      <c r="M204" s="52">
        <f>IFERROR(_xlfn.XLOOKUP(C204,'Agências de Rating Soberano'!$G$2:$G$22,'Agências de Rating Soberano'!$H$2:$H$22),NA())</f>
        <v>7</v>
      </c>
      <c r="N204" s="52">
        <f>IFERROR(_xlfn.XLOOKUP(E204,'Agências de Rating Soberano'!$J$2:$J$22,'Agências de Rating Soberano'!$K$2:$K$22),NA())</f>
        <v>7</v>
      </c>
      <c r="O204" s="52">
        <f>IFERROR(_xlfn.XLOOKUP(F204,'Agências de Rating Soberano'!$J$2:$J$22,'Agências de Rating Soberano'!$K$2:$K$22),NA())</f>
        <v>7</v>
      </c>
      <c r="P204" s="52">
        <f>IFERROR(_xlfn.XLOOKUP(H204,'Agências de Rating Soberano'!$J$2:$J$22,'Agências de Rating Soberano'!$K$2:$K$22),NA())</f>
        <v>8</v>
      </c>
      <c r="Q204" s="52">
        <f>IFERROR(_xlfn.XLOOKUP(I204,'Agências de Rating Soberano'!$J$2:$J$22,'Agências de Rating Soberano'!$K$2:$K$22),NA())</f>
        <v>10</v>
      </c>
    </row>
    <row r="205" spans="1:17" x14ac:dyDescent="0.3">
      <c r="A205" s="53">
        <f t="shared" si="10"/>
        <v>37925</v>
      </c>
      <c r="B205" t="str">
        <f>IFERROR(_xlfn.XLOOKUP($A205,Planilha2!$A$2:$A$34,Planilha2!C$2:C$34,"",-1),"")</f>
        <v>B2</v>
      </c>
      <c r="C205" t="str">
        <f>IFERROR(_xlfn.XLOOKUP($A205,Planilha2!$A$2:$A$34,Planilha2!D$2:D$34,"",-1),"")</f>
        <v>B2</v>
      </c>
      <c r="D205" t="str" cm="1">
        <f t="array" ref="D205">IF($A205&lt;MIN(Planilha2!$A$2:$A$34),"",_xlfn.LET(_xlpm.t,_xlfn.XLOOKUP($A205,Planilha2!$A$2:$A$34,Planilha2!$E$2:$E$34,"",-1),_xlfn.IFS(ISNUMBER(SEARCH("positiva",_xlpm.t)),"Positiva",ISNUMBER(SEARCH("negativa",_xlpm.t)),"Negativa",ISNUMBER(SEARCH("estável",_xlpm.t)),"Estável",TRUE,"n/d")))</f>
        <v>Estável</v>
      </c>
      <c r="E205" t="str">
        <f>IFERROR(_xlfn.XLOOKUP($A205,Planilha2!$J$2:$J$44,Planilha2!L$2:L$44,"",-1),"")</f>
        <v>B</v>
      </c>
      <c r="F205" t="str">
        <f>IFERROR(_xlfn.XLOOKUP($A205,Planilha2!$J$2:$J$44,Planilha2!M$2:M$44,"",-1),"")</f>
        <v>B</v>
      </c>
      <c r="G205" t="str" cm="1">
        <f t="array" ref="G205">IF($A205&lt;MIN(Planilha2!$J$2:$J$44),"",_xlfn.LET(_xlpm.t,_xlfn.XLOOKUP($A205,Planilha2!$J$2:$J$44,Planilha2!$N$2:$N$44,"",-1),_xlfn.IFS(ISNUMBER(SEARCH("positiva",_xlpm.t)),"Positiva",ISNUMBER(SEARCH("negativa",_xlpm.t)),"Negativa",ISNUMBER(SEARCH("estável",_xlpm.t)),"Estável",TRUE,"n/d")))</f>
        <v>Positiva</v>
      </c>
      <c r="H205" t="str">
        <f>IFERROR(_xlfn.XLOOKUP($A205,Planilha2!$P$2:$P$38,Planilha2!R$2:R$38,"",-1),"")</f>
        <v>B+</v>
      </c>
      <c r="I205" t="str">
        <f>IFERROR(_xlfn.XLOOKUP($A205,Planilha2!$P$2:$P$38,Planilha2!S$2:S$38,"",-1),"")</f>
        <v>BB</v>
      </c>
      <c r="J205" t="str" cm="1">
        <f t="array" ref="J205">IF($A205&lt;MIN(Planilha2!$P$2:$P$38),"",_xlfn.LET(_xlpm.t,_xlfn.XLOOKUP($A205,Planilha2!$P$2:$P$38,Planilha2!$T$2:$T$38,"",-1),_xlfn.IFS(ISNUMBER(SEARCH("positiva",_xlpm.t)),"Positiva",ISNUMBER(SEARCH("negativa",_xlpm.t)),"Negativa",ISNUMBER(SEARCH("estável",_xlpm.t)),"Estável",TRUE,"n/d")))</f>
        <v>Estável</v>
      </c>
      <c r="L205" s="52">
        <f>IFERROR(_xlfn.XLOOKUP(B205,'Agências de Rating Soberano'!$G$2:$G$22,'Agências de Rating Soberano'!$H$2:$H$22),NA())</f>
        <v>7</v>
      </c>
      <c r="M205" s="52">
        <f>IFERROR(_xlfn.XLOOKUP(C205,'Agências de Rating Soberano'!$G$2:$G$22,'Agências de Rating Soberano'!$H$2:$H$22),NA())</f>
        <v>7</v>
      </c>
      <c r="N205" s="52">
        <f>IFERROR(_xlfn.XLOOKUP(E205,'Agências de Rating Soberano'!$J$2:$J$22,'Agências de Rating Soberano'!$K$2:$K$22),NA())</f>
        <v>7</v>
      </c>
      <c r="O205" s="52">
        <f>IFERROR(_xlfn.XLOOKUP(F205,'Agências de Rating Soberano'!$J$2:$J$22,'Agências de Rating Soberano'!$K$2:$K$22),NA())</f>
        <v>7</v>
      </c>
      <c r="P205" s="52">
        <f>IFERROR(_xlfn.XLOOKUP(H205,'Agências de Rating Soberano'!$J$2:$J$22,'Agências de Rating Soberano'!$K$2:$K$22),NA())</f>
        <v>8</v>
      </c>
      <c r="Q205" s="52">
        <f>IFERROR(_xlfn.XLOOKUP(I205,'Agências de Rating Soberano'!$J$2:$J$22,'Agências de Rating Soberano'!$K$2:$K$22),NA())</f>
        <v>10</v>
      </c>
    </row>
    <row r="206" spans="1:17" x14ac:dyDescent="0.3">
      <c r="A206" s="53">
        <f t="shared" si="10"/>
        <v>37955</v>
      </c>
      <c r="B206" t="str">
        <f>IFERROR(_xlfn.XLOOKUP($A206,Planilha2!$A$2:$A$34,Planilha2!C$2:C$34,"",-1),"")</f>
        <v>B2</v>
      </c>
      <c r="C206" t="str">
        <f>IFERROR(_xlfn.XLOOKUP($A206,Planilha2!$A$2:$A$34,Planilha2!D$2:D$34,"",-1),"")</f>
        <v>B2</v>
      </c>
      <c r="D206" t="str" cm="1">
        <f t="array" ref="D206">IF($A206&lt;MIN(Planilha2!$A$2:$A$34),"",_xlfn.LET(_xlpm.t,_xlfn.XLOOKUP($A206,Planilha2!$A$2:$A$34,Planilha2!$E$2:$E$34,"",-1),_xlfn.IFS(ISNUMBER(SEARCH("positiva",_xlpm.t)),"Positiva",ISNUMBER(SEARCH("negativa",_xlpm.t)),"Negativa",ISNUMBER(SEARCH("estável",_xlpm.t)),"Estável",TRUE,"n/d")))</f>
        <v>Estável</v>
      </c>
      <c r="E206" t="str">
        <f>IFERROR(_xlfn.XLOOKUP($A206,Planilha2!$J$2:$J$44,Planilha2!L$2:L$44,"",-1),"")</f>
        <v>B+</v>
      </c>
      <c r="F206" t="str">
        <f>IFERROR(_xlfn.XLOOKUP($A206,Planilha2!$J$2:$J$44,Planilha2!M$2:M$44,"",-1),"")</f>
        <v>B+</v>
      </c>
      <c r="G206" t="str" cm="1">
        <f t="array" ref="G206">IF($A206&lt;MIN(Planilha2!$J$2:$J$44),"",_xlfn.LET(_xlpm.t,_xlfn.XLOOKUP($A206,Planilha2!$J$2:$J$44,Planilha2!$N$2:$N$44,"",-1),_xlfn.IFS(ISNUMBER(SEARCH("positiva",_xlpm.t)),"Positiva",ISNUMBER(SEARCH("negativa",_xlpm.t)),"Negativa",ISNUMBER(SEARCH("estável",_xlpm.t)),"Estável",TRUE,"n/d")))</f>
        <v>Estável</v>
      </c>
      <c r="H206" t="str">
        <f>IFERROR(_xlfn.XLOOKUP($A206,Planilha2!$P$2:$P$38,Planilha2!R$2:R$38,"",-1),"")</f>
        <v>B+</v>
      </c>
      <c r="I206" t="str">
        <f>IFERROR(_xlfn.XLOOKUP($A206,Planilha2!$P$2:$P$38,Planilha2!S$2:S$38,"",-1),"")</f>
        <v>BB</v>
      </c>
      <c r="J206" t="str" cm="1">
        <f t="array" ref="J206">IF($A206&lt;MIN(Planilha2!$P$2:$P$38),"",_xlfn.LET(_xlpm.t,_xlfn.XLOOKUP($A206,Planilha2!$P$2:$P$38,Planilha2!$T$2:$T$38,"",-1),_xlfn.IFS(ISNUMBER(SEARCH("positiva",_xlpm.t)),"Positiva",ISNUMBER(SEARCH("negativa",_xlpm.t)),"Negativa",ISNUMBER(SEARCH("estável",_xlpm.t)),"Estável",TRUE,"n/d")))</f>
        <v>Estável</v>
      </c>
      <c r="L206" s="52">
        <f>IFERROR(_xlfn.XLOOKUP(B206,'Agências de Rating Soberano'!$G$2:$G$22,'Agências de Rating Soberano'!$H$2:$H$22),NA())</f>
        <v>7</v>
      </c>
      <c r="M206" s="52">
        <f>IFERROR(_xlfn.XLOOKUP(C206,'Agências de Rating Soberano'!$G$2:$G$22,'Agências de Rating Soberano'!$H$2:$H$22),NA())</f>
        <v>7</v>
      </c>
      <c r="N206" s="52">
        <f>IFERROR(_xlfn.XLOOKUP(E206,'Agências de Rating Soberano'!$J$2:$J$22,'Agências de Rating Soberano'!$K$2:$K$22),NA())</f>
        <v>8</v>
      </c>
      <c r="O206" s="52">
        <f>IFERROR(_xlfn.XLOOKUP(F206,'Agências de Rating Soberano'!$J$2:$J$22,'Agências de Rating Soberano'!$K$2:$K$22),NA())</f>
        <v>8</v>
      </c>
      <c r="P206" s="52">
        <f>IFERROR(_xlfn.XLOOKUP(H206,'Agências de Rating Soberano'!$J$2:$J$22,'Agências de Rating Soberano'!$K$2:$K$22),NA())</f>
        <v>8</v>
      </c>
      <c r="Q206" s="52">
        <f>IFERROR(_xlfn.XLOOKUP(I206,'Agências de Rating Soberano'!$J$2:$J$22,'Agências de Rating Soberano'!$K$2:$K$22),NA())</f>
        <v>10</v>
      </c>
    </row>
    <row r="207" spans="1:17" x14ac:dyDescent="0.3">
      <c r="A207" s="53">
        <f t="shared" si="10"/>
        <v>37986</v>
      </c>
      <c r="B207" t="str">
        <f>IFERROR(_xlfn.XLOOKUP($A207,Planilha2!$A$2:$A$34,Planilha2!C$2:C$34,"",-1),"")</f>
        <v>B2</v>
      </c>
      <c r="C207" t="str">
        <f>IFERROR(_xlfn.XLOOKUP($A207,Planilha2!$A$2:$A$34,Planilha2!D$2:D$34,"",-1),"")</f>
        <v>B2</v>
      </c>
      <c r="D207" t="str" cm="1">
        <f t="array" ref="D207">IF($A207&lt;MIN(Planilha2!$A$2:$A$34),"",_xlfn.LET(_xlpm.t,_xlfn.XLOOKUP($A207,Planilha2!$A$2:$A$34,Planilha2!$E$2:$E$34,"",-1),_xlfn.IFS(ISNUMBER(SEARCH("positiva",_xlpm.t)),"Positiva",ISNUMBER(SEARCH("negativa",_xlpm.t)),"Negativa",ISNUMBER(SEARCH("estável",_xlpm.t)),"Estável",TRUE,"n/d")))</f>
        <v>Estável</v>
      </c>
      <c r="E207" t="str">
        <f>IFERROR(_xlfn.XLOOKUP($A207,Planilha2!$J$2:$J$44,Planilha2!L$2:L$44,"",-1),"")</f>
        <v>B+</v>
      </c>
      <c r="F207" t="str">
        <f>IFERROR(_xlfn.XLOOKUP($A207,Planilha2!$J$2:$J$44,Planilha2!M$2:M$44,"",-1),"")</f>
        <v>B+</v>
      </c>
      <c r="G207" t="str" cm="1">
        <f t="array" ref="G207">IF($A207&lt;MIN(Planilha2!$J$2:$J$44),"",_xlfn.LET(_xlpm.t,_xlfn.XLOOKUP($A207,Planilha2!$J$2:$J$44,Planilha2!$N$2:$N$44,"",-1),_xlfn.IFS(ISNUMBER(SEARCH("positiva",_xlpm.t)),"Positiva",ISNUMBER(SEARCH("negativa",_xlpm.t)),"Negativa",ISNUMBER(SEARCH("estável",_xlpm.t)),"Estável",TRUE,"n/d")))</f>
        <v>Estável</v>
      </c>
      <c r="H207" t="str">
        <f>IFERROR(_xlfn.XLOOKUP($A207,Planilha2!$P$2:$P$38,Planilha2!R$2:R$38,"",-1),"")</f>
        <v>B+</v>
      </c>
      <c r="I207" t="str">
        <f>IFERROR(_xlfn.XLOOKUP($A207,Planilha2!$P$2:$P$38,Planilha2!S$2:S$38,"",-1),"")</f>
        <v>BB</v>
      </c>
      <c r="J207" t="str" cm="1">
        <f t="array" ref="J207">IF($A207&lt;MIN(Planilha2!$P$2:$P$38),"",_xlfn.LET(_xlpm.t,_xlfn.XLOOKUP($A207,Planilha2!$P$2:$P$38,Planilha2!$T$2:$T$38,"",-1),_xlfn.IFS(ISNUMBER(SEARCH("positiva",_xlpm.t)),"Positiva",ISNUMBER(SEARCH("negativa",_xlpm.t)),"Negativa",ISNUMBER(SEARCH("estável",_xlpm.t)),"Estável",TRUE,"n/d")))</f>
        <v>Estável</v>
      </c>
      <c r="L207" s="52">
        <f>IFERROR(_xlfn.XLOOKUP(B207,'Agências de Rating Soberano'!$G$2:$G$22,'Agências de Rating Soberano'!$H$2:$H$22),NA())</f>
        <v>7</v>
      </c>
      <c r="M207" s="52">
        <f>IFERROR(_xlfn.XLOOKUP(C207,'Agências de Rating Soberano'!$G$2:$G$22,'Agências de Rating Soberano'!$H$2:$H$22),NA())</f>
        <v>7</v>
      </c>
      <c r="N207" s="52">
        <f>IFERROR(_xlfn.XLOOKUP(E207,'Agências de Rating Soberano'!$J$2:$J$22,'Agências de Rating Soberano'!$K$2:$K$22),NA())</f>
        <v>8</v>
      </c>
      <c r="O207" s="52">
        <f>IFERROR(_xlfn.XLOOKUP(F207,'Agências de Rating Soberano'!$J$2:$J$22,'Agências de Rating Soberano'!$K$2:$K$22),NA())</f>
        <v>8</v>
      </c>
      <c r="P207" s="52">
        <f>IFERROR(_xlfn.XLOOKUP(H207,'Agências de Rating Soberano'!$J$2:$J$22,'Agências de Rating Soberano'!$K$2:$K$22),NA())</f>
        <v>8</v>
      </c>
      <c r="Q207" s="52">
        <f>IFERROR(_xlfn.XLOOKUP(I207,'Agências de Rating Soberano'!$J$2:$J$22,'Agências de Rating Soberano'!$K$2:$K$22),NA())</f>
        <v>10</v>
      </c>
    </row>
    <row r="208" spans="1:17" x14ac:dyDescent="0.3">
      <c r="A208" s="53">
        <f t="shared" si="10"/>
        <v>38017</v>
      </c>
      <c r="B208" t="str">
        <f>IFERROR(_xlfn.XLOOKUP($A208,Planilha2!$A$2:$A$34,Planilha2!C$2:C$34,"",-1),"")</f>
        <v>B2</v>
      </c>
      <c r="C208" t="str">
        <f>IFERROR(_xlfn.XLOOKUP($A208,Planilha2!$A$2:$A$34,Planilha2!D$2:D$34,"",-1),"")</f>
        <v>B2</v>
      </c>
      <c r="D208" t="str" cm="1">
        <f t="array" ref="D208">IF($A208&lt;MIN(Planilha2!$A$2:$A$34),"",_xlfn.LET(_xlpm.t,_xlfn.XLOOKUP($A208,Planilha2!$A$2:$A$34,Planilha2!$E$2:$E$34,"",-1),_xlfn.IFS(ISNUMBER(SEARCH("positiva",_xlpm.t)),"Positiva",ISNUMBER(SEARCH("negativa",_xlpm.t)),"Negativa",ISNUMBER(SEARCH("estável",_xlpm.t)),"Estável",TRUE,"n/d")))</f>
        <v>Estável</v>
      </c>
      <c r="E208" t="str">
        <f>IFERROR(_xlfn.XLOOKUP($A208,Planilha2!$J$2:$J$44,Planilha2!L$2:L$44,"",-1),"")</f>
        <v>B+</v>
      </c>
      <c r="F208" t="str">
        <f>IFERROR(_xlfn.XLOOKUP($A208,Planilha2!$J$2:$J$44,Planilha2!M$2:M$44,"",-1),"")</f>
        <v>B+</v>
      </c>
      <c r="G208" t="str" cm="1">
        <f t="array" ref="G208">IF($A208&lt;MIN(Planilha2!$J$2:$J$44),"",_xlfn.LET(_xlpm.t,_xlfn.XLOOKUP($A208,Planilha2!$J$2:$J$44,Planilha2!$N$2:$N$44,"",-1),_xlfn.IFS(ISNUMBER(SEARCH("positiva",_xlpm.t)),"Positiva",ISNUMBER(SEARCH("negativa",_xlpm.t)),"Negativa",ISNUMBER(SEARCH("estável",_xlpm.t)),"Estável",TRUE,"n/d")))</f>
        <v>Estável</v>
      </c>
      <c r="H208" t="str">
        <f>IFERROR(_xlfn.XLOOKUP($A208,Planilha2!$P$2:$P$38,Planilha2!R$2:R$38,"",-1),"")</f>
        <v>B+</v>
      </c>
      <c r="I208" t="str">
        <f>IFERROR(_xlfn.XLOOKUP($A208,Planilha2!$P$2:$P$38,Planilha2!S$2:S$38,"",-1),"")</f>
        <v>BB</v>
      </c>
      <c r="J208" t="str" cm="1">
        <f t="array" ref="J208">IF($A208&lt;MIN(Planilha2!$P$2:$P$38),"",_xlfn.LET(_xlpm.t,_xlfn.XLOOKUP($A208,Planilha2!$P$2:$P$38,Planilha2!$T$2:$T$38,"",-1),_xlfn.IFS(ISNUMBER(SEARCH("positiva",_xlpm.t)),"Positiva",ISNUMBER(SEARCH("negativa",_xlpm.t)),"Negativa",ISNUMBER(SEARCH("estável",_xlpm.t)),"Estável",TRUE,"n/d")))</f>
        <v>Estável</v>
      </c>
      <c r="L208" s="52">
        <f>IFERROR(_xlfn.XLOOKUP(B208,'Agências de Rating Soberano'!$G$2:$G$22,'Agências de Rating Soberano'!$H$2:$H$22),NA())</f>
        <v>7</v>
      </c>
      <c r="M208" s="52">
        <f>IFERROR(_xlfn.XLOOKUP(C208,'Agências de Rating Soberano'!$G$2:$G$22,'Agências de Rating Soberano'!$H$2:$H$22),NA())</f>
        <v>7</v>
      </c>
      <c r="N208" s="52">
        <f>IFERROR(_xlfn.XLOOKUP(E208,'Agências de Rating Soberano'!$J$2:$J$22,'Agências de Rating Soberano'!$K$2:$K$22),NA())</f>
        <v>8</v>
      </c>
      <c r="O208" s="52">
        <f>IFERROR(_xlfn.XLOOKUP(F208,'Agências de Rating Soberano'!$J$2:$J$22,'Agências de Rating Soberano'!$K$2:$K$22),NA())</f>
        <v>8</v>
      </c>
      <c r="P208" s="52">
        <f>IFERROR(_xlfn.XLOOKUP(H208,'Agências de Rating Soberano'!$J$2:$J$22,'Agências de Rating Soberano'!$K$2:$K$22),NA())</f>
        <v>8</v>
      </c>
      <c r="Q208" s="52">
        <f>IFERROR(_xlfn.XLOOKUP(I208,'Agências de Rating Soberano'!$J$2:$J$22,'Agências de Rating Soberano'!$K$2:$K$22),NA())</f>
        <v>10</v>
      </c>
    </row>
    <row r="209" spans="1:17" x14ac:dyDescent="0.3">
      <c r="A209" s="53">
        <f t="shared" si="10"/>
        <v>38046</v>
      </c>
      <c r="B209" t="str">
        <f>IFERROR(_xlfn.XLOOKUP($A209,Planilha2!$A$2:$A$34,Planilha2!C$2:C$34,"",-1),"")</f>
        <v>B2</v>
      </c>
      <c r="C209" t="str">
        <f>IFERROR(_xlfn.XLOOKUP($A209,Planilha2!$A$2:$A$34,Planilha2!D$2:D$34,"",-1),"")</f>
        <v>B2</v>
      </c>
      <c r="D209" t="str" cm="1">
        <f t="array" ref="D209">IF($A209&lt;MIN(Planilha2!$A$2:$A$34),"",_xlfn.LET(_xlpm.t,_xlfn.XLOOKUP($A209,Planilha2!$A$2:$A$34,Planilha2!$E$2:$E$34,"",-1),_xlfn.IFS(ISNUMBER(SEARCH("positiva",_xlpm.t)),"Positiva",ISNUMBER(SEARCH("negativa",_xlpm.t)),"Negativa",ISNUMBER(SEARCH("estável",_xlpm.t)),"Estável",TRUE,"n/d")))</f>
        <v>Estável</v>
      </c>
      <c r="E209" t="str">
        <f>IFERROR(_xlfn.XLOOKUP($A209,Planilha2!$J$2:$J$44,Planilha2!L$2:L$44,"",-1),"")</f>
        <v>B+</v>
      </c>
      <c r="F209" t="str">
        <f>IFERROR(_xlfn.XLOOKUP($A209,Planilha2!$J$2:$J$44,Planilha2!M$2:M$44,"",-1),"")</f>
        <v>B+</v>
      </c>
      <c r="G209" t="str" cm="1">
        <f t="array" ref="G209">IF($A209&lt;MIN(Planilha2!$J$2:$J$44),"",_xlfn.LET(_xlpm.t,_xlfn.XLOOKUP($A209,Planilha2!$J$2:$J$44,Planilha2!$N$2:$N$44,"",-1),_xlfn.IFS(ISNUMBER(SEARCH("positiva",_xlpm.t)),"Positiva",ISNUMBER(SEARCH("negativa",_xlpm.t)),"Negativa",ISNUMBER(SEARCH("estável",_xlpm.t)),"Estável",TRUE,"n/d")))</f>
        <v>Estável</v>
      </c>
      <c r="H209" t="str">
        <f>IFERROR(_xlfn.XLOOKUP($A209,Planilha2!$P$2:$P$38,Planilha2!R$2:R$38,"",-1),"")</f>
        <v>B+</v>
      </c>
      <c r="I209" t="str">
        <f>IFERROR(_xlfn.XLOOKUP($A209,Planilha2!$P$2:$P$38,Planilha2!S$2:S$38,"",-1),"")</f>
        <v>BB</v>
      </c>
      <c r="J209" t="str" cm="1">
        <f t="array" ref="J209">IF($A209&lt;MIN(Planilha2!$P$2:$P$38),"",_xlfn.LET(_xlpm.t,_xlfn.XLOOKUP($A209,Planilha2!$P$2:$P$38,Planilha2!$T$2:$T$38,"",-1),_xlfn.IFS(ISNUMBER(SEARCH("positiva",_xlpm.t)),"Positiva",ISNUMBER(SEARCH("negativa",_xlpm.t)),"Negativa",ISNUMBER(SEARCH("estável",_xlpm.t)),"Estável",TRUE,"n/d")))</f>
        <v>Estável</v>
      </c>
      <c r="L209" s="52">
        <f>IFERROR(_xlfn.XLOOKUP(B209,'Agências de Rating Soberano'!$G$2:$G$22,'Agências de Rating Soberano'!$H$2:$H$22),NA())</f>
        <v>7</v>
      </c>
      <c r="M209" s="52">
        <f>IFERROR(_xlfn.XLOOKUP(C209,'Agências de Rating Soberano'!$G$2:$G$22,'Agências de Rating Soberano'!$H$2:$H$22),NA())</f>
        <v>7</v>
      </c>
      <c r="N209" s="52">
        <f>IFERROR(_xlfn.XLOOKUP(E209,'Agências de Rating Soberano'!$J$2:$J$22,'Agências de Rating Soberano'!$K$2:$K$22),NA())</f>
        <v>8</v>
      </c>
      <c r="O209" s="52">
        <f>IFERROR(_xlfn.XLOOKUP(F209,'Agências de Rating Soberano'!$J$2:$J$22,'Agências de Rating Soberano'!$K$2:$K$22),NA())</f>
        <v>8</v>
      </c>
      <c r="P209" s="52">
        <f>IFERROR(_xlfn.XLOOKUP(H209,'Agências de Rating Soberano'!$J$2:$J$22,'Agências de Rating Soberano'!$K$2:$K$22),NA())</f>
        <v>8</v>
      </c>
      <c r="Q209" s="52">
        <f>IFERROR(_xlfn.XLOOKUP(I209,'Agências de Rating Soberano'!$J$2:$J$22,'Agências de Rating Soberano'!$K$2:$K$22),NA())</f>
        <v>10</v>
      </c>
    </row>
    <row r="210" spans="1:17" x14ac:dyDescent="0.3">
      <c r="A210" s="53">
        <f t="shared" si="10"/>
        <v>38077</v>
      </c>
      <c r="B210" t="str">
        <f>IFERROR(_xlfn.XLOOKUP($A210,Planilha2!$A$2:$A$34,Planilha2!C$2:C$34,"",-1),"")</f>
        <v>B2</v>
      </c>
      <c r="C210" t="str">
        <f>IFERROR(_xlfn.XLOOKUP($A210,Planilha2!$A$2:$A$34,Planilha2!D$2:D$34,"",-1),"")</f>
        <v>B2</v>
      </c>
      <c r="D210" t="str" cm="1">
        <f t="array" ref="D210">IF($A210&lt;MIN(Planilha2!$A$2:$A$34),"",_xlfn.LET(_xlpm.t,_xlfn.XLOOKUP($A210,Planilha2!$A$2:$A$34,Planilha2!$E$2:$E$34,"",-1),_xlfn.IFS(ISNUMBER(SEARCH("positiva",_xlpm.t)),"Positiva",ISNUMBER(SEARCH("negativa",_xlpm.t)),"Negativa",ISNUMBER(SEARCH("estável",_xlpm.t)),"Estável",TRUE,"n/d")))</f>
        <v>Estável</v>
      </c>
      <c r="E210" t="str">
        <f>IFERROR(_xlfn.XLOOKUP($A210,Planilha2!$J$2:$J$44,Planilha2!L$2:L$44,"",-1),"")</f>
        <v>B+</v>
      </c>
      <c r="F210" t="str">
        <f>IFERROR(_xlfn.XLOOKUP($A210,Planilha2!$J$2:$J$44,Planilha2!M$2:M$44,"",-1),"")</f>
        <v>B+</v>
      </c>
      <c r="G210" t="str" cm="1">
        <f t="array" ref="G210">IF($A210&lt;MIN(Planilha2!$J$2:$J$44),"",_xlfn.LET(_xlpm.t,_xlfn.XLOOKUP($A210,Planilha2!$J$2:$J$44,Planilha2!$N$2:$N$44,"",-1),_xlfn.IFS(ISNUMBER(SEARCH("positiva",_xlpm.t)),"Positiva",ISNUMBER(SEARCH("negativa",_xlpm.t)),"Negativa",ISNUMBER(SEARCH("estável",_xlpm.t)),"Estável",TRUE,"n/d")))</f>
        <v>Estável</v>
      </c>
      <c r="H210" t="str">
        <f>IFERROR(_xlfn.XLOOKUP($A210,Planilha2!$P$2:$P$38,Planilha2!R$2:R$38,"",-1),"")</f>
        <v>B+</v>
      </c>
      <c r="I210" t="str">
        <f>IFERROR(_xlfn.XLOOKUP($A210,Planilha2!$P$2:$P$38,Planilha2!S$2:S$38,"",-1),"")</f>
        <v>BB</v>
      </c>
      <c r="J210" t="str" cm="1">
        <f t="array" ref="J210">IF($A210&lt;MIN(Planilha2!$P$2:$P$38),"",_xlfn.LET(_xlpm.t,_xlfn.XLOOKUP($A210,Planilha2!$P$2:$P$38,Planilha2!$T$2:$T$38,"",-1),_xlfn.IFS(ISNUMBER(SEARCH("positiva",_xlpm.t)),"Positiva",ISNUMBER(SEARCH("negativa",_xlpm.t)),"Negativa",ISNUMBER(SEARCH("estável",_xlpm.t)),"Estável",TRUE,"n/d")))</f>
        <v>Estável</v>
      </c>
      <c r="L210" s="52">
        <f>IFERROR(_xlfn.XLOOKUP(B210,'Agências de Rating Soberano'!$G$2:$G$22,'Agências de Rating Soberano'!$H$2:$H$22),NA())</f>
        <v>7</v>
      </c>
      <c r="M210" s="52">
        <f>IFERROR(_xlfn.XLOOKUP(C210,'Agências de Rating Soberano'!$G$2:$G$22,'Agências de Rating Soberano'!$H$2:$H$22),NA())</f>
        <v>7</v>
      </c>
      <c r="N210" s="52">
        <f>IFERROR(_xlfn.XLOOKUP(E210,'Agências de Rating Soberano'!$J$2:$J$22,'Agências de Rating Soberano'!$K$2:$K$22),NA())</f>
        <v>8</v>
      </c>
      <c r="O210" s="52">
        <f>IFERROR(_xlfn.XLOOKUP(F210,'Agências de Rating Soberano'!$J$2:$J$22,'Agências de Rating Soberano'!$K$2:$K$22),NA())</f>
        <v>8</v>
      </c>
      <c r="P210" s="52">
        <f>IFERROR(_xlfn.XLOOKUP(H210,'Agências de Rating Soberano'!$J$2:$J$22,'Agências de Rating Soberano'!$K$2:$K$22),NA())</f>
        <v>8</v>
      </c>
      <c r="Q210" s="52">
        <f>IFERROR(_xlfn.XLOOKUP(I210,'Agências de Rating Soberano'!$J$2:$J$22,'Agências de Rating Soberano'!$K$2:$K$22),NA())</f>
        <v>10</v>
      </c>
    </row>
    <row r="211" spans="1:17" x14ac:dyDescent="0.3">
      <c r="A211" s="53">
        <f t="shared" si="10"/>
        <v>38107</v>
      </c>
      <c r="B211" t="str">
        <f>IFERROR(_xlfn.XLOOKUP($A211,Planilha2!$A$2:$A$34,Planilha2!C$2:C$34,"",-1),"")</f>
        <v>B2</v>
      </c>
      <c r="C211" t="str">
        <f>IFERROR(_xlfn.XLOOKUP($A211,Planilha2!$A$2:$A$34,Planilha2!D$2:D$34,"",-1),"")</f>
        <v>B2</v>
      </c>
      <c r="D211" t="str" cm="1">
        <f t="array" ref="D211">IF($A211&lt;MIN(Planilha2!$A$2:$A$34),"",_xlfn.LET(_xlpm.t,_xlfn.XLOOKUP($A211,Planilha2!$A$2:$A$34,Planilha2!$E$2:$E$34,"",-1),_xlfn.IFS(ISNUMBER(SEARCH("positiva",_xlpm.t)),"Positiva",ISNUMBER(SEARCH("negativa",_xlpm.t)),"Negativa",ISNUMBER(SEARCH("estável",_xlpm.t)),"Estável",TRUE,"n/d")))</f>
        <v>Estável</v>
      </c>
      <c r="E211" t="str">
        <f>IFERROR(_xlfn.XLOOKUP($A211,Planilha2!$J$2:$J$44,Planilha2!L$2:L$44,"",-1),"")</f>
        <v>B+</v>
      </c>
      <c r="F211" t="str">
        <f>IFERROR(_xlfn.XLOOKUP($A211,Planilha2!$J$2:$J$44,Planilha2!M$2:M$44,"",-1),"")</f>
        <v>B+</v>
      </c>
      <c r="G211" t="str" cm="1">
        <f t="array" ref="G211">IF($A211&lt;MIN(Planilha2!$J$2:$J$44),"",_xlfn.LET(_xlpm.t,_xlfn.XLOOKUP($A211,Planilha2!$J$2:$J$44,Planilha2!$N$2:$N$44,"",-1),_xlfn.IFS(ISNUMBER(SEARCH("positiva",_xlpm.t)),"Positiva",ISNUMBER(SEARCH("negativa",_xlpm.t)),"Negativa",ISNUMBER(SEARCH("estável",_xlpm.t)),"Estável",TRUE,"n/d")))</f>
        <v>Estável</v>
      </c>
      <c r="H211" t="str">
        <f>IFERROR(_xlfn.XLOOKUP($A211,Planilha2!$P$2:$P$38,Planilha2!R$2:R$38,"",-1),"")</f>
        <v>B+</v>
      </c>
      <c r="I211" t="str">
        <f>IFERROR(_xlfn.XLOOKUP($A211,Planilha2!$P$2:$P$38,Planilha2!S$2:S$38,"",-1),"")</f>
        <v>BB</v>
      </c>
      <c r="J211" t="str" cm="1">
        <f t="array" ref="J211">IF($A211&lt;MIN(Planilha2!$P$2:$P$38),"",_xlfn.LET(_xlpm.t,_xlfn.XLOOKUP($A211,Planilha2!$P$2:$P$38,Planilha2!$T$2:$T$38,"",-1),_xlfn.IFS(ISNUMBER(SEARCH("positiva",_xlpm.t)),"Positiva",ISNUMBER(SEARCH("negativa",_xlpm.t)),"Negativa",ISNUMBER(SEARCH("estável",_xlpm.t)),"Estável",TRUE,"n/d")))</f>
        <v>Estável</v>
      </c>
      <c r="L211" s="52">
        <f>IFERROR(_xlfn.XLOOKUP(B211,'Agências de Rating Soberano'!$G$2:$G$22,'Agências de Rating Soberano'!$H$2:$H$22),NA())</f>
        <v>7</v>
      </c>
      <c r="M211" s="52">
        <f>IFERROR(_xlfn.XLOOKUP(C211,'Agências de Rating Soberano'!$G$2:$G$22,'Agências de Rating Soberano'!$H$2:$H$22),NA())</f>
        <v>7</v>
      </c>
      <c r="N211" s="52">
        <f>IFERROR(_xlfn.XLOOKUP(E211,'Agências de Rating Soberano'!$J$2:$J$22,'Agências de Rating Soberano'!$K$2:$K$22),NA())</f>
        <v>8</v>
      </c>
      <c r="O211" s="52">
        <f>IFERROR(_xlfn.XLOOKUP(F211,'Agências de Rating Soberano'!$J$2:$J$22,'Agências de Rating Soberano'!$K$2:$K$22),NA())</f>
        <v>8</v>
      </c>
      <c r="P211" s="52">
        <f>IFERROR(_xlfn.XLOOKUP(H211,'Agências de Rating Soberano'!$J$2:$J$22,'Agências de Rating Soberano'!$K$2:$K$22),NA())</f>
        <v>8</v>
      </c>
      <c r="Q211" s="52">
        <f>IFERROR(_xlfn.XLOOKUP(I211,'Agências de Rating Soberano'!$J$2:$J$22,'Agências de Rating Soberano'!$K$2:$K$22),NA())</f>
        <v>10</v>
      </c>
    </row>
    <row r="212" spans="1:17" x14ac:dyDescent="0.3">
      <c r="A212" s="53">
        <f t="shared" si="10"/>
        <v>38138</v>
      </c>
      <c r="B212" t="str">
        <f>IFERROR(_xlfn.XLOOKUP($A212,Planilha2!$A$2:$A$34,Planilha2!C$2:C$34,"",-1),"")</f>
        <v>B2</v>
      </c>
      <c r="C212" t="str">
        <f>IFERROR(_xlfn.XLOOKUP($A212,Planilha2!$A$2:$A$34,Planilha2!D$2:D$34,"",-1),"")</f>
        <v>B2</v>
      </c>
      <c r="D212" t="str" cm="1">
        <f t="array" ref="D212">IF($A212&lt;MIN(Planilha2!$A$2:$A$34),"",_xlfn.LET(_xlpm.t,_xlfn.XLOOKUP($A212,Planilha2!$A$2:$A$34,Planilha2!$E$2:$E$34,"",-1),_xlfn.IFS(ISNUMBER(SEARCH("positiva",_xlpm.t)),"Positiva",ISNUMBER(SEARCH("negativa",_xlpm.t)),"Negativa",ISNUMBER(SEARCH("estável",_xlpm.t)),"Estável",TRUE,"n/d")))</f>
        <v>Estável</v>
      </c>
      <c r="E212" t="str">
        <f>IFERROR(_xlfn.XLOOKUP($A212,Planilha2!$J$2:$J$44,Planilha2!L$2:L$44,"",-1),"")</f>
        <v>B+</v>
      </c>
      <c r="F212" t="str">
        <f>IFERROR(_xlfn.XLOOKUP($A212,Planilha2!$J$2:$J$44,Planilha2!M$2:M$44,"",-1),"")</f>
        <v>B+</v>
      </c>
      <c r="G212" t="str" cm="1">
        <f t="array" ref="G212">IF($A212&lt;MIN(Planilha2!$J$2:$J$44),"",_xlfn.LET(_xlpm.t,_xlfn.XLOOKUP($A212,Planilha2!$J$2:$J$44,Planilha2!$N$2:$N$44,"",-1),_xlfn.IFS(ISNUMBER(SEARCH("positiva",_xlpm.t)),"Positiva",ISNUMBER(SEARCH("negativa",_xlpm.t)),"Negativa",ISNUMBER(SEARCH("estável",_xlpm.t)),"Estável",TRUE,"n/d")))</f>
        <v>Estável</v>
      </c>
      <c r="H212" t="str">
        <f>IFERROR(_xlfn.XLOOKUP($A212,Planilha2!$P$2:$P$38,Planilha2!R$2:R$38,"",-1),"")</f>
        <v>B+</v>
      </c>
      <c r="I212" t="str">
        <f>IFERROR(_xlfn.XLOOKUP($A212,Planilha2!$P$2:$P$38,Planilha2!S$2:S$38,"",-1),"")</f>
        <v>BB</v>
      </c>
      <c r="J212" t="str" cm="1">
        <f t="array" ref="J212">IF($A212&lt;MIN(Planilha2!$P$2:$P$38),"",_xlfn.LET(_xlpm.t,_xlfn.XLOOKUP($A212,Planilha2!$P$2:$P$38,Planilha2!$T$2:$T$38,"",-1),_xlfn.IFS(ISNUMBER(SEARCH("positiva",_xlpm.t)),"Positiva",ISNUMBER(SEARCH("negativa",_xlpm.t)),"Negativa",ISNUMBER(SEARCH("estável",_xlpm.t)),"Estável",TRUE,"n/d")))</f>
        <v>Estável</v>
      </c>
      <c r="L212" s="52">
        <f>IFERROR(_xlfn.XLOOKUP(B212,'Agências de Rating Soberano'!$G$2:$G$22,'Agências de Rating Soberano'!$H$2:$H$22),NA())</f>
        <v>7</v>
      </c>
      <c r="M212" s="52">
        <f>IFERROR(_xlfn.XLOOKUP(C212,'Agências de Rating Soberano'!$G$2:$G$22,'Agências de Rating Soberano'!$H$2:$H$22),NA())</f>
        <v>7</v>
      </c>
      <c r="N212" s="52">
        <f>IFERROR(_xlfn.XLOOKUP(E212,'Agências de Rating Soberano'!$J$2:$J$22,'Agências de Rating Soberano'!$K$2:$K$22),NA())</f>
        <v>8</v>
      </c>
      <c r="O212" s="52">
        <f>IFERROR(_xlfn.XLOOKUP(F212,'Agências de Rating Soberano'!$J$2:$J$22,'Agências de Rating Soberano'!$K$2:$K$22),NA())</f>
        <v>8</v>
      </c>
      <c r="P212" s="52">
        <f>IFERROR(_xlfn.XLOOKUP(H212,'Agências de Rating Soberano'!$J$2:$J$22,'Agências de Rating Soberano'!$K$2:$K$22),NA())</f>
        <v>8</v>
      </c>
      <c r="Q212" s="52">
        <f>IFERROR(_xlfn.XLOOKUP(I212,'Agências de Rating Soberano'!$J$2:$J$22,'Agências de Rating Soberano'!$K$2:$K$22),NA())</f>
        <v>10</v>
      </c>
    </row>
    <row r="213" spans="1:17" x14ac:dyDescent="0.3">
      <c r="A213" s="53">
        <f t="shared" si="10"/>
        <v>38168</v>
      </c>
      <c r="B213" t="str">
        <f>IFERROR(_xlfn.XLOOKUP($A213,Planilha2!$A$2:$A$34,Planilha2!C$2:C$34,"",-1),"")</f>
        <v>B2</v>
      </c>
      <c r="C213" t="str">
        <f>IFERROR(_xlfn.XLOOKUP($A213,Planilha2!$A$2:$A$34,Planilha2!D$2:D$34,"",-1),"")</f>
        <v>B2</v>
      </c>
      <c r="D213" t="str" cm="1">
        <f t="array" ref="D213">IF($A213&lt;MIN(Planilha2!$A$2:$A$34),"",_xlfn.LET(_xlpm.t,_xlfn.XLOOKUP($A213,Planilha2!$A$2:$A$34,Planilha2!$E$2:$E$34,"",-1),_xlfn.IFS(ISNUMBER(SEARCH("positiva",_xlpm.t)),"Positiva",ISNUMBER(SEARCH("negativa",_xlpm.t)),"Negativa",ISNUMBER(SEARCH("estável",_xlpm.t)),"Estável",TRUE,"n/d")))</f>
        <v>Estável</v>
      </c>
      <c r="E213" t="str">
        <f>IFERROR(_xlfn.XLOOKUP($A213,Planilha2!$J$2:$J$44,Planilha2!L$2:L$44,"",-1),"")</f>
        <v>B+</v>
      </c>
      <c r="F213" t="str">
        <f>IFERROR(_xlfn.XLOOKUP($A213,Planilha2!$J$2:$J$44,Planilha2!M$2:M$44,"",-1),"")</f>
        <v>B+</v>
      </c>
      <c r="G213" t="str" cm="1">
        <f t="array" ref="G213">IF($A213&lt;MIN(Planilha2!$J$2:$J$44),"",_xlfn.LET(_xlpm.t,_xlfn.XLOOKUP($A213,Planilha2!$J$2:$J$44,Planilha2!$N$2:$N$44,"",-1),_xlfn.IFS(ISNUMBER(SEARCH("positiva",_xlpm.t)),"Positiva",ISNUMBER(SEARCH("negativa",_xlpm.t)),"Negativa",ISNUMBER(SEARCH("estável",_xlpm.t)),"Estável",TRUE,"n/d")))</f>
        <v>Estável</v>
      </c>
      <c r="H213" t="str">
        <f>IFERROR(_xlfn.XLOOKUP($A213,Planilha2!$P$2:$P$38,Planilha2!R$2:R$38,"",-1),"")</f>
        <v>B+</v>
      </c>
      <c r="I213" t="str">
        <f>IFERROR(_xlfn.XLOOKUP($A213,Planilha2!$P$2:$P$38,Planilha2!S$2:S$38,"",-1),"")</f>
        <v>BB</v>
      </c>
      <c r="J213" t="str" cm="1">
        <f t="array" ref="J213">IF($A213&lt;MIN(Planilha2!$P$2:$P$38),"",_xlfn.LET(_xlpm.t,_xlfn.XLOOKUP($A213,Planilha2!$P$2:$P$38,Planilha2!$T$2:$T$38,"",-1),_xlfn.IFS(ISNUMBER(SEARCH("positiva",_xlpm.t)),"Positiva",ISNUMBER(SEARCH("negativa",_xlpm.t)),"Negativa",ISNUMBER(SEARCH("estável",_xlpm.t)),"Estável",TRUE,"n/d")))</f>
        <v>Estável</v>
      </c>
      <c r="L213" s="52">
        <f>IFERROR(_xlfn.XLOOKUP(B213,'Agências de Rating Soberano'!$G$2:$G$22,'Agências de Rating Soberano'!$H$2:$H$22),NA())</f>
        <v>7</v>
      </c>
      <c r="M213" s="52">
        <f>IFERROR(_xlfn.XLOOKUP(C213,'Agências de Rating Soberano'!$G$2:$G$22,'Agências de Rating Soberano'!$H$2:$H$22),NA())</f>
        <v>7</v>
      </c>
      <c r="N213" s="52">
        <f>IFERROR(_xlfn.XLOOKUP(E213,'Agências de Rating Soberano'!$J$2:$J$22,'Agências de Rating Soberano'!$K$2:$K$22),NA())</f>
        <v>8</v>
      </c>
      <c r="O213" s="52">
        <f>IFERROR(_xlfn.XLOOKUP(F213,'Agências de Rating Soberano'!$J$2:$J$22,'Agências de Rating Soberano'!$K$2:$K$22),NA())</f>
        <v>8</v>
      </c>
      <c r="P213" s="52">
        <f>IFERROR(_xlfn.XLOOKUP(H213,'Agências de Rating Soberano'!$J$2:$J$22,'Agências de Rating Soberano'!$K$2:$K$22),NA())</f>
        <v>8</v>
      </c>
      <c r="Q213" s="52">
        <f>IFERROR(_xlfn.XLOOKUP(I213,'Agências de Rating Soberano'!$J$2:$J$22,'Agências de Rating Soberano'!$K$2:$K$22),NA())</f>
        <v>10</v>
      </c>
    </row>
    <row r="214" spans="1:17" x14ac:dyDescent="0.3">
      <c r="A214" s="53">
        <f t="shared" si="10"/>
        <v>38199</v>
      </c>
      <c r="B214" t="str">
        <f>IFERROR(_xlfn.XLOOKUP($A214,Planilha2!$A$2:$A$34,Planilha2!C$2:C$34,"",-1),"")</f>
        <v>B2</v>
      </c>
      <c r="C214" t="str">
        <f>IFERROR(_xlfn.XLOOKUP($A214,Planilha2!$A$2:$A$34,Planilha2!D$2:D$34,"",-1),"")</f>
        <v>B2</v>
      </c>
      <c r="D214" t="str" cm="1">
        <f t="array" ref="D214">IF($A214&lt;MIN(Planilha2!$A$2:$A$34),"",_xlfn.LET(_xlpm.t,_xlfn.XLOOKUP($A214,Planilha2!$A$2:$A$34,Planilha2!$E$2:$E$34,"",-1),_xlfn.IFS(ISNUMBER(SEARCH("positiva",_xlpm.t)),"Positiva",ISNUMBER(SEARCH("negativa",_xlpm.t)),"Negativa",ISNUMBER(SEARCH("estável",_xlpm.t)),"Estável",TRUE,"n/d")))</f>
        <v>Estável</v>
      </c>
      <c r="E214" t="str">
        <f>IFERROR(_xlfn.XLOOKUP($A214,Planilha2!$J$2:$J$44,Planilha2!L$2:L$44,"",-1),"")</f>
        <v>B+</v>
      </c>
      <c r="F214" t="str">
        <f>IFERROR(_xlfn.XLOOKUP($A214,Planilha2!$J$2:$J$44,Planilha2!M$2:M$44,"",-1),"")</f>
        <v>B+</v>
      </c>
      <c r="G214" t="str" cm="1">
        <f t="array" ref="G214">IF($A214&lt;MIN(Planilha2!$J$2:$J$44),"",_xlfn.LET(_xlpm.t,_xlfn.XLOOKUP($A214,Planilha2!$J$2:$J$44,Planilha2!$N$2:$N$44,"",-1),_xlfn.IFS(ISNUMBER(SEARCH("positiva",_xlpm.t)),"Positiva",ISNUMBER(SEARCH("negativa",_xlpm.t)),"Negativa",ISNUMBER(SEARCH("estável",_xlpm.t)),"Estável",TRUE,"n/d")))</f>
        <v>Estável</v>
      </c>
      <c r="H214" t="str">
        <f>IFERROR(_xlfn.XLOOKUP($A214,Planilha2!$P$2:$P$38,Planilha2!R$2:R$38,"",-1),"")</f>
        <v>B+</v>
      </c>
      <c r="I214" t="str">
        <f>IFERROR(_xlfn.XLOOKUP($A214,Planilha2!$P$2:$P$38,Planilha2!S$2:S$38,"",-1),"")</f>
        <v>BB</v>
      </c>
      <c r="J214" t="str" cm="1">
        <f t="array" ref="J214">IF($A214&lt;MIN(Planilha2!$P$2:$P$38),"",_xlfn.LET(_xlpm.t,_xlfn.XLOOKUP($A214,Planilha2!$P$2:$P$38,Planilha2!$T$2:$T$38,"",-1),_xlfn.IFS(ISNUMBER(SEARCH("positiva",_xlpm.t)),"Positiva",ISNUMBER(SEARCH("negativa",_xlpm.t)),"Negativa",ISNUMBER(SEARCH("estável",_xlpm.t)),"Estável",TRUE,"n/d")))</f>
        <v>Estável</v>
      </c>
      <c r="L214" s="52">
        <f>IFERROR(_xlfn.XLOOKUP(B214,'Agências de Rating Soberano'!$G$2:$G$22,'Agências de Rating Soberano'!$H$2:$H$22),NA())</f>
        <v>7</v>
      </c>
      <c r="M214" s="52">
        <f>IFERROR(_xlfn.XLOOKUP(C214,'Agências de Rating Soberano'!$G$2:$G$22,'Agências de Rating Soberano'!$H$2:$H$22),NA())</f>
        <v>7</v>
      </c>
      <c r="N214" s="52">
        <f>IFERROR(_xlfn.XLOOKUP(E214,'Agências de Rating Soberano'!$J$2:$J$22,'Agências de Rating Soberano'!$K$2:$K$22),NA())</f>
        <v>8</v>
      </c>
      <c r="O214" s="52">
        <f>IFERROR(_xlfn.XLOOKUP(F214,'Agências de Rating Soberano'!$J$2:$J$22,'Agências de Rating Soberano'!$K$2:$K$22),NA())</f>
        <v>8</v>
      </c>
      <c r="P214" s="52">
        <f>IFERROR(_xlfn.XLOOKUP(H214,'Agências de Rating Soberano'!$J$2:$J$22,'Agências de Rating Soberano'!$K$2:$K$22),NA())</f>
        <v>8</v>
      </c>
      <c r="Q214" s="52">
        <f>IFERROR(_xlfn.XLOOKUP(I214,'Agências de Rating Soberano'!$J$2:$J$22,'Agências de Rating Soberano'!$K$2:$K$22),NA())</f>
        <v>10</v>
      </c>
    </row>
    <row r="215" spans="1:17" x14ac:dyDescent="0.3">
      <c r="A215" s="53">
        <f t="shared" si="10"/>
        <v>38230</v>
      </c>
      <c r="B215" t="str">
        <f>IFERROR(_xlfn.XLOOKUP($A215,Planilha2!$A$2:$A$34,Planilha2!C$2:C$34,"",-1),"")</f>
        <v>B2</v>
      </c>
      <c r="C215" t="str">
        <f>IFERROR(_xlfn.XLOOKUP($A215,Planilha2!$A$2:$A$34,Planilha2!D$2:D$34,"",-1),"")</f>
        <v>B2</v>
      </c>
      <c r="D215" t="str" cm="1">
        <f t="array" ref="D215">IF($A215&lt;MIN(Planilha2!$A$2:$A$34),"",_xlfn.LET(_xlpm.t,_xlfn.XLOOKUP($A215,Planilha2!$A$2:$A$34,Planilha2!$E$2:$E$34,"",-1),_xlfn.IFS(ISNUMBER(SEARCH("positiva",_xlpm.t)),"Positiva",ISNUMBER(SEARCH("negativa",_xlpm.t)),"Negativa",ISNUMBER(SEARCH("estável",_xlpm.t)),"Estável",TRUE,"n/d")))</f>
        <v>Estável</v>
      </c>
      <c r="E215" t="str">
        <f>IFERROR(_xlfn.XLOOKUP($A215,Planilha2!$J$2:$J$44,Planilha2!L$2:L$44,"",-1),"")</f>
        <v>B+</v>
      </c>
      <c r="F215" t="str">
        <f>IFERROR(_xlfn.XLOOKUP($A215,Planilha2!$J$2:$J$44,Planilha2!M$2:M$44,"",-1),"")</f>
        <v>B+</v>
      </c>
      <c r="G215" t="str" cm="1">
        <f t="array" ref="G215">IF($A215&lt;MIN(Planilha2!$J$2:$J$44),"",_xlfn.LET(_xlpm.t,_xlfn.XLOOKUP($A215,Planilha2!$J$2:$J$44,Planilha2!$N$2:$N$44,"",-1),_xlfn.IFS(ISNUMBER(SEARCH("positiva",_xlpm.t)),"Positiva",ISNUMBER(SEARCH("negativa",_xlpm.t)),"Negativa",ISNUMBER(SEARCH("estável",_xlpm.t)),"Estável",TRUE,"n/d")))</f>
        <v>Estável</v>
      </c>
      <c r="H215" t="str">
        <f>IFERROR(_xlfn.XLOOKUP($A215,Planilha2!$P$2:$P$38,Planilha2!R$2:R$38,"",-1),"")</f>
        <v>B+</v>
      </c>
      <c r="I215" t="str">
        <f>IFERROR(_xlfn.XLOOKUP($A215,Planilha2!$P$2:$P$38,Planilha2!S$2:S$38,"",-1),"")</f>
        <v>BB</v>
      </c>
      <c r="J215" t="str" cm="1">
        <f t="array" ref="J215">IF($A215&lt;MIN(Planilha2!$P$2:$P$38),"",_xlfn.LET(_xlpm.t,_xlfn.XLOOKUP($A215,Planilha2!$P$2:$P$38,Planilha2!$T$2:$T$38,"",-1),_xlfn.IFS(ISNUMBER(SEARCH("positiva",_xlpm.t)),"Positiva",ISNUMBER(SEARCH("negativa",_xlpm.t)),"Negativa",ISNUMBER(SEARCH("estável",_xlpm.t)),"Estável",TRUE,"n/d")))</f>
        <v>Estável</v>
      </c>
      <c r="L215" s="52">
        <f>IFERROR(_xlfn.XLOOKUP(B215,'Agências de Rating Soberano'!$G$2:$G$22,'Agências de Rating Soberano'!$H$2:$H$22),NA())</f>
        <v>7</v>
      </c>
      <c r="M215" s="52">
        <f>IFERROR(_xlfn.XLOOKUP(C215,'Agências de Rating Soberano'!$G$2:$G$22,'Agências de Rating Soberano'!$H$2:$H$22),NA())</f>
        <v>7</v>
      </c>
      <c r="N215" s="52">
        <f>IFERROR(_xlfn.XLOOKUP(E215,'Agências de Rating Soberano'!$J$2:$J$22,'Agências de Rating Soberano'!$K$2:$K$22),NA())</f>
        <v>8</v>
      </c>
      <c r="O215" s="52">
        <f>IFERROR(_xlfn.XLOOKUP(F215,'Agências de Rating Soberano'!$J$2:$J$22,'Agências de Rating Soberano'!$K$2:$K$22),NA())</f>
        <v>8</v>
      </c>
      <c r="P215" s="52">
        <f>IFERROR(_xlfn.XLOOKUP(H215,'Agências de Rating Soberano'!$J$2:$J$22,'Agências de Rating Soberano'!$K$2:$K$22),NA())</f>
        <v>8</v>
      </c>
      <c r="Q215" s="52">
        <f>IFERROR(_xlfn.XLOOKUP(I215,'Agências de Rating Soberano'!$J$2:$J$22,'Agências de Rating Soberano'!$K$2:$K$22),NA())</f>
        <v>10</v>
      </c>
    </row>
    <row r="216" spans="1:17" x14ac:dyDescent="0.3">
      <c r="A216" s="53">
        <f t="shared" si="10"/>
        <v>38260</v>
      </c>
      <c r="B216" t="str">
        <f>IFERROR(_xlfn.XLOOKUP($A216,Planilha2!$A$2:$A$34,Planilha2!C$2:C$34,"",-1),"")</f>
        <v>B1</v>
      </c>
      <c r="C216" t="str">
        <f>IFERROR(_xlfn.XLOOKUP($A216,Planilha2!$A$2:$A$34,Planilha2!D$2:D$34,"",-1),"")</f>
        <v>Ba3</v>
      </c>
      <c r="D216" t="str" cm="1">
        <f t="array" ref="D216">IF($A216&lt;MIN(Planilha2!$A$2:$A$34),"",_xlfn.LET(_xlpm.t,_xlfn.XLOOKUP($A216,Planilha2!$A$2:$A$34,Planilha2!$E$2:$E$34,"",-1),_xlfn.IFS(ISNUMBER(SEARCH("positiva",_xlpm.t)),"Positiva",ISNUMBER(SEARCH("negativa",_xlpm.t)),"Negativa",ISNUMBER(SEARCH("estável",_xlpm.t)),"Estável",TRUE,"n/d")))</f>
        <v>Estável</v>
      </c>
      <c r="E216" t="str">
        <f>IFERROR(_xlfn.XLOOKUP($A216,Planilha2!$J$2:$J$44,Planilha2!L$2:L$44,"",-1),"")</f>
        <v>BB-</v>
      </c>
      <c r="F216" t="str">
        <f>IFERROR(_xlfn.XLOOKUP($A216,Planilha2!$J$2:$J$44,Planilha2!M$2:M$44,"",-1),"")</f>
        <v>BB-</v>
      </c>
      <c r="G216" t="str" cm="1">
        <f t="array" ref="G216">IF($A216&lt;MIN(Planilha2!$J$2:$J$44),"",_xlfn.LET(_xlpm.t,_xlfn.XLOOKUP($A216,Planilha2!$J$2:$J$44,Planilha2!$N$2:$N$44,"",-1),_xlfn.IFS(ISNUMBER(SEARCH("positiva",_xlpm.t)),"Positiva",ISNUMBER(SEARCH("negativa",_xlpm.t)),"Negativa",ISNUMBER(SEARCH("estável",_xlpm.t)),"Estável",TRUE,"n/d")))</f>
        <v>Estável</v>
      </c>
      <c r="H216" t="str">
        <f>IFERROR(_xlfn.XLOOKUP($A216,Planilha2!$P$2:$P$38,Planilha2!R$2:R$38,"",-1),"")</f>
        <v>B+</v>
      </c>
      <c r="I216" t="str">
        <f>IFERROR(_xlfn.XLOOKUP($A216,Planilha2!$P$2:$P$38,Planilha2!S$2:S$38,"",-1),"")</f>
        <v>BB</v>
      </c>
      <c r="J216" t="str" cm="1">
        <f t="array" ref="J216">IF($A216&lt;MIN(Planilha2!$P$2:$P$38),"",_xlfn.LET(_xlpm.t,_xlfn.XLOOKUP($A216,Planilha2!$P$2:$P$38,Planilha2!$T$2:$T$38,"",-1),_xlfn.IFS(ISNUMBER(SEARCH("positiva",_xlpm.t)),"Positiva",ISNUMBER(SEARCH("negativa",_xlpm.t)),"Negativa",ISNUMBER(SEARCH("estável",_xlpm.t)),"Estável",TRUE,"n/d")))</f>
        <v>Estável</v>
      </c>
      <c r="L216" s="52">
        <f>IFERROR(_xlfn.XLOOKUP(B216,'Agências de Rating Soberano'!$G$2:$G$22,'Agências de Rating Soberano'!$H$2:$H$22),NA())</f>
        <v>8</v>
      </c>
      <c r="M216" s="52">
        <f>IFERROR(_xlfn.XLOOKUP(C216,'Agências de Rating Soberano'!$G$2:$G$22,'Agências de Rating Soberano'!$H$2:$H$22),NA())</f>
        <v>9</v>
      </c>
      <c r="N216" s="52">
        <f>IFERROR(_xlfn.XLOOKUP(E216,'Agências de Rating Soberano'!$J$2:$J$22,'Agências de Rating Soberano'!$K$2:$K$22),NA())</f>
        <v>9</v>
      </c>
      <c r="O216" s="52">
        <f>IFERROR(_xlfn.XLOOKUP(F216,'Agências de Rating Soberano'!$J$2:$J$22,'Agências de Rating Soberano'!$K$2:$K$22),NA())</f>
        <v>9</v>
      </c>
      <c r="P216" s="52">
        <f>IFERROR(_xlfn.XLOOKUP(H216,'Agências de Rating Soberano'!$J$2:$J$22,'Agências de Rating Soberano'!$K$2:$K$22),NA())</f>
        <v>8</v>
      </c>
      <c r="Q216" s="52">
        <f>IFERROR(_xlfn.XLOOKUP(I216,'Agências de Rating Soberano'!$J$2:$J$22,'Agências de Rating Soberano'!$K$2:$K$22),NA())</f>
        <v>10</v>
      </c>
    </row>
    <row r="217" spans="1:17" x14ac:dyDescent="0.3">
      <c r="A217" s="53">
        <f t="shared" si="10"/>
        <v>38291</v>
      </c>
      <c r="B217" t="str">
        <f>IFERROR(_xlfn.XLOOKUP($A217,Planilha2!$A$2:$A$34,Planilha2!C$2:C$34,"",-1),"")</f>
        <v>B1</v>
      </c>
      <c r="C217" t="str">
        <f>IFERROR(_xlfn.XLOOKUP($A217,Planilha2!$A$2:$A$34,Planilha2!D$2:D$34,"",-1),"")</f>
        <v>Ba3</v>
      </c>
      <c r="D217" t="str" cm="1">
        <f t="array" ref="D217">IF($A217&lt;MIN(Planilha2!$A$2:$A$34),"",_xlfn.LET(_xlpm.t,_xlfn.XLOOKUP($A217,Planilha2!$A$2:$A$34,Planilha2!$E$2:$E$34,"",-1),_xlfn.IFS(ISNUMBER(SEARCH("positiva",_xlpm.t)),"Positiva",ISNUMBER(SEARCH("negativa",_xlpm.t)),"Negativa",ISNUMBER(SEARCH("estável",_xlpm.t)),"Estável",TRUE,"n/d")))</f>
        <v>Estável</v>
      </c>
      <c r="E217" t="str">
        <f>IFERROR(_xlfn.XLOOKUP($A217,Planilha2!$J$2:$J$44,Planilha2!L$2:L$44,"",-1),"")</f>
        <v>BB-</v>
      </c>
      <c r="F217" t="str">
        <f>IFERROR(_xlfn.XLOOKUP($A217,Planilha2!$J$2:$J$44,Planilha2!M$2:M$44,"",-1),"")</f>
        <v>BB-</v>
      </c>
      <c r="G217" t="str" cm="1">
        <f t="array" ref="G217">IF($A217&lt;MIN(Planilha2!$J$2:$J$44),"",_xlfn.LET(_xlpm.t,_xlfn.XLOOKUP($A217,Planilha2!$J$2:$J$44,Planilha2!$N$2:$N$44,"",-1),_xlfn.IFS(ISNUMBER(SEARCH("positiva",_xlpm.t)),"Positiva",ISNUMBER(SEARCH("negativa",_xlpm.t)),"Negativa",ISNUMBER(SEARCH("estável",_xlpm.t)),"Estável",TRUE,"n/d")))</f>
        <v>Estável</v>
      </c>
      <c r="H217" t="str">
        <f>IFERROR(_xlfn.XLOOKUP($A217,Planilha2!$P$2:$P$38,Planilha2!R$2:R$38,"",-1),"")</f>
        <v>B+</v>
      </c>
      <c r="I217" t="str">
        <f>IFERROR(_xlfn.XLOOKUP($A217,Planilha2!$P$2:$P$38,Planilha2!S$2:S$38,"",-1),"")</f>
        <v>BB</v>
      </c>
      <c r="J217" t="str" cm="1">
        <f t="array" ref="J217">IF($A217&lt;MIN(Planilha2!$P$2:$P$38),"",_xlfn.LET(_xlpm.t,_xlfn.XLOOKUP($A217,Planilha2!$P$2:$P$38,Planilha2!$T$2:$T$38,"",-1),_xlfn.IFS(ISNUMBER(SEARCH("positiva",_xlpm.t)),"Positiva",ISNUMBER(SEARCH("negativa",_xlpm.t)),"Negativa",ISNUMBER(SEARCH("estável",_xlpm.t)),"Estável",TRUE,"n/d")))</f>
        <v>Estável</v>
      </c>
      <c r="L217" s="52">
        <f>IFERROR(_xlfn.XLOOKUP(B217,'Agências de Rating Soberano'!$G$2:$G$22,'Agências de Rating Soberano'!$H$2:$H$22),NA())</f>
        <v>8</v>
      </c>
      <c r="M217" s="52">
        <f>IFERROR(_xlfn.XLOOKUP(C217,'Agências de Rating Soberano'!$G$2:$G$22,'Agências de Rating Soberano'!$H$2:$H$22),NA())</f>
        <v>9</v>
      </c>
      <c r="N217" s="52">
        <f>IFERROR(_xlfn.XLOOKUP(E217,'Agências de Rating Soberano'!$J$2:$J$22,'Agências de Rating Soberano'!$K$2:$K$22),NA())</f>
        <v>9</v>
      </c>
      <c r="O217" s="52">
        <f>IFERROR(_xlfn.XLOOKUP(F217,'Agências de Rating Soberano'!$J$2:$J$22,'Agências de Rating Soberano'!$K$2:$K$22),NA())</f>
        <v>9</v>
      </c>
      <c r="P217" s="52">
        <f>IFERROR(_xlfn.XLOOKUP(H217,'Agências de Rating Soberano'!$J$2:$J$22,'Agências de Rating Soberano'!$K$2:$K$22),NA())</f>
        <v>8</v>
      </c>
      <c r="Q217" s="52">
        <f>IFERROR(_xlfn.XLOOKUP(I217,'Agências de Rating Soberano'!$J$2:$J$22,'Agências de Rating Soberano'!$K$2:$K$22),NA())</f>
        <v>10</v>
      </c>
    </row>
    <row r="218" spans="1:17" x14ac:dyDescent="0.3">
      <c r="A218" s="53">
        <f t="shared" si="10"/>
        <v>38321</v>
      </c>
      <c r="B218" t="str">
        <f>IFERROR(_xlfn.XLOOKUP($A218,Planilha2!$A$2:$A$34,Planilha2!C$2:C$34,"",-1),"")</f>
        <v>B1</v>
      </c>
      <c r="C218" t="str">
        <f>IFERROR(_xlfn.XLOOKUP($A218,Planilha2!$A$2:$A$34,Planilha2!D$2:D$34,"",-1),"")</f>
        <v>Ba3</v>
      </c>
      <c r="D218" t="str" cm="1">
        <f t="array" ref="D218">IF($A218&lt;MIN(Planilha2!$A$2:$A$34),"",_xlfn.LET(_xlpm.t,_xlfn.XLOOKUP($A218,Planilha2!$A$2:$A$34,Planilha2!$E$2:$E$34,"",-1),_xlfn.IFS(ISNUMBER(SEARCH("positiva",_xlpm.t)),"Positiva",ISNUMBER(SEARCH("negativa",_xlpm.t)),"Negativa",ISNUMBER(SEARCH("estável",_xlpm.t)),"Estável",TRUE,"n/d")))</f>
        <v>Estável</v>
      </c>
      <c r="E218" t="str">
        <f>IFERROR(_xlfn.XLOOKUP($A218,Planilha2!$J$2:$J$44,Planilha2!L$2:L$44,"",-1),"")</f>
        <v>BB-</v>
      </c>
      <c r="F218" t="str">
        <f>IFERROR(_xlfn.XLOOKUP($A218,Planilha2!$J$2:$J$44,Planilha2!M$2:M$44,"",-1),"")</f>
        <v>BB-</v>
      </c>
      <c r="G218" t="str" cm="1">
        <f t="array" ref="G218">IF($A218&lt;MIN(Planilha2!$J$2:$J$44),"",_xlfn.LET(_xlpm.t,_xlfn.XLOOKUP($A218,Planilha2!$J$2:$J$44,Planilha2!$N$2:$N$44,"",-1),_xlfn.IFS(ISNUMBER(SEARCH("positiva",_xlpm.t)),"Positiva",ISNUMBER(SEARCH("negativa",_xlpm.t)),"Negativa",ISNUMBER(SEARCH("estável",_xlpm.t)),"Estável",TRUE,"n/d")))</f>
        <v>Estável</v>
      </c>
      <c r="H218" t="str">
        <f>IFERROR(_xlfn.XLOOKUP($A218,Planilha2!$P$2:$P$38,Planilha2!R$2:R$38,"",-1),"")</f>
        <v>B+</v>
      </c>
      <c r="I218" t="str">
        <f>IFERROR(_xlfn.XLOOKUP($A218,Planilha2!$P$2:$P$38,Planilha2!S$2:S$38,"",-1),"")</f>
        <v>BB</v>
      </c>
      <c r="J218" t="str" cm="1">
        <f t="array" ref="J218">IF($A218&lt;MIN(Planilha2!$P$2:$P$38),"",_xlfn.LET(_xlpm.t,_xlfn.XLOOKUP($A218,Planilha2!$P$2:$P$38,Planilha2!$T$2:$T$38,"",-1),_xlfn.IFS(ISNUMBER(SEARCH("positiva",_xlpm.t)),"Positiva",ISNUMBER(SEARCH("negativa",_xlpm.t)),"Negativa",ISNUMBER(SEARCH("estável",_xlpm.t)),"Estável",TRUE,"n/d")))</f>
        <v>Estável</v>
      </c>
      <c r="L218" s="52">
        <f>IFERROR(_xlfn.XLOOKUP(B218,'Agências de Rating Soberano'!$G$2:$G$22,'Agências de Rating Soberano'!$H$2:$H$22),NA())</f>
        <v>8</v>
      </c>
      <c r="M218" s="52">
        <f>IFERROR(_xlfn.XLOOKUP(C218,'Agências de Rating Soberano'!$G$2:$G$22,'Agências de Rating Soberano'!$H$2:$H$22),NA())</f>
        <v>9</v>
      </c>
      <c r="N218" s="52">
        <f>IFERROR(_xlfn.XLOOKUP(E218,'Agências de Rating Soberano'!$J$2:$J$22,'Agências de Rating Soberano'!$K$2:$K$22),NA())</f>
        <v>9</v>
      </c>
      <c r="O218" s="52">
        <f>IFERROR(_xlfn.XLOOKUP(F218,'Agências de Rating Soberano'!$J$2:$J$22,'Agências de Rating Soberano'!$K$2:$K$22),NA())</f>
        <v>9</v>
      </c>
      <c r="P218" s="52">
        <f>IFERROR(_xlfn.XLOOKUP(H218,'Agências de Rating Soberano'!$J$2:$J$22,'Agências de Rating Soberano'!$K$2:$K$22),NA())</f>
        <v>8</v>
      </c>
      <c r="Q218" s="52">
        <f>IFERROR(_xlfn.XLOOKUP(I218,'Agências de Rating Soberano'!$J$2:$J$22,'Agências de Rating Soberano'!$K$2:$K$22),NA())</f>
        <v>10</v>
      </c>
    </row>
    <row r="219" spans="1:17" x14ac:dyDescent="0.3">
      <c r="A219" s="53">
        <f t="shared" si="10"/>
        <v>38352</v>
      </c>
      <c r="B219" t="str">
        <f>IFERROR(_xlfn.XLOOKUP($A219,Planilha2!$A$2:$A$34,Planilha2!C$2:C$34,"",-1),"")</f>
        <v>B1</v>
      </c>
      <c r="C219" t="str">
        <f>IFERROR(_xlfn.XLOOKUP($A219,Planilha2!$A$2:$A$34,Planilha2!D$2:D$34,"",-1),"")</f>
        <v>Ba3</v>
      </c>
      <c r="D219" t="str" cm="1">
        <f t="array" ref="D219">IF($A219&lt;MIN(Planilha2!$A$2:$A$34),"",_xlfn.LET(_xlpm.t,_xlfn.XLOOKUP($A219,Planilha2!$A$2:$A$34,Planilha2!$E$2:$E$34,"",-1),_xlfn.IFS(ISNUMBER(SEARCH("positiva",_xlpm.t)),"Positiva",ISNUMBER(SEARCH("negativa",_xlpm.t)),"Negativa",ISNUMBER(SEARCH("estável",_xlpm.t)),"Estável",TRUE,"n/d")))</f>
        <v>Estável</v>
      </c>
      <c r="E219" t="str">
        <f>IFERROR(_xlfn.XLOOKUP($A219,Planilha2!$J$2:$J$44,Planilha2!L$2:L$44,"",-1),"")</f>
        <v>BB-</v>
      </c>
      <c r="F219" t="str">
        <f>IFERROR(_xlfn.XLOOKUP($A219,Planilha2!$J$2:$J$44,Planilha2!M$2:M$44,"",-1),"")</f>
        <v>BB-</v>
      </c>
      <c r="G219" t="str" cm="1">
        <f t="array" ref="G219">IF($A219&lt;MIN(Planilha2!$J$2:$J$44),"",_xlfn.LET(_xlpm.t,_xlfn.XLOOKUP($A219,Planilha2!$J$2:$J$44,Planilha2!$N$2:$N$44,"",-1),_xlfn.IFS(ISNUMBER(SEARCH("positiva",_xlpm.t)),"Positiva",ISNUMBER(SEARCH("negativa",_xlpm.t)),"Negativa",ISNUMBER(SEARCH("estável",_xlpm.t)),"Estável",TRUE,"n/d")))</f>
        <v>Estável</v>
      </c>
      <c r="H219" t="str">
        <f>IFERROR(_xlfn.XLOOKUP($A219,Planilha2!$P$2:$P$38,Planilha2!R$2:R$38,"",-1),"")</f>
        <v>B+</v>
      </c>
      <c r="I219" t="str">
        <f>IFERROR(_xlfn.XLOOKUP($A219,Planilha2!$P$2:$P$38,Planilha2!S$2:S$38,"",-1),"")</f>
        <v>BB</v>
      </c>
      <c r="J219" t="str" cm="1">
        <f t="array" ref="J219">IF($A219&lt;MIN(Planilha2!$P$2:$P$38),"",_xlfn.LET(_xlpm.t,_xlfn.XLOOKUP($A219,Planilha2!$P$2:$P$38,Planilha2!$T$2:$T$38,"",-1),_xlfn.IFS(ISNUMBER(SEARCH("positiva",_xlpm.t)),"Positiva",ISNUMBER(SEARCH("negativa",_xlpm.t)),"Negativa",ISNUMBER(SEARCH("estável",_xlpm.t)),"Estável",TRUE,"n/d")))</f>
        <v>Estável</v>
      </c>
      <c r="L219" s="52">
        <f>IFERROR(_xlfn.XLOOKUP(B219,'Agências de Rating Soberano'!$G$2:$G$22,'Agências de Rating Soberano'!$H$2:$H$22),NA())</f>
        <v>8</v>
      </c>
      <c r="M219" s="52">
        <f>IFERROR(_xlfn.XLOOKUP(C219,'Agências de Rating Soberano'!$G$2:$G$22,'Agências de Rating Soberano'!$H$2:$H$22),NA())</f>
        <v>9</v>
      </c>
      <c r="N219" s="52">
        <f>IFERROR(_xlfn.XLOOKUP(E219,'Agências de Rating Soberano'!$J$2:$J$22,'Agências de Rating Soberano'!$K$2:$K$22),NA())</f>
        <v>9</v>
      </c>
      <c r="O219" s="52">
        <f>IFERROR(_xlfn.XLOOKUP(F219,'Agências de Rating Soberano'!$J$2:$J$22,'Agências de Rating Soberano'!$K$2:$K$22),NA())</f>
        <v>9</v>
      </c>
      <c r="P219" s="52">
        <f>IFERROR(_xlfn.XLOOKUP(H219,'Agências de Rating Soberano'!$J$2:$J$22,'Agências de Rating Soberano'!$K$2:$K$22),NA())</f>
        <v>8</v>
      </c>
      <c r="Q219" s="52">
        <f>IFERROR(_xlfn.XLOOKUP(I219,'Agências de Rating Soberano'!$J$2:$J$22,'Agências de Rating Soberano'!$K$2:$K$22),NA())</f>
        <v>10</v>
      </c>
    </row>
    <row r="220" spans="1:17" x14ac:dyDescent="0.3">
      <c r="A220" s="53">
        <f t="shared" si="10"/>
        <v>38383</v>
      </c>
      <c r="B220" t="str">
        <f>IFERROR(_xlfn.XLOOKUP($A220,Planilha2!$A$2:$A$34,Planilha2!C$2:C$34,"",-1),"")</f>
        <v>B1</v>
      </c>
      <c r="C220" t="str">
        <f>IFERROR(_xlfn.XLOOKUP($A220,Planilha2!$A$2:$A$34,Planilha2!D$2:D$34,"",-1),"")</f>
        <v>Ba3</v>
      </c>
      <c r="D220" t="str" cm="1">
        <f t="array" ref="D220">IF($A220&lt;MIN(Planilha2!$A$2:$A$34),"",_xlfn.LET(_xlpm.t,_xlfn.XLOOKUP($A220,Planilha2!$A$2:$A$34,Planilha2!$E$2:$E$34,"",-1),_xlfn.IFS(ISNUMBER(SEARCH("positiva",_xlpm.t)),"Positiva",ISNUMBER(SEARCH("negativa",_xlpm.t)),"Negativa",ISNUMBER(SEARCH("estável",_xlpm.t)),"Estável",TRUE,"n/d")))</f>
        <v>Positiva</v>
      </c>
      <c r="E220" t="str">
        <f>IFERROR(_xlfn.XLOOKUP($A220,Planilha2!$J$2:$J$44,Planilha2!L$2:L$44,"",-1),"")</f>
        <v>BB-</v>
      </c>
      <c r="F220" t="str">
        <f>IFERROR(_xlfn.XLOOKUP($A220,Planilha2!$J$2:$J$44,Planilha2!M$2:M$44,"",-1),"")</f>
        <v>BB-</v>
      </c>
      <c r="G220" t="str" cm="1">
        <f t="array" ref="G220">IF($A220&lt;MIN(Planilha2!$J$2:$J$44),"",_xlfn.LET(_xlpm.t,_xlfn.XLOOKUP($A220,Planilha2!$J$2:$J$44,Planilha2!$N$2:$N$44,"",-1),_xlfn.IFS(ISNUMBER(SEARCH("positiva",_xlpm.t)),"Positiva",ISNUMBER(SEARCH("negativa",_xlpm.t)),"Negativa",ISNUMBER(SEARCH("estável",_xlpm.t)),"Estável",TRUE,"n/d")))</f>
        <v>Estável</v>
      </c>
      <c r="H220" t="str">
        <f>IFERROR(_xlfn.XLOOKUP($A220,Planilha2!$P$2:$P$38,Planilha2!R$2:R$38,"",-1),"")</f>
        <v>B+</v>
      </c>
      <c r="I220" t="str">
        <f>IFERROR(_xlfn.XLOOKUP($A220,Planilha2!$P$2:$P$38,Planilha2!S$2:S$38,"",-1),"")</f>
        <v>BB</v>
      </c>
      <c r="J220" t="str" cm="1">
        <f t="array" ref="J220">IF($A220&lt;MIN(Planilha2!$P$2:$P$38),"",_xlfn.LET(_xlpm.t,_xlfn.XLOOKUP($A220,Planilha2!$P$2:$P$38,Planilha2!$T$2:$T$38,"",-1),_xlfn.IFS(ISNUMBER(SEARCH("positiva",_xlpm.t)),"Positiva",ISNUMBER(SEARCH("negativa",_xlpm.t)),"Negativa",ISNUMBER(SEARCH("estável",_xlpm.t)),"Estável",TRUE,"n/d")))</f>
        <v>Estável</v>
      </c>
      <c r="L220" s="52">
        <f>IFERROR(_xlfn.XLOOKUP(B220,'Agências de Rating Soberano'!$G$2:$G$22,'Agências de Rating Soberano'!$H$2:$H$22),NA())</f>
        <v>8</v>
      </c>
      <c r="M220" s="52">
        <f>IFERROR(_xlfn.XLOOKUP(C220,'Agências de Rating Soberano'!$G$2:$G$22,'Agências de Rating Soberano'!$H$2:$H$22),NA())</f>
        <v>9</v>
      </c>
      <c r="N220" s="52">
        <f>IFERROR(_xlfn.XLOOKUP(E220,'Agências de Rating Soberano'!$J$2:$J$22,'Agências de Rating Soberano'!$K$2:$K$22),NA())</f>
        <v>9</v>
      </c>
      <c r="O220" s="52">
        <f>IFERROR(_xlfn.XLOOKUP(F220,'Agências de Rating Soberano'!$J$2:$J$22,'Agências de Rating Soberano'!$K$2:$K$22),NA())</f>
        <v>9</v>
      </c>
      <c r="P220" s="52">
        <f>IFERROR(_xlfn.XLOOKUP(H220,'Agências de Rating Soberano'!$J$2:$J$22,'Agências de Rating Soberano'!$K$2:$K$22),NA())</f>
        <v>8</v>
      </c>
      <c r="Q220" s="52">
        <f>IFERROR(_xlfn.XLOOKUP(I220,'Agências de Rating Soberano'!$J$2:$J$22,'Agências de Rating Soberano'!$K$2:$K$22),NA())</f>
        <v>10</v>
      </c>
    </row>
    <row r="221" spans="1:17" x14ac:dyDescent="0.3">
      <c r="A221" s="53">
        <f t="shared" si="10"/>
        <v>38411</v>
      </c>
      <c r="B221" t="str">
        <f>IFERROR(_xlfn.XLOOKUP($A221,Planilha2!$A$2:$A$34,Planilha2!C$2:C$34,"",-1),"")</f>
        <v>B1</v>
      </c>
      <c r="C221" t="str">
        <f>IFERROR(_xlfn.XLOOKUP($A221,Planilha2!$A$2:$A$34,Planilha2!D$2:D$34,"",-1),"")</f>
        <v>Ba3</v>
      </c>
      <c r="D221" t="str" cm="1">
        <f t="array" ref="D221">IF($A221&lt;MIN(Planilha2!$A$2:$A$34),"",_xlfn.LET(_xlpm.t,_xlfn.XLOOKUP($A221,Planilha2!$A$2:$A$34,Planilha2!$E$2:$E$34,"",-1),_xlfn.IFS(ISNUMBER(SEARCH("positiva",_xlpm.t)),"Positiva",ISNUMBER(SEARCH("negativa",_xlpm.t)),"Negativa",ISNUMBER(SEARCH("estável",_xlpm.t)),"Estável",TRUE,"n/d")))</f>
        <v>Positiva</v>
      </c>
      <c r="E221" t="str">
        <f>IFERROR(_xlfn.XLOOKUP($A221,Planilha2!$J$2:$J$44,Planilha2!L$2:L$44,"",-1),"")</f>
        <v>BB-</v>
      </c>
      <c r="F221" t="str">
        <f>IFERROR(_xlfn.XLOOKUP($A221,Planilha2!$J$2:$J$44,Planilha2!M$2:M$44,"",-1),"")</f>
        <v>BB-</v>
      </c>
      <c r="G221" t="str" cm="1">
        <f t="array" ref="G221">IF($A221&lt;MIN(Planilha2!$J$2:$J$44),"",_xlfn.LET(_xlpm.t,_xlfn.XLOOKUP($A221,Planilha2!$J$2:$J$44,Planilha2!$N$2:$N$44,"",-1),_xlfn.IFS(ISNUMBER(SEARCH("positiva",_xlpm.t)),"Positiva",ISNUMBER(SEARCH("negativa",_xlpm.t)),"Negativa",ISNUMBER(SEARCH("estável",_xlpm.t)),"Estável",TRUE,"n/d")))</f>
        <v>Estável</v>
      </c>
      <c r="H221" t="str">
        <f>IFERROR(_xlfn.XLOOKUP($A221,Planilha2!$P$2:$P$38,Planilha2!R$2:R$38,"",-1),"")</f>
        <v>B+</v>
      </c>
      <c r="I221" t="str">
        <f>IFERROR(_xlfn.XLOOKUP($A221,Planilha2!$P$2:$P$38,Planilha2!S$2:S$38,"",-1),"")</f>
        <v>BB</v>
      </c>
      <c r="J221" t="str" cm="1">
        <f t="array" ref="J221">IF($A221&lt;MIN(Planilha2!$P$2:$P$38),"",_xlfn.LET(_xlpm.t,_xlfn.XLOOKUP($A221,Planilha2!$P$2:$P$38,Planilha2!$T$2:$T$38,"",-1),_xlfn.IFS(ISNUMBER(SEARCH("positiva",_xlpm.t)),"Positiva",ISNUMBER(SEARCH("negativa",_xlpm.t)),"Negativa",ISNUMBER(SEARCH("estável",_xlpm.t)),"Estável",TRUE,"n/d")))</f>
        <v>Estável</v>
      </c>
      <c r="L221" s="52">
        <f>IFERROR(_xlfn.XLOOKUP(B221,'Agências de Rating Soberano'!$G$2:$G$22,'Agências de Rating Soberano'!$H$2:$H$22),NA())</f>
        <v>8</v>
      </c>
      <c r="M221" s="52">
        <f>IFERROR(_xlfn.XLOOKUP(C221,'Agências de Rating Soberano'!$G$2:$G$22,'Agências de Rating Soberano'!$H$2:$H$22),NA())</f>
        <v>9</v>
      </c>
      <c r="N221" s="52">
        <f>IFERROR(_xlfn.XLOOKUP(E221,'Agências de Rating Soberano'!$J$2:$J$22,'Agências de Rating Soberano'!$K$2:$K$22),NA())</f>
        <v>9</v>
      </c>
      <c r="O221" s="52">
        <f>IFERROR(_xlfn.XLOOKUP(F221,'Agências de Rating Soberano'!$J$2:$J$22,'Agências de Rating Soberano'!$K$2:$K$22),NA())</f>
        <v>9</v>
      </c>
      <c r="P221" s="52">
        <f>IFERROR(_xlfn.XLOOKUP(H221,'Agências de Rating Soberano'!$J$2:$J$22,'Agências de Rating Soberano'!$K$2:$K$22),NA())</f>
        <v>8</v>
      </c>
      <c r="Q221" s="52">
        <f>IFERROR(_xlfn.XLOOKUP(I221,'Agências de Rating Soberano'!$J$2:$J$22,'Agências de Rating Soberano'!$K$2:$K$22),NA())</f>
        <v>10</v>
      </c>
    </row>
    <row r="222" spans="1:17" x14ac:dyDescent="0.3">
      <c r="A222" s="53">
        <f t="shared" si="10"/>
        <v>38442</v>
      </c>
      <c r="B222" t="str">
        <f>IFERROR(_xlfn.XLOOKUP($A222,Planilha2!$A$2:$A$34,Planilha2!C$2:C$34,"",-1),"")</f>
        <v>B1</v>
      </c>
      <c r="C222" t="str">
        <f>IFERROR(_xlfn.XLOOKUP($A222,Planilha2!$A$2:$A$34,Planilha2!D$2:D$34,"",-1),"")</f>
        <v>Ba3</v>
      </c>
      <c r="D222" t="str" cm="1">
        <f t="array" ref="D222">IF($A222&lt;MIN(Planilha2!$A$2:$A$34),"",_xlfn.LET(_xlpm.t,_xlfn.XLOOKUP($A222,Planilha2!$A$2:$A$34,Planilha2!$E$2:$E$34,"",-1),_xlfn.IFS(ISNUMBER(SEARCH("positiva",_xlpm.t)),"Positiva",ISNUMBER(SEARCH("negativa",_xlpm.t)),"Negativa",ISNUMBER(SEARCH("estável",_xlpm.t)),"Estável",TRUE,"n/d")))</f>
        <v>Positiva</v>
      </c>
      <c r="E222" t="str">
        <f>IFERROR(_xlfn.XLOOKUP($A222,Planilha2!$J$2:$J$44,Planilha2!L$2:L$44,"",-1),"")</f>
        <v>BB-</v>
      </c>
      <c r="F222" t="str">
        <f>IFERROR(_xlfn.XLOOKUP($A222,Planilha2!$J$2:$J$44,Planilha2!M$2:M$44,"",-1),"")</f>
        <v>BB-</v>
      </c>
      <c r="G222" t="str" cm="1">
        <f t="array" ref="G222">IF($A222&lt;MIN(Planilha2!$J$2:$J$44),"",_xlfn.LET(_xlpm.t,_xlfn.XLOOKUP($A222,Planilha2!$J$2:$J$44,Planilha2!$N$2:$N$44,"",-1),_xlfn.IFS(ISNUMBER(SEARCH("positiva",_xlpm.t)),"Positiva",ISNUMBER(SEARCH("negativa",_xlpm.t)),"Negativa",ISNUMBER(SEARCH("estável",_xlpm.t)),"Estável",TRUE,"n/d")))</f>
        <v>Estável</v>
      </c>
      <c r="H222" t="str">
        <f>IFERROR(_xlfn.XLOOKUP($A222,Planilha2!$P$2:$P$38,Planilha2!R$2:R$38,"",-1),"")</f>
        <v>B+</v>
      </c>
      <c r="I222" t="str">
        <f>IFERROR(_xlfn.XLOOKUP($A222,Planilha2!$P$2:$P$38,Planilha2!S$2:S$38,"",-1),"")</f>
        <v>BB</v>
      </c>
      <c r="J222" t="str" cm="1">
        <f t="array" ref="J222">IF($A222&lt;MIN(Planilha2!$P$2:$P$38),"",_xlfn.LET(_xlpm.t,_xlfn.XLOOKUP($A222,Planilha2!$P$2:$P$38,Planilha2!$T$2:$T$38,"",-1),_xlfn.IFS(ISNUMBER(SEARCH("positiva",_xlpm.t)),"Positiva",ISNUMBER(SEARCH("negativa",_xlpm.t)),"Negativa",ISNUMBER(SEARCH("estável",_xlpm.t)),"Estável",TRUE,"n/d")))</f>
        <v>Estável</v>
      </c>
      <c r="L222" s="52">
        <f>IFERROR(_xlfn.XLOOKUP(B222,'Agências de Rating Soberano'!$G$2:$G$22,'Agências de Rating Soberano'!$H$2:$H$22),NA())</f>
        <v>8</v>
      </c>
      <c r="M222" s="52">
        <f>IFERROR(_xlfn.XLOOKUP(C222,'Agências de Rating Soberano'!$G$2:$G$22,'Agências de Rating Soberano'!$H$2:$H$22),NA())</f>
        <v>9</v>
      </c>
      <c r="N222" s="52">
        <f>IFERROR(_xlfn.XLOOKUP(E222,'Agências de Rating Soberano'!$J$2:$J$22,'Agências de Rating Soberano'!$K$2:$K$22),NA())</f>
        <v>9</v>
      </c>
      <c r="O222" s="52">
        <f>IFERROR(_xlfn.XLOOKUP(F222,'Agências de Rating Soberano'!$J$2:$J$22,'Agências de Rating Soberano'!$K$2:$K$22),NA())</f>
        <v>9</v>
      </c>
      <c r="P222" s="52">
        <f>IFERROR(_xlfn.XLOOKUP(H222,'Agências de Rating Soberano'!$J$2:$J$22,'Agências de Rating Soberano'!$K$2:$K$22),NA())</f>
        <v>8</v>
      </c>
      <c r="Q222" s="52">
        <f>IFERROR(_xlfn.XLOOKUP(I222,'Agências de Rating Soberano'!$J$2:$J$22,'Agências de Rating Soberano'!$K$2:$K$22),NA())</f>
        <v>10</v>
      </c>
    </row>
    <row r="223" spans="1:17" x14ac:dyDescent="0.3">
      <c r="A223" s="53">
        <f t="shared" si="10"/>
        <v>38472</v>
      </c>
      <c r="B223" t="str">
        <f>IFERROR(_xlfn.XLOOKUP($A223,Planilha2!$A$2:$A$34,Planilha2!C$2:C$34,"",-1),"")</f>
        <v>B1</v>
      </c>
      <c r="C223" t="str">
        <f>IFERROR(_xlfn.XLOOKUP($A223,Planilha2!$A$2:$A$34,Planilha2!D$2:D$34,"",-1),"")</f>
        <v>Ba3</v>
      </c>
      <c r="D223" t="str" cm="1">
        <f t="array" ref="D223">IF($A223&lt;MIN(Planilha2!$A$2:$A$34),"",_xlfn.LET(_xlpm.t,_xlfn.XLOOKUP($A223,Planilha2!$A$2:$A$34,Planilha2!$E$2:$E$34,"",-1),_xlfn.IFS(ISNUMBER(SEARCH("positiva",_xlpm.t)),"Positiva",ISNUMBER(SEARCH("negativa",_xlpm.t)),"Negativa",ISNUMBER(SEARCH("estável",_xlpm.t)),"Estável",TRUE,"n/d")))</f>
        <v>Positiva</v>
      </c>
      <c r="E223" t="str">
        <f>IFERROR(_xlfn.XLOOKUP($A223,Planilha2!$J$2:$J$44,Planilha2!L$2:L$44,"",-1),"")</f>
        <v>BB-</v>
      </c>
      <c r="F223" t="str">
        <f>IFERROR(_xlfn.XLOOKUP($A223,Planilha2!$J$2:$J$44,Planilha2!M$2:M$44,"",-1),"")</f>
        <v>BB-</v>
      </c>
      <c r="G223" t="str" cm="1">
        <f t="array" ref="G223">IF($A223&lt;MIN(Planilha2!$J$2:$J$44),"",_xlfn.LET(_xlpm.t,_xlfn.XLOOKUP($A223,Planilha2!$J$2:$J$44,Planilha2!$N$2:$N$44,"",-1),_xlfn.IFS(ISNUMBER(SEARCH("positiva",_xlpm.t)),"Positiva",ISNUMBER(SEARCH("negativa",_xlpm.t)),"Negativa",ISNUMBER(SEARCH("estável",_xlpm.t)),"Estável",TRUE,"n/d")))</f>
        <v>Estável</v>
      </c>
      <c r="H223" t="str">
        <f>IFERROR(_xlfn.XLOOKUP($A223,Planilha2!$P$2:$P$38,Planilha2!R$2:R$38,"",-1),"")</f>
        <v>B+</v>
      </c>
      <c r="I223" t="str">
        <f>IFERROR(_xlfn.XLOOKUP($A223,Planilha2!$P$2:$P$38,Planilha2!S$2:S$38,"",-1),"")</f>
        <v>BB</v>
      </c>
      <c r="J223" t="str" cm="1">
        <f t="array" ref="J223">IF($A223&lt;MIN(Planilha2!$P$2:$P$38),"",_xlfn.LET(_xlpm.t,_xlfn.XLOOKUP($A223,Planilha2!$P$2:$P$38,Planilha2!$T$2:$T$38,"",-1),_xlfn.IFS(ISNUMBER(SEARCH("positiva",_xlpm.t)),"Positiva",ISNUMBER(SEARCH("negativa",_xlpm.t)),"Negativa",ISNUMBER(SEARCH("estável",_xlpm.t)),"Estável",TRUE,"n/d")))</f>
        <v>Estável</v>
      </c>
      <c r="L223" s="52">
        <f>IFERROR(_xlfn.XLOOKUP(B223,'Agências de Rating Soberano'!$G$2:$G$22,'Agências de Rating Soberano'!$H$2:$H$22),NA())</f>
        <v>8</v>
      </c>
      <c r="M223" s="52">
        <f>IFERROR(_xlfn.XLOOKUP(C223,'Agências de Rating Soberano'!$G$2:$G$22,'Agências de Rating Soberano'!$H$2:$H$22),NA())</f>
        <v>9</v>
      </c>
      <c r="N223" s="52">
        <f>IFERROR(_xlfn.XLOOKUP(E223,'Agências de Rating Soberano'!$J$2:$J$22,'Agências de Rating Soberano'!$K$2:$K$22),NA())</f>
        <v>9</v>
      </c>
      <c r="O223" s="52">
        <f>IFERROR(_xlfn.XLOOKUP(F223,'Agências de Rating Soberano'!$J$2:$J$22,'Agências de Rating Soberano'!$K$2:$K$22),NA())</f>
        <v>9</v>
      </c>
      <c r="P223" s="52">
        <f>IFERROR(_xlfn.XLOOKUP(H223,'Agências de Rating Soberano'!$J$2:$J$22,'Agências de Rating Soberano'!$K$2:$K$22),NA())</f>
        <v>8</v>
      </c>
      <c r="Q223" s="52">
        <f>IFERROR(_xlfn.XLOOKUP(I223,'Agências de Rating Soberano'!$J$2:$J$22,'Agências de Rating Soberano'!$K$2:$K$22),NA())</f>
        <v>10</v>
      </c>
    </row>
    <row r="224" spans="1:17" x14ac:dyDescent="0.3">
      <c r="A224" s="53">
        <f t="shared" si="10"/>
        <v>38503</v>
      </c>
      <c r="B224" t="str">
        <f>IFERROR(_xlfn.XLOOKUP($A224,Planilha2!$A$2:$A$34,Planilha2!C$2:C$34,"",-1),"")</f>
        <v>B1</v>
      </c>
      <c r="C224" t="str">
        <f>IFERROR(_xlfn.XLOOKUP($A224,Planilha2!$A$2:$A$34,Planilha2!D$2:D$34,"",-1),"")</f>
        <v>Ba3</v>
      </c>
      <c r="D224" t="str" cm="1">
        <f t="array" ref="D224">IF($A224&lt;MIN(Planilha2!$A$2:$A$34),"",_xlfn.LET(_xlpm.t,_xlfn.XLOOKUP($A224,Planilha2!$A$2:$A$34,Planilha2!$E$2:$E$34,"",-1),_xlfn.IFS(ISNUMBER(SEARCH("positiva",_xlpm.t)),"Positiva",ISNUMBER(SEARCH("negativa",_xlpm.t)),"Negativa",ISNUMBER(SEARCH("estável",_xlpm.t)),"Estável",TRUE,"n/d")))</f>
        <v>Positiva</v>
      </c>
      <c r="E224" t="str">
        <f>IFERROR(_xlfn.XLOOKUP($A224,Planilha2!$J$2:$J$44,Planilha2!L$2:L$44,"",-1),"")</f>
        <v>BB-</v>
      </c>
      <c r="F224" t="str">
        <f>IFERROR(_xlfn.XLOOKUP($A224,Planilha2!$J$2:$J$44,Planilha2!M$2:M$44,"",-1),"")</f>
        <v>BB-</v>
      </c>
      <c r="G224" t="str" cm="1">
        <f t="array" ref="G224">IF($A224&lt;MIN(Planilha2!$J$2:$J$44),"",_xlfn.LET(_xlpm.t,_xlfn.XLOOKUP($A224,Planilha2!$J$2:$J$44,Planilha2!$N$2:$N$44,"",-1),_xlfn.IFS(ISNUMBER(SEARCH("positiva",_xlpm.t)),"Positiva",ISNUMBER(SEARCH("negativa",_xlpm.t)),"Negativa",ISNUMBER(SEARCH("estável",_xlpm.t)),"Estável",TRUE,"n/d")))</f>
        <v>Estável</v>
      </c>
      <c r="H224" t="str">
        <f>IFERROR(_xlfn.XLOOKUP($A224,Planilha2!$P$2:$P$38,Planilha2!R$2:R$38,"",-1),"")</f>
        <v>B+</v>
      </c>
      <c r="I224" t="str">
        <f>IFERROR(_xlfn.XLOOKUP($A224,Planilha2!$P$2:$P$38,Planilha2!S$2:S$38,"",-1),"")</f>
        <v>BB</v>
      </c>
      <c r="J224" t="str" cm="1">
        <f t="array" ref="J224">IF($A224&lt;MIN(Planilha2!$P$2:$P$38),"",_xlfn.LET(_xlpm.t,_xlfn.XLOOKUP($A224,Planilha2!$P$2:$P$38,Planilha2!$T$2:$T$38,"",-1),_xlfn.IFS(ISNUMBER(SEARCH("positiva",_xlpm.t)),"Positiva",ISNUMBER(SEARCH("negativa",_xlpm.t)),"Negativa",ISNUMBER(SEARCH("estável",_xlpm.t)),"Estável",TRUE,"n/d")))</f>
        <v>Estável</v>
      </c>
      <c r="L224" s="52">
        <f>IFERROR(_xlfn.XLOOKUP(B224,'Agências de Rating Soberano'!$G$2:$G$22,'Agências de Rating Soberano'!$H$2:$H$22),NA())</f>
        <v>8</v>
      </c>
      <c r="M224" s="52">
        <f>IFERROR(_xlfn.XLOOKUP(C224,'Agências de Rating Soberano'!$G$2:$G$22,'Agências de Rating Soberano'!$H$2:$H$22),NA())</f>
        <v>9</v>
      </c>
      <c r="N224" s="52">
        <f>IFERROR(_xlfn.XLOOKUP(E224,'Agências de Rating Soberano'!$J$2:$J$22,'Agências de Rating Soberano'!$K$2:$K$22),NA())</f>
        <v>9</v>
      </c>
      <c r="O224" s="52">
        <f>IFERROR(_xlfn.XLOOKUP(F224,'Agências de Rating Soberano'!$J$2:$J$22,'Agências de Rating Soberano'!$K$2:$K$22),NA())</f>
        <v>9</v>
      </c>
      <c r="P224" s="52">
        <f>IFERROR(_xlfn.XLOOKUP(H224,'Agências de Rating Soberano'!$J$2:$J$22,'Agências de Rating Soberano'!$K$2:$K$22),NA())</f>
        <v>8</v>
      </c>
      <c r="Q224" s="52">
        <f>IFERROR(_xlfn.XLOOKUP(I224,'Agências de Rating Soberano'!$J$2:$J$22,'Agências de Rating Soberano'!$K$2:$K$22),NA())</f>
        <v>10</v>
      </c>
    </row>
    <row r="225" spans="1:17" x14ac:dyDescent="0.3">
      <c r="A225" s="53">
        <f t="shared" si="10"/>
        <v>38533</v>
      </c>
      <c r="B225" t="str">
        <f>IFERROR(_xlfn.XLOOKUP($A225,Planilha2!$A$2:$A$34,Planilha2!C$2:C$34,"",-1),"")</f>
        <v>B1</v>
      </c>
      <c r="C225" t="str">
        <f>IFERROR(_xlfn.XLOOKUP($A225,Planilha2!$A$2:$A$34,Planilha2!D$2:D$34,"",-1),"")</f>
        <v>Ba3</v>
      </c>
      <c r="D225" t="str" cm="1">
        <f t="array" ref="D225">IF($A225&lt;MIN(Planilha2!$A$2:$A$34),"",_xlfn.LET(_xlpm.t,_xlfn.XLOOKUP($A225,Planilha2!$A$2:$A$34,Planilha2!$E$2:$E$34,"",-1),_xlfn.IFS(ISNUMBER(SEARCH("positiva",_xlpm.t)),"Positiva",ISNUMBER(SEARCH("negativa",_xlpm.t)),"Negativa",ISNUMBER(SEARCH("estável",_xlpm.t)),"Estável",TRUE,"n/d")))</f>
        <v>Positiva</v>
      </c>
      <c r="E225" t="str">
        <f>IFERROR(_xlfn.XLOOKUP($A225,Planilha2!$J$2:$J$44,Planilha2!L$2:L$44,"",-1),"")</f>
        <v>BB-</v>
      </c>
      <c r="F225" t="str">
        <f>IFERROR(_xlfn.XLOOKUP($A225,Planilha2!$J$2:$J$44,Planilha2!M$2:M$44,"",-1),"")</f>
        <v>BB-</v>
      </c>
      <c r="G225" t="str" cm="1">
        <f t="array" ref="G225">IF($A225&lt;MIN(Planilha2!$J$2:$J$44),"",_xlfn.LET(_xlpm.t,_xlfn.XLOOKUP($A225,Planilha2!$J$2:$J$44,Planilha2!$N$2:$N$44,"",-1),_xlfn.IFS(ISNUMBER(SEARCH("positiva",_xlpm.t)),"Positiva",ISNUMBER(SEARCH("negativa",_xlpm.t)),"Negativa",ISNUMBER(SEARCH("estável",_xlpm.t)),"Estável",TRUE,"n/d")))</f>
        <v>Estável</v>
      </c>
      <c r="H225" t="str">
        <f>IFERROR(_xlfn.XLOOKUP($A225,Planilha2!$P$2:$P$38,Planilha2!R$2:R$38,"",-1),"")</f>
        <v>B+</v>
      </c>
      <c r="I225" t="str">
        <f>IFERROR(_xlfn.XLOOKUP($A225,Planilha2!$P$2:$P$38,Planilha2!S$2:S$38,"",-1),"")</f>
        <v>BB</v>
      </c>
      <c r="J225" t="str" cm="1">
        <f t="array" ref="J225">IF($A225&lt;MIN(Planilha2!$P$2:$P$38),"",_xlfn.LET(_xlpm.t,_xlfn.XLOOKUP($A225,Planilha2!$P$2:$P$38,Planilha2!$T$2:$T$38,"",-1),_xlfn.IFS(ISNUMBER(SEARCH("positiva",_xlpm.t)),"Positiva",ISNUMBER(SEARCH("negativa",_xlpm.t)),"Negativa",ISNUMBER(SEARCH("estável",_xlpm.t)),"Estável",TRUE,"n/d")))</f>
        <v>Estável</v>
      </c>
      <c r="L225" s="52">
        <f>IFERROR(_xlfn.XLOOKUP(B225,'Agências de Rating Soberano'!$G$2:$G$22,'Agências de Rating Soberano'!$H$2:$H$22),NA())</f>
        <v>8</v>
      </c>
      <c r="M225" s="52">
        <f>IFERROR(_xlfn.XLOOKUP(C225,'Agências de Rating Soberano'!$G$2:$G$22,'Agências de Rating Soberano'!$H$2:$H$22),NA())</f>
        <v>9</v>
      </c>
      <c r="N225" s="52">
        <f>IFERROR(_xlfn.XLOOKUP(E225,'Agências de Rating Soberano'!$J$2:$J$22,'Agências de Rating Soberano'!$K$2:$K$22),NA())</f>
        <v>9</v>
      </c>
      <c r="O225" s="52">
        <f>IFERROR(_xlfn.XLOOKUP(F225,'Agências de Rating Soberano'!$J$2:$J$22,'Agências de Rating Soberano'!$K$2:$K$22),NA())</f>
        <v>9</v>
      </c>
      <c r="P225" s="52">
        <f>IFERROR(_xlfn.XLOOKUP(H225,'Agências de Rating Soberano'!$J$2:$J$22,'Agências de Rating Soberano'!$K$2:$K$22),NA())</f>
        <v>8</v>
      </c>
      <c r="Q225" s="52">
        <f>IFERROR(_xlfn.XLOOKUP(I225,'Agências de Rating Soberano'!$J$2:$J$22,'Agências de Rating Soberano'!$K$2:$K$22),NA())</f>
        <v>10</v>
      </c>
    </row>
    <row r="226" spans="1:17" x14ac:dyDescent="0.3">
      <c r="A226" s="53">
        <f t="shared" si="10"/>
        <v>38564</v>
      </c>
      <c r="B226" t="str">
        <f>IFERROR(_xlfn.XLOOKUP($A226,Planilha2!$A$2:$A$34,Planilha2!C$2:C$34,"",-1),"")</f>
        <v>B1</v>
      </c>
      <c r="C226" t="str">
        <f>IFERROR(_xlfn.XLOOKUP($A226,Planilha2!$A$2:$A$34,Planilha2!D$2:D$34,"",-1),"")</f>
        <v>Ba3</v>
      </c>
      <c r="D226" t="str" cm="1">
        <f t="array" ref="D226">IF($A226&lt;MIN(Planilha2!$A$2:$A$34),"",_xlfn.LET(_xlpm.t,_xlfn.XLOOKUP($A226,Planilha2!$A$2:$A$34,Planilha2!$E$2:$E$34,"",-1),_xlfn.IFS(ISNUMBER(SEARCH("positiva",_xlpm.t)),"Positiva",ISNUMBER(SEARCH("negativa",_xlpm.t)),"Negativa",ISNUMBER(SEARCH("estável",_xlpm.t)),"Estável",TRUE,"n/d")))</f>
        <v>Positiva</v>
      </c>
      <c r="E226" t="str">
        <f>IFERROR(_xlfn.XLOOKUP($A226,Planilha2!$J$2:$J$44,Planilha2!L$2:L$44,"",-1),"")</f>
        <v>BB-</v>
      </c>
      <c r="F226" t="str">
        <f>IFERROR(_xlfn.XLOOKUP($A226,Planilha2!$J$2:$J$44,Planilha2!M$2:M$44,"",-1),"")</f>
        <v>BB-</v>
      </c>
      <c r="G226" t="str" cm="1">
        <f t="array" ref="G226">IF($A226&lt;MIN(Planilha2!$J$2:$J$44),"",_xlfn.LET(_xlpm.t,_xlfn.XLOOKUP($A226,Planilha2!$J$2:$J$44,Planilha2!$N$2:$N$44,"",-1),_xlfn.IFS(ISNUMBER(SEARCH("positiva",_xlpm.t)),"Positiva",ISNUMBER(SEARCH("negativa",_xlpm.t)),"Negativa",ISNUMBER(SEARCH("estável",_xlpm.t)),"Estável",TRUE,"n/d")))</f>
        <v>Estável</v>
      </c>
      <c r="H226" t="str">
        <f>IFERROR(_xlfn.XLOOKUP($A226,Planilha2!$P$2:$P$38,Planilha2!R$2:R$38,"",-1),"")</f>
        <v>B+</v>
      </c>
      <c r="I226" t="str">
        <f>IFERROR(_xlfn.XLOOKUP($A226,Planilha2!$P$2:$P$38,Planilha2!S$2:S$38,"",-1),"")</f>
        <v>BB</v>
      </c>
      <c r="J226" t="str" cm="1">
        <f t="array" ref="J226">IF($A226&lt;MIN(Planilha2!$P$2:$P$38),"",_xlfn.LET(_xlpm.t,_xlfn.XLOOKUP($A226,Planilha2!$P$2:$P$38,Planilha2!$T$2:$T$38,"",-1),_xlfn.IFS(ISNUMBER(SEARCH("positiva",_xlpm.t)),"Positiva",ISNUMBER(SEARCH("negativa",_xlpm.t)),"Negativa",ISNUMBER(SEARCH("estável",_xlpm.t)),"Estável",TRUE,"n/d")))</f>
        <v>Estável</v>
      </c>
      <c r="L226" s="52">
        <f>IFERROR(_xlfn.XLOOKUP(B226,'Agências de Rating Soberano'!$G$2:$G$22,'Agências de Rating Soberano'!$H$2:$H$22),NA())</f>
        <v>8</v>
      </c>
      <c r="M226" s="52">
        <f>IFERROR(_xlfn.XLOOKUP(C226,'Agências de Rating Soberano'!$G$2:$G$22,'Agências de Rating Soberano'!$H$2:$H$22),NA())</f>
        <v>9</v>
      </c>
      <c r="N226" s="52">
        <f>IFERROR(_xlfn.XLOOKUP(E226,'Agências de Rating Soberano'!$J$2:$J$22,'Agências de Rating Soberano'!$K$2:$K$22),NA())</f>
        <v>9</v>
      </c>
      <c r="O226" s="52">
        <f>IFERROR(_xlfn.XLOOKUP(F226,'Agências de Rating Soberano'!$J$2:$J$22,'Agências de Rating Soberano'!$K$2:$K$22),NA())</f>
        <v>9</v>
      </c>
      <c r="P226" s="52">
        <f>IFERROR(_xlfn.XLOOKUP(H226,'Agências de Rating Soberano'!$J$2:$J$22,'Agências de Rating Soberano'!$K$2:$K$22),NA())</f>
        <v>8</v>
      </c>
      <c r="Q226" s="52">
        <f>IFERROR(_xlfn.XLOOKUP(I226,'Agências de Rating Soberano'!$J$2:$J$22,'Agências de Rating Soberano'!$K$2:$K$22),NA())</f>
        <v>10</v>
      </c>
    </row>
    <row r="227" spans="1:17" x14ac:dyDescent="0.3">
      <c r="A227" s="53">
        <f t="shared" si="10"/>
        <v>38595</v>
      </c>
      <c r="B227" t="str">
        <f>IFERROR(_xlfn.XLOOKUP($A227,Planilha2!$A$2:$A$34,Planilha2!C$2:C$34,"",-1),"")</f>
        <v>B1</v>
      </c>
      <c r="C227" t="str">
        <f>IFERROR(_xlfn.XLOOKUP($A227,Planilha2!$A$2:$A$34,Planilha2!D$2:D$34,"",-1),"")</f>
        <v>Ba3</v>
      </c>
      <c r="D227" t="str" cm="1">
        <f t="array" ref="D227">IF($A227&lt;MIN(Planilha2!$A$2:$A$34),"",_xlfn.LET(_xlpm.t,_xlfn.XLOOKUP($A227,Planilha2!$A$2:$A$34,Planilha2!$E$2:$E$34,"",-1),_xlfn.IFS(ISNUMBER(SEARCH("positiva",_xlpm.t)),"Positiva",ISNUMBER(SEARCH("negativa",_xlpm.t)),"Negativa",ISNUMBER(SEARCH("estável",_xlpm.t)),"Estável",TRUE,"n/d")))</f>
        <v>Positiva</v>
      </c>
      <c r="E227" t="str">
        <f>IFERROR(_xlfn.XLOOKUP($A227,Planilha2!$J$2:$J$44,Planilha2!L$2:L$44,"",-1),"")</f>
        <v>BB-</v>
      </c>
      <c r="F227" t="str">
        <f>IFERROR(_xlfn.XLOOKUP($A227,Planilha2!$J$2:$J$44,Planilha2!M$2:M$44,"",-1),"")</f>
        <v>BB-</v>
      </c>
      <c r="G227" t="str" cm="1">
        <f t="array" ref="G227">IF($A227&lt;MIN(Planilha2!$J$2:$J$44),"",_xlfn.LET(_xlpm.t,_xlfn.XLOOKUP($A227,Planilha2!$J$2:$J$44,Planilha2!$N$2:$N$44,"",-1),_xlfn.IFS(ISNUMBER(SEARCH("positiva",_xlpm.t)),"Positiva",ISNUMBER(SEARCH("negativa",_xlpm.t)),"Negativa",ISNUMBER(SEARCH("estável",_xlpm.t)),"Estável",TRUE,"n/d")))</f>
        <v>Estável</v>
      </c>
      <c r="H227" t="str">
        <f>IFERROR(_xlfn.XLOOKUP($A227,Planilha2!$P$2:$P$38,Planilha2!R$2:R$38,"",-1),"")</f>
        <v>B+</v>
      </c>
      <c r="I227" t="str">
        <f>IFERROR(_xlfn.XLOOKUP($A227,Planilha2!$P$2:$P$38,Planilha2!S$2:S$38,"",-1),"")</f>
        <v>BB</v>
      </c>
      <c r="J227" t="str" cm="1">
        <f t="array" ref="J227">IF($A227&lt;MIN(Planilha2!$P$2:$P$38),"",_xlfn.LET(_xlpm.t,_xlfn.XLOOKUP($A227,Planilha2!$P$2:$P$38,Planilha2!$T$2:$T$38,"",-1),_xlfn.IFS(ISNUMBER(SEARCH("positiva",_xlpm.t)),"Positiva",ISNUMBER(SEARCH("negativa",_xlpm.t)),"Negativa",ISNUMBER(SEARCH("estável",_xlpm.t)),"Estável",TRUE,"n/d")))</f>
        <v>Estável</v>
      </c>
      <c r="L227" s="52">
        <f>IFERROR(_xlfn.XLOOKUP(B227,'Agências de Rating Soberano'!$G$2:$G$22,'Agências de Rating Soberano'!$H$2:$H$22),NA())</f>
        <v>8</v>
      </c>
      <c r="M227" s="52">
        <f>IFERROR(_xlfn.XLOOKUP(C227,'Agências de Rating Soberano'!$G$2:$G$22,'Agências de Rating Soberano'!$H$2:$H$22),NA())</f>
        <v>9</v>
      </c>
      <c r="N227" s="52">
        <f>IFERROR(_xlfn.XLOOKUP(E227,'Agências de Rating Soberano'!$J$2:$J$22,'Agências de Rating Soberano'!$K$2:$K$22),NA())</f>
        <v>9</v>
      </c>
      <c r="O227" s="52">
        <f>IFERROR(_xlfn.XLOOKUP(F227,'Agências de Rating Soberano'!$J$2:$J$22,'Agências de Rating Soberano'!$K$2:$K$22),NA())</f>
        <v>9</v>
      </c>
      <c r="P227" s="52">
        <f>IFERROR(_xlfn.XLOOKUP(H227,'Agências de Rating Soberano'!$J$2:$J$22,'Agências de Rating Soberano'!$K$2:$K$22),NA())</f>
        <v>8</v>
      </c>
      <c r="Q227" s="52">
        <f>IFERROR(_xlfn.XLOOKUP(I227,'Agências de Rating Soberano'!$J$2:$J$22,'Agências de Rating Soberano'!$K$2:$K$22),NA())</f>
        <v>10</v>
      </c>
    </row>
    <row r="228" spans="1:17" x14ac:dyDescent="0.3">
      <c r="A228" s="53">
        <f t="shared" si="10"/>
        <v>38625</v>
      </c>
      <c r="B228" t="str">
        <f>IFERROR(_xlfn.XLOOKUP($A228,Planilha2!$A$2:$A$34,Planilha2!C$2:C$34,"",-1),"")</f>
        <v>B1</v>
      </c>
      <c r="C228" t="str">
        <f>IFERROR(_xlfn.XLOOKUP($A228,Planilha2!$A$2:$A$34,Planilha2!D$2:D$34,"",-1),"")</f>
        <v>Ba3</v>
      </c>
      <c r="D228" t="str" cm="1">
        <f t="array" ref="D228">IF($A228&lt;MIN(Planilha2!$A$2:$A$34),"",_xlfn.LET(_xlpm.t,_xlfn.XLOOKUP($A228,Planilha2!$A$2:$A$34,Planilha2!$E$2:$E$34,"",-1),_xlfn.IFS(ISNUMBER(SEARCH("positiva",_xlpm.t)),"Positiva",ISNUMBER(SEARCH("negativa",_xlpm.t)),"Negativa",ISNUMBER(SEARCH("estável",_xlpm.t)),"Estável",TRUE,"n/d")))</f>
        <v>Positiva</v>
      </c>
      <c r="E228" t="str">
        <f>IFERROR(_xlfn.XLOOKUP($A228,Planilha2!$J$2:$J$44,Planilha2!L$2:L$44,"",-1),"")</f>
        <v>BB-</v>
      </c>
      <c r="F228" t="str">
        <f>IFERROR(_xlfn.XLOOKUP($A228,Planilha2!$J$2:$J$44,Planilha2!M$2:M$44,"",-1),"")</f>
        <v>BB-</v>
      </c>
      <c r="G228" t="str" cm="1">
        <f t="array" ref="G228">IF($A228&lt;MIN(Planilha2!$J$2:$J$44),"",_xlfn.LET(_xlpm.t,_xlfn.XLOOKUP($A228,Planilha2!$J$2:$J$44,Planilha2!$N$2:$N$44,"",-1),_xlfn.IFS(ISNUMBER(SEARCH("positiva",_xlpm.t)),"Positiva",ISNUMBER(SEARCH("negativa",_xlpm.t)),"Negativa",ISNUMBER(SEARCH("estável",_xlpm.t)),"Estável",TRUE,"n/d")))</f>
        <v>Estável</v>
      </c>
      <c r="H228" t="str">
        <f>IFERROR(_xlfn.XLOOKUP($A228,Planilha2!$P$2:$P$38,Planilha2!R$2:R$38,"",-1),"")</f>
        <v>B+</v>
      </c>
      <c r="I228" t="str">
        <f>IFERROR(_xlfn.XLOOKUP($A228,Planilha2!$P$2:$P$38,Planilha2!S$2:S$38,"",-1),"")</f>
        <v>BB</v>
      </c>
      <c r="J228" t="str" cm="1">
        <f t="array" ref="J228">IF($A228&lt;MIN(Planilha2!$P$2:$P$38),"",_xlfn.LET(_xlpm.t,_xlfn.XLOOKUP($A228,Planilha2!$P$2:$P$38,Planilha2!$T$2:$T$38,"",-1),_xlfn.IFS(ISNUMBER(SEARCH("positiva",_xlpm.t)),"Positiva",ISNUMBER(SEARCH("negativa",_xlpm.t)),"Negativa",ISNUMBER(SEARCH("estável",_xlpm.t)),"Estável",TRUE,"n/d")))</f>
        <v>Estável</v>
      </c>
      <c r="L228" s="52">
        <f>IFERROR(_xlfn.XLOOKUP(B228,'Agências de Rating Soberano'!$G$2:$G$22,'Agências de Rating Soberano'!$H$2:$H$22),NA())</f>
        <v>8</v>
      </c>
      <c r="M228" s="52">
        <f>IFERROR(_xlfn.XLOOKUP(C228,'Agências de Rating Soberano'!$G$2:$G$22,'Agências de Rating Soberano'!$H$2:$H$22),NA())</f>
        <v>9</v>
      </c>
      <c r="N228" s="52">
        <f>IFERROR(_xlfn.XLOOKUP(E228,'Agências de Rating Soberano'!$J$2:$J$22,'Agências de Rating Soberano'!$K$2:$K$22),NA())</f>
        <v>9</v>
      </c>
      <c r="O228" s="52">
        <f>IFERROR(_xlfn.XLOOKUP(F228,'Agências de Rating Soberano'!$J$2:$J$22,'Agências de Rating Soberano'!$K$2:$K$22),NA())</f>
        <v>9</v>
      </c>
      <c r="P228" s="52">
        <f>IFERROR(_xlfn.XLOOKUP(H228,'Agências de Rating Soberano'!$J$2:$J$22,'Agências de Rating Soberano'!$K$2:$K$22),NA())</f>
        <v>8</v>
      </c>
      <c r="Q228" s="52">
        <f>IFERROR(_xlfn.XLOOKUP(I228,'Agências de Rating Soberano'!$J$2:$J$22,'Agências de Rating Soberano'!$K$2:$K$22),NA())</f>
        <v>10</v>
      </c>
    </row>
    <row r="229" spans="1:17" x14ac:dyDescent="0.3">
      <c r="A229" s="53">
        <f t="shared" si="10"/>
        <v>38656</v>
      </c>
      <c r="B229" t="str">
        <f>IFERROR(_xlfn.XLOOKUP($A229,Planilha2!$A$2:$A$34,Planilha2!C$2:C$34,"",-1),"")</f>
        <v>Ba3</v>
      </c>
      <c r="C229" t="str">
        <f>IFERROR(_xlfn.XLOOKUP($A229,Planilha2!$A$2:$A$34,Planilha2!D$2:D$34,"",-1),"")</f>
        <v>Ba3</v>
      </c>
      <c r="D229" t="str" cm="1">
        <f t="array" ref="D229">IF($A229&lt;MIN(Planilha2!$A$2:$A$34),"",_xlfn.LET(_xlpm.t,_xlfn.XLOOKUP($A229,Planilha2!$A$2:$A$34,Planilha2!$E$2:$E$34,"",-1),_xlfn.IFS(ISNUMBER(SEARCH("positiva",_xlpm.t)),"Positiva",ISNUMBER(SEARCH("negativa",_xlpm.t)),"Negativa",ISNUMBER(SEARCH("estável",_xlpm.t)),"Estável",TRUE,"n/d")))</f>
        <v>Positiva</v>
      </c>
      <c r="E229" t="str">
        <f>IFERROR(_xlfn.XLOOKUP($A229,Planilha2!$J$2:$J$44,Planilha2!L$2:L$44,"",-1),"")</f>
        <v>BB-</v>
      </c>
      <c r="F229" t="str">
        <f>IFERROR(_xlfn.XLOOKUP($A229,Planilha2!$J$2:$J$44,Planilha2!M$2:M$44,"",-1),"")</f>
        <v>BB-</v>
      </c>
      <c r="G229" t="str" cm="1">
        <f t="array" ref="G229">IF($A229&lt;MIN(Planilha2!$J$2:$J$44),"",_xlfn.LET(_xlpm.t,_xlfn.XLOOKUP($A229,Planilha2!$J$2:$J$44,Planilha2!$N$2:$N$44,"",-1),_xlfn.IFS(ISNUMBER(SEARCH("positiva",_xlpm.t)),"Positiva",ISNUMBER(SEARCH("negativa",_xlpm.t)),"Negativa",ISNUMBER(SEARCH("estável",_xlpm.t)),"Estável",TRUE,"n/d")))</f>
        <v>Estável</v>
      </c>
      <c r="H229" t="str">
        <f>IFERROR(_xlfn.XLOOKUP($A229,Planilha2!$P$2:$P$38,Planilha2!R$2:R$38,"",-1),"")</f>
        <v>B+</v>
      </c>
      <c r="I229" t="str">
        <f>IFERROR(_xlfn.XLOOKUP($A229,Planilha2!$P$2:$P$38,Planilha2!S$2:S$38,"",-1),"")</f>
        <v>BB</v>
      </c>
      <c r="J229" t="str" cm="1">
        <f t="array" ref="J229">IF($A229&lt;MIN(Planilha2!$P$2:$P$38),"",_xlfn.LET(_xlpm.t,_xlfn.XLOOKUP($A229,Planilha2!$P$2:$P$38,Planilha2!$T$2:$T$38,"",-1),_xlfn.IFS(ISNUMBER(SEARCH("positiva",_xlpm.t)),"Positiva",ISNUMBER(SEARCH("negativa",_xlpm.t)),"Negativa",ISNUMBER(SEARCH("estável",_xlpm.t)),"Estável",TRUE,"n/d")))</f>
        <v>Estável</v>
      </c>
      <c r="L229" s="52">
        <f>IFERROR(_xlfn.XLOOKUP(B229,'Agências de Rating Soberano'!$G$2:$G$22,'Agências de Rating Soberano'!$H$2:$H$22),NA())</f>
        <v>9</v>
      </c>
      <c r="M229" s="52">
        <f>IFERROR(_xlfn.XLOOKUP(C229,'Agências de Rating Soberano'!$G$2:$G$22,'Agências de Rating Soberano'!$H$2:$H$22),NA())</f>
        <v>9</v>
      </c>
      <c r="N229" s="52">
        <f>IFERROR(_xlfn.XLOOKUP(E229,'Agências de Rating Soberano'!$J$2:$J$22,'Agências de Rating Soberano'!$K$2:$K$22),NA())</f>
        <v>9</v>
      </c>
      <c r="O229" s="52">
        <f>IFERROR(_xlfn.XLOOKUP(F229,'Agências de Rating Soberano'!$J$2:$J$22,'Agências de Rating Soberano'!$K$2:$K$22),NA())</f>
        <v>9</v>
      </c>
      <c r="P229" s="52">
        <f>IFERROR(_xlfn.XLOOKUP(H229,'Agências de Rating Soberano'!$J$2:$J$22,'Agências de Rating Soberano'!$K$2:$K$22),NA())</f>
        <v>8</v>
      </c>
      <c r="Q229" s="52">
        <f>IFERROR(_xlfn.XLOOKUP(I229,'Agências de Rating Soberano'!$J$2:$J$22,'Agências de Rating Soberano'!$K$2:$K$22),NA())</f>
        <v>10</v>
      </c>
    </row>
    <row r="230" spans="1:17" x14ac:dyDescent="0.3">
      <c r="A230" s="53">
        <f t="shared" si="10"/>
        <v>38686</v>
      </c>
      <c r="B230" t="str">
        <f>IFERROR(_xlfn.XLOOKUP($A230,Planilha2!$A$2:$A$34,Planilha2!C$2:C$34,"",-1),"")</f>
        <v>Ba3</v>
      </c>
      <c r="C230" t="str">
        <f>IFERROR(_xlfn.XLOOKUP($A230,Planilha2!$A$2:$A$34,Planilha2!D$2:D$34,"",-1),"")</f>
        <v>Ba3</v>
      </c>
      <c r="D230" t="str" cm="1">
        <f t="array" ref="D230">IF($A230&lt;MIN(Planilha2!$A$2:$A$34),"",_xlfn.LET(_xlpm.t,_xlfn.XLOOKUP($A230,Planilha2!$A$2:$A$34,Planilha2!$E$2:$E$34,"",-1),_xlfn.IFS(ISNUMBER(SEARCH("positiva",_xlpm.t)),"Positiva",ISNUMBER(SEARCH("negativa",_xlpm.t)),"Negativa",ISNUMBER(SEARCH("estável",_xlpm.t)),"Estável",TRUE,"n/d")))</f>
        <v>Positiva</v>
      </c>
      <c r="E230" t="str">
        <f>IFERROR(_xlfn.XLOOKUP($A230,Planilha2!$J$2:$J$44,Planilha2!L$2:L$44,"",-1),"")</f>
        <v>BB-</v>
      </c>
      <c r="F230" t="str">
        <f>IFERROR(_xlfn.XLOOKUP($A230,Planilha2!$J$2:$J$44,Planilha2!M$2:M$44,"",-1),"")</f>
        <v>BB-</v>
      </c>
      <c r="G230" t="str" cm="1">
        <f t="array" ref="G230">IF($A230&lt;MIN(Planilha2!$J$2:$J$44),"",_xlfn.LET(_xlpm.t,_xlfn.XLOOKUP($A230,Planilha2!$J$2:$J$44,Planilha2!$N$2:$N$44,"",-1),_xlfn.IFS(ISNUMBER(SEARCH("positiva",_xlpm.t)),"Positiva",ISNUMBER(SEARCH("negativa",_xlpm.t)),"Negativa",ISNUMBER(SEARCH("estável",_xlpm.t)),"Estável",TRUE,"n/d")))</f>
        <v>Estável</v>
      </c>
      <c r="H230" t="str">
        <f>IFERROR(_xlfn.XLOOKUP($A230,Planilha2!$P$2:$P$38,Planilha2!R$2:R$38,"",-1),"")</f>
        <v>BB-</v>
      </c>
      <c r="I230" t="str">
        <f>IFERROR(_xlfn.XLOOKUP($A230,Planilha2!$P$2:$P$38,Planilha2!S$2:S$38,"",-1),"")</f>
        <v>BB</v>
      </c>
      <c r="J230" t="str" cm="1">
        <f t="array" ref="J230">IF($A230&lt;MIN(Planilha2!$P$2:$P$38),"",_xlfn.LET(_xlpm.t,_xlfn.XLOOKUP($A230,Planilha2!$P$2:$P$38,Planilha2!$T$2:$T$38,"",-1),_xlfn.IFS(ISNUMBER(SEARCH("positiva",_xlpm.t)),"Positiva",ISNUMBER(SEARCH("negativa",_xlpm.t)),"Negativa",ISNUMBER(SEARCH("estável",_xlpm.t)),"Estável",TRUE,"n/d")))</f>
        <v>Positiva</v>
      </c>
      <c r="L230" s="52">
        <f>IFERROR(_xlfn.XLOOKUP(B230,'Agências de Rating Soberano'!$G$2:$G$22,'Agências de Rating Soberano'!$H$2:$H$22),NA())</f>
        <v>9</v>
      </c>
      <c r="M230" s="52">
        <f>IFERROR(_xlfn.XLOOKUP(C230,'Agências de Rating Soberano'!$G$2:$G$22,'Agências de Rating Soberano'!$H$2:$H$22),NA())</f>
        <v>9</v>
      </c>
      <c r="N230" s="52">
        <f>IFERROR(_xlfn.XLOOKUP(E230,'Agências de Rating Soberano'!$J$2:$J$22,'Agências de Rating Soberano'!$K$2:$K$22),NA())</f>
        <v>9</v>
      </c>
      <c r="O230" s="52">
        <f>IFERROR(_xlfn.XLOOKUP(F230,'Agências de Rating Soberano'!$J$2:$J$22,'Agências de Rating Soberano'!$K$2:$K$22),NA())</f>
        <v>9</v>
      </c>
      <c r="P230" s="52">
        <f>IFERROR(_xlfn.XLOOKUP(H230,'Agências de Rating Soberano'!$J$2:$J$22,'Agências de Rating Soberano'!$K$2:$K$22),NA())</f>
        <v>9</v>
      </c>
      <c r="Q230" s="52">
        <f>IFERROR(_xlfn.XLOOKUP(I230,'Agências de Rating Soberano'!$J$2:$J$22,'Agências de Rating Soberano'!$K$2:$K$22),NA())</f>
        <v>10</v>
      </c>
    </row>
    <row r="231" spans="1:17" x14ac:dyDescent="0.3">
      <c r="A231" s="53">
        <f t="shared" si="10"/>
        <v>38717</v>
      </c>
      <c r="B231" t="str">
        <f>IFERROR(_xlfn.XLOOKUP($A231,Planilha2!$A$2:$A$34,Planilha2!C$2:C$34,"",-1),"")</f>
        <v>Ba3</v>
      </c>
      <c r="C231" t="str">
        <f>IFERROR(_xlfn.XLOOKUP($A231,Planilha2!$A$2:$A$34,Planilha2!D$2:D$34,"",-1),"")</f>
        <v>Ba3</v>
      </c>
      <c r="D231" t="str" cm="1">
        <f t="array" ref="D231">IF($A231&lt;MIN(Planilha2!$A$2:$A$34),"",_xlfn.LET(_xlpm.t,_xlfn.XLOOKUP($A231,Planilha2!$A$2:$A$34,Planilha2!$E$2:$E$34,"",-1),_xlfn.IFS(ISNUMBER(SEARCH("positiva",_xlpm.t)),"Positiva",ISNUMBER(SEARCH("negativa",_xlpm.t)),"Negativa",ISNUMBER(SEARCH("estável",_xlpm.t)),"Estável",TRUE,"n/d")))</f>
        <v>Positiva</v>
      </c>
      <c r="E231" t="str">
        <f>IFERROR(_xlfn.XLOOKUP($A231,Planilha2!$J$2:$J$44,Planilha2!L$2:L$44,"",-1),"")</f>
        <v>BB-</v>
      </c>
      <c r="F231" t="str">
        <f>IFERROR(_xlfn.XLOOKUP($A231,Planilha2!$J$2:$J$44,Planilha2!M$2:M$44,"",-1),"")</f>
        <v>BB-</v>
      </c>
      <c r="G231" t="str" cm="1">
        <f t="array" ref="G231">IF($A231&lt;MIN(Planilha2!$J$2:$J$44),"",_xlfn.LET(_xlpm.t,_xlfn.XLOOKUP($A231,Planilha2!$J$2:$J$44,Planilha2!$N$2:$N$44,"",-1),_xlfn.IFS(ISNUMBER(SEARCH("positiva",_xlpm.t)),"Positiva",ISNUMBER(SEARCH("negativa",_xlpm.t)),"Negativa",ISNUMBER(SEARCH("estável",_xlpm.t)),"Estável",TRUE,"n/d")))</f>
        <v>Estável</v>
      </c>
      <c r="H231" t="str">
        <f>IFERROR(_xlfn.XLOOKUP($A231,Planilha2!$P$2:$P$38,Planilha2!R$2:R$38,"",-1),"")</f>
        <v>BB-</v>
      </c>
      <c r="I231" t="str">
        <f>IFERROR(_xlfn.XLOOKUP($A231,Planilha2!$P$2:$P$38,Planilha2!S$2:S$38,"",-1),"")</f>
        <v>BB</v>
      </c>
      <c r="J231" t="str" cm="1">
        <f t="array" ref="J231">IF($A231&lt;MIN(Planilha2!$P$2:$P$38),"",_xlfn.LET(_xlpm.t,_xlfn.XLOOKUP($A231,Planilha2!$P$2:$P$38,Planilha2!$T$2:$T$38,"",-1),_xlfn.IFS(ISNUMBER(SEARCH("positiva",_xlpm.t)),"Positiva",ISNUMBER(SEARCH("negativa",_xlpm.t)),"Negativa",ISNUMBER(SEARCH("estável",_xlpm.t)),"Estável",TRUE,"n/d")))</f>
        <v>Positiva</v>
      </c>
      <c r="L231" s="52">
        <f>IFERROR(_xlfn.XLOOKUP(B231,'Agências de Rating Soberano'!$G$2:$G$22,'Agências de Rating Soberano'!$H$2:$H$22),NA())</f>
        <v>9</v>
      </c>
      <c r="M231" s="52">
        <f>IFERROR(_xlfn.XLOOKUP(C231,'Agências de Rating Soberano'!$G$2:$G$22,'Agências de Rating Soberano'!$H$2:$H$22),NA())</f>
        <v>9</v>
      </c>
      <c r="N231" s="52">
        <f>IFERROR(_xlfn.XLOOKUP(E231,'Agências de Rating Soberano'!$J$2:$J$22,'Agências de Rating Soberano'!$K$2:$K$22),NA())</f>
        <v>9</v>
      </c>
      <c r="O231" s="52">
        <f>IFERROR(_xlfn.XLOOKUP(F231,'Agências de Rating Soberano'!$J$2:$J$22,'Agências de Rating Soberano'!$K$2:$K$22),NA())</f>
        <v>9</v>
      </c>
      <c r="P231" s="52">
        <f>IFERROR(_xlfn.XLOOKUP(H231,'Agências de Rating Soberano'!$J$2:$J$22,'Agências de Rating Soberano'!$K$2:$K$22),NA())</f>
        <v>9</v>
      </c>
      <c r="Q231" s="52">
        <f>IFERROR(_xlfn.XLOOKUP(I231,'Agências de Rating Soberano'!$J$2:$J$22,'Agências de Rating Soberano'!$K$2:$K$22),NA())</f>
        <v>10</v>
      </c>
    </row>
    <row r="232" spans="1:17" x14ac:dyDescent="0.3">
      <c r="A232" s="53">
        <f t="shared" si="10"/>
        <v>38748</v>
      </c>
      <c r="B232" t="str">
        <f>IFERROR(_xlfn.XLOOKUP($A232,Planilha2!$A$2:$A$34,Planilha2!C$2:C$34,"",-1),"")</f>
        <v>Ba3</v>
      </c>
      <c r="C232" t="str">
        <f>IFERROR(_xlfn.XLOOKUP($A232,Planilha2!$A$2:$A$34,Planilha2!D$2:D$34,"",-1),"")</f>
        <v>Ba3</v>
      </c>
      <c r="D232" t="str" cm="1">
        <f t="array" ref="D232">IF($A232&lt;MIN(Planilha2!$A$2:$A$34),"",_xlfn.LET(_xlpm.t,_xlfn.XLOOKUP($A232,Planilha2!$A$2:$A$34,Planilha2!$E$2:$E$34,"",-1),_xlfn.IFS(ISNUMBER(SEARCH("positiva",_xlpm.t)),"Positiva",ISNUMBER(SEARCH("negativa",_xlpm.t)),"Negativa",ISNUMBER(SEARCH("estável",_xlpm.t)),"Estável",TRUE,"n/d")))</f>
        <v>Positiva</v>
      </c>
      <c r="E232" t="str">
        <f>IFERROR(_xlfn.XLOOKUP($A232,Planilha2!$J$2:$J$44,Planilha2!L$2:L$44,"",-1),"")</f>
        <v>BB-</v>
      </c>
      <c r="F232" t="str">
        <f>IFERROR(_xlfn.XLOOKUP($A232,Planilha2!$J$2:$J$44,Planilha2!M$2:M$44,"",-1),"")</f>
        <v>BB-</v>
      </c>
      <c r="G232" t="str" cm="1">
        <f t="array" ref="G232">IF($A232&lt;MIN(Planilha2!$J$2:$J$44),"",_xlfn.LET(_xlpm.t,_xlfn.XLOOKUP($A232,Planilha2!$J$2:$J$44,Planilha2!$N$2:$N$44,"",-1),_xlfn.IFS(ISNUMBER(SEARCH("positiva",_xlpm.t)),"Positiva",ISNUMBER(SEARCH("negativa",_xlpm.t)),"Negativa",ISNUMBER(SEARCH("estável",_xlpm.t)),"Estável",TRUE,"n/d")))</f>
        <v>Estável</v>
      </c>
      <c r="H232" t="str">
        <f>IFERROR(_xlfn.XLOOKUP($A232,Planilha2!$P$2:$P$38,Planilha2!R$2:R$38,"",-1),"")</f>
        <v>BB-</v>
      </c>
      <c r="I232" t="str">
        <f>IFERROR(_xlfn.XLOOKUP($A232,Planilha2!$P$2:$P$38,Planilha2!S$2:S$38,"",-1),"")</f>
        <v>BB</v>
      </c>
      <c r="J232" t="str" cm="1">
        <f t="array" ref="J232">IF($A232&lt;MIN(Planilha2!$P$2:$P$38),"",_xlfn.LET(_xlpm.t,_xlfn.XLOOKUP($A232,Planilha2!$P$2:$P$38,Planilha2!$T$2:$T$38,"",-1),_xlfn.IFS(ISNUMBER(SEARCH("positiva",_xlpm.t)),"Positiva",ISNUMBER(SEARCH("negativa",_xlpm.t)),"Negativa",ISNUMBER(SEARCH("estável",_xlpm.t)),"Estável",TRUE,"n/d")))</f>
        <v>Positiva</v>
      </c>
      <c r="L232" s="52">
        <f>IFERROR(_xlfn.XLOOKUP(B232,'Agências de Rating Soberano'!$G$2:$G$22,'Agências de Rating Soberano'!$H$2:$H$22),NA())</f>
        <v>9</v>
      </c>
      <c r="M232" s="52">
        <f>IFERROR(_xlfn.XLOOKUP(C232,'Agências de Rating Soberano'!$G$2:$G$22,'Agências de Rating Soberano'!$H$2:$H$22),NA())</f>
        <v>9</v>
      </c>
      <c r="N232" s="52">
        <f>IFERROR(_xlfn.XLOOKUP(E232,'Agências de Rating Soberano'!$J$2:$J$22,'Agências de Rating Soberano'!$K$2:$K$22),NA())</f>
        <v>9</v>
      </c>
      <c r="O232" s="52">
        <f>IFERROR(_xlfn.XLOOKUP(F232,'Agências de Rating Soberano'!$J$2:$J$22,'Agências de Rating Soberano'!$K$2:$K$22),NA())</f>
        <v>9</v>
      </c>
      <c r="P232" s="52">
        <f>IFERROR(_xlfn.XLOOKUP(H232,'Agências de Rating Soberano'!$J$2:$J$22,'Agências de Rating Soberano'!$K$2:$K$22),NA())</f>
        <v>9</v>
      </c>
      <c r="Q232" s="52">
        <f>IFERROR(_xlfn.XLOOKUP(I232,'Agências de Rating Soberano'!$J$2:$J$22,'Agências de Rating Soberano'!$K$2:$K$22),NA())</f>
        <v>10</v>
      </c>
    </row>
    <row r="233" spans="1:17" x14ac:dyDescent="0.3">
      <c r="A233" s="53">
        <f t="shared" si="10"/>
        <v>38776</v>
      </c>
      <c r="B233" t="str">
        <f>IFERROR(_xlfn.XLOOKUP($A233,Planilha2!$A$2:$A$34,Planilha2!C$2:C$34,"",-1),"")</f>
        <v>Ba3</v>
      </c>
      <c r="C233" t="str">
        <f>IFERROR(_xlfn.XLOOKUP($A233,Planilha2!$A$2:$A$34,Planilha2!D$2:D$34,"",-1),"")</f>
        <v>Ba3</v>
      </c>
      <c r="D233" t="str" cm="1">
        <f t="array" ref="D233">IF($A233&lt;MIN(Planilha2!$A$2:$A$34),"",_xlfn.LET(_xlpm.t,_xlfn.XLOOKUP($A233,Planilha2!$A$2:$A$34,Planilha2!$E$2:$E$34,"",-1),_xlfn.IFS(ISNUMBER(SEARCH("positiva",_xlpm.t)),"Positiva",ISNUMBER(SEARCH("negativa",_xlpm.t)),"Negativa",ISNUMBER(SEARCH("estável",_xlpm.t)),"Estável",TRUE,"n/d")))</f>
        <v>Positiva</v>
      </c>
      <c r="E233" t="str">
        <f>IFERROR(_xlfn.XLOOKUP($A233,Planilha2!$J$2:$J$44,Planilha2!L$2:L$44,"",-1),"")</f>
        <v>BB-</v>
      </c>
      <c r="F233" t="str">
        <f>IFERROR(_xlfn.XLOOKUP($A233,Planilha2!$J$2:$J$44,Planilha2!M$2:M$44,"",-1),"")</f>
        <v>BB-</v>
      </c>
      <c r="G233" t="str" cm="1">
        <f t="array" ref="G233">IF($A233&lt;MIN(Planilha2!$J$2:$J$44),"",_xlfn.LET(_xlpm.t,_xlfn.XLOOKUP($A233,Planilha2!$J$2:$J$44,Planilha2!$N$2:$N$44,"",-1),_xlfn.IFS(ISNUMBER(SEARCH("positiva",_xlpm.t)),"Positiva",ISNUMBER(SEARCH("negativa",_xlpm.t)),"Negativa",ISNUMBER(SEARCH("estável",_xlpm.t)),"Estável",TRUE,"n/d")))</f>
        <v>Estável</v>
      </c>
      <c r="H233" t="str">
        <f>IFERROR(_xlfn.XLOOKUP($A233,Planilha2!$P$2:$P$38,Planilha2!R$2:R$38,"",-1),"")</f>
        <v>BB</v>
      </c>
      <c r="I233" t="str">
        <f>IFERROR(_xlfn.XLOOKUP($A233,Planilha2!$P$2:$P$38,Planilha2!S$2:S$38,"",-1),"")</f>
        <v>BB+</v>
      </c>
      <c r="J233" t="str" cm="1">
        <f t="array" ref="J233">IF($A233&lt;MIN(Planilha2!$P$2:$P$38),"",_xlfn.LET(_xlpm.t,_xlfn.XLOOKUP($A233,Planilha2!$P$2:$P$38,Planilha2!$T$2:$T$38,"",-1),_xlfn.IFS(ISNUMBER(SEARCH("positiva",_xlpm.t)),"Positiva",ISNUMBER(SEARCH("negativa",_xlpm.t)),"Negativa",ISNUMBER(SEARCH("estável",_xlpm.t)),"Estável",TRUE,"n/d")))</f>
        <v>Estável</v>
      </c>
      <c r="L233" s="52">
        <f>IFERROR(_xlfn.XLOOKUP(B233,'Agências de Rating Soberano'!$G$2:$G$22,'Agências de Rating Soberano'!$H$2:$H$22),NA())</f>
        <v>9</v>
      </c>
      <c r="M233" s="52">
        <f>IFERROR(_xlfn.XLOOKUP(C233,'Agências de Rating Soberano'!$G$2:$G$22,'Agências de Rating Soberano'!$H$2:$H$22),NA())</f>
        <v>9</v>
      </c>
      <c r="N233" s="52">
        <f>IFERROR(_xlfn.XLOOKUP(E233,'Agências de Rating Soberano'!$J$2:$J$22,'Agências de Rating Soberano'!$K$2:$K$22),NA())</f>
        <v>9</v>
      </c>
      <c r="O233" s="52">
        <f>IFERROR(_xlfn.XLOOKUP(F233,'Agências de Rating Soberano'!$J$2:$J$22,'Agências de Rating Soberano'!$K$2:$K$22),NA())</f>
        <v>9</v>
      </c>
      <c r="P233" s="52">
        <f>IFERROR(_xlfn.XLOOKUP(H233,'Agências de Rating Soberano'!$J$2:$J$22,'Agências de Rating Soberano'!$K$2:$K$22),NA())</f>
        <v>10</v>
      </c>
      <c r="Q233" s="52">
        <f>IFERROR(_xlfn.XLOOKUP(I233,'Agências de Rating Soberano'!$J$2:$J$22,'Agências de Rating Soberano'!$K$2:$K$22),NA())</f>
        <v>11</v>
      </c>
    </row>
    <row r="234" spans="1:17" x14ac:dyDescent="0.3">
      <c r="A234" s="53">
        <f t="shared" si="10"/>
        <v>38807</v>
      </c>
      <c r="B234" t="str">
        <f>IFERROR(_xlfn.XLOOKUP($A234,Planilha2!$A$2:$A$34,Planilha2!C$2:C$34,"",-1),"")</f>
        <v>Ba3</v>
      </c>
      <c r="C234" t="str">
        <f>IFERROR(_xlfn.XLOOKUP($A234,Planilha2!$A$2:$A$34,Planilha2!D$2:D$34,"",-1),"")</f>
        <v>Ba3</v>
      </c>
      <c r="D234" t="str" cm="1">
        <f t="array" ref="D234">IF($A234&lt;MIN(Planilha2!$A$2:$A$34),"",_xlfn.LET(_xlpm.t,_xlfn.XLOOKUP($A234,Planilha2!$A$2:$A$34,Planilha2!$E$2:$E$34,"",-1),_xlfn.IFS(ISNUMBER(SEARCH("positiva",_xlpm.t)),"Positiva",ISNUMBER(SEARCH("negativa",_xlpm.t)),"Negativa",ISNUMBER(SEARCH("estável",_xlpm.t)),"Estável",TRUE,"n/d")))</f>
        <v>Positiva</v>
      </c>
      <c r="E234" t="str">
        <f>IFERROR(_xlfn.XLOOKUP($A234,Planilha2!$J$2:$J$44,Planilha2!L$2:L$44,"",-1),"")</f>
        <v>BB-</v>
      </c>
      <c r="F234" t="str">
        <f>IFERROR(_xlfn.XLOOKUP($A234,Planilha2!$J$2:$J$44,Planilha2!M$2:M$44,"",-1),"")</f>
        <v>BB-</v>
      </c>
      <c r="G234" t="str" cm="1">
        <f t="array" ref="G234">IF($A234&lt;MIN(Planilha2!$J$2:$J$44),"",_xlfn.LET(_xlpm.t,_xlfn.XLOOKUP($A234,Planilha2!$J$2:$J$44,Planilha2!$N$2:$N$44,"",-1),_xlfn.IFS(ISNUMBER(SEARCH("positiva",_xlpm.t)),"Positiva",ISNUMBER(SEARCH("negativa",_xlpm.t)),"Negativa",ISNUMBER(SEARCH("estável",_xlpm.t)),"Estável",TRUE,"n/d")))</f>
        <v>Estável</v>
      </c>
      <c r="H234" t="str">
        <f>IFERROR(_xlfn.XLOOKUP($A234,Planilha2!$P$2:$P$38,Planilha2!R$2:R$38,"",-1),"")</f>
        <v>BB</v>
      </c>
      <c r="I234" t="str">
        <f>IFERROR(_xlfn.XLOOKUP($A234,Planilha2!$P$2:$P$38,Planilha2!S$2:S$38,"",-1),"")</f>
        <v>BB+</v>
      </c>
      <c r="J234" t="str" cm="1">
        <f t="array" ref="J234">IF($A234&lt;MIN(Planilha2!$P$2:$P$38),"",_xlfn.LET(_xlpm.t,_xlfn.XLOOKUP($A234,Planilha2!$P$2:$P$38,Planilha2!$T$2:$T$38,"",-1),_xlfn.IFS(ISNUMBER(SEARCH("positiva",_xlpm.t)),"Positiva",ISNUMBER(SEARCH("negativa",_xlpm.t)),"Negativa",ISNUMBER(SEARCH("estável",_xlpm.t)),"Estável",TRUE,"n/d")))</f>
        <v>Estável</v>
      </c>
      <c r="L234" s="52">
        <f>IFERROR(_xlfn.XLOOKUP(B234,'Agências de Rating Soberano'!$G$2:$G$22,'Agências de Rating Soberano'!$H$2:$H$22),NA())</f>
        <v>9</v>
      </c>
      <c r="M234" s="52">
        <f>IFERROR(_xlfn.XLOOKUP(C234,'Agências de Rating Soberano'!$G$2:$G$22,'Agências de Rating Soberano'!$H$2:$H$22),NA())</f>
        <v>9</v>
      </c>
      <c r="N234" s="52">
        <f>IFERROR(_xlfn.XLOOKUP(E234,'Agências de Rating Soberano'!$J$2:$J$22,'Agências de Rating Soberano'!$K$2:$K$22),NA())</f>
        <v>9</v>
      </c>
      <c r="O234" s="52">
        <f>IFERROR(_xlfn.XLOOKUP(F234,'Agências de Rating Soberano'!$J$2:$J$22,'Agências de Rating Soberano'!$K$2:$K$22),NA())</f>
        <v>9</v>
      </c>
      <c r="P234" s="52">
        <f>IFERROR(_xlfn.XLOOKUP(H234,'Agências de Rating Soberano'!$J$2:$J$22,'Agências de Rating Soberano'!$K$2:$K$22),NA())</f>
        <v>10</v>
      </c>
      <c r="Q234" s="52">
        <f>IFERROR(_xlfn.XLOOKUP(I234,'Agências de Rating Soberano'!$J$2:$J$22,'Agências de Rating Soberano'!$K$2:$K$22),NA())</f>
        <v>11</v>
      </c>
    </row>
    <row r="235" spans="1:17" x14ac:dyDescent="0.3">
      <c r="A235" s="53">
        <f t="shared" si="10"/>
        <v>38837</v>
      </c>
      <c r="B235" t="str">
        <f>IFERROR(_xlfn.XLOOKUP($A235,Planilha2!$A$2:$A$34,Planilha2!C$2:C$34,"",-1),"")</f>
        <v>Ba3</v>
      </c>
      <c r="C235" t="str">
        <f>IFERROR(_xlfn.XLOOKUP($A235,Planilha2!$A$2:$A$34,Planilha2!D$2:D$34,"",-1),"")</f>
        <v>Ba3</v>
      </c>
      <c r="D235" t="str" cm="1">
        <f t="array" ref="D235">IF($A235&lt;MIN(Planilha2!$A$2:$A$34),"",_xlfn.LET(_xlpm.t,_xlfn.XLOOKUP($A235,Planilha2!$A$2:$A$34,Planilha2!$E$2:$E$34,"",-1),_xlfn.IFS(ISNUMBER(SEARCH("positiva",_xlpm.t)),"Positiva",ISNUMBER(SEARCH("negativa",_xlpm.t)),"Negativa",ISNUMBER(SEARCH("estável",_xlpm.t)),"Estável",TRUE,"n/d")))</f>
        <v>Positiva</v>
      </c>
      <c r="E235" t="str">
        <f>IFERROR(_xlfn.XLOOKUP($A235,Planilha2!$J$2:$J$44,Planilha2!L$2:L$44,"",-1),"")</f>
        <v>BB-</v>
      </c>
      <c r="F235" t="str">
        <f>IFERROR(_xlfn.XLOOKUP($A235,Planilha2!$J$2:$J$44,Planilha2!M$2:M$44,"",-1),"")</f>
        <v>BB-</v>
      </c>
      <c r="G235" t="str" cm="1">
        <f t="array" ref="G235">IF($A235&lt;MIN(Planilha2!$J$2:$J$44),"",_xlfn.LET(_xlpm.t,_xlfn.XLOOKUP($A235,Planilha2!$J$2:$J$44,Planilha2!$N$2:$N$44,"",-1),_xlfn.IFS(ISNUMBER(SEARCH("positiva",_xlpm.t)),"Positiva",ISNUMBER(SEARCH("negativa",_xlpm.t)),"Negativa",ISNUMBER(SEARCH("estável",_xlpm.t)),"Estável",TRUE,"n/d")))</f>
        <v>Estável</v>
      </c>
      <c r="H235" t="str">
        <f>IFERROR(_xlfn.XLOOKUP($A235,Planilha2!$P$2:$P$38,Planilha2!R$2:R$38,"",-1),"")</f>
        <v>BB</v>
      </c>
      <c r="I235" t="str">
        <f>IFERROR(_xlfn.XLOOKUP($A235,Planilha2!$P$2:$P$38,Planilha2!S$2:S$38,"",-1),"")</f>
        <v>BB+</v>
      </c>
      <c r="J235" t="str" cm="1">
        <f t="array" ref="J235">IF($A235&lt;MIN(Planilha2!$P$2:$P$38),"",_xlfn.LET(_xlpm.t,_xlfn.XLOOKUP($A235,Planilha2!$P$2:$P$38,Planilha2!$T$2:$T$38,"",-1),_xlfn.IFS(ISNUMBER(SEARCH("positiva",_xlpm.t)),"Positiva",ISNUMBER(SEARCH("negativa",_xlpm.t)),"Negativa",ISNUMBER(SEARCH("estável",_xlpm.t)),"Estável",TRUE,"n/d")))</f>
        <v>Estável</v>
      </c>
      <c r="L235" s="52">
        <f>IFERROR(_xlfn.XLOOKUP(B235,'Agências de Rating Soberano'!$G$2:$G$22,'Agências de Rating Soberano'!$H$2:$H$22),NA())</f>
        <v>9</v>
      </c>
      <c r="M235" s="52">
        <f>IFERROR(_xlfn.XLOOKUP(C235,'Agências de Rating Soberano'!$G$2:$G$22,'Agências de Rating Soberano'!$H$2:$H$22),NA())</f>
        <v>9</v>
      </c>
      <c r="N235" s="52">
        <f>IFERROR(_xlfn.XLOOKUP(E235,'Agências de Rating Soberano'!$J$2:$J$22,'Agências de Rating Soberano'!$K$2:$K$22),NA())</f>
        <v>9</v>
      </c>
      <c r="O235" s="52">
        <f>IFERROR(_xlfn.XLOOKUP(F235,'Agências de Rating Soberano'!$J$2:$J$22,'Agências de Rating Soberano'!$K$2:$K$22),NA())</f>
        <v>9</v>
      </c>
      <c r="P235" s="52">
        <f>IFERROR(_xlfn.XLOOKUP(H235,'Agências de Rating Soberano'!$J$2:$J$22,'Agências de Rating Soberano'!$K$2:$K$22),NA())</f>
        <v>10</v>
      </c>
      <c r="Q235" s="52">
        <f>IFERROR(_xlfn.XLOOKUP(I235,'Agências de Rating Soberano'!$J$2:$J$22,'Agências de Rating Soberano'!$K$2:$K$22),NA())</f>
        <v>11</v>
      </c>
    </row>
    <row r="236" spans="1:17" x14ac:dyDescent="0.3">
      <c r="A236" s="53">
        <f t="shared" si="10"/>
        <v>38868</v>
      </c>
      <c r="B236" t="str">
        <f>IFERROR(_xlfn.XLOOKUP($A236,Planilha2!$A$2:$A$34,Planilha2!C$2:C$34,"",-1),"")</f>
        <v>Ba3</v>
      </c>
      <c r="C236" t="str">
        <f>IFERROR(_xlfn.XLOOKUP($A236,Planilha2!$A$2:$A$34,Planilha2!D$2:D$34,"",-1),"")</f>
        <v>Ba3</v>
      </c>
      <c r="D236" t="str" cm="1">
        <f t="array" ref="D236">IF($A236&lt;MIN(Planilha2!$A$2:$A$34),"",_xlfn.LET(_xlpm.t,_xlfn.XLOOKUP($A236,Planilha2!$A$2:$A$34,Planilha2!$E$2:$E$34,"",-1),_xlfn.IFS(ISNUMBER(SEARCH("positiva",_xlpm.t)),"Positiva",ISNUMBER(SEARCH("negativa",_xlpm.t)),"Negativa",ISNUMBER(SEARCH("estável",_xlpm.t)),"Estável",TRUE,"n/d")))</f>
        <v>Positiva</v>
      </c>
      <c r="E236" t="str">
        <f>IFERROR(_xlfn.XLOOKUP($A236,Planilha2!$J$2:$J$44,Planilha2!L$2:L$44,"",-1),"")</f>
        <v>BB-</v>
      </c>
      <c r="F236" t="str">
        <f>IFERROR(_xlfn.XLOOKUP($A236,Planilha2!$J$2:$J$44,Planilha2!M$2:M$44,"",-1),"")</f>
        <v>BB-</v>
      </c>
      <c r="G236" t="str" cm="1">
        <f t="array" ref="G236">IF($A236&lt;MIN(Planilha2!$J$2:$J$44),"",_xlfn.LET(_xlpm.t,_xlfn.XLOOKUP($A236,Planilha2!$J$2:$J$44,Planilha2!$N$2:$N$44,"",-1),_xlfn.IFS(ISNUMBER(SEARCH("positiva",_xlpm.t)),"Positiva",ISNUMBER(SEARCH("negativa",_xlpm.t)),"Negativa",ISNUMBER(SEARCH("estável",_xlpm.t)),"Estável",TRUE,"n/d")))</f>
        <v>Estável</v>
      </c>
      <c r="H236" t="str">
        <f>IFERROR(_xlfn.XLOOKUP($A236,Planilha2!$P$2:$P$38,Planilha2!R$2:R$38,"",-1),"")</f>
        <v>BB</v>
      </c>
      <c r="I236" t="str">
        <f>IFERROR(_xlfn.XLOOKUP($A236,Planilha2!$P$2:$P$38,Planilha2!S$2:S$38,"",-1),"")</f>
        <v>BB+</v>
      </c>
      <c r="J236" t="str" cm="1">
        <f t="array" ref="J236">IF($A236&lt;MIN(Planilha2!$P$2:$P$38),"",_xlfn.LET(_xlpm.t,_xlfn.XLOOKUP($A236,Planilha2!$P$2:$P$38,Planilha2!$T$2:$T$38,"",-1),_xlfn.IFS(ISNUMBER(SEARCH("positiva",_xlpm.t)),"Positiva",ISNUMBER(SEARCH("negativa",_xlpm.t)),"Negativa",ISNUMBER(SEARCH("estável",_xlpm.t)),"Estável",TRUE,"n/d")))</f>
        <v>Estável</v>
      </c>
      <c r="L236" s="52">
        <f>IFERROR(_xlfn.XLOOKUP(B236,'Agências de Rating Soberano'!$G$2:$G$22,'Agências de Rating Soberano'!$H$2:$H$22),NA())</f>
        <v>9</v>
      </c>
      <c r="M236" s="52">
        <f>IFERROR(_xlfn.XLOOKUP(C236,'Agências de Rating Soberano'!$G$2:$G$22,'Agências de Rating Soberano'!$H$2:$H$22),NA())</f>
        <v>9</v>
      </c>
      <c r="N236" s="52">
        <f>IFERROR(_xlfn.XLOOKUP(E236,'Agências de Rating Soberano'!$J$2:$J$22,'Agências de Rating Soberano'!$K$2:$K$22),NA())</f>
        <v>9</v>
      </c>
      <c r="O236" s="52">
        <f>IFERROR(_xlfn.XLOOKUP(F236,'Agências de Rating Soberano'!$J$2:$J$22,'Agências de Rating Soberano'!$K$2:$K$22),NA())</f>
        <v>9</v>
      </c>
      <c r="P236" s="52">
        <f>IFERROR(_xlfn.XLOOKUP(H236,'Agências de Rating Soberano'!$J$2:$J$22,'Agências de Rating Soberano'!$K$2:$K$22),NA())</f>
        <v>10</v>
      </c>
      <c r="Q236" s="52">
        <f>IFERROR(_xlfn.XLOOKUP(I236,'Agências de Rating Soberano'!$J$2:$J$22,'Agências de Rating Soberano'!$K$2:$K$22),NA())</f>
        <v>11</v>
      </c>
    </row>
    <row r="237" spans="1:17" x14ac:dyDescent="0.3">
      <c r="A237" s="53">
        <f t="shared" si="10"/>
        <v>38898</v>
      </c>
      <c r="B237" t="str">
        <f>IFERROR(_xlfn.XLOOKUP($A237,Planilha2!$A$2:$A$34,Planilha2!C$2:C$34,"",-1),"")</f>
        <v>Ba3</v>
      </c>
      <c r="C237" t="str">
        <f>IFERROR(_xlfn.XLOOKUP($A237,Planilha2!$A$2:$A$34,Planilha2!D$2:D$34,"",-1),"")</f>
        <v>Ba3</v>
      </c>
      <c r="D237" t="str" cm="1">
        <f t="array" ref="D237">IF($A237&lt;MIN(Planilha2!$A$2:$A$34),"",_xlfn.LET(_xlpm.t,_xlfn.XLOOKUP($A237,Planilha2!$A$2:$A$34,Planilha2!$E$2:$E$34,"",-1),_xlfn.IFS(ISNUMBER(SEARCH("positiva",_xlpm.t)),"Positiva",ISNUMBER(SEARCH("negativa",_xlpm.t)),"Negativa",ISNUMBER(SEARCH("estável",_xlpm.t)),"Estável",TRUE,"n/d")))</f>
        <v>Positiva</v>
      </c>
      <c r="E237" t="str">
        <f>IFERROR(_xlfn.XLOOKUP($A237,Planilha2!$J$2:$J$44,Planilha2!L$2:L$44,"",-1),"")</f>
        <v>BB</v>
      </c>
      <c r="F237" t="str">
        <f>IFERROR(_xlfn.XLOOKUP($A237,Planilha2!$J$2:$J$44,Planilha2!M$2:M$44,"",-1),"")</f>
        <v>BB</v>
      </c>
      <c r="G237" t="str" cm="1">
        <f t="array" ref="G237">IF($A237&lt;MIN(Planilha2!$J$2:$J$44),"",_xlfn.LET(_xlpm.t,_xlfn.XLOOKUP($A237,Planilha2!$J$2:$J$44,Planilha2!$N$2:$N$44,"",-1),_xlfn.IFS(ISNUMBER(SEARCH("positiva",_xlpm.t)),"Positiva",ISNUMBER(SEARCH("negativa",_xlpm.t)),"Negativa",ISNUMBER(SEARCH("estável",_xlpm.t)),"Estável",TRUE,"n/d")))</f>
        <v>Estável</v>
      </c>
      <c r="H237" t="str">
        <f>IFERROR(_xlfn.XLOOKUP($A237,Planilha2!$P$2:$P$38,Planilha2!R$2:R$38,"",-1),"")</f>
        <v>BB</v>
      </c>
      <c r="I237" t="str">
        <f>IFERROR(_xlfn.XLOOKUP($A237,Planilha2!$P$2:$P$38,Planilha2!S$2:S$38,"",-1),"")</f>
        <v>BB+</v>
      </c>
      <c r="J237" t="str" cm="1">
        <f t="array" ref="J237">IF($A237&lt;MIN(Planilha2!$P$2:$P$38),"",_xlfn.LET(_xlpm.t,_xlfn.XLOOKUP($A237,Planilha2!$P$2:$P$38,Planilha2!$T$2:$T$38,"",-1),_xlfn.IFS(ISNUMBER(SEARCH("positiva",_xlpm.t)),"Positiva",ISNUMBER(SEARCH("negativa",_xlpm.t)),"Negativa",ISNUMBER(SEARCH("estável",_xlpm.t)),"Estável",TRUE,"n/d")))</f>
        <v>Estável</v>
      </c>
      <c r="L237" s="52">
        <f>IFERROR(_xlfn.XLOOKUP(B237,'Agências de Rating Soberano'!$G$2:$G$22,'Agências de Rating Soberano'!$H$2:$H$22),NA())</f>
        <v>9</v>
      </c>
      <c r="M237" s="52">
        <f>IFERROR(_xlfn.XLOOKUP(C237,'Agências de Rating Soberano'!$G$2:$G$22,'Agências de Rating Soberano'!$H$2:$H$22),NA())</f>
        <v>9</v>
      </c>
      <c r="N237" s="52">
        <f>IFERROR(_xlfn.XLOOKUP(E237,'Agências de Rating Soberano'!$J$2:$J$22,'Agências de Rating Soberano'!$K$2:$K$22),NA())</f>
        <v>10</v>
      </c>
      <c r="O237" s="52">
        <f>IFERROR(_xlfn.XLOOKUP(F237,'Agências de Rating Soberano'!$J$2:$J$22,'Agências de Rating Soberano'!$K$2:$K$22),NA())</f>
        <v>10</v>
      </c>
      <c r="P237" s="52">
        <f>IFERROR(_xlfn.XLOOKUP(H237,'Agências de Rating Soberano'!$J$2:$J$22,'Agências de Rating Soberano'!$K$2:$K$22),NA())</f>
        <v>10</v>
      </c>
      <c r="Q237" s="52">
        <f>IFERROR(_xlfn.XLOOKUP(I237,'Agências de Rating Soberano'!$J$2:$J$22,'Agências de Rating Soberano'!$K$2:$K$22),NA())</f>
        <v>11</v>
      </c>
    </row>
    <row r="238" spans="1:17" x14ac:dyDescent="0.3">
      <c r="A238" s="53">
        <f t="shared" si="10"/>
        <v>38929</v>
      </c>
      <c r="B238" t="str">
        <f>IFERROR(_xlfn.XLOOKUP($A238,Planilha2!$A$2:$A$34,Planilha2!C$2:C$34,"",-1),"")</f>
        <v>Ba3</v>
      </c>
      <c r="C238" t="str">
        <f>IFERROR(_xlfn.XLOOKUP($A238,Planilha2!$A$2:$A$34,Planilha2!D$2:D$34,"",-1),"")</f>
        <v>Ba3</v>
      </c>
      <c r="D238" t="str" cm="1">
        <f t="array" ref="D238">IF($A238&lt;MIN(Planilha2!$A$2:$A$34),"",_xlfn.LET(_xlpm.t,_xlfn.XLOOKUP($A238,Planilha2!$A$2:$A$34,Planilha2!$E$2:$E$34,"",-1),_xlfn.IFS(ISNUMBER(SEARCH("positiva",_xlpm.t)),"Positiva",ISNUMBER(SEARCH("negativa",_xlpm.t)),"Negativa",ISNUMBER(SEARCH("estável",_xlpm.t)),"Estável",TRUE,"n/d")))</f>
        <v>Positiva</v>
      </c>
      <c r="E238" t="str">
        <f>IFERROR(_xlfn.XLOOKUP($A238,Planilha2!$J$2:$J$44,Planilha2!L$2:L$44,"",-1),"")</f>
        <v>BB</v>
      </c>
      <c r="F238" t="str">
        <f>IFERROR(_xlfn.XLOOKUP($A238,Planilha2!$J$2:$J$44,Planilha2!M$2:M$44,"",-1),"")</f>
        <v>BB</v>
      </c>
      <c r="G238" t="str" cm="1">
        <f t="array" ref="G238">IF($A238&lt;MIN(Planilha2!$J$2:$J$44),"",_xlfn.LET(_xlpm.t,_xlfn.XLOOKUP($A238,Planilha2!$J$2:$J$44,Planilha2!$N$2:$N$44,"",-1),_xlfn.IFS(ISNUMBER(SEARCH("positiva",_xlpm.t)),"Positiva",ISNUMBER(SEARCH("negativa",_xlpm.t)),"Negativa",ISNUMBER(SEARCH("estável",_xlpm.t)),"Estável",TRUE,"n/d")))</f>
        <v>Estável</v>
      </c>
      <c r="H238" t="str">
        <f>IFERROR(_xlfn.XLOOKUP($A238,Planilha2!$P$2:$P$38,Planilha2!R$2:R$38,"",-1),"")</f>
        <v>BB</v>
      </c>
      <c r="I238" t="str">
        <f>IFERROR(_xlfn.XLOOKUP($A238,Planilha2!$P$2:$P$38,Planilha2!S$2:S$38,"",-1),"")</f>
        <v>BB+</v>
      </c>
      <c r="J238" t="str" cm="1">
        <f t="array" ref="J238">IF($A238&lt;MIN(Planilha2!$P$2:$P$38),"",_xlfn.LET(_xlpm.t,_xlfn.XLOOKUP($A238,Planilha2!$P$2:$P$38,Planilha2!$T$2:$T$38,"",-1),_xlfn.IFS(ISNUMBER(SEARCH("positiva",_xlpm.t)),"Positiva",ISNUMBER(SEARCH("negativa",_xlpm.t)),"Negativa",ISNUMBER(SEARCH("estável",_xlpm.t)),"Estável",TRUE,"n/d")))</f>
        <v>Estável</v>
      </c>
      <c r="L238" s="52">
        <f>IFERROR(_xlfn.XLOOKUP(B238,'Agências de Rating Soberano'!$G$2:$G$22,'Agências de Rating Soberano'!$H$2:$H$22),NA())</f>
        <v>9</v>
      </c>
      <c r="M238" s="52">
        <f>IFERROR(_xlfn.XLOOKUP(C238,'Agências de Rating Soberano'!$G$2:$G$22,'Agências de Rating Soberano'!$H$2:$H$22),NA())</f>
        <v>9</v>
      </c>
      <c r="N238" s="52">
        <f>IFERROR(_xlfn.XLOOKUP(E238,'Agências de Rating Soberano'!$J$2:$J$22,'Agências de Rating Soberano'!$K$2:$K$22),NA())</f>
        <v>10</v>
      </c>
      <c r="O238" s="52">
        <f>IFERROR(_xlfn.XLOOKUP(F238,'Agências de Rating Soberano'!$J$2:$J$22,'Agências de Rating Soberano'!$K$2:$K$22),NA())</f>
        <v>10</v>
      </c>
      <c r="P238" s="52">
        <f>IFERROR(_xlfn.XLOOKUP(H238,'Agências de Rating Soberano'!$J$2:$J$22,'Agências de Rating Soberano'!$K$2:$K$22),NA())</f>
        <v>10</v>
      </c>
      <c r="Q238" s="52">
        <f>IFERROR(_xlfn.XLOOKUP(I238,'Agências de Rating Soberano'!$J$2:$J$22,'Agências de Rating Soberano'!$K$2:$K$22),NA())</f>
        <v>11</v>
      </c>
    </row>
    <row r="239" spans="1:17" x14ac:dyDescent="0.3">
      <c r="A239" s="53">
        <f t="shared" si="10"/>
        <v>38960</v>
      </c>
      <c r="B239" t="str">
        <f>IFERROR(_xlfn.XLOOKUP($A239,Planilha2!$A$2:$A$34,Planilha2!C$2:C$34,"",-1),"")</f>
        <v>Ba2</v>
      </c>
      <c r="C239" t="str">
        <f>IFERROR(_xlfn.XLOOKUP($A239,Planilha2!$A$2:$A$34,Planilha2!D$2:D$34,"",-1),"")</f>
        <v>Ba2</v>
      </c>
      <c r="D239" t="str" cm="1">
        <f t="array" ref="D239">IF($A239&lt;MIN(Planilha2!$A$2:$A$34),"",_xlfn.LET(_xlpm.t,_xlfn.XLOOKUP($A239,Planilha2!$A$2:$A$34,Planilha2!$E$2:$E$34,"",-1),_xlfn.IFS(ISNUMBER(SEARCH("positiva",_xlpm.t)),"Positiva",ISNUMBER(SEARCH("negativa",_xlpm.t)),"Negativa",ISNUMBER(SEARCH("estável",_xlpm.t)),"Estável",TRUE,"n/d")))</f>
        <v>Estável</v>
      </c>
      <c r="E239" t="str">
        <f>IFERROR(_xlfn.XLOOKUP($A239,Planilha2!$J$2:$J$44,Planilha2!L$2:L$44,"",-1),"")</f>
        <v>BB</v>
      </c>
      <c r="F239" t="str">
        <f>IFERROR(_xlfn.XLOOKUP($A239,Planilha2!$J$2:$J$44,Planilha2!M$2:M$44,"",-1),"")</f>
        <v>BB</v>
      </c>
      <c r="G239" t="str" cm="1">
        <f t="array" ref="G239">IF($A239&lt;MIN(Planilha2!$J$2:$J$44),"",_xlfn.LET(_xlpm.t,_xlfn.XLOOKUP($A239,Planilha2!$J$2:$J$44,Planilha2!$N$2:$N$44,"",-1),_xlfn.IFS(ISNUMBER(SEARCH("positiva",_xlpm.t)),"Positiva",ISNUMBER(SEARCH("negativa",_xlpm.t)),"Negativa",ISNUMBER(SEARCH("estável",_xlpm.t)),"Estável",TRUE,"n/d")))</f>
        <v>Estável</v>
      </c>
      <c r="H239" t="str">
        <f>IFERROR(_xlfn.XLOOKUP($A239,Planilha2!$P$2:$P$38,Planilha2!R$2:R$38,"",-1),"")</f>
        <v>BB</v>
      </c>
      <c r="I239" t="str">
        <f>IFERROR(_xlfn.XLOOKUP($A239,Planilha2!$P$2:$P$38,Planilha2!S$2:S$38,"",-1),"")</f>
        <v>BB+</v>
      </c>
      <c r="J239" t="str" cm="1">
        <f t="array" ref="J239">IF($A239&lt;MIN(Planilha2!$P$2:$P$38),"",_xlfn.LET(_xlpm.t,_xlfn.XLOOKUP($A239,Planilha2!$P$2:$P$38,Planilha2!$T$2:$T$38,"",-1),_xlfn.IFS(ISNUMBER(SEARCH("positiva",_xlpm.t)),"Positiva",ISNUMBER(SEARCH("negativa",_xlpm.t)),"Negativa",ISNUMBER(SEARCH("estável",_xlpm.t)),"Estável",TRUE,"n/d")))</f>
        <v>Estável</v>
      </c>
      <c r="L239" s="52">
        <f>IFERROR(_xlfn.XLOOKUP(B239,'Agências de Rating Soberano'!$G$2:$G$22,'Agências de Rating Soberano'!$H$2:$H$22),NA())</f>
        <v>10</v>
      </c>
      <c r="M239" s="52">
        <f>IFERROR(_xlfn.XLOOKUP(C239,'Agências de Rating Soberano'!$G$2:$G$22,'Agências de Rating Soberano'!$H$2:$H$22),NA())</f>
        <v>10</v>
      </c>
      <c r="N239" s="52">
        <f>IFERROR(_xlfn.XLOOKUP(E239,'Agências de Rating Soberano'!$J$2:$J$22,'Agências de Rating Soberano'!$K$2:$K$22),NA())</f>
        <v>10</v>
      </c>
      <c r="O239" s="52">
        <f>IFERROR(_xlfn.XLOOKUP(F239,'Agências de Rating Soberano'!$J$2:$J$22,'Agências de Rating Soberano'!$K$2:$K$22),NA())</f>
        <v>10</v>
      </c>
      <c r="P239" s="52">
        <f>IFERROR(_xlfn.XLOOKUP(H239,'Agências de Rating Soberano'!$J$2:$J$22,'Agências de Rating Soberano'!$K$2:$K$22),NA())</f>
        <v>10</v>
      </c>
      <c r="Q239" s="52">
        <f>IFERROR(_xlfn.XLOOKUP(I239,'Agências de Rating Soberano'!$J$2:$J$22,'Agências de Rating Soberano'!$K$2:$K$22),NA())</f>
        <v>11</v>
      </c>
    </row>
    <row r="240" spans="1:17" x14ac:dyDescent="0.3">
      <c r="A240" s="53">
        <f t="shared" si="10"/>
        <v>38990</v>
      </c>
      <c r="B240" t="str">
        <f>IFERROR(_xlfn.XLOOKUP($A240,Planilha2!$A$2:$A$34,Planilha2!C$2:C$34,"",-1),"")</f>
        <v>Ba2</v>
      </c>
      <c r="C240" t="str">
        <f>IFERROR(_xlfn.XLOOKUP($A240,Planilha2!$A$2:$A$34,Planilha2!D$2:D$34,"",-1),"")</f>
        <v>Ba2</v>
      </c>
      <c r="D240" t="str" cm="1">
        <f t="array" ref="D240">IF($A240&lt;MIN(Planilha2!$A$2:$A$34),"",_xlfn.LET(_xlpm.t,_xlfn.XLOOKUP($A240,Planilha2!$A$2:$A$34,Planilha2!$E$2:$E$34,"",-1),_xlfn.IFS(ISNUMBER(SEARCH("positiva",_xlpm.t)),"Positiva",ISNUMBER(SEARCH("negativa",_xlpm.t)),"Negativa",ISNUMBER(SEARCH("estável",_xlpm.t)),"Estável",TRUE,"n/d")))</f>
        <v>Estável</v>
      </c>
      <c r="E240" t="str">
        <f>IFERROR(_xlfn.XLOOKUP($A240,Planilha2!$J$2:$J$44,Planilha2!L$2:L$44,"",-1),"")</f>
        <v>BB</v>
      </c>
      <c r="F240" t="str">
        <f>IFERROR(_xlfn.XLOOKUP($A240,Planilha2!$J$2:$J$44,Planilha2!M$2:M$44,"",-1),"")</f>
        <v>BB</v>
      </c>
      <c r="G240" t="str" cm="1">
        <f t="array" ref="G240">IF($A240&lt;MIN(Planilha2!$J$2:$J$44),"",_xlfn.LET(_xlpm.t,_xlfn.XLOOKUP($A240,Planilha2!$J$2:$J$44,Planilha2!$N$2:$N$44,"",-1),_xlfn.IFS(ISNUMBER(SEARCH("positiva",_xlpm.t)),"Positiva",ISNUMBER(SEARCH("negativa",_xlpm.t)),"Negativa",ISNUMBER(SEARCH("estável",_xlpm.t)),"Estável",TRUE,"n/d")))</f>
        <v>Estável</v>
      </c>
      <c r="H240" t="str">
        <f>IFERROR(_xlfn.XLOOKUP($A240,Planilha2!$P$2:$P$38,Planilha2!R$2:R$38,"",-1),"")</f>
        <v>BB</v>
      </c>
      <c r="I240" t="str">
        <f>IFERROR(_xlfn.XLOOKUP($A240,Planilha2!$P$2:$P$38,Planilha2!S$2:S$38,"",-1),"")</f>
        <v>BB+</v>
      </c>
      <c r="J240" t="str" cm="1">
        <f t="array" ref="J240">IF($A240&lt;MIN(Planilha2!$P$2:$P$38),"",_xlfn.LET(_xlpm.t,_xlfn.XLOOKUP($A240,Planilha2!$P$2:$P$38,Planilha2!$T$2:$T$38,"",-1),_xlfn.IFS(ISNUMBER(SEARCH("positiva",_xlpm.t)),"Positiva",ISNUMBER(SEARCH("negativa",_xlpm.t)),"Negativa",ISNUMBER(SEARCH("estável",_xlpm.t)),"Estável",TRUE,"n/d")))</f>
        <v>Estável</v>
      </c>
      <c r="L240" s="52">
        <f>IFERROR(_xlfn.XLOOKUP(B240,'Agências de Rating Soberano'!$G$2:$G$22,'Agências de Rating Soberano'!$H$2:$H$22),NA())</f>
        <v>10</v>
      </c>
      <c r="M240" s="52">
        <f>IFERROR(_xlfn.XLOOKUP(C240,'Agências de Rating Soberano'!$G$2:$G$22,'Agências de Rating Soberano'!$H$2:$H$22),NA())</f>
        <v>10</v>
      </c>
      <c r="N240" s="52">
        <f>IFERROR(_xlfn.XLOOKUP(E240,'Agências de Rating Soberano'!$J$2:$J$22,'Agências de Rating Soberano'!$K$2:$K$22),NA())</f>
        <v>10</v>
      </c>
      <c r="O240" s="52">
        <f>IFERROR(_xlfn.XLOOKUP(F240,'Agências de Rating Soberano'!$J$2:$J$22,'Agências de Rating Soberano'!$K$2:$K$22),NA())</f>
        <v>10</v>
      </c>
      <c r="P240" s="52">
        <f>IFERROR(_xlfn.XLOOKUP(H240,'Agências de Rating Soberano'!$J$2:$J$22,'Agências de Rating Soberano'!$K$2:$K$22),NA())</f>
        <v>10</v>
      </c>
      <c r="Q240" s="52">
        <f>IFERROR(_xlfn.XLOOKUP(I240,'Agências de Rating Soberano'!$J$2:$J$22,'Agências de Rating Soberano'!$K$2:$K$22),NA())</f>
        <v>11</v>
      </c>
    </row>
    <row r="241" spans="1:17" x14ac:dyDescent="0.3">
      <c r="A241" s="53">
        <f t="shared" si="10"/>
        <v>39021</v>
      </c>
      <c r="B241" t="str">
        <f>IFERROR(_xlfn.XLOOKUP($A241,Planilha2!$A$2:$A$34,Planilha2!C$2:C$34,"",-1),"")</f>
        <v>Ba2</v>
      </c>
      <c r="C241" t="str">
        <f>IFERROR(_xlfn.XLOOKUP($A241,Planilha2!$A$2:$A$34,Planilha2!D$2:D$34,"",-1),"")</f>
        <v>Ba2</v>
      </c>
      <c r="D241" t="str" cm="1">
        <f t="array" ref="D241">IF($A241&lt;MIN(Planilha2!$A$2:$A$34),"",_xlfn.LET(_xlpm.t,_xlfn.XLOOKUP($A241,Planilha2!$A$2:$A$34,Planilha2!$E$2:$E$34,"",-1),_xlfn.IFS(ISNUMBER(SEARCH("positiva",_xlpm.t)),"Positiva",ISNUMBER(SEARCH("negativa",_xlpm.t)),"Negativa",ISNUMBER(SEARCH("estável",_xlpm.t)),"Estável",TRUE,"n/d")))</f>
        <v>Estável</v>
      </c>
      <c r="E241" t="str">
        <f>IFERROR(_xlfn.XLOOKUP($A241,Planilha2!$J$2:$J$44,Planilha2!L$2:L$44,"",-1),"")</f>
        <v>BB</v>
      </c>
      <c r="F241" t="str">
        <f>IFERROR(_xlfn.XLOOKUP($A241,Planilha2!$J$2:$J$44,Planilha2!M$2:M$44,"",-1),"")</f>
        <v>BB</v>
      </c>
      <c r="G241" t="str" cm="1">
        <f t="array" ref="G241">IF($A241&lt;MIN(Planilha2!$J$2:$J$44),"",_xlfn.LET(_xlpm.t,_xlfn.XLOOKUP($A241,Planilha2!$J$2:$J$44,Planilha2!$N$2:$N$44,"",-1),_xlfn.IFS(ISNUMBER(SEARCH("positiva",_xlpm.t)),"Positiva",ISNUMBER(SEARCH("negativa",_xlpm.t)),"Negativa",ISNUMBER(SEARCH("estável",_xlpm.t)),"Estável",TRUE,"n/d")))</f>
        <v>Estável</v>
      </c>
      <c r="H241" t="str">
        <f>IFERROR(_xlfn.XLOOKUP($A241,Planilha2!$P$2:$P$38,Planilha2!R$2:R$38,"",-1),"")</f>
        <v>BB</v>
      </c>
      <c r="I241" t="str">
        <f>IFERROR(_xlfn.XLOOKUP($A241,Planilha2!$P$2:$P$38,Planilha2!S$2:S$38,"",-1),"")</f>
        <v>BB+</v>
      </c>
      <c r="J241" t="str" cm="1">
        <f t="array" ref="J241">IF($A241&lt;MIN(Planilha2!$P$2:$P$38),"",_xlfn.LET(_xlpm.t,_xlfn.XLOOKUP($A241,Planilha2!$P$2:$P$38,Planilha2!$T$2:$T$38,"",-1),_xlfn.IFS(ISNUMBER(SEARCH("positiva",_xlpm.t)),"Positiva",ISNUMBER(SEARCH("negativa",_xlpm.t)),"Negativa",ISNUMBER(SEARCH("estável",_xlpm.t)),"Estável",TRUE,"n/d")))</f>
        <v>Estável</v>
      </c>
      <c r="L241" s="52">
        <f>IFERROR(_xlfn.XLOOKUP(B241,'Agências de Rating Soberano'!$G$2:$G$22,'Agências de Rating Soberano'!$H$2:$H$22),NA())</f>
        <v>10</v>
      </c>
      <c r="M241" s="52">
        <f>IFERROR(_xlfn.XLOOKUP(C241,'Agências de Rating Soberano'!$G$2:$G$22,'Agências de Rating Soberano'!$H$2:$H$22),NA())</f>
        <v>10</v>
      </c>
      <c r="N241" s="52">
        <f>IFERROR(_xlfn.XLOOKUP(E241,'Agências de Rating Soberano'!$J$2:$J$22,'Agências de Rating Soberano'!$K$2:$K$22),NA())</f>
        <v>10</v>
      </c>
      <c r="O241" s="52">
        <f>IFERROR(_xlfn.XLOOKUP(F241,'Agências de Rating Soberano'!$J$2:$J$22,'Agências de Rating Soberano'!$K$2:$K$22),NA())</f>
        <v>10</v>
      </c>
      <c r="P241" s="52">
        <f>IFERROR(_xlfn.XLOOKUP(H241,'Agências de Rating Soberano'!$J$2:$J$22,'Agências de Rating Soberano'!$K$2:$K$22),NA())</f>
        <v>10</v>
      </c>
      <c r="Q241" s="52">
        <f>IFERROR(_xlfn.XLOOKUP(I241,'Agências de Rating Soberano'!$J$2:$J$22,'Agências de Rating Soberano'!$K$2:$K$22),NA())</f>
        <v>11</v>
      </c>
    </row>
    <row r="242" spans="1:17" x14ac:dyDescent="0.3">
      <c r="A242" s="53">
        <f t="shared" si="10"/>
        <v>39051</v>
      </c>
      <c r="B242" t="str">
        <f>IFERROR(_xlfn.XLOOKUP($A242,Planilha2!$A$2:$A$34,Planilha2!C$2:C$34,"",-1),"")</f>
        <v>Ba2</v>
      </c>
      <c r="C242" t="str">
        <f>IFERROR(_xlfn.XLOOKUP($A242,Planilha2!$A$2:$A$34,Planilha2!D$2:D$34,"",-1),"")</f>
        <v>Ba2</v>
      </c>
      <c r="D242" t="str" cm="1">
        <f t="array" ref="D242">IF($A242&lt;MIN(Planilha2!$A$2:$A$34),"",_xlfn.LET(_xlpm.t,_xlfn.XLOOKUP($A242,Planilha2!$A$2:$A$34,Planilha2!$E$2:$E$34,"",-1),_xlfn.IFS(ISNUMBER(SEARCH("positiva",_xlpm.t)),"Positiva",ISNUMBER(SEARCH("negativa",_xlpm.t)),"Negativa",ISNUMBER(SEARCH("estável",_xlpm.t)),"Estável",TRUE,"n/d")))</f>
        <v>Estável</v>
      </c>
      <c r="E242" t="str">
        <f>IFERROR(_xlfn.XLOOKUP($A242,Planilha2!$J$2:$J$44,Planilha2!L$2:L$44,"",-1),"")</f>
        <v>BB</v>
      </c>
      <c r="F242" t="str">
        <f>IFERROR(_xlfn.XLOOKUP($A242,Planilha2!$J$2:$J$44,Planilha2!M$2:M$44,"",-1),"")</f>
        <v>BB</v>
      </c>
      <c r="G242" t="str" cm="1">
        <f t="array" ref="G242">IF($A242&lt;MIN(Planilha2!$J$2:$J$44),"",_xlfn.LET(_xlpm.t,_xlfn.XLOOKUP($A242,Planilha2!$J$2:$J$44,Planilha2!$N$2:$N$44,"",-1),_xlfn.IFS(ISNUMBER(SEARCH("positiva",_xlpm.t)),"Positiva",ISNUMBER(SEARCH("negativa",_xlpm.t)),"Negativa",ISNUMBER(SEARCH("estável",_xlpm.t)),"Estável",TRUE,"n/d")))</f>
        <v>Estável</v>
      </c>
      <c r="H242" t="str">
        <f>IFERROR(_xlfn.XLOOKUP($A242,Planilha2!$P$2:$P$38,Planilha2!R$2:R$38,"",-1),"")</f>
        <v>BB</v>
      </c>
      <c r="I242" t="str">
        <f>IFERROR(_xlfn.XLOOKUP($A242,Planilha2!$P$2:$P$38,Planilha2!S$2:S$38,"",-1),"")</f>
        <v>BB+</v>
      </c>
      <c r="J242" t="str" cm="1">
        <f t="array" ref="J242">IF($A242&lt;MIN(Planilha2!$P$2:$P$38),"",_xlfn.LET(_xlpm.t,_xlfn.XLOOKUP($A242,Planilha2!$P$2:$P$38,Planilha2!$T$2:$T$38,"",-1),_xlfn.IFS(ISNUMBER(SEARCH("positiva",_xlpm.t)),"Positiva",ISNUMBER(SEARCH("negativa",_xlpm.t)),"Negativa",ISNUMBER(SEARCH("estável",_xlpm.t)),"Estável",TRUE,"n/d")))</f>
        <v>Positiva</v>
      </c>
      <c r="L242" s="52">
        <f>IFERROR(_xlfn.XLOOKUP(B242,'Agências de Rating Soberano'!$G$2:$G$22,'Agências de Rating Soberano'!$H$2:$H$22),NA())</f>
        <v>10</v>
      </c>
      <c r="M242" s="52">
        <f>IFERROR(_xlfn.XLOOKUP(C242,'Agências de Rating Soberano'!$G$2:$G$22,'Agências de Rating Soberano'!$H$2:$H$22),NA())</f>
        <v>10</v>
      </c>
      <c r="N242" s="52">
        <f>IFERROR(_xlfn.XLOOKUP(E242,'Agências de Rating Soberano'!$J$2:$J$22,'Agências de Rating Soberano'!$K$2:$K$22),NA())</f>
        <v>10</v>
      </c>
      <c r="O242" s="52">
        <f>IFERROR(_xlfn.XLOOKUP(F242,'Agências de Rating Soberano'!$J$2:$J$22,'Agências de Rating Soberano'!$K$2:$K$22),NA())</f>
        <v>10</v>
      </c>
      <c r="P242" s="52">
        <f>IFERROR(_xlfn.XLOOKUP(H242,'Agências de Rating Soberano'!$J$2:$J$22,'Agências de Rating Soberano'!$K$2:$K$22),NA())</f>
        <v>10</v>
      </c>
      <c r="Q242" s="52">
        <f>IFERROR(_xlfn.XLOOKUP(I242,'Agências de Rating Soberano'!$J$2:$J$22,'Agências de Rating Soberano'!$K$2:$K$22),NA())</f>
        <v>11</v>
      </c>
    </row>
    <row r="243" spans="1:17" x14ac:dyDescent="0.3">
      <c r="A243" s="53">
        <f t="shared" si="10"/>
        <v>39082</v>
      </c>
      <c r="B243" t="str">
        <f>IFERROR(_xlfn.XLOOKUP($A243,Planilha2!$A$2:$A$34,Planilha2!C$2:C$34,"",-1),"")</f>
        <v>Ba2</v>
      </c>
      <c r="C243" t="str">
        <f>IFERROR(_xlfn.XLOOKUP($A243,Planilha2!$A$2:$A$34,Planilha2!D$2:D$34,"",-1),"")</f>
        <v>Ba2</v>
      </c>
      <c r="D243" t="str" cm="1">
        <f t="array" ref="D243">IF($A243&lt;MIN(Planilha2!$A$2:$A$34),"",_xlfn.LET(_xlpm.t,_xlfn.XLOOKUP($A243,Planilha2!$A$2:$A$34,Planilha2!$E$2:$E$34,"",-1),_xlfn.IFS(ISNUMBER(SEARCH("positiva",_xlpm.t)),"Positiva",ISNUMBER(SEARCH("negativa",_xlpm.t)),"Negativa",ISNUMBER(SEARCH("estável",_xlpm.t)),"Estável",TRUE,"n/d")))</f>
        <v>Estável</v>
      </c>
      <c r="E243" t="str">
        <f>IFERROR(_xlfn.XLOOKUP($A243,Planilha2!$J$2:$J$44,Planilha2!L$2:L$44,"",-1),"")</f>
        <v>BB</v>
      </c>
      <c r="F243" t="str">
        <f>IFERROR(_xlfn.XLOOKUP($A243,Planilha2!$J$2:$J$44,Planilha2!M$2:M$44,"",-1),"")</f>
        <v>BB</v>
      </c>
      <c r="G243" t="str" cm="1">
        <f t="array" ref="G243">IF($A243&lt;MIN(Planilha2!$J$2:$J$44),"",_xlfn.LET(_xlpm.t,_xlfn.XLOOKUP($A243,Planilha2!$J$2:$J$44,Planilha2!$N$2:$N$44,"",-1),_xlfn.IFS(ISNUMBER(SEARCH("positiva",_xlpm.t)),"Positiva",ISNUMBER(SEARCH("negativa",_xlpm.t)),"Negativa",ISNUMBER(SEARCH("estável",_xlpm.t)),"Estável",TRUE,"n/d")))</f>
        <v>Estável</v>
      </c>
      <c r="H243" t="str">
        <f>IFERROR(_xlfn.XLOOKUP($A243,Planilha2!$P$2:$P$38,Planilha2!R$2:R$38,"",-1),"")</f>
        <v>BB</v>
      </c>
      <c r="I243" t="str">
        <f>IFERROR(_xlfn.XLOOKUP($A243,Planilha2!$P$2:$P$38,Planilha2!S$2:S$38,"",-1),"")</f>
        <v>BB+</v>
      </c>
      <c r="J243" t="str" cm="1">
        <f t="array" ref="J243">IF($A243&lt;MIN(Planilha2!$P$2:$P$38),"",_xlfn.LET(_xlpm.t,_xlfn.XLOOKUP($A243,Planilha2!$P$2:$P$38,Planilha2!$T$2:$T$38,"",-1),_xlfn.IFS(ISNUMBER(SEARCH("positiva",_xlpm.t)),"Positiva",ISNUMBER(SEARCH("negativa",_xlpm.t)),"Negativa",ISNUMBER(SEARCH("estável",_xlpm.t)),"Estável",TRUE,"n/d")))</f>
        <v>Positiva</v>
      </c>
      <c r="L243" s="52">
        <f>IFERROR(_xlfn.XLOOKUP(B243,'Agências de Rating Soberano'!$G$2:$G$22,'Agências de Rating Soberano'!$H$2:$H$22),NA())</f>
        <v>10</v>
      </c>
      <c r="M243" s="52">
        <f>IFERROR(_xlfn.XLOOKUP(C243,'Agências de Rating Soberano'!$G$2:$G$22,'Agências de Rating Soberano'!$H$2:$H$22),NA())</f>
        <v>10</v>
      </c>
      <c r="N243" s="52">
        <f>IFERROR(_xlfn.XLOOKUP(E243,'Agências de Rating Soberano'!$J$2:$J$22,'Agências de Rating Soberano'!$K$2:$K$22),NA())</f>
        <v>10</v>
      </c>
      <c r="O243" s="52">
        <f>IFERROR(_xlfn.XLOOKUP(F243,'Agências de Rating Soberano'!$J$2:$J$22,'Agências de Rating Soberano'!$K$2:$K$22),NA())</f>
        <v>10</v>
      </c>
      <c r="P243" s="52">
        <f>IFERROR(_xlfn.XLOOKUP(H243,'Agências de Rating Soberano'!$J$2:$J$22,'Agências de Rating Soberano'!$K$2:$K$22),NA())</f>
        <v>10</v>
      </c>
      <c r="Q243" s="52">
        <f>IFERROR(_xlfn.XLOOKUP(I243,'Agências de Rating Soberano'!$J$2:$J$22,'Agências de Rating Soberano'!$K$2:$K$22),NA())</f>
        <v>11</v>
      </c>
    </row>
    <row r="244" spans="1:17" x14ac:dyDescent="0.3">
      <c r="A244" s="53">
        <f t="shared" si="10"/>
        <v>39113</v>
      </c>
      <c r="B244" t="str">
        <f>IFERROR(_xlfn.XLOOKUP($A244,Planilha2!$A$2:$A$34,Planilha2!C$2:C$34,"",-1),"")</f>
        <v>Ba2</v>
      </c>
      <c r="C244" t="str">
        <f>IFERROR(_xlfn.XLOOKUP($A244,Planilha2!$A$2:$A$34,Planilha2!D$2:D$34,"",-1),"")</f>
        <v>Ba2</v>
      </c>
      <c r="D244" t="str" cm="1">
        <f t="array" ref="D244">IF($A244&lt;MIN(Planilha2!$A$2:$A$34),"",_xlfn.LET(_xlpm.t,_xlfn.XLOOKUP($A244,Planilha2!$A$2:$A$34,Planilha2!$E$2:$E$34,"",-1),_xlfn.IFS(ISNUMBER(SEARCH("positiva",_xlpm.t)),"Positiva",ISNUMBER(SEARCH("negativa",_xlpm.t)),"Negativa",ISNUMBER(SEARCH("estável",_xlpm.t)),"Estável",TRUE,"n/d")))</f>
        <v>Estável</v>
      </c>
      <c r="E244" t="str">
        <f>IFERROR(_xlfn.XLOOKUP($A244,Planilha2!$J$2:$J$44,Planilha2!L$2:L$44,"",-1),"")</f>
        <v>BB</v>
      </c>
      <c r="F244" t="str">
        <f>IFERROR(_xlfn.XLOOKUP($A244,Planilha2!$J$2:$J$44,Planilha2!M$2:M$44,"",-1),"")</f>
        <v>BB</v>
      </c>
      <c r="G244" t="str" cm="1">
        <f t="array" ref="G244">IF($A244&lt;MIN(Planilha2!$J$2:$J$44),"",_xlfn.LET(_xlpm.t,_xlfn.XLOOKUP($A244,Planilha2!$J$2:$J$44,Planilha2!$N$2:$N$44,"",-1),_xlfn.IFS(ISNUMBER(SEARCH("positiva",_xlpm.t)),"Positiva",ISNUMBER(SEARCH("negativa",_xlpm.t)),"Negativa",ISNUMBER(SEARCH("estável",_xlpm.t)),"Estável",TRUE,"n/d")))</f>
        <v>Estável</v>
      </c>
      <c r="H244" t="str">
        <f>IFERROR(_xlfn.XLOOKUP($A244,Planilha2!$P$2:$P$38,Planilha2!R$2:R$38,"",-1),"")</f>
        <v>BB</v>
      </c>
      <c r="I244" t="str">
        <f>IFERROR(_xlfn.XLOOKUP($A244,Planilha2!$P$2:$P$38,Planilha2!S$2:S$38,"",-1),"")</f>
        <v>BB+</v>
      </c>
      <c r="J244" t="str" cm="1">
        <f t="array" ref="J244">IF($A244&lt;MIN(Planilha2!$P$2:$P$38),"",_xlfn.LET(_xlpm.t,_xlfn.XLOOKUP($A244,Planilha2!$P$2:$P$38,Planilha2!$T$2:$T$38,"",-1),_xlfn.IFS(ISNUMBER(SEARCH("positiva",_xlpm.t)),"Positiva",ISNUMBER(SEARCH("negativa",_xlpm.t)),"Negativa",ISNUMBER(SEARCH("estável",_xlpm.t)),"Estável",TRUE,"n/d")))</f>
        <v>Positiva</v>
      </c>
      <c r="L244" s="52">
        <f>IFERROR(_xlfn.XLOOKUP(B244,'Agências de Rating Soberano'!$G$2:$G$22,'Agências de Rating Soberano'!$H$2:$H$22),NA())</f>
        <v>10</v>
      </c>
      <c r="M244" s="52">
        <f>IFERROR(_xlfn.XLOOKUP(C244,'Agências de Rating Soberano'!$G$2:$G$22,'Agências de Rating Soberano'!$H$2:$H$22),NA())</f>
        <v>10</v>
      </c>
      <c r="N244" s="52">
        <f>IFERROR(_xlfn.XLOOKUP(E244,'Agências de Rating Soberano'!$J$2:$J$22,'Agências de Rating Soberano'!$K$2:$K$22),NA())</f>
        <v>10</v>
      </c>
      <c r="O244" s="52">
        <f>IFERROR(_xlfn.XLOOKUP(F244,'Agências de Rating Soberano'!$J$2:$J$22,'Agências de Rating Soberano'!$K$2:$K$22),NA())</f>
        <v>10</v>
      </c>
      <c r="P244" s="52">
        <f>IFERROR(_xlfn.XLOOKUP(H244,'Agências de Rating Soberano'!$J$2:$J$22,'Agências de Rating Soberano'!$K$2:$K$22),NA())</f>
        <v>10</v>
      </c>
      <c r="Q244" s="52">
        <f>IFERROR(_xlfn.XLOOKUP(I244,'Agências de Rating Soberano'!$J$2:$J$22,'Agências de Rating Soberano'!$K$2:$K$22),NA())</f>
        <v>11</v>
      </c>
    </row>
    <row r="245" spans="1:17" x14ac:dyDescent="0.3">
      <c r="A245" s="53">
        <f t="shared" si="10"/>
        <v>39141</v>
      </c>
      <c r="B245" t="str">
        <f>IFERROR(_xlfn.XLOOKUP($A245,Planilha2!$A$2:$A$34,Planilha2!C$2:C$34,"",-1),"")</f>
        <v>Ba2</v>
      </c>
      <c r="C245" t="str">
        <f>IFERROR(_xlfn.XLOOKUP($A245,Planilha2!$A$2:$A$34,Planilha2!D$2:D$34,"",-1),"")</f>
        <v>Ba2</v>
      </c>
      <c r="D245" t="str" cm="1">
        <f t="array" ref="D245">IF($A245&lt;MIN(Planilha2!$A$2:$A$34),"",_xlfn.LET(_xlpm.t,_xlfn.XLOOKUP($A245,Planilha2!$A$2:$A$34,Planilha2!$E$2:$E$34,"",-1),_xlfn.IFS(ISNUMBER(SEARCH("positiva",_xlpm.t)),"Positiva",ISNUMBER(SEARCH("negativa",_xlpm.t)),"Negativa",ISNUMBER(SEARCH("estável",_xlpm.t)),"Estável",TRUE,"n/d")))</f>
        <v>Estável</v>
      </c>
      <c r="E245" t="str">
        <f>IFERROR(_xlfn.XLOOKUP($A245,Planilha2!$J$2:$J$44,Planilha2!L$2:L$44,"",-1),"")</f>
        <v>BB</v>
      </c>
      <c r="F245" t="str">
        <f>IFERROR(_xlfn.XLOOKUP($A245,Planilha2!$J$2:$J$44,Planilha2!M$2:M$44,"",-1),"")</f>
        <v>BB</v>
      </c>
      <c r="G245" t="str" cm="1">
        <f t="array" ref="G245">IF($A245&lt;MIN(Planilha2!$J$2:$J$44),"",_xlfn.LET(_xlpm.t,_xlfn.XLOOKUP($A245,Planilha2!$J$2:$J$44,Planilha2!$N$2:$N$44,"",-1),_xlfn.IFS(ISNUMBER(SEARCH("positiva",_xlpm.t)),"Positiva",ISNUMBER(SEARCH("negativa",_xlpm.t)),"Negativa",ISNUMBER(SEARCH("estável",_xlpm.t)),"Estável",TRUE,"n/d")))</f>
        <v>Positiva</v>
      </c>
      <c r="H245" t="str">
        <f>IFERROR(_xlfn.XLOOKUP($A245,Planilha2!$P$2:$P$38,Planilha2!R$2:R$38,"",-1),"")</f>
        <v>BB</v>
      </c>
      <c r="I245" t="str">
        <f>IFERROR(_xlfn.XLOOKUP($A245,Planilha2!$P$2:$P$38,Planilha2!S$2:S$38,"",-1),"")</f>
        <v>BB+</v>
      </c>
      <c r="J245" t="str" cm="1">
        <f t="array" ref="J245">IF($A245&lt;MIN(Planilha2!$P$2:$P$38),"",_xlfn.LET(_xlpm.t,_xlfn.XLOOKUP($A245,Planilha2!$P$2:$P$38,Planilha2!$T$2:$T$38,"",-1),_xlfn.IFS(ISNUMBER(SEARCH("positiva",_xlpm.t)),"Positiva",ISNUMBER(SEARCH("negativa",_xlpm.t)),"Negativa",ISNUMBER(SEARCH("estável",_xlpm.t)),"Estável",TRUE,"n/d")))</f>
        <v>Positiva</v>
      </c>
      <c r="L245" s="52">
        <f>IFERROR(_xlfn.XLOOKUP(B245,'Agências de Rating Soberano'!$G$2:$G$22,'Agências de Rating Soberano'!$H$2:$H$22),NA())</f>
        <v>10</v>
      </c>
      <c r="M245" s="52">
        <f>IFERROR(_xlfn.XLOOKUP(C245,'Agências de Rating Soberano'!$G$2:$G$22,'Agências de Rating Soberano'!$H$2:$H$22),NA())</f>
        <v>10</v>
      </c>
      <c r="N245" s="52">
        <f>IFERROR(_xlfn.XLOOKUP(E245,'Agências de Rating Soberano'!$J$2:$J$22,'Agências de Rating Soberano'!$K$2:$K$22),NA())</f>
        <v>10</v>
      </c>
      <c r="O245" s="52">
        <f>IFERROR(_xlfn.XLOOKUP(F245,'Agências de Rating Soberano'!$J$2:$J$22,'Agências de Rating Soberano'!$K$2:$K$22),NA())</f>
        <v>10</v>
      </c>
      <c r="P245" s="52">
        <f>IFERROR(_xlfn.XLOOKUP(H245,'Agências de Rating Soberano'!$J$2:$J$22,'Agências de Rating Soberano'!$K$2:$K$22),NA())</f>
        <v>10</v>
      </c>
      <c r="Q245" s="52">
        <f>IFERROR(_xlfn.XLOOKUP(I245,'Agências de Rating Soberano'!$J$2:$J$22,'Agências de Rating Soberano'!$K$2:$K$22),NA())</f>
        <v>11</v>
      </c>
    </row>
    <row r="246" spans="1:17" x14ac:dyDescent="0.3">
      <c r="A246" s="53">
        <f t="shared" si="10"/>
        <v>39172</v>
      </c>
      <c r="B246" t="str">
        <f>IFERROR(_xlfn.XLOOKUP($A246,Planilha2!$A$2:$A$34,Planilha2!C$2:C$34,"",-1),"")</f>
        <v>Ba2</v>
      </c>
      <c r="C246" t="str">
        <f>IFERROR(_xlfn.XLOOKUP($A246,Planilha2!$A$2:$A$34,Planilha2!D$2:D$34,"",-1),"")</f>
        <v>Ba2</v>
      </c>
      <c r="D246" t="str" cm="1">
        <f t="array" ref="D246">IF($A246&lt;MIN(Planilha2!$A$2:$A$34),"",_xlfn.LET(_xlpm.t,_xlfn.XLOOKUP($A246,Planilha2!$A$2:$A$34,Planilha2!$E$2:$E$34,"",-1),_xlfn.IFS(ISNUMBER(SEARCH("positiva",_xlpm.t)),"Positiva",ISNUMBER(SEARCH("negativa",_xlpm.t)),"Negativa",ISNUMBER(SEARCH("estável",_xlpm.t)),"Estável",TRUE,"n/d")))</f>
        <v>Estável</v>
      </c>
      <c r="E246" t="str">
        <f>IFERROR(_xlfn.XLOOKUP($A246,Planilha2!$J$2:$J$44,Planilha2!L$2:L$44,"",-1),"")</f>
        <v>BB</v>
      </c>
      <c r="F246" t="str">
        <f>IFERROR(_xlfn.XLOOKUP($A246,Planilha2!$J$2:$J$44,Planilha2!M$2:M$44,"",-1),"")</f>
        <v>BB</v>
      </c>
      <c r="G246" t="str" cm="1">
        <f t="array" ref="G246">IF($A246&lt;MIN(Planilha2!$J$2:$J$44),"",_xlfn.LET(_xlpm.t,_xlfn.XLOOKUP($A246,Planilha2!$J$2:$J$44,Planilha2!$N$2:$N$44,"",-1),_xlfn.IFS(ISNUMBER(SEARCH("positiva",_xlpm.t)),"Positiva",ISNUMBER(SEARCH("negativa",_xlpm.t)),"Negativa",ISNUMBER(SEARCH("estável",_xlpm.t)),"Estável",TRUE,"n/d")))</f>
        <v>Positiva</v>
      </c>
      <c r="H246" t="str">
        <f>IFERROR(_xlfn.XLOOKUP($A246,Planilha2!$P$2:$P$38,Planilha2!R$2:R$38,"",-1),"")</f>
        <v>BB</v>
      </c>
      <c r="I246" t="str">
        <f>IFERROR(_xlfn.XLOOKUP($A246,Planilha2!$P$2:$P$38,Planilha2!S$2:S$38,"",-1),"")</f>
        <v>BB+</v>
      </c>
      <c r="J246" t="str" cm="1">
        <f t="array" ref="J246">IF($A246&lt;MIN(Planilha2!$P$2:$P$38),"",_xlfn.LET(_xlpm.t,_xlfn.XLOOKUP($A246,Planilha2!$P$2:$P$38,Planilha2!$T$2:$T$38,"",-1),_xlfn.IFS(ISNUMBER(SEARCH("positiva",_xlpm.t)),"Positiva",ISNUMBER(SEARCH("negativa",_xlpm.t)),"Negativa",ISNUMBER(SEARCH("estável",_xlpm.t)),"Estável",TRUE,"n/d")))</f>
        <v>Positiva</v>
      </c>
      <c r="L246" s="52">
        <f>IFERROR(_xlfn.XLOOKUP(B246,'Agências de Rating Soberano'!$G$2:$G$22,'Agências de Rating Soberano'!$H$2:$H$22),NA())</f>
        <v>10</v>
      </c>
      <c r="M246" s="52">
        <f>IFERROR(_xlfn.XLOOKUP(C246,'Agências de Rating Soberano'!$G$2:$G$22,'Agências de Rating Soberano'!$H$2:$H$22),NA())</f>
        <v>10</v>
      </c>
      <c r="N246" s="52">
        <f>IFERROR(_xlfn.XLOOKUP(E246,'Agências de Rating Soberano'!$J$2:$J$22,'Agências de Rating Soberano'!$K$2:$K$22),NA())</f>
        <v>10</v>
      </c>
      <c r="O246" s="52">
        <f>IFERROR(_xlfn.XLOOKUP(F246,'Agências de Rating Soberano'!$J$2:$J$22,'Agências de Rating Soberano'!$K$2:$K$22),NA())</f>
        <v>10</v>
      </c>
      <c r="P246" s="52">
        <f>IFERROR(_xlfn.XLOOKUP(H246,'Agências de Rating Soberano'!$J$2:$J$22,'Agências de Rating Soberano'!$K$2:$K$22),NA())</f>
        <v>10</v>
      </c>
      <c r="Q246" s="52">
        <f>IFERROR(_xlfn.XLOOKUP(I246,'Agências de Rating Soberano'!$J$2:$J$22,'Agências de Rating Soberano'!$K$2:$K$22),NA())</f>
        <v>11</v>
      </c>
    </row>
    <row r="247" spans="1:17" x14ac:dyDescent="0.3">
      <c r="A247" s="53">
        <f t="shared" si="10"/>
        <v>39202</v>
      </c>
      <c r="B247" t="str">
        <f>IFERROR(_xlfn.XLOOKUP($A247,Planilha2!$A$2:$A$34,Planilha2!C$2:C$34,"",-1),"")</f>
        <v>Ba2</v>
      </c>
      <c r="C247" t="str">
        <f>IFERROR(_xlfn.XLOOKUP($A247,Planilha2!$A$2:$A$34,Planilha2!D$2:D$34,"",-1),"")</f>
        <v>Ba2</v>
      </c>
      <c r="D247" t="str" cm="1">
        <f t="array" ref="D247">IF($A247&lt;MIN(Planilha2!$A$2:$A$34),"",_xlfn.LET(_xlpm.t,_xlfn.XLOOKUP($A247,Planilha2!$A$2:$A$34,Planilha2!$E$2:$E$34,"",-1),_xlfn.IFS(ISNUMBER(SEARCH("positiva",_xlpm.t)),"Positiva",ISNUMBER(SEARCH("negativa",_xlpm.t)),"Negativa",ISNUMBER(SEARCH("estável",_xlpm.t)),"Estável",TRUE,"n/d")))</f>
        <v>Estável</v>
      </c>
      <c r="E247" t="str">
        <f>IFERROR(_xlfn.XLOOKUP($A247,Planilha2!$J$2:$J$44,Planilha2!L$2:L$44,"",-1),"")</f>
        <v>BB</v>
      </c>
      <c r="F247" t="str">
        <f>IFERROR(_xlfn.XLOOKUP($A247,Planilha2!$J$2:$J$44,Planilha2!M$2:M$44,"",-1),"")</f>
        <v>BB</v>
      </c>
      <c r="G247" t="str" cm="1">
        <f t="array" ref="G247">IF($A247&lt;MIN(Planilha2!$J$2:$J$44),"",_xlfn.LET(_xlpm.t,_xlfn.XLOOKUP($A247,Planilha2!$J$2:$J$44,Planilha2!$N$2:$N$44,"",-1),_xlfn.IFS(ISNUMBER(SEARCH("positiva",_xlpm.t)),"Positiva",ISNUMBER(SEARCH("negativa",_xlpm.t)),"Negativa",ISNUMBER(SEARCH("estável",_xlpm.t)),"Estável",TRUE,"n/d")))</f>
        <v>Positiva</v>
      </c>
      <c r="H247" t="str">
        <f>IFERROR(_xlfn.XLOOKUP($A247,Planilha2!$P$2:$P$38,Planilha2!R$2:R$38,"",-1),"")</f>
        <v>BB</v>
      </c>
      <c r="I247" t="str">
        <f>IFERROR(_xlfn.XLOOKUP($A247,Planilha2!$P$2:$P$38,Planilha2!S$2:S$38,"",-1),"")</f>
        <v>BB+</v>
      </c>
      <c r="J247" t="str" cm="1">
        <f t="array" ref="J247">IF($A247&lt;MIN(Planilha2!$P$2:$P$38),"",_xlfn.LET(_xlpm.t,_xlfn.XLOOKUP($A247,Planilha2!$P$2:$P$38,Planilha2!$T$2:$T$38,"",-1),_xlfn.IFS(ISNUMBER(SEARCH("positiva",_xlpm.t)),"Positiva",ISNUMBER(SEARCH("negativa",_xlpm.t)),"Negativa",ISNUMBER(SEARCH("estável",_xlpm.t)),"Estável",TRUE,"n/d")))</f>
        <v>Positiva</v>
      </c>
      <c r="L247" s="52">
        <f>IFERROR(_xlfn.XLOOKUP(B247,'Agências de Rating Soberano'!$G$2:$G$22,'Agências de Rating Soberano'!$H$2:$H$22),NA())</f>
        <v>10</v>
      </c>
      <c r="M247" s="52">
        <f>IFERROR(_xlfn.XLOOKUP(C247,'Agências de Rating Soberano'!$G$2:$G$22,'Agências de Rating Soberano'!$H$2:$H$22),NA())</f>
        <v>10</v>
      </c>
      <c r="N247" s="52">
        <f>IFERROR(_xlfn.XLOOKUP(E247,'Agências de Rating Soberano'!$J$2:$J$22,'Agências de Rating Soberano'!$K$2:$K$22),NA())</f>
        <v>10</v>
      </c>
      <c r="O247" s="52">
        <f>IFERROR(_xlfn.XLOOKUP(F247,'Agências de Rating Soberano'!$J$2:$J$22,'Agências de Rating Soberano'!$K$2:$K$22),NA())</f>
        <v>10</v>
      </c>
      <c r="P247" s="52">
        <f>IFERROR(_xlfn.XLOOKUP(H247,'Agências de Rating Soberano'!$J$2:$J$22,'Agências de Rating Soberano'!$K$2:$K$22),NA())</f>
        <v>10</v>
      </c>
      <c r="Q247" s="52">
        <f>IFERROR(_xlfn.XLOOKUP(I247,'Agências de Rating Soberano'!$J$2:$J$22,'Agências de Rating Soberano'!$K$2:$K$22),NA())</f>
        <v>11</v>
      </c>
    </row>
    <row r="248" spans="1:17" x14ac:dyDescent="0.3">
      <c r="A248" s="53">
        <f t="shared" si="10"/>
        <v>39233</v>
      </c>
      <c r="B248" t="str">
        <f>IFERROR(_xlfn.XLOOKUP($A248,Planilha2!$A$2:$A$34,Planilha2!C$2:C$34,"",-1),"")</f>
        <v>Ba2</v>
      </c>
      <c r="C248" t="str">
        <f>IFERROR(_xlfn.XLOOKUP($A248,Planilha2!$A$2:$A$34,Planilha2!D$2:D$34,"",-1),"")</f>
        <v>Ba2</v>
      </c>
      <c r="D248" t="str" cm="1">
        <f t="array" ref="D248">IF($A248&lt;MIN(Planilha2!$A$2:$A$34),"",_xlfn.LET(_xlpm.t,_xlfn.XLOOKUP($A248,Planilha2!$A$2:$A$34,Planilha2!$E$2:$E$34,"",-1),_xlfn.IFS(ISNUMBER(SEARCH("positiva",_xlpm.t)),"Positiva",ISNUMBER(SEARCH("negativa",_xlpm.t)),"Negativa",ISNUMBER(SEARCH("estável",_xlpm.t)),"Estável",TRUE,"n/d")))</f>
        <v>Estável</v>
      </c>
      <c r="E248" t="str">
        <f>IFERROR(_xlfn.XLOOKUP($A248,Planilha2!$J$2:$J$44,Planilha2!L$2:L$44,"",-1),"")</f>
        <v>BB+</v>
      </c>
      <c r="F248" t="str">
        <f>IFERROR(_xlfn.XLOOKUP($A248,Planilha2!$J$2:$J$44,Planilha2!M$2:M$44,"",-1),"")</f>
        <v>BB+</v>
      </c>
      <c r="G248" t="str" cm="1">
        <f t="array" ref="G248">IF($A248&lt;MIN(Planilha2!$J$2:$J$44),"",_xlfn.LET(_xlpm.t,_xlfn.XLOOKUP($A248,Planilha2!$J$2:$J$44,Planilha2!$N$2:$N$44,"",-1),_xlfn.IFS(ISNUMBER(SEARCH("positiva",_xlpm.t)),"Positiva",ISNUMBER(SEARCH("negativa",_xlpm.t)),"Negativa",ISNUMBER(SEARCH("estável",_xlpm.t)),"Estável",TRUE,"n/d")))</f>
        <v>Estável</v>
      </c>
      <c r="H248" t="str">
        <f>IFERROR(_xlfn.XLOOKUP($A248,Planilha2!$P$2:$P$38,Planilha2!R$2:R$38,"",-1),"")</f>
        <v>BB+</v>
      </c>
      <c r="I248" t="str">
        <f>IFERROR(_xlfn.XLOOKUP($A248,Planilha2!$P$2:$P$38,Planilha2!S$2:S$38,"",-1),"")</f>
        <v>BBB</v>
      </c>
      <c r="J248" t="str" cm="1">
        <f t="array" ref="J248">IF($A248&lt;MIN(Planilha2!$P$2:$P$38),"",_xlfn.LET(_xlpm.t,_xlfn.XLOOKUP($A248,Planilha2!$P$2:$P$38,Planilha2!$T$2:$T$38,"",-1),_xlfn.IFS(ISNUMBER(SEARCH("positiva",_xlpm.t)),"Positiva",ISNUMBER(SEARCH("negativa",_xlpm.t)),"Negativa",ISNUMBER(SEARCH("estável",_xlpm.t)),"Estável",TRUE,"n/d")))</f>
        <v>Positiva</v>
      </c>
      <c r="L248" s="52">
        <f>IFERROR(_xlfn.XLOOKUP(B248,'Agências de Rating Soberano'!$G$2:$G$22,'Agências de Rating Soberano'!$H$2:$H$22),NA())</f>
        <v>10</v>
      </c>
      <c r="M248" s="52">
        <f>IFERROR(_xlfn.XLOOKUP(C248,'Agências de Rating Soberano'!$G$2:$G$22,'Agências de Rating Soberano'!$H$2:$H$22),NA())</f>
        <v>10</v>
      </c>
      <c r="N248" s="52">
        <f>IFERROR(_xlfn.XLOOKUP(E248,'Agências de Rating Soberano'!$J$2:$J$22,'Agências de Rating Soberano'!$K$2:$K$22),NA())</f>
        <v>11</v>
      </c>
      <c r="O248" s="52">
        <f>IFERROR(_xlfn.XLOOKUP(F248,'Agências de Rating Soberano'!$J$2:$J$22,'Agências de Rating Soberano'!$K$2:$K$22),NA())</f>
        <v>11</v>
      </c>
      <c r="P248" s="52">
        <f>IFERROR(_xlfn.XLOOKUP(H248,'Agências de Rating Soberano'!$J$2:$J$22,'Agências de Rating Soberano'!$K$2:$K$22),NA())</f>
        <v>11</v>
      </c>
      <c r="Q248" s="52">
        <f>IFERROR(_xlfn.XLOOKUP(I248,'Agências de Rating Soberano'!$J$2:$J$22,'Agências de Rating Soberano'!$K$2:$K$22),NA())</f>
        <v>13</v>
      </c>
    </row>
    <row r="249" spans="1:17" x14ac:dyDescent="0.3">
      <c r="A249" s="53">
        <f t="shared" si="10"/>
        <v>39263</v>
      </c>
      <c r="B249" t="str">
        <f>IFERROR(_xlfn.XLOOKUP($A249,Planilha2!$A$2:$A$34,Planilha2!C$2:C$34,"",-1),"")</f>
        <v>Ba2</v>
      </c>
      <c r="C249" t="str">
        <f>IFERROR(_xlfn.XLOOKUP($A249,Planilha2!$A$2:$A$34,Planilha2!D$2:D$34,"",-1),"")</f>
        <v>Ba2</v>
      </c>
      <c r="D249" t="str" cm="1">
        <f t="array" ref="D249">IF($A249&lt;MIN(Planilha2!$A$2:$A$34),"",_xlfn.LET(_xlpm.t,_xlfn.XLOOKUP($A249,Planilha2!$A$2:$A$34,Planilha2!$E$2:$E$34,"",-1),_xlfn.IFS(ISNUMBER(SEARCH("positiva",_xlpm.t)),"Positiva",ISNUMBER(SEARCH("negativa",_xlpm.t)),"Negativa",ISNUMBER(SEARCH("estável",_xlpm.t)),"Estável",TRUE,"n/d")))</f>
        <v>Estável</v>
      </c>
      <c r="E249" t="str">
        <f>IFERROR(_xlfn.XLOOKUP($A249,Planilha2!$J$2:$J$44,Planilha2!L$2:L$44,"",-1),"")</f>
        <v>BB+</v>
      </c>
      <c r="F249" t="str">
        <f>IFERROR(_xlfn.XLOOKUP($A249,Planilha2!$J$2:$J$44,Planilha2!M$2:M$44,"",-1),"")</f>
        <v>BB+</v>
      </c>
      <c r="G249" t="str" cm="1">
        <f t="array" ref="G249">IF($A249&lt;MIN(Planilha2!$J$2:$J$44),"",_xlfn.LET(_xlpm.t,_xlfn.XLOOKUP($A249,Planilha2!$J$2:$J$44,Planilha2!$N$2:$N$44,"",-1),_xlfn.IFS(ISNUMBER(SEARCH("positiva",_xlpm.t)),"Positiva",ISNUMBER(SEARCH("negativa",_xlpm.t)),"Negativa",ISNUMBER(SEARCH("estável",_xlpm.t)),"Estável",TRUE,"n/d")))</f>
        <v>Estável</v>
      </c>
      <c r="H249" t="str">
        <f>IFERROR(_xlfn.XLOOKUP($A249,Planilha2!$P$2:$P$38,Planilha2!R$2:R$38,"",-1),"")</f>
        <v>BB+</v>
      </c>
      <c r="I249" t="str">
        <f>IFERROR(_xlfn.XLOOKUP($A249,Planilha2!$P$2:$P$38,Planilha2!S$2:S$38,"",-1),"")</f>
        <v>BBB</v>
      </c>
      <c r="J249" t="str" cm="1">
        <f t="array" ref="J249">IF($A249&lt;MIN(Planilha2!$P$2:$P$38),"",_xlfn.LET(_xlpm.t,_xlfn.XLOOKUP($A249,Planilha2!$P$2:$P$38,Planilha2!$T$2:$T$38,"",-1),_xlfn.IFS(ISNUMBER(SEARCH("positiva",_xlpm.t)),"Positiva",ISNUMBER(SEARCH("negativa",_xlpm.t)),"Negativa",ISNUMBER(SEARCH("estável",_xlpm.t)),"Estável",TRUE,"n/d")))</f>
        <v>Positiva</v>
      </c>
      <c r="L249" s="52">
        <f>IFERROR(_xlfn.XLOOKUP(B249,'Agências de Rating Soberano'!$G$2:$G$22,'Agências de Rating Soberano'!$H$2:$H$22),NA())</f>
        <v>10</v>
      </c>
      <c r="M249" s="52">
        <f>IFERROR(_xlfn.XLOOKUP(C249,'Agências de Rating Soberano'!$G$2:$G$22,'Agências de Rating Soberano'!$H$2:$H$22),NA())</f>
        <v>10</v>
      </c>
      <c r="N249" s="52">
        <f>IFERROR(_xlfn.XLOOKUP(E249,'Agências de Rating Soberano'!$J$2:$J$22,'Agências de Rating Soberano'!$K$2:$K$22),NA())</f>
        <v>11</v>
      </c>
      <c r="O249" s="52">
        <f>IFERROR(_xlfn.XLOOKUP(F249,'Agências de Rating Soberano'!$J$2:$J$22,'Agências de Rating Soberano'!$K$2:$K$22),NA())</f>
        <v>11</v>
      </c>
      <c r="P249" s="52">
        <f>IFERROR(_xlfn.XLOOKUP(H249,'Agências de Rating Soberano'!$J$2:$J$22,'Agências de Rating Soberano'!$K$2:$K$22),NA())</f>
        <v>11</v>
      </c>
      <c r="Q249" s="52">
        <f>IFERROR(_xlfn.XLOOKUP(I249,'Agências de Rating Soberano'!$J$2:$J$22,'Agências de Rating Soberano'!$K$2:$K$22),NA())</f>
        <v>13</v>
      </c>
    </row>
    <row r="250" spans="1:17" x14ac:dyDescent="0.3">
      <c r="A250" s="53">
        <f t="shared" si="10"/>
        <v>39294</v>
      </c>
      <c r="B250" t="str">
        <f>IFERROR(_xlfn.XLOOKUP($A250,Planilha2!$A$2:$A$34,Planilha2!C$2:C$34,"",-1),"")</f>
        <v>Ba2</v>
      </c>
      <c r="C250" t="str">
        <f>IFERROR(_xlfn.XLOOKUP($A250,Planilha2!$A$2:$A$34,Planilha2!D$2:D$34,"",-1),"")</f>
        <v>Ba2</v>
      </c>
      <c r="D250" t="str" cm="1">
        <f t="array" ref="D250">IF($A250&lt;MIN(Planilha2!$A$2:$A$34),"",_xlfn.LET(_xlpm.t,_xlfn.XLOOKUP($A250,Planilha2!$A$2:$A$34,Planilha2!$E$2:$E$34,"",-1),_xlfn.IFS(ISNUMBER(SEARCH("positiva",_xlpm.t)),"Positiva",ISNUMBER(SEARCH("negativa",_xlpm.t)),"Negativa",ISNUMBER(SEARCH("estável",_xlpm.t)),"Estável",TRUE,"n/d")))</f>
        <v>Estável</v>
      </c>
      <c r="E250" t="str">
        <f>IFERROR(_xlfn.XLOOKUP($A250,Planilha2!$J$2:$J$44,Planilha2!L$2:L$44,"",-1),"")</f>
        <v>BB+</v>
      </c>
      <c r="F250" t="str">
        <f>IFERROR(_xlfn.XLOOKUP($A250,Planilha2!$J$2:$J$44,Planilha2!M$2:M$44,"",-1),"")</f>
        <v>BB+</v>
      </c>
      <c r="G250" t="str" cm="1">
        <f t="array" ref="G250">IF($A250&lt;MIN(Planilha2!$J$2:$J$44),"",_xlfn.LET(_xlpm.t,_xlfn.XLOOKUP($A250,Planilha2!$J$2:$J$44,Planilha2!$N$2:$N$44,"",-1),_xlfn.IFS(ISNUMBER(SEARCH("positiva",_xlpm.t)),"Positiva",ISNUMBER(SEARCH("negativa",_xlpm.t)),"Negativa",ISNUMBER(SEARCH("estável",_xlpm.t)),"Estável",TRUE,"n/d")))</f>
        <v>Estável</v>
      </c>
      <c r="H250" t="str">
        <f>IFERROR(_xlfn.XLOOKUP($A250,Planilha2!$P$2:$P$38,Planilha2!R$2:R$38,"",-1),"")</f>
        <v>BB+</v>
      </c>
      <c r="I250" t="str">
        <f>IFERROR(_xlfn.XLOOKUP($A250,Planilha2!$P$2:$P$38,Planilha2!S$2:S$38,"",-1),"")</f>
        <v>BBB</v>
      </c>
      <c r="J250" t="str" cm="1">
        <f t="array" ref="J250">IF($A250&lt;MIN(Planilha2!$P$2:$P$38),"",_xlfn.LET(_xlpm.t,_xlfn.XLOOKUP($A250,Planilha2!$P$2:$P$38,Planilha2!$T$2:$T$38,"",-1),_xlfn.IFS(ISNUMBER(SEARCH("positiva",_xlpm.t)),"Positiva",ISNUMBER(SEARCH("negativa",_xlpm.t)),"Negativa",ISNUMBER(SEARCH("estável",_xlpm.t)),"Estável",TRUE,"n/d")))</f>
        <v>Positiva</v>
      </c>
      <c r="L250" s="52">
        <f>IFERROR(_xlfn.XLOOKUP(B250,'Agências de Rating Soberano'!$G$2:$G$22,'Agências de Rating Soberano'!$H$2:$H$22),NA())</f>
        <v>10</v>
      </c>
      <c r="M250" s="52">
        <f>IFERROR(_xlfn.XLOOKUP(C250,'Agências de Rating Soberano'!$G$2:$G$22,'Agências de Rating Soberano'!$H$2:$H$22),NA())</f>
        <v>10</v>
      </c>
      <c r="N250" s="52">
        <f>IFERROR(_xlfn.XLOOKUP(E250,'Agências de Rating Soberano'!$J$2:$J$22,'Agências de Rating Soberano'!$K$2:$K$22),NA())</f>
        <v>11</v>
      </c>
      <c r="O250" s="52">
        <f>IFERROR(_xlfn.XLOOKUP(F250,'Agências de Rating Soberano'!$J$2:$J$22,'Agências de Rating Soberano'!$K$2:$K$22),NA())</f>
        <v>11</v>
      </c>
      <c r="P250" s="52">
        <f>IFERROR(_xlfn.XLOOKUP(H250,'Agências de Rating Soberano'!$J$2:$J$22,'Agências de Rating Soberano'!$K$2:$K$22),NA())</f>
        <v>11</v>
      </c>
      <c r="Q250" s="52">
        <f>IFERROR(_xlfn.XLOOKUP(I250,'Agências de Rating Soberano'!$J$2:$J$22,'Agências de Rating Soberano'!$K$2:$K$22),NA())</f>
        <v>13</v>
      </c>
    </row>
    <row r="251" spans="1:17" x14ac:dyDescent="0.3">
      <c r="A251" s="53">
        <f t="shared" si="10"/>
        <v>39325</v>
      </c>
      <c r="B251" t="str">
        <f>IFERROR(_xlfn.XLOOKUP($A251,Planilha2!$A$2:$A$34,Planilha2!C$2:C$34,"",-1),"")</f>
        <v>Ba1</v>
      </c>
      <c r="C251" t="str">
        <f>IFERROR(_xlfn.XLOOKUP($A251,Planilha2!$A$2:$A$34,Planilha2!D$2:D$34,"",-1),"")</f>
        <v>Ba1</v>
      </c>
      <c r="D251" t="str" cm="1">
        <f t="array" ref="D251">IF($A251&lt;MIN(Planilha2!$A$2:$A$34),"",_xlfn.LET(_xlpm.t,_xlfn.XLOOKUP($A251,Planilha2!$A$2:$A$34,Planilha2!$E$2:$E$34,"",-1),_xlfn.IFS(ISNUMBER(SEARCH("positiva",_xlpm.t)),"Positiva",ISNUMBER(SEARCH("negativa",_xlpm.t)),"Negativa",ISNUMBER(SEARCH("estável",_xlpm.t)),"Estável",TRUE,"n/d")))</f>
        <v>Estável</v>
      </c>
      <c r="E251" t="str">
        <f>IFERROR(_xlfn.XLOOKUP($A251,Planilha2!$J$2:$J$44,Planilha2!L$2:L$44,"",-1),"")</f>
        <v>BB+</v>
      </c>
      <c r="F251" t="str">
        <f>IFERROR(_xlfn.XLOOKUP($A251,Planilha2!$J$2:$J$44,Planilha2!M$2:M$44,"",-1),"")</f>
        <v>BB+</v>
      </c>
      <c r="G251" t="str" cm="1">
        <f t="array" ref="G251">IF($A251&lt;MIN(Planilha2!$J$2:$J$44),"",_xlfn.LET(_xlpm.t,_xlfn.XLOOKUP($A251,Planilha2!$J$2:$J$44,Planilha2!$N$2:$N$44,"",-1),_xlfn.IFS(ISNUMBER(SEARCH("positiva",_xlpm.t)),"Positiva",ISNUMBER(SEARCH("negativa",_xlpm.t)),"Negativa",ISNUMBER(SEARCH("estável",_xlpm.t)),"Estável",TRUE,"n/d")))</f>
        <v>Estável</v>
      </c>
      <c r="H251" t="str">
        <f>IFERROR(_xlfn.XLOOKUP($A251,Planilha2!$P$2:$P$38,Planilha2!R$2:R$38,"",-1),"")</f>
        <v>BB+</v>
      </c>
      <c r="I251" t="str">
        <f>IFERROR(_xlfn.XLOOKUP($A251,Planilha2!$P$2:$P$38,Planilha2!S$2:S$38,"",-1),"")</f>
        <v>BBB</v>
      </c>
      <c r="J251" t="str" cm="1">
        <f t="array" ref="J251">IF($A251&lt;MIN(Planilha2!$P$2:$P$38),"",_xlfn.LET(_xlpm.t,_xlfn.XLOOKUP($A251,Planilha2!$P$2:$P$38,Planilha2!$T$2:$T$38,"",-1),_xlfn.IFS(ISNUMBER(SEARCH("positiva",_xlpm.t)),"Positiva",ISNUMBER(SEARCH("negativa",_xlpm.t)),"Negativa",ISNUMBER(SEARCH("estável",_xlpm.t)),"Estável",TRUE,"n/d")))</f>
        <v>Positiva</v>
      </c>
      <c r="L251" s="52">
        <f>IFERROR(_xlfn.XLOOKUP(B251,'Agências de Rating Soberano'!$G$2:$G$22,'Agências de Rating Soberano'!$H$2:$H$22),NA())</f>
        <v>11</v>
      </c>
      <c r="M251" s="52">
        <f>IFERROR(_xlfn.XLOOKUP(C251,'Agências de Rating Soberano'!$G$2:$G$22,'Agências de Rating Soberano'!$H$2:$H$22),NA())</f>
        <v>11</v>
      </c>
      <c r="N251" s="52">
        <f>IFERROR(_xlfn.XLOOKUP(E251,'Agências de Rating Soberano'!$J$2:$J$22,'Agências de Rating Soberano'!$K$2:$K$22),NA())</f>
        <v>11</v>
      </c>
      <c r="O251" s="52">
        <f>IFERROR(_xlfn.XLOOKUP(F251,'Agências de Rating Soberano'!$J$2:$J$22,'Agências de Rating Soberano'!$K$2:$K$22),NA())</f>
        <v>11</v>
      </c>
      <c r="P251" s="52">
        <f>IFERROR(_xlfn.XLOOKUP(H251,'Agências de Rating Soberano'!$J$2:$J$22,'Agências de Rating Soberano'!$K$2:$K$22),NA())</f>
        <v>11</v>
      </c>
      <c r="Q251" s="52">
        <f>IFERROR(_xlfn.XLOOKUP(I251,'Agências de Rating Soberano'!$J$2:$J$22,'Agências de Rating Soberano'!$K$2:$K$22),NA())</f>
        <v>13</v>
      </c>
    </row>
    <row r="252" spans="1:17" x14ac:dyDescent="0.3">
      <c r="A252" s="53">
        <f t="shared" si="10"/>
        <v>39355</v>
      </c>
      <c r="B252" t="str">
        <f>IFERROR(_xlfn.XLOOKUP($A252,Planilha2!$A$2:$A$34,Planilha2!C$2:C$34,"",-1),"")</f>
        <v>Ba1</v>
      </c>
      <c r="C252" t="str">
        <f>IFERROR(_xlfn.XLOOKUP($A252,Planilha2!$A$2:$A$34,Planilha2!D$2:D$34,"",-1),"")</f>
        <v>Ba1</v>
      </c>
      <c r="D252" t="str" cm="1">
        <f t="array" ref="D252">IF($A252&lt;MIN(Planilha2!$A$2:$A$34),"",_xlfn.LET(_xlpm.t,_xlfn.XLOOKUP($A252,Planilha2!$A$2:$A$34,Planilha2!$E$2:$E$34,"",-1),_xlfn.IFS(ISNUMBER(SEARCH("positiva",_xlpm.t)),"Positiva",ISNUMBER(SEARCH("negativa",_xlpm.t)),"Negativa",ISNUMBER(SEARCH("estável",_xlpm.t)),"Estável",TRUE,"n/d")))</f>
        <v>Estável</v>
      </c>
      <c r="E252" t="str">
        <f>IFERROR(_xlfn.XLOOKUP($A252,Planilha2!$J$2:$J$44,Planilha2!L$2:L$44,"",-1),"")</f>
        <v>BB+</v>
      </c>
      <c r="F252" t="str">
        <f>IFERROR(_xlfn.XLOOKUP($A252,Planilha2!$J$2:$J$44,Planilha2!M$2:M$44,"",-1),"")</f>
        <v>BB+</v>
      </c>
      <c r="G252" t="str" cm="1">
        <f t="array" ref="G252">IF($A252&lt;MIN(Planilha2!$J$2:$J$44),"",_xlfn.LET(_xlpm.t,_xlfn.XLOOKUP($A252,Planilha2!$J$2:$J$44,Planilha2!$N$2:$N$44,"",-1),_xlfn.IFS(ISNUMBER(SEARCH("positiva",_xlpm.t)),"Positiva",ISNUMBER(SEARCH("negativa",_xlpm.t)),"Negativa",ISNUMBER(SEARCH("estável",_xlpm.t)),"Estável",TRUE,"n/d")))</f>
        <v>Estável</v>
      </c>
      <c r="H252" t="str">
        <f>IFERROR(_xlfn.XLOOKUP($A252,Planilha2!$P$2:$P$38,Planilha2!R$2:R$38,"",-1),"")</f>
        <v>BB+</v>
      </c>
      <c r="I252" t="str">
        <f>IFERROR(_xlfn.XLOOKUP($A252,Planilha2!$P$2:$P$38,Planilha2!S$2:S$38,"",-1),"")</f>
        <v>BBB</v>
      </c>
      <c r="J252" t="str" cm="1">
        <f t="array" ref="J252">IF($A252&lt;MIN(Planilha2!$P$2:$P$38),"",_xlfn.LET(_xlpm.t,_xlfn.XLOOKUP($A252,Planilha2!$P$2:$P$38,Planilha2!$T$2:$T$38,"",-1),_xlfn.IFS(ISNUMBER(SEARCH("positiva",_xlpm.t)),"Positiva",ISNUMBER(SEARCH("negativa",_xlpm.t)),"Negativa",ISNUMBER(SEARCH("estável",_xlpm.t)),"Estável",TRUE,"n/d")))</f>
        <v>Positiva</v>
      </c>
      <c r="L252" s="52">
        <f>IFERROR(_xlfn.XLOOKUP(B252,'Agências de Rating Soberano'!$G$2:$G$22,'Agências de Rating Soberano'!$H$2:$H$22),NA())</f>
        <v>11</v>
      </c>
      <c r="M252" s="52">
        <f>IFERROR(_xlfn.XLOOKUP(C252,'Agências de Rating Soberano'!$G$2:$G$22,'Agências de Rating Soberano'!$H$2:$H$22),NA())</f>
        <v>11</v>
      </c>
      <c r="N252" s="52">
        <f>IFERROR(_xlfn.XLOOKUP(E252,'Agências de Rating Soberano'!$J$2:$J$22,'Agências de Rating Soberano'!$K$2:$K$22),NA())</f>
        <v>11</v>
      </c>
      <c r="O252" s="52">
        <f>IFERROR(_xlfn.XLOOKUP(F252,'Agências de Rating Soberano'!$J$2:$J$22,'Agências de Rating Soberano'!$K$2:$K$22),NA())</f>
        <v>11</v>
      </c>
      <c r="P252" s="52">
        <f>IFERROR(_xlfn.XLOOKUP(H252,'Agências de Rating Soberano'!$J$2:$J$22,'Agências de Rating Soberano'!$K$2:$K$22),NA())</f>
        <v>11</v>
      </c>
      <c r="Q252" s="52">
        <f>IFERROR(_xlfn.XLOOKUP(I252,'Agências de Rating Soberano'!$J$2:$J$22,'Agências de Rating Soberano'!$K$2:$K$22),NA())</f>
        <v>13</v>
      </c>
    </row>
    <row r="253" spans="1:17" x14ac:dyDescent="0.3">
      <c r="A253" s="53">
        <f t="shared" si="10"/>
        <v>39386</v>
      </c>
      <c r="B253" t="str">
        <f>IFERROR(_xlfn.XLOOKUP($A253,Planilha2!$A$2:$A$34,Planilha2!C$2:C$34,"",-1),"")</f>
        <v>Ba1</v>
      </c>
      <c r="C253" t="str">
        <f>IFERROR(_xlfn.XLOOKUP($A253,Planilha2!$A$2:$A$34,Planilha2!D$2:D$34,"",-1),"")</f>
        <v>Ba1</v>
      </c>
      <c r="D253" t="str" cm="1">
        <f t="array" ref="D253">IF($A253&lt;MIN(Planilha2!$A$2:$A$34),"",_xlfn.LET(_xlpm.t,_xlfn.XLOOKUP($A253,Planilha2!$A$2:$A$34,Planilha2!$E$2:$E$34,"",-1),_xlfn.IFS(ISNUMBER(SEARCH("positiva",_xlpm.t)),"Positiva",ISNUMBER(SEARCH("negativa",_xlpm.t)),"Negativa",ISNUMBER(SEARCH("estável",_xlpm.t)),"Estável",TRUE,"n/d")))</f>
        <v>Estável</v>
      </c>
      <c r="E253" t="str">
        <f>IFERROR(_xlfn.XLOOKUP($A253,Planilha2!$J$2:$J$44,Planilha2!L$2:L$44,"",-1),"")</f>
        <v>BB+</v>
      </c>
      <c r="F253" t="str">
        <f>IFERROR(_xlfn.XLOOKUP($A253,Planilha2!$J$2:$J$44,Planilha2!M$2:M$44,"",-1),"")</f>
        <v>BB+</v>
      </c>
      <c r="G253" t="str" cm="1">
        <f t="array" ref="G253">IF($A253&lt;MIN(Planilha2!$J$2:$J$44),"",_xlfn.LET(_xlpm.t,_xlfn.XLOOKUP($A253,Planilha2!$J$2:$J$44,Planilha2!$N$2:$N$44,"",-1),_xlfn.IFS(ISNUMBER(SEARCH("positiva",_xlpm.t)),"Positiva",ISNUMBER(SEARCH("negativa",_xlpm.t)),"Negativa",ISNUMBER(SEARCH("estável",_xlpm.t)),"Estável",TRUE,"n/d")))</f>
        <v>Estável</v>
      </c>
      <c r="H253" t="str">
        <f>IFERROR(_xlfn.XLOOKUP($A253,Planilha2!$P$2:$P$38,Planilha2!R$2:R$38,"",-1),"")</f>
        <v>BB+</v>
      </c>
      <c r="I253" t="str">
        <f>IFERROR(_xlfn.XLOOKUP($A253,Planilha2!$P$2:$P$38,Planilha2!S$2:S$38,"",-1),"")</f>
        <v>BBB</v>
      </c>
      <c r="J253" t="str" cm="1">
        <f t="array" ref="J253">IF($A253&lt;MIN(Planilha2!$P$2:$P$38),"",_xlfn.LET(_xlpm.t,_xlfn.XLOOKUP($A253,Planilha2!$P$2:$P$38,Planilha2!$T$2:$T$38,"",-1),_xlfn.IFS(ISNUMBER(SEARCH("positiva",_xlpm.t)),"Positiva",ISNUMBER(SEARCH("negativa",_xlpm.t)),"Negativa",ISNUMBER(SEARCH("estável",_xlpm.t)),"Estável",TRUE,"n/d")))</f>
        <v>Positiva</v>
      </c>
      <c r="L253" s="52">
        <f>IFERROR(_xlfn.XLOOKUP(B253,'Agências de Rating Soberano'!$G$2:$G$22,'Agências de Rating Soberano'!$H$2:$H$22),NA())</f>
        <v>11</v>
      </c>
      <c r="M253" s="52">
        <f>IFERROR(_xlfn.XLOOKUP(C253,'Agências de Rating Soberano'!$G$2:$G$22,'Agências de Rating Soberano'!$H$2:$H$22),NA())</f>
        <v>11</v>
      </c>
      <c r="N253" s="52">
        <f>IFERROR(_xlfn.XLOOKUP(E253,'Agências de Rating Soberano'!$J$2:$J$22,'Agências de Rating Soberano'!$K$2:$K$22),NA())</f>
        <v>11</v>
      </c>
      <c r="O253" s="52">
        <f>IFERROR(_xlfn.XLOOKUP(F253,'Agências de Rating Soberano'!$J$2:$J$22,'Agências de Rating Soberano'!$K$2:$K$22),NA())</f>
        <v>11</v>
      </c>
      <c r="P253" s="52">
        <f>IFERROR(_xlfn.XLOOKUP(H253,'Agências de Rating Soberano'!$J$2:$J$22,'Agências de Rating Soberano'!$K$2:$K$22),NA())</f>
        <v>11</v>
      </c>
      <c r="Q253" s="52">
        <f>IFERROR(_xlfn.XLOOKUP(I253,'Agências de Rating Soberano'!$J$2:$J$22,'Agências de Rating Soberano'!$K$2:$K$22),NA())</f>
        <v>13</v>
      </c>
    </row>
    <row r="254" spans="1:17" x14ac:dyDescent="0.3">
      <c r="A254" s="53">
        <f t="shared" si="10"/>
        <v>39416</v>
      </c>
      <c r="B254" t="str">
        <f>IFERROR(_xlfn.XLOOKUP($A254,Planilha2!$A$2:$A$34,Planilha2!C$2:C$34,"",-1),"")</f>
        <v>Ba1</v>
      </c>
      <c r="C254" t="str">
        <f>IFERROR(_xlfn.XLOOKUP($A254,Planilha2!$A$2:$A$34,Planilha2!D$2:D$34,"",-1),"")</f>
        <v>Ba1</v>
      </c>
      <c r="D254" t="str" cm="1">
        <f t="array" ref="D254">IF($A254&lt;MIN(Planilha2!$A$2:$A$34),"",_xlfn.LET(_xlpm.t,_xlfn.XLOOKUP($A254,Planilha2!$A$2:$A$34,Planilha2!$E$2:$E$34,"",-1),_xlfn.IFS(ISNUMBER(SEARCH("positiva",_xlpm.t)),"Positiva",ISNUMBER(SEARCH("negativa",_xlpm.t)),"Negativa",ISNUMBER(SEARCH("estável",_xlpm.t)),"Estável",TRUE,"n/d")))</f>
        <v>Estável</v>
      </c>
      <c r="E254" t="str">
        <f>IFERROR(_xlfn.XLOOKUP($A254,Planilha2!$J$2:$J$44,Planilha2!L$2:L$44,"",-1),"")</f>
        <v>BB+</v>
      </c>
      <c r="F254" t="str">
        <f>IFERROR(_xlfn.XLOOKUP($A254,Planilha2!$J$2:$J$44,Planilha2!M$2:M$44,"",-1),"")</f>
        <v>BB+</v>
      </c>
      <c r="G254" t="str" cm="1">
        <f t="array" ref="G254">IF($A254&lt;MIN(Planilha2!$J$2:$J$44),"",_xlfn.LET(_xlpm.t,_xlfn.XLOOKUP($A254,Planilha2!$J$2:$J$44,Planilha2!$N$2:$N$44,"",-1),_xlfn.IFS(ISNUMBER(SEARCH("positiva",_xlpm.t)),"Positiva",ISNUMBER(SEARCH("negativa",_xlpm.t)),"Negativa",ISNUMBER(SEARCH("estável",_xlpm.t)),"Estável",TRUE,"n/d")))</f>
        <v>Estável</v>
      </c>
      <c r="H254" t="str">
        <f>IFERROR(_xlfn.XLOOKUP($A254,Planilha2!$P$2:$P$38,Planilha2!R$2:R$38,"",-1),"")</f>
        <v>BB+</v>
      </c>
      <c r="I254" t="str">
        <f>IFERROR(_xlfn.XLOOKUP($A254,Planilha2!$P$2:$P$38,Planilha2!S$2:S$38,"",-1),"")</f>
        <v>BBB</v>
      </c>
      <c r="J254" t="str" cm="1">
        <f t="array" ref="J254">IF($A254&lt;MIN(Planilha2!$P$2:$P$38),"",_xlfn.LET(_xlpm.t,_xlfn.XLOOKUP($A254,Planilha2!$P$2:$P$38,Planilha2!$T$2:$T$38,"",-1),_xlfn.IFS(ISNUMBER(SEARCH("positiva",_xlpm.t)),"Positiva",ISNUMBER(SEARCH("negativa",_xlpm.t)),"Negativa",ISNUMBER(SEARCH("estável",_xlpm.t)),"Estável",TRUE,"n/d")))</f>
        <v>Positiva</v>
      </c>
      <c r="L254" s="52">
        <f>IFERROR(_xlfn.XLOOKUP(B254,'Agências de Rating Soberano'!$G$2:$G$22,'Agências de Rating Soberano'!$H$2:$H$22),NA())</f>
        <v>11</v>
      </c>
      <c r="M254" s="52">
        <f>IFERROR(_xlfn.XLOOKUP(C254,'Agências de Rating Soberano'!$G$2:$G$22,'Agências de Rating Soberano'!$H$2:$H$22),NA())</f>
        <v>11</v>
      </c>
      <c r="N254" s="52">
        <f>IFERROR(_xlfn.XLOOKUP(E254,'Agências de Rating Soberano'!$J$2:$J$22,'Agências de Rating Soberano'!$K$2:$K$22),NA())</f>
        <v>11</v>
      </c>
      <c r="O254" s="52">
        <f>IFERROR(_xlfn.XLOOKUP(F254,'Agências de Rating Soberano'!$J$2:$J$22,'Agências de Rating Soberano'!$K$2:$K$22),NA())</f>
        <v>11</v>
      </c>
      <c r="P254" s="52">
        <f>IFERROR(_xlfn.XLOOKUP(H254,'Agências de Rating Soberano'!$J$2:$J$22,'Agências de Rating Soberano'!$K$2:$K$22),NA())</f>
        <v>11</v>
      </c>
      <c r="Q254" s="52">
        <f>IFERROR(_xlfn.XLOOKUP(I254,'Agências de Rating Soberano'!$J$2:$J$22,'Agências de Rating Soberano'!$K$2:$K$22),NA())</f>
        <v>13</v>
      </c>
    </row>
    <row r="255" spans="1:17" x14ac:dyDescent="0.3">
      <c r="A255" s="53">
        <f t="shared" si="10"/>
        <v>39447</v>
      </c>
      <c r="B255" t="str">
        <f>IFERROR(_xlfn.XLOOKUP($A255,Planilha2!$A$2:$A$34,Planilha2!C$2:C$34,"",-1),"")</f>
        <v>Ba1</v>
      </c>
      <c r="C255" t="str">
        <f>IFERROR(_xlfn.XLOOKUP($A255,Planilha2!$A$2:$A$34,Planilha2!D$2:D$34,"",-1),"")</f>
        <v>Ba1</v>
      </c>
      <c r="D255" t="str" cm="1">
        <f t="array" ref="D255">IF($A255&lt;MIN(Planilha2!$A$2:$A$34),"",_xlfn.LET(_xlpm.t,_xlfn.XLOOKUP($A255,Planilha2!$A$2:$A$34,Planilha2!$E$2:$E$34,"",-1),_xlfn.IFS(ISNUMBER(SEARCH("positiva",_xlpm.t)),"Positiva",ISNUMBER(SEARCH("negativa",_xlpm.t)),"Negativa",ISNUMBER(SEARCH("estável",_xlpm.t)),"Estável",TRUE,"n/d")))</f>
        <v>Estável</v>
      </c>
      <c r="E255" t="str">
        <f>IFERROR(_xlfn.XLOOKUP($A255,Planilha2!$J$2:$J$44,Planilha2!L$2:L$44,"",-1),"")</f>
        <v>BB+</v>
      </c>
      <c r="F255" t="str">
        <f>IFERROR(_xlfn.XLOOKUP($A255,Planilha2!$J$2:$J$44,Planilha2!M$2:M$44,"",-1),"")</f>
        <v>BB+</v>
      </c>
      <c r="G255" t="str" cm="1">
        <f t="array" ref="G255">IF($A255&lt;MIN(Planilha2!$J$2:$J$44),"",_xlfn.LET(_xlpm.t,_xlfn.XLOOKUP($A255,Planilha2!$J$2:$J$44,Planilha2!$N$2:$N$44,"",-1),_xlfn.IFS(ISNUMBER(SEARCH("positiva",_xlpm.t)),"Positiva",ISNUMBER(SEARCH("negativa",_xlpm.t)),"Negativa",ISNUMBER(SEARCH("estável",_xlpm.t)),"Estável",TRUE,"n/d")))</f>
        <v>Estável</v>
      </c>
      <c r="H255" t="str">
        <f>IFERROR(_xlfn.XLOOKUP($A255,Planilha2!$P$2:$P$38,Planilha2!R$2:R$38,"",-1),"")</f>
        <v>BB+</v>
      </c>
      <c r="I255" t="str">
        <f>IFERROR(_xlfn.XLOOKUP($A255,Planilha2!$P$2:$P$38,Planilha2!S$2:S$38,"",-1),"")</f>
        <v>BBB</v>
      </c>
      <c r="J255" t="str" cm="1">
        <f t="array" ref="J255">IF($A255&lt;MIN(Planilha2!$P$2:$P$38),"",_xlfn.LET(_xlpm.t,_xlfn.XLOOKUP($A255,Planilha2!$P$2:$P$38,Planilha2!$T$2:$T$38,"",-1),_xlfn.IFS(ISNUMBER(SEARCH("positiva",_xlpm.t)),"Positiva",ISNUMBER(SEARCH("negativa",_xlpm.t)),"Negativa",ISNUMBER(SEARCH("estável",_xlpm.t)),"Estável",TRUE,"n/d")))</f>
        <v>Positiva</v>
      </c>
      <c r="L255" s="52">
        <f>IFERROR(_xlfn.XLOOKUP(B255,'Agências de Rating Soberano'!$G$2:$G$22,'Agências de Rating Soberano'!$H$2:$H$22),NA())</f>
        <v>11</v>
      </c>
      <c r="M255" s="52">
        <f>IFERROR(_xlfn.XLOOKUP(C255,'Agências de Rating Soberano'!$G$2:$G$22,'Agências de Rating Soberano'!$H$2:$H$22),NA())</f>
        <v>11</v>
      </c>
      <c r="N255" s="52">
        <f>IFERROR(_xlfn.XLOOKUP(E255,'Agências de Rating Soberano'!$J$2:$J$22,'Agências de Rating Soberano'!$K$2:$K$22),NA())</f>
        <v>11</v>
      </c>
      <c r="O255" s="52">
        <f>IFERROR(_xlfn.XLOOKUP(F255,'Agências de Rating Soberano'!$J$2:$J$22,'Agências de Rating Soberano'!$K$2:$K$22),NA())</f>
        <v>11</v>
      </c>
      <c r="P255" s="52">
        <f>IFERROR(_xlfn.XLOOKUP(H255,'Agências de Rating Soberano'!$J$2:$J$22,'Agências de Rating Soberano'!$K$2:$K$22),NA())</f>
        <v>11</v>
      </c>
      <c r="Q255" s="52">
        <f>IFERROR(_xlfn.XLOOKUP(I255,'Agências de Rating Soberano'!$J$2:$J$22,'Agências de Rating Soberano'!$K$2:$K$22),NA())</f>
        <v>13</v>
      </c>
    </row>
    <row r="256" spans="1:17" x14ac:dyDescent="0.3">
      <c r="A256" s="53">
        <f t="shared" si="10"/>
        <v>39478</v>
      </c>
      <c r="B256" t="str">
        <f>IFERROR(_xlfn.XLOOKUP($A256,Planilha2!$A$2:$A$34,Planilha2!C$2:C$34,"",-1),"")</f>
        <v>Ba1</v>
      </c>
      <c r="C256" t="str">
        <f>IFERROR(_xlfn.XLOOKUP($A256,Planilha2!$A$2:$A$34,Planilha2!D$2:D$34,"",-1),"")</f>
        <v>Ba1</v>
      </c>
      <c r="D256" t="str" cm="1">
        <f t="array" ref="D256">IF($A256&lt;MIN(Planilha2!$A$2:$A$34),"",_xlfn.LET(_xlpm.t,_xlfn.XLOOKUP($A256,Planilha2!$A$2:$A$34,Planilha2!$E$2:$E$34,"",-1),_xlfn.IFS(ISNUMBER(SEARCH("positiva",_xlpm.t)),"Positiva",ISNUMBER(SEARCH("negativa",_xlpm.t)),"Negativa",ISNUMBER(SEARCH("estável",_xlpm.t)),"Estável",TRUE,"n/d")))</f>
        <v>Estável</v>
      </c>
      <c r="E256" t="str">
        <f>IFERROR(_xlfn.XLOOKUP($A256,Planilha2!$J$2:$J$44,Planilha2!L$2:L$44,"",-1),"")</f>
        <v>BB+</v>
      </c>
      <c r="F256" t="str">
        <f>IFERROR(_xlfn.XLOOKUP($A256,Planilha2!$J$2:$J$44,Planilha2!M$2:M$44,"",-1),"")</f>
        <v>BB+</v>
      </c>
      <c r="G256" t="str" cm="1">
        <f t="array" ref="G256">IF($A256&lt;MIN(Planilha2!$J$2:$J$44),"",_xlfn.LET(_xlpm.t,_xlfn.XLOOKUP($A256,Planilha2!$J$2:$J$44,Planilha2!$N$2:$N$44,"",-1),_xlfn.IFS(ISNUMBER(SEARCH("positiva",_xlpm.t)),"Positiva",ISNUMBER(SEARCH("negativa",_xlpm.t)),"Negativa",ISNUMBER(SEARCH("estável",_xlpm.t)),"Estável",TRUE,"n/d")))</f>
        <v>Estável</v>
      </c>
      <c r="H256" t="str">
        <f>IFERROR(_xlfn.XLOOKUP($A256,Planilha2!$P$2:$P$38,Planilha2!R$2:R$38,"",-1),"")</f>
        <v>BB+</v>
      </c>
      <c r="I256" t="str">
        <f>IFERROR(_xlfn.XLOOKUP($A256,Planilha2!$P$2:$P$38,Planilha2!S$2:S$38,"",-1),"")</f>
        <v>BBB</v>
      </c>
      <c r="J256" t="str" cm="1">
        <f t="array" ref="J256">IF($A256&lt;MIN(Planilha2!$P$2:$P$38),"",_xlfn.LET(_xlpm.t,_xlfn.XLOOKUP($A256,Planilha2!$P$2:$P$38,Planilha2!$T$2:$T$38,"",-1),_xlfn.IFS(ISNUMBER(SEARCH("positiva",_xlpm.t)),"Positiva",ISNUMBER(SEARCH("negativa",_xlpm.t)),"Negativa",ISNUMBER(SEARCH("estável",_xlpm.t)),"Estável",TRUE,"n/d")))</f>
        <v>Positiva</v>
      </c>
      <c r="L256" s="52">
        <f>IFERROR(_xlfn.XLOOKUP(B256,'Agências de Rating Soberano'!$G$2:$G$22,'Agências de Rating Soberano'!$H$2:$H$22),NA())</f>
        <v>11</v>
      </c>
      <c r="M256" s="52">
        <f>IFERROR(_xlfn.XLOOKUP(C256,'Agências de Rating Soberano'!$G$2:$G$22,'Agências de Rating Soberano'!$H$2:$H$22),NA())</f>
        <v>11</v>
      </c>
      <c r="N256" s="52">
        <f>IFERROR(_xlfn.XLOOKUP(E256,'Agências de Rating Soberano'!$J$2:$J$22,'Agências de Rating Soberano'!$K$2:$K$22),NA())</f>
        <v>11</v>
      </c>
      <c r="O256" s="52">
        <f>IFERROR(_xlfn.XLOOKUP(F256,'Agências de Rating Soberano'!$J$2:$J$22,'Agências de Rating Soberano'!$K$2:$K$22),NA())</f>
        <v>11</v>
      </c>
      <c r="P256" s="52">
        <f>IFERROR(_xlfn.XLOOKUP(H256,'Agências de Rating Soberano'!$J$2:$J$22,'Agências de Rating Soberano'!$K$2:$K$22),NA())</f>
        <v>11</v>
      </c>
      <c r="Q256" s="52">
        <f>IFERROR(_xlfn.XLOOKUP(I256,'Agências de Rating Soberano'!$J$2:$J$22,'Agências de Rating Soberano'!$K$2:$K$22),NA())</f>
        <v>13</v>
      </c>
    </row>
    <row r="257" spans="1:17" x14ac:dyDescent="0.3">
      <c r="A257" s="53">
        <f t="shared" si="10"/>
        <v>39507</v>
      </c>
      <c r="B257" t="str">
        <f>IFERROR(_xlfn.XLOOKUP($A257,Planilha2!$A$2:$A$34,Planilha2!C$2:C$34,"",-1),"")</f>
        <v>Ba1</v>
      </c>
      <c r="C257" t="str">
        <f>IFERROR(_xlfn.XLOOKUP($A257,Planilha2!$A$2:$A$34,Planilha2!D$2:D$34,"",-1),"")</f>
        <v>Ba1</v>
      </c>
      <c r="D257" t="str" cm="1">
        <f t="array" ref="D257">IF($A257&lt;MIN(Planilha2!$A$2:$A$34),"",_xlfn.LET(_xlpm.t,_xlfn.XLOOKUP($A257,Planilha2!$A$2:$A$34,Planilha2!$E$2:$E$34,"",-1),_xlfn.IFS(ISNUMBER(SEARCH("positiva",_xlpm.t)),"Positiva",ISNUMBER(SEARCH("negativa",_xlpm.t)),"Negativa",ISNUMBER(SEARCH("estável",_xlpm.t)),"Estável",TRUE,"n/d")))</f>
        <v>Estável</v>
      </c>
      <c r="E257" t="str">
        <f>IFERROR(_xlfn.XLOOKUP($A257,Planilha2!$J$2:$J$44,Planilha2!L$2:L$44,"",-1),"")</f>
        <v>BB+</v>
      </c>
      <c r="F257" t="str">
        <f>IFERROR(_xlfn.XLOOKUP($A257,Planilha2!$J$2:$J$44,Planilha2!M$2:M$44,"",-1),"")</f>
        <v>BB+</v>
      </c>
      <c r="G257" t="str" cm="1">
        <f t="array" ref="G257">IF($A257&lt;MIN(Planilha2!$J$2:$J$44),"",_xlfn.LET(_xlpm.t,_xlfn.XLOOKUP($A257,Planilha2!$J$2:$J$44,Planilha2!$N$2:$N$44,"",-1),_xlfn.IFS(ISNUMBER(SEARCH("positiva",_xlpm.t)),"Positiva",ISNUMBER(SEARCH("negativa",_xlpm.t)),"Negativa",ISNUMBER(SEARCH("estável",_xlpm.t)),"Estável",TRUE,"n/d")))</f>
        <v>Estável</v>
      </c>
      <c r="H257" t="str">
        <f>IFERROR(_xlfn.XLOOKUP($A257,Planilha2!$P$2:$P$38,Planilha2!R$2:R$38,"",-1),"")</f>
        <v>BB+</v>
      </c>
      <c r="I257" t="str">
        <f>IFERROR(_xlfn.XLOOKUP($A257,Planilha2!$P$2:$P$38,Planilha2!S$2:S$38,"",-1),"")</f>
        <v>BBB</v>
      </c>
      <c r="J257" t="str" cm="1">
        <f t="array" ref="J257">IF($A257&lt;MIN(Planilha2!$P$2:$P$38),"",_xlfn.LET(_xlpm.t,_xlfn.XLOOKUP($A257,Planilha2!$P$2:$P$38,Planilha2!$T$2:$T$38,"",-1),_xlfn.IFS(ISNUMBER(SEARCH("positiva",_xlpm.t)),"Positiva",ISNUMBER(SEARCH("negativa",_xlpm.t)),"Negativa",ISNUMBER(SEARCH("estável",_xlpm.t)),"Estável",TRUE,"n/d")))</f>
        <v>Positiva</v>
      </c>
      <c r="L257" s="52">
        <f>IFERROR(_xlfn.XLOOKUP(B257,'Agências de Rating Soberano'!$G$2:$G$22,'Agências de Rating Soberano'!$H$2:$H$22),NA())</f>
        <v>11</v>
      </c>
      <c r="M257" s="52">
        <f>IFERROR(_xlfn.XLOOKUP(C257,'Agências de Rating Soberano'!$G$2:$G$22,'Agências de Rating Soberano'!$H$2:$H$22),NA())</f>
        <v>11</v>
      </c>
      <c r="N257" s="52">
        <f>IFERROR(_xlfn.XLOOKUP(E257,'Agências de Rating Soberano'!$J$2:$J$22,'Agências de Rating Soberano'!$K$2:$K$22),NA())</f>
        <v>11</v>
      </c>
      <c r="O257" s="52">
        <f>IFERROR(_xlfn.XLOOKUP(F257,'Agências de Rating Soberano'!$J$2:$J$22,'Agências de Rating Soberano'!$K$2:$K$22),NA())</f>
        <v>11</v>
      </c>
      <c r="P257" s="52">
        <f>IFERROR(_xlfn.XLOOKUP(H257,'Agências de Rating Soberano'!$J$2:$J$22,'Agências de Rating Soberano'!$K$2:$K$22),NA())</f>
        <v>11</v>
      </c>
      <c r="Q257" s="52">
        <f>IFERROR(_xlfn.XLOOKUP(I257,'Agências de Rating Soberano'!$J$2:$J$22,'Agências de Rating Soberano'!$K$2:$K$22),NA())</f>
        <v>13</v>
      </c>
    </row>
    <row r="258" spans="1:17" x14ac:dyDescent="0.3">
      <c r="A258" s="53">
        <f t="shared" si="10"/>
        <v>39538</v>
      </c>
      <c r="B258" t="str">
        <f>IFERROR(_xlfn.XLOOKUP($A258,Planilha2!$A$2:$A$34,Planilha2!C$2:C$34,"",-1),"")</f>
        <v>Ba1</v>
      </c>
      <c r="C258" t="str">
        <f>IFERROR(_xlfn.XLOOKUP($A258,Planilha2!$A$2:$A$34,Planilha2!D$2:D$34,"",-1),"")</f>
        <v>Ba1</v>
      </c>
      <c r="D258" t="str" cm="1">
        <f t="array" ref="D258">IF($A258&lt;MIN(Planilha2!$A$2:$A$34),"",_xlfn.LET(_xlpm.t,_xlfn.XLOOKUP($A258,Planilha2!$A$2:$A$34,Planilha2!$E$2:$E$34,"",-1),_xlfn.IFS(ISNUMBER(SEARCH("positiva",_xlpm.t)),"Positiva",ISNUMBER(SEARCH("negativa",_xlpm.t)),"Negativa",ISNUMBER(SEARCH("estável",_xlpm.t)),"Estável",TRUE,"n/d")))</f>
        <v>Estável</v>
      </c>
      <c r="E258" t="str">
        <f>IFERROR(_xlfn.XLOOKUP($A258,Planilha2!$J$2:$J$44,Planilha2!L$2:L$44,"",-1),"")</f>
        <v>BB+</v>
      </c>
      <c r="F258" t="str">
        <f>IFERROR(_xlfn.XLOOKUP($A258,Planilha2!$J$2:$J$44,Planilha2!M$2:M$44,"",-1),"")</f>
        <v>BB+</v>
      </c>
      <c r="G258" t="str" cm="1">
        <f t="array" ref="G258">IF($A258&lt;MIN(Planilha2!$J$2:$J$44),"",_xlfn.LET(_xlpm.t,_xlfn.XLOOKUP($A258,Planilha2!$J$2:$J$44,Planilha2!$N$2:$N$44,"",-1),_xlfn.IFS(ISNUMBER(SEARCH("positiva",_xlpm.t)),"Positiva",ISNUMBER(SEARCH("negativa",_xlpm.t)),"Negativa",ISNUMBER(SEARCH("estável",_xlpm.t)),"Estável",TRUE,"n/d")))</f>
        <v>Estável</v>
      </c>
      <c r="H258" t="str">
        <f>IFERROR(_xlfn.XLOOKUP($A258,Planilha2!$P$2:$P$38,Planilha2!R$2:R$38,"",-1),"")</f>
        <v>BB+</v>
      </c>
      <c r="I258" t="str">
        <f>IFERROR(_xlfn.XLOOKUP($A258,Planilha2!$P$2:$P$38,Planilha2!S$2:S$38,"",-1),"")</f>
        <v>BBB</v>
      </c>
      <c r="J258" t="str" cm="1">
        <f t="array" ref="J258">IF($A258&lt;MIN(Planilha2!$P$2:$P$38),"",_xlfn.LET(_xlpm.t,_xlfn.XLOOKUP($A258,Planilha2!$P$2:$P$38,Planilha2!$T$2:$T$38,"",-1),_xlfn.IFS(ISNUMBER(SEARCH("positiva",_xlpm.t)),"Positiva",ISNUMBER(SEARCH("negativa",_xlpm.t)),"Negativa",ISNUMBER(SEARCH("estável",_xlpm.t)),"Estável",TRUE,"n/d")))</f>
        <v>Positiva</v>
      </c>
      <c r="L258" s="52">
        <f>IFERROR(_xlfn.XLOOKUP(B258,'Agências de Rating Soberano'!$G$2:$G$22,'Agências de Rating Soberano'!$H$2:$H$22),NA())</f>
        <v>11</v>
      </c>
      <c r="M258" s="52">
        <f>IFERROR(_xlfn.XLOOKUP(C258,'Agências de Rating Soberano'!$G$2:$G$22,'Agências de Rating Soberano'!$H$2:$H$22),NA())</f>
        <v>11</v>
      </c>
      <c r="N258" s="52">
        <f>IFERROR(_xlfn.XLOOKUP(E258,'Agências de Rating Soberano'!$J$2:$J$22,'Agências de Rating Soberano'!$K$2:$K$22),NA())</f>
        <v>11</v>
      </c>
      <c r="O258" s="52">
        <f>IFERROR(_xlfn.XLOOKUP(F258,'Agências de Rating Soberano'!$J$2:$J$22,'Agências de Rating Soberano'!$K$2:$K$22),NA())</f>
        <v>11</v>
      </c>
      <c r="P258" s="52">
        <f>IFERROR(_xlfn.XLOOKUP(H258,'Agências de Rating Soberano'!$J$2:$J$22,'Agências de Rating Soberano'!$K$2:$K$22),NA())</f>
        <v>11</v>
      </c>
      <c r="Q258" s="52">
        <f>IFERROR(_xlfn.XLOOKUP(I258,'Agências de Rating Soberano'!$J$2:$J$22,'Agências de Rating Soberano'!$K$2:$K$22),NA())</f>
        <v>13</v>
      </c>
    </row>
    <row r="259" spans="1:17" x14ac:dyDescent="0.3">
      <c r="A259" s="53">
        <f t="shared" si="10"/>
        <v>39568</v>
      </c>
      <c r="B259" t="str">
        <f>IFERROR(_xlfn.XLOOKUP($A259,Planilha2!$A$2:$A$34,Planilha2!C$2:C$34,"",-1),"")</f>
        <v>Ba1</v>
      </c>
      <c r="C259" t="str">
        <f>IFERROR(_xlfn.XLOOKUP($A259,Planilha2!$A$2:$A$34,Planilha2!D$2:D$34,"",-1),"")</f>
        <v>Ba1</v>
      </c>
      <c r="D259" t="str" cm="1">
        <f t="array" ref="D259">IF($A259&lt;MIN(Planilha2!$A$2:$A$34),"",_xlfn.LET(_xlpm.t,_xlfn.XLOOKUP($A259,Planilha2!$A$2:$A$34,Planilha2!$E$2:$E$34,"",-1),_xlfn.IFS(ISNUMBER(SEARCH("positiva",_xlpm.t)),"Positiva",ISNUMBER(SEARCH("negativa",_xlpm.t)),"Negativa",ISNUMBER(SEARCH("estável",_xlpm.t)),"Estável",TRUE,"n/d")))</f>
        <v>Estável</v>
      </c>
      <c r="E259" t="str">
        <f>IFERROR(_xlfn.XLOOKUP($A259,Planilha2!$J$2:$J$44,Planilha2!L$2:L$44,"",-1),"")</f>
        <v>BB+</v>
      </c>
      <c r="F259" t="str">
        <f>IFERROR(_xlfn.XLOOKUP($A259,Planilha2!$J$2:$J$44,Planilha2!M$2:M$44,"",-1),"")</f>
        <v>BB+</v>
      </c>
      <c r="G259" t="str" cm="1">
        <f t="array" ref="G259">IF($A259&lt;MIN(Planilha2!$J$2:$J$44),"",_xlfn.LET(_xlpm.t,_xlfn.XLOOKUP($A259,Planilha2!$J$2:$J$44,Planilha2!$N$2:$N$44,"",-1),_xlfn.IFS(ISNUMBER(SEARCH("positiva",_xlpm.t)),"Positiva",ISNUMBER(SEARCH("negativa",_xlpm.t)),"Negativa",ISNUMBER(SEARCH("estável",_xlpm.t)),"Estável",TRUE,"n/d")))</f>
        <v>Estável</v>
      </c>
      <c r="H259" t="str">
        <f>IFERROR(_xlfn.XLOOKUP($A259,Planilha2!$P$2:$P$38,Planilha2!R$2:R$38,"",-1),"")</f>
        <v>BBB-</v>
      </c>
      <c r="I259" t="str">
        <f>IFERROR(_xlfn.XLOOKUP($A259,Planilha2!$P$2:$P$38,Planilha2!S$2:S$38,"",-1),"")</f>
        <v>BBB+</v>
      </c>
      <c r="J259" t="str" cm="1">
        <f t="array" ref="J259">IF($A259&lt;MIN(Planilha2!$P$2:$P$38),"",_xlfn.LET(_xlpm.t,_xlfn.XLOOKUP($A259,Planilha2!$P$2:$P$38,Planilha2!$T$2:$T$38,"",-1),_xlfn.IFS(ISNUMBER(SEARCH("positiva",_xlpm.t)),"Positiva",ISNUMBER(SEARCH("negativa",_xlpm.t)),"Negativa",ISNUMBER(SEARCH("estável",_xlpm.t)),"Estável",TRUE,"n/d")))</f>
        <v>Estável</v>
      </c>
      <c r="L259" s="52">
        <f>IFERROR(_xlfn.XLOOKUP(B259,'Agências de Rating Soberano'!$G$2:$G$22,'Agências de Rating Soberano'!$H$2:$H$22),NA())</f>
        <v>11</v>
      </c>
      <c r="M259" s="52">
        <f>IFERROR(_xlfn.XLOOKUP(C259,'Agências de Rating Soberano'!$G$2:$G$22,'Agências de Rating Soberano'!$H$2:$H$22),NA())</f>
        <v>11</v>
      </c>
      <c r="N259" s="52">
        <f>IFERROR(_xlfn.XLOOKUP(E259,'Agências de Rating Soberano'!$J$2:$J$22,'Agências de Rating Soberano'!$K$2:$K$22),NA())</f>
        <v>11</v>
      </c>
      <c r="O259" s="52">
        <f>IFERROR(_xlfn.XLOOKUP(F259,'Agências de Rating Soberano'!$J$2:$J$22,'Agências de Rating Soberano'!$K$2:$K$22),NA())</f>
        <v>11</v>
      </c>
      <c r="P259" s="52">
        <f>IFERROR(_xlfn.XLOOKUP(H259,'Agências de Rating Soberano'!$J$2:$J$22,'Agências de Rating Soberano'!$K$2:$K$22),NA())</f>
        <v>12</v>
      </c>
      <c r="Q259" s="52">
        <f>IFERROR(_xlfn.XLOOKUP(I259,'Agências de Rating Soberano'!$J$2:$J$22,'Agências de Rating Soberano'!$K$2:$K$22),NA())</f>
        <v>14</v>
      </c>
    </row>
    <row r="260" spans="1:17" x14ac:dyDescent="0.3">
      <c r="A260" s="53">
        <f t="shared" ref="A260:A323" si="11">EOMONTH(A259,1)</f>
        <v>39599</v>
      </c>
      <c r="B260" t="str">
        <f>IFERROR(_xlfn.XLOOKUP($A260,Planilha2!$A$2:$A$34,Planilha2!C$2:C$34,"",-1),"")</f>
        <v>Ba1</v>
      </c>
      <c r="C260" t="str">
        <f>IFERROR(_xlfn.XLOOKUP($A260,Planilha2!$A$2:$A$34,Planilha2!D$2:D$34,"",-1),"")</f>
        <v>Ba1</v>
      </c>
      <c r="D260" t="str" cm="1">
        <f t="array" ref="D260">IF($A260&lt;MIN(Planilha2!$A$2:$A$34),"",_xlfn.LET(_xlpm.t,_xlfn.XLOOKUP($A260,Planilha2!$A$2:$A$34,Planilha2!$E$2:$E$34,"",-1),_xlfn.IFS(ISNUMBER(SEARCH("positiva",_xlpm.t)),"Positiva",ISNUMBER(SEARCH("negativa",_xlpm.t)),"Negativa",ISNUMBER(SEARCH("estável",_xlpm.t)),"Estável",TRUE,"n/d")))</f>
        <v>Estável</v>
      </c>
      <c r="E260" t="str">
        <f>IFERROR(_xlfn.XLOOKUP($A260,Planilha2!$J$2:$J$44,Planilha2!L$2:L$44,"",-1),"")</f>
        <v>BBB-</v>
      </c>
      <c r="F260" t="str">
        <f>IFERROR(_xlfn.XLOOKUP($A260,Planilha2!$J$2:$J$44,Planilha2!M$2:M$44,"",-1),"")</f>
        <v>BBB-</v>
      </c>
      <c r="G260" t="str" cm="1">
        <f t="array" ref="G260">IF($A260&lt;MIN(Planilha2!$J$2:$J$44),"",_xlfn.LET(_xlpm.t,_xlfn.XLOOKUP($A260,Planilha2!$J$2:$J$44,Planilha2!$N$2:$N$44,"",-1),_xlfn.IFS(ISNUMBER(SEARCH("positiva",_xlpm.t)),"Positiva",ISNUMBER(SEARCH("negativa",_xlpm.t)),"Negativa",ISNUMBER(SEARCH("estável",_xlpm.t)),"Estável",TRUE,"n/d")))</f>
        <v>Estável</v>
      </c>
      <c r="H260" t="str">
        <f>IFERROR(_xlfn.XLOOKUP($A260,Planilha2!$P$2:$P$38,Planilha2!R$2:R$38,"",-1),"")</f>
        <v>BBB-</v>
      </c>
      <c r="I260" t="str">
        <f>IFERROR(_xlfn.XLOOKUP($A260,Planilha2!$P$2:$P$38,Planilha2!S$2:S$38,"",-1),"")</f>
        <v>BBB+</v>
      </c>
      <c r="J260" t="str" cm="1">
        <f t="array" ref="J260">IF($A260&lt;MIN(Planilha2!$P$2:$P$38),"",_xlfn.LET(_xlpm.t,_xlfn.XLOOKUP($A260,Planilha2!$P$2:$P$38,Planilha2!$T$2:$T$38,"",-1),_xlfn.IFS(ISNUMBER(SEARCH("positiva",_xlpm.t)),"Positiva",ISNUMBER(SEARCH("negativa",_xlpm.t)),"Negativa",ISNUMBER(SEARCH("estável",_xlpm.t)),"Estável",TRUE,"n/d")))</f>
        <v>Estável</v>
      </c>
      <c r="L260" s="52">
        <f>IFERROR(_xlfn.XLOOKUP(B260,'Agências de Rating Soberano'!$G$2:$G$22,'Agências de Rating Soberano'!$H$2:$H$22),NA())</f>
        <v>11</v>
      </c>
      <c r="M260" s="52">
        <f>IFERROR(_xlfn.XLOOKUP(C260,'Agências de Rating Soberano'!$G$2:$G$22,'Agências de Rating Soberano'!$H$2:$H$22),NA())</f>
        <v>11</v>
      </c>
      <c r="N260" s="52">
        <f>IFERROR(_xlfn.XLOOKUP(E260,'Agências de Rating Soberano'!$J$2:$J$22,'Agências de Rating Soberano'!$K$2:$K$22),NA())</f>
        <v>12</v>
      </c>
      <c r="O260" s="52">
        <f>IFERROR(_xlfn.XLOOKUP(F260,'Agências de Rating Soberano'!$J$2:$J$22,'Agências de Rating Soberano'!$K$2:$K$22),NA())</f>
        <v>12</v>
      </c>
      <c r="P260" s="52">
        <f>IFERROR(_xlfn.XLOOKUP(H260,'Agências de Rating Soberano'!$J$2:$J$22,'Agências de Rating Soberano'!$K$2:$K$22),NA())</f>
        <v>12</v>
      </c>
      <c r="Q260" s="52">
        <f>IFERROR(_xlfn.XLOOKUP(I260,'Agências de Rating Soberano'!$J$2:$J$22,'Agências de Rating Soberano'!$K$2:$K$22),NA())</f>
        <v>14</v>
      </c>
    </row>
    <row r="261" spans="1:17" x14ac:dyDescent="0.3">
      <c r="A261" s="53">
        <f t="shared" si="11"/>
        <v>39629</v>
      </c>
      <c r="B261" t="str">
        <f>IFERROR(_xlfn.XLOOKUP($A261,Planilha2!$A$2:$A$34,Planilha2!C$2:C$34,"",-1),"")</f>
        <v>Ba1</v>
      </c>
      <c r="C261" t="str">
        <f>IFERROR(_xlfn.XLOOKUP($A261,Planilha2!$A$2:$A$34,Planilha2!D$2:D$34,"",-1),"")</f>
        <v>Ba1</v>
      </c>
      <c r="D261" t="str" cm="1">
        <f t="array" ref="D261">IF($A261&lt;MIN(Planilha2!$A$2:$A$34),"",_xlfn.LET(_xlpm.t,_xlfn.XLOOKUP($A261,Planilha2!$A$2:$A$34,Planilha2!$E$2:$E$34,"",-1),_xlfn.IFS(ISNUMBER(SEARCH("positiva",_xlpm.t)),"Positiva",ISNUMBER(SEARCH("negativa",_xlpm.t)),"Negativa",ISNUMBER(SEARCH("estável",_xlpm.t)),"Estável",TRUE,"n/d")))</f>
        <v>Estável</v>
      </c>
      <c r="E261" t="str">
        <f>IFERROR(_xlfn.XLOOKUP($A261,Planilha2!$J$2:$J$44,Planilha2!L$2:L$44,"",-1),"")</f>
        <v>BBB-</v>
      </c>
      <c r="F261" t="str">
        <f>IFERROR(_xlfn.XLOOKUP($A261,Planilha2!$J$2:$J$44,Planilha2!M$2:M$44,"",-1),"")</f>
        <v>BBB-</v>
      </c>
      <c r="G261" t="str" cm="1">
        <f t="array" ref="G261">IF($A261&lt;MIN(Planilha2!$J$2:$J$44),"",_xlfn.LET(_xlpm.t,_xlfn.XLOOKUP($A261,Planilha2!$J$2:$J$44,Planilha2!$N$2:$N$44,"",-1),_xlfn.IFS(ISNUMBER(SEARCH("positiva",_xlpm.t)),"Positiva",ISNUMBER(SEARCH("negativa",_xlpm.t)),"Negativa",ISNUMBER(SEARCH("estável",_xlpm.t)),"Estável",TRUE,"n/d")))</f>
        <v>Estável</v>
      </c>
      <c r="H261" t="str">
        <f>IFERROR(_xlfn.XLOOKUP($A261,Planilha2!$P$2:$P$38,Planilha2!R$2:R$38,"",-1),"")</f>
        <v>BBB-</v>
      </c>
      <c r="I261" t="str">
        <f>IFERROR(_xlfn.XLOOKUP($A261,Planilha2!$P$2:$P$38,Planilha2!S$2:S$38,"",-1),"")</f>
        <v>BBB+</v>
      </c>
      <c r="J261" t="str" cm="1">
        <f t="array" ref="J261">IF($A261&lt;MIN(Planilha2!$P$2:$P$38),"",_xlfn.LET(_xlpm.t,_xlfn.XLOOKUP($A261,Planilha2!$P$2:$P$38,Planilha2!$T$2:$T$38,"",-1),_xlfn.IFS(ISNUMBER(SEARCH("positiva",_xlpm.t)),"Positiva",ISNUMBER(SEARCH("negativa",_xlpm.t)),"Negativa",ISNUMBER(SEARCH("estável",_xlpm.t)),"Estável",TRUE,"n/d")))</f>
        <v>Estável</v>
      </c>
      <c r="L261" s="52">
        <f>IFERROR(_xlfn.XLOOKUP(B261,'Agências de Rating Soberano'!$G$2:$G$22,'Agências de Rating Soberano'!$H$2:$H$22),NA())</f>
        <v>11</v>
      </c>
      <c r="M261" s="52">
        <f>IFERROR(_xlfn.XLOOKUP(C261,'Agências de Rating Soberano'!$G$2:$G$22,'Agências de Rating Soberano'!$H$2:$H$22),NA())</f>
        <v>11</v>
      </c>
      <c r="N261" s="52">
        <f>IFERROR(_xlfn.XLOOKUP(E261,'Agências de Rating Soberano'!$J$2:$J$22,'Agências de Rating Soberano'!$K$2:$K$22),NA())</f>
        <v>12</v>
      </c>
      <c r="O261" s="52">
        <f>IFERROR(_xlfn.XLOOKUP(F261,'Agências de Rating Soberano'!$J$2:$J$22,'Agências de Rating Soberano'!$K$2:$K$22),NA())</f>
        <v>12</v>
      </c>
      <c r="P261" s="52">
        <f>IFERROR(_xlfn.XLOOKUP(H261,'Agências de Rating Soberano'!$J$2:$J$22,'Agências de Rating Soberano'!$K$2:$K$22),NA())</f>
        <v>12</v>
      </c>
      <c r="Q261" s="52">
        <f>IFERROR(_xlfn.XLOOKUP(I261,'Agências de Rating Soberano'!$J$2:$J$22,'Agências de Rating Soberano'!$K$2:$K$22),NA())</f>
        <v>14</v>
      </c>
    </row>
    <row r="262" spans="1:17" x14ac:dyDescent="0.3">
      <c r="A262" s="53">
        <f t="shared" si="11"/>
        <v>39660</v>
      </c>
      <c r="B262" t="str">
        <f>IFERROR(_xlfn.XLOOKUP($A262,Planilha2!$A$2:$A$34,Planilha2!C$2:C$34,"",-1),"")</f>
        <v>Ba1</v>
      </c>
      <c r="C262" t="str">
        <f>IFERROR(_xlfn.XLOOKUP($A262,Planilha2!$A$2:$A$34,Planilha2!D$2:D$34,"",-1),"")</f>
        <v>Ba1</v>
      </c>
      <c r="D262" t="str" cm="1">
        <f t="array" ref="D262">IF($A262&lt;MIN(Planilha2!$A$2:$A$34),"",_xlfn.LET(_xlpm.t,_xlfn.XLOOKUP($A262,Planilha2!$A$2:$A$34,Planilha2!$E$2:$E$34,"",-1),_xlfn.IFS(ISNUMBER(SEARCH("positiva",_xlpm.t)),"Positiva",ISNUMBER(SEARCH("negativa",_xlpm.t)),"Negativa",ISNUMBER(SEARCH("estável",_xlpm.t)),"Estável",TRUE,"n/d")))</f>
        <v>Estável</v>
      </c>
      <c r="E262" t="str">
        <f>IFERROR(_xlfn.XLOOKUP($A262,Planilha2!$J$2:$J$44,Planilha2!L$2:L$44,"",-1),"")</f>
        <v>BBB-</v>
      </c>
      <c r="F262" t="str">
        <f>IFERROR(_xlfn.XLOOKUP($A262,Planilha2!$J$2:$J$44,Planilha2!M$2:M$44,"",-1),"")</f>
        <v>BBB-</v>
      </c>
      <c r="G262" t="str" cm="1">
        <f t="array" ref="G262">IF($A262&lt;MIN(Planilha2!$J$2:$J$44),"",_xlfn.LET(_xlpm.t,_xlfn.XLOOKUP($A262,Planilha2!$J$2:$J$44,Planilha2!$N$2:$N$44,"",-1),_xlfn.IFS(ISNUMBER(SEARCH("positiva",_xlpm.t)),"Positiva",ISNUMBER(SEARCH("negativa",_xlpm.t)),"Negativa",ISNUMBER(SEARCH("estável",_xlpm.t)),"Estável",TRUE,"n/d")))</f>
        <v>Estável</v>
      </c>
      <c r="H262" t="str">
        <f>IFERROR(_xlfn.XLOOKUP($A262,Planilha2!$P$2:$P$38,Planilha2!R$2:R$38,"",-1),"")</f>
        <v>BBB-</v>
      </c>
      <c r="I262" t="str">
        <f>IFERROR(_xlfn.XLOOKUP($A262,Planilha2!$P$2:$P$38,Planilha2!S$2:S$38,"",-1),"")</f>
        <v>BBB+</v>
      </c>
      <c r="J262" t="str" cm="1">
        <f t="array" ref="J262">IF($A262&lt;MIN(Planilha2!$P$2:$P$38),"",_xlfn.LET(_xlpm.t,_xlfn.XLOOKUP($A262,Planilha2!$P$2:$P$38,Planilha2!$T$2:$T$38,"",-1),_xlfn.IFS(ISNUMBER(SEARCH("positiva",_xlpm.t)),"Positiva",ISNUMBER(SEARCH("negativa",_xlpm.t)),"Negativa",ISNUMBER(SEARCH("estável",_xlpm.t)),"Estável",TRUE,"n/d")))</f>
        <v>Estável</v>
      </c>
      <c r="L262" s="52">
        <f>IFERROR(_xlfn.XLOOKUP(B262,'Agências de Rating Soberano'!$G$2:$G$22,'Agências de Rating Soberano'!$H$2:$H$22),NA())</f>
        <v>11</v>
      </c>
      <c r="M262" s="52">
        <f>IFERROR(_xlfn.XLOOKUP(C262,'Agências de Rating Soberano'!$G$2:$G$22,'Agências de Rating Soberano'!$H$2:$H$22),NA())</f>
        <v>11</v>
      </c>
      <c r="N262" s="52">
        <f>IFERROR(_xlfn.XLOOKUP(E262,'Agências de Rating Soberano'!$J$2:$J$22,'Agências de Rating Soberano'!$K$2:$K$22),NA())</f>
        <v>12</v>
      </c>
      <c r="O262" s="52">
        <f>IFERROR(_xlfn.XLOOKUP(F262,'Agências de Rating Soberano'!$J$2:$J$22,'Agências de Rating Soberano'!$K$2:$K$22),NA())</f>
        <v>12</v>
      </c>
      <c r="P262" s="52">
        <f>IFERROR(_xlfn.XLOOKUP(H262,'Agências de Rating Soberano'!$J$2:$J$22,'Agências de Rating Soberano'!$K$2:$K$22),NA())</f>
        <v>12</v>
      </c>
      <c r="Q262" s="52">
        <f>IFERROR(_xlfn.XLOOKUP(I262,'Agências de Rating Soberano'!$J$2:$J$22,'Agências de Rating Soberano'!$K$2:$K$22),NA())</f>
        <v>14</v>
      </c>
    </row>
    <row r="263" spans="1:17" x14ac:dyDescent="0.3">
      <c r="A263" s="53">
        <f t="shared" si="11"/>
        <v>39691</v>
      </c>
      <c r="B263" t="str">
        <f>IFERROR(_xlfn.XLOOKUP($A263,Planilha2!$A$2:$A$34,Planilha2!C$2:C$34,"",-1),"")</f>
        <v>Ba1</v>
      </c>
      <c r="C263" t="str">
        <f>IFERROR(_xlfn.XLOOKUP($A263,Planilha2!$A$2:$A$34,Planilha2!D$2:D$34,"",-1),"")</f>
        <v>Ba1</v>
      </c>
      <c r="D263" t="str" cm="1">
        <f t="array" ref="D263">IF($A263&lt;MIN(Planilha2!$A$2:$A$34),"",_xlfn.LET(_xlpm.t,_xlfn.XLOOKUP($A263,Planilha2!$A$2:$A$34,Planilha2!$E$2:$E$34,"",-1),_xlfn.IFS(ISNUMBER(SEARCH("positiva",_xlpm.t)),"Positiva",ISNUMBER(SEARCH("negativa",_xlpm.t)),"Negativa",ISNUMBER(SEARCH("estável",_xlpm.t)),"Estável",TRUE,"n/d")))</f>
        <v>Estável</v>
      </c>
      <c r="E263" t="str">
        <f>IFERROR(_xlfn.XLOOKUP($A263,Planilha2!$J$2:$J$44,Planilha2!L$2:L$44,"",-1),"")</f>
        <v>BBB-</v>
      </c>
      <c r="F263" t="str">
        <f>IFERROR(_xlfn.XLOOKUP($A263,Planilha2!$J$2:$J$44,Planilha2!M$2:M$44,"",-1),"")</f>
        <v>BBB-</v>
      </c>
      <c r="G263" t="str" cm="1">
        <f t="array" ref="G263">IF($A263&lt;MIN(Planilha2!$J$2:$J$44),"",_xlfn.LET(_xlpm.t,_xlfn.XLOOKUP($A263,Planilha2!$J$2:$J$44,Planilha2!$N$2:$N$44,"",-1),_xlfn.IFS(ISNUMBER(SEARCH("positiva",_xlpm.t)),"Positiva",ISNUMBER(SEARCH("negativa",_xlpm.t)),"Negativa",ISNUMBER(SEARCH("estável",_xlpm.t)),"Estável",TRUE,"n/d")))</f>
        <v>Estável</v>
      </c>
      <c r="H263" t="str">
        <f>IFERROR(_xlfn.XLOOKUP($A263,Planilha2!$P$2:$P$38,Planilha2!R$2:R$38,"",-1),"")</f>
        <v>BBB-</v>
      </c>
      <c r="I263" t="str">
        <f>IFERROR(_xlfn.XLOOKUP($A263,Planilha2!$P$2:$P$38,Planilha2!S$2:S$38,"",-1),"")</f>
        <v>BBB+</v>
      </c>
      <c r="J263" t="str" cm="1">
        <f t="array" ref="J263">IF($A263&lt;MIN(Planilha2!$P$2:$P$38),"",_xlfn.LET(_xlpm.t,_xlfn.XLOOKUP($A263,Planilha2!$P$2:$P$38,Planilha2!$T$2:$T$38,"",-1),_xlfn.IFS(ISNUMBER(SEARCH("positiva",_xlpm.t)),"Positiva",ISNUMBER(SEARCH("negativa",_xlpm.t)),"Negativa",ISNUMBER(SEARCH("estável",_xlpm.t)),"Estável",TRUE,"n/d")))</f>
        <v>Estável</v>
      </c>
      <c r="L263" s="52">
        <f>IFERROR(_xlfn.XLOOKUP(B263,'Agências de Rating Soberano'!$G$2:$G$22,'Agências de Rating Soberano'!$H$2:$H$22),NA())</f>
        <v>11</v>
      </c>
      <c r="M263" s="52">
        <f>IFERROR(_xlfn.XLOOKUP(C263,'Agências de Rating Soberano'!$G$2:$G$22,'Agências de Rating Soberano'!$H$2:$H$22),NA())</f>
        <v>11</v>
      </c>
      <c r="N263" s="52">
        <f>IFERROR(_xlfn.XLOOKUP(E263,'Agências de Rating Soberano'!$J$2:$J$22,'Agências de Rating Soberano'!$K$2:$K$22),NA())</f>
        <v>12</v>
      </c>
      <c r="O263" s="52">
        <f>IFERROR(_xlfn.XLOOKUP(F263,'Agências de Rating Soberano'!$J$2:$J$22,'Agências de Rating Soberano'!$K$2:$K$22),NA())</f>
        <v>12</v>
      </c>
      <c r="P263" s="52">
        <f>IFERROR(_xlfn.XLOOKUP(H263,'Agências de Rating Soberano'!$J$2:$J$22,'Agências de Rating Soberano'!$K$2:$K$22),NA())</f>
        <v>12</v>
      </c>
      <c r="Q263" s="52">
        <f>IFERROR(_xlfn.XLOOKUP(I263,'Agências de Rating Soberano'!$J$2:$J$22,'Agências de Rating Soberano'!$K$2:$K$22),NA())</f>
        <v>14</v>
      </c>
    </row>
    <row r="264" spans="1:17" x14ac:dyDescent="0.3">
      <c r="A264" s="53">
        <f t="shared" si="11"/>
        <v>39721</v>
      </c>
      <c r="B264" t="str">
        <f>IFERROR(_xlfn.XLOOKUP($A264,Planilha2!$A$2:$A$34,Planilha2!C$2:C$34,"",-1),"")</f>
        <v>Ba1</v>
      </c>
      <c r="C264" t="str">
        <f>IFERROR(_xlfn.XLOOKUP($A264,Planilha2!$A$2:$A$34,Planilha2!D$2:D$34,"",-1),"")</f>
        <v>Ba1</v>
      </c>
      <c r="D264" t="str" cm="1">
        <f t="array" ref="D264">IF($A264&lt;MIN(Planilha2!$A$2:$A$34),"",_xlfn.LET(_xlpm.t,_xlfn.XLOOKUP($A264,Planilha2!$A$2:$A$34,Planilha2!$E$2:$E$34,"",-1),_xlfn.IFS(ISNUMBER(SEARCH("positiva",_xlpm.t)),"Positiva",ISNUMBER(SEARCH("negativa",_xlpm.t)),"Negativa",ISNUMBER(SEARCH("estável",_xlpm.t)),"Estável",TRUE,"n/d")))</f>
        <v>Estável</v>
      </c>
      <c r="E264" t="str">
        <f>IFERROR(_xlfn.XLOOKUP($A264,Planilha2!$J$2:$J$44,Planilha2!L$2:L$44,"",-1),"")</f>
        <v>BBB-</v>
      </c>
      <c r="F264" t="str">
        <f>IFERROR(_xlfn.XLOOKUP($A264,Planilha2!$J$2:$J$44,Planilha2!M$2:M$44,"",-1),"")</f>
        <v>BBB-</v>
      </c>
      <c r="G264" t="str" cm="1">
        <f t="array" ref="G264">IF($A264&lt;MIN(Planilha2!$J$2:$J$44),"",_xlfn.LET(_xlpm.t,_xlfn.XLOOKUP($A264,Planilha2!$J$2:$J$44,Planilha2!$N$2:$N$44,"",-1),_xlfn.IFS(ISNUMBER(SEARCH("positiva",_xlpm.t)),"Positiva",ISNUMBER(SEARCH("negativa",_xlpm.t)),"Negativa",ISNUMBER(SEARCH("estável",_xlpm.t)),"Estável",TRUE,"n/d")))</f>
        <v>Estável</v>
      </c>
      <c r="H264" t="str">
        <f>IFERROR(_xlfn.XLOOKUP($A264,Planilha2!$P$2:$P$38,Planilha2!R$2:R$38,"",-1),"")</f>
        <v>BBB-</v>
      </c>
      <c r="I264" t="str">
        <f>IFERROR(_xlfn.XLOOKUP($A264,Planilha2!$P$2:$P$38,Planilha2!S$2:S$38,"",-1),"")</f>
        <v>BBB+</v>
      </c>
      <c r="J264" t="str" cm="1">
        <f t="array" ref="J264">IF($A264&lt;MIN(Planilha2!$P$2:$P$38),"",_xlfn.LET(_xlpm.t,_xlfn.XLOOKUP($A264,Planilha2!$P$2:$P$38,Planilha2!$T$2:$T$38,"",-1),_xlfn.IFS(ISNUMBER(SEARCH("positiva",_xlpm.t)),"Positiva",ISNUMBER(SEARCH("negativa",_xlpm.t)),"Negativa",ISNUMBER(SEARCH("estável",_xlpm.t)),"Estável",TRUE,"n/d")))</f>
        <v>Estável</v>
      </c>
      <c r="L264" s="52">
        <f>IFERROR(_xlfn.XLOOKUP(B264,'Agências de Rating Soberano'!$G$2:$G$22,'Agências de Rating Soberano'!$H$2:$H$22),NA())</f>
        <v>11</v>
      </c>
      <c r="M264" s="52">
        <f>IFERROR(_xlfn.XLOOKUP(C264,'Agências de Rating Soberano'!$G$2:$G$22,'Agências de Rating Soberano'!$H$2:$H$22),NA())</f>
        <v>11</v>
      </c>
      <c r="N264" s="52">
        <f>IFERROR(_xlfn.XLOOKUP(E264,'Agências de Rating Soberano'!$J$2:$J$22,'Agências de Rating Soberano'!$K$2:$K$22),NA())</f>
        <v>12</v>
      </c>
      <c r="O264" s="52">
        <f>IFERROR(_xlfn.XLOOKUP(F264,'Agências de Rating Soberano'!$J$2:$J$22,'Agências de Rating Soberano'!$K$2:$K$22),NA())</f>
        <v>12</v>
      </c>
      <c r="P264" s="52">
        <f>IFERROR(_xlfn.XLOOKUP(H264,'Agências de Rating Soberano'!$J$2:$J$22,'Agências de Rating Soberano'!$K$2:$K$22),NA())</f>
        <v>12</v>
      </c>
      <c r="Q264" s="52">
        <f>IFERROR(_xlfn.XLOOKUP(I264,'Agências de Rating Soberano'!$J$2:$J$22,'Agências de Rating Soberano'!$K$2:$K$22),NA())</f>
        <v>14</v>
      </c>
    </row>
    <row r="265" spans="1:17" x14ac:dyDescent="0.3">
      <c r="A265" s="53">
        <f t="shared" si="11"/>
        <v>39752</v>
      </c>
      <c r="B265" t="str">
        <f>IFERROR(_xlfn.XLOOKUP($A265,Planilha2!$A$2:$A$34,Planilha2!C$2:C$34,"",-1),"")</f>
        <v>Ba1</v>
      </c>
      <c r="C265" t="str">
        <f>IFERROR(_xlfn.XLOOKUP($A265,Planilha2!$A$2:$A$34,Planilha2!D$2:D$34,"",-1),"")</f>
        <v>Ba1</v>
      </c>
      <c r="D265" t="str" cm="1">
        <f t="array" ref="D265">IF($A265&lt;MIN(Planilha2!$A$2:$A$34),"",_xlfn.LET(_xlpm.t,_xlfn.XLOOKUP($A265,Planilha2!$A$2:$A$34,Planilha2!$E$2:$E$34,"",-1),_xlfn.IFS(ISNUMBER(SEARCH("positiva",_xlpm.t)),"Positiva",ISNUMBER(SEARCH("negativa",_xlpm.t)),"Negativa",ISNUMBER(SEARCH("estável",_xlpm.t)),"Estável",TRUE,"n/d")))</f>
        <v>Estável</v>
      </c>
      <c r="E265" t="str">
        <f>IFERROR(_xlfn.XLOOKUP($A265,Planilha2!$J$2:$J$44,Planilha2!L$2:L$44,"",-1),"")</f>
        <v>BBB-</v>
      </c>
      <c r="F265" t="str">
        <f>IFERROR(_xlfn.XLOOKUP($A265,Planilha2!$J$2:$J$44,Planilha2!M$2:M$44,"",-1),"")</f>
        <v>BBB-</v>
      </c>
      <c r="G265" t="str" cm="1">
        <f t="array" ref="G265">IF($A265&lt;MIN(Planilha2!$J$2:$J$44),"",_xlfn.LET(_xlpm.t,_xlfn.XLOOKUP($A265,Planilha2!$J$2:$J$44,Planilha2!$N$2:$N$44,"",-1),_xlfn.IFS(ISNUMBER(SEARCH("positiva",_xlpm.t)),"Positiva",ISNUMBER(SEARCH("negativa",_xlpm.t)),"Negativa",ISNUMBER(SEARCH("estável",_xlpm.t)),"Estável",TRUE,"n/d")))</f>
        <v>Estável</v>
      </c>
      <c r="H265" t="str">
        <f>IFERROR(_xlfn.XLOOKUP($A265,Planilha2!$P$2:$P$38,Planilha2!R$2:R$38,"",-1),"")</f>
        <v>BBB-</v>
      </c>
      <c r="I265" t="str">
        <f>IFERROR(_xlfn.XLOOKUP($A265,Planilha2!$P$2:$P$38,Planilha2!S$2:S$38,"",-1),"")</f>
        <v>BBB+</v>
      </c>
      <c r="J265" t="str" cm="1">
        <f t="array" ref="J265">IF($A265&lt;MIN(Planilha2!$P$2:$P$38),"",_xlfn.LET(_xlpm.t,_xlfn.XLOOKUP($A265,Planilha2!$P$2:$P$38,Planilha2!$T$2:$T$38,"",-1),_xlfn.IFS(ISNUMBER(SEARCH("positiva",_xlpm.t)),"Positiva",ISNUMBER(SEARCH("negativa",_xlpm.t)),"Negativa",ISNUMBER(SEARCH("estável",_xlpm.t)),"Estável",TRUE,"n/d")))</f>
        <v>Estável</v>
      </c>
      <c r="L265" s="52">
        <f>IFERROR(_xlfn.XLOOKUP(B265,'Agências de Rating Soberano'!$G$2:$G$22,'Agências de Rating Soberano'!$H$2:$H$22),NA())</f>
        <v>11</v>
      </c>
      <c r="M265" s="52">
        <f>IFERROR(_xlfn.XLOOKUP(C265,'Agências de Rating Soberano'!$G$2:$G$22,'Agências de Rating Soberano'!$H$2:$H$22),NA())</f>
        <v>11</v>
      </c>
      <c r="N265" s="52">
        <f>IFERROR(_xlfn.XLOOKUP(E265,'Agências de Rating Soberano'!$J$2:$J$22,'Agências de Rating Soberano'!$K$2:$K$22),NA())</f>
        <v>12</v>
      </c>
      <c r="O265" s="52">
        <f>IFERROR(_xlfn.XLOOKUP(F265,'Agências de Rating Soberano'!$J$2:$J$22,'Agências de Rating Soberano'!$K$2:$K$22),NA())</f>
        <v>12</v>
      </c>
      <c r="P265" s="52">
        <f>IFERROR(_xlfn.XLOOKUP(H265,'Agências de Rating Soberano'!$J$2:$J$22,'Agências de Rating Soberano'!$K$2:$K$22),NA())</f>
        <v>12</v>
      </c>
      <c r="Q265" s="52">
        <f>IFERROR(_xlfn.XLOOKUP(I265,'Agências de Rating Soberano'!$J$2:$J$22,'Agências de Rating Soberano'!$K$2:$K$22),NA())</f>
        <v>14</v>
      </c>
    </row>
    <row r="266" spans="1:17" x14ac:dyDescent="0.3">
      <c r="A266" s="53">
        <f t="shared" si="11"/>
        <v>39782</v>
      </c>
      <c r="B266" t="str">
        <f>IFERROR(_xlfn.XLOOKUP($A266,Planilha2!$A$2:$A$34,Planilha2!C$2:C$34,"",-1),"")</f>
        <v>Ba1</v>
      </c>
      <c r="C266" t="str">
        <f>IFERROR(_xlfn.XLOOKUP($A266,Planilha2!$A$2:$A$34,Planilha2!D$2:D$34,"",-1),"")</f>
        <v>Ba1</v>
      </c>
      <c r="D266" t="str" cm="1">
        <f t="array" ref="D266">IF($A266&lt;MIN(Planilha2!$A$2:$A$34),"",_xlfn.LET(_xlpm.t,_xlfn.XLOOKUP($A266,Planilha2!$A$2:$A$34,Planilha2!$E$2:$E$34,"",-1),_xlfn.IFS(ISNUMBER(SEARCH("positiva",_xlpm.t)),"Positiva",ISNUMBER(SEARCH("negativa",_xlpm.t)),"Negativa",ISNUMBER(SEARCH("estável",_xlpm.t)),"Estável",TRUE,"n/d")))</f>
        <v>Estável</v>
      </c>
      <c r="E266" t="str">
        <f>IFERROR(_xlfn.XLOOKUP($A266,Planilha2!$J$2:$J$44,Planilha2!L$2:L$44,"",-1),"")</f>
        <v>BBB-</v>
      </c>
      <c r="F266" t="str">
        <f>IFERROR(_xlfn.XLOOKUP($A266,Planilha2!$J$2:$J$44,Planilha2!M$2:M$44,"",-1),"")</f>
        <v>BBB-</v>
      </c>
      <c r="G266" t="str" cm="1">
        <f t="array" ref="G266">IF($A266&lt;MIN(Planilha2!$J$2:$J$44),"",_xlfn.LET(_xlpm.t,_xlfn.XLOOKUP($A266,Planilha2!$J$2:$J$44,Planilha2!$N$2:$N$44,"",-1),_xlfn.IFS(ISNUMBER(SEARCH("positiva",_xlpm.t)),"Positiva",ISNUMBER(SEARCH("negativa",_xlpm.t)),"Negativa",ISNUMBER(SEARCH("estável",_xlpm.t)),"Estável",TRUE,"n/d")))</f>
        <v>Estável</v>
      </c>
      <c r="H266" t="str">
        <f>IFERROR(_xlfn.XLOOKUP($A266,Planilha2!$P$2:$P$38,Planilha2!R$2:R$38,"",-1),"")</f>
        <v>BBB-</v>
      </c>
      <c r="I266" t="str">
        <f>IFERROR(_xlfn.XLOOKUP($A266,Planilha2!$P$2:$P$38,Planilha2!S$2:S$38,"",-1),"")</f>
        <v>BBB+</v>
      </c>
      <c r="J266" t="str" cm="1">
        <f t="array" ref="J266">IF($A266&lt;MIN(Planilha2!$P$2:$P$38),"",_xlfn.LET(_xlpm.t,_xlfn.XLOOKUP($A266,Planilha2!$P$2:$P$38,Planilha2!$T$2:$T$38,"",-1),_xlfn.IFS(ISNUMBER(SEARCH("positiva",_xlpm.t)),"Positiva",ISNUMBER(SEARCH("negativa",_xlpm.t)),"Negativa",ISNUMBER(SEARCH("estável",_xlpm.t)),"Estável",TRUE,"n/d")))</f>
        <v>Estável</v>
      </c>
      <c r="L266" s="52">
        <f>IFERROR(_xlfn.XLOOKUP(B266,'Agências de Rating Soberano'!$G$2:$G$22,'Agências de Rating Soberano'!$H$2:$H$22),NA())</f>
        <v>11</v>
      </c>
      <c r="M266" s="52">
        <f>IFERROR(_xlfn.XLOOKUP(C266,'Agências de Rating Soberano'!$G$2:$G$22,'Agências de Rating Soberano'!$H$2:$H$22),NA())</f>
        <v>11</v>
      </c>
      <c r="N266" s="52">
        <f>IFERROR(_xlfn.XLOOKUP(E266,'Agências de Rating Soberano'!$J$2:$J$22,'Agências de Rating Soberano'!$K$2:$K$22),NA())</f>
        <v>12</v>
      </c>
      <c r="O266" s="52">
        <f>IFERROR(_xlfn.XLOOKUP(F266,'Agências de Rating Soberano'!$J$2:$J$22,'Agências de Rating Soberano'!$K$2:$K$22),NA())</f>
        <v>12</v>
      </c>
      <c r="P266" s="52">
        <f>IFERROR(_xlfn.XLOOKUP(H266,'Agências de Rating Soberano'!$J$2:$J$22,'Agências de Rating Soberano'!$K$2:$K$22),NA())</f>
        <v>12</v>
      </c>
      <c r="Q266" s="52">
        <f>IFERROR(_xlfn.XLOOKUP(I266,'Agências de Rating Soberano'!$J$2:$J$22,'Agências de Rating Soberano'!$K$2:$K$22),NA())</f>
        <v>14</v>
      </c>
    </row>
    <row r="267" spans="1:17" x14ac:dyDescent="0.3">
      <c r="A267" s="53">
        <f t="shared" si="11"/>
        <v>39813</v>
      </c>
      <c r="B267" t="str">
        <f>IFERROR(_xlfn.XLOOKUP($A267,Planilha2!$A$2:$A$34,Planilha2!C$2:C$34,"",-1),"")</f>
        <v>Ba1</v>
      </c>
      <c r="C267" t="str">
        <f>IFERROR(_xlfn.XLOOKUP($A267,Planilha2!$A$2:$A$34,Planilha2!D$2:D$34,"",-1),"")</f>
        <v>Ba1</v>
      </c>
      <c r="D267" t="str" cm="1">
        <f t="array" ref="D267">IF($A267&lt;MIN(Planilha2!$A$2:$A$34),"",_xlfn.LET(_xlpm.t,_xlfn.XLOOKUP($A267,Planilha2!$A$2:$A$34,Planilha2!$E$2:$E$34,"",-1),_xlfn.IFS(ISNUMBER(SEARCH("positiva",_xlpm.t)),"Positiva",ISNUMBER(SEARCH("negativa",_xlpm.t)),"Negativa",ISNUMBER(SEARCH("estável",_xlpm.t)),"Estável",TRUE,"n/d")))</f>
        <v>Estável</v>
      </c>
      <c r="E267" t="str">
        <f>IFERROR(_xlfn.XLOOKUP($A267,Planilha2!$J$2:$J$44,Planilha2!L$2:L$44,"",-1),"")</f>
        <v>BBB-</v>
      </c>
      <c r="F267" t="str">
        <f>IFERROR(_xlfn.XLOOKUP($A267,Planilha2!$J$2:$J$44,Planilha2!M$2:M$44,"",-1),"")</f>
        <v>BBB-</v>
      </c>
      <c r="G267" t="str" cm="1">
        <f t="array" ref="G267">IF($A267&lt;MIN(Planilha2!$J$2:$J$44),"",_xlfn.LET(_xlpm.t,_xlfn.XLOOKUP($A267,Planilha2!$J$2:$J$44,Planilha2!$N$2:$N$44,"",-1),_xlfn.IFS(ISNUMBER(SEARCH("positiva",_xlpm.t)),"Positiva",ISNUMBER(SEARCH("negativa",_xlpm.t)),"Negativa",ISNUMBER(SEARCH("estável",_xlpm.t)),"Estável",TRUE,"n/d")))</f>
        <v>Estável</v>
      </c>
      <c r="H267" t="str">
        <f>IFERROR(_xlfn.XLOOKUP($A267,Planilha2!$P$2:$P$38,Planilha2!R$2:R$38,"",-1),"")</f>
        <v>BBB-</v>
      </c>
      <c r="I267" t="str">
        <f>IFERROR(_xlfn.XLOOKUP($A267,Planilha2!$P$2:$P$38,Planilha2!S$2:S$38,"",-1),"")</f>
        <v>BBB+</v>
      </c>
      <c r="J267" t="str" cm="1">
        <f t="array" ref="J267">IF($A267&lt;MIN(Planilha2!$P$2:$P$38),"",_xlfn.LET(_xlpm.t,_xlfn.XLOOKUP($A267,Planilha2!$P$2:$P$38,Planilha2!$T$2:$T$38,"",-1),_xlfn.IFS(ISNUMBER(SEARCH("positiva",_xlpm.t)),"Positiva",ISNUMBER(SEARCH("negativa",_xlpm.t)),"Negativa",ISNUMBER(SEARCH("estável",_xlpm.t)),"Estável",TRUE,"n/d")))</f>
        <v>Estável</v>
      </c>
      <c r="L267" s="52">
        <f>IFERROR(_xlfn.XLOOKUP(B267,'Agências de Rating Soberano'!$G$2:$G$22,'Agências de Rating Soberano'!$H$2:$H$22),NA())</f>
        <v>11</v>
      </c>
      <c r="M267" s="52">
        <f>IFERROR(_xlfn.XLOOKUP(C267,'Agências de Rating Soberano'!$G$2:$G$22,'Agências de Rating Soberano'!$H$2:$H$22),NA())</f>
        <v>11</v>
      </c>
      <c r="N267" s="52">
        <f>IFERROR(_xlfn.XLOOKUP(E267,'Agências de Rating Soberano'!$J$2:$J$22,'Agências de Rating Soberano'!$K$2:$K$22),NA())</f>
        <v>12</v>
      </c>
      <c r="O267" s="52">
        <f>IFERROR(_xlfn.XLOOKUP(F267,'Agências de Rating Soberano'!$J$2:$J$22,'Agências de Rating Soberano'!$K$2:$K$22),NA())</f>
        <v>12</v>
      </c>
      <c r="P267" s="52">
        <f>IFERROR(_xlfn.XLOOKUP(H267,'Agências de Rating Soberano'!$J$2:$J$22,'Agências de Rating Soberano'!$K$2:$K$22),NA())</f>
        <v>12</v>
      </c>
      <c r="Q267" s="52">
        <f>IFERROR(_xlfn.XLOOKUP(I267,'Agências de Rating Soberano'!$J$2:$J$22,'Agências de Rating Soberano'!$K$2:$K$22),NA())</f>
        <v>14</v>
      </c>
    </row>
    <row r="268" spans="1:17" x14ac:dyDescent="0.3">
      <c r="A268" s="53">
        <f t="shared" si="11"/>
        <v>39844</v>
      </c>
      <c r="B268" t="str">
        <f>IFERROR(_xlfn.XLOOKUP($A268,Planilha2!$A$2:$A$34,Planilha2!C$2:C$34,"",-1),"")</f>
        <v>Ba1</v>
      </c>
      <c r="C268" t="str">
        <f>IFERROR(_xlfn.XLOOKUP($A268,Planilha2!$A$2:$A$34,Planilha2!D$2:D$34,"",-1),"")</f>
        <v>Ba1</v>
      </c>
      <c r="D268" t="str" cm="1">
        <f t="array" ref="D268">IF($A268&lt;MIN(Planilha2!$A$2:$A$34),"",_xlfn.LET(_xlpm.t,_xlfn.XLOOKUP($A268,Planilha2!$A$2:$A$34,Planilha2!$E$2:$E$34,"",-1),_xlfn.IFS(ISNUMBER(SEARCH("positiva",_xlpm.t)),"Positiva",ISNUMBER(SEARCH("negativa",_xlpm.t)),"Negativa",ISNUMBER(SEARCH("estável",_xlpm.t)),"Estável",TRUE,"n/d")))</f>
        <v>Estável</v>
      </c>
      <c r="E268" t="str">
        <f>IFERROR(_xlfn.XLOOKUP($A268,Planilha2!$J$2:$J$44,Planilha2!L$2:L$44,"",-1),"")</f>
        <v>BBB-</v>
      </c>
      <c r="F268" t="str">
        <f>IFERROR(_xlfn.XLOOKUP($A268,Planilha2!$J$2:$J$44,Planilha2!M$2:M$44,"",-1),"")</f>
        <v>BBB-</v>
      </c>
      <c r="G268" t="str" cm="1">
        <f t="array" ref="G268">IF($A268&lt;MIN(Planilha2!$J$2:$J$44),"",_xlfn.LET(_xlpm.t,_xlfn.XLOOKUP($A268,Planilha2!$J$2:$J$44,Planilha2!$N$2:$N$44,"",-1),_xlfn.IFS(ISNUMBER(SEARCH("positiva",_xlpm.t)),"Positiva",ISNUMBER(SEARCH("negativa",_xlpm.t)),"Negativa",ISNUMBER(SEARCH("estável",_xlpm.t)),"Estável",TRUE,"n/d")))</f>
        <v>Estável</v>
      </c>
      <c r="H268" t="str">
        <f>IFERROR(_xlfn.XLOOKUP($A268,Planilha2!$P$2:$P$38,Planilha2!R$2:R$38,"",-1),"")</f>
        <v>BBB-</v>
      </c>
      <c r="I268" t="str">
        <f>IFERROR(_xlfn.XLOOKUP($A268,Planilha2!$P$2:$P$38,Planilha2!S$2:S$38,"",-1),"")</f>
        <v>BBB+</v>
      </c>
      <c r="J268" t="str" cm="1">
        <f t="array" ref="J268">IF($A268&lt;MIN(Planilha2!$P$2:$P$38),"",_xlfn.LET(_xlpm.t,_xlfn.XLOOKUP($A268,Planilha2!$P$2:$P$38,Planilha2!$T$2:$T$38,"",-1),_xlfn.IFS(ISNUMBER(SEARCH("positiva",_xlpm.t)),"Positiva",ISNUMBER(SEARCH("negativa",_xlpm.t)),"Negativa",ISNUMBER(SEARCH("estável",_xlpm.t)),"Estável",TRUE,"n/d")))</f>
        <v>Estável</v>
      </c>
      <c r="L268" s="52">
        <f>IFERROR(_xlfn.XLOOKUP(B268,'Agências de Rating Soberano'!$G$2:$G$22,'Agências de Rating Soberano'!$H$2:$H$22),NA())</f>
        <v>11</v>
      </c>
      <c r="M268" s="52">
        <f>IFERROR(_xlfn.XLOOKUP(C268,'Agências de Rating Soberano'!$G$2:$G$22,'Agências de Rating Soberano'!$H$2:$H$22),NA())</f>
        <v>11</v>
      </c>
      <c r="N268" s="52">
        <f>IFERROR(_xlfn.XLOOKUP(E268,'Agências de Rating Soberano'!$J$2:$J$22,'Agências de Rating Soberano'!$K$2:$K$22),NA())</f>
        <v>12</v>
      </c>
      <c r="O268" s="52">
        <f>IFERROR(_xlfn.XLOOKUP(F268,'Agências de Rating Soberano'!$J$2:$J$22,'Agências de Rating Soberano'!$K$2:$K$22),NA())</f>
        <v>12</v>
      </c>
      <c r="P268" s="52">
        <f>IFERROR(_xlfn.XLOOKUP(H268,'Agências de Rating Soberano'!$J$2:$J$22,'Agências de Rating Soberano'!$K$2:$K$22),NA())</f>
        <v>12</v>
      </c>
      <c r="Q268" s="52">
        <f>IFERROR(_xlfn.XLOOKUP(I268,'Agências de Rating Soberano'!$J$2:$J$22,'Agências de Rating Soberano'!$K$2:$K$22),NA())</f>
        <v>14</v>
      </c>
    </row>
    <row r="269" spans="1:17" x14ac:dyDescent="0.3">
      <c r="A269" s="53">
        <f t="shared" si="11"/>
        <v>39872</v>
      </c>
      <c r="B269" t="str">
        <f>IFERROR(_xlfn.XLOOKUP($A269,Planilha2!$A$2:$A$34,Planilha2!C$2:C$34,"",-1),"")</f>
        <v>Ba1</v>
      </c>
      <c r="C269" t="str">
        <f>IFERROR(_xlfn.XLOOKUP($A269,Planilha2!$A$2:$A$34,Planilha2!D$2:D$34,"",-1),"")</f>
        <v>Ba1</v>
      </c>
      <c r="D269" t="str" cm="1">
        <f t="array" ref="D269">IF($A269&lt;MIN(Planilha2!$A$2:$A$34),"",_xlfn.LET(_xlpm.t,_xlfn.XLOOKUP($A269,Planilha2!$A$2:$A$34,Planilha2!$E$2:$E$34,"",-1),_xlfn.IFS(ISNUMBER(SEARCH("positiva",_xlpm.t)),"Positiva",ISNUMBER(SEARCH("negativa",_xlpm.t)),"Negativa",ISNUMBER(SEARCH("estável",_xlpm.t)),"Estável",TRUE,"n/d")))</f>
        <v>Estável</v>
      </c>
      <c r="E269" t="str">
        <f>IFERROR(_xlfn.XLOOKUP($A269,Planilha2!$J$2:$J$44,Planilha2!L$2:L$44,"",-1),"")</f>
        <v>BBB-</v>
      </c>
      <c r="F269" t="str">
        <f>IFERROR(_xlfn.XLOOKUP($A269,Planilha2!$J$2:$J$44,Planilha2!M$2:M$44,"",-1),"")</f>
        <v>BBB-</v>
      </c>
      <c r="G269" t="str" cm="1">
        <f t="array" ref="G269">IF($A269&lt;MIN(Planilha2!$J$2:$J$44),"",_xlfn.LET(_xlpm.t,_xlfn.XLOOKUP($A269,Planilha2!$J$2:$J$44,Planilha2!$N$2:$N$44,"",-1),_xlfn.IFS(ISNUMBER(SEARCH("positiva",_xlpm.t)),"Positiva",ISNUMBER(SEARCH("negativa",_xlpm.t)),"Negativa",ISNUMBER(SEARCH("estável",_xlpm.t)),"Estável",TRUE,"n/d")))</f>
        <v>Estável</v>
      </c>
      <c r="H269" t="str">
        <f>IFERROR(_xlfn.XLOOKUP($A269,Planilha2!$P$2:$P$38,Planilha2!R$2:R$38,"",-1),"")</f>
        <v>BBB-</v>
      </c>
      <c r="I269" t="str">
        <f>IFERROR(_xlfn.XLOOKUP($A269,Planilha2!$P$2:$P$38,Planilha2!S$2:S$38,"",-1),"")</f>
        <v>BBB+</v>
      </c>
      <c r="J269" t="str" cm="1">
        <f t="array" ref="J269">IF($A269&lt;MIN(Planilha2!$P$2:$P$38),"",_xlfn.LET(_xlpm.t,_xlfn.XLOOKUP($A269,Planilha2!$P$2:$P$38,Planilha2!$T$2:$T$38,"",-1),_xlfn.IFS(ISNUMBER(SEARCH("positiva",_xlpm.t)),"Positiva",ISNUMBER(SEARCH("negativa",_xlpm.t)),"Negativa",ISNUMBER(SEARCH("estável",_xlpm.t)),"Estável",TRUE,"n/d")))</f>
        <v>Estável</v>
      </c>
      <c r="L269" s="52">
        <f>IFERROR(_xlfn.XLOOKUP(B269,'Agências de Rating Soberano'!$G$2:$G$22,'Agências de Rating Soberano'!$H$2:$H$22),NA())</f>
        <v>11</v>
      </c>
      <c r="M269" s="52">
        <f>IFERROR(_xlfn.XLOOKUP(C269,'Agências de Rating Soberano'!$G$2:$G$22,'Agências de Rating Soberano'!$H$2:$H$22),NA())</f>
        <v>11</v>
      </c>
      <c r="N269" s="52">
        <f>IFERROR(_xlfn.XLOOKUP(E269,'Agências de Rating Soberano'!$J$2:$J$22,'Agências de Rating Soberano'!$K$2:$K$22),NA())</f>
        <v>12</v>
      </c>
      <c r="O269" s="52">
        <f>IFERROR(_xlfn.XLOOKUP(F269,'Agências de Rating Soberano'!$J$2:$J$22,'Agências de Rating Soberano'!$K$2:$K$22),NA())</f>
        <v>12</v>
      </c>
      <c r="P269" s="52">
        <f>IFERROR(_xlfn.XLOOKUP(H269,'Agências de Rating Soberano'!$J$2:$J$22,'Agências de Rating Soberano'!$K$2:$K$22),NA())</f>
        <v>12</v>
      </c>
      <c r="Q269" s="52">
        <f>IFERROR(_xlfn.XLOOKUP(I269,'Agências de Rating Soberano'!$J$2:$J$22,'Agências de Rating Soberano'!$K$2:$K$22),NA())</f>
        <v>14</v>
      </c>
    </row>
    <row r="270" spans="1:17" x14ac:dyDescent="0.3">
      <c r="A270" s="53">
        <f t="shared" si="11"/>
        <v>39903</v>
      </c>
      <c r="B270" t="str">
        <f>IFERROR(_xlfn.XLOOKUP($A270,Planilha2!$A$2:$A$34,Planilha2!C$2:C$34,"",-1),"")</f>
        <v>Ba1</v>
      </c>
      <c r="C270" t="str">
        <f>IFERROR(_xlfn.XLOOKUP($A270,Planilha2!$A$2:$A$34,Planilha2!D$2:D$34,"",-1),"")</f>
        <v>Ba1</v>
      </c>
      <c r="D270" t="str" cm="1">
        <f t="array" ref="D270">IF($A270&lt;MIN(Planilha2!$A$2:$A$34),"",_xlfn.LET(_xlpm.t,_xlfn.XLOOKUP($A270,Planilha2!$A$2:$A$34,Planilha2!$E$2:$E$34,"",-1),_xlfn.IFS(ISNUMBER(SEARCH("positiva",_xlpm.t)),"Positiva",ISNUMBER(SEARCH("negativa",_xlpm.t)),"Negativa",ISNUMBER(SEARCH("estável",_xlpm.t)),"Estável",TRUE,"n/d")))</f>
        <v>Estável</v>
      </c>
      <c r="E270" t="str">
        <f>IFERROR(_xlfn.XLOOKUP($A270,Planilha2!$J$2:$J$44,Planilha2!L$2:L$44,"",-1),"")</f>
        <v>BBB-</v>
      </c>
      <c r="F270" t="str">
        <f>IFERROR(_xlfn.XLOOKUP($A270,Planilha2!$J$2:$J$44,Planilha2!M$2:M$44,"",-1),"")</f>
        <v>BBB-</v>
      </c>
      <c r="G270" t="str" cm="1">
        <f t="array" ref="G270">IF($A270&lt;MIN(Planilha2!$J$2:$J$44),"",_xlfn.LET(_xlpm.t,_xlfn.XLOOKUP($A270,Planilha2!$J$2:$J$44,Planilha2!$N$2:$N$44,"",-1),_xlfn.IFS(ISNUMBER(SEARCH("positiva",_xlpm.t)),"Positiva",ISNUMBER(SEARCH("negativa",_xlpm.t)),"Negativa",ISNUMBER(SEARCH("estável",_xlpm.t)),"Estável",TRUE,"n/d")))</f>
        <v>Estável</v>
      </c>
      <c r="H270" t="str">
        <f>IFERROR(_xlfn.XLOOKUP($A270,Planilha2!$P$2:$P$38,Planilha2!R$2:R$38,"",-1),"")</f>
        <v>BBB-</v>
      </c>
      <c r="I270" t="str">
        <f>IFERROR(_xlfn.XLOOKUP($A270,Planilha2!$P$2:$P$38,Planilha2!S$2:S$38,"",-1),"")</f>
        <v>BBB+</v>
      </c>
      <c r="J270" t="str" cm="1">
        <f t="array" ref="J270">IF($A270&lt;MIN(Planilha2!$P$2:$P$38),"",_xlfn.LET(_xlpm.t,_xlfn.XLOOKUP($A270,Planilha2!$P$2:$P$38,Planilha2!$T$2:$T$38,"",-1),_xlfn.IFS(ISNUMBER(SEARCH("positiva",_xlpm.t)),"Positiva",ISNUMBER(SEARCH("negativa",_xlpm.t)),"Negativa",ISNUMBER(SEARCH("estável",_xlpm.t)),"Estável",TRUE,"n/d")))</f>
        <v>Estável</v>
      </c>
      <c r="L270" s="52">
        <f>IFERROR(_xlfn.XLOOKUP(B270,'Agências de Rating Soberano'!$G$2:$G$22,'Agências de Rating Soberano'!$H$2:$H$22),NA())</f>
        <v>11</v>
      </c>
      <c r="M270" s="52">
        <f>IFERROR(_xlfn.XLOOKUP(C270,'Agências de Rating Soberano'!$G$2:$G$22,'Agências de Rating Soberano'!$H$2:$H$22),NA())</f>
        <v>11</v>
      </c>
      <c r="N270" s="52">
        <f>IFERROR(_xlfn.XLOOKUP(E270,'Agências de Rating Soberano'!$J$2:$J$22,'Agências de Rating Soberano'!$K$2:$K$22),NA())</f>
        <v>12</v>
      </c>
      <c r="O270" s="52">
        <f>IFERROR(_xlfn.XLOOKUP(F270,'Agências de Rating Soberano'!$J$2:$J$22,'Agências de Rating Soberano'!$K$2:$K$22),NA())</f>
        <v>12</v>
      </c>
      <c r="P270" s="52">
        <f>IFERROR(_xlfn.XLOOKUP(H270,'Agências de Rating Soberano'!$J$2:$J$22,'Agências de Rating Soberano'!$K$2:$K$22),NA())</f>
        <v>12</v>
      </c>
      <c r="Q270" s="52">
        <f>IFERROR(_xlfn.XLOOKUP(I270,'Agências de Rating Soberano'!$J$2:$J$22,'Agências de Rating Soberano'!$K$2:$K$22),NA())</f>
        <v>14</v>
      </c>
    </row>
    <row r="271" spans="1:17" x14ac:dyDescent="0.3">
      <c r="A271" s="53">
        <f t="shared" si="11"/>
        <v>39933</v>
      </c>
      <c r="B271" t="str">
        <f>IFERROR(_xlfn.XLOOKUP($A271,Planilha2!$A$2:$A$34,Planilha2!C$2:C$34,"",-1),"")</f>
        <v>Ba1</v>
      </c>
      <c r="C271" t="str">
        <f>IFERROR(_xlfn.XLOOKUP($A271,Planilha2!$A$2:$A$34,Planilha2!D$2:D$34,"",-1),"")</f>
        <v>Ba1</v>
      </c>
      <c r="D271" t="str" cm="1">
        <f t="array" ref="D271">IF($A271&lt;MIN(Planilha2!$A$2:$A$34),"",_xlfn.LET(_xlpm.t,_xlfn.XLOOKUP($A271,Planilha2!$A$2:$A$34,Planilha2!$E$2:$E$34,"",-1),_xlfn.IFS(ISNUMBER(SEARCH("positiva",_xlpm.t)),"Positiva",ISNUMBER(SEARCH("negativa",_xlpm.t)),"Negativa",ISNUMBER(SEARCH("estável",_xlpm.t)),"Estável",TRUE,"n/d")))</f>
        <v>Estável</v>
      </c>
      <c r="E271" t="str">
        <f>IFERROR(_xlfn.XLOOKUP($A271,Planilha2!$J$2:$J$44,Planilha2!L$2:L$44,"",-1),"")</f>
        <v>BBB-</v>
      </c>
      <c r="F271" t="str">
        <f>IFERROR(_xlfn.XLOOKUP($A271,Planilha2!$J$2:$J$44,Planilha2!M$2:M$44,"",-1),"")</f>
        <v>BBB-</v>
      </c>
      <c r="G271" t="str" cm="1">
        <f t="array" ref="G271">IF($A271&lt;MIN(Planilha2!$J$2:$J$44),"",_xlfn.LET(_xlpm.t,_xlfn.XLOOKUP($A271,Planilha2!$J$2:$J$44,Planilha2!$N$2:$N$44,"",-1),_xlfn.IFS(ISNUMBER(SEARCH("positiva",_xlpm.t)),"Positiva",ISNUMBER(SEARCH("negativa",_xlpm.t)),"Negativa",ISNUMBER(SEARCH("estável",_xlpm.t)),"Estável",TRUE,"n/d")))</f>
        <v>Estável</v>
      </c>
      <c r="H271" t="str">
        <f>IFERROR(_xlfn.XLOOKUP($A271,Planilha2!$P$2:$P$38,Planilha2!R$2:R$38,"",-1),"")</f>
        <v>BBB-</v>
      </c>
      <c r="I271" t="str">
        <f>IFERROR(_xlfn.XLOOKUP($A271,Planilha2!$P$2:$P$38,Planilha2!S$2:S$38,"",-1),"")</f>
        <v>BBB+</v>
      </c>
      <c r="J271" t="str" cm="1">
        <f t="array" ref="J271">IF($A271&lt;MIN(Planilha2!$P$2:$P$38),"",_xlfn.LET(_xlpm.t,_xlfn.XLOOKUP($A271,Planilha2!$P$2:$P$38,Planilha2!$T$2:$T$38,"",-1),_xlfn.IFS(ISNUMBER(SEARCH("positiva",_xlpm.t)),"Positiva",ISNUMBER(SEARCH("negativa",_xlpm.t)),"Negativa",ISNUMBER(SEARCH("estável",_xlpm.t)),"Estável",TRUE,"n/d")))</f>
        <v>Estável</v>
      </c>
      <c r="L271" s="52">
        <f>IFERROR(_xlfn.XLOOKUP(B271,'Agências de Rating Soberano'!$G$2:$G$22,'Agências de Rating Soberano'!$H$2:$H$22),NA())</f>
        <v>11</v>
      </c>
      <c r="M271" s="52">
        <f>IFERROR(_xlfn.XLOOKUP(C271,'Agências de Rating Soberano'!$G$2:$G$22,'Agências de Rating Soberano'!$H$2:$H$22),NA())</f>
        <v>11</v>
      </c>
      <c r="N271" s="52">
        <f>IFERROR(_xlfn.XLOOKUP(E271,'Agências de Rating Soberano'!$J$2:$J$22,'Agências de Rating Soberano'!$K$2:$K$22),NA())</f>
        <v>12</v>
      </c>
      <c r="O271" s="52">
        <f>IFERROR(_xlfn.XLOOKUP(F271,'Agências de Rating Soberano'!$J$2:$J$22,'Agências de Rating Soberano'!$K$2:$K$22),NA())</f>
        <v>12</v>
      </c>
      <c r="P271" s="52">
        <f>IFERROR(_xlfn.XLOOKUP(H271,'Agências de Rating Soberano'!$J$2:$J$22,'Agências de Rating Soberano'!$K$2:$K$22),NA())</f>
        <v>12</v>
      </c>
      <c r="Q271" s="52">
        <f>IFERROR(_xlfn.XLOOKUP(I271,'Agências de Rating Soberano'!$J$2:$J$22,'Agências de Rating Soberano'!$K$2:$K$22),NA())</f>
        <v>14</v>
      </c>
    </row>
    <row r="272" spans="1:17" x14ac:dyDescent="0.3">
      <c r="A272" s="53">
        <f t="shared" si="11"/>
        <v>39964</v>
      </c>
      <c r="B272" t="str">
        <f>IFERROR(_xlfn.XLOOKUP($A272,Planilha2!$A$2:$A$34,Planilha2!C$2:C$34,"",-1),"")</f>
        <v>Ba1</v>
      </c>
      <c r="C272" t="str">
        <f>IFERROR(_xlfn.XLOOKUP($A272,Planilha2!$A$2:$A$34,Planilha2!D$2:D$34,"",-1),"")</f>
        <v>Ba1</v>
      </c>
      <c r="D272" t="str" cm="1">
        <f t="array" ref="D272">IF($A272&lt;MIN(Planilha2!$A$2:$A$34),"",_xlfn.LET(_xlpm.t,_xlfn.XLOOKUP($A272,Planilha2!$A$2:$A$34,Planilha2!$E$2:$E$34,"",-1),_xlfn.IFS(ISNUMBER(SEARCH("positiva",_xlpm.t)),"Positiva",ISNUMBER(SEARCH("negativa",_xlpm.t)),"Negativa",ISNUMBER(SEARCH("estável",_xlpm.t)),"Estável",TRUE,"n/d")))</f>
        <v>Estável</v>
      </c>
      <c r="E272" t="str">
        <f>IFERROR(_xlfn.XLOOKUP($A272,Planilha2!$J$2:$J$44,Planilha2!L$2:L$44,"",-1),"")</f>
        <v>BBB-</v>
      </c>
      <c r="F272" t="str">
        <f>IFERROR(_xlfn.XLOOKUP($A272,Planilha2!$J$2:$J$44,Planilha2!M$2:M$44,"",-1),"")</f>
        <v>BBB-</v>
      </c>
      <c r="G272" t="str" cm="1">
        <f t="array" ref="G272">IF($A272&lt;MIN(Planilha2!$J$2:$J$44),"",_xlfn.LET(_xlpm.t,_xlfn.XLOOKUP($A272,Planilha2!$J$2:$J$44,Planilha2!$N$2:$N$44,"",-1),_xlfn.IFS(ISNUMBER(SEARCH("positiva",_xlpm.t)),"Positiva",ISNUMBER(SEARCH("negativa",_xlpm.t)),"Negativa",ISNUMBER(SEARCH("estável",_xlpm.t)),"Estável",TRUE,"n/d")))</f>
        <v>Estável</v>
      </c>
      <c r="H272" t="str">
        <f>IFERROR(_xlfn.XLOOKUP($A272,Planilha2!$P$2:$P$38,Planilha2!R$2:R$38,"",-1),"")</f>
        <v>BBB-</v>
      </c>
      <c r="I272" t="str">
        <f>IFERROR(_xlfn.XLOOKUP($A272,Planilha2!$P$2:$P$38,Planilha2!S$2:S$38,"",-1),"")</f>
        <v>BBB+</v>
      </c>
      <c r="J272" t="str" cm="1">
        <f t="array" ref="J272">IF($A272&lt;MIN(Planilha2!$P$2:$P$38),"",_xlfn.LET(_xlpm.t,_xlfn.XLOOKUP($A272,Planilha2!$P$2:$P$38,Planilha2!$T$2:$T$38,"",-1),_xlfn.IFS(ISNUMBER(SEARCH("positiva",_xlpm.t)),"Positiva",ISNUMBER(SEARCH("negativa",_xlpm.t)),"Negativa",ISNUMBER(SEARCH("estável",_xlpm.t)),"Estável",TRUE,"n/d")))</f>
        <v>Estável</v>
      </c>
      <c r="L272" s="52">
        <f>IFERROR(_xlfn.XLOOKUP(B272,'Agências de Rating Soberano'!$G$2:$G$22,'Agências de Rating Soberano'!$H$2:$H$22),NA())</f>
        <v>11</v>
      </c>
      <c r="M272" s="52">
        <f>IFERROR(_xlfn.XLOOKUP(C272,'Agências de Rating Soberano'!$G$2:$G$22,'Agências de Rating Soberano'!$H$2:$H$22),NA())</f>
        <v>11</v>
      </c>
      <c r="N272" s="52">
        <f>IFERROR(_xlfn.XLOOKUP(E272,'Agências de Rating Soberano'!$J$2:$J$22,'Agências de Rating Soberano'!$K$2:$K$22),NA())</f>
        <v>12</v>
      </c>
      <c r="O272" s="52">
        <f>IFERROR(_xlfn.XLOOKUP(F272,'Agências de Rating Soberano'!$J$2:$J$22,'Agências de Rating Soberano'!$K$2:$K$22),NA())</f>
        <v>12</v>
      </c>
      <c r="P272" s="52">
        <f>IFERROR(_xlfn.XLOOKUP(H272,'Agências de Rating Soberano'!$J$2:$J$22,'Agências de Rating Soberano'!$K$2:$K$22),NA())</f>
        <v>12</v>
      </c>
      <c r="Q272" s="52">
        <f>IFERROR(_xlfn.XLOOKUP(I272,'Agências de Rating Soberano'!$J$2:$J$22,'Agências de Rating Soberano'!$K$2:$K$22),NA())</f>
        <v>14</v>
      </c>
    </row>
    <row r="273" spans="1:17" x14ac:dyDescent="0.3">
      <c r="A273" s="53">
        <f t="shared" si="11"/>
        <v>39994</v>
      </c>
      <c r="B273" t="str">
        <f>IFERROR(_xlfn.XLOOKUP($A273,Planilha2!$A$2:$A$34,Planilha2!C$2:C$34,"",-1),"")</f>
        <v>Ba1</v>
      </c>
      <c r="C273" t="str">
        <f>IFERROR(_xlfn.XLOOKUP($A273,Planilha2!$A$2:$A$34,Planilha2!D$2:D$34,"",-1),"")</f>
        <v>Ba1</v>
      </c>
      <c r="D273" t="str" cm="1">
        <f t="array" ref="D273">IF($A273&lt;MIN(Planilha2!$A$2:$A$34),"",_xlfn.LET(_xlpm.t,_xlfn.XLOOKUP($A273,Planilha2!$A$2:$A$34,Planilha2!$E$2:$E$34,"",-1),_xlfn.IFS(ISNUMBER(SEARCH("positiva",_xlpm.t)),"Positiva",ISNUMBER(SEARCH("negativa",_xlpm.t)),"Negativa",ISNUMBER(SEARCH("estável",_xlpm.t)),"Estável",TRUE,"n/d")))</f>
        <v>Estável</v>
      </c>
      <c r="E273" t="str">
        <f>IFERROR(_xlfn.XLOOKUP($A273,Planilha2!$J$2:$J$44,Planilha2!L$2:L$44,"",-1),"")</f>
        <v>BBB-</v>
      </c>
      <c r="F273" t="str">
        <f>IFERROR(_xlfn.XLOOKUP($A273,Planilha2!$J$2:$J$44,Planilha2!M$2:M$44,"",-1),"")</f>
        <v>BBB-</v>
      </c>
      <c r="G273" t="str" cm="1">
        <f t="array" ref="G273">IF($A273&lt;MIN(Planilha2!$J$2:$J$44),"",_xlfn.LET(_xlpm.t,_xlfn.XLOOKUP($A273,Planilha2!$J$2:$J$44,Planilha2!$N$2:$N$44,"",-1),_xlfn.IFS(ISNUMBER(SEARCH("positiva",_xlpm.t)),"Positiva",ISNUMBER(SEARCH("negativa",_xlpm.t)),"Negativa",ISNUMBER(SEARCH("estável",_xlpm.t)),"Estável",TRUE,"n/d")))</f>
        <v>Estável</v>
      </c>
      <c r="H273" t="str">
        <f>IFERROR(_xlfn.XLOOKUP($A273,Planilha2!$P$2:$P$38,Planilha2!R$2:R$38,"",-1),"")</f>
        <v>BBB-</v>
      </c>
      <c r="I273" t="str">
        <f>IFERROR(_xlfn.XLOOKUP($A273,Planilha2!$P$2:$P$38,Planilha2!S$2:S$38,"",-1),"")</f>
        <v>BBB+</v>
      </c>
      <c r="J273" t="str" cm="1">
        <f t="array" ref="J273">IF($A273&lt;MIN(Planilha2!$P$2:$P$38),"",_xlfn.LET(_xlpm.t,_xlfn.XLOOKUP($A273,Planilha2!$P$2:$P$38,Planilha2!$T$2:$T$38,"",-1),_xlfn.IFS(ISNUMBER(SEARCH("positiva",_xlpm.t)),"Positiva",ISNUMBER(SEARCH("negativa",_xlpm.t)),"Negativa",ISNUMBER(SEARCH("estável",_xlpm.t)),"Estável",TRUE,"n/d")))</f>
        <v>Estável</v>
      </c>
      <c r="L273" s="52">
        <f>IFERROR(_xlfn.XLOOKUP(B273,'Agências de Rating Soberano'!$G$2:$G$22,'Agências de Rating Soberano'!$H$2:$H$22),NA())</f>
        <v>11</v>
      </c>
      <c r="M273" s="52">
        <f>IFERROR(_xlfn.XLOOKUP(C273,'Agências de Rating Soberano'!$G$2:$G$22,'Agências de Rating Soberano'!$H$2:$H$22),NA())</f>
        <v>11</v>
      </c>
      <c r="N273" s="52">
        <f>IFERROR(_xlfn.XLOOKUP(E273,'Agências de Rating Soberano'!$J$2:$J$22,'Agências de Rating Soberano'!$K$2:$K$22),NA())</f>
        <v>12</v>
      </c>
      <c r="O273" s="52">
        <f>IFERROR(_xlfn.XLOOKUP(F273,'Agências de Rating Soberano'!$J$2:$J$22,'Agências de Rating Soberano'!$K$2:$K$22),NA())</f>
        <v>12</v>
      </c>
      <c r="P273" s="52">
        <f>IFERROR(_xlfn.XLOOKUP(H273,'Agências de Rating Soberano'!$J$2:$J$22,'Agências de Rating Soberano'!$K$2:$K$22),NA())</f>
        <v>12</v>
      </c>
      <c r="Q273" s="52">
        <f>IFERROR(_xlfn.XLOOKUP(I273,'Agências de Rating Soberano'!$J$2:$J$22,'Agências de Rating Soberano'!$K$2:$K$22),NA())</f>
        <v>14</v>
      </c>
    </row>
    <row r="274" spans="1:17" x14ac:dyDescent="0.3">
      <c r="A274" s="53">
        <f t="shared" si="11"/>
        <v>40025</v>
      </c>
      <c r="B274" t="str">
        <f>IFERROR(_xlfn.XLOOKUP($A274,Planilha2!$A$2:$A$34,Planilha2!C$2:C$34,"",-1),"")</f>
        <v>Ba1</v>
      </c>
      <c r="C274" t="str">
        <f>IFERROR(_xlfn.XLOOKUP($A274,Planilha2!$A$2:$A$34,Planilha2!D$2:D$34,"",-1),"")</f>
        <v>Ba1</v>
      </c>
      <c r="D274" t="str" cm="1">
        <f t="array" ref="D274">IF($A274&lt;MIN(Planilha2!$A$2:$A$34),"",_xlfn.LET(_xlpm.t,_xlfn.XLOOKUP($A274,Planilha2!$A$2:$A$34,Planilha2!$E$2:$E$34,"",-1),_xlfn.IFS(ISNUMBER(SEARCH("positiva",_xlpm.t)),"Positiva",ISNUMBER(SEARCH("negativa",_xlpm.t)),"Negativa",ISNUMBER(SEARCH("estável",_xlpm.t)),"Estável",TRUE,"n/d")))</f>
        <v>Positiva</v>
      </c>
      <c r="E274" t="str">
        <f>IFERROR(_xlfn.XLOOKUP($A274,Planilha2!$J$2:$J$44,Planilha2!L$2:L$44,"",-1),"")</f>
        <v>BBB-</v>
      </c>
      <c r="F274" t="str">
        <f>IFERROR(_xlfn.XLOOKUP($A274,Planilha2!$J$2:$J$44,Planilha2!M$2:M$44,"",-1),"")</f>
        <v>BBB-</v>
      </c>
      <c r="G274" t="str" cm="1">
        <f t="array" ref="G274">IF($A274&lt;MIN(Planilha2!$J$2:$J$44),"",_xlfn.LET(_xlpm.t,_xlfn.XLOOKUP($A274,Planilha2!$J$2:$J$44,Planilha2!$N$2:$N$44,"",-1),_xlfn.IFS(ISNUMBER(SEARCH("positiva",_xlpm.t)),"Positiva",ISNUMBER(SEARCH("negativa",_xlpm.t)),"Negativa",ISNUMBER(SEARCH("estável",_xlpm.t)),"Estável",TRUE,"n/d")))</f>
        <v>Estável</v>
      </c>
      <c r="H274" t="str">
        <f>IFERROR(_xlfn.XLOOKUP($A274,Planilha2!$P$2:$P$38,Planilha2!R$2:R$38,"",-1),"")</f>
        <v>BBB-</v>
      </c>
      <c r="I274" t="str">
        <f>IFERROR(_xlfn.XLOOKUP($A274,Planilha2!$P$2:$P$38,Planilha2!S$2:S$38,"",-1),"")</f>
        <v>BBB+</v>
      </c>
      <c r="J274" t="str" cm="1">
        <f t="array" ref="J274">IF($A274&lt;MIN(Planilha2!$P$2:$P$38),"",_xlfn.LET(_xlpm.t,_xlfn.XLOOKUP($A274,Planilha2!$P$2:$P$38,Planilha2!$T$2:$T$38,"",-1),_xlfn.IFS(ISNUMBER(SEARCH("positiva",_xlpm.t)),"Positiva",ISNUMBER(SEARCH("negativa",_xlpm.t)),"Negativa",ISNUMBER(SEARCH("estável",_xlpm.t)),"Estável",TRUE,"n/d")))</f>
        <v>Estável</v>
      </c>
      <c r="L274" s="52">
        <f>IFERROR(_xlfn.XLOOKUP(B274,'Agências de Rating Soberano'!$G$2:$G$22,'Agências de Rating Soberano'!$H$2:$H$22),NA())</f>
        <v>11</v>
      </c>
      <c r="M274" s="52">
        <f>IFERROR(_xlfn.XLOOKUP(C274,'Agências de Rating Soberano'!$G$2:$G$22,'Agências de Rating Soberano'!$H$2:$H$22),NA())</f>
        <v>11</v>
      </c>
      <c r="N274" s="52">
        <f>IFERROR(_xlfn.XLOOKUP(E274,'Agências de Rating Soberano'!$J$2:$J$22,'Agências de Rating Soberano'!$K$2:$K$22),NA())</f>
        <v>12</v>
      </c>
      <c r="O274" s="52">
        <f>IFERROR(_xlfn.XLOOKUP(F274,'Agências de Rating Soberano'!$J$2:$J$22,'Agências de Rating Soberano'!$K$2:$K$22),NA())</f>
        <v>12</v>
      </c>
      <c r="P274" s="52">
        <f>IFERROR(_xlfn.XLOOKUP(H274,'Agências de Rating Soberano'!$J$2:$J$22,'Agências de Rating Soberano'!$K$2:$K$22),NA())</f>
        <v>12</v>
      </c>
      <c r="Q274" s="52">
        <f>IFERROR(_xlfn.XLOOKUP(I274,'Agências de Rating Soberano'!$J$2:$J$22,'Agências de Rating Soberano'!$K$2:$K$22),NA())</f>
        <v>14</v>
      </c>
    </row>
    <row r="275" spans="1:17" x14ac:dyDescent="0.3">
      <c r="A275" s="53">
        <f t="shared" si="11"/>
        <v>40056</v>
      </c>
      <c r="B275" t="str">
        <f>IFERROR(_xlfn.XLOOKUP($A275,Planilha2!$A$2:$A$34,Planilha2!C$2:C$34,"",-1),"")</f>
        <v>Ba1</v>
      </c>
      <c r="C275" t="str">
        <f>IFERROR(_xlfn.XLOOKUP($A275,Planilha2!$A$2:$A$34,Planilha2!D$2:D$34,"",-1),"")</f>
        <v>Ba1</v>
      </c>
      <c r="D275" t="str" cm="1">
        <f t="array" ref="D275">IF($A275&lt;MIN(Planilha2!$A$2:$A$34),"",_xlfn.LET(_xlpm.t,_xlfn.XLOOKUP($A275,Planilha2!$A$2:$A$34,Planilha2!$E$2:$E$34,"",-1),_xlfn.IFS(ISNUMBER(SEARCH("positiva",_xlpm.t)),"Positiva",ISNUMBER(SEARCH("negativa",_xlpm.t)),"Negativa",ISNUMBER(SEARCH("estável",_xlpm.t)),"Estável",TRUE,"n/d")))</f>
        <v>Positiva</v>
      </c>
      <c r="E275" t="str">
        <f>IFERROR(_xlfn.XLOOKUP($A275,Planilha2!$J$2:$J$44,Planilha2!L$2:L$44,"",-1),"")</f>
        <v>BBB-</v>
      </c>
      <c r="F275" t="str">
        <f>IFERROR(_xlfn.XLOOKUP($A275,Planilha2!$J$2:$J$44,Planilha2!M$2:M$44,"",-1),"")</f>
        <v>BBB-</v>
      </c>
      <c r="G275" t="str" cm="1">
        <f t="array" ref="G275">IF($A275&lt;MIN(Planilha2!$J$2:$J$44),"",_xlfn.LET(_xlpm.t,_xlfn.XLOOKUP($A275,Planilha2!$J$2:$J$44,Planilha2!$N$2:$N$44,"",-1),_xlfn.IFS(ISNUMBER(SEARCH("positiva",_xlpm.t)),"Positiva",ISNUMBER(SEARCH("negativa",_xlpm.t)),"Negativa",ISNUMBER(SEARCH("estável",_xlpm.t)),"Estável",TRUE,"n/d")))</f>
        <v>Estável</v>
      </c>
      <c r="H275" t="str">
        <f>IFERROR(_xlfn.XLOOKUP($A275,Planilha2!$P$2:$P$38,Planilha2!R$2:R$38,"",-1),"")</f>
        <v>BBB-</v>
      </c>
      <c r="I275" t="str">
        <f>IFERROR(_xlfn.XLOOKUP($A275,Planilha2!$P$2:$P$38,Planilha2!S$2:S$38,"",-1),"")</f>
        <v>BBB+</v>
      </c>
      <c r="J275" t="str" cm="1">
        <f t="array" ref="J275">IF($A275&lt;MIN(Planilha2!$P$2:$P$38),"",_xlfn.LET(_xlpm.t,_xlfn.XLOOKUP($A275,Planilha2!$P$2:$P$38,Planilha2!$T$2:$T$38,"",-1),_xlfn.IFS(ISNUMBER(SEARCH("positiva",_xlpm.t)),"Positiva",ISNUMBER(SEARCH("negativa",_xlpm.t)),"Negativa",ISNUMBER(SEARCH("estável",_xlpm.t)),"Estável",TRUE,"n/d")))</f>
        <v>Estável</v>
      </c>
      <c r="L275" s="52">
        <f>IFERROR(_xlfn.XLOOKUP(B275,'Agências de Rating Soberano'!$G$2:$G$22,'Agências de Rating Soberano'!$H$2:$H$22),NA())</f>
        <v>11</v>
      </c>
      <c r="M275" s="52">
        <f>IFERROR(_xlfn.XLOOKUP(C275,'Agências de Rating Soberano'!$G$2:$G$22,'Agências de Rating Soberano'!$H$2:$H$22),NA())</f>
        <v>11</v>
      </c>
      <c r="N275" s="52">
        <f>IFERROR(_xlfn.XLOOKUP(E275,'Agências de Rating Soberano'!$J$2:$J$22,'Agências de Rating Soberano'!$K$2:$K$22),NA())</f>
        <v>12</v>
      </c>
      <c r="O275" s="52">
        <f>IFERROR(_xlfn.XLOOKUP(F275,'Agências de Rating Soberano'!$J$2:$J$22,'Agências de Rating Soberano'!$K$2:$K$22),NA())</f>
        <v>12</v>
      </c>
      <c r="P275" s="52">
        <f>IFERROR(_xlfn.XLOOKUP(H275,'Agências de Rating Soberano'!$J$2:$J$22,'Agências de Rating Soberano'!$K$2:$K$22),NA())</f>
        <v>12</v>
      </c>
      <c r="Q275" s="52">
        <f>IFERROR(_xlfn.XLOOKUP(I275,'Agências de Rating Soberano'!$J$2:$J$22,'Agências de Rating Soberano'!$K$2:$K$22),NA())</f>
        <v>14</v>
      </c>
    </row>
    <row r="276" spans="1:17" x14ac:dyDescent="0.3">
      <c r="A276" s="53">
        <f t="shared" si="11"/>
        <v>40086</v>
      </c>
      <c r="B276" t="str">
        <f>IFERROR(_xlfn.XLOOKUP($A276,Planilha2!$A$2:$A$34,Planilha2!C$2:C$34,"",-1),"")</f>
        <v>Baa3</v>
      </c>
      <c r="C276" t="str">
        <f>IFERROR(_xlfn.XLOOKUP($A276,Planilha2!$A$2:$A$34,Planilha2!D$2:D$34,"",-1),"")</f>
        <v>Baa3</v>
      </c>
      <c r="D276" t="str" cm="1">
        <f t="array" ref="D276">IF($A276&lt;MIN(Planilha2!$A$2:$A$34),"",_xlfn.LET(_xlpm.t,_xlfn.XLOOKUP($A276,Planilha2!$A$2:$A$34,Planilha2!$E$2:$E$34,"",-1),_xlfn.IFS(ISNUMBER(SEARCH("positiva",_xlpm.t)),"Positiva",ISNUMBER(SEARCH("negativa",_xlpm.t)),"Negativa",ISNUMBER(SEARCH("estável",_xlpm.t)),"Estável",TRUE,"n/d")))</f>
        <v>Positiva</v>
      </c>
      <c r="E276" t="str">
        <f>IFERROR(_xlfn.XLOOKUP($A276,Planilha2!$J$2:$J$44,Planilha2!L$2:L$44,"",-1),"")</f>
        <v>BBB-</v>
      </c>
      <c r="F276" t="str">
        <f>IFERROR(_xlfn.XLOOKUP($A276,Planilha2!$J$2:$J$44,Planilha2!M$2:M$44,"",-1),"")</f>
        <v>BBB-</v>
      </c>
      <c r="G276" t="str" cm="1">
        <f t="array" ref="G276">IF($A276&lt;MIN(Planilha2!$J$2:$J$44),"",_xlfn.LET(_xlpm.t,_xlfn.XLOOKUP($A276,Planilha2!$J$2:$J$44,Planilha2!$N$2:$N$44,"",-1),_xlfn.IFS(ISNUMBER(SEARCH("positiva",_xlpm.t)),"Positiva",ISNUMBER(SEARCH("negativa",_xlpm.t)),"Negativa",ISNUMBER(SEARCH("estável",_xlpm.t)),"Estável",TRUE,"n/d")))</f>
        <v>Estável</v>
      </c>
      <c r="H276" t="str">
        <f>IFERROR(_xlfn.XLOOKUP($A276,Planilha2!$P$2:$P$38,Planilha2!R$2:R$38,"",-1),"")</f>
        <v>BBB-</v>
      </c>
      <c r="I276" t="str">
        <f>IFERROR(_xlfn.XLOOKUP($A276,Planilha2!$P$2:$P$38,Planilha2!S$2:S$38,"",-1),"")</f>
        <v>BBB+</v>
      </c>
      <c r="J276" t="str" cm="1">
        <f t="array" ref="J276">IF($A276&lt;MIN(Planilha2!$P$2:$P$38),"",_xlfn.LET(_xlpm.t,_xlfn.XLOOKUP($A276,Planilha2!$P$2:$P$38,Planilha2!$T$2:$T$38,"",-1),_xlfn.IFS(ISNUMBER(SEARCH("positiva",_xlpm.t)),"Positiva",ISNUMBER(SEARCH("negativa",_xlpm.t)),"Negativa",ISNUMBER(SEARCH("estável",_xlpm.t)),"Estável",TRUE,"n/d")))</f>
        <v>Estável</v>
      </c>
      <c r="L276" s="52">
        <f>IFERROR(_xlfn.XLOOKUP(B276,'Agências de Rating Soberano'!$G$2:$G$22,'Agências de Rating Soberano'!$H$2:$H$22),NA())</f>
        <v>12</v>
      </c>
      <c r="M276" s="52">
        <f>IFERROR(_xlfn.XLOOKUP(C276,'Agências de Rating Soberano'!$G$2:$G$22,'Agências de Rating Soberano'!$H$2:$H$22),NA())</f>
        <v>12</v>
      </c>
      <c r="N276" s="52">
        <f>IFERROR(_xlfn.XLOOKUP(E276,'Agências de Rating Soberano'!$J$2:$J$22,'Agências de Rating Soberano'!$K$2:$K$22),NA())</f>
        <v>12</v>
      </c>
      <c r="O276" s="52">
        <f>IFERROR(_xlfn.XLOOKUP(F276,'Agências de Rating Soberano'!$J$2:$J$22,'Agências de Rating Soberano'!$K$2:$K$22),NA())</f>
        <v>12</v>
      </c>
      <c r="P276" s="52">
        <f>IFERROR(_xlfn.XLOOKUP(H276,'Agências de Rating Soberano'!$J$2:$J$22,'Agências de Rating Soberano'!$K$2:$K$22),NA())</f>
        <v>12</v>
      </c>
      <c r="Q276" s="52">
        <f>IFERROR(_xlfn.XLOOKUP(I276,'Agências de Rating Soberano'!$J$2:$J$22,'Agências de Rating Soberano'!$K$2:$K$22),NA())</f>
        <v>14</v>
      </c>
    </row>
    <row r="277" spans="1:17" x14ac:dyDescent="0.3">
      <c r="A277" s="53">
        <f t="shared" si="11"/>
        <v>40117</v>
      </c>
      <c r="B277" t="str">
        <f>IFERROR(_xlfn.XLOOKUP($A277,Planilha2!$A$2:$A$34,Planilha2!C$2:C$34,"",-1),"")</f>
        <v>Baa3</v>
      </c>
      <c r="C277" t="str">
        <f>IFERROR(_xlfn.XLOOKUP($A277,Planilha2!$A$2:$A$34,Planilha2!D$2:D$34,"",-1),"")</f>
        <v>Baa3</v>
      </c>
      <c r="D277" t="str" cm="1">
        <f t="array" ref="D277">IF($A277&lt;MIN(Planilha2!$A$2:$A$34),"",_xlfn.LET(_xlpm.t,_xlfn.XLOOKUP($A277,Planilha2!$A$2:$A$34,Planilha2!$E$2:$E$34,"",-1),_xlfn.IFS(ISNUMBER(SEARCH("positiva",_xlpm.t)),"Positiva",ISNUMBER(SEARCH("negativa",_xlpm.t)),"Negativa",ISNUMBER(SEARCH("estável",_xlpm.t)),"Estável",TRUE,"n/d")))</f>
        <v>Positiva</v>
      </c>
      <c r="E277" t="str">
        <f>IFERROR(_xlfn.XLOOKUP($A277,Planilha2!$J$2:$J$44,Planilha2!L$2:L$44,"",-1),"")</f>
        <v>BBB-</v>
      </c>
      <c r="F277" t="str">
        <f>IFERROR(_xlfn.XLOOKUP($A277,Planilha2!$J$2:$J$44,Planilha2!M$2:M$44,"",-1),"")</f>
        <v>BBB-</v>
      </c>
      <c r="G277" t="str" cm="1">
        <f t="array" ref="G277">IF($A277&lt;MIN(Planilha2!$J$2:$J$44),"",_xlfn.LET(_xlpm.t,_xlfn.XLOOKUP($A277,Planilha2!$J$2:$J$44,Planilha2!$N$2:$N$44,"",-1),_xlfn.IFS(ISNUMBER(SEARCH("positiva",_xlpm.t)),"Positiva",ISNUMBER(SEARCH("negativa",_xlpm.t)),"Negativa",ISNUMBER(SEARCH("estável",_xlpm.t)),"Estável",TRUE,"n/d")))</f>
        <v>Estável</v>
      </c>
      <c r="H277" t="str">
        <f>IFERROR(_xlfn.XLOOKUP($A277,Planilha2!$P$2:$P$38,Planilha2!R$2:R$38,"",-1),"")</f>
        <v>BBB-</v>
      </c>
      <c r="I277" t="str">
        <f>IFERROR(_xlfn.XLOOKUP($A277,Planilha2!$P$2:$P$38,Planilha2!S$2:S$38,"",-1),"")</f>
        <v>BBB+</v>
      </c>
      <c r="J277" t="str" cm="1">
        <f t="array" ref="J277">IF($A277&lt;MIN(Planilha2!$P$2:$P$38),"",_xlfn.LET(_xlpm.t,_xlfn.XLOOKUP($A277,Planilha2!$P$2:$P$38,Planilha2!$T$2:$T$38,"",-1),_xlfn.IFS(ISNUMBER(SEARCH("positiva",_xlpm.t)),"Positiva",ISNUMBER(SEARCH("negativa",_xlpm.t)),"Negativa",ISNUMBER(SEARCH("estável",_xlpm.t)),"Estável",TRUE,"n/d")))</f>
        <v>Estável</v>
      </c>
      <c r="L277" s="52">
        <f>IFERROR(_xlfn.XLOOKUP(B277,'Agências de Rating Soberano'!$G$2:$G$22,'Agências de Rating Soberano'!$H$2:$H$22),NA())</f>
        <v>12</v>
      </c>
      <c r="M277" s="52">
        <f>IFERROR(_xlfn.XLOOKUP(C277,'Agências de Rating Soberano'!$G$2:$G$22,'Agências de Rating Soberano'!$H$2:$H$22),NA())</f>
        <v>12</v>
      </c>
      <c r="N277" s="52">
        <f>IFERROR(_xlfn.XLOOKUP(E277,'Agências de Rating Soberano'!$J$2:$J$22,'Agências de Rating Soberano'!$K$2:$K$22),NA())</f>
        <v>12</v>
      </c>
      <c r="O277" s="52">
        <f>IFERROR(_xlfn.XLOOKUP(F277,'Agências de Rating Soberano'!$J$2:$J$22,'Agências de Rating Soberano'!$K$2:$K$22),NA())</f>
        <v>12</v>
      </c>
      <c r="P277" s="52">
        <f>IFERROR(_xlfn.XLOOKUP(H277,'Agências de Rating Soberano'!$J$2:$J$22,'Agências de Rating Soberano'!$K$2:$K$22),NA())</f>
        <v>12</v>
      </c>
      <c r="Q277" s="52">
        <f>IFERROR(_xlfn.XLOOKUP(I277,'Agências de Rating Soberano'!$J$2:$J$22,'Agências de Rating Soberano'!$K$2:$K$22),NA())</f>
        <v>14</v>
      </c>
    </row>
    <row r="278" spans="1:17" x14ac:dyDescent="0.3">
      <c r="A278" s="53">
        <f t="shared" si="11"/>
        <v>40147</v>
      </c>
      <c r="B278" t="str">
        <f>IFERROR(_xlfn.XLOOKUP($A278,Planilha2!$A$2:$A$34,Planilha2!C$2:C$34,"",-1),"")</f>
        <v>Baa3</v>
      </c>
      <c r="C278" t="str">
        <f>IFERROR(_xlfn.XLOOKUP($A278,Planilha2!$A$2:$A$34,Planilha2!D$2:D$34,"",-1),"")</f>
        <v>Baa3</v>
      </c>
      <c r="D278" t="str" cm="1">
        <f t="array" ref="D278">IF($A278&lt;MIN(Planilha2!$A$2:$A$34),"",_xlfn.LET(_xlpm.t,_xlfn.XLOOKUP($A278,Planilha2!$A$2:$A$34,Planilha2!$E$2:$E$34,"",-1),_xlfn.IFS(ISNUMBER(SEARCH("positiva",_xlpm.t)),"Positiva",ISNUMBER(SEARCH("negativa",_xlpm.t)),"Negativa",ISNUMBER(SEARCH("estável",_xlpm.t)),"Estável",TRUE,"n/d")))</f>
        <v>Positiva</v>
      </c>
      <c r="E278" t="str">
        <f>IFERROR(_xlfn.XLOOKUP($A278,Planilha2!$J$2:$J$44,Planilha2!L$2:L$44,"",-1),"")</f>
        <v>BBB-</v>
      </c>
      <c r="F278" t="str">
        <f>IFERROR(_xlfn.XLOOKUP($A278,Planilha2!$J$2:$J$44,Planilha2!M$2:M$44,"",-1),"")</f>
        <v>BBB-</v>
      </c>
      <c r="G278" t="str" cm="1">
        <f t="array" ref="G278">IF($A278&lt;MIN(Planilha2!$J$2:$J$44),"",_xlfn.LET(_xlpm.t,_xlfn.XLOOKUP($A278,Planilha2!$J$2:$J$44,Planilha2!$N$2:$N$44,"",-1),_xlfn.IFS(ISNUMBER(SEARCH("positiva",_xlpm.t)),"Positiva",ISNUMBER(SEARCH("negativa",_xlpm.t)),"Negativa",ISNUMBER(SEARCH("estável",_xlpm.t)),"Estável",TRUE,"n/d")))</f>
        <v>Estável</v>
      </c>
      <c r="H278" t="str">
        <f>IFERROR(_xlfn.XLOOKUP($A278,Planilha2!$P$2:$P$38,Planilha2!R$2:R$38,"",-1),"")</f>
        <v>BBB-</v>
      </c>
      <c r="I278" t="str">
        <f>IFERROR(_xlfn.XLOOKUP($A278,Planilha2!$P$2:$P$38,Planilha2!S$2:S$38,"",-1),"")</f>
        <v>BBB+</v>
      </c>
      <c r="J278" t="str" cm="1">
        <f t="array" ref="J278">IF($A278&lt;MIN(Planilha2!$P$2:$P$38),"",_xlfn.LET(_xlpm.t,_xlfn.XLOOKUP($A278,Planilha2!$P$2:$P$38,Planilha2!$T$2:$T$38,"",-1),_xlfn.IFS(ISNUMBER(SEARCH("positiva",_xlpm.t)),"Positiva",ISNUMBER(SEARCH("negativa",_xlpm.t)),"Negativa",ISNUMBER(SEARCH("estável",_xlpm.t)),"Estável",TRUE,"n/d")))</f>
        <v>Estável</v>
      </c>
      <c r="L278" s="52">
        <f>IFERROR(_xlfn.XLOOKUP(B278,'Agências de Rating Soberano'!$G$2:$G$22,'Agências de Rating Soberano'!$H$2:$H$22),NA())</f>
        <v>12</v>
      </c>
      <c r="M278" s="52">
        <f>IFERROR(_xlfn.XLOOKUP(C278,'Agências de Rating Soberano'!$G$2:$G$22,'Agências de Rating Soberano'!$H$2:$H$22),NA())</f>
        <v>12</v>
      </c>
      <c r="N278" s="52">
        <f>IFERROR(_xlfn.XLOOKUP(E278,'Agências de Rating Soberano'!$J$2:$J$22,'Agências de Rating Soberano'!$K$2:$K$22),NA())</f>
        <v>12</v>
      </c>
      <c r="O278" s="52">
        <f>IFERROR(_xlfn.XLOOKUP(F278,'Agências de Rating Soberano'!$J$2:$J$22,'Agências de Rating Soberano'!$K$2:$K$22),NA())</f>
        <v>12</v>
      </c>
      <c r="P278" s="52">
        <f>IFERROR(_xlfn.XLOOKUP(H278,'Agências de Rating Soberano'!$J$2:$J$22,'Agências de Rating Soberano'!$K$2:$K$22),NA())</f>
        <v>12</v>
      </c>
      <c r="Q278" s="52">
        <f>IFERROR(_xlfn.XLOOKUP(I278,'Agências de Rating Soberano'!$J$2:$J$22,'Agências de Rating Soberano'!$K$2:$K$22),NA())</f>
        <v>14</v>
      </c>
    </row>
    <row r="279" spans="1:17" x14ac:dyDescent="0.3">
      <c r="A279" s="53">
        <f t="shared" si="11"/>
        <v>40178</v>
      </c>
      <c r="B279" t="str">
        <f>IFERROR(_xlfn.XLOOKUP($A279,Planilha2!$A$2:$A$34,Planilha2!C$2:C$34,"",-1),"")</f>
        <v>Baa3</v>
      </c>
      <c r="C279" t="str">
        <f>IFERROR(_xlfn.XLOOKUP($A279,Planilha2!$A$2:$A$34,Planilha2!D$2:D$34,"",-1),"")</f>
        <v>Baa3</v>
      </c>
      <c r="D279" t="str" cm="1">
        <f t="array" ref="D279">IF($A279&lt;MIN(Planilha2!$A$2:$A$34),"",_xlfn.LET(_xlpm.t,_xlfn.XLOOKUP($A279,Planilha2!$A$2:$A$34,Planilha2!$E$2:$E$34,"",-1),_xlfn.IFS(ISNUMBER(SEARCH("positiva",_xlpm.t)),"Positiva",ISNUMBER(SEARCH("negativa",_xlpm.t)),"Negativa",ISNUMBER(SEARCH("estável",_xlpm.t)),"Estável",TRUE,"n/d")))</f>
        <v>Positiva</v>
      </c>
      <c r="E279" t="str">
        <f>IFERROR(_xlfn.XLOOKUP($A279,Planilha2!$J$2:$J$44,Planilha2!L$2:L$44,"",-1),"")</f>
        <v>BBB-</v>
      </c>
      <c r="F279" t="str">
        <f>IFERROR(_xlfn.XLOOKUP($A279,Planilha2!$J$2:$J$44,Planilha2!M$2:M$44,"",-1),"")</f>
        <v>BBB-</v>
      </c>
      <c r="G279" t="str" cm="1">
        <f t="array" ref="G279">IF($A279&lt;MIN(Planilha2!$J$2:$J$44),"",_xlfn.LET(_xlpm.t,_xlfn.XLOOKUP($A279,Planilha2!$J$2:$J$44,Planilha2!$N$2:$N$44,"",-1),_xlfn.IFS(ISNUMBER(SEARCH("positiva",_xlpm.t)),"Positiva",ISNUMBER(SEARCH("negativa",_xlpm.t)),"Negativa",ISNUMBER(SEARCH("estável",_xlpm.t)),"Estável",TRUE,"n/d")))</f>
        <v>Estável</v>
      </c>
      <c r="H279" t="str">
        <f>IFERROR(_xlfn.XLOOKUP($A279,Planilha2!$P$2:$P$38,Planilha2!R$2:R$38,"",-1),"")</f>
        <v>BBB-</v>
      </c>
      <c r="I279" t="str">
        <f>IFERROR(_xlfn.XLOOKUP($A279,Planilha2!$P$2:$P$38,Planilha2!S$2:S$38,"",-1),"")</f>
        <v>BBB+</v>
      </c>
      <c r="J279" t="str" cm="1">
        <f t="array" ref="J279">IF($A279&lt;MIN(Planilha2!$P$2:$P$38),"",_xlfn.LET(_xlpm.t,_xlfn.XLOOKUP($A279,Planilha2!$P$2:$P$38,Planilha2!$T$2:$T$38,"",-1),_xlfn.IFS(ISNUMBER(SEARCH("positiva",_xlpm.t)),"Positiva",ISNUMBER(SEARCH("negativa",_xlpm.t)),"Negativa",ISNUMBER(SEARCH("estável",_xlpm.t)),"Estável",TRUE,"n/d")))</f>
        <v>Estável</v>
      </c>
      <c r="L279" s="52">
        <f>IFERROR(_xlfn.XLOOKUP(B279,'Agências de Rating Soberano'!$G$2:$G$22,'Agências de Rating Soberano'!$H$2:$H$22),NA())</f>
        <v>12</v>
      </c>
      <c r="M279" s="52">
        <f>IFERROR(_xlfn.XLOOKUP(C279,'Agências de Rating Soberano'!$G$2:$G$22,'Agências de Rating Soberano'!$H$2:$H$22),NA())</f>
        <v>12</v>
      </c>
      <c r="N279" s="52">
        <f>IFERROR(_xlfn.XLOOKUP(E279,'Agências de Rating Soberano'!$J$2:$J$22,'Agências de Rating Soberano'!$K$2:$K$22),NA())</f>
        <v>12</v>
      </c>
      <c r="O279" s="52">
        <f>IFERROR(_xlfn.XLOOKUP(F279,'Agências de Rating Soberano'!$J$2:$J$22,'Agências de Rating Soberano'!$K$2:$K$22),NA())</f>
        <v>12</v>
      </c>
      <c r="P279" s="52">
        <f>IFERROR(_xlfn.XLOOKUP(H279,'Agências de Rating Soberano'!$J$2:$J$22,'Agências de Rating Soberano'!$K$2:$K$22),NA())</f>
        <v>12</v>
      </c>
      <c r="Q279" s="52">
        <f>IFERROR(_xlfn.XLOOKUP(I279,'Agências de Rating Soberano'!$J$2:$J$22,'Agências de Rating Soberano'!$K$2:$K$22),NA())</f>
        <v>14</v>
      </c>
    </row>
    <row r="280" spans="1:17" x14ac:dyDescent="0.3">
      <c r="A280" s="53">
        <f t="shared" si="11"/>
        <v>40209</v>
      </c>
      <c r="B280" t="str">
        <f>IFERROR(_xlfn.XLOOKUP($A280,Planilha2!$A$2:$A$34,Planilha2!C$2:C$34,"",-1),"")</f>
        <v>Baa3</v>
      </c>
      <c r="C280" t="str">
        <f>IFERROR(_xlfn.XLOOKUP($A280,Planilha2!$A$2:$A$34,Planilha2!D$2:D$34,"",-1),"")</f>
        <v>Baa3</v>
      </c>
      <c r="D280" t="str" cm="1">
        <f t="array" ref="D280">IF($A280&lt;MIN(Planilha2!$A$2:$A$34),"",_xlfn.LET(_xlpm.t,_xlfn.XLOOKUP($A280,Planilha2!$A$2:$A$34,Planilha2!$E$2:$E$34,"",-1),_xlfn.IFS(ISNUMBER(SEARCH("positiva",_xlpm.t)),"Positiva",ISNUMBER(SEARCH("negativa",_xlpm.t)),"Negativa",ISNUMBER(SEARCH("estável",_xlpm.t)),"Estável",TRUE,"n/d")))</f>
        <v>Positiva</v>
      </c>
      <c r="E280" t="str">
        <f>IFERROR(_xlfn.XLOOKUP($A280,Planilha2!$J$2:$J$44,Planilha2!L$2:L$44,"",-1),"")</f>
        <v>BBB-</v>
      </c>
      <c r="F280" t="str">
        <f>IFERROR(_xlfn.XLOOKUP($A280,Planilha2!$J$2:$J$44,Planilha2!M$2:M$44,"",-1),"")</f>
        <v>BBB-</v>
      </c>
      <c r="G280" t="str" cm="1">
        <f t="array" ref="G280">IF($A280&lt;MIN(Planilha2!$J$2:$J$44),"",_xlfn.LET(_xlpm.t,_xlfn.XLOOKUP($A280,Planilha2!$J$2:$J$44,Planilha2!$N$2:$N$44,"",-1),_xlfn.IFS(ISNUMBER(SEARCH("positiva",_xlpm.t)),"Positiva",ISNUMBER(SEARCH("negativa",_xlpm.t)),"Negativa",ISNUMBER(SEARCH("estável",_xlpm.t)),"Estável",TRUE,"n/d")))</f>
        <v>Estável</v>
      </c>
      <c r="H280" t="str">
        <f>IFERROR(_xlfn.XLOOKUP($A280,Planilha2!$P$2:$P$38,Planilha2!R$2:R$38,"",-1),"")</f>
        <v>BBB-</v>
      </c>
      <c r="I280" t="str">
        <f>IFERROR(_xlfn.XLOOKUP($A280,Planilha2!$P$2:$P$38,Planilha2!S$2:S$38,"",-1),"")</f>
        <v>BBB+</v>
      </c>
      <c r="J280" t="str" cm="1">
        <f t="array" ref="J280">IF($A280&lt;MIN(Planilha2!$P$2:$P$38),"",_xlfn.LET(_xlpm.t,_xlfn.XLOOKUP($A280,Planilha2!$P$2:$P$38,Planilha2!$T$2:$T$38,"",-1),_xlfn.IFS(ISNUMBER(SEARCH("positiva",_xlpm.t)),"Positiva",ISNUMBER(SEARCH("negativa",_xlpm.t)),"Negativa",ISNUMBER(SEARCH("estável",_xlpm.t)),"Estável",TRUE,"n/d")))</f>
        <v>Estável</v>
      </c>
      <c r="L280" s="52">
        <f>IFERROR(_xlfn.XLOOKUP(B280,'Agências de Rating Soberano'!$G$2:$G$22,'Agências de Rating Soberano'!$H$2:$H$22),NA())</f>
        <v>12</v>
      </c>
      <c r="M280" s="52">
        <f>IFERROR(_xlfn.XLOOKUP(C280,'Agências de Rating Soberano'!$G$2:$G$22,'Agências de Rating Soberano'!$H$2:$H$22),NA())</f>
        <v>12</v>
      </c>
      <c r="N280" s="52">
        <f>IFERROR(_xlfn.XLOOKUP(E280,'Agências de Rating Soberano'!$J$2:$J$22,'Agências de Rating Soberano'!$K$2:$K$22),NA())</f>
        <v>12</v>
      </c>
      <c r="O280" s="52">
        <f>IFERROR(_xlfn.XLOOKUP(F280,'Agências de Rating Soberano'!$J$2:$J$22,'Agências de Rating Soberano'!$K$2:$K$22),NA())</f>
        <v>12</v>
      </c>
      <c r="P280" s="52">
        <f>IFERROR(_xlfn.XLOOKUP(H280,'Agências de Rating Soberano'!$J$2:$J$22,'Agências de Rating Soberano'!$K$2:$K$22),NA())</f>
        <v>12</v>
      </c>
      <c r="Q280" s="52">
        <f>IFERROR(_xlfn.XLOOKUP(I280,'Agências de Rating Soberano'!$J$2:$J$22,'Agências de Rating Soberano'!$K$2:$K$22),NA())</f>
        <v>14</v>
      </c>
    </row>
    <row r="281" spans="1:17" x14ac:dyDescent="0.3">
      <c r="A281" s="53">
        <f t="shared" si="11"/>
        <v>40237</v>
      </c>
      <c r="B281" t="str">
        <f>IFERROR(_xlfn.XLOOKUP($A281,Planilha2!$A$2:$A$34,Planilha2!C$2:C$34,"",-1),"")</f>
        <v>Baa3</v>
      </c>
      <c r="C281" t="str">
        <f>IFERROR(_xlfn.XLOOKUP($A281,Planilha2!$A$2:$A$34,Planilha2!D$2:D$34,"",-1),"")</f>
        <v>Baa3</v>
      </c>
      <c r="D281" t="str" cm="1">
        <f t="array" ref="D281">IF($A281&lt;MIN(Planilha2!$A$2:$A$34),"",_xlfn.LET(_xlpm.t,_xlfn.XLOOKUP($A281,Planilha2!$A$2:$A$34,Planilha2!$E$2:$E$34,"",-1),_xlfn.IFS(ISNUMBER(SEARCH("positiva",_xlpm.t)),"Positiva",ISNUMBER(SEARCH("negativa",_xlpm.t)),"Negativa",ISNUMBER(SEARCH("estável",_xlpm.t)),"Estável",TRUE,"n/d")))</f>
        <v>Positiva</v>
      </c>
      <c r="E281" t="str">
        <f>IFERROR(_xlfn.XLOOKUP($A281,Planilha2!$J$2:$J$44,Planilha2!L$2:L$44,"",-1),"")</f>
        <v>BBB-</v>
      </c>
      <c r="F281" t="str">
        <f>IFERROR(_xlfn.XLOOKUP($A281,Planilha2!$J$2:$J$44,Planilha2!M$2:M$44,"",-1),"")</f>
        <v>BBB-</v>
      </c>
      <c r="G281" t="str" cm="1">
        <f t="array" ref="G281">IF($A281&lt;MIN(Planilha2!$J$2:$J$44),"",_xlfn.LET(_xlpm.t,_xlfn.XLOOKUP($A281,Planilha2!$J$2:$J$44,Planilha2!$N$2:$N$44,"",-1),_xlfn.IFS(ISNUMBER(SEARCH("positiva",_xlpm.t)),"Positiva",ISNUMBER(SEARCH("negativa",_xlpm.t)),"Negativa",ISNUMBER(SEARCH("estável",_xlpm.t)),"Estável",TRUE,"n/d")))</f>
        <v>Estável</v>
      </c>
      <c r="H281" t="str">
        <f>IFERROR(_xlfn.XLOOKUP($A281,Planilha2!$P$2:$P$38,Planilha2!R$2:R$38,"",-1),"")</f>
        <v>BBB-</v>
      </c>
      <c r="I281" t="str">
        <f>IFERROR(_xlfn.XLOOKUP($A281,Planilha2!$P$2:$P$38,Planilha2!S$2:S$38,"",-1),"")</f>
        <v>BBB+</v>
      </c>
      <c r="J281" t="str" cm="1">
        <f t="array" ref="J281">IF($A281&lt;MIN(Planilha2!$P$2:$P$38),"",_xlfn.LET(_xlpm.t,_xlfn.XLOOKUP($A281,Planilha2!$P$2:$P$38,Planilha2!$T$2:$T$38,"",-1),_xlfn.IFS(ISNUMBER(SEARCH("positiva",_xlpm.t)),"Positiva",ISNUMBER(SEARCH("negativa",_xlpm.t)),"Negativa",ISNUMBER(SEARCH("estável",_xlpm.t)),"Estável",TRUE,"n/d")))</f>
        <v>Estável</v>
      </c>
      <c r="L281" s="52">
        <f>IFERROR(_xlfn.XLOOKUP(B281,'Agências de Rating Soberano'!$G$2:$G$22,'Agências de Rating Soberano'!$H$2:$H$22),NA())</f>
        <v>12</v>
      </c>
      <c r="M281" s="52">
        <f>IFERROR(_xlfn.XLOOKUP(C281,'Agências de Rating Soberano'!$G$2:$G$22,'Agências de Rating Soberano'!$H$2:$H$22),NA())</f>
        <v>12</v>
      </c>
      <c r="N281" s="52">
        <f>IFERROR(_xlfn.XLOOKUP(E281,'Agências de Rating Soberano'!$J$2:$J$22,'Agências de Rating Soberano'!$K$2:$K$22),NA())</f>
        <v>12</v>
      </c>
      <c r="O281" s="52">
        <f>IFERROR(_xlfn.XLOOKUP(F281,'Agências de Rating Soberano'!$J$2:$J$22,'Agências de Rating Soberano'!$K$2:$K$22),NA())</f>
        <v>12</v>
      </c>
      <c r="P281" s="52">
        <f>IFERROR(_xlfn.XLOOKUP(H281,'Agências de Rating Soberano'!$J$2:$J$22,'Agências de Rating Soberano'!$K$2:$K$22),NA())</f>
        <v>12</v>
      </c>
      <c r="Q281" s="52">
        <f>IFERROR(_xlfn.XLOOKUP(I281,'Agências de Rating Soberano'!$J$2:$J$22,'Agências de Rating Soberano'!$K$2:$K$22),NA())</f>
        <v>14</v>
      </c>
    </row>
    <row r="282" spans="1:17" x14ac:dyDescent="0.3">
      <c r="A282" s="53">
        <f t="shared" si="11"/>
        <v>40268</v>
      </c>
      <c r="B282" t="str">
        <f>IFERROR(_xlfn.XLOOKUP($A282,Planilha2!$A$2:$A$34,Planilha2!C$2:C$34,"",-1),"")</f>
        <v>Baa3</v>
      </c>
      <c r="C282" t="str">
        <f>IFERROR(_xlfn.XLOOKUP($A282,Planilha2!$A$2:$A$34,Planilha2!D$2:D$34,"",-1),"")</f>
        <v>Baa3</v>
      </c>
      <c r="D282" t="str" cm="1">
        <f t="array" ref="D282">IF($A282&lt;MIN(Planilha2!$A$2:$A$34),"",_xlfn.LET(_xlpm.t,_xlfn.XLOOKUP($A282,Planilha2!$A$2:$A$34,Planilha2!$E$2:$E$34,"",-1),_xlfn.IFS(ISNUMBER(SEARCH("positiva",_xlpm.t)),"Positiva",ISNUMBER(SEARCH("negativa",_xlpm.t)),"Negativa",ISNUMBER(SEARCH("estável",_xlpm.t)),"Estável",TRUE,"n/d")))</f>
        <v>Positiva</v>
      </c>
      <c r="E282" t="str">
        <f>IFERROR(_xlfn.XLOOKUP($A282,Planilha2!$J$2:$J$44,Planilha2!L$2:L$44,"",-1),"")</f>
        <v>BBB-</v>
      </c>
      <c r="F282" t="str">
        <f>IFERROR(_xlfn.XLOOKUP($A282,Planilha2!$J$2:$J$44,Planilha2!M$2:M$44,"",-1),"")</f>
        <v>BBB-</v>
      </c>
      <c r="G282" t="str" cm="1">
        <f t="array" ref="G282">IF($A282&lt;MIN(Planilha2!$J$2:$J$44),"",_xlfn.LET(_xlpm.t,_xlfn.XLOOKUP($A282,Planilha2!$J$2:$J$44,Planilha2!$N$2:$N$44,"",-1),_xlfn.IFS(ISNUMBER(SEARCH("positiva",_xlpm.t)),"Positiva",ISNUMBER(SEARCH("negativa",_xlpm.t)),"Negativa",ISNUMBER(SEARCH("estável",_xlpm.t)),"Estável",TRUE,"n/d")))</f>
        <v>Estável</v>
      </c>
      <c r="H282" t="str">
        <f>IFERROR(_xlfn.XLOOKUP($A282,Planilha2!$P$2:$P$38,Planilha2!R$2:R$38,"",-1),"")</f>
        <v>BBB-</v>
      </c>
      <c r="I282" t="str">
        <f>IFERROR(_xlfn.XLOOKUP($A282,Planilha2!$P$2:$P$38,Planilha2!S$2:S$38,"",-1),"")</f>
        <v>BBB+</v>
      </c>
      <c r="J282" t="str" cm="1">
        <f t="array" ref="J282">IF($A282&lt;MIN(Planilha2!$P$2:$P$38),"",_xlfn.LET(_xlpm.t,_xlfn.XLOOKUP($A282,Planilha2!$P$2:$P$38,Planilha2!$T$2:$T$38,"",-1),_xlfn.IFS(ISNUMBER(SEARCH("positiva",_xlpm.t)),"Positiva",ISNUMBER(SEARCH("negativa",_xlpm.t)),"Negativa",ISNUMBER(SEARCH("estável",_xlpm.t)),"Estável",TRUE,"n/d")))</f>
        <v>Estável</v>
      </c>
      <c r="L282" s="52">
        <f>IFERROR(_xlfn.XLOOKUP(B282,'Agências de Rating Soberano'!$G$2:$G$22,'Agências de Rating Soberano'!$H$2:$H$22),NA())</f>
        <v>12</v>
      </c>
      <c r="M282" s="52">
        <f>IFERROR(_xlfn.XLOOKUP(C282,'Agências de Rating Soberano'!$G$2:$G$22,'Agências de Rating Soberano'!$H$2:$H$22),NA())</f>
        <v>12</v>
      </c>
      <c r="N282" s="52">
        <f>IFERROR(_xlfn.XLOOKUP(E282,'Agências de Rating Soberano'!$J$2:$J$22,'Agências de Rating Soberano'!$K$2:$K$22),NA())</f>
        <v>12</v>
      </c>
      <c r="O282" s="52">
        <f>IFERROR(_xlfn.XLOOKUP(F282,'Agências de Rating Soberano'!$J$2:$J$22,'Agências de Rating Soberano'!$K$2:$K$22),NA())</f>
        <v>12</v>
      </c>
      <c r="P282" s="52">
        <f>IFERROR(_xlfn.XLOOKUP(H282,'Agências de Rating Soberano'!$J$2:$J$22,'Agências de Rating Soberano'!$K$2:$K$22),NA())</f>
        <v>12</v>
      </c>
      <c r="Q282" s="52">
        <f>IFERROR(_xlfn.XLOOKUP(I282,'Agências de Rating Soberano'!$J$2:$J$22,'Agências de Rating Soberano'!$K$2:$K$22),NA())</f>
        <v>14</v>
      </c>
    </row>
    <row r="283" spans="1:17" x14ac:dyDescent="0.3">
      <c r="A283" s="53">
        <f t="shared" si="11"/>
        <v>40298</v>
      </c>
      <c r="B283" t="str">
        <f>IFERROR(_xlfn.XLOOKUP($A283,Planilha2!$A$2:$A$34,Planilha2!C$2:C$34,"",-1),"")</f>
        <v>Baa3</v>
      </c>
      <c r="C283" t="str">
        <f>IFERROR(_xlfn.XLOOKUP($A283,Planilha2!$A$2:$A$34,Planilha2!D$2:D$34,"",-1),"")</f>
        <v>Baa3</v>
      </c>
      <c r="D283" t="str" cm="1">
        <f t="array" ref="D283">IF($A283&lt;MIN(Planilha2!$A$2:$A$34),"",_xlfn.LET(_xlpm.t,_xlfn.XLOOKUP($A283,Planilha2!$A$2:$A$34,Planilha2!$E$2:$E$34,"",-1),_xlfn.IFS(ISNUMBER(SEARCH("positiva",_xlpm.t)),"Positiva",ISNUMBER(SEARCH("negativa",_xlpm.t)),"Negativa",ISNUMBER(SEARCH("estável",_xlpm.t)),"Estável",TRUE,"n/d")))</f>
        <v>Positiva</v>
      </c>
      <c r="E283" t="str">
        <f>IFERROR(_xlfn.XLOOKUP($A283,Planilha2!$J$2:$J$44,Planilha2!L$2:L$44,"",-1),"")</f>
        <v>BBB-</v>
      </c>
      <c r="F283" t="str">
        <f>IFERROR(_xlfn.XLOOKUP($A283,Planilha2!$J$2:$J$44,Planilha2!M$2:M$44,"",-1),"")</f>
        <v>BBB-</v>
      </c>
      <c r="G283" t="str" cm="1">
        <f t="array" ref="G283">IF($A283&lt;MIN(Planilha2!$J$2:$J$44),"",_xlfn.LET(_xlpm.t,_xlfn.XLOOKUP($A283,Planilha2!$J$2:$J$44,Planilha2!$N$2:$N$44,"",-1),_xlfn.IFS(ISNUMBER(SEARCH("positiva",_xlpm.t)),"Positiva",ISNUMBER(SEARCH("negativa",_xlpm.t)),"Negativa",ISNUMBER(SEARCH("estável",_xlpm.t)),"Estável",TRUE,"n/d")))</f>
        <v>Estável</v>
      </c>
      <c r="H283" t="str">
        <f>IFERROR(_xlfn.XLOOKUP($A283,Planilha2!$P$2:$P$38,Planilha2!R$2:R$38,"",-1),"")</f>
        <v>BBB-</v>
      </c>
      <c r="I283" t="str">
        <f>IFERROR(_xlfn.XLOOKUP($A283,Planilha2!$P$2:$P$38,Planilha2!S$2:S$38,"",-1),"")</f>
        <v>BBB+</v>
      </c>
      <c r="J283" t="str" cm="1">
        <f t="array" ref="J283">IF($A283&lt;MIN(Planilha2!$P$2:$P$38),"",_xlfn.LET(_xlpm.t,_xlfn.XLOOKUP($A283,Planilha2!$P$2:$P$38,Planilha2!$T$2:$T$38,"",-1),_xlfn.IFS(ISNUMBER(SEARCH("positiva",_xlpm.t)),"Positiva",ISNUMBER(SEARCH("negativa",_xlpm.t)),"Negativa",ISNUMBER(SEARCH("estável",_xlpm.t)),"Estável",TRUE,"n/d")))</f>
        <v>Estável</v>
      </c>
      <c r="L283" s="52">
        <f>IFERROR(_xlfn.XLOOKUP(B283,'Agências de Rating Soberano'!$G$2:$G$22,'Agências de Rating Soberano'!$H$2:$H$22),NA())</f>
        <v>12</v>
      </c>
      <c r="M283" s="52">
        <f>IFERROR(_xlfn.XLOOKUP(C283,'Agências de Rating Soberano'!$G$2:$G$22,'Agências de Rating Soberano'!$H$2:$H$22),NA())</f>
        <v>12</v>
      </c>
      <c r="N283" s="52">
        <f>IFERROR(_xlfn.XLOOKUP(E283,'Agências de Rating Soberano'!$J$2:$J$22,'Agências de Rating Soberano'!$K$2:$K$22),NA())</f>
        <v>12</v>
      </c>
      <c r="O283" s="52">
        <f>IFERROR(_xlfn.XLOOKUP(F283,'Agências de Rating Soberano'!$J$2:$J$22,'Agências de Rating Soberano'!$K$2:$K$22),NA())</f>
        <v>12</v>
      </c>
      <c r="P283" s="52">
        <f>IFERROR(_xlfn.XLOOKUP(H283,'Agências de Rating Soberano'!$J$2:$J$22,'Agências de Rating Soberano'!$K$2:$K$22),NA())</f>
        <v>12</v>
      </c>
      <c r="Q283" s="52">
        <f>IFERROR(_xlfn.XLOOKUP(I283,'Agências de Rating Soberano'!$J$2:$J$22,'Agências de Rating Soberano'!$K$2:$K$22),NA())</f>
        <v>14</v>
      </c>
    </row>
    <row r="284" spans="1:17" x14ac:dyDescent="0.3">
      <c r="A284" s="53">
        <f t="shared" si="11"/>
        <v>40329</v>
      </c>
      <c r="B284" t="str">
        <f>IFERROR(_xlfn.XLOOKUP($A284,Planilha2!$A$2:$A$34,Planilha2!C$2:C$34,"",-1),"")</f>
        <v>Baa3</v>
      </c>
      <c r="C284" t="str">
        <f>IFERROR(_xlfn.XLOOKUP($A284,Planilha2!$A$2:$A$34,Planilha2!D$2:D$34,"",-1),"")</f>
        <v>Baa3</v>
      </c>
      <c r="D284" t="str" cm="1">
        <f t="array" ref="D284">IF($A284&lt;MIN(Planilha2!$A$2:$A$34),"",_xlfn.LET(_xlpm.t,_xlfn.XLOOKUP($A284,Planilha2!$A$2:$A$34,Planilha2!$E$2:$E$34,"",-1),_xlfn.IFS(ISNUMBER(SEARCH("positiva",_xlpm.t)),"Positiva",ISNUMBER(SEARCH("negativa",_xlpm.t)),"Negativa",ISNUMBER(SEARCH("estável",_xlpm.t)),"Estável",TRUE,"n/d")))</f>
        <v>Positiva</v>
      </c>
      <c r="E284" t="str">
        <f>IFERROR(_xlfn.XLOOKUP($A284,Planilha2!$J$2:$J$44,Planilha2!L$2:L$44,"",-1),"")</f>
        <v>BBB-</v>
      </c>
      <c r="F284" t="str">
        <f>IFERROR(_xlfn.XLOOKUP($A284,Planilha2!$J$2:$J$44,Planilha2!M$2:M$44,"",-1),"")</f>
        <v>BBB-</v>
      </c>
      <c r="G284" t="str" cm="1">
        <f t="array" ref="G284">IF($A284&lt;MIN(Planilha2!$J$2:$J$44),"",_xlfn.LET(_xlpm.t,_xlfn.XLOOKUP($A284,Planilha2!$J$2:$J$44,Planilha2!$N$2:$N$44,"",-1),_xlfn.IFS(ISNUMBER(SEARCH("positiva",_xlpm.t)),"Positiva",ISNUMBER(SEARCH("negativa",_xlpm.t)),"Negativa",ISNUMBER(SEARCH("estável",_xlpm.t)),"Estável",TRUE,"n/d")))</f>
        <v>Estável</v>
      </c>
      <c r="H284" t="str">
        <f>IFERROR(_xlfn.XLOOKUP($A284,Planilha2!$P$2:$P$38,Planilha2!R$2:R$38,"",-1),"")</f>
        <v>BBB-</v>
      </c>
      <c r="I284" t="str">
        <f>IFERROR(_xlfn.XLOOKUP($A284,Planilha2!$P$2:$P$38,Planilha2!S$2:S$38,"",-1),"")</f>
        <v>BBB+</v>
      </c>
      <c r="J284" t="str" cm="1">
        <f t="array" ref="J284">IF($A284&lt;MIN(Planilha2!$P$2:$P$38),"",_xlfn.LET(_xlpm.t,_xlfn.XLOOKUP($A284,Planilha2!$P$2:$P$38,Planilha2!$T$2:$T$38,"",-1),_xlfn.IFS(ISNUMBER(SEARCH("positiva",_xlpm.t)),"Positiva",ISNUMBER(SEARCH("negativa",_xlpm.t)),"Negativa",ISNUMBER(SEARCH("estável",_xlpm.t)),"Estável",TRUE,"n/d")))</f>
        <v>Estável</v>
      </c>
      <c r="L284" s="52">
        <f>IFERROR(_xlfn.XLOOKUP(B284,'Agências de Rating Soberano'!$G$2:$G$22,'Agências de Rating Soberano'!$H$2:$H$22),NA())</f>
        <v>12</v>
      </c>
      <c r="M284" s="52">
        <f>IFERROR(_xlfn.XLOOKUP(C284,'Agências de Rating Soberano'!$G$2:$G$22,'Agências de Rating Soberano'!$H$2:$H$22),NA())</f>
        <v>12</v>
      </c>
      <c r="N284" s="52">
        <f>IFERROR(_xlfn.XLOOKUP(E284,'Agências de Rating Soberano'!$J$2:$J$22,'Agências de Rating Soberano'!$K$2:$K$22),NA())</f>
        <v>12</v>
      </c>
      <c r="O284" s="52">
        <f>IFERROR(_xlfn.XLOOKUP(F284,'Agências de Rating Soberano'!$J$2:$J$22,'Agências de Rating Soberano'!$K$2:$K$22),NA())</f>
        <v>12</v>
      </c>
      <c r="P284" s="52">
        <f>IFERROR(_xlfn.XLOOKUP(H284,'Agências de Rating Soberano'!$J$2:$J$22,'Agências de Rating Soberano'!$K$2:$K$22),NA())</f>
        <v>12</v>
      </c>
      <c r="Q284" s="52">
        <f>IFERROR(_xlfn.XLOOKUP(I284,'Agências de Rating Soberano'!$J$2:$J$22,'Agências de Rating Soberano'!$K$2:$K$22),NA())</f>
        <v>14</v>
      </c>
    </row>
    <row r="285" spans="1:17" x14ac:dyDescent="0.3">
      <c r="A285" s="53">
        <f t="shared" si="11"/>
        <v>40359</v>
      </c>
      <c r="B285" t="str">
        <f>IFERROR(_xlfn.XLOOKUP($A285,Planilha2!$A$2:$A$34,Planilha2!C$2:C$34,"",-1),"")</f>
        <v>Baa3</v>
      </c>
      <c r="C285" t="str">
        <f>IFERROR(_xlfn.XLOOKUP($A285,Planilha2!$A$2:$A$34,Planilha2!D$2:D$34,"",-1),"")</f>
        <v>Baa3</v>
      </c>
      <c r="D285" t="str" cm="1">
        <f t="array" ref="D285">IF($A285&lt;MIN(Planilha2!$A$2:$A$34),"",_xlfn.LET(_xlpm.t,_xlfn.XLOOKUP($A285,Planilha2!$A$2:$A$34,Planilha2!$E$2:$E$34,"",-1),_xlfn.IFS(ISNUMBER(SEARCH("positiva",_xlpm.t)),"Positiva",ISNUMBER(SEARCH("negativa",_xlpm.t)),"Negativa",ISNUMBER(SEARCH("estável",_xlpm.t)),"Estável",TRUE,"n/d")))</f>
        <v>Positiva</v>
      </c>
      <c r="E285" t="str">
        <f>IFERROR(_xlfn.XLOOKUP($A285,Planilha2!$J$2:$J$44,Planilha2!L$2:L$44,"",-1),"")</f>
        <v>BBB-</v>
      </c>
      <c r="F285" t="str">
        <f>IFERROR(_xlfn.XLOOKUP($A285,Planilha2!$J$2:$J$44,Planilha2!M$2:M$44,"",-1),"")</f>
        <v>BBB-</v>
      </c>
      <c r="G285" t="str" cm="1">
        <f t="array" ref="G285">IF($A285&lt;MIN(Planilha2!$J$2:$J$44),"",_xlfn.LET(_xlpm.t,_xlfn.XLOOKUP($A285,Planilha2!$J$2:$J$44,Planilha2!$N$2:$N$44,"",-1),_xlfn.IFS(ISNUMBER(SEARCH("positiva",_xlpm.t)),"Positiva",ISNUMBER(SEARCH("negativa",_xlpm.t)),"Negativa",ISNUMBER(SEARCH("estável",_xlpm.t)),"Estável",TRUE,"n/d")))</f>
        <v>Positiva</v>
      </c>
      <c r="H285" t="str">
        <f>IFERROR(_xlfn.XLOOKUP($A285,Planilha2!$P$2:$P$38,Planilha2!R$2:R$38,"",-1),"")</f>
        <v>BBB-</v>
      </c>
      <c r="I285" t="str">
        <f>IFERROR(_xlfn.XLOOKUP($A285,Planilha2!$P$2:$P$38,Planilha2!S$2:S$38,"",-1),"")</f>
        <v>BBB+</v>
      </c>
      <c r="J285" t="str" cm="1">
        <f t="array" ref="J285">IF($A285&lt;MIN(Planilha2!$P$2:$P$38),"",_xlfn.LET(_xlpm.t,_xlfn.XLOOKUP($A285,Planilha2!$P$2:$P$38,Planilha2!$T$2:$T$38,"",-1),_xlfn.IFS(ISNUMBER(SEARCH("positiva",_xlpm.t)),"Positiva",ISNUMBER(SEARCH("negativa",_xlpm.t)),"Negativa",ISNUMBER(SEARCH("estável",_xlpm.t)),"Estável",TRUE,"n/d")))</f>
        <v>Estável</v>
      </c>
      <c r="L285" s="52">
        <f>IFERROR(_xlfn.XLOOKUP(B285,'Agências de Rating Soberano'!$G$2:$G$22,'Agências de Rating Soberano'!$H$2:$H$22),NA())</f>
        <v>12</v>
      </c>
      <c r="M285" s="52">
        <f>IFERROR(_xlfn.XLOOKUP(C285,'Agências de Rating Soberano'!$G$2:$G$22,'Agências de Rating Soberano'!$H$2:$H$22),NA())</f>
        <v>12</v>
      </c>
      <c r="N285" s="52">
        <f>IFERROR(_xlfn.XLOOKUP(E285,'Agências de Rating Soberano'!$J$2:$J$22,'Agências de Rating Soberano'!$K$2:$K$22),NA())</f>
        <v>12</v>
      </c>
      <c r="O285" s="52">
        <f>IFERROR(_xlfn.XLOOKUP(F285,'Agências de Rating Soberano'!$J$2:$J$22,'Agências de Rating Soberano'!$K$2:$K$22),NA())</f>
        <v>12</v>
      </c>
      <c r="P285" s="52">
        <f>IFERROR(_xlfn.XLOOKUP(H285,'Agências de Rating Soberano'!$J$2:$J$22,'Agências de Rating Soberano'!$K$2:$K$22),NA())</f>
        <v>12</v>
      </c>
      <c r="Q285" s="52">
        <f>IFERROR(_xlfn.XLOOKUP(I285,'Agências de Rating Soberano'!$J$2:$J$22,'Agências de Rating Soberano'!$K$2:$K$22),NA())</f>
        <v>14</v>
      </c>
    </row>
    <row r="286" spans="1:17" x14ac:dyDescent="0.3">
      <c r="A286" s="53">
        <f t="shared" si="11"/>
        <v>40390</v>
      </c>
      <c r="B286" t="str">
        <f>IFERROR(_xlfn.XLOOKUP($A286,Planilha2!$A$2:$A$34,Planilha2!C$2:C$34,"",-1),"")</f>
        <v>Baa3</v>
      </c>
      <c r="C286" t="str">
        <f>IFERROR(_xlfn.XLOOKUP($A286,Planilha2!$A$2:$A$34,Planilha2!D$2:D$34,"",-1),"")</f>
        <v>Baa3</v>
      </c>
      <c r="D286" t="str" cm="1">
        <f t="array" ref="D286">IF($A286&lt;MIN(Planilha2!$A$2:$A$34),"",_xlfn.LET(_xlpm.t,_xlfn.XLOOKUP($A286,Planilha2!$A$2:$A$34,Planilha2!$E$2:$E$34,"",-1),_xlfn.IFS(ISNUMBER(SEARCH("positiva",_xlpm.t)),"Positiva",ISNUMBER(SEARCH("negativa",_xlpm.t)),"Negativa",ISNUMBER(SEARCH("estável",_xlpm.t)),"Estável",TRUE,"n/d")))</f>
        <v>Positiva</v>
      </c>
      <c r="E286" t="str">
        <f>IFERROR(_xlfn.XLOOKUP($A286,Planilha2!$J$2:$J$44,Planilha2!L$2:L$44,"",-1),"")</f>
        <v>BBB-</v>
      </c>
      <c r="F286" t="str">
        <f>IFERROR(_xlfn.XLOOKUP($A286,Planilha2!$J$2:$J$44,Planilha2!M$2:M$44,"",-1),"")</f>
        <v>BBB-</v>
      </c>
      <c r="G286" t="str" cm="1">
        <f t="array" ref="G286">IF($A286&lt;MIN(Planilha2!$J$2:$J$44),"",_xlfn.LET(_xlpm.t,_xlfn.XLOOKUP($A286,Planilha2!$J$2:$J$44,Planilha2!$N$2:$N$44,"",-1),_xlfn.IFS(ISNUMBER(SEARCH("positiva",_xlpm.t)),"Positiva",ISNUMBER(SEARCH("negativa",_xlpm.t)),"Negativa",ISNUMBER(SEARCH("estável",_xlpm.t)),"Estável",TRUE,"n/d")))</f>
        <v>Positiva</v>
      </c>
      <c r="H286" t="str">
        <f>IFERROR(_xlfn.XLOOKUP($A286,Planilha2!$P$2:$P$38,Planilha2!R$2:R$38,"",-1),"")</f>
        <v>BBB-</v>
      </c>
      <c r="I286" t="str">
        <f>IFERROR(_xlfn.XLOOKUP($A286,Planilha2!$P$2:$P$38,Planilha2!S$2:S$38,"",-1),"")</f>
        <v>BBB+</v>
      </c>
      <c r="J286" t="str" cm="1">
        <f t="array" ref="J286">IF($A286&lt;MIN(Planilha2!$P$2:$P$38),"",_xlfn.LET(_xlpm.t,_xlfn.XLOOKUP($A286,Planilha2!$P$2:$P$38,Planilha2!$T$2:$T$38,"",-1),_xlfn.IFS(ISNUMBER(SEARCH("positiva",_xlpm.t)),"Positiva",ISNUMBER(SEARCH("negativa",_xlpm.t)),"Negativa",ISNUMBER(SEARCH("estável",_xlpm.t)),"Estável",TRUE,"n/d")))</f>
        <v>Estável</v>
      </c>
      <c r="L286" s="52">
        <f>IFERROR(_xlfn.XLOOKUP(B286,'Agências de Rating Soberano'!$G$2:$G$22,'Agências de Rating Soberano'!$H$2:$H$22),NA())</f>
        <v>12</v>
      </c>
      <c r="M286" s="52">
        <f>IFERROR(_xlfn.XLOOKUP(C286,'Agências de Rating Soberano'!$G$2:$G$22,'Agências de Rating Soberano'!$H$2:$H$22),NA())</f>
        <v>12</v>
      </c>
      <c r="N286" s="52">
        <f>IFERROR(_xlfn.XLOOKUP(E286,'Agências de Rating Soberano'!$J$2:$J$22,'Agências de Rating Soberano'!$K$2:$K$22),NA())</f>
        <v>12</v>
      </c>
      <c r="O286" s="52">
        <f>IFERROR(_xlfn.XLOOKUP(F286,'Agências de Rating Soberano'!$J$2:$J$22,'Agências de Rating Soberano'!$K$2:$K$22),NA())</f>
        <v>12</v>
      </c>
      <c r="P286" s="52">
        <f>IFERROR(_xlfn.XLOOKUP(H286,'Agências de Rating Soberano'!$J$2:$J$22,'Agências de Rating Soberano'!$K$2:$K$22),NA())</f>
        <v>12</v>
      </c>
      <c r="Q286" s="52">
        <f>IFERROR(_xlfn.XLOOKUP(I286,'Agências de Rating Soberano'!$J$2:$J$22,'Agências de Rating Soberano'!$K$2:$K$22),NA())</f>
        <v>14</v>
      </c>
    </row>
    <row r="287" spans="1:17" x14ac:dyDescent="0.3">
      <c r="A287" s="53">
        <f t="shared" si="11"/>
        <v>40421</v>
      </c>
      <c r="B287" t="str">
        <f>IFERROR(_xlfn.XLOOKUP($A287,Planilha2!$A$2:$A$34,Planilha2!C$2:C$34,"",-1),"")</f>
        <v>Baa3</v>
      </c>
      <c r="C287" t="str">
        <f>IFERROR(_xlfn.XLOOKUP($A287,Planilha2!$A$2:$A$34,Planilha2!D$2:D$34,"",-1),"")</f>
        <v>Baa3</v>
      </c>
      <c r="D287" t="str" cm="1">
        <f t="array" ref="D287">IF($A287&lt;MIN(Planilha2!$A$2:$A$34),"",_xlfn.LET(_xlpm.t,_xlfn.XLOOKUP($A287,Planilha2!$A$2:$A$34,Planilha2!$E$2:$E$34,"",-1),_xlfn.IFS(ISNUMBER(SEARCH("positiva",_xlpm.t)),"Positiva",ISNUMBER(SEARCH("negativa",_xlpm.t)),"Negativa",ISNUMBER(SEARCH("estável",_xlpm.t)),"Estável",TRUE,"n/d")))</f>
        <v>Positiva</v>
      </c>
      <c r="E287" t="str">
        <f>IFERROR(_xlfn.XLOOKUP($A287,Planilha2!$J$2:$J$44,Planilha2!L$2:L$44,"",-1),"")</f>
        <v>BBB-</v>
      </c>
      <c r="F287" t="str">
        <f>IFERROR(_xlfn.XLOOKUP($A287,Planilha2!$J$2:$J$44,Planilha2!M$2:M$44,"",-1),"")</f>
        <v>BBB-</v>
      </c>
      <c r="G287" t="str" cm="1">
        <f t="array" ref="G287">IF($A287&lt;MIN(Planilha2!$J$2:$J$44),"",_xlfn.LET(_xlpm.t,_xlfn.XLOOKUP($A287,Planilha2!$J$2:$J$44,Planilha2!$N$2:$N$44,"",-1),_xlfn.IFS(ISNUMBER(SEARCH("positiva",_xlpm.t)),"Positiva",ISNUMBER(SEARCH("negativa",_xlpm.t)),"Negativa",ISNUMBER(SEARCH("estável",_xlpm.t)),"Estável",TRUE,"n/d")))</f>
        <v>Positiva</v>
      </c>
      <c r="H287" t="str">
        <f>IFERROR(_xlfn.XLOOKUP($A287,Planilha2!$P$2:$P$38,Planilha2!R$2:R$38,"",-1),"")</f>
        <v>BBB-</v>
      </c>
      <c r="I287" t="str">
        <f>IFERROR(_xlfn.XLOOKUP($A287,Planilha2!$P$2:$P$38,Planilha2!S$2:S$38,"",-1),"")</f>
        <v>BBB+</v>
      </c>
      <c r="J287" t="str" cm="1">
        <f t="array" ref="J287">IF($A287&lt;MIN(Planilha2!$P$2:$P$38),"",_xlfn.LET(_xlpm.t,_xlfn.XLOOKUP($A287,Planilha2!$P$2:$P$38,Planilha2!$T$2:$T$38,"",-1),_xlfn.IFS(ISNUMBER(SEARCH("positiva",_xlpm.t)),"Positiva",ISNUMBER(SEARCH("negativa",_xlpm.t)),"Negativa",ISNUMBER(SEARCH("estável",_xlpm.t)),"Estável",TRUE,"n/d")))</f>
        <v>Estável</v>
      </c>
      <c r="L287" s="52">
        <f>IFERROR(_xlfn.XLOOKUP(B287,'Agências de Rating Soberano'!$G$2:$G$22,'Agências de Rating Soberano'!$H$2:$H$22),NA())</f>
        <v>12</v>
      </c>
      <c r="M287" s="52">
        <f>IFERROR(_xlfn.XLOOKUP(C287,'Agências de Rating Soberano'!$G$2:$G$22,'Agências de Rating Soberano'!$H$2:$H$22),NA())</f>
        <v>12</v>
      </c>
      <c r="N287" s="52">
        <f>IFERROR(_xlfn.XLOOKUP(E287,'Agências de Rating Soberano'!$J$2:$J$22,'Agências de Rating Soberano'!$K$2:$K$22),NA())</f>
        <v>12</v>
      </c>
      <c r="O287" s="52">
        <f>IFERROR(_xlfn.XLOOKUP(F287,'Agências de Rating Soberano'!$J$2:$J$22,'Agências de Rating Soberano'!$K$2:$K$22),NA())</f>
        <v>12</v>
      </c>
      <c r="P287" s="52">
        <f>IFERROR(_xlfn.XLOOKUP(H287,'Agências de Rating Soberano'!$J$2:$J$22,'Agências de Rating Soberano'!$K$2:$K$22),NA())</f>
        <v>12</v>
      </c>
      <c r="Q287" s="52">
        <f>IFERROR(_xlfn.XLOOKUP(I287,'Agências de Rating Soberano'!$J$2:$J$22,'Agências de Rating Soberano'!$K$2:$K$22),NA())</f>
        <v>14</v>
      </c>
    </row>
    <row r="288" spans="1:17" x14ac:dyDescent="0.3">
      <c r="A288" s="53">
        <f t="shared" si="11"/>
        <v>40451</v>
      </c>
      <c r="B288" t="str">
        <f>IFERROR(_xlfn.XLOOKUP($A288,Planilha2!$A$2:$A$34,Planilha2!C$2:C$34,"",-1),"")</f>
        <v>Baa3</v>
      </c>
      <c r="C288" t="str">
        <f>IFERROR(_xlfn.XLOOKUP($A288,Planilha2!$A$2:$A$34,Planilha2!D$2:D$34,"",-1),"")</f>
        <v>Baa3</v>
      </c>
      <c r="D288" t="str" cm="1">
        <f t="array" ref="D288">IF($A288&lt;MIN(Planilha2!$A$2:$A$34),"",_xlfn.LET(_xlpm.t,_xlfn.XLOOKUP($A288,Planilha2!$A$2:$A$34,Planilha2!$E$2:$E$34,"",-1),_xlfn.IFS(ISNUMBER(SEARCH("positiva",_xlpm.t)),"Positiva",ISNUMBER(SEARCH("negativa",_xlpm.t)),"Negativa",ISNUMBER(SEARCH("estável",_xlpm.t)),"Estável",TRUE,"n/d")))</f>
        <v>Positiva</v>
      </c>
      <c r="E288" t="str">
        <f>IFERROR(_xlfn.XLOOKUP($A288,Planilha2!$J$2:$J$44,Planilha2!L$2:L$44,"",-1),"")</f>
        <v>BBB-</v>
      </c>
      <c r="F288" t="str">
        <f>IFERROR(_xlfn.XLOOKUP($A288,Planilha2!$J$2:$J$44,Planilha2!M$2:M$44,"",-1),"")</f>
        <v>BBB-</v>
      </c>
      <c r="G288" t="str" cm="1">
        <f t="array" ref="G288">IF($A288&lt;MIN(Planilha2!$J$2:$J$44),"",_xlfn.LET(_xlpm.t,_xlfn.XLOOKUP($A288,Planilha2!$J$2:$J$44,Planilha2!$N$2:$N$44,"",-1),_xlfn.IFS(ISNUMBER(SEARCH("positiva",_xlpm.t)),"Positiva",ISNUMBER(SEARCH("negativa",_xlpm.t)),"Negativa",ISNUMBER(SEARCH("estável",_xlpm.t)),"Estável",TRUE,"n/d")))</f>
        <v>Positiva</v>
      </c>
      <c r="H288" t="str">
        <f>IFERROR(_xlfn.XLOOKUP($A288,Planilha2!$P$2:$P$38,Planilha2!R$2:R$38,"",-1),"")</f>
        <v>BBB-</v>
      </c>
      <c r="I288" t="str">
        <f>IFERROR(_xlfn.XLOOKUP($A288,Planilha2!$P$2:$P$38,Planilha2!S$2:S$38,"",-1),"")</f>
        <v>BBB+</v>
      </c>
      <c r="J288" t="str" cm="1">
        <f t="array" ref="J288">IF($A288&lt;MIN(Planilha2!$P$2:$P$38),"",_xlfn.LET(_xlpm.t,_xlfn.XLOOKUP($A288,Planilha2!$P$2:$P$38,Planilha2!$T$2:$T$38,"",-1),_xlfn.IFS(ISNUMBER(SEARCH("positiva",_xlpm.t)),"Positiva",ISNUMBER(SEARCH("negativa",_xlpm.t)),"Negativa",ISNUMBER(SEARCH("estável",_xlpm.t)),"Estável",TRUE,"n/d")))</f>
        <v>Estável</v>
      </c>
      <c r="L288" s="52">
        <f>IFERROR(_xlfn.XLOOKUP(B288,'Agências de Rating Soberano'!$G$2:$G$22,'Agências de Rating Soberano'!$H$2:$H$22),NA())</f>
        <v>12</v>
      </c>
      <c r="M288" s="52">
        <f>IFERROR(_xlfn.XLOOKUP(C288,'Agências de Rating Soberano'!$G$2:$G$22,'Agências de Rating Soberano'!$H$2:$H$22),NA())</f>
        <v>12</v>
      </c>
      <c r="N288" s="52">
        <f>IFERROR(_xlfn.XLOOKUP(E288,'Agências de Rating Soberano'!$J$2:$J$22,'Agências de Rating Soberano'!$K$2:$K$22),NA())</f>
        <v>12</v>
      </c>
      <c r="O288" s="52">
        <f>IFERROR(_xlfn.XLOOKUP(F288,'Agências de Rating Soberano'!$J$2:$J$22,'Agências de Rating Soberano'!$K$2:$K$22),NA())</f>
        <v>12</v>
      </c>
      <c r="P288" s="52">
        <f>IFERROR(_xlfn.XLOOKUP(H288,'Agências de Rating Soberano'!$J$2:$J$22,'Agências de Rating Soberano'!$K$2:$K$22),NA())</f>
        <v>12</v>
      </c>
      <c r="Q288" s="52">
        <f>IFERROR(_xlfn.XLOOKUP(I288,'Agências de Rating Soberano'!$J$2:$J$22,'Agências de Rating Soberano'!$K$2:$K$22),NA())</f>
        <v>14</v>
      </c>
    </row>
    <row r="289" spans="1:17" x14ac:dyDescent="0.3">
      <c r="A289" s="53">
        <f t="shared" si="11"/>
        <v>40482</v>
      </c>
      <c r="B289" t="str">
        <f>IFERROR(_xlfn.XLOOKUP($A289,Planilha2!$A$2:$A$34,Planilha2!C$2:C$34,"",-1),"")</f>
        <v>Baa3</v>
      </c>
      <c r="C289" t="str">
        <f>IFERROR(_xlfn.XLOOKUP($A289,Planilha2!$A$2:$A$34,Planilha2!D$2:D$34,"",-1),"")</f>
        <v>Baa3</v>
      </c>
      <c r="D289" t="str" cm="1">
        <f t="array" ref="D289">IF($A289&lt;MIN(Planilha2!$A$2:$A$34),"",_xlfn.LET(_xlpm.t,_xlfn.XLOOKUP($A289,Planilha2!$A$2:$A$34,Planilha2!$E$2:$E$34,"",-1),_xlfn.IFS(ISNUMBER(SEARCH("positiva",_xlpm.t)),"Positiva",ISNUMBER(SEARCH("negativa",_xlpm.t)),"Negativa",ISNUMBER(SEARCH("estável",_xlpm.t)),"Estável",TRUE,"n/d")))</f>
        <v>Positiva</v>
      </c>
      <c r="E289" t="str">
        <f>IFERROR(_xlfn.XLOOKUP($A289,Planilha2!$J$2:$J$44,Planilha2!L$2:L$44,"",-1),"")</f>
        <v>BBB-</v>
      </c>
      <c r="F289" t="str">
        <f>IFERROR(_xlfn.XLOOKUP($A289,Planilha2!$J$2:$J$44,Planilha2!M$2:M$44,"",-1),"")</f>
        <v>BBB-</v>
      </c>
      <c r="G289" t="str" cm="1">
        <f t="array" ref="G289">IF($A289&lt;MIN(Planilha2!$J$2:$J$44),"",_xlfn.LET(_xlpm.t,_xlfn.XLOOKUP($A289,Planilha2!$J$2:$J$44,Planilha2!$N$2:$N$44,"",-1),_xlfn.IFS(ISNUMBER(SEARCH("positiva",_xlpm.t)),"Positiva",ISNUMBER(SEARCH("negativa",_xlpm.t)),"Negativa",ISNUMBER(SEARCH("estável",_xlpm.t)),"Estável",TRUE,"n/d")))</f>
        <v>Positiva</v>
      </c>
      <c r="H289" t="str">
        <f>IFERROR(_xlfn.XLOOKUP($A289,Planilha2!$P$2:$P$38,Planilha2!R$2:R$38,"",-1),"")</f>
        <v>BBB-</v>
      </c>
      <c r="I289" t="str">
        <f>IFERROR(_xlfn.XLOOKUP($A289,Planilha2!$P$2:$P$38,Planilha2!S$2:S$38,"",-1),"")</f>
        <v>BBB+</v>
      </c>
      <c r="J289" t="str" cm="1">
        <f t="array" ref="J289">IF($A289&lt;MIN(Planilha2!$P$2:$P$38),"",_xlfn.LET(_xlpm.t,_xlfn.XLOOKUP($A289,Planilha2!$P$2:$P$38,Planilha2!$T$2:$T$38,"",-1),_xlfn.IFS(ISNUMBER(SEARCH("positiva",_xlpm.t)),"Positiva",ISNUMBER(SEARCH("negativa",_xlpm.t)),"Negativa",ISNUMBER(SEARCH("estável",_xlpm.t)),"Estável",TRUE,"n/d")))</f>
        <v>Estável</v>
      </c>
      <c r="L289" s="52">
        <f>IFERROR(_xlfn.XLOOKUP(B289,'Agências de Rating Soberano'!$G$2:$G$22,'Agências de Rating Soberano'!$H$2:$H$22),NA())</f>
        <v>12</v>
      </c>
      <c r="M289" s="52">
        <f>IFERROR(_xlfn.XLOOKUP(C289,'Agências de Rating Soberano'!$G$2:$G$22,'Agências de Rating Soberano'!$H$2:$H$22),NA())</f>
        <v>12</v>
      </c>
      <c r="N289" s="52">
        <f>IFERROR(_xlfn.XLOOKUP(E289,'Agências de Rating Soberano'!$J$2:$J$22,'Agências de Rating Soberano'!$K$2:$K$22),NA())</f>
        <v>12</v>
      </c>
      <c r="O289" s="52">
        <f>IFERROR(_xlfn.XLOOKUP(F289,'Agências de Rating Soberano'!$J$2:$J$22,'Agências de Rating Soberano'!$K$2:$K$22),NA())</f>
        <v>12</v>
      </c>
      <c r="P289" s="52">
        <f>IFERROR(_xlfn.XLOOKUP(H289,'Agências de Rating Soberano'!$J$2:$J$22,'Agências de Rating Soberano'!$K$2:$K$22),NA())</f>
        <v>12</v>
      </c>
      <c r="Q289" s="52">
        <f>IFERROR(_xlfn.XLOOKUP(I289,'Agências de Rating Soberano'!$J$2:$J$22,'Agências de Rating Soberano'!$K$2:$K$22),NA())</f>
        <v>14</v>
      </c>
    </row>
    <row r="290" spans="1:17" x14ac:dyDescent="0.3">
      <c r="A290" s="53">
        <f t="shared" si="11"/>
        <v>40512</v>
      </c>
      <c r="B290" t="str">
        <f>IFERROR(_xlfn.XLOOKUP($A290,Planilha2!$A$2:$A$34,Planilha2!C$2:C$34,"",-1),"")</f>
        <v>Baa3</v>
      </c>
      <c r="C290" t="str">
        <f>IFERROR(_xlfn.XLOOKUP($A290,Planilha2!$A$2:$A$34,Planilha2!D$2:D$34,"",-1),"")</f>
        <v>Baa3</v>
      </c>
      <c r="D290" t="str" cm="1">
        <f t="array" ref="D290">IF($A290&lt;MIN(Planilha2!$A$2:$A$34),"",_xlfn.LET(_xlpm.t,_xlfn.XLOOKUP($A290,Planilha2!$A$2:$A$34,Planilha2!$E$2:$E$34,"",-1),_xlfn.IFS(ISNUMBER(SEARCH("positiva",_xlpm.t)),"Positiva",ISNUMBER(SEARCH("negativa",_xlpm.t)),"Negativa",ISNUMBER(SEARCH("estável",_xlpm.t)),"Estável",TRUE,"n/d")))</f>
        <v>Positiva</v>
      </c>
      <c r="E290" t="str">
        <f>IFERROR(_xlfn.XLOOKUP($A290,Planilha2!$J$2:$J$44,Planilha2!L$2:L$44,"",-1),"")</f>
        <v>BBB-</v>
      </c>
      <c r="F290" t="str">
        <f>IFERROR(_xlfn.XLOOKUP($A290,Planilha2!$J$2:$J$44,Planilha2!M$2:M$44,"",-1),"")</f>
        <v>BBB-</v>
      </c>
      <c r="G290" t="str" cm="1">
        <f t="array" ref="G290">IF($A290&lt;MIN(Planilha2!$J$2:$J$44),"",_xlfn.LET(_xlpm.t,_xlfn.XLOOKUP($A290,Planilha2!$J$2:$J$44,Planilha2!$N$2:$N$44,"",-1),_xlfn.IFS(ISNUMBER(SEARCH("positiva",_xlpm.t)),"Positiva",ISNUMBER(SEARCH("negativa",_xlpm.t)),"Negativa",ISNUMBER(SEARCH("estável",_xlpm.t)),"Estável",TRUE,"n/d")))</f>
        <v>Positiva</v>
      </c>
      <c r="H290" t="str">
        <f>IFERROR(_xlfn.XLOOKUP($A290,Planilha2!$P$2:$P$38,Planilha2!R$2:R$38,"",-1),"")</f>
        <v>BBB-</v>
      </c>
      <c r="I290" t="str">
        <f>IFERROR(_xlfn.XLOOKUP($A290,Planilha2!$P$2:$P$38,Planilha2!S$2:S$38,"",-1),"")</f>
        <v>BBB+</v>
      </c>
      <c r="J290" t="str" cm="1">
        <f t="array" ref="J290">IF($A290&lt;MIN(Planilha2!$P$2:$P$38),"",_xlfn.LET(_xlpm.t,_xlfn.XLOOKUP($A290,Planilha2!$P$2:$P$38,Planilha2!$T$2:$T$38,"",-1),_xlfn.IFS(ISNUMBER(SEARCH("positiva",_xlpm.t)),"Positiva",ISNUMBER(SEARCH("negativa",_xlpm.t)),"Negativa",ISNUMBER(SEARCH("estável",_xlpm.t)),"Estável",TRUE,"n/d")))</f>
        <v>Estável</v>
      </c>
      <c r="L290" s="52">
        <f>IFERROR(_xlfn.XLOOKUP(B290,'Agências de Rating Soberano'!$G$2:$G$22,'Agências de Rating Soberano'!$H$2:$H$22),NA())</f>
        <v>12</v>
      </c>
      <c r="M290" s="52">
        <f>IFERROR(_xlfn.XLOOKUP(C290,'Agências de Rating Soberano'!$G$2:$G$22,'Agências de Rating Soberano'!$H$2:$H$22),NA())</f>
        <v>12</v>
      </c>
      <c r="N290" s="52">
        <f>IFERROR(_xlfn.XLOOKUP(E290,'Agências de Rating Soberano'!$J$2:$J$22,'Agências de Rating Soberano'!$K$2:$K$22),NA())</f>
        <v>12</v>
      </c>
      <c r="O290" s="52">
        <f>IFERROR(_xlfn.XLOOKUP(F290,'Agências de Rating Soberano'!$J$2:$J$22,'Agências de Rating Soberano'!$K$2:$K$22),NA())</f>
        <v>12</v>
      </c>
      <c r="P290" s="52">
        <f>IFERROR(_xlfn.XLOOKUP(H290,'Agências de Rating Soberano'!$J$2:$J$22,'Agências de Rating Soberano'!$K$2:$K$22),NA())</f>
        <v>12</v>
      </c>
      <c r="Q290" s="52">
        <f>IFERROR(_xlfn.XLOOKUP(I290,'Agências de Rating Soberano'!$J$2:$J$22,'Agências de Rating Soberano'!$K$2:$K$22),NA())</f>
        <v>14</v>
      </c>
    </row>
    <row r="291" spans="1:17" x14ac:dyDescent="0.3">
      <c r="A291" s="53">
        <f t="shared" si="11"/>
        <v>40543</v>
      </c>
      <c r="B291" t="str">
        <f>IFERROR(_xlfn.XLOOKUP($A291,Planilha2!$A$2:$A$34,Planilha2!C$2:C$34,"",-1),"")</f>
        <v>Baa3</v>
      </c>
      <c r="C291" t="str">
        <f>IFERROR(_xlfn.XLOOKUP($A291,Planilha2!$A$2:$A$34,Planilha2!D$2:D$34,"",-1),"")</f>
        <v>Baa3</v>
      </c>
      <c r="D291" t="str" cm="1">
        <f t="array" ref="D291">IF($A291&lt;MIN(Planilha2!$A$2:$A$34),"",_xlfn.LET(_xlpm.t,_xlfn.XLOOKUP($A291,Planilha2!$A$2:$A$34,Planilha2!$E$2:$E$34,"",-1),_xlfn.IFS(ISNUMBER(SEARCH("positiva",_xlpm.t)),"Positiva",ISNUMBER(SEARCH("negativa",_xlpm.t)),"Negativa",ISNUMBER(SEARCH("estável",_xlpm.t)),"Estável",TRUE,"n/d")))</f>
        <v>Positiva</v>
      </c>
      <c r="E291" t="str">
        <f>IFERROR(_xlfn.XLOOKUP($A291,Planilha2!$J$2:$J$44,Planilha2!L$2:L$44,"",-1),"")</f>
        <v>BBB-</v>
      </c>
      <c r="F291" t="str">
        <f>IFERROR(_xlfn.XLOOKUP($A291,Planilha2!$J$2:$J$44,Planilha2!M$2:M$44,"",-1),"")</f>
        <v>BBB-</v>
      </c>
      <c r="G291" t="str" cm="1">
        <f t="array" ref="G291">IF($A291&lt;MIN(Planilha2!$J$2:$J$44),"",_xlfn.LET(_xlpm.t,_xlfn.XLOOKUP($A291,Planilha2!$J$2:$J$44,Planilha2!$N$2:$N$44,"",-1),_xlfn.IFS(ISNUMBER(SEARCH("positiva",_xlpm.t)),"Positiva",ISNUMBER(SEARCH("negativa",_xlpm.t)),"Negativa",ISNUMBER(SEARCH("estável",_xlpm.t)),"Estável",TRUE,"n/d")))</f>
        <v>Positiva</v>
      </c>
      <c r="H291" t="str">
        <f>IFERROR(_xlfn.XLOOKUP($A291,Planilha2!$P$2:$P$38,Planilha2!R$2:R$38,"",-1),"")</f>
        <v>BBB-</v>
      </c>
      <c r="I291" t="str">
        <f>IFERROR(_xlfn.XLOOKUP($A291,Planilha2!$P$2:$P$38,Planilha2!S$2:S$38,"",-1),"")</f>
        <v>BBB+</v>
      </c>
      <c r="J291" t="str" cm="1">
        <f t="array" ref="J291">IF($A291&lt;MIN(Planilha2!$P$2:$P$38),"",_xlfn.LET(_xlpm.t,_xlfn.XLOOKUP($A291,Planilha2!$P$2:$P$38,Planilha2!$T$2:$T$38,"",-1),_xlfn.IFS(ISNUMBER(SEARCH("positiva",_xlpm.t)),"Positiva",ISNUMBER(SEARCH("negativa",_xlpm.t)),"Negativa",ISNUMBER(SEARCH("estável",_xlpm.t)),"Estável",TRUE,"n/d")))</f>
        <v>Estável</v>
      </c>
      <c r="L291" s="52">
        <f>IFERROR(_xlfn.XLOOKUP(B291,'Agências de Rating Soberano'!$G$2:$G$22,'Agências de Rating Soberano'!$H$2:$H$22),NA())</f>
        <v>12</v>
      </c>
      <c r="M291" s="52">
        <f>IFERROR(_xlfn.XLOOKUP(C291,'Agências de Rating Soberano'!$G$2:$G$22,'Agências de Rating Soberano'!$H$2:$H$22),NA())</f>
        <v>12</v>
      </c>
      <c r="N291" s="52">
        <f>IFERROR(_xlfn.XLOOKUP(E291,'Agências de Rating Soberano'!$J$2:$J$22,'Agências de Rating Soberano'!$K$2:$K$22),NA())</f>
        <v>12</v>
      </c>
      <c r="O291" s="52">
        <f>IFERROR(_xlfn.XLOOKUP(F291,'Agências de Rating Soberano'!$J$2:$J$22,'Agências de Rating Soberano'!$K$2:$K$22),NA())</f>
        <v>12</v>
      </c>
      <c r="P291" s="52">
        <f>IFERROR(_xlfn.XLOOKUP(H291,'Agências de Rating Soberano'!$J$2:$J$22,'Agências de Rating Soberano'!$K$2:$K$22),NA())</f>
        <v>12</v>
      </c>
      <c r="Q291" s="52">
        <f>IFERROR(_xlfn.XLOOKUP(I291,'Agências de Rating Soberano'!$J$2:$J$22,'Agências de Rating Soberano'!$K$2:$K$22),NA())</f>
        <v>14</v>
      </c>
    </row>
    <row r="292" spans="1:17" x14ac:dyDescent="0.3">
      <c r="A292" s="53">
        <f t="shared" si="11"/>
        <v>40574</v>
      </c>
      <c r="B292" t="str">
        <f>IFERROR(_xlfn.XLOOKUP($A292,Planilha2!$A$2:$A$34,Planilha2!C$2:C$34,"",-1),"")</f>
        <v>Baa3</v>
      </c>
      <c r="C292" t="str">
        <f>IFERROR(_xlfn.XLOOKUP($A292,Planilha2!$A$2:$A$34,Planilha2!D$2:D$34,"",-1),"")</f>
        <v>Baa3</v>
      </c>
      <c r="D292" t="str" cm="1">
        <f t="array" ref="D292">IF($A292&lt;MIN(Planilha2!$A$2:$A$34),"",_xlfn.LET(_xlpm.t,_xlfn.XLOOKUP($A292,Planilha2!$A$2:$A$34,Planilha2!$E$2:$E$34,"",-1),_xlfn.IFS(ISNUMBER(SEARCH("positiva",_xlpm.t)),"Positiva",ISNUMBER(SEARCH("negativa",_xlpm.t)),"Negativa",ISNUMBER(SEARCH("estável",_xlpm.t)),"Estável",TRUE,"n/d")))</f>
        <v>Positiva</v>
      </c>
      <c r="E292" t="str">
        <f>IFERROR(_xlfn.XLOOKUP($A292,Planilha2!$J$2:$J$44,Planilha2!L$2:L$44,"",-1),"")</f>
        <v>BBB-</v>
      </c>
      <c r="F292" t="str">
        <f>IFERROR(_xlfn.XLOOKUP($A292,Planilha2!$J$2:$J$44,Planilha2!M$2:M$44,"",-1),"")</f>
        <v>BBB-</v>
      </c>
      <c r="G292" t="str" cm="1">
        <f t="array" ref="G292">IF($A292&lt;MIN(Planilha2!$J$2:$J$44),"",_xlfn.LET(_xlpm.t,_xlfn.XLOOKUP($A292,Planilha2!$J$2:$J$44,Planilha2!$N$2:$N$44,"",-1),_xlfn.IFS(ISNUMBER(SEARCH("positiva",_xlpm.t)),"Positiva",ISNUMBER(SEARCH("negativa",_xlpm.t)),"Negativa",ISNUMBER(SEARCH("estável",_xlpm.t)),"Estável",TRUE,"n/d")))</f>
        <v>Positiva</v>
      </c>
      <c r="H292" t="str">
        <f>IFERROR(_xlfn.XLOOKUP($A292,Planilha2!$P$2:$P$38,Planilha2!R$2:R$38,"",-1),"")</f>
        <v>BBB-</v>
      </c>
      <c r="I292" t="str">
        <f>IFERROR(_xlfn.XLOOKUP($A292,Planilha2!$P$2:$P$38,Planilha2!S$2:S$38,"",-1),"")</f>
        <v>BBB+</v>
      </c>
      <c r="J292" t="str" cm="1">
        <f t="array" ref="J292">IF($A292&lt;MIN(Planilha2!$P$2:$P$38),"",_xlfn.LET(_xlpm.t,_xlfn.XLOOKUP($A292,Planilha2!$P$2:$P$38,Planilha2!$T$2:$T$38,"",-1),_xlfn.IFS(ISNUMBER(SEARCH("positiva",_xlpm.t)),"Positiva",ISNUMBER(SEARCH("negativa",_xlpm.t)),"Negativa",ISNUMBER(SEARCH("estável",_xlpm.t)),"Estável",TRUE,"n/d")))</f>
        <v>Estável</v>
      </c>
      <c r="L292" s="52">
        <f>IFERROR(_xlfn.XLOOKUP(B292,'Agências de Rating Soberano'!$G$2:$G$22,'Agências de Rating Soberano'!$H$2:$H$22),NA())</f>
        <v>12</v>
      </c>
      <c r="M292" s="52">
        <f>IFERROR(_xlfn.XLOOKUP(C292,'Agências de Rating Soberano'!$G$2:$G$22,'Agências de Rating Soberano'!$H$2:$H$22),NA())</f>
        <v>12</v>
      </c>
      <c r="N292" s="52">
        <f>IFERROR(_xlfn.XLOOKUP(E292,'Agências de Rating Soberano'!$J$2:$J$22,'Agências de Rating Soberano'!$K$2:$K$22),NA())</f>
        <v>12</v>
      </c>
      <c r="O292" s="52">
        <f>IFERROR(_xlfn.XLOOKUP(F292,'Agências de Rating Soberano'!$J$2:$J$22,'Agências de Rating Soberano'!$K$2:$K$22),NA())</f>
        <v>12</v>
      </c>
      <c r="P292" s="52">
        <f>IFERROR(_xlfn.XLOOKUP(H292,'Agências de Rating Soberano'!$J$2:$J$22,'Agências de Rating Soberano'!$K$2:$K$22),NA())</f>
        <v>12</v>
      </c>
      <c r="Q292" s="52">
        <f>IFERROR(_xlfn.XLOOKUP(I292,'Agências de Rating Soberano'!$J$2:$J$22,'Agências de Rating Soberano'!$K$2:$K$22),NA())</f>
        <v>14</v>
      </c>
    </row>
    <row r="293" spans="1:17" x14ac:dyDescent="0.3">
      <c r="A293" s="53">
        <f t="shared" si="11"/>
        <v>40602</v>
      </c>
      <c r="B293" t="str">
        <f>IFERROR(_xlfn.XLOOKUP($A293,Planilha2!$A$2:$A$34,Planilha2!C$2:C$34,"",-1),"")</f>
        <v>Baa3</v>
      </c>
      <c r="C293" t="str">
        <f>IFERROR(_xlfn.XLOOKUP($A293,Planilha2!$A$2:$A$34,Planilha2!D$2:D$34,"",-1),"")</f>
        <v>Baa3</v>
      </c>
      <c r="D293" t="str" cm="1">
        <f t="array" ref="D293">IF($A293&lt;MIN(Planilha2!$A$2:$A$34),"",_xlfn.LET(_xlpm.t,_xlfn.XLOOKUP($A293,Planilha2!$A$2:$A$34,Planilha2!$E$2:$E$34,"",-1),_xlfn.IFS(ISNUMBER(SEARCH("positiva",_xlpm.t)),"Positiva",ISNUMBER(SEARCH("negativa",_xlpm.t)),"Negativa",ISNUMBER(SEARCH("estável",_xlpm.t)),"Estável",TRUE,"n/d")))</f>
        <v>Positiva</v>
      </c>
      <c r="E293" t="str">
        <f>IFERROR(_xlfn.XLOOKUP($A293,Planilha2!$J$2:$J$44,Planilha2!L$2:L$44,"",-1),"")</f>
        <v>BBB-</v>
      </c>
      <c r="F293" t="str">
        <f>IFERROR(_xlfn.XLOOKUP($A293,Planilha2!$J$2:$J$44,Planilha2!M$2:M$44,"",-1),"")</f>
        <v>BBB-</v>
      </c>
      <c r="G293" t="str" cm="1">
        <f t="array" ref="G293">IF($A293&lt;MIN(Planilha2!$J$2:$J$44),"",_xlfn.LET(_xlpm.t,_xlfn.XLOOKUP($A293,Planilha2!$J$2:$J$44,Planilha2!$N$2:$N$44,"",-1),_xlfn.IFS(ISNUMBER(SEARCH("positiva",_xlpm.t)),"Positiva",ISNUMBER(SEARCH("negativa",_xlpm.t)),"Negativa",ISNUMBER(SEARCH("estável",_xlpm.t)),"Estável",TRUE,"n/d")))</f>
        <v>Positiva</v>
      </c>
      <c r="H293" t="str">
        <f>IFERROR(_xlfn.XLOOKUP($A293,Planilha2!$P$2:$P$38,Planilha2!R$2:R$38,"",-1),"")</f>
        <v>BBB-</v>
      </c>
      <c r="I293" t="str">
        <f>IFERROR(_xlfn.XLOOKUP($A293,Planilha2!$P$2:$P$38,Planilha2!S$2:S$38,"",-1),"")</f>
        <v>BBB+</v>
      </c>
      <c r="J293" t="str" cm="1">
        <f t="array" ref="J293">IF($A293&lt;MIN(Planilha2!$P$2:$P$38),"",_xlfn.LET(_xlpm.t,_xlfn.XLOOKUP($A293,Planilha2!$P$2:$P$38,Planilha2!$T$2:$T$38,"",-1),_xlfn.IFS(ISNUMBER(SEARCH("positiva",_xlpm.t)),"Positiva",ISNUMBER(SEARCH("negativa",_xlpm.t)),"Negativa",ISNUMBER(SEARCH("estável",_xlpm.t)),"Estável",TRUE,"n/d")))</f>
        <v>Estável</v>
      </c>
      <c r="L293" s="52">
        <f>IFERROR(_xlfn.XLOOKUP(B293,'Agências de Rating Soberano'!$G$2:$G$22,'Agências de Rating Soberano'!$H$2:$H$22),NA())</f>
        <v>12</v>
      </c>
      <c r="M293" s="52">
        <f>IFERROR(_xlfn.XLOOKUP(C293,'Agências de Rating Soberano'!$G$2:$G$22,'Agências de Rating Soberano'!$H$2:$H$22),NA())</f>
        <v>12</v>
      </c>
      <c r="N293" s="52">
        <f>IFERROR(_xlfn.XLOOKUP(E293,'Agências de Rating Soberano'!$J$2:$J$22,'Agências de Rating Soberano'!$K$2:$K$22),NA())</f>
        <v>12</v>
      </c>
      <c r="O293" s="52">
        <f>IFERROR(_xlfn.XLOOKUP(F293,'Agências de Rating Soberano'!$J$2:$J$22,'Agências de Rating Soberano'!$K$2:$K$22),NA())</f>
        <v>12</v>
      </c>
      <c r="P293" s="52">
        <f>IFERROR(_xlfn.XLOOKUP(H293,'Agências de Rating Soberano'!$J$2:$J$22,'Agências de Rating Soberano'!$K$2:$K$22),NA())</f>
        <v>12</v>
      </c>
      <c r="Q293" s="52">
        <f>IFERROR(_xlfn.XLOOKUP(I293,'Agências de Rating Soberano'!$J$2:$J$22,'Agências de Rating Soberano'!$K$2:$K$22),NA())</f>
        <v>14</v>
      </c>
    </row>
    <row r="294" spans="1:17" x14ac:dyDescent="0.3">
      <c r="A294" s="53">
        <f t="shared" si="11"/>
        <v>40633</v>
      </c>
      <c r="B294" t="str">
        <f>IFERROR(_xlfn.XLOOKUP($A294,Planilha2!$A$2:$A$34,Planilha2!C$2:C$34,"",-1),"")</f>
        <v>Baa3</v>
      </c>
      <c r="C294" t="str">
        <f>IFERROR(_xlfn.XLOOKUP($A294,Planilha2!$A$2:$A$34,Planilha2!D$2:D$34,"",-1),"")</f>
        <v>Baa3</v>
      </c>
      <c r="D294" t="str" cm="1">
        <f t="array" ref="D294">IF($A294&lt;MIN(Planilha2!$A$2:$A$34),"",_xlfn.LET(_xlpm.t,_xlfn.XLOOKUP($A294,Planilha2!$A$2:$A$34,Planilha2!$E$2:$E$34,"",-1),_xlfn.IFS(ISNUMBER(SEARCH("positiva",_xlpm.t)),"Positiva",ISNUMBER(SEARCH("negativa",_xlpm.t)),"Negativa",ISNUMBER(SEARCH("estável",_xlpm.t)),"Estável",TRUE,"n/d")))</f>
        <v>Positiva</v>
      </c>
      <c r="E294" t="str">
        <f>IFERROR(_xlfn.XLOOKUP($A294,Planilha2!$J$2:$J$44,Planilha2!L$2:L$44,"",-1),"")</f>
        <v>BBB-</v>
      </c>
      <c r="F294" t="str">
        <f>IFERROR(_xlfn.XLOOKUP($A294,Planilha2!$J$2:$J$44,Planilha2!M$2:M$44,"",-1),"")</f>
        <v>BBB-</v>
      </c>
      <c r="G294" t="str" cm="1">
        <f t="array" ref="G294">IF($A294&lt;MIN(Planilha2!$J$2:$J$44),"",_xlfn.LET(_xlpm.t,_xlfn.XLOOKUP($A294,Planilha2!$J$2:$J$44,Planilha2!$N$2:$N$44,"",-1),_xlfn.IFS(ISNUMBER(SEARCH("positiva",_xlpm.t)),"Positiva",ISNUMBER(SEARCH("negativa",_xlpm.t)),"Negativa",ISNUMBER(SEARCH("estável",_xlpm.t)),"Estável",TRUE,"n/d")))</f>
        <v>Positiva</v>
      </c>
      <c r="H294" t="str">
        <f>IFERROR(_xlfn.XLOOKUP($A294,Planilha2!$P$2:$P$38,Planilha2!R$2:R$38,"",-1),"")</f>
        <v>BBB-</v>
      </c>
      <c r="I294" t="str">
        <f>IFERROR(_xlfn.XLOOKUP($A294,Planilha2!$P$2:$P$38,Planilha2!S$2:S$38,"",-1),"")</f>
        <v>BBB+</v>
      </c>
      <c r="J294" t="str" cm="1">
        <f t="array" ref="J294">IF($A294&lt;MIN(Planilha2!$P$2:$P$38),"",_xlfn.LET(_xlpm.t,_xlfn.XLOOKUP($A294,Planilha2!$P$2:$P$38,Planilha2!$T$2:$T$38,"",-1),_xlfn.IFS(ISNUMBER(SEARCH("positiva",_xlpm.t)),"Positiva",ISNUMBER(SEARCH("negativa",_xlpm.t)),"Negativa",ISNUMBER(SEARCH("estável",_xlpm.t)),"Estável",TRUE,"n/d")))</f>
        <v>Estável</v>
      </c>
      <c r="L294" s="52">
        <f>IFERROR(_xlfn.XLOOKUP(B294,'Agências de Rating Soberano'!$G$2:$G$22,'Agências de Rating Soberano'!$H$2:$H$22),NA())</f>
        <v>12</v>
      </c>
      <c r="M294" s="52">
        <f>IFERROR(_xlfn.XLOOKUP(C294,'Agências de Rating Soberano'!$G$2:$G$22,'Agências de Rating Soberano'!$H$2:$H$22),NA())</f>
        <v>12</v>
      </c>
      <c r="N294" s="52">
        <f>IFERROR(_xlfn.XLOOKUP(E294,'Agências de Rating Soberano'!$J$2:$J$22,'Agências de Rating Soberano'!$K$2:$K$22),NA())</f>
        <v>12</v>
      </c>
      <c r="O294" s="52">
        <f>IFERROR(_xlfn.XLOOKUP(F294,'Agências de Rating Soberano'!$J$2:$J$22,'Agências de Rating Soberano'!$K$2:$K$22),NA())</f>
        <v>12</v>
      </c>
      <c r="P294" s="52">
        <f>IFERROR(_xlfn.XLOOKUP(H294,'Agências de Rating Soberano'!$J$2:$J$22,'Agências de Rating Soberano'!$K$2:$K$22),NA())</f>
        <v>12</v>
      </c>
      <c r="Q294" s="52">
        <f>IFERROR(_xlfn.XLOOKUP(I294,'Agências de Rating Soberano'!$J$2:$J$22,'Agências de Rating Soberano'!$K$2:$K$22),NA())</f>
        <v>14</v>
      </c>
    </row>
    <row r="295" spans="1:17" x14ac:dyDescent="0.3">
      <c r="A295" s="53">
        <f t="shared" si="11"/>
        <v>40663</v>
      </c>
      <c r="B295" t="str">
        <f>IFERROR(_xlfn.XLOOKUP($A295,Planilha2!$A$2:$A$34,Planilha2!C$2:C$34,"",-1),"")</f>
        <v>Baa3</v>
      </c>
      <c r="C295" t="str">
        <f>IFERROR(_xlfn.XLOOKUP($A295,Planilha2!$A$2:$A$34,Planilha2!D$2:D$34,"",-1),"")</f>
        <v>Baa3</v>
      </c>
      <c r="D295" t="str" cm="1">
        <f t="array" ref="D295">IF($A295&lt;MIN(Planilha2!$A$2:$A$34),"",_xlfn.LET(_xlpm.t,_xlfn.XLOOKUP($A295,Planilha2!$A$2:$A$34,Planilha2!$E$2:$E$34,"",-1),_xlfn.IFS(ISNUMBER(SEARCH("positiva",_xlpm.t)),"Positiva",ISNUMBER(SEARCH("negativa",_xlpm.t)),"Negativa",ISNUMBER(SEARCH("estável",_xlpm.t)),"Estável",TRUE,"n/d")))</f>
        <v>Positiva</v>
      </c>
      <c r="E295" t="str">
        <f>IFERROR(_xlfn.XLOOKUP($A295,Planilha2!$J$2:$J$44,Planilha2!L$2:L$44,"",-1),"")</f>
        <v>BBB</v>
      </c>
      <c r="F295" t="str">
        <f>IFERROR(_xlfn.XLOOKUP($A295,Planilha2!$J$2:$J$44,Planilha2!M$2:M$44,"",-1),"")</f>
        <v>BBB</v>
      </c>
      <c r="G295" t="str" cm="1">
        <f t="array" ref="G295">IF($A295&lt;MIN(Planilha2!$J$2:$J$44),"",_xlfn.LET(_xlpm.t,_xlfn.XLOOKUP($A295,Planilha2!$J$2:$J$44,Planilha2!$N$2:$N$44,"",-1),_xlfn.IFS(ISNUMBER(SEARCH("positiva",_xlpm.t)),"Positiva",ISNUMBER(SEARCH("negativa",_xlpm.t)),"Negativa",ISNUMBER(SEARCH("estável",_xlpm.t)),"Estável",TRUE,"n/d")))</f>
        <v>Estável</v>
      </c>
      <c r="H295" t="str">
        <f>IFERROR(_xlfn.XLOOKUP($A295,Planilha2!$P$2:$P$38,Planilha2!R$2:R$38,"",-1),"")</f>
        <v>BBB-</v>
      </c>
      <c r="I295" t="str">
        <f>IFERROR(_xlfn.XLOOKUP($A295,Planilha2!$P$2:$P$38,Planilha2!S$2:S$38,"",-1),"")</f>
        <v>BBB+</v>
      </c>
      <c r="J295" t="str" cm="1">
        <f t="array" ref="J295">IF($A295&lt;MIN(Planilha2!$P$2:$P$38),"",_xlfn.LET(_xlpm.t,_xlfn.XLOOKUP($A295,Planilha2!$P$2:$P$38,Planilha2!$T$2:$T$38,"",-1),_xlfn.IFS(ISNUMBER(SEARCH("positiva",_xlpm.t)),"Positiva",ISNUMBER(SEARCH("negativa",_xlpm.t)),"Negativa",ISNUMBER(SEARCH("estável",_xlpm.t)),"Estável",TRUE,"n/d")))</f>
        <v>Estável</v>
      </c>
      <c r="L295" s="52">
        <f>IFERROR(_xlfn.XLOOKUP(B295,'Agências de Rating Soberano'!$G$2:$G$22,'Agências de Rating Soberano'!$H$2:$H$22),NA())</f>
        <v>12</v>
      </c>
      <c r="M295" s="52">
        <f>IFERROR(_xlfn.XLOOKUP(C295,'Agências de Rating Soberano'!$G$2:$G$22,'Agências de Rating Soberano'!$H$2:$H$22),NA())</f>
        <v>12</v>
      </c>
      <c r="N295" s="52">
        <f>IFERROR(_xlfn.XLOOKUP(E295,'Agências de Rating Soberano'!$J$2:$J$22,'Agências de Rating Soberano'!$K$2:$K$22),NA())</f>
        <v>13</v>
      </c>
      <c r="O295" s="52">
        <f>IFERROR(_xlfn.XLOOKUP(F295,'Agências de Rating Soberano'!$J$2:$J$22,'Agências de Rating Soberano'!$K$2:$K$22),NA())</f>
        <v>13</v>
      </c>
      <c r="P295" s="52">
        <f>IFERROR(_xlfn.XLOOKUP(H295,'Agências de Rating Soberano'!$J$2:$J$22,'Agências de Rating Soberano'!$K$2:$K$22),NA())</f>
        <v>12</v>
      </c>
      <c r="Q295" s="52">
        <f>IFERROR(_xlfn.XLOOKUP(I295,'Agências de Rating Soberano'!$J$2:$J$22,'Agências de Rating Soberano'!$K$2:$K$22),NA())</f>
        <v>14</v>
      </c>
    </row>
    <row r="296" spans="1:17" x14ac:dyDescent="0.3">
      <c r="A296" s="53">
        <f t="shared" si="11"/>
        <v>40694</v>
      </c>
      <c r="B296" t="str">
        <f>IFERROR(_xlfn.XLOOKUP($A296,Planilha2!$A$2:$A$34,Planilha2!C$2:C$34,"",-1),"")</f>
        <v>Baa3</v>
      </c>
      <c r="C296" t="str">
        <f>IFERROR(_xlfn.XLOOKUP($A296,Planilha2!$A$2:$A$34,Planilha2!D$2:D$34,"",-1),"")</f>
        <v>Baa3</v>
      </c>
      <c r="D296" t="str" cm="1">
        <f t="array" ref="D296">IF($A296&lt;MIN(Planilha2!$A$2:$A$34),"",_xlfn.LET(_xlpm.t,_xlfn.XLOOKUP($A296,Planilha2!$A$2:$A$34,Planilha2!$E$2:$E$34,"",-1),_xlfn.IFS(ISNUMBER(SEARCH("positiva",_xlpm.t)),"Positiva",ISNUMBER(SEARCH("negativa",_xlpm.t)),"Negativa",ISNUMBER(SEARCH("estável",_xlpm.t)),"Estável",TRUE,"n/d")))</f>
        <v>Positiva</v>
      </c>
      <c r="E296" t="str">
        <f>IFERROR(_xlfn.XLOOKUP($A296,Planilha2!$J$2:$J$44,Planilha2!L$2:L$44,"",-1),"")</f>
        <v>BBB</v>
      </c>
      <c r="F296" t="str">
        <f>IFERROR(_xlfn.XLOOKUP($A296,Planilha2!$J$2:$J$44,Planilha2!M$2:M$44,"",-1),"")</f>
        <v>BBB</v>
      </c>
      <c r="G296" t="str" cm="1">
        <f t="array" ref="G296">IF($A296&lt;MIN(Planilha2!$J$2:$J$44),"",_xlfn.LET(_xlpm.t,_xlfn.XLOOKUP($A296,Planilha2!$J$2:$J$44,Planilha2!$N$2:$N$44,"",-1),_xlfn.IFS(ISNUMBER(SEARCH("positiva",_xlpm.t)),"Positiva",ISNUMBER(SEARCH("negativa",_xlpm.t)),"Negativa",ISNUMBER(SEARCH("estável",_xlpm.t)),"Estável",TRUE,"n/d")))</f>
        <v>Estável</v>
      </c>
      <c r="H296" t="str">
        <f>IFERROR(_xlfn.XLOOKUP($A296,Planilha2!$P$2:$P$38,Planilha2!R$2:R$38,"",-1),"")</f>
        <v>BBB-</v>
      </c>
      <c r="I296" t="str">
        <f>IFERROR(_xlfn.XLOOKUP($A296,Planilha2!$P$2:$P$38,Planilha2!S$2:S$38,"",-1),"")</f>
        <v>BBB+</v>
      </c>
      <c r="J296" t="str" cm="1">
        <f t="array" ref="J296">IF($A296&lt;MIN(Planilha2!$P$2:$P$38),"",_xlfn.LET(_xlpm.t,_xlfn.XLOOKUP($A296,Planilha2!$P$2:$P$38,Planilha2!$T$2:$T$38,"",-1),_xlfn.IFS(ISNUMBER(SEARCH("positiva",_xlpm.t)),"Positiva",ISNUMBER(SEARCH("negativa",_xlpm.t)),"Negativa",ISNUMBER(SEARCH("estável",_xlpm.t)),"Estável",TRUE,"n/d")))</f>
        <v>Estável</v>
      </c>
      <c r="L296" s="52">
        <f>IFERROR(_xlfn.XLOOKUP(B296,'Agências de Rating Soberano'!$G$2:$G$22,'Agências de Rating Soberano'!$H$2:$H$22),NA())</f>
        <v>12</v>
      </c>
      <c r="M296" s="52">
        <f>IFERROR(_xlfn.XLOOKUP(C296,'Agências de Rating Soberano'!$G$2:$G$22,'Agências de Rating Soberano'!$H$2:$H$22),NA())</f>
        <v>12</v>
      </c>
      <c r="N296" s="52">
        <f>IFERROR(_xlfn.XLOOKUP(E296,'Agências de Rating Soberano'!$J$2:$J$22,'Agências de Rating Soberano'!$K$2:$K$22),NA())</f>
        <v>13</v>
      </c>
      <c r="O296" s="52">
        <f>IFERROR(_xlfn.XLOOKUP(F296,'Agências de Rating Soberano'!$J$2:$J$22,'Agências de Rating Soberano'!$K$2:$K$22),NA())</f>
        <v>13</v>
      </c>
      <c r="P296" s="52">
        <f>IFERROR(_xlfn.XLOOKUP(H296,'Agências de Rating Soberano'!$J$2:$J$22,'Agências de Rating Soberano'!$K$2:$K$22),NA())</f>
        <v>12</v>
      </c>
      <c r="Q296" s="52">
        <f>IFERROR(_xlfn.XLOOKUP(I296,'Agências de Rating Soberano'!$J$2:$J$22,'Agências de Rating Soberano'!$K$2:$K$22),NA())</f>
        <v>14</v>
      </c>
    </row>
    <row r="297" spans="1:17" x14ac:dyDescent="0.3">
      <c r="A297" s="53">
        <f t="shared" si="11"/>
        <v>40724</v>
      </c>
      <c r="B297" t="str">
        <f>IFERROR(_xlfn.XLOOKUP($A297,Planilha2!$A$2:$A$34,Planilha2!C$2:C$34,"",-1),"")</f>
        <v>Baa2</v>
      </c>
      <c r="C297" t="str">
        <f>IFERROR(_xlfn.XLOOKUP($A297,Planilha2!$A$2:$A$34,Planilha2!D$2:D$34,"",-1),"")</f>
        <v>Baa2</v>
      </c>
      <c r="D297" t="str" cm="1">
        <f t="array" ref="D297">IF($A297&lt;MIN(Planilha2!$A$2:$A$34),"",_xlfn.LET(_xlpm.t,_xlfn.XLOOKUP($A297,Planilha2!$A$2:$A$34,Planilha2!$E$2:$E$34,"",-1),_xlfn.IFS(ISNUMBER(SEARCH("positiva",_xlpm.t)),"Positiva",ISNUMBER(SEARCH("negativa",_xlpm.t)),"Negativa",ISNUMBER(SEARCH("estável",_xlpm.t)),"Estável",TRUE,"n/d")))</f>
        <v>Positiva</v>
      </c>
      <c r="E297" t="str">
        <f>IFERROR(_xlfn.XLOOKUP($A297,Planilha2!$J$2:$J$44,Planilha2!L$2:L$44,"",-1),"")</f>
        <v>BBB</v>
      </c>
      <c r="F297" t="str">
        <f>IFERROR(_xlfn.XLOOKUP($A297,Planilha2!$J$2:$J$44,Planilha2!M$2:M$44,"",-1),"")</f>
        <v>BBB</v>
      </c>
      <c r="G297" t="str" cm="1">
        <f t="array" ref="G297">IF($A297&lt;MIN(Planilha2!$J$2:$J$44),"",_xlfn.LET(_xlpm.t,_xlfn.XLOOKUP($A297,Planilha2!$J$2:$J$44,Planilha2!$N$2:$N$44,"",-1),_xlfn.IFS(ISNUMBER(SEARCH("positiva",_xlpm.t)),"Positiva",ISNUMBER(SEARCH("negativa",_xlpm.t)),"Negativa",ISNUMBER(SEARCH("estável",_xlpm.t)),"Estável",TRUE,"n/d")))</f>
        <v>Estável</v>
      </c>
      <c r="H297" t="str">
        <f>IFERROR(_xlfn.XLOOKUP($A297,Planilha2!$P$2:$P$38,Planilha2!R$2:R$38,"",-1),"")</f>
        <v>BBB-</v>
      </c>
      <c r="I297" t="str">
        <f>IFERROR(_xlfn.XLOOKUP($A297,Planilha2!$P$2:$P$38,Planilha2!S$2:S$38,"",-1),"")</f>
        <v>BBB+</v>
      </c>
      <c r="J297" t="str" cm="1">
        <f t="array" ref="J297">IF($A297&lt;MIN(Planilha2!$P$2:$P$38),"",_xlfn.LET(_xlpm.t,_xlfn.XLOOKUP($A297,Planilha2!$P$2:$P$38,Planilha2!$T$2:$T$38,"",-1),_xlfn.IFS(ISNUMBER(SEARCH("positiva",_xlpm.t)),"Positiva",ISNUMBER(SEARCH("negativa",_xlpm.t)),"Negativa",ISNUMBER(SEARCH("estável",_xlpm.t)),"Estável",TRUE,"n/d")))</f>
        <v>Estável</v>
      </c>
      <c r="L297" s="52">
        <f>IFERROR(_xlfn.XLOOKUP(B297,'Agências de Rating Soberano'!$G$2:$G$22,'Agências de Rating Soberano'!$H$2:$H$22),NA())</f>
        <v>13</v>
      </c>
      <c r="M297" s="52">
        <f>IFERROR(_xlfn.XLOOKUP(C297,'Agências de Rating Soberano'!$G$2:$G$22,'Agências de Rating Soberano'!$H$2:$H$22),NA())</f>
        <v>13</v>
      </c>
      <c r="N297" s="52">
        <f>IFERROR(_xlfn.XLOOKUP(E297,'Agências de Rating Soberano'!$J$2:$J$22,'Agências de Rating Soberano'!$K$2:$K$22),NA())</f>
        <v>13</v>
      </c>
      <c r="O297" s="52">
        <f>IFERROR(_xlfn.XLOOKUP(F297,'Agências de Rating Soberano'!$J$2:$J$22,'Agências de Rating Soberano'!$K$2:$K$22),NA())</f>
        <v>13</v>
      </c>
      <c r="P297" s="52">
        <f>IFERROR(_xlfn.XLOOKUP(H297,'Agências de Rating Soberano'!$J$2:$J$22,'Agências de Rating Soberano'!$K$2:$K$22),NA())</f>
        <v>12</v>
      </c>
      <c r="Q297" s="52">
        <f>IFERROR(_xlfn.XLOOKUP(I297,'Agências de Rating Soberano'!$J$2:$J$22,'Agências de Rating Soberano'!$K$2:$K$22),NA())</f>
        <v>14</v>
      </c>
    </row>
    <row r="298" spans="1:17" x14ac:dyDescent="0.3">
      <c r="A298" s="53">
        <f t="shared" si="11"/>
        <v>40755</v>
      </c>
      <c r="B298" t="str">
        <f>IFERROR(_xlfn.XLOOKUP($A298,Planilha2!$A$2:$A$34,Planilha2!C$2:C$34,"",-1),"")</f>
        <v>Baa2</v>
      </c>
      <c r="C298" t="str">
        <f>IFERROR(_xlfn.XLOOKUP($A298,Planilha2!$A$2:$A$34,Planilha2!D$2:D$34,"",-1),"")</f>
        <v>Baa2</v>
      </c>
      <c r="D298" t="str" cm="1">
        <f t="array" ref="D298">IF($A298&lt;MIN(Planilha2!$A$2:$A$34),"",_xlfn.LET(_xlpm.t,_xlfn.XLOOKUP($A298,Planilha2!$A$2:$A$34,Planilha2!$E$2:$E$34,"",-1),_xlfn.IFS(ISNUMBER(SEARCH("positiva",_xlpm.t)),"Positiva",ISNUMBER(SEARCH("negativa",_xlpm.t)),"Negativa",ISNUMBER(SEARCH("estável",_xlpm.t)),"Estável",TRUE,"n/d")))</f>
        <v>Positiva</v>
      </c>
      <c r="E298" t="str">
        <f>IFERROR(_xlfn.XLOOKUP($A298,Planilha2!$J$2:$J$44,Planilha2!L$2:L$44,"",-1),"")</f>
        <v>BBB</v>
      </c>
      <c r="F298" t="str">
        <f>IFERROR(_xlfn.XLOOKUP($A298,Planilha2!$J$2:$J$44,Planilha2!M$2:M$44,"",-1),"")</f>
        <v>BBB</v>
      </c>
      <c r="G298" t="str" cm="1">
        <f t="array" ref="G298">IF($A298&lt;MIN(Planilha2!$J$2:$J$44),"",_xlfn.LET(_xlpm.t,_xlfn.XLOOKUP($A298,Planilha2!$J$2:$J$44,Planilha2!$N$2:$N$44,"",-1),_xlfn.IFS(ISNUMBER(SEARCH("positiva",_xlpm.t)),"Positiva",ISNUMBER(SEARCH("negativa",_xlpm.t)),"Negativa",ISNUMBER(SEARCH("estável",_xlpm.t)),"Estável",TRUE,"n/d")))</f>
        <v>Estável</v>
      </c>
      <c r="H298" t="str">
        <f>IFERROR(_xlfn.XLOOKUP($A298,Planilha2!$P$2:$P$38,Planilha2!R$2:R$38,"",-1),"")</f>
        <v>BBB-</v>
      </c>
      <c r="I298" t="str">
        <f>IFERROR(_xlfn.XLOOKUP($A298,Planilha2!$P$2:$P$38,Planilha2!S$2:S$38,"",-1),"")</f>
        <v>BBB+</v>
      </c>
      <c r="J298" t="str" cm="1">
        <f t="array" ref="J298">IF($A298&lt;MIN(Planilha2!$P$2:$P$38),"",_xlfn.LET(_xlpm.t,_xlfn.XLOOKUP($A298,Planilha2!$P$2:$P$38,Planilha2!$T$2:$T$38,"",-1),_xlfn.IFS(ISNUMBER(SEARCH("positiva",_xlpm.t)),"Positiva",ISNUMBER(SEARCH("negativa",_xlpm.t)),"Negativa",ISNUMBER(SEARCH("estável",_xlpm.t)),"Estável",TRUE,"n/d")))</f>
        <v>Estável</v>
      </c>
      <c r="L298" s="52">
        <f>IFERROR(_xlfn.XLOOKUP(B298,'Agências de Rating Soberano'!$G$2:$G$22,'Agências de Rating Soberano'!$H$2:$H$22),NA())</f>
        <v>13</v>
      </c>
      <c r="M298" s="52">
        <f>IFERROR(_xlfn.XLOOKUP(C298,'Agências de Rating Soberano'!$G$2:$G$22,'Agências de Rating Soberano'!$H$2:$H$22),NA())</f>
        <v>13</v>
      </c>
      <c r="N298" s="52">
        <f>IFERROR(_xlfn.XLOOKUP(E298,'Agências de Rating Soberano'!$J$2:$J$22,'Agências de Rating Soberano'!$K$2:$K$22),NA())</f>
        <v>13</v>
      </c>
      <c r="O298" s="52">
        <f>IFERROR(_xlfn.XLOOKUP(F298,'Agências de Rating Soberano'!$J$2:$J$22,'Agências de Rating Soberano'!$K$2:$K$22),NA())</f>
        <v>13</v>
      </c>
      <c r="P298" s="52">
        <f>IFERROR(_xlfn.XLOOKUP(H298,'Agências de Rating Soberano'!$J$2:$J$22,'Agências de Rating Soberano'!$K$2:$K$22),NA())</f>
        <v>12</v>
      </c>
      <c r="Q298" s="52">
        <f>IFERROR(_xlfn.XLOOKUP(I298,'Agências de Rating Soberano'!$J$2:$J$22,'Agências de Rating Soberano'!$K$2:$K$22),NA())</f>
        <v>14</v>
      </c>
    </row>
    <row r="299" spans="1:17" x14ac:dyDescent="0.3">
      <c r="A299" s="53">
        <f t="shared" si="11"/>
        <v>40786</v>
      </c>
      <c r="B299" t="str">
        <f>IFERROR(_xlfn.XLOOKUP($A299,Planilha2!$A$2:$A$34,Planilha2!C$2:C$34,"",-1),"")</f>
        <v>Baa2</v>
      </c>
      <c r="C299" t="str">
        <f>IFERROR(_xlfn.XLOOKUP($A299,Planilha2!$A$2:$A$34,Planilha2!D$2:D$34,"",-1),"")</f>
        <v>Baa2</v>
      </c>
      <c r="D299" t="str" cm="1">
        <f t="array" ref="D299">IF($A299&lt;MIN(Planilha2!$A$2:$A$34),"",_xlfn.LET(_xlpm.t,_xlfn.XLOOKUP($A299,Planilha2!$A$2:$A$34,Planilha2!$E$2:$E$34,"",-1),_xlfn.IFS(ISNUMBER(SEARCH("positiva",_xlpm.t)),"Positiva",ISNUMBER(SEARCH("negativa",_xlpm.t)),"Negativa",ISNUMBER(SEARCH("estável",_xlpm.t)),"Estável",TRUE,"n/d")))</f>
        <v>Positiva</v>
      </c>
      <c r="E299" t="str">
        <f>IFERROR(_xlfn.XLOOKUP($A299,Planilha2!$J$2:$J$44,Planilha2!L$2:L$44,"",-1),"")</f>
        <v>BBB</v>
      </c>
      <c r="F299" t="str">
        <f>IFERROR(_xlfn.XLOOKUP($A299,Planilha2!$J$2:$J$44,Planilha2!M$2:M$44,"",-1),"")</f>
        <v>BBB</v>
      </c>
      <c r="G299" t="str" cm="1">
        <f t="array" ref="G299">IF($A299&lt;MIN(Planilha2!$J$2:$J$44),"",_xlfn.LET(_xlpm.t,_xlfn.XLOOKUP($A299,Planilha2!$J$2:$J$44,Planilha2!$N$2:$N$44,"",-1),_xlfn.IFS(ISNUMBER(SEARCH("positiva",_xlpm.t)),"Positiva",ISNUMBER(SEARCH("negativa",_xlpm.t)),"Negativa",ISNUMBER(SEARCH("estável",_xlpm.t)),"Estável",TRUE,"n/d")))</f>
        <v>Estável</v>
      </c>
      <c r="H299" t="str">
        <f>IFERROR(_xlfn.XLOOKUP($A299,Planilha2!$P$2:$P$38,Planilha2!R$2:R$38,"",-1),"")</f>
        <v>BBB-</v>
      </c>
      <c r="I299" t="str">
        <f>IFERROR(_xlfn.XLOOKUP($A299,Planilha2!$P$2:$P$38,Planilha2!S$2:S$38,"",-1),"")</f>
        <v>BBB+</v>
      </c>
      <c r="J299" t="str" cm="1">
        <f t="array" ref="J299">IF($A299&lt;MIN(Planilha2!$P$2:$P$38),"",_xlfn.LET(_xlpm.t,_xlfn.XLOOKUP($A299,Planilha2!$P$2:$P$38,Planilha2!$T$2:$T$38,"",-1),_xlfn.IFS(ISNUMBER(SEARCH("positiva",_xlpm.t)),"Positiva",ISNUMBER(SEARCH("negativa",_xlpm.t)),"Negativa",ISNUMBER(SEARCH("estável",_xlpm.t)),"Estável",TRUE,"n/d")))</f>
        <v>Positiva</v>
      </c>
      <c r="L299" s="52">
        <f>IFERROR(_xlfn.XLOOKUP(B299,'Agências de Rating Soberano'!$G$2:$G$22,'Agências de Rating Soberano'!$H$2:$H$22),NA())</f>
        <v>13</v>
      </c>
      <c r="M299" s="52">
        <f>IFERROR(_xlfn.XLOOKUP(C299,'Agências de Rating Soberano'!$G$2:$G$22,'Agências de Rating Soberano'!$H$2:$H$22),NA())</f>
        <v>13</v>
      </c>
      <c r="N299" s="52">
        <f>IFERROR(_xlfn.XLOOKUP(E299,'Agências de Rating Soberano'!$J$2:$J$22,'Agências de Rating Soberano'!$K$2:$K$22),NA())</f>
        <v>13</v>
      </c>
      <c r="O299" s="52">
        <f>IFERROR(_xlfn.XLOOKUP(F299,'Agências de Rating Soberano'!$J$2:$J$22,'Agências de Rating Soberano'!$K$2:$K$22),NA())</f>
        <v>13</v>
      </c>
      <c r="P299" s="52">
        <f>IFERROR(_xlfn.XLOOKUP(H299,'Agências de Rating Soberano'!$J$2:$J$22,'Agências de Rating Soberano'!$K$2:$K$22),NA())</f>
        <v>12</v>
      </c>
      <c r="Q299" s="52">
        <f>IFERROR(_xlfn.XLOOKUP(I299,'Agências de Rating Soberano'!$J$2:$J$22,'Agências de Rating Soberano'!$K$2:$K$22),NA())</f>
        <v>14</v>
      </c>
    </row>
    <row r="300" spans="1:17" x14ac:dyDescent="0.3">
      <c r="A300" s="53">
        <f t="shared" si="11"/>
        <v>40816</v>
      </c>
      <c r="B300" t="str">
        <f>IFERROR(_xlfn.XLOOKUP($A300,Planilha2!$A$2:$A$34,Planilha2!C$2:C$34,"",-1),"")</f>
        <v>Baa2</v>
      </c>
      <c r="C300" t="str">
        <f>IFERROR(_xlfn.XLOOKUP($A300,Planilha2!$A$2:$A$34,Planilha2!D$2:D$34,"",-1),"")</f>
        <v>Baa2</v>
      </c>
      <c r="D300" t="str" cm="1">
        <f t="array" ref="D300">IF($A300&lt;MIN(Planilha2!$A$2:$A$34),"",_xlfn.LET(_xlpm.t,_xlfn.XLOOKUP($A300,Planilha2!$A$2:$A$34,Planilha2!$E$2:$E$34,"",-1),_xlfn.IFS(ISNUMBER(SEARCH("positiva",_xlpm.t)),"Positiva",ISNUMBER(SEARCH("negativa",_xlpm.t)),"Negativa",ISNUMBER(SEARCH("estável",_xlpm.t)),"Estável",TRUE,"n/d")))</f>
        <v>Positiva</v>
      </c>
      <c r="E300" t="str">
        <f>IFERROR(_xlfn.XLOOKUP($A300,Planilha2!$J$2:$J$44,Planilha2!L$2:L$44,"",-1),"")</f>
        <v>BBB</v>
      </c>
      <c r="F300" t="str">
        <f>IFERROR(_xlfn.XLOOKUP($A300,Planilha2!$J$2:$J$44,Planilha2!M$2:M$44,"",-1),"")</f>
        <v>BBB</v>
      </c>
      <c r="G300" t="str" cm="1">
        <f t="array" ref="G300">IF($A300&lt;MIN(Planilha2!$J$2:$J$44),"",_xlfn.LET(_xlpm.t,_xlfn.XLOOKUP($A300,Planilha2!$J$2:$J$44,Planilha2!$N$2:$N$44,"",-1),_xlfn.IFS(ISNUMBER(SEARCH("positiva",_xlpm.t)),"Positiva",ISNUMBER(SEARCH("negativa",_xlpm.t)),"Negativa",ISNUMBER(SEARCH("estável",_xlpm.t)),"Estável",TRUE,"n/d")))</f>
        <v>Estável</v>
      </c>
      <c r="H300" t="str">
        <f>IFERROR(_xlfn.XLOOKUP($A300,Planilha2!$P$2:$P$38,Planilha2!R$2:R$38,"",-1),"")</f>
        <v>BBB-</v>
      </c>
      <c r="I300" t="str">
        <f>IFERROR(_xlfn.XLOOKUP($A300,Planilha2!$P$2:$P$38,Planilha2!S$2:S$38,"",-1),"")</f>
        <v>BBB+</v>
      </c>
      <c r="J300" t="str" cm="1">
        <f t="array" ref="J300">IF($A300&lt;MIN(Planilha2!$P$2:$P$38),"",_xlfn.LET(_xlpm.t,_xlfn.XLOOKUP($A300,Planilha2!$P$2:$P$38,Planilha2!$T$2:$T$38,"",-1),_xlfn.IFS(ISNUMBER(SEARCH("positiva",_xlpm.t)),"Positiva",ISNUMBER(SEARCH("negativa",_xlpm.t)),"Negativa",ISNUMBER(SEARCH("estável",_xlpm.t)),"Estável",TRUE,"n/d")))</f>
        <v>Positiva</v>
      </c>
      <c r="L300" s="52">
        <f>IFERROR(_xlfn.XLOOKUP(B300,'Agências de Rating Soberano'!$G$2:$G$22,'Agências de Rating Soberano'!$H$2:$H$22),NA())</f>
        <v>13</v>
      </c>
      <c r="M300" s="52">
        <f>IFERROR(_xlfn.XLOOKUP(C300,'Agências de Rating Soberano'!$G$2:$G$22,'Agências de Rating Soberano'!$H$2:$H$22),NA())</f>
        <v>13</v>
      </c>
      <c r="N300" s="52">
        <f>IFERROR(_xlfn.XLOOKUP(E300,'Agências de Rating Soberano'!$J$2:$J$22,'Agências de Rating Soberano'!$K$2:$K$22),NA())</f>
        <v>13</v>
      </c>
      <c r="O300" s="52">
        <f>IFERROR(_xlfn.XLOOKUP(F300,'Agências de Rating Soberano'!$J$2:$J$22,'Agências de Rating Soberano'!$K$2:$K$22),NA())</f>
        <v>13</v>
      </c>
      <c r="P300" s="52">
        <f>IFERROR(_xlfn.XLOOKUP(H300,'Agências de Rating Soberano'!$J$2:$J$22,'Agências de Rating Soberano'!$K$2:$K$22),NA())</f>
        <v>12</v>
      </c>
      <c r="Q300" s="52">
        <f>IFERROR(_xlfn.XLOOKUP(I300,'Agências de Rating Soberano'!$J$2:$J$22,'Agências de Rating Soberano'!$K$2:$K$22),NA())</f>
        <v>14</v>
      </c>
    </row>
    <row r="301" spans="1:17" x14ac:dyDescent="0.3">
      <c r="A301" s="53">
        <f t="shared" si="11"/>
        <v>40847</v>
      </c>
      <c r="B301" t="str">
        <f>IFERROR(_xlfn.XLOOKUP($A301,Planilha2!$A$2:$A$34,Planilha2!C$2:C$34,"",-1),"")</f>
        <v>Baa2</v>
      </c>
      <c r="C301" t="str">
        <f>IFERROR(_xlfn.XLOOKUP($A301,Planilha2!$A$2:$A$34,Planilha2!D$2:D$34,"",-1),"")</f>
        <v>Baa2</v>
      </c>
      <c r="D301" t="str" cm="1">
        <f t="array" ref="D301">IF($A301&lt;MIN(Planilha2!$A$2:$A$34),"",_xlfn.LET(_xlpm.t,_xlfn.XLOOKUP($A301,Planilha2!$A$2:$A$34,Planilha2!$E$2:$E$34,"",-1),_xlfn.IFS(ISNUMBER(SEARCH("positiva",_xlpm.t)),"Positiva",ISNUMBER(SEARCH("negativa",_xlpm.t)),"Negativa",ISNUMBER(SEARCH("estável",_xlpm.t)),"Estável",TRUE,"n/d")))</f>
        <v>Positiva</v>
      </c>
      <c r="E301" t="str">
        <f>IFERROR(_xlfn.XLOOKUP($A301,Planilha2!$J$2:$J$44,Planilha2!L$2:L$44,"",-1),"")</f>
        <v>BBB</v>
      </c>
      <c r="F301" t="str">
        <f>IFERROR(_xlfn.XLOOKUP($A301,Planilha2!$J$2:$J$44,Planilha2!M$2:M$44,"",-1),"")</f>
        <v>BBB</v>
      </c>
      <c r="G301" t="str" cm="1">
        <f t="array" ref="G301">IF($A301&lt;MIN(Planilha2!$J$2:$J$44),"",_xlfn.LET(_xlpm.t,_xlfn.XLOOKUP($A301,Planilha2!$J$2:$J$44,Planilha2!$N$2:$N$44,"",-1),_xlfn.IFS(ISNUMBER(SEARCH("positiva",_xlpm.t)),"Positiva",ISNUMBER(SEARCH("negativa",_xlpm.t)),"Negativa",ISNUMBER(SEARCH("estável",_xlpm.t)),"Estável",TRUE,"n/d")))</f>
        <v>Estável</v>
      </c>
      <c r="H301" t="str">
        <f>IFERROR(_xlfn.XLOOKUP($A301,Planilha2!$P$2:$P$38,Planilha2!R$2:R$38,"",-1),"")</f>
        <v>BBB-</v>
      </c>
      <c r="I301" t="str">
        <f>IFERROR(_xlfn.XLOOKUP($A301,Planilha2!$P$2:$P$38,Planilha2!S$2:S$38,"",-1),"")</f>
        <v>BBB+</v>
      </c>
      <c r="J301" t="str" cm="1">
        <f t="array" ref="J301">IF($A301&lt;MIN(Planilha2!$P$2:$P$38),"",_xlfn.LET(_xlpm.t,_xlfn.XLOOKUP($A301,Planilha2!$P$2:$P$38,Planilha2!$T$2:$T$38,"",-1),_xlfn.IFS(ISNUMBER(SEARCH("positiva",_xlpm.t)),"Positiva",ISNUMBER(SEARCH("negativa",_xlpm.t)),"Negativa",ISNUMBER(SEARCH("estável",_xlpm.t)),"Estável",TRUE,"n/d")))</f>
        <v>Positiva</v>
      </c>
      <c r="L301" s="52">
        <f>IFERROR(_xlfn.XLOOKUP(B301,'Agências de Rating Soberano'!$G$2:$G$22,'Agências de Rating Soberano'!$H$2:$H$22),NA())</f>
        <v>13</v>
      </c>
      <c r="M301" s="52">
        <f>IFERROR(_xlfn.XLOOKUP(C301,'Agências de Rating Soberano'!$G$2:$G$22,'Agências de Rating Soberano'!$H$2:$H$22),NA())</f>
        <v>13</v>
      </c>
      <c r="N301" s="52">
        <f>IFERROR(_xlfn.XLOOKUP(E301,'Agências de Rating Soberano'!$J$2:$J$22,'Agências de Rating Soberano'!$K$2:$K$22),NA())</f>
        <v>13</v>
      </c>
      <c r="O301" s="52">
        <f>IFERROR(_xlfn.XLOOKUP(F301,'Agências de Rating Soberano'!$J$2:$J$22,'Agências de Rating Soberano'!$K$2:$K$22),NA())</f>
        <v>13</v>
      </c>
      <c r="P301" s="52">
        <f>IFERROR(_xlfn.XLOOKUP(H301,'Agências de Rating Soberano'!$J$2:$J$22,'Agências de Rating Soberano'!$K$2:$K$22),NA())</f>
        <v>12</v>
      </c>
      <c r="Q301" s="52">
        <f>IFERROR(_xlfn.XLOOKUP(I301,'Agências de Rating Soberano'!$J$2:$J$22,'Agências de Rating Soberano'!$K$2:$K$22),NA())</f>
        <v>14</v>
      </c>
    </row>
    <row r="302" spans="1:17" x14ac:dyDescent="0.3">
      <c r="A302" s="53">
        <f t="shared" si="11"/>
        <v>40877</v>
      </c>
      <c r="B302" t="str">
        <f>IFERROR(_xlfn.XLOOKUP($A302,Planilha2!$A$2:$A$34,Planilha2!C$2:C$34,"",-1),"")</f>
        <v>Baa2</v>
      </c>
      <c r="C302" t="str">
        <f>IFERROR(_xlfn.XLOOKUP($A302,Planilha2!$A$2:$A$34,Planilha2!D$2:D$34,"",-1),"")</f>
        <v>Baa2</v>
      </c>
      <c r="D302" t="str" cm="1">
        <f t="array" ref="D302">IF($A302&lt;MIN(Planilha2!$A$2:$A$34),"",_xlfn.LET(_xlpm.t,_xlfn.XLOOKUP($A302,Planilha2!$A$2:$A$34,Planilha2!$E$2:$E$34,"",-1),_xlfn.IFS(ISNUMBER(SEARCH("positiva",_xlpm.t)),"Positiva",ISNUMBER(SEARCH("negativa",_xlpm.t)),"Negativa",ISNUMBER(SEARCH("estável",_xlpm.t)),"Estável",TRUE,"n/d")))</f>
        <v>Positiva</v>
      </c>
      <c r="E302" t="str">
        <f>IFERROR(_xlfn.XLOOKUP($A302,Planilha2!$J$2:$J$44,Planilha2!L$2:L$44,"",-1),"")</f>
        <v>BBB</v>
      </c>
      <c r="F302" t="str">
        <f>IFERROR(_xlfn.XLOOKUP($A302,Planilha2!$J$2:$J$44,Planilha2!M$2:M$44,"",-1),"")</f>
        <v>BBB</v>
      </c>
      <c r="G302" t="str" cm="1">
        <f t="array" ref="G302">IF($A302&lt;MIN(Planilha2!$J$2:$J$44),"",_xlfn.LET(_xlpm.t,_xlfn.XLOOKUP($A302,Planilha2!$J$2:$J$44,Planilha2!$N$2:$N$44,"",-1),_xlfn.IFS(ISNUMBER(SEARCH("positiva",_xlpm.t)),"Positiva",ISNUMBER(SEARCH("negativa",_xlpm.t)),"Negativa",ISNUMBER(SEARCH("estável",_xlpm.t)),"Estável",TRUE,"n/d")))</f>
        <v>Estável</v>
      </c>
      <c r="H302" t="str">
        <f>IFERROR(_xlfn.XLOOKUP($A302,Planilha2!$P$2:$P$38,Planilha2!R$2:R$38,"",-1),"")</f>
        <v>BBB</v>
      </c>
      <c r="I302" t="str">
        <f>IFERROR(_xlfn.XLOOKUP($A302,Planilha2!$P$2:$P$38,Planilha2!S$2:S$38,"",-1),"")</f>
        <v>A-</v>
      </c>
      <c r="J302" t="str" cm="1">
        <f t="array" ref="J302">IF($A302&lt;MIN(Planilha2!$P$2:$P$38),"",_xlfn.LET(_xlpm.t,_xlfn.XLOOKUP($A302,Planilha2!$P$2:$P$38,Planilha2!$T$2:$T$38,"",-1),_xlfn.IFS(ISNUMBER(SEARCH("positiva",_xlpm.t)),"Positiva",ISNUMBER(SEARCH("negativa",_xlpm.t)),"Negativa",ISNUMBER(SEARCH("estável",_xlpm.t)),"Estável",TRUE,"n/d")))</f>
        <v>Estável</v>
      </c>
      <c r="L302" s="52">
        <f>IFERROR(_xlfn.XLOOKUP(B302,'Agências de Rating Soberano'!$G$2:$G$22,'Agências de Rating Soberano'!$H$2:$H$22),NA())</f>
        <v>13</v>
      </c>
      <c r="M302" s="52">
        <f>IFERROR(_xlfn.XLOOKUP(C302,'Agências de Rating Soberano'!$G$2:$G$22,'Agências de Rating Soberano'!$H$2:$H$22),NA())</f>
        <v>13</v>
      </c>
      <c r="N302" s="52">
        <f>IFERROR(_xlfn.XLOOKUP(E302,'Agências de Rating Soberano'!$J$2:$J$22,'Agências de Rating Soberano'!$K$2:$K$22),NA())</f>
        <v>13</v>
      </c>
      <c r="O302" s="52">
        <f>IFERROR(_xlfn.XLOOKUP(F302,'Agências de Rating Soberano'!$J$2:$J$22,'Agências de Rating Soberano'!$K$2:$K$22),NA())</f>
        <v>13</v>
      </c>
      <c r="P302" s="52">
        <f>IFERROR(_xlfn.XLOOKUP(H302,'Agências de Rating Soberano'!$J$2:$J$22,'Agências de Rating Soberano'!$K$2:$K$22),NA())</f>
        <v>13</v>
      </c>
      <c r="Q302" s="52">
        <f>IFERROR(_xlfn.XLOOKUP(I302,'Agências de Rating Soberano'!$J$2:$J$22,'Agências de Rating Soberano'!$K$2:$K$22),NA())</f>
        <v>15</v>
      </c>
    </row>
    <row r="303" spans="1:17" x14ac:dyDescent="0.3">
      <c r="A303" s="53">
        <f t="shared" si="11"/>
        <v>40908</v>
      </c>
      <c r="B303" t="str">
        <f>IFERROR(_xlfn.XLOOKUP($A303,Planilha2!$A$2:$A$34,Planilha2!C$2:C$34,"",-1),"")</f>
        <v>Baa2</v>
      </c>
      <c r="C303" t="str">
        <f>IFERROR(_xlfn.XLOOKUP($A303,Planilha2!$A$2:$A$34,Planilha2!D$2:D$34,"",-1),"")</f>
        <v>Baa2</v>
      </c>
      <c r="D303" t="str" cm="1">
        <f t="array" ref="D303">IF($A303&lt;MIN(Planilha2!$A$2:$A$34),"",_xlfn.LET(_xlpm.t,_xlfn.XLOOKUP($A303,Planilha2!$A$2:$A$34,Planilha2!$E$2:$E$34,"",-1),_xlfn.IFS(ISNUMBER(SEARCH("positiva",_xlpm.t)),"Positiva",ISNUMBER(SEARCH("negativa",_xlpm.t)),"Negativa",ISNUMBER(SEARCH("estável",_xlpm.t)),"Estável",TRUE,"n/d")))</f>
        <v>Positiva</v>
      </c>
      <c r="E303" t="str">
        <f>IFERROR(_xlfn.XLOOKUP($A303,Planilha2!$J$2:$J$44,Planilha2!L$2:L$44,"",-1),"")</f>
        <v>BBB</v>
      </c>
      <c r="F303" t="str">
        <f>IFERROR(_xlfn.XLOOKUP($A303,Planilha2!$J$2:$J$44,Planilha2!M$2:M$44,"",-1),"")</f>
        <v>BBB</v>
      </c>
      <c r="G303" t="str" cm="1">
        <f t="array" ref="G303">IF($A303&lt;MIN(Planilha2!$J$2:$J$44),"",_xlfn.LET(_xlpm.t,_xlfn.XLOOKUP($A303,Planilha2!$J$2:$J$44,Planilha2!$N$2:$N$44,"",-1),_xlfn.IFS(ISNUMBER(SEARCH("positiva",_xlpm.t)),"Positiva",ISNUMBER(SEARCH("negativa",_xlpm.t)),"Negativa",ISNUMBER(SEARCH("estável",_xlpm.t)),"Estável",TRUE,"n/d")))</f>
        <v>Estável</v>
      </c>
      <c r="H303" t="str">
        <f>IFERROR(_xlfn.XLOOKUP($A303,Planilha2!$P$2:$P$38,Planilha2!R$2:R$38,"",-1),"")</f>
        <v>BBB</v>
      </c>
      <c r="I303" t="str">
        <f>IFERROR(_xlfn.XLOOKUP($A303,Planilha2!$P$2:$P$38,Planilha2!S$2:S$38,"",-1),"")</f>
        <v>A-</v>
      </c>
      <c r="J303" t="str" cm="1">
        <f t="array" ref="J303">IF($A303&lt;MIN(Planilha2!$P$2:$P$38),"",_xlfn.LET(_xlpm.t,_xlfn.XLOOKUP($A303,Planilha2!$P$2:$P$38,Planilha2!$T$2:$T$38,"",-1),_xlfn.IFS(ISNUMBER(SEARCH("positiva",_xlpm.t)),"Positiva",ISNUMBER(SEARCH("negativa",_xlpm.t)),"Negativa",ISNUMBER(SEARCH("estável",_xlpm.t)),"Estável",TRUE,"n/d")))</f>
        <v>Estável</v>
      </c>
      <c r="L303" s="52">
        <f>IFERROR(_xlfn.XLOOKUP(B303,'Agências de Rating Soberano'!$G$2:$G$22,'Agências de Rating Soberano'!$H$2:$H$22),NA())</f>
        <v>13</v>
      </c>
      <c r="M303" s="52">
        <f>IFERROR(_xlfn.XLOOKUP(C303,'Agências de Rating Soberano'!$G$2:$G$22,'Agências de Rating Soberano'!$H$2:$H$22),NA())</f>
        <v>13</v>
      </c>
      <c r="N303" s="52">
        <f>IFERROR(_xlfn.XLOOKUP(E303,'Agências de Rating Soberano'!$J$2:$J$22,'Agências de Rating Soberano'!$K$2:$K$22),NA())</f>
        <v>13</v>
      </c>
      <c r="O303" s="52">
        <f>IFERROR(_xlfn.XLOOKUP(F303,'Agências de Rating Soberano'!$J$2:$J$22,'Agências de Rating Soberano'!$K$2:$K$22),NA())</f>
        <v>13</v>
      </c>
      <c r="P303" s="52">
        <f>IFERROR(_xlfn.XLOOKUP(H303,'Agências de Rating Soberano'!$J$2:$J$22,'Agências de Rating Soberano'!$K$2:$K$22),NA())</f>
        <v>13</v>
      </c>
      <c r="Q303" s="52">
        <f>IFERROR(_xlfn.XLOOKUP(I303,'Agências de Rating Soberano'!$J$2:$J$22,'Agências de Rating Soberano'!$K$2:$K$22),NA())</f>
        <v>15</v>
      </c>
    </row>
    <row r="304" spans="1:17" x14ac:dyDescent="0.3">
      <c r="A304" s="53">
        <f t="shared" si="11"/>
        <v>40939</v>
      </c>
      <c r="B304" t="str">
        <f>IFERROR(_xlfn.XLOOKUP($A304,Planilha2!$A$2:$A$34,Planilha2!C$2:C$34,"",-1),"")</f>
        <v>Baa2</v>
      </c>
      <c r="C304" t="str">
        <f>IFERROR(_xlfn.XLOOKUP($A304,Planilha2!$A$2:$A$34,Planilha2!D$2:D$34,"",-1),"")</f>
        <v>Baa2</v>
      </c>
      <c r="D304" t="str" cm="1">
        <f t="array" ref="D304">IF($A304&lt;MIN(Planilha2!$A$2:$A$34),"",_xlfn.LET(_xlpm.t,_xlfn.XLOOKUP($A304,Planilha2!$A$2:$A$34,Planilha2!$E$2:$E$34,"",-1),_xlfn.IFS(ISNUMBER(SEARCH("positiva",_xlpm.t)),"Positiva",ISNUMBER(SEARCH("negativa",_xlpm.t)),"Negativa",ISNUMBER(SEARCH("estável",_xlpm.t)),"Estável",TRUE,"n/d")))</f>
        <v>Positiva</v>
      </c>
      <c r="E304" t="str">
        <f>IFERROR(_xlfn.XLOOKUP($A304,Planilha2!$J$2:$J$44,Planilha2!L$2:L$44,"",-1),"")</f>
        <v>BBB</v>
      </c>
      <c r="F304" t="str">
        <f>IFERROR(_xlfn.XLOOKUP($A304,Planilha2!$J$2:$J$44,Planilha2!M$2:M$44,"",-1),"")</f>
        <v>BBB</v>
      </c>
      <c r="G304" t="str" cm="1">
        <f t="array" ref="G304">IF($A304&lt;MIN(Planilha2!$J$2:$J$44),"",_xlfn.LET(_xlpm.t,_xlfn.XLOOKUP($A304,Planilha2!$J$2:$J$44,Planilha2!$N$2:$N$44,"",-1),_xlfn.IFS(ISNUMBER(SEARCH("positiva",_xlpm.t)),"Positiva",ISNUMBER(SEARCH("negativa",_xlpm.t)),"Negativa",ISNUMBER(SEARCH("estável",_xlpm.t)),"Estável",TRUE,"n/d")))</f>
        <v>Estável</v>
      </c>
      <c r="H304" t="str">
        <f>IFERROR(_xlfn.XLOOKUP($A304,Planilha2!$P$2:$P$38,Planilha2!R$2:R$38,"",-1),"")</f>
        <v>BBB</v>
      </c>
      <c r="I304" t="str">
        <f>IFERROR(_xlfn.XLOOKUP($A304,Planilha2!$P$2:$P$38,Planilha2!S$2:S$38,"",-1),"")</f>
        <v>A-</v>
      </c>
      <c r="J304" t="str" cm="1">
        <f t="array" ref="J304">IF($A304&lt;MIN(Planilha2!$P$2:$P$38),"",_xlfn.LET(_xlpm.t,_xlfn.XLOOKUP($A304,Planilha2!$P$2:$P$38,Planilha2!$T$2:$T$38,"",-1),_xlfn.IFS(ISNUMBER(SEARCH("positiva",_xlpm.t)),"Positiva",ISNUMBER(SEARCH("negativa",_xlpm.t)),"Negativa",ISNUMBER(SEARCH("estável",_xlpm.t)),"Estável",TRUE,"n/d")))</f>
        <v>Estável</v>
      </c>
      <c r="L304" s="52">
        <f>IFERROR(_xlfn.XLOOKUP(B304,'Agências de Rating Soberano'!$G$2:$G$22,'Agências de Rating Soberano'!$H$2:$H$22),NA())</f>
        <v>13</v>
      </c>
      <c r="M304" s="52">
        <f>IFERROR(_xlfn.XLOOKUP(C304,'Agências de Rating Soberano'!$G$2:$G$22,'Agências de Rating Soberano'!$H$2:$H$22),NA())</f>
        <v>13</v>
      </c>
      <c r="N304" s="52">
        <f>IFERROR(_xlfn.XLOOKUP(E304,'Agências de Rating Soberano'!$J$2:$J$22,'Agências de Rating Soberano'!$K$2:$K$22),NA())</f>
        <v>13</v>
      </c>
      <c r="O304" s="52">
        <f>IFERROR(_xlfn.XLOOKUP(F304,'Agências de Rating Soberano'!$J$2:$J$22,'Agências de Rating Soberano'!$K$2:$K$22),NA())</f>
        <v>13</v>
      </c>
      <c r="P304" s="52">
        <f>IFERROR(_xlfn.XLOOKUP(H304,'Agências de Rating Soberano'!$J$2:$J$22,'Agências de Rating Soberano'!$K$2:$K$22),NA())</f>
        <v>13</v>
      </c>
      <c r="Q304" s="52">
        <f>IFERROR(_xlfn.XLOOKUP(I304,'Agências de Rating Soberano'!$J$2:$J$22,'Agências de Rating Soberano'!$K$2:$K$22),NA())</f>
        <v>15</v>
      </c>
    </row>
    <row r="305" spans="1:17" x14ac:dyDescent="0.3">
      <c r="A305" s="53">
        <f t="shared" si="11"/>
        <v>40968</v>
      </c>
      <c r="B305" t="str">
        <f>IFERROR(_xlfn.XLOOKUP($A305,Planilha2!$A$2:$A$34,Planilha2!C$2:C$34,"",-1),"")</f>
        <v>Baa2</v>
      </c>
      <c r="C305" t="str">
        <f>IFERROR(_xlfn.XLOOKUP($A305,Planilha2!$A$2:$A$34,Planilha2!D$2:D$34,"",-1),"")</f>
        <v>Baa2</v>
      </c>
      <c r="D305" t="str" cm="1">
        <f t="array" ref="D305">IF($A305&lt;MIN(Planilha2!$A$2:$A$34),"",_xlfn.LET(_xlpm.t,_xlfn.XLOOKUP($A305,Planilha2!$A$2:$A$34,Planilha2!$E$2:$E$34,"",-1),_xlfn.IFS(ISNUMBER(SEARCH("positiva",_xlpm.t)),"Positiva",ISNUMBER(SEARCH("negativa",_xlpm.t)),"Negativa",ISNUMBER(SEARCH("estável",_xlpm.t)),"Estável",TRUE,"n/d")))</f>
        <v>Positiva</v>
      </c>
      <c r="E305" t="str">
        <f>IFERROR(_xlfn.XLOOKUP($A305,Planilha2!$J$2:$J$44,Planilha2!L$2:L$44,"",-1),"")</f>
        <v>BBB</v>
      </c>
      <c r="F305" t="str">
        <f>IFERROR(_xlfn.XLOOKUP($A305,Planilha2!$J$2:$J$44,Planilha2!M$2:M$44,"",-1),"")</f>
        <v>BBB</v>
      </c>
      <c r="G305" t="str" cm="1">
        <f t="array" ref="G305">IF($A305&lt;MIN(Planilha2!$J$2:$J$44),"",_xlfn.LET(_xlpm.t,_xlfn.XLOOKUP($A305,Planilha2!$J$2:$J$44,Planilha2!$N$2:$N$44,"",-1),_xlfn.IFS(ISNUMBER(SEARCH("positiva",_xlpm.t)),"Positiva",ISNUMBER(SEARCH("negativa",_xlpm.t)),"Negativa",ISNUMBER(SEARCH("estável",_xlpm.t)),"Estável",TRUE,"n/d")))</f>
        <v>Estável</v>
      </c>
      <c r="H305" t="str">
        <f>IFERROR(_xlfn.XLOOKUP($A305,Planilha2!$P$2:$P$38,Planilha2!R$2:R$38,"",-1),"")</f>
        <v>BBB</v>
      </c>
      <c r="I305" t="str">
        <f>IFERROR(_xlfn.XLOOKUP($A305,Planilha2!$P$2:$P$38,Planilha2!S$2:S$38,"",-1),"")</f>
        <v>A-</v>
      </c>
      <c r="J305" t="str" cm="1">
        <f t="array" ref="J305">IF($A305&lt;MIN(Planilha2!$P$2:$P$38),"",_xlfn.LET(_xlpm.t,_xlfn.XLOOKUP($A305,Planilha2!$P$2:$P$38,Planilha2!$T$2:$T$38,"",-1),_xlfn.IFS(ISNUMBER(SEARCH("positiva",_xlpm.t)),"Positiva",ISNUMBER(SEARCH("negativa",_xlpm.t)),"Negativa",ISNUMBER(SEARCH("estável",_xlpm.t)),"Estável",TRUE,"n/d")))</f>
        <v>Estável</v>
      </c>
      <c r="L305" s="52">
        <f>IFERROR(_xlfn.XLOOKUP(B305,'Agências de Rating Soberano'!$G$2:$G$22,'Agências de Rating Soberano'!$H$2:$H$22),NA())</f>
        <v>13</v>
      </c>
      <c r="M305" s="52">
        <f>IFERROR(_xlfn.XLOOKUP(C305,'Agências de Rating Soberano'!$G$2:$G$22,'Agências de Rating Soberano'!$H$2:$H$22),NA())</f>
        <v>13</v>
      </c>
      <c r="N305" s="52">
        <f>IFERROR(_xlfn.XLOOKUP(E305,'Agências de Rating Soberano'!$J$2:$J$22,'Agências de Rating Soberano'!$K$2:$K$22),NA())</f>
        <v>13</v>
      </c>
      <c r="O305" s="52">
        <f>IFERROR(_xlfn.XLOOKUP(F305,'Agências de Rating Soberano'!$J$2:$J$22,'Agências de Rating Soberano'!$K$2:$K$22),NA())</f>
        <v>13</v>
      </c>
      <c r="P305" s="52">
        <f>IFERROR(_xlfn.XLOOKUP(H305,'Agências de Rating Soberano'!$J$2:$J$22,'Agências de Rating Soberano'!$K$2:$K$22),NA())</f>
        <v>13</v>
      </c>
      <c r="Q305" s="52">
        <f>IFERROR(_xlfn.XLOOKUP(I305,'Agências de Rating Soberano'!$J$2:$J$22,'Agências de Rating Soberano'!$K$2:$K$22),NA())</f>
        <v>15</v>
      </c>
    </row>
    <row r="306" spans="1:17" x14ac:dyDescent="0.3">
      <c r="A306" s="53">
        <f t="shared" si="11"/>
        <v>40999</v>
      </c>
      <c r="B306" t="str">
        <f>IFERROR(_xlfn.XLOOKUP($A306,Planilha2!$A$2:$A$34,Planilha2!C$2:C$34,"",-1),"")</f>
        <v>Baa2</v>
      </c>
      <c r="C306" t="str">
        <f>IFERROR(_xlfn.XLOOKUP($A306,Planilha2!$A$2:$A$34,Planilha2!D$2:D$34,"",-1),"")</f>
        <v>Baa2</v>
      </c>
      <c r="D306" t="str" cm="1">
        <f t="array" ref="D306">IF($A306&lt;MIN(Planilha2!$A$2:$A$34),"",_xlfn.LET(_xlpm.t,_xlfn.XLOOKUP($A306,Planilha2!$A$2:$A$34,Planilha2!$E$2:$E$34,"",-1),_xlfn.IFS(ISNUMBER(SEARCH("positiva",_xlpm.t)),"Positiva",ISNUMBER(SEARCH("negativa",_xlpm.t)),"Negativa",ISNUMBER(SEARCH("estável",_xlpm.t)),"Estável",TRUE,"n/d")))</f>
        <v>Positiva</v>
      </c>
      <c r="E306" t="str">
        <f>IFERROR(_xlfn.XLOOKUP($A306,Planilha2!$J$2:$J$44,Planilha2!L$2:L$44,"",-1),"")</f>
        <v>BBB</v>
      </c>
      <c r="F306" t="str">
        <f>IFERROR(_xlfn.XLOOKUP($A306,Planilha2!$J$2:$J$44,Planilha2!M$2:M$44,"",-1),"")</f>
        <v>BBB</v>
      </c>
      <c r="G306" t="str" cm="1">
        <f t="array" ref="G306">IF($A306&lt;MIN(Planilha2!$J$2:$J$44),"",_xlfn.LET(_xlpm.t,_xlfn.XLOOKUP($A306,Planilha2!$J$2:$J$44,Planilha2!$N$2:$N$44,"",-1),_xlfn.IFS(ISNUMBER(SEARCH("positiva",_xlpm.t)),"Positiva",ISNUMBER(SEARCH("negativa",_xlpm.t)),"Negativa",ISNUMBER(SEARCH("estável",_xlpm.t)),"Estável",TRUE,"n/d")))</f>
        <v>Estável</v>
      </c>
      <c r="H306" t="str">
        <f>IFERROR(_xlfn.XLOOKUP($A306,Planilha2!$P$2:$P$38,Planilha2!R$2:R$38,"",-1),"")</f>
        <v>BBB</v>
      </c>
      <c r="I306" t="str">
        <f>IFERROR(_xlfn.XLOOKUP($A306,Planilha2!$P$2:$P$38,Planilha2!S$2:S$38,"",-1),"")</f>
        <v>A-</v>
      </c>
      <c r="J306" t="str" cm="1">
        <f t="array" ref="J306">IF($A306&lt;MIN(Planilha2!$P$2:$P$38),"",_xlfn.LET(_xlpm.t,_xlfn.XLOOKUP($A306,Planilha2!$P$2:$P$38,Planilha2!$T$2:$T$38,"",-1),_xlfn.IFS(ISNUMBER(SEARCH("positiva",_xlpm.t)),"Positiva",ISNUMBER(SEARCH("negativa",_xlpm.t)),"Negativa",ISNUMBER(SEARCH("estável",_xlpm.t)),"Estável",TRUE,"n/d")))</f>
        <v>Estável</v>
      </c>
      <c r="L306" s="52">
        <f>IFERROR(_xlfn.XLOOKUP(B306,'Agências de Rating Soberano'!$G$2:$G$22,'Agências de Rating Soberano'!$H$2:$H$22),NA())</f>
        <v>13</v>
      </c>
      <c r="M306" s="52">
        <f>IFERROR(_xlfn.XLOOKUP(C306,'Agências de Rating Soberano'!$G$2:$G$22,'Agências de Rating Soberano'!$H$2:$H$22),NA())</f>
        <v>13</v>
      </c>
      <c r="N306" s="52">
        <f>IFERROR(_xlfn.XLOOKUP(E306,'Agências de Rating Soberano'!$J$2:$J$22,'Agências de Rating Soberano'!$K$2:$K$22),NA())</f>
        <v>13</v>
      </c>
      <c r="O306" s="52">
        <f>IFERROR(_xlfn.XLOOKUP(F306,'Agências de Rating Soberano'!$J$2:$J$22,'Agências de Rating Soberano'!$K$2:$K$22),NA())</f>
        <v>13</v>
      </c>
      <c r="P306" s="52">
        <f>IFERROR(_xlfn.XLOOKUP(H306,'Agências de Rating Soberano'!$J$2:$J$22,'Agências de Rating Soberano'!$K$2:$K$22),NA())</f>
        <v>13</v>
      </c>
      <c r="Q306" s="52">
        <f>IFERROR(_xlfn.XLOOKUP(I306,'Agências de Rating Soberano'!$J$2:$J$22,'Agências de Rating Soberano'!$K$2:$K$22),NA())</f>
        <v>15</v>
      </c>
    </row>
    <row r="307" spans="1:17" x14ac:dyDescent="0.3">
      <c r="A307" s="53">
        <f t="shared" si="11"/>
        <v>41029</v>
      </c>
      <c r="B307" t="str">
        <f>IFERROR(_xlfn.XLOOKUP($A307,Planilha2!$A$2:$A$34,Planilha2!C$2:C$34,"",-1),"")</f>
        <v>Baa2</v>
      </c>
      <c r="C307" t="str">
        <f>IFERROR(_xlfn.XLOOKUP($A307,Planilha2!$A$2:$A$34,Planilha2!D$2:D$34,"",-1),"")</f>
        <v>Baa2</v>
      </c>
      <c r="D307" t="str" cm="1">
        <f t="array" ref="D307">IF($A307&lt;MIN(Planilha2!$A$2:$A$34),"",_xlfn.LET(_xlpm.t,_xlfn.XLOOKUP($A307,Planilha2!$A$2:$A$34,Planilha2!$E$2:$E$34,"",-1),_xlfn.IFS(ISNUMBER(SEARCH("positiva",_xlpm.t)),"Positiva",ISNUMBER(SEARCH("negativa",_xlpm.t)),"Negativa",ISNUMBER(SEARCH("estável",_xlpm.t)),"Estável",TRUE,"n/d")))</f>
        <v>Positiva</v>
      </c>
      <c r="E307" t="str">
        <f>IFERROR(_xlfn.XLOOKUP($A307,Planilha2!$J$2:$J$44,Planilha2!L$2:L$44,"",-1),"")</f>
        <v>BBB</v>
      </c>
      <c r="F307" t="str">
        <f>IFERROR(_xlfn.XLOOKUP($A307,Planilha2!$J$2:$J$44,Planilha2!M$2:M$44,"",-1),"")</f>
        <v>BBB</v>
      </c>
      <c r="G307" t="str" cm="1">
        <f t="array" ref="G307">IF($A307&lt;MIN(Planilha2!$J$2:$J$44),"",_xlfn.LET(_xlpm.t,_xlfn.XLOOKUP($A307,Planilha2!$J$2:$J$44,Planilha2!$N$2:$N$44,"",-1),_xlfn.IFS(ISNUMBER(SEARCH("positiva",_xlpm.t)),"Positiva",ISNUMBER(SEARCH("negativa",_xlpm.t)),"Negativa",ISNUMBER(SEARCH("estável",_xlpm.t)),"Estável",TRUE,"n/d")))</f>
        <v>Estável</v>
      </c>
      <c r="H307" t="str">
        <f>IFERROR(_xlfn.XLOOKUP($A307,Planilha2!$P$2:$P$38,Planilha2!R$2:R$38,"",-1),"")</f>
        <v>BBB</v>
      </c>
      <c r="I307" t="str">
        <f>IFERROR(_xlfn.XLOOKUP($A307,Planilha2!$P$2:$P$38,Planilha2!S$2:S$38,"",-1),"")</f>
        <v>A-</v>
      </c>
      <c r="J307" t="str" cm="1">
        <f t="array" ref="J307">IF($A307&lt;MIN(Planilha2!$P$2:$P$38),"",_xlfn.LET(_xlpm.t,_xlfn.XLOOKUP($A307,Planilha2!$P$2:$P$38,Planilha2!$T$2:$T$38,"",-1),_xlfn.IFS(ISNUMBER(SEARCH("positiva",_xlpm.t)),"Positiva",ISNUMBER(SEARCH("negativa",_xlpm.t)),"Negativa",ISNUMBER(SEARCH("estável",_xlpm.t)),"Estável",TRUE,"n/d")))</f>
        <v>Estável</v>
      </c>
      <c r="L307" s="52">
        <f>IFERROR(_xlfn.XLOOKUP(B307,'Agências de Rating Soberano'!$G$2:$G$22,'Agências de Rating Soberano'!$H$2:$H$22),NA())</f>
        <v>13</v>
      </c>
      <c r="M307" s="52">
        <f>IFERROR(_xlfn.XLOOKUP(C307,'Agências de Rating Soberano'!$G$2:$G$22,'Agências de Rating Soberano'!$H$2:$H$22),NA())</f>
        <v>13</v>
      </c>
      <c r="N307" s="52">
        <f>IFERROR(_xlfn.XLOOKUP(E307,'Agências de Rating Soberano'!$J$2:$J$22,'Agências de Rating Soberano'!$K$2:$K$22),NA())</f>
        <v>13</v>
      </c>
      <c r="O307" s="52">
        <f>IFERROR(_xlfn.XLOOKUP(F307,'Agências de Rating Soberano'!$J$2:$J$22,'Agências de Rating Soberano'!$K$2:$K$22),NA())</f>
        <v>13</v>
      </c>
      <c r="P307" s="52">
        <f>IFERROR(_xlfn.XLOOKUP(H307,'Agências de Rating Soberano'!$J$2:$J$22,'Agências de Rating Soberano'!$K$2:$K$22),NA())</f>
        <v>13</v>
      </c>
      <c r="Q307" s="52">
        <f>IFERROR(_xlfn.XLOOKUP(I307,'Agências de Rating Soberano'!$J$2:$J$22,'Agências de Rating Soberano'!$K$2:$K$22),NA())</f>
        <v>15</v>
      </c>
    </row>
    <row r="308" spans="1:17" x14ac:dyDescent="0.3">
      <c r="A308" s="53">
        <f t="shared" si="11"/>
        <v>41060</v>
      </c>
      <c r="B308" t="str">
        <f>IFERROR(_xlfn.XLOOKUP($A308,Planilha2!$A$2:$A$34,Planilha2!C$2:C$34,"",-1),"")</f>
        <v>Baa2</v>
      </c>
      <c r="C308" t="str">
        <f>IFERROR(_xlfn.XLOOKUP($A308,Planilha2!$A$2:$A$34,Planilha2!D$2:D$34,"",-1),"")</f>
        <v>Baa2</v>
      </c>
      <c r="D308" t="str" cm="1">
        <f t="array" ref="D308">IF($A308&lt;MIN(Planilha2!$A$2:$A$34),"",_xlfn.LET(_xlpm.t,_xlfn.XLOOKUP($A308,Planilha2!$A$2:$A$34,Planilha2!$E$2:$E$34,"",-1),_xlfn.IFS(ISNUMBER(SEARCH("positiva",_xlpm.t)),"Positiva",ISNUMBER(SEARCH("negativa",_xlpm.t)),"Negativa",ISNUMBER(SEARCH("estável",_xlpm.t)),"Estável",TRUE,"n/d")))</f>
        <v>Positiva</v>
      </c>
      <c r="E308" t="str">
        <f>IFERROR(_xlfn.XLOOKUP($A308,Planilha2!$J$2:$J$44,Planilha2!L$2:L$44,"",-1),"")</f>
        <v>BBB</v>
      </c>
      <c r="F308" t="str">
        <f>IFERROR(_xlfn.XLOOKUP($A308,Planilha2!$J$2:$J$44,Planilha2!M$2:M$44,"",-1),"")</f>
        <v>BBB</v>
      </c>
      <c r="G308" t="str" cm="1">
        <f t="array" ref="G308">IF($A308&lt;MIN(Planilha2!$J$2:$J$44),"",_xlfn.LET(_xlpm.t,_xlfn.XLOOKUP($A308,Planilha2!$J$2:$J$44,Planilha2!$N$2:$N$44,"",-1),_xlfn.IFS(ISNUMBER(SEARCH("positiva",_xlpm.t)),"Positiva",ISNUMBER(SEARCH("negativa",_xlpm.t)),"Negativa",ISNUMBER(SEARCH("estável",_xlpm.t)),"Estável",TRUE,"n/d")))</f>
        <v>Estável</v>
      </c>
      <c r="H308" t="str">
        <f>IFERROR(_xlfn.XLOOKUP($A308,Planilha2!$P$2:$P$38,Planilha2!R$2:R$38,"",-1),"")</f>
        <v>BBB</v>
      </c>
      <c r="I308" t="str">
        <f>IFERROR(_xlfn.XLOOKUP($A308,Planilha2!$P$2:$P$38,Planilha2!S$2:S$38,"",-1),"")</f>
        <v>A-</v>
      </c>
      <c r="J308" t="str" cm="1">
        <f t="array" ref="J308">IF($A308&lt;MIN(Planilha2!$P$2:$P$38),"",_xlfn.LET(_xlpm.t,_xlfn.XLOOKUP($A308,Planilha2!$P$2:$P$38,Planilha2!$T$2:$T$38,"",-1),_xlfn.IFS(ISNUMBER(SEARCH("positiva",_xlpm.t)),"Positiva",ISNUMBER(SEARCH("negativa",_xlpm.t)),"Negativa",ISNUMBER(SEARCH("estável",_xlpm.t)),"Estável",TRUE,"n/d")))</f>
        <v>Estável</v>
      </c>
      <c r="L308" s="52">
        <f>IFERROR(_xlfn.XLOOKUP(B308,'Agências de Rating Soberano'!$G$2:$G$22,'Agências de Rating Soberano'!$H$2:$H$22),NA())</f>
        <v>13</v>
      </c>
      <c r="M308" s="52">
        <f>IFERROR(_xlfn.XLOOKUP(C308,'Agências de Rating Soberano'!$G$2:$G$22,'Agências de Rating Soberano'!$H$2:$H$22),NA())</f>
        <v>13</v>
      </c>
      <c r="N308" s="52">
        <f>IFERROR(_xlfn.XLOOKUP(E308,'Agências de Rating Soberano'!$J$2:$J$22,'Agências de Rating Soberano'!$K$2:$K$22),NA())</f>
        <v>13</v>
      </c>
      <c r="O308" s="52">
        <f>IFERROR(_xlfn.XLOOKUP(F308,'Agências de Rating Soberano'!$J$2:$J$22,'Agências de Rating Soberano'!$K$2:$K$22),NA())</f>
        <v>13</v>
      </c>
      <c r="P308" s="52">
        <f>IFERROR(_xlfn.XLOOKUP(H308,'Agências de Rating Soberano'!$J$2:$J$22,'Agências de Rating Soberano'!$K$2:$K$22),NA())</f>
        <v>13</v>
      </c>
      <c r="Q308" s="52">
        <f>IFERROR(_xlfn.XLOOKUP(I308,'Agências de Rating Soberano'!$J$2:$J$22,'Agências de Rating Soberano'!$K$2:$K$22),NA())</f>
        <v>15</v>
      </c>
    </row>
    <row r="309" spans="1:17" x14ac:dyDescent="0.3">
      <c r="A309" s="53">
        <f t="shared" si="11"/>
        <v>41090</v>
      </c>
      <c r="B309" t="str">
        <f>IFERROR(_xlfn.XLOOKUP($A309,Planilha2!$A$2:$A$34,Planilha2!C$2:C$34,"",-1),"")</f>
        <v>Baa2</v>
      </c>
      <c r="C309" t="str">
        <f>IFERROR(_xlfn.XLOOKUP($A309,Planilha2!$A$2:$A$34,Planilha2!D$2:D$34,"",-1),"")</f>
        <v>Baa2</v>
      </c>
      <c r="D309" t="str" cm="1">
        <f t="array" ref="D309">IF($A309&lt;MIN(Planilha2!$A$2:$A$34),"",_xlfn.LET(_xlpm.t,_xlfn.XLOOKUP($A309,Planilha2!$A$2:$A$34,Planilha2!$E$2:$E$34,"",-1),_xlfn.IFS(ISNUMBER(SEARCH("positiva",_xlpm.t)),"Positiva",ISNUMBER(SEARCH("negativa",_xlpm.t)),"Negativa",ISNUMBER(SEARCH("estável",_xlpm.t)),"Estável",TRUE,"n/d")))</f>
        <v>Positiva</v>
      </c>
      <c r="E309" t="str">
        <f>IFERROR(_xlfn.XLOOKUP($A309,Planilha2!$J$2:$J$44,Planilha2!L$2:L$44,"",-1),"")</f>
        <v>BBB</v>
      </c>
      <c r="F309" t="str">
        <f>IFERROR(_xlfn.XLOOKUP($A309,Planilha2!$J$2:$J$44,Planilha2!M$2:M$44,"",-1),"")</f>
        <v>BBB</v>
      </c>
      <c r="G309" t="str" cm="1">
        <f t="array" ref="G309">IF($A309&lt;MIN(Planilha2!$J$2:$J$44),"",_xlfn.LET(_xlpm.t,_xlfn.XLOOKUP($A309,Planilha2!$J$2:$J$44,Planilha2!$N$2:$N$44,"",-1),_xlfn.IFS(ISNUMBER(SEARCH("positiva",_xlpm.t)),"Positiva",ISNUMBER(SEARCH("negativa",_xlpm.t)),"Negativa",ISNUMBER(SEARCH("estável",_xlpm.t)),"Estável",TRUE,"n/d")))</f>
        <v>Estável</v>
      </c>
      <c r="H309" t="str">
        <f>IFERROR(_xlfn.XLOOKUP($A309,Planilha2!$P$2:$P$38,Planilha2!R$2:R$38,"",-1),"")</f>
        <v>BBB</v>
      </c>
      <c r="I309" t="str">
        <f>IFERROR(_xlfn.XLOOKUP($A309,Planilha2!$P$2:$P$38,Planilha2!S$2:S$38,"",-1),"")</f>
        <v>A-</v>
      </c>
      <c r="J309" t="str" cm="1">
        <f t="array" ref="J309">IF($A309&lt;MIN(Planilha2!$P$2:$P$38),"",_xlfn.LET(_xlpm.t,_xlfn.XLOOKUP($A309,Planilha2!$P$2:$P$38,Planilha2!$T$2:$T$38,"",-1),_xlfn.IFS(ISNUMBER(SEARCH("positiva",_xlpm.t)),"Positiva",ISNUMBER(SEARCH("negativa",_xlpm.t)),"Negativa",ISNUMBER(SEARCH("estável",_xlpm.t)),"Estável",TRUE,"n/d")))</f>
        <v>Estável</v>
      </c>
      <c r="L309" s="52">
        <f>IFERROR(_xlfn.XLOOKUP(B309,'Agências de Rating Soberano'!$G$2:$G$22,'Agências de Rating Soberano'!$H$2:$H$22),NA())</f>
        <v>13</v>
      </c>
      <c r="M309" s="52">
        <f>IFERROR(_xlfn.XLOOKUP(C309,'Agências de Rating Soberano'!$G$2:$G$22,'Agências de Rating Soberano'!$H$2:$H$22),NA())</f>
        <v>13</v>
      </c>
      <c r="N309" s="52">
        <f>IFERROR(_xlfn.XLOOKUP(E309,'Agências de Rating Soberano'!$J$2:$J$22,'Agências de Rating Soberano'!$K$2:$K$22),NA())</f>
        <v>13</v>
      </c>
      <c r="O309" s="52">
        <f>IFERROR(_xlfn.XLOOKUP(F309,'Agências de Rating Soberano'!$J$2:$J$22,'Agências de Rating Soberano'!$K$2:$K$22),NA())</f>
        <v>13</v>
      </c>
      <c r="P309" s="52">
        <f>IFERROR(_xlfn.XLOOKUP(H309,'Agências de Rating Soberano'!$J$2:$J$22,'Agências de Rating Soberano'!$K$2:$K$22),NA())</f>
        <v>13</v>
      </c>
      <c r="Q309" s="52">
        <f>IFERROR(_xlfn.XLOOKUP(I309,'Agências de Rating Soberano'!$J$2:$J$22,'Agências de Rating Soberano'!$K$2:$K$22),NA())</f>
        <v>15</v>
      </c>
    </row>
    <row r="310" spans="1:17" x14ac:dyDescent="0.3">
      <c r="A310" s="53">
        <f t="shared" si="11"/>
        <v>41121</v>
      </c>
      <c r="B310" t="str">
        <f>IFERROR(_xlfn.XLOOKUP($A310,Planilha2!$A$2:$A$34,Planilha2!C$2:C$34,"",-1),"")</f>
        <v>Baa2</v>
      </c>
      <c r="C310" t="str">
        <f>IFERROR(_xlfn.XLOOKUP($A310,Planilha2!$A$2:$A$34,Planilha2!D$2:D$34,"",-1),"")</f>
        <v>Baa2</v>
      </c>
      <c r="D310" t="str" cm="1">
        <f t="array" ref="D310">IF($A310&lt;MIN(Planilha2!$A$2:$A$34),"",_xlfn.LET(_xlpm.t,_xlfn.XLOOKUP($A310,Planilha2!$A$2:$A$34,Planilha2!$E$2:$E$34,"",-1),_xlfn.IFS(ISNUMBER(SEARCH("positiva",_xlpm.t)),"Positiva",ISNUMBER(SEARCH("negativa",_xlpm.t)),"Negativa",ISNUMBER(SEARCH("estável",_xlpm.t)),"Estável",TRUE,"n/d")))</f>
        <v>Positiva</v>
      </c>
      <c r="E310" t="str">
        <f>IFERROR(_xlfn.XLOOKUP($A310,Planilha2!$J$2:$J$44,Planilha2!L$2:L$44,"",-1),"")</f>
        <v>BBB</v>
      </c>
      <c r="F310" t="str">
        <f>IFERROR(_xlfn.XLOOKUP($A310,Planilha2!$J$2:$J$44,Planilha2!M$2:M$44,"",-1),"")</f>
        <v>BBB</v>
      </c>
      <c r="G310" t="str" cm="1">
        <f t="array" ref="G310">IF($A310&lt;MIN(Planilha2!$J$2:$J$44),"",_xlfn.LET(_xlpm.t,_xlfn.XLOOKUP($A310,Planilha2!$J$2:$J$44,Planilha2!$N$2:$N$44,"",-1),_xlfn.IFS(ISNUMBER(SEARCH("positiva",_xlpm.t)),"Positiva",ISNUMBER(SEARCH("negativa",_xlpm.t)),"Negativa",ISNUMBER(SEARCH("estável",_xlpm.t)),"Estável",TRUE,"n/d")))</f>
        <v>Estável</v>
      </c>
      <c r="H310" t="str">
        <f>IFERROR(_xlfn.XLOOKUP($A310,Planilha2!$P$2:$P$38,Planilha2!R$2:R$38,"",-1),"")</f>
        <v>BBB</v>
      </c>
      <c r="I310" t="str">
        <f>IFERROR(_xlfn.XLOOKUP($A310,Planilha2!$P$2:$P$38,Planilha2!S$2:S$38,"",-1),"")</f>
        <v>A-</v>
      </c>
      <c r="J310" t="str" cm="1">
        <f t="array" ref="J310">IF($A310&lt;MIN(Planilha2!$P$2:$P$38),"",_xlfn.LET(_xlpm.t,_xlfn.XLOOKUP($A310,Planilha2!$P$2:$P$38,Planilha2!$T$2:$T$38,"",-1),_xlfn.IFS(ISNUMBER(SEARCH("positiva",_xlpm.t)),"Positiva",ISNUMBER(SEARCH("negativa",_xlpm.t)),"Negativa",ISNUMBER(SEARCH("estável",_xlpm.t)),"Estável",TRUE,"n/d")))</f>
        <v>Estável</v>
      </c>
      <c r="L310" s="52">
        <f>IFERROR(_xlfn.XLOOKUP(B310,'Agências de Rating Soberano'!$G$2:$G$22,'Agências de Rating Soberano'!$H$2:$H$22),NA())</f>
        <v>13</v>
      </c>
      <c r="M310" s="52">
        <f>IFERROR(_xlfn.XLOOKUP(C310,'Agências de Rating Soberano'!$G$2:$G$22,'Agências de Rating Soberano'!$H$2:$H$22),NA())</f>
        <v>13</v>
      </c>
      <c r="N310" s="52">
        <f>IFERROR(_xlfn.XLOOKUP(E310,'Agências de Rating Soberano'!$J$2:$J$22,'Agências de Rating Soberano'!$K$2:$K$22),NA())</f>
        <v>13</v>
      </c>
      <c r="O310" s="52">
        <f>IFERROR(_xlfn.XLOOKUP(F310,'Agências de Rating Soberano'!$J$2:$J$22,'Agências de Rating Soberano'!$K$2:$K$22),NA())</f>
        <v>13</v>
      </c>
      <c r="P310" s="52">
        <f>IFERROR(_xlfn.XLOOKUP(H310,'Agências de Rating Soberano'!$J$2:$J$22,'Agências de Rating Soberano'!$K$2:$K$22),NA())</f>
        <v>13</v>
      </c>
      <c r="Q310" s="52">
        <f>IFERROR(_xlfn.XLOOKUP(I310,'Agências de Rating Soberano'!$J$2:$J$22,'Agências de Rating Soberano'!$K$2:$K$22),NA())</f>
        <v>15</v>
      </c>
    </row>
    <row r="311" spans="1:17" x14ac:dyDescent="0.3">
      <c r="A311" s="53">
        <f t="shared" si="11"/>
        <v>41152</v>
      </c>
      <c r="B311" t="str">
        <f>IFERROR(_xlfn.XLOOKUP($A311,Planilha2!$A$2:$A$34,Planilha2!C$2:C$34,"",-1),"")</f>
        <v>Baa2</v>
      </c>
      <c r="C311" t="str">
        <f>IFERROR(_xlfn.XLOOKUP($A311,Planilha2!$A$2:$A$34,Planilha2!D$2:D$34,"",-1),"")</f>
        <v>Baa2</v>
      </c>
      <c r="D311" t="str" cm="1">
        <f t="array" ref="D311">IF($A311&lt;MIN(Planilha2!$A$2:$A$34),"",_xlfn.LET(_xlpm.t,_xlfn.XLOOKUP($A311,Planilha2!$A$2:$A$34,Planilha2!$E$2:$E$34,"",-1),_xlfn.IFS(ISNUMBER(SEARCH("positiva",_xlpm.t)),"Positiva",ISNUMBER(SEARCH("negativa",_xlpm.t)),"Negativa",ISNUMBER(SEARCH("estável",_xlpm.t)),"Estável",TRUE,"n/d")))</f>
        <v>Positiva</v>
      </c>
      <c r="E311" t="str">
        <f>IFERROR(_xlfn.XLOOKUP($A311,Planilha2!$J$2:$J$44,Planilha2!L$2:L$44,"",-1),"")</f>
        <v>BBB</v>
      </c>
      <c r="F311" t="str">
        <f>IFERROR(_xlfn.XLOOKUP($A311,Planilha2!$J$2:$J$44,Planilha2!M$2:M$44,"",-1),"")</f>
        <v>BBB</v>
      </c>
      <c r="G311" t="str" cm="1">
        <f t="array" ref="G311">IF($A311&lt;MIN(Planilha2!$J$2:$J$44),"",_xlfn.LET(_xlpm.t,_xlfn.XLOOKUP($A311,Planilha2!$J$2:$J$44,Planilha2!$N$2:$N$44,"",-1),_xlfn.IFS(ISNUMBER(SEARCH("positiva",_xlpm.t)),"Positiva",ISNUMBER(SEARCH("negativa",_xlpm.t)),"Negativa",ISNUMBER(SEARCH("estável",_xlpm.t)),"Estável",TRUE,"n/d")))</f>
        <v>Estável</v>
      </c>
      <c r="H311" t="str">
        <f>IFERROR(_xlfn.XLOOKUP($A311,Planilha2!$P$2:$P$38,Planilha2!R$2:R$38,"",-1),"")</f>
        <v>BBB</v>
      </c>
      <c r="I311" t="str">
        <f>IFERROR(_xlfn.XLOOKUP($A311,Planilha2!$P$2:$P$38,Planilha2!S$2:S$38,"",-1),"")</f>
        <v>A-</v>
      </c>
      <c r="J311" t="str" cm="1">
        <f t="array" ref="J311">IF($A311&lt;MIN(Planilha2!$P$2:$P$38),"",_xlfn.LET(_xlpm.t,_xlfn.XLOOKUP($A311,Planilha2!$P$2:$P$38,Planilha2!$T$2:$T$38,"",-1),_xlfn.IFS(ISNUMBER(SEARCH("positiva",_xlpm.t)),"Positiva",ISNUMBER(SEARCH("negativa",_xlpm.t)),"Negativa",ISNUMBER(SEARCH("estável",_xlpm.t)),"Estável",TRUE,"n/d")))</f>
        <v>Estável</v>
      </c>
      <c r="L311" s="52">
        <f>IFERROR(_xlfn.XLOOKUP(B311,'Agências de Rating Soberano'!$G$2:$G$22,'Agências de Rating Soberano'!$H$2:$H$22),NA())</f>
        <v>13</v>
      </c>
      <c r="M311" s="52">
        <f>IFERROR(_xlfn.XLOOKUP(C311,'Agências de Rating Soberano'!$G$2:$G$22,'Agências de Rating Soberano'!$H$2:$H$22),NA())</f>
        <v>13</v>
      </c>
      <c r="N311" s="52">
        <f>IFERROR(_xlfn.XLOOKUP(E311,'Agências de Rating Soberano'!$J$2:$J$22,'Agências de Rating Soberano'!$K$2:$K$22),NA())</f>
        <v>13</v>
      </c>
      <c r="O311" s="52">
        <f>IFERROR(_xlfn.XLOOKUP(F311,'Agências de Rating Soberano'!$J$2:$J$22,'Agências de Rating Soberano'!$K$2:$K$22),NA())</f>
        <v>13</v>
      </c>
      <c r="P311" s="52">
        <f>IFERROR(_xlfn.XLOOKUP(H311,'Agências de Rating Soberano'!$J$2:$J$22,'Agências de Rating Soberano'!$K$2:$K$22),NA())</f>
        <v>13</v>
      </c>
      <c r="Q311" s="52">
        <f>IFERROR(_xlfn.XLOOKUP(I311,'Agências de Rating Soberano'!$J$2:$J$22,'Agências de Rating Soberano'!$K$2:$K$22),NA())</f>
        <v>15</v>
      </c>
    </row>
    <row r="312" spans="1:17" x14ac:dyDescent="0.3">
      <c r="A312" s="53">
        <f t="shared" si="11"/>
        <v>41182</v>
      </c>
      <c r="B312" t="str">
        <f>IFERROR(_xlfn.XLOOKUP($A312,Planilha2!$A$2:$A$34,Planilha2!C$2:C$34,"",-1),"")</f>
        <v>Baa2</v>
      </c>
      <c r="C312" t="str">
        <f>IFERROR(_xlfn.XLOOKUP($A312,Planilha2!$A$2:$A$34,Planilha2!D$2:D$34,"",-1),"")</f>
        <v>Baa2</v>
      </c>
      <c r="D312" t="str" cm="1">
        <f t="array" ref="D312">IF($A312&lt;MIN(Planilha2!$A$2:$A$34),"",_xlfn.LET(_xlpm.t,_xlfn.XLOOKUP($A312,Planilha2!$A$2:$A$34,Planilha2!$E$2:$E$34,"",-1),_xlfn.IFS(ISNUMBER(SEARCH("positiva",_xlpm.t)),"Positiva",ISNUMBER(SEARCH("negativa",_xlpm.t)),"Negativa",ISNUMBER(SEARCH("estável",_xlpm.t)),"Estável",TRUE,"n/d")))</f>
        <v>Positiva</v>
      </c>
      <c r="E312" t="str">
        <f>IFERROR(_xlfn.XLOOKUP($A312,Planilha2!$J$2:$J$44,Planilha2!L$2:L$44,"",-1),"")</f>
        <v>BBB</v>
      </c>
      <c r="F312" t="str">
        <f>IFERROR(_xlfn.XLOOKUP($A312,Planilha2!$J$2:$J$44,Planilha2!M$2:M$44,"",-1),"")</f>
        <v>BBB</v>
      </c>
      <c r="G312" t="str" cm="1">
        <f t="array" ref="G312">IF($A312&lt;MIN(Planilha2!$J$2:$J$44),"",_xlfn.LET(_xlpm.t,_xlfn.XLOOKUP($A312,Planilha2!$J$2:$J$44,Planilha2!$N$2:$N$44,"",-1),_xlfn.IFS(ISNUMBER(SEARCH("positiva",_xlpm.t)),"Positiva",ISNUMBER(SEARCH("negativa",_xlpm.t)),"Negativa",ISNUMBER(SEARCH("estável",_xlpm.t)),"Estável",TRUE,"n/d")))</f>
        <v>Estável</v>
      </c>
      <c r="H312" t="str">
        <f>IFERROR(_xlfn.XLOOKUP($A312,Planilha2!$P$2:$P$38,Planilha2!R$2:R$38,"",-1),"")</f>
        <v>BBB</v>
      </c>
      <c r="I312" t="str">
        <f>IFERROR(_xlfn.XLOOKUP($A312,Planilha2!$P$2:$P$38,Planilha2!S$2:S$38,"",-1),"")</f>
        <v>A-</v>
      </c>
      <c r="J312" t="str" cm="1">
        <f t="array" ref="J312">IF($A312&lt;MIN(Planilha2!$P$2:$P$38),"",_xlfn.LET(_xlpm.t,_xlfn.XLOOKUP($A312,Planilha2!$P$2:$P$38,Planilha2!$T$2:$T$38,"",-1),_xlfn.IFS(ISNUMBER(SEARCH("positiva",_xlpm.t)),"Positiva",ISNUMBER(SEARCH("negativa",_xlpm.t)),"Negativa",ISNUMBER(SEARCH("estável",_xlpm.t)),"Estável",TRUE,"n/d")))</f>
        <v>Estável</v>
      </c>
      <c r="L312" s="52">
        <f>IFERROR(_xlfn.XLOOKUP(B312,'Agências de Rating Soberano'!$G$2:$G$22,'Agências de Rating Soberano'!$H$2:$H$22),NA())</f>
        <v>13</v>
      </c>
      <c r="M312" s="52">
        <f>IFERROR(_xlfn.XLOOKUP(C312,'Agências de Rating Soberano'!$G$2:$G$22,'Agências de Rating Soberano'!$H$2:$H$22),NA())</f>
        <v>13</v>
      </c>
      <c r="N312" s="52">
        <f>IFERROR(_xlfn.XLOOKUP(E312,'Agências de Rating Soberano'!$J$2:$J$22,'Agências de Rating Soberano'!$K$2:$K$22),NA())</f>
        <v>13</v>
      </c>
      <c r="O312" s="52">
        <f>IFERROR(_xlfn.XLOOKUP(F312,'Agências de Rating Soberano'!$J$2:$J$22,'Agências de Rating Soberano'!$K$2:$K$22),NA())</f>
        <v>13</v>
      </c>
      <c r="P312" s="52">
        <f>IFERROR(_xlfn.XLOOKUP(H312,'Agências de Rating Soberano'!$J$2:$J$22,'Agências de Rating Soberano'!$K$2:$K$22),NA())</f>
        <v>13</v>
      </c>
      <c r="Q312" s="52">
        <f>IFERROR(_xlfn.XLOOKUP(I312,'Agências de Rating Soberano'!$J$2:$J$22,'Agências de Rating Soberano'!$K$2:$K$22),NA())</f>
        <v>15</v>
      </c>
    </row>
    <row r="313" spans="1:17" x14ac:dyDescent="0.3">
      <c r="A313" s="53">
        <f t="shared" si="11"/>
        <v>41213</v>
      </c>
      <c r="B313" t="str">
        <f>IFERROR(_xlfn.XLOOKUP($A313,Planilha2!$A$2:$A$34,Planilha2!C$2:C$34,"",-1),"")</f>
        <v>Baa2</v>
      </c>
      <c r="C313" t="str">
        <f>IFERROR(_xlfn.XLOOKUP($A313,Planilha2!$A$2:$A$34,Planilha2!D$2:D$34,"",-1),"")</f>
        <v>Baa2</v>
      </c>
      <c r="D313" t="str" cm="1">
        <f t="array" ref="D313">IF($A313&lt;MIN(Planilha2!$A$2:$A$34),"",_xlfn.LET(_xlpm.t,_xlfn.XLOOKUP($A313,Planilha2!$A$2:$A$34,Planilha2!$E$2:$E$34,"",-1),_xlfn.IFS(ISNUMBER(SEARCH("positiva",_xlpm.t)),"Positiva",ISNUMBER(SEARCH("negativa",_xlpm.t)),"Negativa",ISNUMBER(SEARCH("estável",_xlpm.t)),"Estável",TRUE,"n/d")))</f>
        <v>Positiva</v>
      </c>
      <c r="E313" t="str">
        <f>IFERROR(_xlfn.XLOOKUP($A313,Planilha2!$J$2:$J$44,Planilha2!L$2:L$44,"",-1),"")</f>
        <v>BBB</v>
      </c>
      <c r="F313" t="str">
        <f>IFERROR(_xlfn.XLOOKUP($A313,Planilha2!$J$2:$J$44,Planilha2!M$2:M$44,"",-1),"")</f>
        <v>BBB</v>
      </c>
      <c r="G313" t="str" cm="1">
        <f t="array" ref="G313">IF($A313&lt;MIN(Planilha2!$J$2:$J$44),"",_xlfn.LET(_xlpm.t,_xlfn.XLOOKUP($A313,Planilha2!$J$2:$J$44,Planilha2!$N$2:$N$44,"",-1),_xlfn.IFS(ISNUMBER(SEARCH("positiva",_xlpm.t)),"Positiva",ISNUMBER(SEARCH("negativa",_xlpm.t)),"Negativa",ISNUMBER(SEARCH("estável",_xlpm.t)),"Estável",TRUE,"n/d")))</f>
        <v>Estável</v>
      </c>
      <c r="H313" t="str">
        <f>IFERROR(_xlfn.XLOOKUP($A313,Planilha2!$P$2:$P$38,Planilha2!R$2:R$38,"",-1),"")</f>
        <v>BBB</v>
      </c>
      <c r="I313" t="str">
        <f>IFERROR(_xlfn.XLOOKUP($A313,Planilha2!$P$2:$P$38,Planilha2!S$2:S$38,"",-1),"")</f>
        <v>A-</v>
      </c>
      <c r="J313" t="str" cm="1">
        <f t="array" ref="J313">IF($A313&lt;MIN(Planilha2!$P$2:$P$38),"",_xlfn.LET(_xlpm.t,_xlfn.XLOOKUP($A313,Planilha2!$P$2:$P$38,Planilha2!$T$2:$T$38,"",-1),_xlfn.IFS(ISNUMBER(SEARCH("positiva",_xlpm.t)),"Positiva",ISNUMBER(SEARCH("negativa",_xlpm.t)),"Negativa",ISNUMBER(SEARCH("estável",_xlpm.t)),"Estável",TRUE,"n/d")))</f>
        <v>Estável</v>
      </c>
      <c r="L313" s="52">
        <f>IFERROR(_xlfn.XLOOKUP(B313,'Agências de Rating Soberano'!$G$2:$G$22,'Agências de Rating Soberano'!$H$2:$H$22),NA())</f>
        <v>13</v>
      </c>
      <c r="M313" s="52">
        <f>IFERROR(_xlfn.XLOOKUP(C313,'Agências de Rating Soberano'!$G$2:$G$22,'Agências de Rating Soberano'!$H$2:$H$22),NA())</f>
        <v>13</v>
      </c>
      <c r="N313" s="52">
        <f>IFERROR(_xlfn.XLOOKUP(E313,'Agências de Rating Soberano'!$J$2:$J$22,'Agências de Rating Soberano'!$K$2:$K$22),NA())</f>
        <v>13</v>
      </c>
      <c r="O313" s="52">
        <f>IFERROR(_xlfn.XLOOKUP(F313,'Agências de Rating Soberano'!$J$2:$J$22,'Agências de Rating Soberano'!$K$2:$K$22),NA())</f>
        <v>13</v>
      </c>
      <c r="P313" s="52">
        <f>IFERROR(_xlfn.XLOOKUP(H313,'Agências de Rating Soberano'!$J$2:$J$22,'Agências de Rating Soberano'!$K$2:$K$22),NA())</f>
        <v>13</v>
      </c>
      <c r="Q313" s="52">
        <f>IFERROR(_xlfn.XLOOKUP(I313,'Agências de Rating Soberano'!$J$2:$J$22,'Agências de Rating Soberano'!$K$2:$K$22),NA())</f>
        <v>15</v>
      </c>
    </row>
    <row r="314" spans="1:17" x14ac:dyDescent="0.3">
      <c r="A314" s="53">
        <f t="shared" si="11"/>
        <v>41243</v>
      </c>
      <c r="B314" t="str">
        <f>IFERROR(_xlfn.XLOOKUP($A314,Planilha2!$A$2:$A$34,Planilha2!C$2:C$34,"",-1),"")</f>
        <v>Baa2</v>
      </c>
      <c r="C314" t="str">
        <f>IFERROR(_xlfn.XLOOKUP($A314,Planilha2!$A$2:$A$34,Planilha2!D$2:D$34,"",-1),"")</f>
        <v>Baa2</v>
      </c>
      <c r="D314" t="str" cm="1">
        <f t="array" ref="D314">IF($A314&lt;MIN(Planilha2!$A$2:$A$34),"",_xlfn.LET(_xlpm.t,_xlfn.XLOOKUP($A314,Planilha2!$A$2:$A$34,Planilha2!$E$2:$E$34,"",-1),_xlfn.IFS(ISNUMBER(SEARCH("positiva",_xlpm.t)),"Positiva",ISNUMBER(SEARCH("negativa",_xlpm.t)),"Negativa",ISNUMBER(SEARCH("estável",_xlpm.t)),"Estável",TRUE,"n/d")))</f>
        <v>Positiva</v>
      </c>
      <c r="E314" t="str">
        <f>IFERROR(_xlfn.XLOOKUP($A314,Planilha2!$J$2:$J$44,Planilha2!L$2:L$44,"",-1),"")</f>
        <v>BBB</v>
      </c>
      <c r="F314" t="str">
        <f>IFERROR(_xlfn.XLOOKUP($A314,Planilha2!$J$2:$J$44,Planilha2!M$2:M$44,"",-1),"")</f>
        <v>BBB</v>
      </c>
      <c r="G314" t="str" cm="1">
        <f t="array" ref="G314">IF($A314&lt;MIN(Planilha2!$J$2:$J$44),"",_xlfn.LET(_xlpm.t,_xlfn.XLOOKUP($A314,Planilha2!$J$2:$J$44,Planilha2!$N$2:$N$44,"",-1),_xlfn.IFS(ISNUMBER(SEARCH("positiva",_xlpm.t)),"Positiva",ISNUMBER(SEARCH("negativa",_xlpm.t)),"Negativa",ISNUMBER(SEARCH("estável",_xlpm.t)),"Estável",TRUE,"n/d")))</f>
        <v>Estável</v>
      </c>
      <c r="H314" t="str">
        <f>IFERROR(_xlfn.XLOOKUP($A314,Planilha2!$P$2:$P$38,Planilha2!R$2:R$38,"",-1),"")</f>
        <v>BBB</v>
      </c>
      <c r="I314" t="str">
        <f>IFERROR(_xlfn.XLOOKUP($A314,Planilha2!$P$2:$P$38,Planilha2!S$2:S$38,"",-1),"")</f>
        <v>A-</v>
      </c>
      <c r="J314" t="str" cm="1">
        <f t="array" ref="J314">IF($A314&lt;MIN(Planilha2!$P$2:$P$38),"",_xlfn.LET(_xlpm.t,_xlfn.XLOOKUP($A314,Planilha2!$P$2:$P$38,Planilha2!$T$2:$T$38,"",-1),_xlfn.IFS(ISNUMBER(SEARCH("positiva",_xlpm.t)),"Positiva",ISNUMBER(SEARCH("negativa",_xlpm.t)),"Negativa",ISNUMBER(SEARCH("estável",_xlpm.t)),"Estável",TRUE,"n/d")))</f>
        <v>Estável</v>
      </c>
      <c r="L314" s="52">
        <f>IFERROR(_xlfn.XLOOKUP(B314,'Agências de Rating Soberano'!$G$2:$G$22,'Agências de Rating Soberano'!$H$2:$H$22),NA())</f>
        <v>13</v>
      </c>
      <c r="M314" s="52">
        <f>IFERROR(_xlfn.XLOOKUP(C314,'Agências de Rating Soberano'!$G$2:$G$22,'Agências de Rating Soberano'!$H$2:$H$22),NA())</f>
        <v>13</v>
      </c>
      <c r="N314" s="52">
        <f>IFERROR(_xlfn.XLOOKUP(E314,'Agências de Rating Soberano'!$J$2:$J$22,'Agências de Rating Soberano'!$K$2:$K$22),NA())</f>
        <v>13</v>
      </c>
      <c r="O314" s="52">
        <f>IFERROR(_xlfn.XLOOKUP(F314,'Agências de Rating Soberano'!$J$2:$J$22,'Agências de Rating Soberano'!$K$2:$K$22),NA())</f>
        <v>13</v>
      </c>
      <c r="P314" s="52">
        <f>IFERROR(_xlfn.XLOOKUP(H314,'Agências de Rating Soberano'!$J$2:$J$22,'Agências de Rating Soberano'!$K$2:$K$22),NA())</f>
        <v>13</v>
      </c>
      <c r="Q314" s="52">
        <f>IFERROR(_xlfn.XLOOKUP(I314,'Agências de Rating Soberano'!$J$2:$J$22,'Agências de Rating Soberano'!$K$2:$K$22),NA())</f>
        <v>15</v>
      </c>
    </row>
    <row r="315" spans="1:17" x14ac:dyDescent="0.3">
      <c r="A315" s="53">
        <f t="shared" si="11"/>
        <v>41274</v>
      </c>
      <c r="B315" t="str">
        <f>IFERROR(_xlfn.XLOOKUP($A315,Planilha2!$A$2:$A$34,Planilha2!C$2:C$34,"",-1),"")</f>
        <v>Baa2</v>
      </c>
      <c r="C315" t="str">
        <f>IFERROR(_xlfn.XLOOKUP($A315,Planilha2!$A$2:$A$34,Planilha2!D$2:D$34,"",-1),"")</f>
        <v>Baa2</v>
      </c>
      <c r="D315" t="str" cm="1">
        <f t="array" ref="D315">IF($A315&lt;MIN(Planilha2!$A$2:$A$34),"",_xlfn.LET(_xlpm.t,_xlfn.XLOOKUP($A315,Planilha2!$A$2:$A$34,Planilha2!$E$2:$E$34,"",-1),_xlfn.IFS(ISNUMBER(SEARCH("positiva",_xlpm.t)),"Positiva",ISNUMBER(SEARCH("negativa",_xlpm.t)),"Negativa",ISNUMBER(SEARCH("estável",_xlpm.t)),"Estável",TRUE,"n/d")))</f>
        <v>Positiva</v>
      </c>
      <c r="E315" t="str">
        <f>IFERROR(_xlfn.XLOOKUP($A315,Planilha2!$J$2:$J$44,Planilha2!L$2:L$44,"",-1),"")</f>
        <v>BBB</v>
      </c>
      <c r="F315" t="str">
        <f>IFERROR(_xlfn.XLOOKUP($A315,Planilha2!$J$2:$J$44,Planilha2!M$2:M$44,"",-1),"")</f>
        <v>BBB</v>
      </c>
      <c r="G315" t="str" cm="1">
        <f t="array" ref="G315">IF($A315&lt;MIN(Planilha2!$J$2:$J$44),"",_xlfn.LET(_xlpm.t,_xlfn.XLOOKUP($A315,Planilha2!$J$2:$J$44,Planilha2!$N$2:$N$44,"",-1),_xlfn.IFS(ISNUMBER(SEARCH("positiva",_xlpm.t)),"Positiva",ISNUMBER(SEARCH("negativa",_xlpm.t)),"Negativa",ISNUMBER(SEARCH("estável",_xlpm.t)),"Estável",TRUE,"n/d")))</f>
        <v>Estável</v>
      </c>
      <c r="H315" t="str">
        <f>IFERROR(_xlfn.XLOOKUP($A315,Planilha2!$P$2:$P$38,Planilha2!R$2:R$38,"",-1),"")</f>
        <v>BBB</v>
      </c>
      <c r="I315" t="str">
        <f>IFERROR(_xlfn.XLOOKUP($A315,Planilha2!$P$2:$P$38,Planilha2!S$2:S$38,"",-1),"")</f>
        <v>A-</v>
      </c>
      <c r="J315" t="str" cm="1">
        <f t="array" ref="J315">IF($A315&lt;MIN(Planilha2!$P$2:$P$38),"",_xlfn.LET(_xlpm.t,_xlfn.XLOOKUP($A315,Planilha2!$P$2:$P$38,Planilha2!$T$2:$T$38,"",-1),_xlfn.IFS(ISNUMBER(SEARCH("positiva",_xlpm.t)),"Positiva",ISNUMBER(SEARCH("negativa",_xlpm.t)),"Negativa",ISNUMBER(SEARCH("estável",_xlpm.t)),"Estável",TRUE,"n/d")))</f>
        <v>Estável</v>
      </c>
      <c r="L315" s="52">
        <f>IFERROR(_xlfn.XLOOKUP(B315,'Agências de Rating Soberano'!$G$2:$G$22,'Agências de Rating Soberano'!$H$2:$H$22),NA())</f>
        <v>13</v>
      </c>
      <c r="M315" s="52">
        <f>IFERROR(_xlfn.XLOOKUP(C315,'Agências de Rating Soberano'!$G$2:$G$22,'Agências de Rating Soberano'!$H$2:$H$22),NA())</f>
        <v>13</v>
      </c>
      <c r="N315" s="52">
        <f>IFERROR(_xlfn.XLOOKUP(E315,'Agências de Rating Soberano'!$J$2:$J$22,'Agências de Rating Soberano'!$K$2:$K$22),NA())</f>
        <v>13</v>
      </c>
      <c r="O315" s="52">
        <f>IFERROR(_xlfn.XLOOKUP(F315,'Agências de Rating Soberano'!$J$2:$J$22,'Agências de Rating Soberano'!$K$2:$K$22),NA())</f>
        <v>13</v>
      </c>
      <c r="P315" s="52">
        <f>IFERROR(_xlfn.XLOOKUP(H315,'Agências de Rating Soberano'!$J$2:$J$22,'Agências de Rating Soberano'!$K$2:$K$22),NA())</f>
        <v>13</v>
      </c>
      <c r="Q315" s="52">
        <f>IFERROR(_xlfn.XLOOKUP(I315,'Agências de Rating Soberano'!$J$2:$J$22,'Agências de Rating Soberano'!$K$2:$K$22),NA())</f>
        <v>15</v>
      </c>
    </row>
    <row r="316" spans="1:17" x14ac:dyDescent="0.3">
      <c r="A316" s="53">
        <f t="shared" si="11"/>
        <v>41305</v>
      </c>
      <c r="B316" t="str">
        <f>IFERROR(_xlfn.XLOOKUP($A316,Planilha2!$A$2:$A$34,Planilha2!C$2:C$34,"",-1),"")</f>
        <v>Baa2</v>
      </c>
      <c r="C316" t="str">
        <f>IFERROR(_xlfn.XLOOKUP($A316,Planilha2!$A$2:$A$34,Planilha2!D$2:D$34,"",-1),"")</f>
        <v>Baa2</v>
      </c>
      <c r="D316" t="str" cm="1">
        <f t="array" ref="D316">IF($A316&lt;MIN(Planilha2!$A$2:$A$34),"",_xlfn.LET(_xlpm.t,_xlfn.XLOOKUP($A316,Planilha2!$A$2:$A$34,Planilha2!$E$2:$E$34,"",-1),_xlfn.IFS(ISNUMBER(SEARCH("positiva",_xlpm.t)),"Positiva",ISNUMBER(SEARCH("negativa",_xlpm.t)),"Negativa",ISNUMBER(SEARCH("estável",_xlpm.t)),"Estável",TRUE,"n/d")))</f>
        <v>Positiva</v>
      </c>
      <c r="E316" t="str">
        <f>IFERROR(_xlfn.XLOOKUP($A316,Planilha2!$J$2:$J$44,Planilha2!L$2:L$44,"",-1),"")</f>
        <v>BBB</v>
      </c>
      <c r="F316" t="str">
        <f>IFERROR(_xlfn.XLOOKUP($A316,Planilha2!$J$2:$J$44,Planilha2!M$2:M$44,"",-1),"")</f>
        <v>BBB</v>
      </c>
      <c r="G316" t="str" cm="1">
        <f t="array" ref="G316">IF($A316&lt;MIN(Planilha2!$J$2:$J$44),"",_xlfn.LET(_xlpm.t,_xlfn.XLOOKUP($A316,Planilha2!$J$2:$J$44,Planilha2!$N$2:$N$44,"",-1),_xlfn.IFS(ISNUMBER(SEARCH("positiva",_xlpm.t)),"Positiva",ISNUMBER(SEARCH("negativa",_xlpm.t)),"Negativa",ISNUMBER(SEARCH("estável",_xlpm.t)),"Estável",TRUE,"n/d")))</f>
        <v>Estável</v>
      </c>
      <c r="H316" t="str">
        <f>IFERROR(_xlfn.XLOOKUP($A316,Planilha2!$P$2:$P$38,Planilha2!R$2:R$38,"",-1),"")</f>
        <v>BBB</v>
      </c>
      <c r="I316" t="str">
        <f>IFERROR(_xlfn.XLOOKUP($A316,Planilha2!$P$2:$P$38,Planilha2!S$2:S$38,"",-1),"")</f>
        <v>A-</v>
      </c>
      <c r="J316" t="str" cm="1">
        <f t="array" ref="J316">IF($A316&lt;MIN(Planilha2!$P$2:$P$38),"",_xlfn.LET(_xlpm.t,_xlfn.XLOOKUP($A316,Planilha2!$P$2:$P$38,Planilha2!$T$2:$T$38,"",-1),_xlfn.IFS(ISNUMBER(SEARCH("positiva",_xlpm.t)),"Positiva",ISNUMBER(SEARCH("negativa",_xlpm.t)),"Negativa",ISNUMBER(SEARCH("estável",_xlpm.t)),"Estável",TRUE,"n/d")))</f>
        <v>Estável</v>
      </c>
      <c r="L316" s="52">
        <f>IFERROR(_xlfn.XLOOKUP(B316,'Agências de Rating Soberano'!$G$2:$G$22,'Agências de Rating Soberano'!$H$2:$H$22),NA())</f>
        <v>13</v>
      </c>
      <c r="M316" s="52">
        <f>IFERROR(_xlfn.XLOOKUP(C316,'Agências de Rating Soberano'!$G$2:$G$22,'Agências de Rating Soberano'!$H$2:$H$22),NA())</f>
        <v>13</v>
      </c>
      <c r="N316" s="52">
        <f>IFERROR(_xlfn.XLOOKUP(E316,'Agências de Rating Soberano'!$J$2:$J$22,'Agências de Rating Soberano'!$K$2:$K$22),NA())</f>
        <v>13</v>
      </c>
      <c r="O316" s="52">
        <f>IFERROR(_xlfn.XLOOKUP(F316,'Agências de Rating Soberano'!$J$2:$J$22,'Agências de Rating Soberano'!$K$2:$K$22),NA())</f>
        <v>13</v>
      </c>
      <c r="P316" s="52">
        <f>IFERROR(_xlfn.XLOOKUP(H316,'Agências de Rating Soberano'!$J$2:$J$22,'Agências de Rating Soberano'!$K$2:$K$22),NA())</f>
        <v>13</v>
      </c>
      <c r="Q316" s="52">
        <f>IFERROR(_xlfn.XLOOKUP(I316,'Agências de Rating Soberano'!$J$2:$J$22,'Agências de Rating Soberano'!$K$2:$K$22),NA())</f>
        <v>15</v>
      </c>
    </row>
    <row r="317" spans="1:17" x14ac:dyDescent="0.3">
      <c r="A317" s="53">
        <f t="shared" si="11"/>
        <v>41333</v>
      </c>
      <c r="B317" t="str">
        <f>IFERROR(_xlfn.XLOOKUP($A317,Planilha2!$A$2:$A$34,Planilha2!C$2:C$34,"",-1),"")</f>
        <v>Baa2</v>
      </c>
      <c r="C317" t="str">
        <f>IFERROR(_xlfn.XLOOKUP($A317,Planilha2!$A$2:$A$34,Planilha2!D$2:D$34,"",-1),"")</f>
        <v>Baa2</v>
      </c>
      <c r="D317" t="str" cm="1">
        <f t="array" ref="D317">IF($A317&lt;MIN(Planilha2!$A$2:$A$34),"",_xlfn.LET(_xlpm.t,_xlfn.XLOOKUP($A317,Planilha2!$A$2:$A$34,Planilha2!$E$2:$E$34,"",-1),_xlfn.IFS(ISNUMBER(SEARCH("positiva",_xlpm.t)),"Positiva",ISNUMBER(SEARCH("negativa",_xlpm.t)),"Negativa",ISNUMBER(SEARCH("estável",_xlpm.t)),"Estável",TRUE,"n/d")))</f>
        <v>Positiva</v>
      </c>
      <c r="E317" t="str">
        <f>IFERROR(_xlfn.XLOOKUP($A317,Planilha2!$J$2:$J$44,Planilha2!L$2:L$44,"",-1),"")</f>
        <v>BBB</v>
      </c>
      <c r="F317" t="str">
        <f>IFERROR(_xlfn.XLOOKUP($A317,Planilha2!$J$2:$J$44,Planilha2!M$2:M$44,"",-1),"")</f>
        <v>BBB</v>
      </c>
      <c r="G317" t="str" cm="1">
        <f t="array" ref="G317">IF($A317&lt;MIN(Planilha2!$J$2:$J$44),"",_xlfn.LET(_xlpm.t,_xlfn.XLOOKUP($A317,Planilha2!$J$2:$J$44,Planilha2!$N$2:$N$44,"",-1),_xlfn.IFS(ISNUMBER(SEARCH("positiva",_xlpm.t)),"Positiva",ISNUMBER(SEARCH("negativa",_xlpm.t)),"Negativa",ISNUMBER(SEARCH("estável",_xlpm.t)),"Estável",TRUE,"n/d")))</f>
        <v>Estável</v>
      </c>
      <c r="H317" t="str">
        <f>IFERROR(_xlfn.XLOOKUP($A317,Planilha2!$P$2:$P$38,Planilha2!R$2:R$38,"",-1),"")</f>
        <v>BBB</v>
      </c>
      <c r="I317" t="str">
        <f>IFERROR(_xlfn.XLOOKUP($A317,Planilha2!$P$2:$P$38,Planilha2!S$2:S$38,"",-1),"")</f>
        <v>A-</v>
      </c>
      <c r="J317" t="str" cm="1">
        <f t="array" ref="J317">IF($A317&lt;MIN(Planilha2!$P$2:$P$38),"",_xlfn.LET(_xlpm.t,_xlfn.XLOOKUP($A317,Planilha2!$P$2:$P$38,Planilha2!$T$2:$T$38,"",-1),_xlfn.IFS(ISNUMBER(SEARCH("positiva",_xlpm.t)),"Positiva",ISNUMBER(SEARCH("negativa",_xlpm.t)),"Negativa",ISNUMBER(SEARCH("estável",_xlpm.t)),"Estável",TRUE,"n/d")))</f>
        <v>Estável</v>
      </c>
      <c r="L317" s="52">
        <f>IFERROR(_xlfn.XLOOKUP(B317,'Agências de Rating Soberano'!$G$2:$G$22,'Agências de Rating Soberano'!$H$2:$H$22),NA())</f>
        <v>13</v>
      </c>
      <c r="M317" s="52">
        <f>IFERROR(_xlfn.XLOOKUP(C317,'Agências de Rating Soberano'!$G$2:$G$22,'Agências de Rating Soberano'!$H$2:$H$22),NA())</f>
        <v>13</v>
      </c>
      <c r="N317" s="52">
        <f>IFERROR(_xlfn.XLOOKUP(E317,'Agências de Rating Soberano'!$J$2:$J$22,'Agências de Rating Soberano'!$K$2:$K$22),NA())</f>
        <v>13</v>
      </c>
      <c r="O317" s="52">
        <f>IFERROR(_xlfn.XLOOKUP(F317,'Agências de Rating Soberano'!$J$2:$J$22,'Agências de Rating Soberano'!$K$2:$K$22),NA())</f>
        <v>13</v>
      </c>
      <c r="P317" s="52">
        <f>IFERROR(_xlfn.XLOOKUP(H317,'Agências de Rating Soberano'!$J$2:$J$22,'Agências de Rating Soberano'!$K$2:$K$22),NA())</f>
        <v>13</v>
      </c>
      <c r="Q317" s="52">
        <f>IFERROR(_xlfn.XLOOKUP(I317,'Agências de Rating Soberano'!$J$2:$J$22,'Agências de Rating Soberano'!$K$2:$K$22),NA())</f>
        <v>15</v>
      </c>
    </row>
    <row r="318" spans="1:17" x14ac:dyDescent="0.3">
      <c r="A318" s="53">
        <f t="shared" si="11"/>
        <v>41364</v>
      </c>
      <c r="B318" t="str">
        <f>IFERROR(_xlfn.XLOOKUP($A318,Planilha2!$A$2:$A$34,Planilha2!C$2:C$34,"",-1),"")</f>
        <v>Baa2</v>
      </c>
      <c r="C318" t="str">
        <f>IFERROR(_xlfn.XLOOKUP($A318,Planilha2!$A$2:$A$34,Planilha2!D$2:D$34,"",-1),"")</f>
        <v>Baa2</v>
      </c>
      <c r="D318" t="str" cm="1">
        <f t="array" ref="D318">IF($A318&lt;MIN(Planilha2!$A$2:$A$34),"",_xlfn.LET(_xlpm.t,_xlfn.XLOOKUP($A318,Planilha2!$A$2:$A$34,Planilha2!$E$2:$E$34,"",-1),_xlfn.IFS(ISNUMBER(SEARCH("positiva",_xlpm.t)),"Positiva",ISNUMBER(SEARCH("negativa",_xlpm.t)),"Negativa",ISNUMBER(SEARCH("estável",_xlpm.t)),"Estável",TRUE,"n/d")))</f>
        <v>Positiva</v>
      </c>
      <c r="E318" t="str">
        <f>IFERROR(_xlfn.XLOOKUP($A318,Planilha2!$J$2:$J$44,Planilha2!L$2:L$44,"",-1),"")</f>
        <v>BBB</v>
      </c>
      <c r="F318" t="str">
        <f>IFERROR(_xlfn.XLOOKUP($A318,Planilha2!$J$2:$J$44,Planilha2!M$2:M$44,"",-1),"")</f>
        <v>BBB</v>
      </c>
      <c r="G318" t="str" cm="1">
        <f t="array" ref="G318">IF($A318&lt;MIN(Planilha2!$J$2:$J$44),"",_xlfn.LET(_xlpm.t,_xlfn.XLOOKUP($A318,Planilha2!$J$2:$J$44,Planilha2!$N$2:$N$44,"",-1),_xlfn.IFS(ISNUMBER(SEARCH("positiva",_xlpm.t)),"Positiva",ISNUMBER(SEARCH("negativa",_xlpm.t)),"Negativa",ISNUMBER(SEARCH("estável",_xlpm.t)),"Estável",TRUE,"n/d")))</f>
        <v>Estável</v>
      </c>
      <c r="H318" t="str">
        <f>IFERROR(_xlfn.XLOOKUP($A318,Planilha2!$P$2:$P$38,Planilha2!R$2:R$38,"",-1),"")</f>
        <v>BBB</v>
      </c>
      <c r="I318" t="str">
        <f>IFERROR(_xlfn.XLOOKUP($A318,Planilha2!$P$2:$P$38,Planilha2!S$2:S$38,"",-1),"")</f>
        <v>A-</v>
      </c>
      <c r="J318" t="str" cm="1">
        <f t="array" ref="J318">IF($A318&lt;MIN(Planilha2!$P$2:$P$38),"",_xlfn.LET(_xlpm.t,_xlfn.XLOOKUP($A318,Planilha2!$P$2:$P$38,Planilha2!$T$2:$T$38,"",-1),_xlfn.IFS(ISNUMBER(SEARCH("positiva",_xlpm.t)),"Positiva",ISNUMBER(SEARCH("negativa",_xlpm.t)),"Negativa",ISNUMBER(SEARCH("estável",_xlpm.t)),"Estável",TRUE,"n/d")))</f>
        <v>Estável</v>
      </c>
      <c r="L318" s="52">
        <f>IFERROR(_xlfn.XLOOKUP(B318,'Agências de Rating Soberano'!$G$2:$G$22,'Agências de Rating Soberano'!$H$2:$H$22),NA())</f>
        <v>13</v>
      </c>
      <c r="M318" s="52">
        <f>IFERROR(_xlfn.XLOOKUP(C318,'Agências de Rating Soberano'!$G$2:$G$22,'Agências de Rating Soberano'!$H$2:$H$22),NA())</f>
        <v>13</v>
      </c>
      <c r="N318" s="52">
        <f>IFERROR(_xlfn.XLOOKUP(E318,'Agências de Rating Soberano'!$J$2:$J$22,'Agências de Rating Soberano'!$K$2:$K$22),NA())</f>
        <v>13</v>
      </c>
      <c r="O318" s="52">
        <f>IFERROR(_xlfn.XLOOKUP(F318,'Agências de Rating Soberano'!$J$2:$J$22,'Agências de Rating Soberano'!$K$2:$K$22),NA())</f>
        <v>13</v>
      </c>
      <c r="P318" s="52">
        <f>IFERROR(_xlfn.XLOOKUP(H318,'Agências de Rating Soberano'!$J$2:$J$22,'Agências de Rating Soberano'!$K$2:$K$22),NA())</f>
        <v>13</v>
      </c>
      <c r="Q318" s="52">
        <f>IFERROR(_xlfn.XLOOKUP(I318,'Agências de Rating Soberano'!$J$2:$J$22,'Agências de Rating Soberano'!$K$2:$K$22),NA())</f>
        <v>15</v>
      </c>
    </row>
    <row r="319" spans="1:17" x14ac:dyDescent="0.3">
      <c r="A319" s="53">
        <f t="shared" si="11"/>
        <v>41394</v>
      </c>
      <c r="B319" t="str">
        <f>IFERROR(_xlfn.XLOOKUP($A319,Planilha2!$A$2:$A$34,Planilha2!C$2:C$34,"",-1),"")</f>
        <v>Baa2</v>
      </c>
      <c r="C319" t="str">
        <f>IFERROR(_xlfn.XLOOKUP($A319,Planilha2!$A$2:$A$34,Planilha2!D$2:D$34,"",-1),"")</f>
        <v>Baa2</v>
      </c>
      <c r="D319" t="str" cm="1">
        <f t="array" ref="D319">IF($A319&lt;MIN(Planilha2!$A$2:$A$34),"",_xlfn.LET(_xlpm.t,_xlfn.XLOOKUP($A319,Planilha2!$A$2:$A$34,Planilha2!$E$2:$E$34,"",-1),_xlfn.IFS(ISNUMBER(SEARCH("positiva",_xlpm.t)),"Positiva",ISNUMBER(SEARCH("negativa",_xlpm.t)),"Negativa",ISNUMBER(SEARCH("estável",_xlpm.t)),"Estável",TRUE,"n/d")))</f>
        <v>Positiva</v>
      </c>
      <c r="E319" t="str">
        <f>IFERROR(_xlfn.XLOOKUP($A319,Planilha2!$J$2:$J$44,Planilha2!L$2:L$44,"",-1),"")</f>
        <v>BBB</v>
      </c>
      <c r="F319" t="str">
        <f>IFERROR(_xlfn.XLOOKUP($A319,Planilha2!$J$2:$J$44,Planilha2!M$2:M$44,"",-1),"")</f>
        <v>BBB</v>
      </c>
      <c r="G319" t="str" cm="1">
        <f t="array" ref="G319">IF($A319&lt;MIN(Planilha2!$J$2:$J$44),"",_xlfn.LET(_xlpm.t,_xlfn.XLOOKUP($A319,Planilha2!$J$2:$J$44,Planilha2!$N$2:$N$44,"",-1),_xlfn.IFS(ISNUMBER(SEARCH("positiva",_xlpm.t)),"Positiva",ISNUMBER(SEARCH("negativa",_xlpm.t)),"Negativa",ISNUMBER(SEARCH("estável",_xlpm.t)),"Estável",TRUE,"n/d")))</f>
        <v>Estável</v>
      </c>
      <c r="H319" t="str">
        <f>IFERROR(_xlfn.XLOOKUP($A319,Planilha2!$P$2:$P$38,Planilha2!R$2:R$38,"",-1),"")</f>
        <v>BBB</v>
      </c>
      <c r="I319" t="str">
        <f>IFERROR(_xlfn.XLOOKUP($A319,Planilha2!$P$2:$P$38,Planilha2!S$2:S$38,"",-1),"")</f>
        <v>A-</v>
      </c>
      <c r="J319" t="str" cm="1">
        <f t="array" ref="J319">IF($A319&lt;MIN(Planilha2!$P$2:$P$38),"",_xlfn.LET(_xlpm.t,_xlfn.XLOOKUP($A319,Planilha2!$P$2:$P$38,Planilha2!$T$2:$T$38,"",-1),_xlfn.IFS(ISNUMBER(SEARCH("positiva",_xlpm.t)),"Positiva",ISNUMBER(SEARCH("negativa",_xlpm.t)),"Negativa",ISNUMBER(SEARCH("estável",_xlpm.t)),"Estável",TRUE,"n/d")))</f>
        <v>Estável</v>
      </c>
      <c r="L319" s="52">
        <f>IFERROR(_xlfn.XLOOKUP(B319,'Agências de Rating Soberano'!$G$2:$G$22,'Agências de Rating Soberano'!$H$2:$H$22),NA())</f>
        <v>13</v>
      </c>
      <c r="M319" s="52">
        <f>IFERROR(_xlfn.XLOOKUP(C319,'Agências de Rating Soberano'!$G$2:$G$22,'Agências de Rating Soberano'!$H$2:$H$22),NA())</f>
        <v>13</v>
      </c>
      <c r="N319" s="52">
        <f>IFERROR(_xlfn.XLOOKUP(E319,'Agências de Rating Soberano'!$J$2:$J$22,'Agências de Rating Soberano'!$K$2:$K$22),NA())</f>
        <v>13</v>
      </c>
      <c r="O319" s="52">
        <f>IFERROR(_xlfn.XLOOKUP(F319,'Agências de Rating Soberano'!$J$2:$J$22,'Agências de Rating Soberano'!$K$2:$K$22),NA())</f>
        <v>13</v>
      </c>
      <c r="P319" s="52">
        <f>IFERROR(_xlfn.XLOOKUP(H319,'Agências de Rating Soberano'!$J$2:$J$22,'Agências de Rating Soberano'!$K$2:$K$22),NA())</f>
        <v>13</v>
      </c>
      <c r="Q319" s="52">
        <f>IFERROR(_xlfn.XLOOKUP(I319,'Agências de Rating Soberano'!$J$2:$J$22,'Agências de Rating Soberano'!$K$2:$K$22),NA())</f>
        <v>15</v>
      </c>
    </row>
    <row r="320" spans="1:17" x14ac:dyDescent="0.3">
      <c r="A320" s="53">
        <f t="shared" si="11"/>
        <v>41425</v>
      </c>
      <c r="B320" t="str">
        <f>IFERROR(_xlfn.XLOOKUP($A320,Planilha2!$A$2:$A$34,Planilha2!C$2:C$34,"",-1),"")</f>
        <v>Baa2</v>
      </c>
      <c r="C320" t="str">
        <f>IFERROR(_xlfn.XLOOKUP($A320,Planilha2!$A$2:$A$34,Planilha2!D$2:D$34,"",-1),"")</f>
        <v>Baa2</v>
      </c>
      <c r="D320" t="str" cm="1">
        <f t="array" ref="D320">IF($A320&lt;MIN(Planilha2!$A$2:$A$34),"",_xlfn.LET(_xlpm.t,_xlfn.XLOOKUP($A320,Planilha2!$A$2:$A$34,Planilha2!$E$2:$E$34,"",-1),_xlfn.IFS(ISNUMBER(SEARCH("positiva",_xlpm.t)),"Positiva",ISNUMBER(SEARCH("negativa",_xlpm.t)),"Negativa",ISNUMBER(SEARCH("estável",_xlpm.t)),"Estável",TRUE,"n/d")))</f>
        <v>Positiva</v>
      </c>
      <c r="E320" t="str">
        <f>IFERROR(_xlfn.XLOOKUP($A320,Planilha2!$J$2:$J$44,Planilha2!L$2:L$44,"",-1),"")</f>
        <v>BBB</v>
      </c>
      <c r="F320" t="str">
        <f>IFERROR(_xlfn.XLOOKUP($A320,Planilha2!$J$2:$J$44,Planilha2!M$2:M$44,"",-1),"")</f>
        <v>BBB</v>
      </c>
      <c r="G320" t="str" cm="1">
        <f t="array" ref="G320">IF($A320&lt;MIN(Planilha2!$J$2:$J$44),"",_xlfn.LET(_xlpm.t,_xlfn.XLOOKUP($A320,Planilha2!$J$2:$J$44,Planilha2!$N$2:$N$44,"",-1),_xlfn.IFS(ISNUMBER(SEARCH("positiva",_xlpm.t)),"Positiva",ISNUMBER(SEARCH("negativa",_xlpm.t)),"Negativa",ISNUMBER(SEARCH("estável",_xlpm.t)),"Estável",TRUE,"n/d")))</f>
        <v>Estável</v>
      </c>
      <c r="H320" t="str">
        <f>IFERROR(_xlfn.XLOOKUP($A320,Planilha2!$P$2:$P$38,Planilha2!R$2:R$38,"",-1),"")</f>
        <v>BBB</v>
      </c>
      <c r="I320" t="str">
        <f>IFERROR(_xlfn.XLOOKUP($A320,Planilha2!$P$2:$P$38,Planilha2!S$2:S$38,"",-1),"")</f>
        <v>A-</v>
      </c>
      <c r="J320" t="str" cm="1">
        <f t="array" ref="J320">IF($A320&lt;MIN(Planilha2!$P$2:$P$38),"",_xlfn.LET(_xlpm.t,_xlfn.XLOOKUP($A320,Planilha2!$P$2:$P$38,Planilha2!$T$2:$T$38,"",-1),_xlfn.IFS(ISNUMBER(SEARCH("positiva",_xlpm.t)),"Positiva",ISNUMBER(SEARCH("negativa",_xlpm.t)),"Negativa",ISNUMBER(SEARCH("estável",_xlpm.t)),"Estável",TRUE,"n/d")))</f>
        <v>Estável</v>
      </c>
      <c r="L320" s="52">
        <f>IFERROR(_xlfn.XLOOKUP(B320,'Agências de Rating Soberano'!$G$2:$G$22,'Agências de Rating Soberano'!$H$2:$H$22),NA())</f>
        <v>13</v>
      </c>
      <c r="M320" s="52">
        <f>IFERROR(_xlfn.XLOOKUP(C320,'Agências de Rating Soberano'!$G$2:$G$22,'Agências de Rating Soberano'!$H$2:$H$22),NA())</f>
        <v>13</v>
      </c>
      <c r="N320" s="52">
        <f>IFERROR(_xlfn.XLOOKUP(E320,'Agências de Rating Soberano'!$J$2:$J$22,'Agências de Rating Soberano'!$K$2:$K$22),NA())</f>
        <v>13</v>
      </c>
      <c r="O320" s="52">
        <f>IFERROR(_xlfn.XLOOKUP(F320,'Agências de Rating Soberano'!$J$2:$J$22,'Agências de Rating Soberano'!$K$2:$K$22),NA())</f>
        <v>13</v>
      </c>
      <c r="P320" s="52">
        <f>IFERROR(_xlfn.XLOOKUP(H320,'Agências de Rating Soberano'!$J$2:$J$22,'Agências de Rating Soberano'!$K$2:$K$22),NA())</f>
        <v>13</v>
      </c>
      <c r="Q320" s="52">
        <f>IFERROR(_xlfn.XLOOKUP(I320,'Agências de Rating Soberano'!$J$2:$J$22,'Agências de Rating Soberano'!$K$2:$K$22),NA())</f>
        <v>15</v>
      </c>
    </row>
    <row r="321" spans="1:17" x14ac:dyDescent="0.3">
      <c r="A321" s="53">
        <f t="shared" si="11"/>
        <v>41455</v>
      </c>
      <c r="B321" t="str">
        <f>IFERROR(_xlfn.XLOOKUP($A321,Planilha2!$A$2:$A$34,Planilha2!C$2:C$34,"",-1),"")</f>
        <v>Baa2</v>
      </c>
      <c r="C321" t="str">
        <f>IFERROR(_xlfn.XLOOKUP($A321,Planilha2!$A$2:$A$34,Planilha2!D$2:D$34,"",-1),"")</f>
        <v>Baa2</v>
      </c>
      <c r="D321" t="str" cm="1">
        <f t="array" ref="D321">IF($A321&lt;MIN(Planilha2!$A$2:$A$34),"",_xlfn.LET(_xlpm.t,_xlfn.XLOOKUP($A321,Planilha2!$A$2:$A$34,Planilha2!$E$2:$E$34,"",-1),_xlfn.IFS(ISNUMBER(SEARCH("positiva",_xlpm.t)),"Positiva",ISNUMBER(SEARCH("negativa",_xlpm.t)),"Negativa",ISNUMBER(SEARCH("estável",_xlpm.t)),"Estável",TRUE,"n/d")))</f>
        <v>Positiva</v>
      </c>
      <c r="E321" t="str">
        <f>IFERROR(_xlfn.XLOOKUP($A321,Planilha2!$J$2:$J$44,Planilha2!L$2:L$44,"",-1),"")</f>
        <v>BBB</v>
      </c>
      <c r="F321" t="str">
        <f>IFERROR(_xlfn.XLOOKUP($A321,Planilha2!$J$2:$J$44,Planilha2!M$2:M$44,"",-1),"")</f>
        <v>BBB</v>
      </c>
      <c r="G321" t="str" cm="1">
        <f t="array" ref="G321">IF($A321&lt;MIN(Planilha2!$J$2:$J$44),"",_xlfn.LET(_xlpm.t,_xlfn.XLOOKUP($A321,Planilha2!$J$2:$J$44,Planilha2!$N$2:$N$44,"",-1),_xlfn.IFS(ISNUMBER(SEARCH("positiva",_xlpm.t)),"Positiva",ISNUMBER(SEARCH("negativa",_xlpm.t)),"Negativa",ISNUMBER(SEARCH("estável",_xlpm.t)),"Estável",TRUE,"n/d")))</f>
        <v>Estável</v>
      </c>
      <c r="H321" t="str">
        <f>IFERROR(_xlfn.XLOOKUP($A321,Planilha2!$P$2:$P$38,Planilha2!R$2:R$38,"",-1),"")</f>
        <v>BBB</v>
      </c>
      <c r="I321" t="str">
        <f>IFERROR(_xlfn.XLOOKUP($A321,Planilha2!$P$2:$P$38,Planilha2!S$2:S$38,"",-1),"")</f>
        <v>A-</v>
      </c>
      <c r="J321" t="str" cm="1">
        <f t="array" ref="J321">IF($A321&lt;MIN(Planilha2!$P$2:$P$38),"",_xlfn.LET(_xlpm.t,_xlfn.XLOOKUP($A321,Planilha2!$P$2:$P$38,Planilha2!$T$2:$T$38,"",-1),_xlfn.IFS(ISNUMBER(SEARCH("positiva",_xlpm.t)),"Positiva",ISNUMBER(SEARCH("negativa",_xlpm.t)),"Negativa",ISNUMBER(SEARCH("estável",_xlpm.t)),"Estável",TRUE,"n/d")))</f>
        <v>Negativa</v>
      </c>
      <c r="L321" s="52">
        <f>IFERROR(_xlfn.XLOOKUP(B321,'Agências de Rating Soberano'!$G$2:$G$22,'Agências de Rating Soberano'!$H$2:$H$22),NA())</f>
        <v>13</v>
      </c>
      <c r="M321" s="52">
        <f>IFERROR(_xlfn.XLOOKUP(C321,'Agências de Rating Soberano'!$G$2:$G$22,'Agências de Rating Soberano'!$H$2:$H$22),NA())</f>
        <v>13</v>
      </c>
      <c r="N321" s="52">
        <f>IFERROR(_xlfn.XLOOKUP(E321,'Agências de Rating Soberano'!$J$2:$J$22,'Agências de Rating Soberano'!$K$2:$K$22),NA())</f>
        <v>13</v>
      </c>
      <c r="O321" s="52">
        <f>IFERROR(_xlfn.XLOOKUP(F321,'Agências de Rating Soberano'!$J$2:$J$22,'Agências de Rating Soberano'!$K$2:$K$22),NA())</f>
        <v>13</v>
      </c>
      <c r="P321" s="52">
        <f>IFERROR(_xlfn.XLOOKUP(H321,'Agências de Rating Soberano'!$J$2:$J$22,'Agências de Rating Soberano'!$K$2:$K$22),NA())</f>
        <v>13</v>
      </c>
      <c r="Q321" s="52">
        <f>IFERROR(_xlfn.XLOOKUP(I321,'Agências de Rating Soberano'!$J$2:$J$22,'Agências de Rating Soberano'!$K$2:$K$22),NA())</f>
        <v>15</v>
      </c>
    </row>
    <row r="322" spans="1:17" x14ac:dyDescent="0.3">
      <c r="A322" s="53">
        <f t="shared" si="11"/>
        <v>41486</v>
      </c>
      <c r="B322" t="str">
        <f>IFERROR(_xlfn.XLOOKUP($A322,Planilha2!$A$2:$A$34,Planilha2!C$2:C$34,"",-1),"")</f>
        <v>Baa2</v>
      </c>
      <c r="C322" t="str">
        <f>IFERROR(_xlfn.XLOOKUP($A322,Planilha2!$A$2:$A$34,Planilha2!D$2:D$34,"",-1),"")</f>
        <v>Baa2</v>
      </c>
      <c r="D322" t="str" cm="1">
        <f t="array" ref="D322">IF($A322&lt;MIN(Planilha2!$A$2:$A$34),"",_xlfn.LET(_xlpm.t,_xlfn.XLOOKUP($A322,Planilha2!$A$2:$A$34,Planilha2!$E$2:$E$34,"",-1),_xlfn.IFS(ISNUMBER(SEARCH("positiva",_xlpm.t)),"Positiva",ISNUMBER(SEARCH("negativa",_xlpm.t)),"Negativa",ISNUMBER(SEARCH("estável",_xlpm.t)),"Estável",TRUE,"n/d")))</f>
        <v>Positiva</v>
      </c>
      <c r="E322" t="str">
        <f>IFERROR(_xlfn.XLOOKUP($A322,Planilha2!$J$2:$J$44,Planilha2!L$2:L$44,"",-1),"")</f>
        <v>BBB</v>
      </c>
      <c r="F322" t="str">
        <f>IFERROR(_xlfn.XLOOKUP($A322,Planilha2!$J$2:$J$44,Planilha2!M$2:M$44,"",-1),"")</f>
        <v>BBB</v>
      </c>
      <c r="G322" t="str" cm="1">
        <f t="array" ref="G322">IF($A322&lt;MIN(Planilha2!$J$2:$J$44),"",_xlfn.LET(_xlpm.t,_xlfn.XLOOKUP($A322,Planilha2!$J$2:$J$44,Planilha2!$N$2:$N$44,"",-1),_xlfn.IFS(ISNUMBER(SEARCH("positiva",_xlpm.t)),"Positiva",ISNUMBER(SEARCH("negativa",_xlpm.t)),"Negativa",ISNUMBER(SEARCH("estável",_xlpm.t)),"Estável",TRUE,"n/d")))</f>
        <v>Estável</v>
      </c>
      <c r="H322" t="str">
        <f>IFERROR(_xlfn.XLOOKUP($A322,Planilha2!$P$2:$P$38,Planilha2!R$2:R$38,"",-1),"")</f>
        <v>BBB</v>
      </c>
      <c r="I322" t="str">
        <f>IFERROR(_xlfn.XLOOKUP($A322,Planilha2!$P$2:$P$38,Planilha2!S$2:S$38,"",-1),"")</f>
        <v>A-</v>
      </c>
      <c r="J322" t="str" cm="1">
        <f t="array" ref="J322">IF($A322&lt;MIN(Planilha2!$P$2:$P$38),"",_xlfn.LET(_xlpm.t,_xlfn.XLOOKUP($A322,Planilha2!$P$2:$P$38,Planilha2!$T$2:$T$38,"",-1),_xlfn.IFS(ISNUMBER(SEARCH("positiva",_xlpm.t)),"Positiva",ISNUMBER(SEARCH("negativa",_xlpm.t)),"Negativa",ISNUMBER(SEARCH("estável",_xlpm.t)),"Estável",TRUE,"n/d")))</f>
        <v>Negativa</v>
      </c>
      <c r="L322" s="52">
        <f>IFERROR(_xlfn.XLOOKUP(B322,'Agências de Rating Soberano'!$G$2:$G$22,'Agências de Rating Soberano'!$H$2:$H$22),NA())</f>
        <v>13</v>
      </c>
      <c r="M322" s="52">
        <f>IFERROR(_xlfn.XLOOKUP(C322,'Agências de Rating Soberano'!$G$2:$G$22,'Agências de Rating Soberano'!$H$2:$H$22),NA())</f>
        <v>13</v>
      </c>
      <c r="N322" s="52">
        <f>IFERROR(_xlfn.XLOOKUP(E322,'Agências de Rating Soberano'!$J$2:$J$22,'Agências de Rating Soberano'!$K$2:$K$22),NA())</f>
        <v>13</v>
      </c>
      <c r="O322" s="52">
        <f>IFERROR(_xlfn.XLOOKUP(F322,'Agências de Rating Soberano'!$J$2:$J$22,'Agências de Rating Soberano'!$K$2:$K$22),NA())</f>
        <v>13</v>
      </c>
      <c r="P322" s="52">
        <f>IFERROR(_xlfn.XLOOKUP(H322,'Agências de Rating Soberano'!$J$2:$J$22,'Agências de Rating Soberano'!$K$2:$K$22),NA())</f>
        <v>13</v>
      </c>
      <c r="Q322" s="52">
        <f>IFERROR(_xlfn.XLOOKUP(I322,'Agências de Rating Soberano'!$J$2:$J$22,'Agências de Rating Soberano'!$K$2:$K$22),NA())</f>
        <v>15</v>
      </c>
    </row>
    <row r="323" spans="1:17" x14ac:dyDescent="0.3">
      <c r="A323" s="53">
        <f t="shared" si="11"/>
        <v>41517</v>
      </c>
      <c r="B323" t="str">
        <f>IFERROR(_xlfn.XLOOKUP($A323,Planilha2!$A$2:$A$34,Planilha2!C$2:C$34,"",-1),"")</f>
        <v>Baa2</v>
      </c>
      <c r="C323" t="str">
        <f>IFERROR(_xlfn.XLOOKUP($A323,Planilha2!$A$2:$A$34,Planilha2!D$2:D$34,"",-1),"")</f>
        <v>Baa2</v>
      </c>
      <c r="D323" t="str" cm="1">
        <f t="array" ref="D323">IF($A323&lt;MIN(Planilha2!$A$2:$A$34),"",_xlfn.LET(_xlpm.t,_xlfn.XLOOKUP($A323,Planilha2!$A$2:$A$34,Planilha2!$E$2:$E$34,"",-1),_xlfn.IFS(ISNUMBER(SEARCH("positiva",_xlpm.t)),"Positiva",ISNUMBER(SEARCH("negativa",_xlpm.t)),"Negativa",ISNUMBER(SEARCH("estável",_xlpm.t)),"Estável",TRUE,"n/d")))</f>
        <v>Positiva</v>
      </c>
      <c r="E323" t="str">
        <f>IFERROR(_xlfn.XLOOKUP($A323,Planilha2!$J$2:$J$44,Planilha2!L$2:L$44,"",-1),"")</f>
        <v>BBB</v>
      </c>
      <c r="F323" t="str">
        <f>IFERROR(_xlfn.XLOOKUP($A323,Planilha2!$J$2:$J$44,Planilha2!M$2:M$44,"",-1),"")</f>
        <v>BBB</v>
      </c>
      <c r="G323" t="str" cm="1">
        <f t="array" ref="G323">IF($A323&lt;MIN(Planilha2!$J$2:$J$44),"",_xlfn.LET(_xlpm.t,_xlfn.XLOOKUP($A323,Planilha2!$J$2:$J$44,Planilha2!$N$2:$N$44,"",-1),_xlfn.IFS(ISNUMBER(SEARCH("positiva",_xlpm.t)),"Positiva",ISNUMBER(SEARCH("negativa",_xlpm.t)),"Negativa",ISNUMBER(SEARCH("estável",_xlpm.t)),"Estável",TRUE,"n/d")))</f>
        <v>Estável</v>
      </c>
      <c r="H323" t="str">
        <f>IFERROR(_xlfn.XLOOKUP($A323,Planilha2!$P$2:$P$38,Planilha2!R$2:R$38,"",-1),"")</f>
        <v>BBB</v>
      </c>
      <c r="I323" t="str">
        <f>IFERROR(_xlfn.XLOOKUP($A323,Planilha2!$P$2:$P$38,Planilha2!S$2:S$38,"",-1),"")</f>
        <v>A-</v>
      </c>
      <c r="J323" t="str" cm="1">
        <f t="array" ref="J323">IF($A323&lt;MIN(Planilha2!$P$2:$P$38),"",_xlfn.LET(_xlpm.t,_xlfn.XLOOKUP($A323,Planilha2!$P$2:$P$38,Planilha2!$T$2:$T$38,"",-1),_xlfn.IFS(ISNUMBER(SEARCH("positiva",_xlpm.t)),"Positiva",ISNUMBER(SEARCH("negativa",_xlpm.t)),"Negativa",ISNUMBER(SEARCH("estável",_xlpm.t)),"Estável",TRUE,"n/d")))</f>
        <v>Negativa</v>
      </c>
      <c r="L323" s="52">
        <f>IFERROR(_xlfn.XLOOKUP(B323,'Agências de Rating Soberano'!$G$2:$G$22,'Agências de Rating Soberano'!$H$2:$H$22),NA())</f>
        <v>13</v>
      </c>
      <c r="M323" s="52">
        <f>IFERROR(_xlfn.XLOOKUP(C323,'Agências de Rating Soberano'!$G$2:$G$22,'Agências de Rating Soberano'!$H$2:$H$22),NA())</f>
        <v>13</v>
      </c>
      <c r="N323" s="52">
        <f>IFERROR(_xlfn.XLOOKUP(E323,'Agências de Rating Soberano'!$J$2:$J$22,'Agências de Rating Soberano'!$K$2:$K$22),NA())</f>
        <v>13</v>
      </c>
      <c r="O323" s="52">
        <f>IFERROR(_xlfn.XLOOKUP(F323,'Agências de Rating Soberano'!$J$2:$J$22,'Agências de Rating Soberano'!$K$2:$K$22),NA())</f>
        <v>13</v>
      </c>
      <c r="P323" s="52">
        <f>IFERROR(_xlfn.XLOOKUP(H323,'Agências de Rating Soberano'!$J$2:$J$22,'Agências de Rating Soberano'!$K$2:$K$22),NA())</f>
        <v>13</v>
      </c>
      <c r="Q323" s="52">
        <f>IFERROR(_xlfn.XLOOKUP(I323,'Agências de Rating Soberano'!$J$2:$J$22,'Agências de Rating Soberano'!$K$2:$K$22),NA())</f>
        <v>15</v>
      </c>
    </row>
    <row r="324" spans="1:17" x14ac:dyDescent="0.3">
      <c r="A324" s="53">
        <f t="shared" ref="A324:A387" si="12">EOMONTH(A323,1)</f>
        <v>41547</v>
      </c>
      <c r="B324" t="str">
        <f>IFERROR(_xlfn.XLOOKUP($A324,Planilha2!$A$2:$A$34,Planilha2!C$2:C$34,"",-1),"")</f>
        <v>Baa2</v>
      </c>
      <c r="C324" t="str">
        <f>IFERROR(_xlfn.XLOOKUP($A324,Planilha2!$A$2:$A$34,Planilha2!D$2:D$34,"",-1),"")</f>
        <v>Baa2</v>
      </c>
      <c r="D324" t="str" cm="1">
        <f t="array" ref="D324">IF($A324&lt;MIN(Planilha2!$A$2:$A$34),"",_xlfn.LET(_xlpm.t,_xlfn.XLOOKUP($A324,Planilha2!$A$2:$A$34,Planilha2!$E$2:$E$34,"",-1),_xlfn.IFS(ISNUMBER(SEARCH("positiva",_xlpm.t)),"Positiva",ISNUMBER(SEARCH("negativa",_xlpm.t)),"Negativa",ISNUMBER(SEARCH("estável",_xlpm.t)),"Estável",TRUE,"n/d")))</f>
        <v>Positiva</v>
      </c>
      <c r="E324" t="str">
        <f>IFERROR(_xlfn.XLOOKUP($A324,Planilha2!$J$2:$J$44,Planilha2!L$2:L$44,"",-1),"")</f>
        <v>BBB</v>
      </c>
      <c r="F324" t="str">
        <f>IFERROR(_xlfn.XLOOKUP($A324,Planilha2!$J$2:$J$44,Planilha2!M$2:M$44,"",-1),"")</f>
        <v>BBB</v>
      </c>
      <c r="G324" t="str" cm="1">
        <f t="array" ref="G324">IF($A324&lt;MIN(Planilha2!$J$2:$J$44),"",_xlfn.LET(_xlpm.t,_xlfn.XLOOKUP($A324,Planilha2!$J$2:$J$44,Planilha2!$N$2:$N$44,"",-1),_xlfn.IFS(ISNUMBER(SEARCH("positiva",_xlpm.t)),"Positiva",ISNUMBER(SEARCH("negativa",_xlpm.t)),"Negativa",ISNUMBER(SEARCH("estável",_xlpm.t)),"Estável",TRUE,"n/d")))</f>
        <v>Estável</v>
      </c>
      <c r="H324" t="str">
        <f>IFERROR(_xlfn.XLOOKUP($A324,Planilha2!$P$2:$P$38,Planilha2!R$2:R$38,"",-1),"")</f>
        <v>BBB</v>
      </c>
      <c r="I324" t="str">
        <f>IFERROR(_xlfn.XLOOKUP($A324,Planilha2!$P$2:$P$38,Planilha2!S$2:S$38,"",-1),"")</f>
        <v>A-</v>
      </c>
      <c r="J324" t="str" cm="1">
        <f t="array" ref="J324">IF($A324&lt;MIN(Planilha2!$P$2:$P$38),"",_xlfn.LET(_xlpm.t,_xlfn.XLOOKUP($A324,Planilha2!$P$2:$P$38,Planilha2!$T$2:$T$38,"",-1),_xlfn.IFS(ISNUMBER(SEARCH("positiva",_xlpm.t)),"Positiva",ISNUMBER(SEARCH("negativa",_xlpm.t)),"Negativa",ISNUMBER(SEARCH("estável",_xlpm.t)),"Estável",TRUE,"n/d")))</f>
        <v>Negativa</v>
      </c>
      <c r="L324" s="52">
        <f>IFERROR(_xlfn.XLOOKUP(B324,'Agências de Rating Soberano'!$G$2:$G$22,'Agências de Rating Soberano'!$H$2:$H$22),NA())</f>
        <v>13</v>
      </c>
      <c r="M324" s="52">
        <f>IFERROR(_xlfn.XLOOKUP(C324,'Agências de Rating Soberano'!$G$2:$G$22,'Agências de Rating Soberano'!$H$2:$H$22),NA())</f>
        <v>13</v>
      </c>
      <c r="N324" s="52">
        <f>IFERROR(_xlfn.XLOOKUP(E324,'Agências de Rating Soberano'!$J$2:$J$22,'Agências de Rating Soberano'!$K$2:$K$22),NA())</f>
        <v>13</v>
      </c>
      <c r="O324" s="52">
        <f>IFERROR(_xlfn.XLOOKUP(F324,'Agências de Rating Soberano'!$J$2:$J$22,'Agências de Rating Soberano'!$K$2:$K$22),NA())</f>
        <v>13</v>
      </c>
      <c r="P324" s="52">
        <f>IFERROR(_xlfn.XLOOKUP(H324,'Agências de Rating Soberano'!$J$2:$J$22,'Agências de Rating Soberano'!$K$2:$K$22),NA())</f>
        <v>13</v>
      </c>
      <c r="Q324" s="52">
        <f>IFERROR(_xlfn.XLOOKUP(I324,'Agências de Rating Soberano'!$J$2:$J$22,'Agências de Rating Soberano'!$K$2:$K$22),NA())</f>
        <v>15</v>
      </c>
    </row>
    <row r="325" spans="1:17" x14ac:dyDescent="0.3">
      <c r="A325" s="53">
        <f t="shared" si="12"/>
        <v>41578</v>
      </c>
      <c r="B325" t="str">
        <f>IFERROR(_xlfn.XLOOKUP($A325,Planilha2!$A$2:$A$34,Planilha2!C$2:C$34,"",-1),"")</f>
        <v>Baa2</v>
      </c>
      <c r="C325" t="str">
        <f>IFERROR(_xlfn.XLOOKUP($A325,Planilha2!$A$2:$A$34,Planilha2!D$2:D$34,"",-1),"")</f>
        <v>Baa2</v>
      </c>
      <c r="D325" t="str" cm="1">
        <f t="array" ref="D325">IF($A325&lt;MIN(Planilha2!$A$2:$A$34),"",_xlfn.LET(_xlpm.t,_xlfn.XLOOKUP($A325,Planilha2!$A$2:$A$34,Planilha2!$E$2:$E$34,"",-1),_xlfn.IFS(ISNUMBER(SEARCH("positiva",_xlpm.t)),"Positiva",ISNUMBER(SEARCH("negativa",_xlpm.t)),"Negativa",ISNUMBER(SEARCH("estável",_xlpm.t)),"Estável",TRUE,"n/d")))</f>
        <v>Estável</v>
      </c>
      <c r="E325" t="str">
        <f>IFERROR(_xlfn.XLOOKUP($A325,Planilha2!$J$2:$J$44,Planilha2!L$2:L$44,"",-1),"")</f>
        <v>BBB</v>
      </c>
      <c r="F325" t="str">
        <f>IFERROR(_xlfn.XLOOKUP($A325,Planilha2!$J$2:$J$44,Planilha2!M$2:M$44,"",-1),"")</f>
        <v>BBB</v>
      </c>
      <c r="G325" t="str" cm="1">
        <f t="array" ref="G325">IF($A325&lt;MIN(Planilha2!$J$2:$J$44),"",_xlfn.LET(_xlpm.t,_xlfn.XLOOKUP($A325,Planilha2!$J$2:$J$44,Planilha2!$N$2:$N$44,"",-1),_xlfn.IFS(ISNUMBER(SEARCH("positiva",_xlpm.t)),"Positiva",ISNUMBER(SEARCH("negativa",_xlpm.t)),"Negativa",ISNUMBER(SEARCH("estável",_xlpm.t)),"Estável",TRUE,"n/d")))</f>
        <v>Estável</v>
      </c>
      <c r="H325" t="str">
        <f>IFERROR(_xlfn.XLOOKUP($A325,Planilha2!$P$2:$P$38,Planilha2!R$2:R$38,"",-1),"")</f>
        <v>BBB</v>
      </c>
      <c r="I325" t="str">
        <f>IFERROR(_xlfn.XLOOKUP($A325,Planilha2!$P$2:$P$38,Planilha2!S$2:S$38,"",-1),"")</f>
        <v>A-</v>
      </c>
      <c r="J325" t="str" cm="1">
        <f t="array" ref="J325">IF($A325&lt;MIN(Planilha2!$P$2:$P$38),"",_xlfn.LET(_xlpm.t,_xlfn.XLOOKUP($A325,Planilha2!$P$2:$P$38,Planilha2!$T$2:$T$38,"",-1),_xlfn.IFS(ISNUMBER(SEARCH("positiva",_xlpm.t)),"Positiva",ISNUMBER(SEARCH("negativa",_xlpm.t)),"Negativa",ISNUMBER(SEARCH("estável",_xlpm.t)),"Estável",TRUE,"n/d")))</f>
        <v>Negativa</v>
      </c>
      <c r="L325" s="52">
        <f>IFERROR(_xlfn.XLOOKUP(B325,'Agências de Rating Soberano'!$G$2:$G$22,'Agências de Rating Soberano'!$H$2:$H$22),NA())</f>
        <v>13</v>
      </c>
      <c r="M325" s="52">
        <f>IFERROR(_xlfn.XLOOKUP(C325,'Agências de Rating Soberano'!$G$2:$G$22,'Agências de Rating Soberano'!$H$2:$H$22),NA())</f>
        <v>13</v>
      </c>
      <c r="N325" s="52">
        <f>IFERROR(_xlfn.XLOOKUP(E325,'Agências de Rating Soberano'!$J$2:$J$22,'Agências de Rating Soberano'!$K$2:$K$22),NA())</f>
        <v>13</v>
      </c>
      <c r="O325" s="52">
        <f>IFERROR(_xlfn.XLOOKUP(F325,'Agências de Rating Soberano'!$J$2:$J$22,'Agências de Rating Soberano'!$K$2:$K$22),NA())</f>
        <v>13</v>
      </c>
      <c r="P325" s="52">
        <f>IFERROR(_xlfn.XLOOKUP(H325,'Agências de Rating Soberano'!$J$2:$J$22,'Agências de Rating Soberano'!$K$2:$K$22),NA())</f>
        <v>13</v>
      </c>
      <c r="Q325" s="52">
        <f>IFERROR(_xlfn.XLOOKUP(I325,'Agências de Rating Soberano'!$J$2:$J$22,'Agências de Rating Soberano'!$K$2:$K$22),NA())</f>
        <v>15</v>
      </c>
    </row>
    <row r="326" spans="1:17" x14ac:dyDescent="0.3">
      <c r="A326" s="53">
        <f t="shared" si="12"/>
        <v>41608</v>
      </c>
      <c r="B326" t="str">
        <f>IFERROR(_xlfn.XLOOKUP($A326,Planilha2!$A$2:$A$34,Planilha2!C$2:C$34,"",-1),"")</f>
        <v>Baa2</v>
      </c>
      <c r="C326" t="str">
        <f>IFERROR(_xlfn.XLOOKUP($A326,Planilha2!$A$2:$A$34,Planilha2!D$2:D$34,"",-1),"")</f>
        <v>Baa2</v>
      </c>
      <c r="D326" t="str" cm="1">
        <f t="array" ref="D326">IF($A326&lt;MIN(Planilha2!$A$2:$A$34),"",_xlfn.LET(_xlpm.t,_xlfn.XLOOKUP($A326,Planilha2!$A$2:$A$34,Planilha2!$E$2:$E$34,"",-1),_xlfn.IFS(ISNUMBER(SEARCH("positiva",_xlpm.t)),"Positiva",ISNUMBER(SEARCH("negativa",_xlpm.t)),"Negativa",ISNUMBER(SEARCH("estável",_xlpm.t)),"Estável",TRUE,"n/d")))</f>
        <v>Estável</v>
      </c>
      <c r="E326" t="str">
        <f>IFERROR(_xlfn.XLOOKUP($A326,Planilha2!$J$2:$J$44,Planilha2!L$2:L$44,"",-1),"")</f>
        <v>BBB</v>
      </c>
      <c r="F326" t="str">
        <f>IFERROR(_xlfn.XLOOKUP($A326,Planilha2!$J$2:$J$44,Planilha2!M$2:M$44,"",-1),"")</f>
        <v>BBB</v>
      </c>
      <c r="G326" t="str" cm="1">
        <f t="array" ref="G326">IF($A326&lt;MIN(Planilha2!$J$2:$J$44),"",_xlfn.LET(_xlpm.t,_xlfn.XLOOKUP($A326,Planilha2!$J$2:$J$44,Planilha2!$N$2:$N$44,"",-1),_xlfn.IFS(ISNUMBER(SEARCH("positiva",_xlpm.t)),"Positiva",ISNUMBER(SEARCH("negativa",_xlpm.t)),"Negativa",ISNUMBER(SEARCH("estável",_xlpm.t)),"Estável",TRUE,"n/d")))</f>
        <v>Estável</v>
      </c>
      <c r="H326" t="str">
        <f>IFERROR(_xlfn.XLOOKUP($A326,Planilha2!$P$2:$P$38,Planilha2!R$2:R$38,"",-1),"")</f>
        <v>BBB</v>
      </c>
      <c r="I326" t="str">
        <f>IFERROR(_xlfn.XLOOKUP($A326,Planilha2!$P$2:$P$38,Planilha2!S$2:S$38,"",-1),"")</f>
        <v>A-</v>
      </c>
      <c r="J326" t="str" cm="1">
        <f t="array" ref="J326">IF($A326&lt;MIN(Planilha2!$P$2:$P$38),"",_xlfn.LET(_xlpm.t,_xlfn.XLOOKUP($A326,Planilha2!$P$2:$P$38,Planilha2!$T$2:$T$38,"",-1),_xlfn.IFS(ISNUMBER(SEARCH("positiva",_xlpm.t)),"Positiva",ISNUMBER(SEARCH("negativa",_xlpm.t)),"Negativa",ISNUMBER(SEARCH("estável",_xlpm.t)),"Estável",TRUE,"n/d")))</f>
        <v>Negativa</v>
      </c>
      <c r="L326" s="52">
        <f>IFERROR(_xlfn.XLOOKUP(B326,'Agências de Rating Soberano'!$G$2:$G$22,'Agências de Rating Soberano'!$H$2:$H$22),NA())</f>
        <v>13</v>
      </c>
      <c r="M326" s="52">
        <f>IFERROR(_xlfn.XLOOKUP(C326,'Agências de Rating Soberano'!$G$2:$G$22,'Agências de Rating Soberano'!$H$2:$H$22),NA())</f>
        <v>13</v>
      </c>
      <c r="N326" s="52">
        <f>IFERROR(_xlfn.XLOOKUP(E326,'Agências de Rating Soberano'!$J$2:$J$22,'Agências de Rating Soberano'!$K$2:$K$22),NA())</f>
        <v>13</v>
      </c>
      <c r="O326" s="52">
        <f>IFERROR(_xlfn.XLOOKUP(F326,'Agências de Rating Soberano'!$J$2:$J$22,'Agências de Rating Soberano'!$K$2:$K$22),NA())</f>
        <v>13</v>
      </c>
      <c r="P326" s="52">
        <f>IFERROR(_xlfn.XLOOKUP(H326,'Agências de Rating Soberano'!$J$2:$J$22,'Agências de Rating Soberano'!$K$2:$K$22),NA())</f>
        <v>13</v>
      </c>
      <c r="Q326" s="52">
        <f>IFERROR(_xlfn.XLOOKUP(I326,'Agências de Rating Soberano'!$J$2:$J$22,'Agências de Rating Soberano'!$K$2:$K$22),NA())</f>
        <v>15</v>
      </c>
    </row>
    <row r="327" spans="1:17" x14ac:dyDescent="0.3">
      <c r="A327" s="53">
        <f t="shared" si="12"/>
        <v>41639</v>
      </c>
      <c r="B327" t="str">
        <f>IFERROR(_xlfn.XLOOKUP($A327,Planilha2!$A$2:$A$34,Planilha2!C$2:C$34,"",-1),"")</f>
        <v>Baa2</v>
      </c>
      <c r="C327" t="str">
        <f>IFERROR(_xlfn.XLOOKUP($A327,Planilha2!$A$2:$A$34,Planilha2!D$2:D$34,"",-1),"")</f>
        <v>Baa2</v>
      </c>
      <c r="D327" t="str" cm="1">
        <f t="array" ref="D327">IF($A327&lt;MIN(Planilha2!$A$2:$A$34),"",_xlfn.LET(_xlpm.t,_xlfn.XLOOKUP($A327,Planilha2!$A$2:$A$34,Planilha2!$E$2:$E$34,"",-1),_xlfn.IFS(ISNUMBER(SEARCH("positiva",_xlpm.t)),"Positiva",ISNUMBER(SEARCH("negativa",_xlpm.t)),"Negativa",ISNUMBER(SEARCH("estável",_xlpm.t)),"Estável",TRUE,"n/d")))</f>
        <v>Estável</v>
      </c>
      <c r="E327" t="str">
        <f>IFERROR(_xlfn.XLOOKUP($A327,Planilha2!$J$2:$J$44,Planilha2!L$2:L$44,"",-1),"")</f>
        <v>BBB</v>
      </c>
      <c r="F327" t="str">
        <f>IFERROR(_xlfn.XLOOKUP($A327,Planilha2!$J$2:$J$44,Planilha2!M$2:M$44,"",-1),"")</f>
        <v>BBB</v>
      </c>
      <c r="G327" t="str" cm="1">
        <f t="array" ref="G327">IF($A327&lt;MIN(Planilha2!$J$2:$J$44),"",_xlfn.LET(_xlpm.t,_xlfn.XLOOKUP($A327,Planilha2!$J$2:$J$44,Planilha2!$N$2:$N$44,"",-1),_xlfn.IFS(ISNUMBER(SEARCH("positiva",_xlpm.t)),"Positiva",ISNUMBER(SEARCH("negativa",_xlpm.t)),"Negativa",ISNUMBER(SEARCH("estável",_xlpm.t)),"Estável",TRUE,"n/d")))</f>
        <v>Estável</v>
      </c>
      <c r="H327" t="str">
        <f>IFERROR(_xlfn.XLOOKUP($A327,Planilha2!$P$2:$P$38,Planilha2!R$2:R$38,"",-1),"")</f>
        <v>BBB</v>
      </c>
      <c r="I327" t="str">
        <f>IFERROR(_xlfn.XLOOKUP($A327,Planilha2!$P$2:$P$38,Planilha2!S$2:S$38,"",-1),"")</f>
        <v>A-</v>
      </c>
      <c r="J327" t="str" cm="1">
        <f t="array" ref="J327">IF($A327&lt;MIN(Planilha2!$P$2:$P$38),"",_xlfn.LET(_xlpm.t,_xlfn.XLOOKUP($A327,Planilha2!$P$2:$P$38,Planilha2!$T$2:$T$38,"",-1),_xlfn.IFS(ISNUMBER(SEARCH("positiva",_xlpm.t)),"Positiva",ISNUMBER(SEARCH("negativa",_xlpm.t)),"Negativa",ISNUMBER(SEARCH("estável",_xlpm.t)),"Estável",TRUE,"n/d")))</f>
        <v>Negativa</v>
      </c>
      <c r="L327" s="52">
        <f>IFERROR(_xlfn.XLOOKUP(B327,'Agências de Rating Soberano'!$G$2:$G$22,'Agências de Rating Soberano'!$H$2:$H$22),NA())</f>
        <v>13</v>
      </c>
      <c r="M327" s="52">
        <f>IFERROR(_xlfn.XLOOKUP(C327,'Agências de Rating Soberano'!$G$2:$G$22,'Agências de Rating Soberano'!$H$2:$H$22),NA())</f>
        <v>13</v>
      </c>
      <c r="N327" s="52">
        <f>IFERROR(_xlfn.XLOOKUP(E327,'Agências de Rating Soberano'!$J$2:$J$22,'Agências de Rating Soberano'!$K$2:$K$22),NA())</f>
        <v>13</v>
      </c>
      <c r="O327" s="52">
        <f>IFERROR(_xlfn.XLOOKUP(F327,'Agências de Rating Soberano'!$J$2:$J$22,'Agências de Rating Soberano'!$K$2:$K$22),NA())</f>
        <v>13</v>
      </c>
      <c r="P327" s="52">
        <f>IFERROR(_xlfn.XLOOKUP(H327,'Agências de Rating Soberano'!$J$2:$J$22,'Agências de Rating Soberano'!$K$2:$K$22),NA())</f>
        <v>13</v>
      </c>
      <c r="Q327" s="52">
        <f>IFERROR(_xlfn.XLOOKUP(I327,'Agências de Rating Soberano'!$J$2:$J$22,'Agências de Rating Soberano'!$K$2:$K$22),NA())</f>
        <v>15</v>
      </c>
    </row>
    <row r="328" spans="1:17" x14ac:dyDescent="0.3">
      <c r="A328" s="53">
        <f t="shared" si="12"/>
        <v>41670</v>
      </c>
      <c r="B328" t="str">
        <f>IFERROR(_xlfn.XLOOKUP($A328,Planilha2!$A$2:$A$34,Planilha2!C$2:C$34,"",-1),"")</f>
        <v>Baa2</v>
      </c>
      <c r="C328" t="str">
        <f>IFERROR(_xlfn.XLOOKUP($A328,Planilha2!$A$2:$A$34,Planilha2!D$2:D$34,"",-1),"")</f>
        <v>Baa2</v>
      </c>
      <c r="D328" t="str" cm="1">
        <f t="array" ref="D328">IF($A328&lt;MIN(Planilha2!$A$2:$A$34),"",_xlfn.LET(_xlpm.t,_xlfn.XLOOKUP($A328,Planilha2!$A$2:$A$34,Planilha2!$E$2:$E$34,"",-1),_xlfn.IFS(ISNUMBER(SEARCH("positiva",_xlpm.t)),"Positiva",ISNUMBER(SEARCH("negativa",_xlpm.t)),"Negativa",ISNUMBER(SEARCH("estável",_xlpm.t)),"Estável",TRUE,"n/d")))</f>
        <v>Estável</v>
      </c>
      <c r="E328" t="str">
        <f>IFERROR(_xlfn.XLOOKUP($A328,Planilha2!$J$2:$J$44,Planilha2!L$2:L$44,"",-1),"")</f>
        <v>BBB</v>
      </c>
      <c r="F328" t="str">
        <f>IFERROR(_xlfn.XLOOKUP($A328,Planilha2!$J$2:$J$44,Planilha2!M$2:M$44,"",-1),"")</f>
        <v>BBB</v>
      </c>
      <c r="G328" t="str" cm="1">
        <f t="array" ref="G328">IF($A328&lt;MIN(Planilha2!$J$2:$J$44),"",_xlfn.LET(_xlpm.t,_xlfn.XLOOKUP($A328,Planilha2!$J$2:$J$44,Planilha2!$N$2:$N$44,"",-1),_xlfn.IFS(ISNUMBER(SEARCH("positiva",_xlpm.t)),"Positiva",ISNUMBER(SEARCH("negativa",_xlpm.t)),"Negativa",ISNUMBER(SEARCH("estável",_xlpm.t)),"Estável",TRUE,"n/d")))</f>
        <v>Estável</v>
      </c>
      <c r="H328" t="str">
        <f>IFERROR(_xlfn.XLOOKUP($A328,Planilha2!$P$2:$P$38,Planilha2!R$2:R$38,"",-1),"")</f>
        <v>BBB</v>
      </c>
      <c r="I328" t="str">
        <f>IFERROR(_xlfn.XLOOKUP($A328,Planilha2!$P$2:$P$38,Planilha2!S$2:S$38,"",-1),"")</f>
        <v>A-</v>
      </c>
      <c r="J328" t="str" cm="1">
        <f t="array" ref="J328">IF($A328&lt;MIN(Planilha2!$P$2:$P$38),"",_xlfn.LET(_xlpm.t,_xlfn.XLOOKUP($A328,Planilha2!$P$2:$P$38,Planilha2!$T$2:$T$38,"",-1),_xlfn.IFS(ISNUMBER(SEARCH("positiva",_xlpm.t)),"Positiva",ISNUMBER(SEARCH("negativa",_xlpm.t)),"Negativa",ISNUMBER(SEARCH("estável",_xlpm.t)),"Estável",TRUE,"n/d")))</f>
        <v>Negativa</v>
      </c>
      <c r="L328" s="52">
        <f>IFERROR(_xlfn.XLOOKUP(B328,'Agências de Rating Soberano'!$G$2:$G$22,'Agências de Rating Soberano'!$H$2:$H$22),NA())</f>
        <v>13</v>
      </c>
      <c r="M328" s="52">
        <f>IFERROR(_xlfn.XLOOKUP(C328,'Agências de Rating Soberano'!$G$2:$G$22,'Agências de Rating Soberano'!$H$2:$H$22),NA())</f>
        <v>13</v>
      </c>
      <c r="N328" s="52">
        <f>IFERROR(_xlfn.XLOOKUP(E328,'Agências de Rating Soberano'!$J$2:$J$22,'Agências de Rating Soberano'!$K$2:$K$22),NA())</f>
        <v>13</v>
      </c>
      <c r="O328" s="52">
        <f>IFERROR(_xlfn.XLOOKUP(F328,'Agências de Rating Soberano'!$J$2:$J$22,'Agências de Rating Soberano'!$K$2:$K$22),NA())</f>
        <v>13</v>
      </c>
      <c r="P328" s="52">
        <f>IFERROR(_xlfn.XLOOKUP(H328,'Agências de Rating Soberano'!$J$2:$J$22,'Agências de Rating Soberano'!$K$2:$K$22),NA())</f>
        <v>13</v>
      </c>
      <c r="Q328" s="52">
        <f>IFERROR(_xlfn.XLOOKUP(I328,'Agências de Rating Soberano'!$J$2:$J$22,'Agências de Rating Soberano'!$K$2:$K$22),NA())</f>
        <v>15</v>
      </c>
    </row>
    <row r="329" spans="1:17" x14ac:dyDescent="0.3">
      <c r="A329" s="53">
        <f t="shared" si="12"/>
        <v>41698</v>
      </c>
      <c r="B329" t="str">
        <f>IFERROR(_xlfn.XLOOKUP($A329,Planilha2!$A$2:$A$34,Planilha2!C$2:C$34,"",-1),"")</f>
        <v>Baa2</v>
      </c>
      <c r="C329" t="str">
        <f>IFERROR(_xlfn.XLOOKUP($A329,Planilha2!$A$2:$A$34,Planilha2!D$2:D$34,"",-1),"")</f>
        <v>Baa2</v>
      </c>
      <c r="D329" t="str" cm="1">
        <f t="array" ref="D329">IF($A329&lt;MIN(Planilha2!$A$2:$A$34),"",_xlfn.LET(_xlpm.t,_xlfn.XLOOKUP($A329,Planilha2!$A$2:$A$34,Planilha2!$E$2:$E$34,"",-1),_xlfn.IFS(ISNUMBER(SEARCH("positiva",_xlpm.t)),"Positiva",ISNUMBER(SEARCH("negativa",_xlpm.t)),"Negativa",ISNUMBER(SEARCH("estável",_xlpm.t)),"Estável",TRUE,"n/d")))</f>
        <v>Estável</v>
      </c>
      <c r="E329" t="str">
        <f>IFERROR(_xlfn.XLOOKUP($A329,Planilha2!$J$2:$J$44,Planilha2!L$2:L$44,"",-1),"")</f>
        <v>BBB</v>
      </c>
      <c r="F329" t="str">
        <f>IFERROR(_xlfn.XLOOKUP($A329,Planilha2!$J$2:$J$44,Planilha2!M$2:M$44,"",-1),"")</f>
        <v>BBB</v>
      </c>
      <c r="G329" t="str" cm="1">
        <f t="array" ref="G329">IF($A329&lt;MIN(Planilha2!$J$2:$J$44),"",_xlfn.LET(_xlpm.t,_xlfn.XLOOKUP($A329,Planilha2!$J$2:$J$44,Planilha2!$N$2:$N$44,"",-1),_xlfn.IFS(ISNUMBER(SEARCH("positiva",_xlpm.t)),"Positiva",ISNUMBER(SEARCH("negativa",_xlpm.t)),"Negativa",ISNUMBER(SEARCH("estável",_xlpm.t)),"Estável",TRUE,"n/d")))</f>
        <v>Estável</v>
      </c>
      <c r="H329" t="str">
        <f>IFERROR(_xlfn.XLOOKUP($A329,Planilha2!$P$2:$P$38,Planilha2!R$2:R$38,"",-1),"")</f>
        <v>BBB</v>
      </c>
      <c r="I329" t="str">
        <f>IFERROR(_xlfn.XLOOKUP($A329,Planilha2!$P$2:$P$38,Planilha2!S$2:S$38,"",-1),"")</f>
        <v>A-</v>
      </c>
      <c r="J329" t="str" cm="1">
        <f t="array" ref="J329">IF($A329&lt;MIN(Planilha2!$P$2:$P$38),"",_xlfn.LET(_xlpm.t,_xlfn.XLOOKUP($A329,Planilha2!$P$2:$P$38,Planilha2!$T$2:$T$38,"",-1),_xlfn.IFS(ISNUMBER(SEARCH("positiva",_xlpm.t)),"Positiva",ISNUMBER(SEARCH("negativa",_xlpm.t)),"Negativa",ISNUMBER(SEARCH("estável",_xlpm.t)),"Estável",TRUE,"n/d")))</f>
        <v>Negativa</v>
      </c>
      <c r="L329" s="52">
        <f>IFERROR(_xlfn.XLOOKUP(B329,'Agências de Rating Soberano'!$G$2:$G$22,'Agências de Rating Soberano'!$H$2:$H$22),NA())</f>
        <v>13</v>
      </c>
      <c r="M329" s="52">
        <f>IFERROR(_xlfn.XLOOKUP(C329,'Agências de Rating Soberano'!$G$2:$G$22,'Agências de Rating Soberano'!$H$2:$H$22),NA())</f>
        <v>13</v>
      </c>
      <c r="N329" s="52">
        <f>IFERROR(_xlfn.XLOOKUP(E329,'Agências de Rating Soberano'!$J$2:$J$22,'Agências de Rating Soberano'!$K$2:$K$22),NA())</f>
        <v>13</v>
      </c>
      <c r="O329" s="52">
        <f>IFERROR(_xlfn.XLOOKUP(F329,'Agências de Rating Soberano'!$J$2:$J$22,'Agências de Rating Soberano'!$K$2:$K$22),NA())</f>
        <v>13</v>
      </c>
      <c r="P329" s="52">
        <f>IFERROR(_xlfn.XLOOKUP(H329,'Agências de Rating Soberano'!$J$2:$J$22,'Agências de Rating Soberano'!$K$2:$K$22),NA())</f>
        <v>13</v>
      </c>
      <c r="Q329" s="52">
        <f>IFERROR(_xlfn.XLOOKUP(I329,'Agências de Rating Soberano'!$J$2:$J$22,'Agências de Rating Soberano'!$K$2:$K$22),NA())</f>
        <v>15</v>
      </c>
    </row>
    <row r="330" spans="1:17" x14ac:dyDescent="0.3">
      <c r="A330" s="53">
        <f t="shared" si="12"/>
        <v>41729</v>
      </c>
      <c r="B330" t="str">
        <f>IFERROR(_xlfn.XLOOKUP($A330,Planilha2!$A$2:$A$34,Planilha2!C$2:C$34,"",-1),"")</f>
        <v>Baa2</v>
      </c>
      <c r="C330" t="str">
        <f>IFERROR(_xlfn.XLOOKUP($A330,Planilha2!$A$2:$A$34,Planilha2!D$2:D$34,"",-1),"")</f>
        <v>Baa2</v>
      </c>
      <c r="D330" t="str" cm="1">
        <f t="array" ref="D330">IF($A330&lt;MIN(Planilha2!$A$2:$A$34),"",_xlfn.LET(_xlpm.t,_xlfn.XLOOKUP($A330,Planilha2!$A$2:$A$34,Planilha2!$E$2:$E$34,"",-1),_xlfn.IFS(ISNUMBER(SEARCH("positiva",_xlpm.t)),"Positiva",ISNUMBER(SEARCH("negativa",_xlpm.t)),"Negativa",ISNUMBER(SEARCH("estável",_xlpm.t)),"Estável",TRUE,"n/d")))</f>
        <v>Estável</v>
      </c>
      <c r="E330" t="str">
        <f>IFERROR(_xlfn.XLOOKUP($A330,Planilha2!$J$2:$J$44,Planilha2!L$2:L$44,"",-1),"")</f>
        <v>BBB</v>
      </c>
      <c r="F330" t="str">
        <f>IFERROR(_xlfn.XLOOKUP($A330,Planilha2!$J$2:$J$44,Planilha2!M$2:M$44,"",-1),"")</f>
        <v>BBB</v>
      </c>
      <c r="G330" t="str" cm="1">
        <f t="array" ref="G330">IF($A330&lt;MIN(Planilha2!$J$2:$J$44),"",_xlfn.LET(_xlpm.t,_xlfn.XLOOKUP($A330,Planilha2!$J$2:$J$44,Planilha2!$N$2:$N$44,"",-1),_xlfn.IFS(ISNUMBER(SEARCH("positiva",_xlpm.t)),"Positiva",ISNUMBER(SEARCH("negativa",_xlpm.t)),"Negativa",ISNUMBER(SEARCH("estável",_xlpm.t)),"Estável",TRUE,"n/d")))</f>
        <v>Estável</v>
      </c>
      <c r="H330" t="str">
        <f>IFERROR(_xlfn.XLOOKUP($A330,Planilha2!$P$2:$P$38,Planilha2!R$2:R$38,"",-1),"")</f>
        <v>BBB-</v>
      </c>
      <c r="I330" t="str">
        <f>IFERROR(_xlfn.XLOOKUP($A330,Planilha2!$P$2:$P$38,Planilha2!S$2:S$38,"",-1),"")</f>
        <v>BBB+</v>
      </c>
      <c r="J330" t="str" cm="1">
        <f t="array" ref="J330">IF($A330&lt;MIN(Planilha2!$P$2:$P$38),"",_xlfn.LET(_xlpm.t,_xlfn.XLOOKUP($A330,Planilha2!$P$2:$P$38,Planilha2!$T$2:$T$38,"",-1),_xlfn.IFS(ISNUMBER(SEARCH("positiva",_xlpm.t)),"Positiva",ISNUMBER(SEARCH("negativa",_xlpm.t)),"Negativa",ISNUMBER(SEARCH("estável",_xlpm.t)),"Estável",TRUE,"n/d")))</f>
        <v>Estável</v>
      </c>
      <c r="L330" s="52">
        <f>IFERROR(_xlfn.XLOOKUP(B330,'Agências de Rating Soberano'!$G$2:$G$22,'Agências de Rating Soberano'!$H$2:$H$22),NA())</f>
        <v>13</v>
      </c>
      <c r="M330" s="52">
        <f>IFERROR(_xlfn.XLOOKUP(C330,'Agências de Rating Soberano'!$G$2:$G$22,'Agências de Rating Soberano'!$H$2:$H$22),NA())</f>
        <v>13</v>
      </c>
      <c r="N330" s="52">
        <f>IFERROR(_xlfn.XLOOKUP(E330,'Agências de Rating Soberano'!$J$2:$J$22,'Agências de Rating Soberano'!$K$2:$K$22),NA())</f>
        <v>13</v>
      </c>
      <c r="O330" s="52">
        <f>IFERROR(_xlfn.XLOOKUP(F330,'Agências de Rating Soberano'!$J$2:$J$22,'Agências de Rating Soberano'!$K$2:$K$22),NA())</f>
        <v>13</v>
      </c>
      <c r="P330" s="52">
        <f>IFERROR(_xlfn.XLOOKUP(H330,'Agências de Rating Soberano'!$J$2:$J$22,'Agências de Rating Soberano'!$K$2:$K$22),NA())</f>
        <v>12</v>
      </c>
      <c r="Q330" s="52">
        <f>IFERROR(_xlfn.XLOOKUP(I330,'Agências de Rating Soberano'!$J$2:$J$22,'Agências de Rating Soberano'!$K$2:$K$22),NA())</f>
        <v>14</v>
      </c>
    </row>
    <row r="331" spans="1:17" x14ac:dyDescent="0.3">
      <c r="A331" s="53">
        <f t="shared" si="12"/>
        <v>41759</v>
      </c>
      <c r="B331" t="str">
        <f>IFERROR(_xlfn.XLOOKUP($A331,Planilha2!$A$2:$A$34,Planilha2!C$2:C$34,"",-1),"")</f>
        <v>Baa2</v>
      </c>
      <c r="C331" t="str">
        <f>IFERROR(_xlfn.XLOOKUP($A331,Planilha2!$A$2:$A$34,Planilha2!D$2:D$34,"",-1),"")</f>
        <v>Baa2</v>
      </c>
      <c r="D331" t="str" cm="1">
        <f t="array" ref="D331">IF($A331&lt;MIN(Planilha2!$A$2:$A$34),"",_xlfn.LET(_xlpm.t,_xlfn.XLOOKUP($A331,Planilha2!$A$2:$A$34,Planilha2!$E$2:$E$34,"",-1),_xlfn.IFS(ISNUMBER(SEARCH("positiva",_xlpm.t)),"Positiva",ISNUMBER(SEARCH("negativa",_xlpm.t)),"Negativa",ISNUMBER(SEARCH("estável",_xlpm.t)),"Estável",TRUE,"n/d")))</f>
        <v>Estável</v>
      </c>
      <c r="E331" t="str">
        <f>IFERROR(_xlfn.XLOOKUP($A331,Planilha2!$J$2:$J$44,Planilha2!L$2:L$44,"",-1),"")</f>
        <v>BBB</v>
      </c>
      <c r="F331" t="str">
        <f>IFERROR(_xlfn.XLOOKUP($A331,Planilha2!$J$2:$J$44,Planilha2!M$2:M$44,"",-1),"")</f>
        <v>BBB</v>
      </c>
      <c r="G331" t="str" cm="1">
        <f t="array" ref="G331">IF($A331&lt;MIN(Planilha2!$J$2:$J$44),"",_xlfn.LET(_xlpm.t,_xlfn.XLOOKUP($A331,Planilha2!$J$2:$J$44,Planilha2!$N$2:$N$44,"",-1),_xlfn.IFS(ISNUMBER(SEARCH("positiva",_xlpm.t)),"Positiva",ISNUMBER(SEARCH("negativa",_xlpm.t)),"Negativa",ISNUMBER(SEARCH("estável",_xlpm.t)),"Estável",TRUE,"n/d")))</f>
        <v>Estável</v>
      </c>
      <c r="H331" t="str">
        <f>IFERROR(_xlfn.XLOOKUP($A331,Planilha2!$P$2:$P$38,Planilha2!R$2:R$38,"",-1),"")</f>
        <v>BBB-</v>
      </c>
      <c r="I331" t="str">
        <f>IFERROR(_xlfn.XLOOKUP($A331,Planilha2!$P$2:$P$38,Planilha2!S$2:S$38,"",-1),"")</f>
        <v>BBB+</v>
      </c>
      <c r="J331" t="str" cm="1">
        <f t="array" ref="J331">IF($A331&lt;MIN(Planilha2!$P$2:$P$38),"",_xlfn.LET(_xlpm.t,_xlfn.XLOOKUP($A331,Planilha2!$P$2:$P$38,Planilha2!$T$2:$T$38,"",-1),_xlfn.IFS(ISNUMBER(SEARCH("positiva",_xlpm.t)),"Positiva",ISNUMBER(SEARCH("negativa",_xlpm.t)),"Negativa",ISNUMBER(SEARCH("estável",_xlpm.t)),"Estável",TRUE,"n/d")))</f>
        <v>Estável</v>
      </c>
      <c r="L331" s="52">
        <f>IFERROR(_xlfn.XLOOKUP(B331,'Agências de Rating Soberano'!$G$2:$G$22,'Agências de Rating Soberano'!$H$2:$H$22),NA())</f>
        <v>13</v>
      </c>
      <c r="M331" s="52">
        <f>IFERROR(_xlfn.XLOOKUP(C331,'Agências de Rating Soberano'!$G$2:$G$22,'Agências de Rating Soberano'!$H$2:$H$22),NA())</f>
        <v>13</v>
      </c>
      <c r="N331" s="52">
        <f>IFERROR(_xlfn.XLOOKUP(E331,'Agências de Rating Soberano'!$J$2:$J$22,'Agências de Rating Soberano'!$K$2:$K$22),NA())</f>
        <v>13</v>
      </c>
      <c r="O331" s="52">
        <f>IFERROR(_xlfn.XLOOKUP(F331,'Agências de Rating Soberano'!$J$2:$J$22,'Agências de Rating Soberano'!$K$2:$K$22),NA())</f>
        <v>13</v>
      </c>
      <c r="P331" s="52">
        <f>IFERROR(_xlfn.XLOOKUP(H331,'Agências de Rating Soberano'!$J$2:$J$22,'Agências de Rating Soberano'!$K$2:$K$22),NA())</f>
        <v>12</v>
      </c>
      <c r="Q331" s="52">
        <f>IFERROR(_xlfn.XLOOKUP(I331,'Agências de Rating Soberano'!$J$2:$J$22,'Agências de Rating Soberano'!$K$2:$K$22),NA())</f>
        <v>14</v>
      </c>
    </row>
    <row r="332" spans="1:17" x14ac:dyDescent="0.3">
      <c r="A332" s="53">
        <f t="shared" si="12"/>
        <v>41790</v>
      </c>
      <c r="B332" t="str">
        <f>IFERROR(_xlfn.XLOOKUP($A332,Planilha2!$A$2:$A$34,Planilha2!C$2:C$34,"",-1),"")</f>
        <v>Baa2</v>
      </c>
      <c r="C332" t="str">
        <f>IFERROR(_xlfn.XLOOKUP($A332,Planilha2!$A$2:$A$34,Planilha2!D$2:D$34,"",-1),"")</f>
        <v>Baa2</v>
      </c>
      <c r="D332" t="str" cm="1">
        <f t="array" ref="D332">IF($A332&lt;MIN(Planilha2!$A$2:$A$34),"",_xlfn.LET(_xlpm.t,_xlfn.XLOOKUP($A332,Planilha2!$A$2:$A$34,Planilha2!$E$2:$E$34,"",-1),_xlfn.IFS(ISNUMBER(SEARCH("positiva",_xlpm.t)),"Positiva",ISNUMBER(SEARCH("negativa",_xlpm.t)),"Negativa",ISNUMBER(SEARCH("estável",_xlpm.t)),"Estável",TRUE,"n/d")))</f>
        <v>Estável</v>
      </c>
      <c r="E332" t="str">
        <f>IFERROR(_xlfn.XLOOKUP($A332,Planilha2!$J$2:$J$44,Planilha2!L$2:L$44,"",-1),"")</f>
        <v>BBB</v>
      </c>
      <c r="F332" t="str">
        <f>IFERROR(_xlfn.XLOOKUP($A332,Planilha2!$J$2:$J$44,Planilha2!M$2:M$44,"",-1),"")</f>
        <v>BBB</v>
      </c>
      <c r="G332" t="str" cm="1">
        <f t="array" ref="G332">IF($A332&lt;MIN(Planilha2!$J$2:$J$44),"",_xlfn.LET(_xlpm.t,_xlfn.XLOOKUP($A332,Planilha2!$J$2:$J$44,Planilha2!$N$2:$N$44,"",-1),_xlfn.IFS(ISNUMBER(SEARCH("positiva",_xlpm.t)),"Positiva",ISNUMBER(SEARCH("negativa",_xlpm.t)),"Negativa",ISNUMBER(SEARCH("estável",_xlpm.t)),"Estável",TRUE,"n/d")))</f>
        <v>Estável</v>
      </c>
      <c r="H332" t="str">
        <f>IFERROR(_xlfn.XLOOKUP($A332,Planilha2!$P$2:$P$38,Planilha2!R$2:R$38,"",-1),"")</f>
        <v>BBB-</v>
      </c>
      <c r="I332" t="str">
        <f>IFERROR(_xlfn.XLOOKUP($A332,Planilha2!$P$2:$P$38,Planilha2!S$2:S$38,"",-1),"")</f>
        <v>BBB+</v>
      </c>
      <c r="J332" t="str" cm="1">
        <f t="array" ref="J332">IF($A332&lt;MIN(Planilha2!$P$2:$P$38),"",_xlfn.LET(_xlpm.t,_xlfn.XLOOKUP($A332,Planilha2!$P$2:$P$38,Planilha2!$T$2:$T$38,"",-1),_xlfn.IFS(ISNUMBER(SEARCH("positiva",_xlpm.t)),"Positiva",ISNUMBER(SEARCH("negativa",_xlpm.t)),"Negativa",ISNUMBER(SEARCH("estável",_xlpm.t)),"Estável",TRUE,"n/d")))</f>
        <v>Estável</v>
      </c>
      <c r="L332" s="52">
        <f>IFERROR(_xlfn.XLOOKUP(B332,'Agências de Rating Soberano'!$G$2:$G$22,'Agências de Rating Soberano'!$H$2:$H$22),NA())</f>
        <v>13</v>
      </c>
      <c r="M332" s="52">
        <f>IFERROR(_xlfn.XLOOKUP(C332,'Agências de Rating Soberano'!$G$2:$G$22,'Agências de Rating Soberano'!$H$2:$H$22),NA())</f>
        <v>13</v>
      </c>
      <c r="N332" s="52">
        <f>IFERROR(_xlfn.XLOOKUP(E332,'Agências de Rating Soberano'!$J$2:$J$22,'Agências de Rating Soberano'!$K$2:$K$22),NA())</f>
        <v>13</v>
      </c>
      <c r="O332" s="52">
        <f>IFERROR(_xlfn.XLOOKUP(F332,'Agências de Rating Soberano'!$J$2:$J$22,'Agências de Rating Soberano'!$K$2:$K$22),NA())</f>
        <v>13</v>
      </c>
      <c r="P332" s="52">
        <f>IFERROR(_xlfn.XLOOKUP(H332,'Agências de Rating Soberano'!$J$2:$J$22,'Agências de Rating Soberano'!$K$2:$K$22),NA())</f>
        <v>12</v>
      </c>
      <c r="Q332" s="52">
        <f>IFERROR(_xlfn.XLOOKUP(I332,'Agências de Rating Soberano'!$J$2:$J$22,'Agências de Rating Soberano'!$K$2:$K$22),NA())</f>
        <v>14</v>
      </c>
    </row>
    <row r="333" spans="1:17" x14ac:dyDescent="0.3">
      <c r="A333" s="53">
        <f t="shared" si="12"/>
        <v>41820</v>
      </c>
      <c r="B333" t="str">
        <f>IFERROR(_xlfn.XLOOKUP($A333,Planilha2!$A$2:$A$34,Planilha2!C$2:C$34,"",-1),"")</f>
        <v>Baa2</v>
      </c>
      <c r="C333" t="str">
        <f>IFERROR(_xlfn.XLOOKUP($A333,Planilha2!$A$2:$A$34,Planilha2!D$2:D$34,"",-1),"")</f>
        <v>Baa2</v>
      </c>
      <c r="D333" t="str" cm="1">
        <f t="array" ref="D333">IF($A333&lt;MIN(Planilha2!$A$2:$A$34),"",_xlfn.LET(_xlpm.t,_xlfn.XLOOKUP($A333,Planilha2!$A$2:$A$34,Planilha2!$E$2:$E$34,"",-1),_xlfn.IFS(ISNUMBER(SEARCH("positiva",_xlpm.t)),"Positiva",ISNUMBER(SEARCH("negativa",_xlpm.t)),"Negativa",ISNUMBER(SEARCH("estável",_xlpm.t)),"Estável",TRUE,"n/d")))</f>
        <v>Estável</v>
      </c>
      <c r="E333" t="str">
        <f>IFERROR(_xlfn.XLOOKUP($A333,Planilha2!$J$2:$J$44,Planilha2!L$2:L$44,"",-1),"")</f>
        <v>BBB</v>
      </c>
      <c r="F333" t="str">
        <f>IFERROR(_xlfn.XLOOKUP($A333,Planilha2!$J$2:$J$44,Planilha2!M$2:M$44,"",-1),"")</f>
        <v>BBB</v>
      </c>
      <c r="G333" t="str" cm="1">
        <f t="array" ref="G333">IF($A333&lt;MIN(Planilha2!$J$2:$J$44),"",_xlfn.LET(_xlpm.t,_xlfn.XLOOKUP($A333,Planilha2!$J$2:$J$44,Planilha2!$N$2:$N$44,"",-1),_xlfn.IFS(ISNUMBER(SEARCH("positiva",_xlpm.t)),"Positiva",ISNUMBER(SEARCH("negativa",_xlpm.t)),"Negativa",ISNUMBER(SEARCH("estável",_xlpm.t)),"Estável",TRUE,"n/d")))</f>
        <v>Estável</v>
      </c>
      <c r="H333" t="str">
        <f>IFERROR(_xlfn.XLOOKUP($A333,Planilha2!$P$2:$P$38,Planilha2!R$2:R$38,"",-1),"")</f>
        <v>BBB-</v>
      </c>
      <c r="I333" t="str">
        <f>IFERROR(_xlfn.XLOOKUP($A333,Planilha2!$P$2:$P$38,Planilha2!S$2:S$38,"",-1),"")</f>
        <v>BBB+</v>
      </c>
      <c r="J333" t="str" cm="1">
        <f t="array" ref="J333">IF($A333&lt;MIN(Planilha2!$P$2:$P$38),"",_xlfn.LET(_xlpm.t,_xlfn.XLOOKUP($A333,Planilha2!$P$2:$P$38,Planilha2!$T$2:$T$38,"",-1),_xlfn.IFS(ISNUMBER(SEARCH("positiva",_xlpm.t)),"Positiva",ISNUMBER(SEARCH("negativa",_xlpm.t)),"Negativa",ISNUMBER(SEARCH("estável",_xlpm.t)),"Estável",TRUE,"n/d")))</f>
        <v>Estável</v>
      </c>
      <c r="L333" s="52">
        <f>IFERROR(_xlfn.XLOOKUP(B333,'Agências de Rating Soberano'!$G$2:$G$22,'Agências de Rating Soberano'!$H$2:$H$22),NA())</f>
        <v>13</v>
      </c>
      <c r="M333" s="52">
        <f>IFERROR(_xlfn.XLOOKUP(C333,'Agências de Rating Soberano'!$G$2:$G$22,'Agências de Rating Soberano'!$H$2:$H$22),NA())</f>
        <v>13</v>
      </c>
      <c r="N333" s="52">
        <f>IFERROR(_xlfn.XLOOKUP(E333,'Agências de Rating Soberano'!$J$2:$J$22,'Agências de Rating Soberano'!$K$2:$K$22),NA())</f>
        <v>13</v>
      </c>
      <c r="O333" s="52">
        <f>IFERROR(_xlfn.XLOOKUP(F333,'Agências de Rating Soberano'!$J$2:$J$22,'Agências de Rating Soberano'!$K$2:$K$22),NA())</f>
        <v>13</v>
      </c>
      <c r="P333" s="52">
        <f>IFERROR(_xlfn.XLOOKUP(H333,'Agências de Rating Soberano'!$J$2:$J$22,'Agências de Rating Soberano'!$K$2:$K$22),NA())</f>
        <v>12</v>
      </c>
      <c r="Q333" s="52">
        <f>IFERROR(_xlfn.XLOOKUP(I333,'Agências de Rating Soberano'!$J$2:$J$22,'Agências de Rating Soberano'!$K$2:$K$22),NA())</f>
        <v>14</v>
      </c>
    </row>
    <row r="334" spans="1:17" x14ac:dyDescent="0.3">
      <c r="A334" s="53">
        <f t="shared" si="12"/>
        <v>41851</v>
      </c>
      <c r="B334" t="str">
        <f>IFERROR(_xlfn.XLOOKUP($A334,Planilha2!$A$2:$A$34,Planilha2!C$2:C$34,"",-1),"")</f>
        <v>Baa2</v>
      </c>
      <c r="C334" t="str">
        <f>IFERROR(_xlfn.XLOOKUP($A334,Planilha2!$A$2:$A$34,Planilha2!D$2:D$34,"",-1),"")</f>
        <v>Baa2</v>
      </c>
      <c r="D334" t="str" cm="1">
        <f t="array" ref="D334">IF($A334&lt;MIN(Planilha2!$A$2:$A$34),"",_xlfn.LET(_xlpm.t,_xlfn.XLOOKUP($A334,Planilha2!$A$2:$A$34,Planilha2!$E$2:$E$34,"",-1),_xlfn.IFS(ISNUMBER(SEARCH("positiva",_xlpm.t)),"Positiva",ISNUMBER(SEARCH("negativa",_xlpm.t)),"Negativa",ISNUMBER(SEARCH("estável",_xlpm.t)),"Estável",TRUE,"n/d")))</f>
        <v>Estável</v>
      </c>
      <c r="E334" t="str">
        <f>IFERROR(_xlfn.XLOOKUP($A334,Planilha2!$J$2:$J$44,Planilha2!L$2:L$44,"",-1),"")</f>
        <v>BBB</v>
      </c>
      <c r="F334" t="str">
        <f>IFERROR(_xlfn.XLOOKUP($A334,Planilha2!$J$2:$J$44,Planilha2!M$2:M$44,"",-1),"")</f>
        <v>BBB</v>
      </c>
      <c r="G334" t="str" cm="1">
        <f t="array" ref="G334">IF($A334&lt;MIN(Planilha2!$J$2:$J$44),"",_xlfn.LET(_xlpm.t,_xlfn.XLOOKUP($A334,Planilha2!$J$2:$J$44,Planilha2!$N$2:$N$44,"",-1),_xlfn.IFS(ISNUMBER(SEARCH("positiva",_xlpm.t)),"Positiva",ISNUMBER(SEARCH("negativa",_xlpm.t)),"Negativa",ISNUMBER(SEARCH("estável",_xlpm.t)),"Estável",TRUE,"n/d")))</f>
        <v>Estável</v>
      </c>
      <c r="H334" t="str">
        <f>IFERROR(_xlfn.XLOOKUP($A334,Planilha2!$P$2:$P$38,Planilha2!R$2:R$38,"",-1),"")</f>
        <v>BBB-</v>
      </c>
      <c r="I334" t="str">
        <f>IFERROR(_xlfn.XLOOKUP($A334,Planilha2!$P$2:$P$38,Planilha2!S$2:S$38,"",-1),"")</f>
        <v>BBB+</v>
      </c>
      <c r="J334" t="str" cm="1">
        <f t="array" ref="J334">IF($A334&lt;MIN(Planilha2!$P$2:$P$38),"",_xlfn.LET(_xlpm.t,_xlfn.XLOOKUP($A334,Planilha2!$P$2:$P$38,Planilha2!$T$2:$T$38,"",-1),_xlfn.IFS(ISNUMBER(SEARCH("positiva",_xlpm.t)),"Positiva",ISNUMBER(SEARCH("negativa",_xlpm.t)),"Negativa",ISNUMBER(SEARCH("estável",_xlpm.t)),"Estável",TRUE,"n/d")))</f>
        <v>Estável</v>
      </c>
      <c r="L334" s="52">
        <f>IFERROR(_xlfn.XLOOKUP(B334,'Agências de Rating Soberano'!$G$2:$G$22,'Agências de Rating Soberano'!$H$2:$H$22),NA())</f>
        <v>13</v>
      </c>
      <c r="M334" s="52">
        <f>IFERROR(_xlfn.XLOOKUP(C334,'Agências de Rating Soberano'!$G$2:$G$22,'Agências de Rating Soberano'!$H$2:$H$22),NA())</f>
        <v>13</v>
      </c>
      <c r="N334" s="52">
        <f>IFERROR(_xlfn.XLOOKUP(E334,'Agências de Rating Soberano'!$J$2:$J$22,'Agências de Rating Soberano'!$K$2:$K$22),NA())</f>
        <v>13</v>
      </c>
      <c r="O334" s="52">
        <f>IFERROR(_xlfn.XLOOKUP(F334,'Agências de Rating Soberano'!$J$2:$J$22,'Agências de Rating Soberano'!$K$2:$K$22),NA())</f>
        <v>13</v>
      </c>
      <c r="P334" s="52">
        <f>IFERROR(_xlfn.XLOOKUP(H334,'Agências de Rating Soberano'!$J$2:$J$22,'Agências de Rating Soberano'!$K$2:$K$22),NA())</f>
        <v>12</v>
      </c>
      <c r="Q334" s="52">
        <f>IFERROR(_xlfn.XLOOKUP(I334,'Agências de Rating Soberano'!$J$2:$J$22,'Agências de Rating Soberano'!$K$2:$K$22),NA())</f>
        <v>14</v>
      </c>
    </row>
    <row r="335" spans="1:17" x14ac:dyDescent="0.3">
      <c r="A335" s="53">
        <f t="shared" si="12"/>
        <v>41882</v>
      </c>
      <c r="B335" t="str">
        <f>IFERROR(_xlfn.XLOOKUP($A335,Planilha2!$A$2:$A$34,Planilha2!C$2:C$34,"",-1),"")</f>
        <v>Baa2</v>
      </c>
      <c r="C335" t="str">
        <f>IFERROR(_xlfn.XLOOKUP($A335,Planilha2!$A$2:$A$34,Planilha2!D$2:D$34,"",-1),"")</f>
        <v>Baa2</v>
      </c>
      <c r="D335" t="str" cm="1">
        <f t="array" ref="D335">IF($A335&lt;MIN(Planilha2!$A$2:$A$34),"",_xlfn.LET(_xlpm.t,_xlfn.XLOOKUP($A335,Planilha2!$A$2:$A$34,Planilha2!$E$2:$E$34,"",-1),_xlfn.IFS(ISNUMBER(SEARCH("positiva",_xlpm.t)),"Positiva",ISNUMBER(SEARCH("negativa",_xlpm.t)),"Negativa",ISNUMBER(SEARCH("estável",_xlpm.t)),"Estável",TRUE,"n/d")))</f>
        <v>Estável</v>
      </c>
      <c r="E335" t="str">
        <f>IFERROR(_xlfn.XLOOKUP($A335,Planilha2!$J$2:$J$44,Planilha2!L$2:L$44,"",-1),"")</f>
        <v>BBB</v>
      </c>
      <c r="F335" t="str">
        <f>IFERROR(_xlfn.XLOOKUP($A335,Planilha2!$J$2:$J$44,Planilha2!M$2:M$44,"",-1),"")</f>
        <v>BBB</v>
      </c>
      <c r="G335" t="str" cm="1">
        <f t="array" ref="G335">IF($A335&lt;MIN(Planilha2!$J$2:$J$44),"",_xlfn.LET(_xlpm.t,_xlfn.XLOOKUP($A335,Planilha2!$J$2:$J$44,Planilha2!$N$2:$N$44,"",-1),_xlfn.IFS(ISNUMBER(SEARCH("positiva",_xlpm.t)),"Positiva",ISNUMBER(SEARCH("negativa",_xlpm.t)),"Negativa",ISNUMBER(SEARCH("estável",_xlpm.t)),"Estável",TRUE,"n/d")))</f>
        <v>Estável</v>
      </c>
      <c r="H335" t="str">
        <f>IFERROR(_xlfn.XLOOKUP($A335,Planilha2!$P$2:$P$38,Planilha2!R$2:R$38,"",-1),"")</f>
        <v>BBB-</v>
      </c>
      <c r="I335" t="str">
        <f>IFERROR(_xlfn.XLOOKUP($A335,Planilha2!$P$2:$P$38,Planilha2!S$2:S$38,"",-1),"")</f>
        <v>BBB+</v>
      </c>
      <c r="J335" t="str" cm="1">
        <f t="array" ref="J335">IF($A335&lt;MIN(Planilha2!$P$2:$P$38),"",_xlfn.LET(_xlpm.t,_xlfn.XLOOKUP($A335,Planilha2!$P$2:$P$38,Planilha2!$T$2:$T$38,"",-1),_xlfn.IFS(ISNUMBER(SEARCH("positiva",_xlpm.t)),"Positiva",ISNUMBER(SEARCH("negativa",_xlpm.t)),"Negativa",ISNUMBER(SEARCH("estável",_xlpm.t)),"Estável",TRUE,"n/d")))</f>
        <v>Estável</v>
      </c>
      <c r="L335" s="52">
        <f>IFERROR(_xlfn.XLOOKUP(B335,'Agências de Rating Soberano'!$G$2:$G$22,'Agências de Rating Soberano'!$H$2:$H$22),NA())</f>
        <v>13</v>
      </c>
      <c r="M335" s="52">
        <f>IFERROR(_xlfn.XLOOKUP(C335,'Agências de Rating Soberano'!$G$2:$G$22,'Agências de Rating Soberano'!$H$2:$H$22),NA())</f>
        <v>13</v>
      </c>
      <c r="N335" s="52">
        <f>IFERROR(_xlfn.XLOOKUP(E335,'Agências de Rating Soberano'!$J$2:$J$22,'Agências de Rating Soberano'!$K$2:$K$22),NA())</f>
        <v>13</v>
      </c>
      <c r="O335" s="52">
        <f>IFERROR(_xlfn.XLOOKUP(F335,'Agências de Rating Soberano'!$J$2:$J$22,'Agências de Rating Soberano'!$K$2:$K$22),NA())</f>
        <v>13</v>
      </c>
      <c r="P335" s="52">
        <f>IFERROR(_xlfn.XLOOKUP(H335,'Agências de Rating Soberano'!$J$2:$J$22,'Agências de Rating Soberano'!$K$2:$K$22),NA())</f>
        <v>12</v>
      </c>
      <c r="Q335" s="52">
        <f>IFERROR(_xlfn.XLOOKUP(I335,'Agências de Rating Soberano'!$J$2:$J$22,'Agências de Rating Soberano'!$K$2:$K$22),NA())</f>
        <v>14</v>
      </c>
    </row>
    <row r="336" spans="1:17" x14ac:dyDescent="0.3">
      <c r="A336" s="53">
        <f t="shared" si="12"/>
        <v>41912</v>
      </c>
      <c r="B336" t="str">
        <f>IFERROR(_xlfn.XLOOKUP($A336,Planilha2!$A$2:$A$34,Planilha2!C$2:C$34,"",-1),"")</f>
        <v>Baa2</v>
      </c>
      <c r="C336" t="str">
        <f>IFERROR(_xlfn.XLOOKUP($A336,Planilha2!$A$2:$A$34,Planilha2!D$2:D$34,"",-1),"")</f>
        <v>Baa2</v>
      </c>
      <c r="D336" t="str" cm="1">
        <f t="array" ref="D336">IF($A336&lt;MIN(Planilha2!$A$2:$A$34),"",_xlfn.LET(_xlpm.t,_xlfn.XLOOKUP($A336,Planilha2!$A$2:$A$34,Planilha2!$E$2:$E$34,"",-1),_xlfn.IFS(ISNUMBER(SEARCH("positiva",_xlpm.t)),"Positiva",ISNUMBER(SEARCH("negativa",_xlpm.t)),"Negativa",ISNUMBER(SEARCH("estável",_xlpm.t)),"Estável",TRUE,"n/d")))</f>
        <v>Negativa</v>
      </c>
      <c r="E336" t="str">
        <f>IFERROR(_xlfn.XLOOKUP($A336,Planilha2!$J$2:$J$44,Planilha2!L$2:L$44,"",-1),"")</f>
        <v>BBB</v>
      </c>
      <c r="F336" t="str">
        <f>IFERROR(_xlfn.XLOOKUP($A336,Planilha2!$J$2:$J$44,Planilha2!M$2:M$44,"",-1),"")</f>
        <v>BBB</v>
      </c>
      <c r="G336" t="str" cm="1">
        <f t="array" ref="G336">IF($A336&lt;MIN(Planilha2!$J$2:$J$44),"",_xlfn.LET(_xlpm.t,_xlfn.XLOOKUP($A336,Planilha2!$J$2:$J$44,Planilha2!$N$2:$N$44,"",-1),_xlfn.IFS(ISNUMBER(SEARCH("positiva",_xlpm.t)),"Positiva",ISNUMBER(SEARCH("negativa",_xlpm.t)),"Negativa",ISNUMBER(SEARCH("estável",_xlpm.t)),"Estável",TRUE,"n/d")))</f>
        <v>Estável</v>
      </c>
      <c r="H336" t="str">
        <f>IFERROR(_xlfn.XLOOKUP($A336,Planilha2!$P$2:$P$38,Planilha2!R$2:R$38,"",-1),"")</f>
        <v>BBB-</v>
      </c>
      <c r="I336" t="str">
        <f>IFERROR(_xlfn.XLOOKUP($A336,Planilha2!$P$2:$P$38,Planilha2!S$2:S$38,"",-1),"")</f>
        <v>BBB+</v>
      </c>
      <c r="J336" t="str" cm="1">
        <f t="array" ref="J336">IF($A336&lt;MIN(Planilha2!$P$2:$P$38),"",_xlfn.LET(_xlpm.t,_xlfn.XLOOKUP($A336,Planilha2!$P$2:$P$38,Planilha2!$T$2:$T$38,"",-1),_xlfn.IFS(ISNUMBER(SEARCH("positiva",_xlpm.t)),"Positiva",ISNUMBER(SEARCH("negativa",_xlpm.t)),"Negativa",ISNUMBER(SEARCH("estável",_xlpm.t)),"Estável",TRUE,"n/d")))</f>
        <v>Estável</v>
      </c>
      <c r="L336" s="52">
        <f>IFERROR(_xlfn.XLOOKUP(B336,'Agências de Rating Soberano'!$G$2:$G$22,'Agências de Rating Soberano'!$H$2:$H$22),NA())</f>
        <v>13</v>
      </c>
      <c r="M336" s="52">
        <f>IFERROR(_xlfn.XLOOKUP(C336,'Agências de Rating Soberano'!$G$2:$G$22,'Agências de Rating Soberano'!$H$2:$H$22),NA())</f>
        <v>13</v>
      </c>
      <c r="N336" s="52">
        <f>IFERROR(_xlfn.XLOOKUP(E336,'Agências de Rating Soberano'!$J$2:$J$22,'Agências de Rating Soberano'!$K$2:$K$22),NA())</f>
        <v>13</v>
      </c>
      <c r="O336" s="52">
        <f>IFERROR(_xlfn.XLOOKUP(F336,'Agências de Rating Soberano'!$J$2:$J$22,'Agências de Rating Soberano'!$K$2:$K$22),NA())</f>
        <v>13</v>
      </c>
      <c r="P336" s="52">
        <f>IFERROR(_xlfn.XLOOKUP(H336,'Agências de Rating Soberano'!$J$2:$J$22,'Agências de Rating Soberano'!$K$2:$K$22),NA())</f>
        <v>12</v>
      </c>
      <c r="Q336" s="52">
        <f>IFERROR(_xlfn.XLOOKUP(I336,'Agências de Rating Soberano'!$J$2:$J$22,'Agências de Rating Soberano'!$K$2:$K$22),NA())</f>
        <v>14</v>
      </c>
    </row>
    <row r="337" spans="1:17" x14ac:dyDescent="0.3">
      <c r="A337" s="53">
        <f t="shared" si="12"/>
        <v>41943</v>
      </c>
      <c r="B337" t="str">
        <f>IFERROR(_xlfn.XLOOKUP($A337,Planilha2!$A$2:$A$34,Planilha2!C$2:C$34,"",-1),"")</f>
        <v>Baa2</v>
      </c>
      <c r="C337" t="str">
        <f>IFERROR(_xlfn.XLOOKUP($A337,Planilha2!$A$2:$A$34,Planilha2!D$2:D$34,"",-1),"")</f>
        <v>Baa2</v>
      </c>
      <c r="D337" t="str" cm="1">
        <f t="array" ref="D337">IF($A337&lt;MIN(Planilha2!$A$2:$A$34),"",_xlfn.LET(_xlpm.t,_xlfn.XLOOKUP($A337,Planilha2!$A$2:$A$34,Planilha2!$E$2:$E$34,"",-1),_xlfn.IFS(ISNUMBER(SEARCH("positiva",_xlpm.t)),"Positiva",ISNUMBER(SEARCH("negativa",_xlpm.t)),"Negativa",ISNUMBER(SEARCH("estável",_xlpm.t)),"Estável",TRUE,"n/d")))</f>
        <v>Negativa</v>
      </c>
      <c r="E337" t="str">
        <f>IFERROR(_xlfn.XLOOKUP($A337,Planilha2!$J$2:$J$44,Planilha2!L$2:L$44,"",-1),"")</f>
        <v>BBB</v>
      </c>
      <c r="F337" t="str">
        <f>IFERROR(_xlfn.XLOOKUP($A337,Planilha2!$J$2:$J$44,Planilha2!M$2:M$44,"",-1),"")</f>
        <v>BBB</v>
      </c>
      <c r="G337" t="str" cm="1">
        <f t="array" ref="G337">IF($A337&lt;MIN(Planilha2!$J$2:$J$44),"",_xlfn.LET(_xlpm.t,_xlfn.XLOOKUP($A337,Planilha2!$J$2:$J$44,Planilha2!$N$2:$N$44,"",-1),_xlfn.IFS(ISNUMBER(SEARCH("positiva",_xlpm.t)),"Positiva",ISNUMBER(SEARCH("negativa",_xlpm.t)),"Negativa",ISNUMBER(SEARCH("estável",_xlpm.t)),"Estável",TRUE,"n/d")))</f>
        <v>Estável</v>
      </c>
      <c r="H337" t="str">
        <f>IFERROR(_xlfn.XLOOKUP($A337,Planilha2!$P$2:$P$38,Planilha2!R$2:R$38,"",-1),"")</f>
        <v>BBB-</v>
      </c>
      <c r="I337" t="str">
        <f>IFERROR(_xlfn.XLOOKUP($A337,Planilha2!$P$2:$P$38,Planilha2!S$2:S$38,"",-1),"")</f>
        <v>BBB+</v>
      </c>
      <c r="J337" t="str" cm="1">
        <f t="array" ref="J337">IF($A337&lt;MIN(Planilha2!$P$2:$P$38),"",_xlfn.LET(_xlpm.t,_xlfn.XLOOKUP($A337,Planilha2!$P$2:$P$38,Planilha2!$T$2:$T$38,"",-1),_xlfn.IFS(ISNUMBER(SEARCH("positiva",_xlpm.t)),"Positiva",ISNUMBER(SEARCH("negativa",_xlpm.t)),"Negativa",ISNUMBER(SEARCH("estável",_xlpm.t)),"Estável",TRUE,"n/d")))</f>
        <v>Estável</v>
      </c>
      <c r="L337" s="52">
        <f>IFERROR(_xlfn.XLOOKUP(B337,'Agências de Rating Soberano'!$G$2:$G$22,'Agências de Rating Soberano'!$H$2:$H$22),NA())</f>
        <v>13</v>
      </c>
      <c r="M337" s="52">
        <f>IFERROR(_xlfn.XLOOKUP(C337,'Agências de Rating Soberano'!$G$2:$G$22,'Agências de Rating Soberano'!$H$2:$H$22),NA())</f>
        <v>13</v>
      </c>
      <c r="N337" s="52">
        <f>IFERROR(_xlfn.XLOOKUP(E337,'Agências de Rating Soberano'!$J$2:$J$22,'Agências de Rating Soberano'!$K$2:$K$22),NA())</f>
        <v>13</v>
      </c>
      <c r="O337" s="52">
        <f>IFERROR(_xlfn.XLOOKUP(F337,'Agências de Rating Soberano'!$J$2:$J$22,'Agências de Rating Soberano'!$K$2:$K$22),NA())</f>
        <v>13</v>
      </c>
      <c r="P337" s="52">
        <f>IFERROR(_xlfn.XLOOKUP(H337,'Agências de Rating Soberano'!$J$2:$J$22,'Agências de Rating Soberano'!$K$2:$K$22),NA())</f>
        <v>12</v>
      </c>
      <c r="Q337" s="52">
        <f>IFERROR(_xlfn.XLOOKUP(I337,'Agências de Rating Soberano'!$J$2:$J$22,'Agências de Rating Soberano'!$K$2:$K$22),NA())</f>
        <v>14</v>
      </c>
    </row>
    <row r="338" spans="1:17" x14ac:dyDescent="0.3">
      <c r="A338" s="53">
        <f t="shared" si="12"/>
        <v>41973</v>
      </c>
      <c r="B338" t="str">
        <f>IFERROR(_xlfn.XLOOKUP($A338,Planilha2!$A$2:$A$34,Planilha2!C$2:C$34,"",-1),"")</f>
        <v>Baa2</v>
      </c>
      <c r="C338" t="str">
        <f>IFERROR(_xlfn.XLOOKUP($A338,Planilha2!$A$2:$A$34,Planilha2!D$2:D$34,"",-1),"")</f>
        <v>Baa2</v>
      </c>
      <c r="D338" t="str" cm="1">
        <f t="array" ref="D338">IF($A338&lt;MIN(Planilha2!$A$2:$A$34),"",_xlfn.LET(_xlpm.t,_xlfn.XLOOKUP($A338,Planilha2!$A$2:$A$34,Planilha2!$E$2:$E$34,"",-1),_xlfn.IFS(ISNUMBER(SEARCH("positiva",_xlpm.t)),"Positiva",ISNUMBER(SEARCH("negativa",_xlpm.t)),"Negativa",ISNUMBER(SEARCH("estável",_xlpm.t)),"Estável",TRUE,"n/d")))</f>
        <v>Negativa</v>
      </c>
      <c r="E338" t="str">
        <f>IFERROR(_xlfn.XLOOKUP($A338,Planilha2!$J$2:$J$44,Planilha2!L$2:L$44,"",-1),"")</f>
        <v>BBB</v>
      </c>
      <c r="F338" t="str">
        <f>IFERROR(_xlfn.XLOOKUP($A338,Planilha2!$J$2:$J$44,Planilha2!M$2:M$44,"",-1),"")</f>
        <v>BBB</v>
      </c>
      <c r="G338" t="str" cm="1">
        <f t="array" ref="G338">IF($A338&lt;MIN(Planilha2!$J$2:$J$44),"",_xlfn.LET(_xlpm.t,_xlfn.XLOOKUP($A338,Planilha2!$J$2:$J$44,Planilha2!$N$2:$N$44,"",-1),_xlfn.IFS(ISNUMBER(SEARCH("positiva",_xlpm.t)),"Positiva",ISNUMBER(SEARCH("negativa",_xlpm.t)),"Negativa",ISNUMBER(SEARCH("estável",_xlpm.t)),"Estável",TRUE,"n/d")))</f>
        <v>Estável</v>
      </c>
      <c r="H338" t="str">
        <f>IFERROR(_xlfn.XLOOKUP($A338,Planilha2!$P$2:$P$38,Planilha2!R$2:R$38,"",-1),"")</f>
        <v>BBB-</v>
      </c>
      <c r="I338" t="str">
        <f>IFERROR(_xlfn.XLOOKUP($A338,Planilha2!$P$2:$P$38,Planilha2!S$2:S$38,"",-1),"")</f>
        <v>BBB+</v>
      </c>
      <c r="J338" t="str" cm="1">
        <f t="array" ref="J338">IF($A338&lt;MIN(Planilha2!$P$2:$P$38),"",_xlfn.LET(_xlpm.t,_xlfn.XLOOKUP($A338,Planilha2!$P$2:$P$38,Planilha2!$T$2:$T$38,"",-1),_xlfn.IFS(ISNUMBER(SEARCH("positiva",_xlpm.t)),"Positiva",ISNUMBER(SEARCH("negativa",_xlpm.t)),"Negativa",ISNUMBER(SEARCH("estável",_xlpm.t)),"Estável",TRUE,"n/d")))</f>
        <v>Estável</v>
      </c>
      <c r="L338" s="52">
        <f>IFERROR(_xlfn.XLOOKUP(B338,'Agências de Rating Soberano'!$G$2:$G$22,'Agências de Rating Soberano'!$H$2:$H$22),NA())</f>
        <v>13</v>
      </c>
      <c r="M338" s="52">
        <f>IFERROR(_xlfn.XLOOKUP(C338,'Agências de Rating Soberano'!$G$2:$G$22,'Agências de Rating Soberano'!$H$2:$H$22),NA())</f>
        <v>13</v>
      </c>
      <c r="N338" s="52">
        <f>IFERROR(_xlfn.XLOOKUP(E338,'Agências de Rating Soberano'!$J$2:$J$22,'Agências de Rating Soberano'!$K$2:$K$22),NA())</f>
        <v>13</v>
      </c>
      <c r="O338" s="52">
        <f>IFERROR(_xlfn.XLOOKUP(F338,'Agências de Rating Soberano'!$J$2:$J$22,'Agências de Rating Soberano'!$K$2:$K$22),NA())</f>
        <v>13</v>
      </c>
      <c r="P338" s="52">
        <f>IFERROR(_xlfn.XLOOKUP(H338,'Agências de Rating Soberano'!$J$2:$J$22,'Agências de Rating Soberano'!$K$2:$K$22),NA())</f>
        <v>12</v>
      </c>
      <c r="Q338" s="52">
        <f>IFERROR(_xlfn.XLOOKUP(I338,'Agências de Rating Soberano'!$J$2:$J$22,'Agências de Rating Soberano'!$K$2:$K$22),NA())</f>
        <v>14</v>
      </c>
    </row>
    <row r="339" spans="1:17" x14ac:dyDescent="0.3">
      <c r="A339" s="53">
        <f t="shared" si="12"/>
        <v>42004</v>
      </c>
      <c r="B339" t="str">
        <f>IFERROR(_xlfn.XLOOKUP($A339,Planilha2!$A$2:$A$34,Planilha2!C$2:C$34,"",-1),"")</f>
        <v>Baa2</v>
      </c>
      <c r="C339" t="str">
        <f>IFERROR(_xlfn.XLOOKUP($A339,Planilha2!$A$2:$A$34,Planilha2!D$2:D$34,"",-1),"")</f>
        <v>Baa2</v>
      </c>
      <c r="D339" t="str" cm="1">
        <f t="array" ref="D339">IF($A339&lt;MIN(Planilha2!$A$2:$A$34),"",_xlfn.LET(_xlpm.t,_xlfn.XLOOKUP($A339,Planilha2!$A$2:$A$34,Planilha2!$E$2:$E$34,"",-1),_xlfn.IFS(ISNUMBER(SEARCH("positiva",_xlpm.t)),"Positiva",ISNUMBER(SEARCH("negativa",_xlpm.t)),"Negativa",ISNUMBER(SEARCH("estável",_xlpm.t)),"Estável",TRUE,"n/d")))</f>
        <v>Negativa</v>
      </c>
      <c r="E339" t="str">
        <f>IFERROR(_xlfn.XLOOKUP($A339,Planilha2!$J$2:$J$44,Planilha2!L$2:L$44,"",-1),"")</f>
        <v>BBB</v>
      </c>
      <c r="F339" t="str">
        <f>IFERROR(_xlfn.XLOOKUP($A339,Planilha2!$J$2:$J$44,Planilha2!M$2:M$44,"",-1),"")</f>
        <v>BBB</v>
      </c>
      <c r="G339" t="str" cm="1">
        <f t="array" ref="G339">IF($A339&lt;MIN(Planilha2!$J$2:$J$44),"",_xlfn.LET(_xlpm.t,_xlfn.XLOOKUP($A339,Planilha2!$J$2:$J$44,Planilha2!$N$2:$N$44,"",-1),_xlfn.IFS(ISNUMBER(SEARCH("positiva",_xlpm.t)),"Positiva",ISNUMBER(SEARCH("negativa",_xlpm.t)),"Negativa",ISNUMBER(SEARCH("estável",_xlpm.t)),"Estável",TRUE,"n/d")))</f>
        <v>Estável</v>
      </c>
      <c r="H339" t="str">
        <f>IFERROR(_xlfn.XLOOKUP($A339,Planilha2!$P$2:$P$38,Planilha2!R$2:R$38,"",-1),"")</f>
        <v>BBB-</v>
      </c>
      <c r="I339" t="str">
        <f>IFERROR(_xlfn.XLOOKUP($A339,Planilha2!$P$2:$P$38,Planilha2!S$2:S$38,"",-1),"")</f>
        <v>BBB+</v>
      </c>
      <c r="J339" t="str" cm="1">
        <f t="array" ref="J339">IF($A339&lt;MIN(Planilha2!$P$2:$P$38),"",_xlfn.LET(_xlpm.t,_xlfn.XLOOKUP($A339,Planilha2!$P$2:$P$38,Planilha2!$T$2:$T$38,"",-1),_xlfn.IFS(ISNUMBER(SEARCH("positiva",_xlpm.t)),"Positiva",ISNUMBER(SEARCH("negativa",_xlpm.t)),"Negativa",ISNUMBER(SEARCH("estável",_xlpm.t)),"Estável",TRUE,"n/d")))</f>
        <v>Estável</v>
      </c>
      <c r="L339" s="52">
        <f>IFERROR(_xlfn.XLOOKUP(B339,'Agências de Rating Soberano'!$G$2:$G$22,'Agências de Rating Soberano'!$H$2:$H$22),NA())</f>
        <v>13</v>
      </c>
      <c r="M339" s="52">
        <f>IFERROR(_xlfn.XLOOKUP(C339,'Agências de Rating Soberano'!$G$2:$G$22,'Agências de Rating Soberano'!$H$2:$H$22),NA())</f>
        <v>13</v>
      </c>
      <c r="N339" s="52">
        <f>IFERROR(_xlfn.XLOOKUP(E339,'Agências de Rating Soberano'!$J$2:$J$22,'Agências de Rating Soberano'!$K$2:$K$22),NA())</f>
        <v>13</v>
      </c>
      <c r="O339" s="52">
        <f>IFERROR(_xlfn.XLOOKUP(F339,'Agências de Rating Soberano'!$J$2:$J$22,'Agências de Rating Soberano'!$K$2:$K$22),NA())</f>
        <v>13</v>
      </c>
      <c r="P339" s="52">
        <f>IFERROR(_xlfn.XLOOKUP(H339,'Agências de Rating Soberano'!$J$2:$J$22,'Agências de Rating Soberano'!$K$2:$K$22),NA())</f>
        <v>12</v>
      </c>
      <c r="Q339" s="52">
        <f>IFERROR(_xlfn.XLOOKUP(I339,'Agências de Rating Soberano'!$J$2:$J$22,'Agências de Rating Soberano'!$K$2:$K$22),NA())</f>
        <v>14</v>
      </c>
    </row>
    <row r="340" spans="1:17" x14ac:dyDescent="0.3">
      <c r="A340" s="53">
        <f t="shared" si="12"/>
        <v>42035</v>
      </c>
      <c r="B340" t="str">
        <f>IFERROR(_xlfn.XLOOKUP($A340,Planilha2!$A$2:$A$34,Planilha2!C$2:C$34,"",-1),"")</f>
        <v>Baa2</v>
      </c>
      <c r="C340" t="str">
        <f>IFERROR(_xlfn.XLOOKUP($A340,Planilha2!$A$2:$A$34,Planilha2!D$2:D$34,"",-1),"")</f>
        <v>Baa2</v>
      </c>
      <c r="D340" t="str" cm="1">
        <f t="array" ref="D340">IF($A340&lt;MIN(Planilha2!$A$2:$A$34),"",_xlfn.LET(_xlpm.t,_xlfn.XLOOKUP($A340,Planilha2!$A$2:$A$34,Planilha2!$E$2:$E$34,"",-1),_xlfn.IFS(ISNUMBER(SEARCH("positiva",_xlpm.t)),"Positiva",ISNUMBER(SEARCH("negativa",_xlpm.t)),"Negativa",ISNUMBER(SEARCH("estável",_xlpm.t)),"Estável",TRUE,"n/d")))</f>
        <v>Negativa</v>
      </c>
      <c r="E340" t="str">
        <f>IFERROR(_xlfn.XLOOKUP($A340,Planilha2!$J$2:$J$44,Planilha2!L$2:L$44,"",-1),"")</f>
        <v>BBB</v>
      </c>
      <c r="F340" t="str">
        <f>IFERROR(_xlfn.XLOOKUP($A340,Planilha2!$J$2:$J$44,Planilha2!M$2:M$44,"",-1),"")</f>
        <v>BBB</v>
      </c>
      <c r="G340" t="str" cm="1">
        <f t="array" ref="G340">IF($A340&lt;MIN(Planilha2!$J$2:$J$44),"",_xlfn.LET(_xlpm.t,_xlfn.XLOOKUP($A340,Planilha2!$J$2:$J$44,Planilha2!$N$2:$N$44,"",-1),_xlfn.IFS(ISNUMBER(SEARCH("positiva",_xlpm.t)),"Positiva",ISNUMBER(SEARCH("negativa",_xlpm.t)),"Negativa",ISNUMBER(SEARCH("estável",_xlpm.t)),"Estável",TRUE,"n/d")))</f>
        <v>Estável</v>
      </c>
      <c r="H340" t="str">
        <f>IFERROR(_xlfn.XLOOKUP($A340,Planilha2!$P$2:$P$38,Planilha2!R$2:R$38,"",-1),"")</f>
        <v>BBB-</v>
      </c>
      <c r="I340" t="str">
        <f>IFERROR(_xlfn.XLOOKUP($A340,Planilha2!$P$2:$P$38,Planilha2!S$2:S$38,"",-1),"")</f>
        <v>BBB+</v>
      </c>
      <c r="J340" t="str" cm="1">
        <f t="array" ref="J340">IF($A340&lt;MIN(Planilha2!$P$2:$P$38),"",_xlfn.LET(_xlpm.t,_xlfn.XLOOKUP($A340,Planilha2!$P$2:$P$38,Planilha2!$T$2:$T$38,"",-1),_xlfn.IFS(ISNUMBER(SEARCH("positiva",_xlpm.t)),"Positiva",ISNUMBER(SEARCH("negativa",_xlpm.t)),"Negativa",ISNUMBER(SEARCH("estável",_xlpm.t)),"Estável",TRUE,"n/d")))</f>
        <v>Estável</v>
      </c>
      <c r="L340" s="52">
        <f>IFERROR(_xlfn.XLOOKUP(B340,'Agências de Rating Soberano'!$G$2:$G$22,'Agências de Rating Soberano'!$H$2:$H$22),NA())</f>
        <v>13</v>
      </c>
      <c r="M340" s="52">
        <f>IFERROR(_xlfn.XLOOKUP(C340,'Agências de Rating Soberano'!$G$2:$G$22,'Agências de Rating Soberano'!$H$2:$H$22),NA())</f>
        <v>13</v>
      </c>
      <c r="N340" s="52">
        <f>IFERROR(_xlfn.XLOOKUP(E340,'Agências de Rating Soberano'!$J$2:$J$22,'Agências de Rating Soberano'!$K$2:$K$22),NA())</f>
        <v>13</v>
      </c>
      <c r="O340" s="52">
        <f>IFERROR(_xlfn.XLOOKUP(F340,'Agências de Rating Soberano'!$J$2:$J$22,'Agências de Rating Soberano'!$K$2:$K$22),NA())</f>
        <v>13</v>
      </c>
      <c r="P340" s="52">
        <f>IFERROR(_xlfn.XLOOKUP(H340,'Agências de Rating Soberano'!$J$2:$J$22,'Agências de Rating Soberano'!$K$2:$K$22),NA())</f>
        <v>12</v>
      </c>
      <c r="Q340" s="52">
        <f>IFERROR(_xlfn.XLOOKUP(I340,'Agências de Rating Soberano'!$J$2:$J$22,'Agências de Rating Soberano'!$K$2:$K$22),NA())</f>
        <v>14</v>
      </c>
    </row>
    <row r="341" spans="1:17" x14ac:dyDescent="0.3">
      <c r="A341" s="53">
        <f t="shared" si="12"/>
        <v>42063</v>
      </c>
      <c r="B341" t="str">
        <f>IFERROR(_xlfn.XLOOKUP($A341,Planilha2!$A$2:$A$34,Planilha2!C$2:C$34,"",-1),"")</f>
        <v>Baa2</v>
      </c>
      <c r="C341" t="str">
        <f>IFERROR(_xlfn.XLOOKUP($A341,Planilha2!$A$2:$A$34,Planilha2!D$2:D$34,"",-1),"")</f>
        <v>Baa2</v>
      </c>
      <c r="D341" t="str" cm="1">
        <f t="array" ref="D341">IF($A341&lt;MIN(Planilha2!$A$2:$A$34),"",_xlfn.LET(_xlpm.t,_xlfn.XLOOKUP($A341,Planilha2!$A$2:$A$34,Planilha2!$E$2:$E$34,"",-1),_xlfn.IFS(ISNUMBER(SEARCH("positiva",_xlpm.t)),"Positiva",ISNUMBER(SEARCH("negativa",_xlpm.t)),"Negativa",ISNUMBER(SEARCH("estável",_xlpm.t)),"Estável",TRUE,"n/d")))</f>
        <v>Negativa</v>
      </c>
      <c r="E341" t="str">
        <f>IFERROR(_xlfn.XLOOKUP($A341,Planilha2!$J$2:$J$44,Planilha2!L$2:L$44,"",-1),"")</f>
        <v>BBB</v>
      </c>
      <c r="F341" t="str">
        <f>IFERROR(_xlfn.XLOOKUP($A341,Planilha2!$J$2:$J$44,Planilha2!M$2:M$44,"",-1),"")</f>
        <v>BBB</v>
      </c>
      <c r="G341" t="str" cm="1">
        <f t="array" ref="G341">IF($A341&lt;MIN(Planilha2!$J$2:$J$44),"",_xlfn.LET(_xlpm.t,_xlfn.XLOOKUP($A341,Planilha2!$J$2:$J$44,Planilha2!$N$2:$N$44,"",-1),_xlfn.IFS(ISNUMBER(SEARCH("positiva",_xlpm.t)),"Positiva",ISNUMBER(SEARCH("negativa",_xlpm.t)),"Negativa",ISNUMBER(SEARCH("estável",_xlpm.t)),"Estável",TRUE,"n/d")))</f>
        <v>Estável</v>
      </c>
      <c r="H341" t="str">
        <f>IFERROR(_xlfn.XLOOKUP($A341,Planilha2!$P$2:$P$38,Planilha2!R$2:R$38,"",-1),"")</f>
        <v>BBB-</v>
      </c>
      <c r="I341" t="str">
        <f>IFERROR(_xlfn.XLOOKUP($A341,Planilha2!$P$2:$P$38,Planilha2!S$2:S$38,"",-1),"")</f>
        <v>BBB+</v>
      </c>
      <c r="J341" t="str" cm="1">
        <f t="array" ref="J341">IF($A341&lt;MIN(Planilha2!$P$2:$P$38),"",_xlfn.LET(_xlpm.t,_xlfn.XLOOKUP($A341,Planilha2!$P$2:$P$38,Planilha2!$T$2:$T$38,"",-1),_xlfn.IFS(ISNUMBER(SEARCH("positiva",_xlpm.t)),"Positiva",ISNUMBER(SEARCH("negativa",_xlpm.t)),"Negativa",ISNUMBER(SEARCH("estável",_xlpm.t)),"Estável",TRUE,"n/d")))</f>
        <v>Estável</v>
      </c>
      <c r="L341" s="52">
        <f>IFERROR(_xlfn.XLOOKUP(B341,'Agências de Rating Soberano'!$G$2:$G$22,'Agências de Rating Soberano'!$H$2:$H$22),NA())</f>
        <v>13</v>
      </c>
      <c r="M341" s="52">
        <f>IFERROR(_xlfn.XLOOKUP(C341,'Agências de Rating Soberano'!$G$2:$G$22,'Agências de Rating Soberano'!$H$2:$H$22),NA())</f>
        <v>13</v>
      </c>
      <c r="N341" s="52">
        <f>IFERROR(_xlfn.XLOOKUP(E341,'Agências de Rating Soberano'!$J$2:$J$22,'Agências de Rating Soberano'!$K$2:$K$22),NA())</f>
        <v>13</v>
      </c>
      <c r="O341" s="52">
        <f>IFERROR(_xlfn.XLOOKUP(F341,'Agências de Rating Soberano'!$J$2:$J$22,'Agências de Rating Soberano'!$K$2:$K$22),NA())</f>
        <v>13</v>
      </c>
      <c r="P341" s="52">
        <f>IFERROR(_xlfn.XLOOKUP(H341,'Agências de Rating Soberano'!$J$2:$J$22,'Agências de Rating Soberano'!$K$2:$K$22),NA())</f>
        <v>12</v>
      </c>
      <c r="Q341" s="52">
        <f>IFERROR(_xlfn.XLOOKUP(I341,'Agências de Rating Soberano'!$J$2:$J$22,'Agências de Rating Soberano'!$K$2:$K$22),NA())</f>
        <v>14</v>
      </c>
    </row>
    <row r="342" spans="1:17" x14ac:dyDescent="0.3">
      <c r="A342" s="53">
        <f t="shared" si="12"/>
        <v>42094</v>
      </c>
      <c r="B342" t="str">
        <f>IFERROR(_xlfn.XLOOKUP($A342,Planilha2!$A$2:$A$34,Planilha2!C$2:C$34,"",-1),"")</f>
        <v>Baa2</v>
      </c>
      <c r="C342" t="str">
        <f>IFERROR(_xlfn.XLOOKUP($A342,Planilha2!$A$2:$A$34,Planilha2!D$2:D$34,"",-1),"")</f>
        <v>Baa2</v>
      </c>
      <c r="D342" t="str" cm="1">
        <f t="array" ref="D342">IF($A342&lt;MIN(Planilha2!$A$2:$A$34),"",_xlfn.LET(_xlpm.t,_xlfn.XLOOKUP($A342,Planilha2!$A$2:$A$34,Planilha2!$E$2:$E$34,"",-1),_xlfn.IFS(ISNUMBER(SEARCH("positiva",_xlpm.t)),"Positiva",ISNUMBER(SEARCH("negativa",_xlpm.t)),"Negativa",ISNUMBER(SEARCH("estável",_xlpm.t)),"Estável",TRUE,"n/d")))</f>
        <v>Negativa</v>
      </c>
      <c r="E342" t="str">
        <f>IFERROR(_xlfn.XLOOKUP($A342,Planilha2!$J$2:$J$44,Planilha2!L$2:L$44,"",-1),"")</f>
        <v>BBB</v>
      </c>
      <c r="F342" t="str">
        <f>IFERROR(_xlfn.XLOOKUP($A342,Planilha2!$J$2:$J$44,Planilha2!M$2:M$44,"",-1),"")</f>
        <v>BBB</v>
      </c>
      <c r="G342" t="str" cm="1">
        <f t="array" ref="G342">IF($A342&lt;MIN(Planilha2!$J$2:$J$44),"",_xlfn.LET(_xlpm.t,_xlfn.XLOOKUP($A342,Planilha2!$J$2:$J$44,Planilha2!$N$2:$N$44,"",-1),_xlfn.IFS(ISNUMBER(SEARCH("positiva",_xlpm.t)),"Positiva",ISNUMBER(SEARCH("negativa",_xlpm.t)),"Negativa",ISNUMBER(SEARCH("estável",_xlpm.t)),"Estável",TRUE,"n/d")))</f>
        <v>Estável</v>
      </c>
      <c r="H342" t="str">
        <f>IFERROR(_xlfn.XLOOKUP($A342,Planilha2!$P$2:$P$38,Planilha2!R$2:R$38,"",-1),"")</f>
        <v>BBB-</v>
      </c>
      <c r="I342" t="str">
        <f>IFERROR(_xlfn.XLOOKUP($A342,Planilha2!$P$2:$P$38,Planilha2!S$2:S$38,"",-1),"")</f>
        <v>BBB+</v>
      </c>
      <c r="J342" t="str" cm="1">
        <f t="array" ref="J342">IF($A342&lt;MIN(Planilha2!$P$2:$P$38),"",_xlfn.LET(_xlpm.t,_xlfn.XLOOKUP($A342,Planilha2!$P$2:$P$38,Planilha2!$T$2:$T$38,"",-1),_xlfn.IFS(ISNUMBER(SEARCH("positiva",_xlpm.t)),"Positiva",ISNUMBER(SEARCH("negativa",_xlpm.t)),"Negativa",ISNUMBER(SEARCH("estável",_xlpm.t)),"Estável",TRUE,"n/d")))</f>
        <v>Estável</v>
      </c>
      <c r="L342" s="52">
        <f>IFERROR(_xlfn.XLOOKUP(B342,'Agências de Rating Soberano'!$G$2:$G$22,'Agências de Rating Soberano'!$H$2:$H$22),NA())</f>
        <v>13</v>
      </c>
      <c r="M342" s="52">
        <f>IFERROR(_xlfn.XLOOKUP(C342,'Agências de Rating Soberano'!$G$2:$G$22,'Agências de Rating Soberano'!$H$2:$H$22),NA())</f>
        <v>13</v>
      </c>
      <c r="N342" s="52">
        <f>IFERROR(_xlfn.XLOOKUP(E342,'Agências de Rating Soberano'!$J$2:$J$22,'Agências de Rating Soberano'!$K$2:$K$22),NA())</f>
        <v>13</v>
      </c>
      <c r="O342" s="52">
        <f>IFERROR(_xlfn.XLOOKUP(F342,'Agências de Rating Soberano'!$J$2:$J$22,'Agências de Rating Soberano'!$K$2:$K$22),NA())</f>
        <v>13</v>
      </c>
      <c r="P342" s="52">
        <f>IFERROR(_xlfn.XLOOKUP(H342,'Agências de Rating Soberano'!$J$2:$J$22,'Agências de Rating Soberano'!$K$2:$K$22),NA())</f>
        <v>12</v>
      </c>
      <c r="Q342" s="52">
        <f>IFERROR(_xlfn.XLOOKUP(I342,'Agências de Rating Soberano'!$J$2:$J$22,'Agências de Rating Soberano'!$K$2:$K$22),NA())</f>
        <v>14</v>
      </c>
    </row>
    <row r="343" spans="1:17" x14ac:dyDescent="0.3">
      <c r="A343" s="53">
        <f t="shared" si="12"/>
        <v>42124</v>
      </c>
      <c r="B343" t="str">
        <f>IFERROR(_xlfn.XLOOKUP($A343,Planilha2!$A$2:$A$34,Planilha2!C$2:C$34,"",-1),"")</f>
        <v>Baa2</v>
      </c>
      <c r="C343" t="str">
        <f>IFERROR(_xlfn.XLOOKUP($A343,Planilha2!$A$2:$A$34,Planilha2!D$2:D$34,"",-1),"")</f>
        <v>Baa2</v>
      </c>
      <c r="D343" t="str" cm="1">
        <f t="array" ref="D343">IF($A343&lt;MIN(Planilha2!$A$2:$A$34),"",_xlfn.LET(_xlpm.t,_xlfn.XLOOKUP($A343,Planilha2!$A$2:$A$34,Planilha2!$E$2:$E$34,"",-1),_xlfn.IFS(ISNUMBER(SEARCH("positiva",_xlpm.t)),"Positiva",ISNUMBER(SEARCH("negativa",_xlpm.t)),"Negativa",ISNUMBER(SEARCH("estável",_xlpm.t)),"Estável",TRUE,"n/d")))</f>
        <v>Negativa</v>
      </c>
      <c r="E343" t="str">
        <f>IFERROR(_xlfn.XLOOKUP($A343,Planilha2!$J$2:$J$44,Planilha2!L$2:L$44,"",-1),"")</f>
        <v>BBB</v>
      </c>
      <c r="F343" t="str">
        <f>IFERROR(_xlfn.XLOOKUP($A343,Planilha2!$J$2:$J$44,Planilha2!M$2:M$44,"",-1),"")</f>
        <v>BBB</v>
      </c>
      <c r="G343" t="str" cm="1">
        <f t="array" ref="G343">IF($A343&lt;MIN(Planilha2!$J$2:$J$44),"",_xlfn.LET(_xlpm.t,_xlfn.XLOOKUP($A343,Planilha2!$J$2:$J$44,Planilha2!$N$2:$N$44,"",-1),_xlfn.IFS(ISNUMBER(SEARCH("positiva",_xlpm.t)),"Positiva",ISNUMBER(SEARCH("negativa",_xlpm.t)),"Negativa",ISNUMBER(SEARCH("estável",_xlpm.t)),"Estável",TRUE,"n/d")))</f>
        <v>Negativa</v>
      </c>
      <c r="H343" t="str">
        <f>IFERROR(_xlfn.XLOOKUP($A343,Planilha2!$P$2:$P$38,Planilha2!R$2:R$38,"",-1),"")</f>
        <v>BBB-</v>
      </c>
      <c r="I343" t="str">
        <f>IFERROR(_xlfn.XLOOKUP($A343,Planilha2!$P$2:$P$38,Planilha2!S$2:S$38,"",-1),"")</f>
        <v>BBB+</v>
      </c>
      <c r="J343" t="str" cm="1">
        <f t="array" ref="J343">IF($A343&lt;MIN(Planilha2!$P$2:$P$38),"",_xlfn.LET(_xlpm.t,_xlfn.XLOOKUP($A343,Planilha2!$P$2:$P$38,Planilha2!$T$2:$T$38,"",-1),_xlfn.IFS(ISNUMBER(SEARCH("positiva",_xlpm.t)),"Positiva",ISNUMBER(SEARCH("negativa",_xlpm.t)),"Negativa",ISNUMBER(SEARCH("estável",_xlpm.t)),"Estável",TRUE,"n/d")))</f>
        <v>Estável</v>
      </c>
      <c r="L343" s="52">
        <f>IFERROR(_xlfn.XLOOKUP(B343,'Agências de Rating Soberano'!$G$2:$G$22,'Agências de Rating Soberano'!$H$2:$H$22),NA())</f>
        <v>13</v>
      </c>
      <c r="M343" s="52">
        <f>IFERROR(_xlfn.XLOOKUP(C343,'Agências de Rating Soberano'!$G$2:$G$22,'Agências de Rating Soberano'!$H$2:$H$22),NA())</f>
        <v>13</v>
      </c>
      <c r="N343" s="52">
        <f>IFERROR(_xlfn.XLOOKUP(E343,'Agências de Rating Soberano'!$J$2:$J$22,'Agências de Rating Soberano'!$K$2:$K$22),NA())</f>
        <v>13</v>
      </c>
      <c r="O343" s="52">
        <f>IFERROR(_xlfn.XLOOKUP(F343,'Agências de Rating Soberano'!$J$2:$J$22,'Agências de Rating Soberano'!$K$2:$K$22),NA())</f>
        <v>13</v>
      </c>
      <c r="P343" s="52">
        <f>IFERROR(_xlfn.XLOOKUP(H343,'Agências de Rating Soberano'!$J$2:$J$22,'Agências de Rating Soberano'!$K$2:$K$22),NA())</f>
        <v>12</v>
      </c>
      <c r="Q343" s="52">
        <f>IFERROR(_xlfn.XLOOKUP(I343,'Agências de Rating Soberano'!$J$2:$J$22,'Agências de Rating Soberano'!$K$2:$K$22),NA())</f>
        <v>14</v>
      </c>
    </row>
    <row r="344" spans="1:17" x14ac:dyDescent="0.3">
      <c r="A344" s="53">
        <f t="shared" si="12"/>
        <v>42155</v>
      </c>
      <c r="B344" t="str">
        <f>IFERROR(_xlfn.XLOOKUP($A344,Planilha2!$A$2:$A$34,Planilha2!C$2:C$34,"",-1),"")</f>
        <v>Baa2</v>
      </c>
      <c r="C344" t="str">
        <f>IFERROR(_xlfn.XLOOKUP($A344,Planilha2!$A$2:$A$34,Planilha2!D$2:D$34,"",-1),"")</f>
        <v>Baa2</v>
      </c>
      <c r="D344" t="str" cm="1">
        <f t="array" ref="D344">IF($A344&lt;MIN(Planilha2!$A$2:$A$34),"",_xlfn.LET(_xlpm.t,_xlfn.XLOOKUP($A344,Planilha2!$A$2:$A$34,Planilha2!$E$2:$E$34,"",-1),_xlfn.IFS(ISNUMBER(SEARCH("positiva",_xlpm.t)),"Positiva",ISNUMBER(SEARCH("negativa",_xlpm.t)),"Negativa",ISNUMBER(SEARCH("estável",_xlpm.t)),"Estável",TRUE,"n/d")))</f>
        <v>Negativa</v>
      </c>
      <c r="E344" t="str">
        <f>IFERROR(_xlfn.XLOOKUP($A344,Planilha2!$J$2:$J$44,Planilha2!L$2:L$44,"",-1),"")</f>
        <v>BBB</v>
      </c>
      <c r="F344" t="str">
        <f>IFERROR(_xlfn.XLOOKUP($A344,Planilha2!$J$2:$J$44,Planilha2!M$2:M$44,"",-1),"")</f>
        <v>BBB</v>
      </c>
      <c r="G344" t="str" cm="1">
        <f t="array" ref="G344">IF($A344&lt;MIN(Planilha2!$J$2:$J$44),"",_xlfn.LET(_xlpm.t,_xlfn.XLOOKUP($A344,Planilha2!$J$2:$J$44,Planilha2!$N$2:$N$44,"",-1),_xlfn.IFS(ISNUMBER(SEARCH("positiva",_xlpm.t)),"Positiva",ISNUMBER(SEARCH("negativa",_xlpm.t)),"Negativa",ISNUMBER(SEARCH("estável",_xlpm.t)),"Estável",TRUE,"n/d")))</f>
        <v>Negativa</v>
      </c>
      <c r="H344" t="str">
        <f>IFERROR(_xlfn.XLOOKUP($A344,Planilha2!$P$2:$P$38,Planilha2!R$2:R$38,"",-1),"")</f>
        <v>BBB-</v>
      </c>
      <c r="I344" t="str">
        <f>IFERROR(_xlfn.XLOOKUP($A344,Planilha2!$P$2:$P$38,Planilha2!S$2:S$38,"",-1),"")</f>
        <v>BBB+</v>
      </c>
      <c r="J344" t="str" cm="1">
        <f t="array" ref="J344">IF($A344&lt;MIN(Planilha2!$P$2:$P$38),"",_xlfn.LET(_xlpm.t,_xlfn.XLOOKUP($A344,Planilha2!$P$2:$P$38,Planilha2!$T$2:$T$38,"",-1),_xlfn.IFS(ISNUMBER(SEARCH("positiva",_xlpm.t)),"Positiva",ISNUMBER(SEARCH("negativa",_xlpm.t)),"Negativa",ISNUMBER(SEARCH("estável",_xlpm.t)),"Estável",TRUE,"n/d")))</f>
        <v>Estável</v>
      </c>
      <c r="L344" s="52">
        <f>IFERROR(_xlfn.XLOOKUP(B344,'Agências de Rating Soberano'!$G$2:$G$22,'Agências de Rating Soberano'!$H$2:$H$22),NA())</f>
        <v>13</v>
      </c>
      <c r="M344" s="52">
        <f>IFERROR(_xlfn.XLOOKUP(C344,'Agências de Rating Soberano'!$G$2:$G$22,'Agências de Rating Soberano'!$H$2:$H$22),NA())</f>
        <v>13</v>
      </c>
      <c r="N344" s="52">
        <f>IFERROR(_xlfn.XLOOKUP(E344,'Agências de Rating Soberano'!$J$2:$J$22,'Agências de Rating Soberano'!$K$2:$K$22),NA())</f>
        <v>13</v>
      </c>
      <c r="O344" s="52">
        <f>IFERROR(_xlfn.XLOOKUP(F344,'Agências de Rating Soberano'!$J$2:$J$22,'Agências de Rating Soberano'!$K$2:$K$22),NA())</f>
        <v>13</v>
      </c>
      <c r="P344" s="52">
        <f>IFERROR(_xlfn.XLOOKUP(H344,'Agências de Rating Soberano'!$J$2:$J$22,'Agências de Rating Soberano'!$K$2:$K$22),NA())</f>
        <v>12</v>
      </c>
      <c r="Q344" s="52">
        <f>IFERROR(_xlfn.XLOOKUP(I344,'Agências de Rating Soberano'!$J$2:$J$22,'Agências de Rating Soberano'!$K$2:$K$22),NA())</f>
        <v>14</v>
      </c>
    </row>
    <row r="345" spans="1:17" x14ac:dyDescent="0.3">
      <c r="A345" s="53">
        <f t="shared" si="12"/>
        <v>42185</v>
      </c>
      <c r="B345" t="str">
        <f>IFERROR(_xlfn.XLOOKUP($A345,Planilha2!$A$2:$A$34,Planilha2!C$2:C$34,"",-1),"")</f>
        <v>Baa2</v>
      </c>
      <c r="C345" t="str">
        <f>IFERROR(_xlfn.XLOOKUP($A345,Planilha2!$A$2:$A$34,Planilha2!D$2:D$34,"",-1),"")</f>
        <v>Baa2</v>
      </c>
      <c r="D345" t="str" cm="1">
        <f t="array" ref="D345">IF($A345&lt;MIN(Planilha2!$A$2:$A$34),"",_xlfn.LET(_xlpm.t,_xlfn.XLOOKUP($A345,Planilha2!$A$2:$A$34,Planilha2!$E$2:$E$34,"",-1),_xlfn.IFS(ISNUMBER(SEARCH("positiva",_xlpm.t)),"Positiva",ISNUMBER(SEARCH("negativa",_xlpm.t)),"Negativa",ISNUMBER(SEARCH("estável",_xlpm.t)),"Estável",TRUE,"n/d")))</f>
        <v>Negativa</v>
      </c>
      <c r="E345" t="str">
        <f>IFERROR(_xlfn.XLOOKUP($A345,Planilha2!$J$2:$J$44,Planilha2!L$2:L$44,"",-1),"")</f>
        <v>BBB</v>
      </c>
      <c r="F345" t="str">
        <f>IFERROR(_xlfn.XLOOKUP($A345,Planilha2!$J$2:$J$44,Planilha2!M$2:M$44,"",-1),"")</f>
        <v>BBB</v>
      </c>
      <c r="G345" t="str" cm="1">
        <f t="array" ref="G345">IF($A345&lt;MIN(Planilha2!$J$2:$J$44),"",_xlfn.LET(_xlpm.t,_xlfn.XLOOKUP($A345,Planilha2!$J$2:$J$44,Planilha2!$N$2:$N$44,"",-1),_xlfn.IFS(ISNUMBER(SEARCH("positiva",_xlpm.t)),"Positiva",ISNUMBER(SEARCH("negativa",_xlpm.t)),"Negativa",ISNUMBER(SEARCH("estável",_xlpm.t)),"Estável",TRUE,"n/d")))</f>
        <v>Negativa</v>
      </c>
      <c r="H345" t="str">
        <f>IFERROR(_xlfn.XLOOKUP($A345,Planilha2!$P$2:$P$38,Planilha2!R$2:R$38,"",-1),"")</f>
        <v>BBB-</v>
      </c>
      <c r="I345" t="str">
        <f>IFERROR(_xlfn.XLOOKUP($A345,Planilha2!$P$2:$P$38,Planilha2!S$2:S$38,"",-1),"")</f>
        <v>BBB+</v>
      </c>
      <c r="J345" t="str" cm="1">
        <f t="array" ref="J345">IF($A345&lt;MIN(Planilha2!$P$2:$P$38),"",_xlfn.LET(_xlpm.t,_xlfn.XLOOKUP($A345,Planilha2!$P$2:$P$38,Planilha2!$T$2:$T$38,"",-1),_xlfn.IFS(ISNUMBER(SEARCH("positiva",_xlpm.t)),"Positiva",ISNUMBER(SEARCH("negativa",_xlpm.t)),"Negativa",ISNUMBER(SEARCH("estável",_xlpm.t)),"Estável",TRUE,"n/d")))</f>
        <v>Estável</v>
      </c>
      <c r="L345" s="52">
        <f>IFERROR(_xlfn.XLOOKUP(B345,'Agências de Rating Soberano'!$G$2:$G$22,'Agências de Rating Soberano'!$H$2:$H$22),NA())</f>
        <v>13</v>
      </c>
      <c r="M345" s="52">
        <f>IFERROR(_xlfn.XLOOKUP(C345,'Agências de Rating Soberano'!$G$2:$G$22,'Agências de Rating Soberano'!$H$2:$H$22),NA())</f>
        <v>13</v>
      </c>
      <c r="N345" s="52">
        <f>IFERROR(_xlfn.XLOOKUP(E345,'Agências de Rating Soberano'!$J$2:$J$22,'Agências de Rating Soberano'!$K$2:$K$22),NA())</f>
        <v>13</v>
      </c>
      <c r="O345" s="52">
        <f>IFERROR(_xlfn.XLOOKUP(F345,'Agências de Rating Soberano'!$J$2:$J$22,'Agências de Rating Soberano'!$K$2:$K$22),NA())</f>
        <v>13</v>
      </c>
      <c r="P345" s="52">
        <f>IFERROR(_xlfn.XLOOKUP(H345,'Agências de Rating Soberano'!$J$2:$J$22,'Agências de Rating Soberano'!$K$2:$K$22),NA())</f>
        <v>12</v>
      </c>
      <c r="Q345" s="52">
        <f>IFERROR(_xlfn.XLOOKUP(I345,'Agências de Rating Soberano'!$J$2:$J$22,'Agências de Rating Soberano'!$K$2:$K$22),NA())</f>
        <v>14</v>
      </c>
    </row>
    <row r="346" spans="1:17" x14ac:dyDescent="0.3">
      <c r="A346" s="53">
        <f t="shared" si="12"/>
        <v>42216</v>
      </c>
      <c r="B346" t="str">
        <f>IFERROR(_xlfn.XLOOKUP($A346,Planilha2!$A$2:$A$34,Planilha2!C$2:C$34,"",-1),"")</f>
        <v>Baa2</v>
      </c>
      <c r="C346" t="str">
        <f>IFERROR(_xlfn.XLOOKUP($A346,Planilha2!$A$2:$A$34,Planilha2!D$2:D$34,"",-1),"")</f>
        <v>Baa2</v>
      </c>
      <c r="D346" t="str" cm="1">
        <f t="array" ref="D346">IF($A346&lt;MIN(Planilha2!$A$2:$A$34),"",_xlfn.LET(_xlpm.t,_xlfn.XLOOKUP($A346,Planilha2!$A$2:$A$34,Planilha2!$E$2:$E$34,"",-1),_xlfn.IFS(ISNUMBER(SEARCH("positiva",_xlpm.t)),"Positiva",ISNUMBER(SEARCH("negativa",_xlpm.t)),"Negativa",ISNUMBER(SEARCH("estável",_xlpm.t)),"Estável",TRUE,"n/d")))</f>
        <v>Negativa</v>
      </c>
      <c r="E346" t="str">
        <f>IFERROR(_xlfn.XLOOKUP($A346,Planilha2!$J$2:$J$44,Planilha2!L$2:L$44,"",-1),"")</f>
        <v>BBB</v>
      </c>
      <c r="F346" t="str">
        <f>IFERROR(_xlfn.XLOOKUP($A346,Planilha2!$J$2:$J$44,Planilha2!M$2:M$44,"",-1),"")</f>
        <v>BBB</v>
      </c>
      <c r="G346" t="str" cm="1">
        <f t="array" ref="G346">IF($A346&lt;MIN(Planilha2!$J$2:$J$44),"",_xlfn.LET(_xlpm.t,_xlfn.XLOOKUP($A346,Planilha2!$J$2:$J$44,Planilha2!$N$2:$N$44,"",-1),_xlfn.IFS(ISNUMBER(SEARCH("positiva",_xlpm.t)),"Positiva",ISNUMBER(SEARCH("negativa",_xlpm.t)),"Negativa",ISNUMBER(SEARCH("estável",_xlpm.t)),"Estável",TRUE,"n/d")))</f>
        <v>Negativa</v>
      </c>
      <c r="H346" t="str">
        <f>IFERROR(_xlfn.XLOOKUP($A346,Planilha2!$P$2:$P$38,Planilha2!R$2:R$38,"",-1),"")</f>
        <v>BBB-</v>
      </c>
      <c r="I346" t="str">
        <f>IFERROR(_xlfn.XLOOKUP($A346,Planilha2!$P$2:$P$38,Planilha2!S$2:S$38,"",-1),"")</f>
        <v>BBB+</v>
      </c>
      <c r="J346" t="str" cm="1">
        <f t="array" ref="J346">IF($A346&lt;MIN(Planilha2!$P$2:$P$38),"",_xlfn.LET(_xlpm.t,_xlfn.XLOOKUP($A346,Planilha2!$P$2:$P$38,Planilha2!$T$2:$T$38,"",-1),_xlfn.IFS(ISNUMBER(SEARCH("positiva",_xlpm.t)),"Positiva",ISNUMBER(SEARCH("negativa",_xlpm.t)),"Negativa",ISNUMBER(SEARCH("estável",_xlpm.t)),"Estável",TRUE,"n/d")))</f>
        <v>Negativa</v>
      </c>
      <c r="L346" s="52">
        <f>IFERROR(_xlfn.XLOOKUP(B346,'Agências de Rating Soberano'!$G$2:$G$22,'Agências de Rating Soberano'!$H$2:$H$22),NA())</f>
        <v>13</v>
      </c>
      <c r="M346" s="52">
        <f>IFERROR(_xlfn.XLOOKUP(C346,'Agências de Rating Soberano'!$G$2:$G$22,'Agências de Rating Soberano'!$H$2:$H$22),NA())</f>
        <v>13</v>
      </c>
      <c r="N346" s="52">
        <f>IFERROR(_xlfn.XLOOKUP(E346,'Agências de Rating Soberano'!$J$2:$J$22,'Agências de Rating Soberano'!$K$2:$K$22),NA())</f>
        <v>13</v>
      </c>
      <c r="O346" s="52">
        <f>IFERROR(_xlfn.XLOOKUP(F346,'Agências de Rating Soberano'!$J$2:$J$22,'Agências de Rating Soberano'!$K$2:$K$22),NA())</f>
        <v>13</v>
      </c>
      <c r="P346" s="52">
        <f>IFERROR(_xlfn.XLOOKUP(H346,'Agências de Rating Soberano'!$J$2:$J$22,'Agências de Rating Soberano'!$K$2:$K$22),NA())</f>
        <v>12</v>
      </c>
      <c r="Q346" s="52">
        <f>IFERROR(_xlfn.XLOOKUP(I346,'Agências de Rating Soberano'!$J$2:$J$22,'Agências de Rating Soberano'!$K$2:$K$22),NA())</f>
        <v>14</v>
      </c>
    </row>
    <row r="347" spans="1:17" x14ac:dyDescent="0.3">
      <c r="A347" s="53">
        <f t="shared" si="12"/>
        <v>42247</v>
      </c>
      <c r="B347" t="str">
        <f>IFERROR(_xlfn.XLOOKUP($A347,Planilha2!$A$2:$A$34,Planilha2!C$2:C$34,"",-1),"")</f>
        <v>Baa3</v>
      </c>
      <c r="C347" t="str">
        <f>IFERROR(_xlfn.XLOOKUP($A347,Planilha2!$A$2:$A$34,Planilha2!D$2:D$34,"",-1),"")</f>
        <v>Baa2</v>
      </c>
      <c r="D347" t="str" cm="1">
        <f t="array" ref="D347">IF($A347&lt;MIN(Planilha2!$A$2:$A$34),"",_xlfn.LET(_xlpm.t,_xlfn.XLOOKUP($A347,Planilha2!$A$2:$A$34,Planilha2!$E$2:$E$34,"",-1),_xlfn.IFS(ISNUMBER(SEARCH("positiva",_xlpm.t)),"Positiva",ISNUMBER(SEARCH("negativa",_xlpm.t)),"Negativa",ISNUMBER(SEARCH("estável",_xlpm.t)),"Estável",TRUE,"n/d")))</f>
        <v>Estável</v>
      </c>
      <c r="E347" t="str">
        <f>IFERROR(_xlfn.XLOOKUP($A347,Planilha2!$J$2:$J$44,Planilha2!L$2:L$44,"",-1),"")</f>
        <v>BBB</v>
      </c>
      <c r="F347" t="str">
        <f>IFERROR(_xlfn.XLOOKUP($A347,Planilha2!$J$2:$J$44,Planilha2!M$2:M$44,"",-1),"")</f>
        <v>BBB</v>
      </c>
      <c r="G347" t="str" cm="1">
        <f t="array" ref="G347">IF($A347&lt;MIN(Planilha2!$J$2:$J$44),"",_xlfn.LET(_xlpm.t,_xlfn.XLOOKUP($A347,Planilha2!$J$2:$J$44,Planilha2!$N$2:$N$44,"",-1),_xlfn.IFS(ISNUMBER(SEARCH("positiva",_xlpm.t)),"Positiva",ISNUMBER(SEARCH("negativa",_xlpm.t)),"Negativa",ISNUMBER(SEARCH("estável",_xlpm.t)),"Estável",TRUE,"n/d")))</f>
        <v>Negativa</v>
      </c>
      <c r="H347" t="str">
        <f>IFERROR(_xlfn.XLOOKUP($A347,Planilha2!$P$2:$P$38,Planilha2!R$2:R$38,"",-1),"")</f>
        <v>BBB-</v>
      </c>
      <c r="I347" t="str">
        <f>IFERROR(_xlfn.XLOOKUP($A347,Planilha2!$P$2:$P$38,Planilha2!S$2:S$38,"",-1),"")</f>
        <v>BBB+</v>
      </c>
      <c r="J347" t="str" cm="1">
        <f t="array" ref="J347">IF($A347&lt;MIN(Planilha2!$P$2:$P$38),"",_xlfn.LET(_xlpm.t,_xlfn.XLOOKUP($A347,Planilha2!$P$2:$P$38,Planilha2!$T$2:$T$38,"",-1),_xlfn.IFS(ISNUMBER(SEARCH("positiva",_xlpm.t)),"Positiva",ISNUMBER(SEARCH("negativa",_xlpm.t)),"Negativa",ISNUMBER(SEARCH("estável",_xlpm.t)),"Estável",TRUE,"n/d")))</f>
        <v>Negativa</v>
      </c>
      <c r="L347" s="52">
        <f>IFERROR(_xlfn.XLOOKUP(B347,'Agências de Rating Soberano'!$G$2:$G$22,'Agências de Rating Soberano'!$H$2:$H$22),NA())</f>
        <v>12</v>
      </c>
      <c r="M347" s="52">
        <f>IFERROR(_xlfn.XLOOKUP(C347,'Agências de Rating Soberano'!$G$2:$G$22,'Agências de Rating Soberano'!$H$2:$H$22),NA())</f>
        <v>13</v>
      </c>
      <c r="N347" s="52">
        <f>IFERROR(_xlfn.XLOOKUP(E347,'Agências de Rating Soberano'!$J$2:$J$22,'Agências de Rating Soberano'!$K$2:$K$22),NA())</f>
        <v>13</v>
      </c>
      <c r="O347" s="52">
        <f>IFERROR(_xlfn.XLOOKUP(F347,'Agências de Rating Soberano'!$J$2:$J$22,'Agências de Rating Soberano'!$K$2:$K$22),NA())</f>
        <v>13</v>
      </c>
      <c r="P347" s="52">
        <f>IFERROR(_xlfn.XLOOKUP(H347,'Agências de Rating Soberano'!$J$2:$J$22,'Agências de Rating Soberano'!$K$2:$K$22),NA())</f>
        <v>12</v>
      </c>
      <c r="Q347" s="52">
        <f>IFERROR(_xlfn.XLOOKUP(I347,'Agências de Rating Soberano'!$J$2:$J$22,'Agências de Rating Soberano'!$K$2:$K$22),NA())</f>
        <v>14</v>
      </c>
    </row>
    <row r="348" spans="1:17" x14ac:dyDescent="0.3">
      <c r="A348" s="53">
        <f t="shared" si="12"/>
        <v>42277</v>
      </c>
      <c r="B348" t="str">
        <f>IFERROR(_xlfn.XLOOKUP($A348,Planilha2!$A$2:$A$34,Planilha2!C$2:C$34,"",-1),"")</f>
        <v>Baa3</v>
      </c>
      <c r="C348" t="str">
        <f>IFERROR(_xlfn.XLOOKUP($A348,Planilha2!$A$2:$A$34,Planilha2!D$2:D$34,"",-1),"")</f>
        <v>Baa2</v>
      </c>
      <c r="D348" t="str" cm="1">
        <f t="array" ref="D348">IF($A348&lt;MIN(Planilha2!$A$2:$A$34),"",_xlfn.LET(_xlpm.t,_xlfn.XLOOKUP($A348,Planilha2!$A$2:$A$34,Planilha2!$E$2:$E$34,"",-1),_xlfn.IFS(ISNUMBER(SEARCH("positiva",_xlpm.t)),"Positiva",ISNUMBER(SEARCH("negativa",_xlpm.t)),"Negativa",ISNUMBER(SEARCH("estável",_xlpm.t)),"Estável",TRUE,"n/d")))</f>
        <v>Estável</v>
      </c>
      <c r="E348" t="str">
        <f>IFERROR(_xlfn.XLOOKUP($A348,Planilha2!$J$2:$J$44,Planilha2!L$2:L$44,"",-1),"")</f>
        <v>BBB</v>
      </c>
      <c r="F348" t="str">
        <f>IFERROR(_xlfn.XLOOKUP($A348,Planilha2!$J$2:$J$44,Planilha2!M$2:M$44,"",-1),"")</f>
        <v>BBB</v>
      </c>
      <c r="G348" t="str" cm="1">
        <f t="array" ref="G348">IF($A348&lt;MIN(Planilha2!$J$2:$J$44),"",_xlfn.LET(_xlpm.t,_xlfn.XLOOKUP($A348,Planilha2!$J$2:$J$44,Planilha2!$N$2:$N$44,"",-1),_xlfn.IFS(ISNUMBER(SEARCH("positiva",_xlpm.t)),"Positiva",ISNUMBER(SEARCH("negativa",_xlpm.t)),"Negativa",ISNUMBER(SEARCH("estável",_xlpm.t)),"Estável",TRUE,"n/d")))</f>
        <v>Negativa</v>
      </c>
      <c r="H348" t="str">
        <f>IFERROR(_xlfn.XLOOKUP($A348,Planilha2!$P$2:$P$38,Planilha2!R$2:R$38,"",-1),"")</f>
        <v>BB+</v>
      </c>
      <c r="I348" t="str">
        <f>IFERROR(_xlfn.XLOOKUP($A348,Planilha2!$P$2:$P$38,Planilha2!S$2:S$38,"",-1),"")</f>
        <v>BBB-</v>
      </c>
      <c r="J348" t="str" cm="1">
        <f t="array" ref="J348">IF($A348&lt;MIN(Planilha2!$P$2:$P$38),"",_xlfn.LET(_xlpm.t,_xlfn.XLOOKUP($A348,Planilha2!$P$2:$P$38,Planilha2!$T$2:$T$38,"",-1),_xlfn.IFS(ISNUMBER(SEARCH("positiva",_xlpm.t)),"Positiva",ISNUMBER(SEARCH("negativa",_xlpm.t)),"Negativa",ISNUMBER(SEARCH("estável",_xlpm.t)),"Estável",TRUE,"n/d")))</f>
        <v>Negativa</v>
      </c>
      <c r="L348" s="52">
        <f>IFERROR(_xlfn.XLOOKUP(B348,'Agências de Rating Soberano'!$G$2:$G$22,'Agências de Rating Soberano'!$H$2:$H$22),NA())</f>
        <v>12</v>
      </c>
      <c r="M348" s="52">
        <f>IFERROR(_xlfn.XLOOKUP(C348,'Agências de Rating Soberano'!$G$2:$G$22,'Agências de Rating Soberano'!$H$2:$H$22),NA())</f>
        <v>13</v>
      </c>
      <c r="N348" s="52">
        <f>IFERROR(_xlfn.XLOOKUP(E348,'Agências de Rating Soberano'!$J$2:$J$22,'Agências de Rating Soberano'!$K$2:$K$22),NA())</f>
        <v>13</v>
      </c>
      <c r="O348" s="52">
        <f>IFERROR(_xlfn.XLOOKUP(F348,'Agências de Rating Soberano'!$J$2:$J$22,'Agências de Rating Soberano'!$K$2:$K$22),NA())</f>
        <v>13</v>
      </c>
      <c r="P348" s="52">
        <f>IFERROR(_xlfn.XLOOKUP(H348,'Agências de Rating Soberano'!$J$2:$J$22,'Agências de Rating Soberano'!$K$2:$K$22),NA())</f>
        <v>11</v>
      </c>
      <c r="Q348" s="52">
        <f>IFERROR(_xlfn.XLOOKUP(I348,'Agências de Rating Soberano'!$J$2:$J$22,'Agências de Rating Soberano'!$K$2:$K$22),NA())</f>
        <v>12</v>
      </c>
    </row>
    <row r="349" spans="1:17" x14ac:dyDescent="0.3">
      <c r="A349" s="53">
        <f t="shared" si="12"/>
        <v>42308</v>
      </c>
      <c r="B349" t="str">
        <f>IFERROR(_xlfn.XLOOKUP($A349,Planilha2!$A$2:$A$34,Planilha2!C$2:C$34,"",-1),"")</f>
        <v>Baa3</v>
      </c>
      <c r="C349" t="str">
        <f>IFERROR(_xlfn.XLOOKUP($A349,Planilha2!$A$2:$A$34,Planilha2!D$2:D$34,"",-1),"")</f>
        <v>Baa2</v>
      </c>
      <c r="D349" t="str" cm="1">
        <f t="array" ref="D349">IF($A349&lt;MIN(Planilha2!$A$2:$A$34),"",_xlfn.LET(_xlpm.t,_xlfn.XLOOKUP($A349,Planilha2!$A$2:$A$34,Planilha2!$E$2:$E$34,"",-1),_xlfn.IFS(ISNUMBER(SEARCH("positiva",_xlpm.t)),"Positiva",ISNUMBER(SEARCH("negativa",_xlpm.t)),"Negativa",ISNUMBER(SEARCH("estável",_xlpm.t)),"Estável",TRUE,"n/d")))</f>
        <v>Estável</v>
      </c>
      <c r="E349" t="str">
        <f>IFERROR(_xlfn.XLOOKUP($A349,Planilha2!$J$2:$J$44,Planilha2!L$2:L$44,"",-1),"")</f>
        <v>BBB-</v>
      </c>
      <c r="F349" t="str">
        <f>IFERROR(_xlfn.XLOOKUP($A349,Planilha2!$J$2:$J$44,Planilha2!M$2:M$44,"",-1),"")</f>
        <v>BBB-</v>
      </c>
      <c r="G349" t="str" cm="1">
        <f t="array" ref="G349">IF($A349&lt;MIN(Planilha2!$J$2:$J$44),"",_xlfn.LET(_xlpm.t,_xlfn.XLOOKUP($A349,Planilha2!$J$2:$J$44,Planilha2!$N$2:$N$44,"",-1),_xlfn.IFS(ISNUMBER(SEARCH("positiva",_xlpm.t)),"Positiva",ISNUMBER(SEARCH("negativa",_xlpm.t)),"Negativa",ISNUMBER(SEARCH("estável",_xlpm.t)),"Estável",TRUE,"n/d")))</f>
        <v>Negativa</v>
      </c>
      <c r="H349" t="str">
        <f>IFERROR(_xlfn.XLOOKUP($A349,Planilha2!$P$2:$P$38,Planilha2!R$2:R$38,"",-1),"")</f>
        <v>BB+</v>
      </c>
      <c r="I349" t="str">
        <f>IFERROR(_xlfn.XLOOKUP($A349,Planilha2!$P$2:$P$38,Planilha2!S$2:S$38,"",-1),"")</f>
        <v>BBB-</v>
      </c>
      <c r="J349" t="str" cm="1">
        <f t="array" ref="J349">IF($A349&lt;MIN(Planilha2!$P$2:$P$38),"",_xlfn.LET(_xlpm.t,_xlfn.XLOOKUP($A349,Planilha2!$P$2:$P$38,Planilha2!$T$2:$T$38,"",-1),_xlfn.IFS(ISNUMBER(SEARCH("positiva",_xlpm.t)),"Positiva",ISNUMBER(SEARCH("negativa",_xlpm.t)),"Negativa",ISNUMBER(SEARCH("estável",_xlpm.t)),"Estável",TRUE,"n/d")))</f>
        <v>Negativa</v>
      </c>
      <c r="L349" s="52">
        <f>IFERROR(_xlfn.XLOOKUP(B349,'Agências de Rating Soberano'!$G$2:$G$22,'Agências de Rating Soberano'!$H$2:$H$22),NA())</f>
        <v>12</v>
      </c>
      <c r="M349" s="52">
        <f>IFERROR(_xlfn.XLOOKUP(C349,'Agências de Rating Soberano'!$G$2:$G$22,'Agências de Rating Soberano'!$H$2:$H$22),NA())</f>
        <v>13</v>
      </c>
      <c r="N349" s="52">
        <f>IFERROR(_xlfn.XLOOKUP(E349,'Agências de Rating Soberano'!$J$2:$J$22,'Agências de Rating Soberano'!$K$2:$K$22),NA())</f>
        <v>12</v>
      </c>
      <c r="O349" s="52">
        <f>IFERROR(_xlfn.XLOOKUP(F349,'Agências de Rating Soberano'!$J$2:$J$22,'Agências de Rating Soberano'!$K$2:$K$22),NA())</f>
        <v>12</v>
      </c>
      <c r="P349" s="52">
        <f>IFERROR(_xlfn.XLOOKUP(H349,'Agências de Rating Soberano'!$J$2:$J$22,'Agências de Rating Soberano'!$K$2:$K$22),NA())</f>
        <v>11</v>
      </c>
      <c r="Q349" s="52">
        <f>IFERROR(_xlfn.XLOOKUP(I349,'Agências de Rating Soberano'!$J$2:$J$22,'Agências de Rating Soberano'!$K$2:$K$22),NA())</f>
        <v>12</v>
      </c>
    </row>
    <row r="350" spans="1:17" x14ac:dyDescent="0.3">
      <c r="A350" s="53">
        <f t="shared" si="12"/>
        <v>42338</v>
      </c>
      <c r="B350" t="str">
        <f>IFERROR(_xlfn.XLOOKUP($A350,Planilha2!$A$2:$A$34,Planilha2!C$2:C$34,"",-1),"")</f>
        <v>Baa3</v>
      </c>
      <c r="C350" t="str">
        <f>IFERROR(_xlfn.XLOOKUP($A350,Planilha2!$A$2:$A$34,Planilha2!D$2:D$34,"",-1),"")</f>
        <v>Baa2</v>
      </c>
      <c r="D350" t="str" cm="1">
        <f t="array" ref="D350">IF($A350&lt;MIN(Planilha2!$A$2:$A$34),"",_xlfn.LET(_xlpm.t,_xlfn.XLOOKUP($A350,Planilha2!$A$2:$A$34,Planilha2!$E$2:$E$34,"",-1),_xlfn.IFS(ISNUMBER(SEARCH("positiva",_xlpm.t)),"Positiva",ISNUMBER(SEARCH("negativa",_xlpm.t)),"Negativa",ISNUMBER(SEARCH("estável",_xlpm.t)),"Estável",TRUE,"n/d")))</f>
        <v>Estável</v>
      </c>
      <c r="E350" t="str">
        <f>IFERROR(_xlfn.XLOOKUP($A350,Planilha2!$J$2:$J$44,Planilha2!L$2:L$44,"",-1),"")</f>
        <v>BBB-</v>
      </c>
      <c r="F350" t="str">
        <f>IFERROR(_xlfn.XLOOKUP($A350,Planilha2!$J$2:$J$44,Planilha2!M$2:M$44,"",-1),"")</f>
        <v>BBB-</v>
      </c>
      <c r="G350" t="str" cm="1">
        <f t="array" ref="G350">IF($A350&lt;MIN(Planilha2!$J$2:$J$44),"",_xlfn.LET(_xlpm.t,_xlfn.XLOOKUP($A350,Planilha2!$J$2:$J$44,Planilha2!$N$2:$N$44,"",-1),_xlfn.IFS(ISNUMBER(SEARCH("positiva",_xlpm.t)),"Positiva",ISNUMBER(SEARCH("negativa",_xlpm.t)),"Negativa",ISNUMBER(SEARCH("estável",_xlpm.t)),"Estável",TRUE,"n/d")))</f>
        <v>Negativa</v>
      </c>
      <c r="H350" t="str">
        <f>IFERROR(_xlfn.XLOOKUP($A350,Planilha2!$P$2:$P$38,Planilha2!R$2:R$38,"",-1),"")</f>
        <v>BB+</v>
      </c>
      <c r="I350" t="str">
        <f>IFERROR(_xlfn.XLOOKUP($A350,Planilha2!$P$2:$P$38,Planilha2!S$2:S$38,"",-1),"")</f>
        <v>BBB-</v>
      </c>
      <c r="J350" t="str" cm="1">
        <f t="array" ref="J350">IF($A350&lt;MIN(Planilha2!$P$2:$P$38),"",_xlfn.LET(_xlpm.t,_xlfn.XLOOKUP($A350,Planilha2!$P$2:$P$38,Planilha2!$T$2:$T$38,"",-1),_xlfn.IFS(ISNUMBER(SEARCH("positiva",_xlpm.t)),"Positiva",ISNUMBER(SEARCH("negativa",_xlpm.t)),"Negativa",ISNUMBER(SEARCH("estável",_xlpm.t)),"Estável",TRUE,"n/d")))</f>
        <v>Negativa</v>
      </c>
      <c r="L350" s="52">
        <f>IFERROR(_xlfn.XLOOKUP(B350,'Agências de Rating Soberano'!$G$2:$G$22,'Agências de Rating Soberano'!$H$2:$H$22),NA())</f>
        <v>12</v>
      </c>
      <c r="M350" s="52">
        <f>IFERROR(_xlfn.XLOOKUP(C350,'Agências de Rating Soberano'!$G$2:$G$22,'Agências de Rating Soberano'!$H$2:$H$22),NA())</f>
        <v>13</v>
      </c>
      <c r="N350" s="52">
        <f>IFERROR(_xlfn.XLOOKUP(E350,'Agências de Rating Soberano'!$J$2:$J$22,'Agências de Rating Soberano'!$K$2:$K$22),NA())</f>
        <v>12</v>
      </c>
      <c r="O350" s="52">
        <f>IFERROR(_xlfn.XLOOKUP(F350,'Agências de Rating Soberano'!$J$2:$J$22,'Agências de Rating Soberano'!$K$2:$K$22),NA())</f>
        <v>12</v>
      </c>
      <c r="P350" s="52">
        <f>IFERROR(_xlfn.XLOOKUP(H350,'Agências de Rating Soberano'!$J$2:$J$22,'Agências de Rating Soberano'!$K$2:$K$22),NA())</f>
        <v>11</v>
      </c>
      <c r="Q350" s="52">
        <f>IFERROR(_xlfn.XLOOKUP(I350,'Agências de Rating Soberano'!$J$2:$J$22,'Agências de Rating Soberano'!$K$2:$K$22),NA())</f>
        <v>12</v>
      </c>
    </row>
    <row r="351" spans="1:17" x14ac:dyDescent="0.3">
      <c r="A351" s="53">
        <f t="shared" si="12"/>
        <v>42369</v>
      </c>
      <c r="B351" t="str">
        <f>IFERROR(_xlfn.XLOOKUP($A351,Planilha2!$A$2:$A$34,Planilha2!C$2:C$34,"",-1),"")</f>
        <v>Baa3</v>
      </c>
      <c r="C351" t="str">
        <f>IFERROR(_xlfn.XLOOKUP($A351,Planilha2!$A$2:$A$34,Planilha2!D$2:D$34,"",-1),"")</f>
        <v>Baa2</v>
      </c>
      <c r="D351" t="str" cm="1">
        <f t="array" ref="D351">IF($A351&lt;MIN(Planilha2!$A$2:$A$34),"",_xlfn.LET(_xlpm.t,_xlfn.XLOOKUP($A351,Planilha2!$A$2:$A$34,Planilha2!$E$2:$E$34,"",-1),_xlfn.IFS(ISNUMBER(SEARCH("positiva",_xlpm.t)),"Positiva",ISNUMBER(SEARCH("negativa",_xlpm.t)),"Negativa",ISNUMBER(SEARCH("estável",_xlpm.t)),"Estável",TRUE,"n/d")))</f>
        <v>Estável</v>
      </c>
      <c r="E351" t="str">
        <f>IFERROR(_xlfn.XLOOKUP($A351,Planilha2!$J$2:$J$44,Planilha2!L$2:L$44,"",-1),"")</f>
        <v>BB+</v>
      </c>
      <c r="F351" t="str">
        <f>IFERROR(_xlfn.XLOOKUP($A351,Planilha2!$J$2:$J$44,Planilha2!M$2:M$44,"",-1),"")</f>
        <v>BB+</v>
      </c>
      <c r="G351" t="str" cm="1">
        <f t="array" ref="G351">IF($A351&lt;MIN(Planilha2!$J$2:$J$44),"",_xlfn.LET(_xlpm.t,_xlfn.XLOOKUP($A351,Planilha2!$J$2:$J$44,Planilha2!$N$2:$N$44,"",-1),_xlfn.IFS(ISNUMBER(SEARCH("positiva",_xlpm.t)),"Positiva",ISNUMBER(SEARCH("negativa",_xlpm.t)),"Negativa",ISNUMBER(SEARCH("estável",_xlpm.t)),"Estável",TRUE,"n/d")))</f>
        <v>Negativa</v>
      </c>
      <c r="H351" t="str">
        <f>IFERROR(_xlfn.XLOOKUP($A351,Planilha2!$P$2:$P$38,Planilha2!R$2:R$38,"",-1),"")</f>
        <v>BB+</v>
      </c>
      <c r="I351" t="str">
        <f>IFERROR(_xlfn.XLOOKUP($A351,Planilha2!$P$2:$P$38,Planilha2!S$2:S$38,"",-1),"")</f>
        <v>BBB-</v>
      </c>
      <c r="J351" t="str" cm="1">
        <f t="array" ref="J351">IF($A351&lt;MIN(Planilha2!$P$2:$P$38),"",_xlfn.LET(_xlpm.t,_xlfn.XLOOKUP($A351,Planilha2!$P$2:$P$38,Planilha2!$T$2:$T$38,"",-1),_xlfn.IFS(ISNUMBER(SEARCH("positiva",_xlpm.t)),"Positiva",ISNUMBER(SEARCH("negativa",_xlpm.t)),"Negativa",ISNUMBER(SEARCH("estável",_xlpm.t)),"Estável",TRUE,"n/d")))</f>
        <v>Negativa</v>
      </c>
      <c r="L351" s="52">
        <f>IFERROR(_xlfn.XLOOKUP(B351,'Agências de Rating Soberano'!$G$2:$G$22,'Agências de Rating Soberano'!$H$2:$H$22),NA())</f>
        <v>12</v>
      </c>
      <c r="M351" s="52">
        <f>IFERROR(_xlfn.XLOOKUP(C351,'Agências de Rating Soberano'!$G$2:$G$22,'Agências de Rating Soberano'!$H$2:$H$22),NA())</f>
        <v>13</v>
      </c>
      <c r="N351" s="52">
        <f>IFERROR(_xlfn.XLOOKUP(E351,'Agências de Rating Soberano'!$J$2:$J$22,'Agências de Rating Soberano'!$K$2:$K$22),NA())</f>
        <v>11</v>
      </c>
      <c r="O351" s="52">
        <f>IFERROR(_xlfn.XLOOKUP(F351,'Agências de Rating Soberano'!$J$2:$J$22,'Agências de Rating Soberano'!$K$2:$K$22),NA())</f>
        <v>11</v>
      </c>
      <c r="P351" s="52">
        <f>IFERROR(_xlfn.XLOOKUP(H351,'Agências de Rating Soberano'!$J$2:$J$22,'Agências de Rating Soberano'!$K$2:$K$22),NA())</f>
        <v>11</v>
      </c>
      <c r="Q351" s="52">
        <f>IFERROR(_xlfn.XLOOKUP(I351,'Agências de Rating Soberano'!$J$2:$J$22,'Agências de Rating Soberano'!$K$2:$K$22),NA())</f>
        <v>12</v>
      </c>
    </row>
    <row r="352" spans="1:17" x14ac:dyDescent="0.3">
      <c r="A352" s="53">
        <f t="shared" si="12"/>
        <v>42400</v>
      </c>
      <c r="B352" t="str">
        <f>IFERROR(_xlfn.XLOOKUP($A352,Planilha2!$A$2:$A$34,Planilha2!C$2:C$34,"",-1),"")</f>
        <v>Baa3</v>
      </c>
      <c r="C352" t="str">
        <f>IFERROR(_xlfn.XLOOKUP($A352,Planilha2!$A$2:$A$34,Planilha2!D$2:D$34,"",-1),"")</f>
        <v>Baa2</v>
      </c>
      <c r="D352" t="str" cm="1">
        <f t="array" ref="D352">IF($A352&lt;MIN(Planilha2!$A$2:$A$34),"",_xlfn.LET(_xlpm.t,_xlfn.XLOOKUP($A352,Planilha2!$A$2:$A$34,Planilha2!$E$2:$E$34,"",-1),_xlfn.IFS(ISNUMBER(SEARCH("positiva",_xlpm.t)),"Positiva",ISNUMBER(SEARCH("negativa",_xlpm.t)),"Negativa",ISNUMBER(SEARCH("estável",_xlpm.t)),"Estável",TRUE,"n/d")))</f>
        <v>Estável</v>
      </c>
      <c r="E352" t="str">
        <f>IFERROR(_xlfn.XLOOKUP($A352,Planilha2!$J$2:$J$44,Planilha2!L$2:L$44,"",-1),"")</f>
        <v>BB+</v>
      </c>
      <c r="F352" t="str">
        <f>IFERROR(_xlfn.XLOOKUP($A352,Planilha2!$J$2:$J$44,Planilha2!M$2:M$44,"",-1),"")</f>
        <v>BB+</v>
      </c>
      <c r="G352" t="str" cm="1">
        <f t="array" ref="G352">IF($A352&lt;MIN(Planilha2!$J$2:$J$44),"",_xlfn.LET(_xlpm.t,_xlfn.XLOOKUP($A352,Planilha2!$J$2:$J$44,Planilha2!$N$2:$N$44,"",-1),_xlfn.IFS(ISNUMBER(SEARCH("positiva",_xlpm.t)),"Positiva",ISNUMBER(SEARCH("negativa",_xlpm.t)),"Negativa",ISNUMBER(SEARCH("estável",_xlpm.t)),"Estável",TRUE,"n/d")))</f>
        <v>Negativa</v>
      </c>
      <c r="H352" t="str">
        <f>IFERROR(_xlfn.XLOOKUP($A352,Planilha2!$P$2:$P$38,Planilha2!R$2:R$38,"",-1),"")</f>
        <v>BB+</v>
      </c>
      <c r="I352" t="str">
        <f>IFERROR(_xlfn.XLOOKUP($A352,Planilha2!$P$2:$P$38,Planilha2!S$2:S$38,"",-1),"")</f>
        <v>BBB-</v>
      </c>
      <c r="J352" t="str" cm="1">
        <f t="array" ref="J352">IF($A352&lt;MIN(Planilha2!$P$2:$P$38),"",_xlfn.LET(_xlpm.t,_xlfn.XLOOKUP($A352,Planilha2!$P$2:$P$38,Planilha2!$T$2:$T$38,"",-1),_xlfn.IFS(ISNUMBER(SEARCH("positiva",_xlpm.t)),"Positiva",ISNUMBER(SEARCH("negativa",_xlpm.t)),"Negativa",ISNUMBER(SEARCH("estável",_xlpm.t)),"Estável",TRUE,"n/d")))</f>
        <v>Negativa</v>
      </c>
      <c r="L352" s="52">
        <f>IFERROR(_xlfn.XLOOKUP(B352,'Agências de Rating Soberano'!$G$2:$G$22,'Agências de Rating Soberano'!$H$2:$H$22),NA())</f>
        <v>12</v>
      </c>
      <c r="M352" s="52">
        <f>IFERROR(_xlfn.XLOOKUP(C352,'Agências de Rating Soberano'!$G$2:$G$22,'Agências de Rating Soberano'!$H$2:$H$22),NA())</f>
        <v>13</v>
      </c>
      <c r="N352" s="52">
        <f>IFERROR(_xlfn.XLOOKUP(E352,'Agências de Rating Soberano'!$J$2:$J$22,'Agências de Rating Soberano'!$K$2:$K$22),NA())</f>
        <v>11</v>
      </c>
      <c r="O352" s="52">
        <f>IFERROR(_xlfn.XLOOKUP(F352,'Agências de Rating Soberano'!$J$2:$J$22,'Agências de Rating Soberano'!$K$2:$K$22),NA())</f>
        <v>11</v>
      </c>
      <c r="P352" s="52">
        <f>IFERROR(_xlfn.XLOOKUP(H352,'Agências de Rating Soberano'!$J$2:$J$22,'Agências de Rating Soberano'!$K$2:$K$22),NA())</f>
        <v>11</v>
      </c>
      <c r="Q352" s="52">
        <f>IFERROR(_xlfn.XLOOKUP(I352,'Agências de Rating Soberano'!$J$2:$J$22,'Agências de Rating Soberano'!$K$2:$K$22),NA())</f>
        <v>12</v>
      </c>
    </row>
    <row r="353" spans="1:17" x14ac:dyDescent="0.3">
      <c r="A353" s="53">
        <f t="shared" si="12"/>
        <v>42429</v>
      </c>
      <c r="B353" t="str">
        <f>IFERROR(_xlfn.XLOOKUP($A353,Planilha2!$A$2:$A$34,Planilha2!C$2:C$34,"",-1),"")</f>
        <v>Ba2</v>
      </c>
      <c r="C353" t="str">
        <f>IFERROR(_xlfn.XLOOKUP($A353,Planilha2!$A$2:$A$34,Planilha2!D$2:D$34,"",-1),"")</f>
        <v>Ba2</v>
      </c>
      <c r="D353" t="str" cm="1">
        <f t="array" ref="D353">IF($A353&lt;MIN(Planilha2!$A$2:$A$34),"",_xlfn.LET(_xlpm.t,_xlfn.XLOOKUP($A353,Planilha2!$A$2:$A$34,Planilha2!$E$2:$E$34,"",-1),_xlfn.IFS(ISNUMBER(SEARCH("positiva",_xlpm.t)),"Positiva",ISNUMBER(SEARCH("negativa",_xlpm.t)),"Negativa",ISNUMBER(SEARCH("estável",_xlpm.t)),"Estável",TRUE,"n/d")))</f>
        <v>Negativa</v>
      </c>
      <c r="E353" t="str">
        <f>IFERROR(_xlfn.XLOOKUP($A353,Planilha2!$J$2:$J$44,Planilha2!L$2:L$44,"",-1),"")</f>
        <v>BB+</v>
      </c>
      <c r="F353" t="str">
        <f>IFERROR(_xlfn.XLOOKUP($A353,Planilha2!$J$2:$J$44,Planilha2!M$2:M$44,"",-1),"")</f>
        <v>BB+</v>
      </c>
      <c r="G353" t="str" cm="1">
        <f t="array" ref="G353">IF($A353&lt;MIN(Planilha2!$J$2:$J$44),"",_xlfn.LET(_xlpm.t,_xlfn.XLOOKUP($A353,Planilha2!$J$2:$J$44,Planilha2!$N$2:$N$44,"",-1),_xlfn.IFS(ISNUMBER(SEARCH("positiva",_xlpm.t)),"Positiva",ISNUMBER(SEARCH("negativa",_xlpm.t)),"Negativa",ISNUMBER(SEARCH("estável",_xlpm.t)),"Estável",TRUE,"n/d")))</f>
        <v>Negativa</v>
      </c>
      <c r="H353" t="str">
        <f>IFERROR(_xlfn.XLOOKUP($A353,Planilha2!$P$2:$P$38,Planilha2!R$2:R$38,"",-1),"")</f>
        <v>BB</v>
      </c>
      <c r="I353" t="str">
        <f>IFERROR(_xlfn.XLOOKUP($A353,Planilha2!$P$2:$P$38,Planilha2!S$2:S$38,"",-1),"")</f>
        <v>BB</v>
      </c>
      <c r="J353" t="str" cm="1">
        <f t="array" ref="J353">IF($A353&lt;MIN(Planilha2!$P$2:$P$38),"",_xlfn.LET(_xlpm.t,_xlfn.XLOOKUP($A353,Planilha2!$P$2:$P$38,Planilha2!$T$2:$T$38,"",-1),_xlfn.IFS(ISNUMBER(SEARCH("positiva",_xlpm.t)),"Positiva",ISNUMBER(SEARCH("negativa",_xlpm.t)),"Negativa",ISNUMBER(SEARCH("estável",_xlpm.t)),"Estável",TRUE,"n/d")))</f>
        <v>Negativa</v>
      </c>
      <c r="L353" s="52">
        <f>IFERROR(_xlfn.XLOOKUP(B353,'Agências de Rating Soberano'!$G$2:$G$22,'Agências de Rating Soberano'!$H$2:$H$22),NA())</f>
        <v>10</v>
      </c>
      <c r="M353" s="52">
        <f>IFERROR(_xlfn.XLOOKUP(C353,'Agências de Rating Soberano'!$G$2:$G$22,'Agências de Rating Soberano'!$H$2:$H$22),NA())</f>
        <v>10</v>
      </c>
      <c r="N353" s="52">
        <f>IFERROR(_xlfn.XLOOKUP(E353,'Agências de Rating Soberano'!$J$2:$J$22,'Agências de Rating Soberano'!$K$2:$K$22),NA())</f>
        <v>11</v>
      </c>
      <c r="O353" s="52">
        <f>IFERROR(_xlfn.XLOOKUP(F353,'Agências de Rating Soberano'!$J$2:$J$22,'Agências de Rating Soberano'!$K$2:$K$22),NA())</f>
        <v>11</v>
      </c>
      <c r="P353" s="52">
        <f>IFERROR(_xlfn.XLOOKUP(H353,'Agências de Rating Soberano'!$J$2:$J$22,'Agências de Rating Soberano'!$K$2:$K$22),NA())</f>
        <v>10</v>
      </c>
      <c r="Q353" s="52">
        <f>IFERROR(_xlfn.XLOOKUP(I353,'Agências de Rating Soberano'!$J$2:$J$22,'Agências de Rating Soberano'!$K$2:$K$22),NA())</f>
        <v>10</v>
      </c>
    </row>
    <row r="354" spans="1:17" x14ac:dyDescent="0.3">
      <c r="A354" s="53">
        <f t="shared" si="12"/>
        <v>42460</v>
      </c>
      <c r="B354" t="str">
        <f>IFERROR(_xlfn.XLOOKUP($A354,Planilha2!$A$2:$A$34,Planilha2!C$2:C$34,"",-1),"")</f>
        <v>Ba2</v>
      </c>
      <c r="C354" t="str">
        <f>IFERROR(_xlfn.XLOOKUP($A354,Planilha2!$A$2:$A$34,Planilha2!D$2:D$34,"",-1),"")</f>
        <v>Ba2</v>
      </c>
      <c r="D354" t="str" cm="1">
        <f t="array" ref="D354">IF($A354&lt;MIN(Planilha2!$A$2:$A$34),"",_xlfn.LET(_xlpm.t,_xlfn.XLOOKUP($A354,Planilha2!$A$2:$A$34,Planilha2!$E$2:$E$34,"",-1),_xlfn.IFS(ISNUMBER(SEARCH("positiva",_xlpm.t)),"Positiva",ISNUMBER(SEARCH("negativa",_xlpm.t)),"Negativa",ISNUMBER(SEARCH("estável",_xlpm.t)),"Estável",TRUE,"n/d")))</f>
        <v>Negativa</v>
      </c>
      <c r="E354" t="str">
        <f>IFERROR(_xlfn.XLOOKUP($A354,Planilha2!$J$2:$J$44,Planilha2!L$2:L$44,"",-1),"")</f>
        <v>BB+</v>
      </c>
      <c r="F354" t="str">
        <f>IFERROR(_xlfn.XLOOKUP($A354,Planilha2!$J$2:$J$44,Planilha2!M$2:M$44,"",-1),"")</f>
        <v>BB+</v>
      </c>
      <c r="G354" t="str" cm="1">
        <f t="array" ref="G354">IF($A354&lt;MIN(Planilha2!$J$2:$J$44),"",_xlfn.LET(_xlpm.t,_xlfn.XLOOKUP($A354,Planilha2!$J$2:$J$44,Planilha2!$N$2:$N$44,"",-1),_xlfn.IFS(ISNUMBER(SEARCH("positiva",_xlpm.t)),"Positiva",ISNUMBER(SEARCH("negativa",_xlpm.t)),"Negativa",ISNUMBER(SEARCH("estável",_xlpm.t)),"Estável",TRUE,"n/d")))</f>
        <v>Negativa</v>
      </c>
      <c r="H354" t="str">
        <f>IFERROR(_xlfn.XLOOKUP($A354,Planilha2!$P$2:$P$38,Planilha2!R$2:R$38,"",-1),"")</f>
        <v>BB</v>
      </c>
      <c r="I354" t="str">
        <f>IFERROR(_xlfn.XLOOKUP($A354,Planilha2!$P$2:$P$38,Planilha2!S$2:S$38,"",-1),"")</f>
        <v>BB</v>
      </c>
      <c r="J354" t="str" cm="1">
        <f t="array" ref="J354">IF($A354&lt;MIN(Planilha2!$P$2:$P$38),"",_xlfn.LET(_xlpm.t,_xlfn.XLOOKUP($A354,Planilha2!$P$2:$P$38,Planilha2!$T$2:$T$38,"",-1),_xlfn.IFS(ISNUMBER(SEARCH("positiva",_xlpm.t)),"Positiva",ISNUMBER(SEARCH("negativa",_xlpm.t)),"Negativa",ISNUMBER(SEARCH("estável",_xlpm.t)),"Estável",TRUE,"n/d")))</f>
        <v>Negativa</v>
      </c>
      <c r="L354" s="52">
        <f>IFERROR(_xlfn.XLOOKUP(B354,'Agências de Rating Soberano'!$G$2:$G$22,'Agências de Rating Soberano'!$H$2:$H$22),NA())</f>
        <v>10</v>
      </c>
      <c r="M354" s="52">
        <f>IFERROR(_xlfn.XLOOKUP(C354,'Agências de Rating Soberano'!$G$2:$G$22,'Agências de Rating Soberano'!$H$2:$H$22),NA())</f>
        <v>10</v>
      </c>
      <c r="N354" s="52">
        <f>IFERROR(_xlfn.XLOOKUP(E354,'Agências de Rating Soberano'!$J$2:$J$22,'Agências de Rating Soberano'!$K$2:$K$22),NA())</f>
        <v>11</v>
      </c>
      <c r="O354" s="52">
        <f>IFERROR(_xlfn.XLOOKUP(F354,'Agências de Rating Soberano'!$J$2:$J$22,'Agências de Rating Soberano'!$K$2:$K$22),NA())</f>
        <v>11</v>
      </c>
      <c r="P354" s="52">
        <f>IFERROR(_xlfn.XLOOKUP(H354,'Agências de Rating Soberano'!$J$2:$J$22,'Agências de Rating Soberano'!$K$2:$K$22),NA())</f>
        <v>10</v>
      </c>
      <c r="Q354" s="52">
        <f>IFERROR(_xlfn.XLOOKUP(I354,'Agências de Rating Soberano'!$J$2:$J$22,'Agências de Rating Soberano'!$K$2:$K$22),NA())</f>
        <v>10</v>
      </c>
    </row>
    <row r="355" spans="1:17" x14ac:dyDescent="0.3">
      <c r="A355" s="53">
        <f t="shared" si="12"/>
        <v>42490</v>
      </c>
      <c r="B355" t="str">
        <f>IFERROR(_xlfn.XLOOKUP($A355,Planilha2!$A$2:$A$34,Planilha2!C$2:C$34,"",-1),"")</f>
        <v>Ba2</v>
      </c>
      <c r="C355" t="str">
        <f>IFERROR(_xlfn.XLOOKUP($A355,Planilha2!$A$2:$A$34,Planilha2!D$2:D$34,"",-1),"")</f>
        <v>Ba2</v>
      </c>
      <c r="D355" t="str" cm="1">
        <f t="array" ref="D355">IF($A355&lt;MIN(Planilha2!$A$2:$A$34),"",_xlfn.LET(_xlpm.t,_xlfn.XLOOKUP($A355,Planilha2!$A$2:$A$34,Planilha2!$E$2:$E$34,"",-1),_xlfn.IFS(ISNUMBER(SEARCH("positiva",_xlpm.t)),"Positiva",ISNUMBER(SEARCH("negativa",_xlpm.t)),"Negativa",ISNUMBER(SEARCH("estável",_xlpm.t)),"Estável",TRUE,"n/d")))</f>
        <v>Negativa</v>
      </c>
      <c r="E355" t="str">
        <f>IFERROR(_xlfn.XLOOKUP($A355,Planilha2!$J$2:$J$44,Planilha2!L$2:L$44,"",-1),"")</f>
        <v>BB+</v>
      </c>
      <c r="F355" t="str">
        <f>IFERROR(_xlfn.XLOOKUP($A355,Planilha2!$J$2:$J$44,Planilha2!M$2:M$44,"",-1),"")</f>
        <v>BB+</v>
      </c>
      <c r="G355" t="str" cm="1">
        <f t="array" ref="G355">IF($A355&lt;MIN(Planilha2!$J$2:$J$44),"",_xlfn.LET(_xlpm.t,_xlfn.XLOOKUP($A355,Planilha2!$J$2:$J$44,Planilha2!$N$2:$N$44,"",-1),_xlfn.IFS(ISNUMBER(SEARCH("positiva",_xlpm.t)),"Positiva",ISNUMBER(SEARCH("negativa",_xlpm.t)),"Negativa",ISNUMBER(SEARCH("estável",_xlpm.t)),"Estável",TRUE,"n/d")))</f>
        <v>Negativa</v>
      </c>
      <c r="H355" t="str">
        <f>IFERROR(_xlfn.XLOOKUP($A355,Planilha2!$P$2:$P$38,Planilha2!R$2:R$38,"",-1),"")</f>
        <v>BB</v>
      </c>
      <c r="I355" t="str">
        <f>IFERROR(_xlfn.XLOOKUP($A355,Planilha2!$P$2:$P$38,Planilha2!S$2:S$38,"",-1),"")</f>
        <v>BB</v>
      </c>
      <c r="J355" t="str" cm="1">
        <f t="array" ref="J355">IF($A355&lt;MIN(Planilha2!$P$2:$P$38),"",_xlfn.LET(_xlpm.t,_xlfn.XLOOKUP($A355,Planilha2!$P$2:$P$38,Planilha2!$T$2:$T$38,"",-1),_xlfn.IFS(ISNUMBER(SEARCH("positiva",_xlpm.t)),"Positiva",ISNUMBER(SEARCH("negativa",_xlpm.t)),"Negativa",ISNUMBER(SEARCH("estável",_xlpm.t)),"Estável",TRUE,"n/d")))</f>
        <v>Negativa</v>
      </c>
      <c r="L355" s="52">
        <f>IFERROR(_xlfn.XLOOKUP(B355,'Agências de Rating Soberano'!$G$2:$G$22,'Agências de Rating Soberano'!$H$2:$H$22),NA())</f>
        <v>10</v>
      </c>
      <c r="M355" s="52">
        <f>IFERROR(_xlfn.XLOOKUP(C355,'Agências de Rating Soberano'!$G$2:$G$22,'Agências de Rating Soberano'!$H$2:$H$22),NA())</f>
        <v>10</v>
      </c>
      <c r="N355" s="52">
        <f>IFERROR(_xlfn.XLOOKUP(E355,'Agências de Rating Soberano'!$J$2:$J$22,'Agências de Rating Soberano'!$K$2:$K$22),NA())</f>
        <v>11</v>
      </c>
      <c r="O355" s="52">
        <f>IFERROR(_xlfn.XLOOKUP(F355,'Agências de Rating Soberano'!$J$2:$J$22,'Agências de Rating Soberano'!$K$2:$K$22),NA())</f>
        <v>11</v>
      </c>
      <c r="P355" s="52">
        <f>IFERROR(_xlfn.XLOOKUP(H355,'Agências de Rating Soberano'!$J$2:$J$22,'Agências de Rating Soberano'!$K$2:$K$22),NA())</f>
        <v>10</v>
      </c>
      <c r="Q355" s="52">
        <f>IFERROR(_xlfn.XLOOKUP(I355,'Agências de Rating Soberano'!$J$2:$J$22,'Agências de Rating Soberano'!$K$2:$K$22),NA())</f>
        <v>10</v>
      </c>
    </row>
    <row r="356" spans="1:17" x14ac:dyDescent="0.3">
      <c r="A356" s="53">
        <f t="shared" si="12"/>
        <v>42521</v>
      </c>
      <c r="B356" t="str">
        <f>IFERROR(_xlfn.XLOOKUP($A356,Planilha2!$A$2:$A$34,Planilha2!C$2:C$34,"",-1),"")</f>
        <v>Ba2</v>
      </c>
      <c r="C356" t="str">
        <f>IFERROR(_xlfn.XLOOKUP($A356,Planilha2!$A$2:$A$34,Planilha2!D$2:D$34,"",-1),"")</f>
        <v>Ba2</v>
      </c>
      <c r="D356" t="str" cm="1">
        <f t="array" ref="D356">IF($A356&lt;MIN(Planilha2!$A$2:$A$34),"",_xlfn.LET(_xlpm.t,_xlfn.XLOOKUP($A356,Planilha2!$A$2:$A$34,Planilha2!$E$2:$E$34,"",-1),_xlfn.IFS(ISNUMBER(SEARCH("positiva",_xlpm.t)),"Positiva",ISNUMBER(SEARCH("negativa",_xlpm.t)),"Negativa",ISNUMBER(SEARCH("estável",_xlpm.t)),"Estável",TRUE,"n/d")))</f>
        <v>Negativa</v>
      </c>
      <c r="E356" t="str">
        <f>IFERROR(_xlfn.XLOOKUP($A356,Planilha2!$J$2:$J$44,Planilha2!L$2:L$44,"",-1),"")</f>
        <v>BB</v>
      </c>
      <c r="F356" t="str">
        <f>IFERROR(_xlfn.XLOOKUP($A356,Planilha2!$J$2:$J$44,Planilha2!M$2:M$44,"",-1),"")</f>
        <v>BB</v>
      </c>
      <c r="G356" t="str" cm="1">
        <f t="array" ref="G356">IF($A356&lt;MIN(Planilha2!$J$2:$J$44),"",_xlfn.LET(_xlpm.t,_xlfn.XLOOKUP($A356,Planilha2!$J$2:$J$44,Planilha2!$N$2:$N$44,"",-1),_xlfn.IFS(ISNUMBER(SEARCH("positiva",_xlpm.t)),"Positiva",ISNUMBER(SEARCH("negativa",_xlpm.t)),"Negativa",ISNUMBER(SEARCH("estável",_xlpm.t)),"Estável",TRUE,"n/d")))</f>
        <v>Negativa</v>
      </c>
      <c r="H356" t="str">
        <f>IFERROR(_xlfn.XLOOKUP($A356,Planilha2!$P$2:$P$38,Planilha2!R$2:R$38,"",-1),"")</f>
        <v>BB</v>
      </c>
      <c r="I356" t="str">
        <f>IFERROR(_xlfn.XLOOKUP($A356,Planilha2!$P$2:$P$38,Planilha2!S$2:S$38,"",-1),"")</f>
        <v>BB</v>
      </c>
      <c r="J356" t="str" cm="1">
        <f t="array" ref="J356">IF($A356&lt;MIN(Planilha2!$P$2:$P$38),"",_xlfn.LET(_xlpm.t,_xlfn.XLOOKUP($A356,Planilha2!$P$2:$P$38,Planilha2!$T$2:$T$38,"",-1),_xlfn.IFS(ISNUMBER(SEARCH("positiva",_xlpm.t)),"Positiva",ISNUMBER(SEARCH("negativa",_xlpm.t)),"Negativa",ISNUMBER(SEARCH("estável",_xlpm.t)),"Estável",TRUE,"n/d")))</f>
        <v>Negativa</v>
      </c>
      <c r="L356" s="52">
        <f>IFERROR(_xlfn.XLOOKUP(B356,'Agências de Rating Soberano'!$G$2:$G$22,'Agências de Rating Soberano'!$H$2:$H$22),NA())</f>
        <v>10</v>
      </c>
      <c r="M356" s="52">
        <f>IFERROR(_xlfn.XLOOKUP(C356,'Agências de Rating Soberano'!$G$2:$G$22,'Agências de Rating Soberano'!$H$2:$H$22),NA())</f>
        <v>10</v>
      </c>
      <c r="N356" s="52">
        <f>IFERROR(_xlfn.XLOOKUP(E356,'Agências de Rating Soberano'!$J$2:$J$22,'Agências de Rating Soberano'!$K$2:$K$22),NA())</f>
        <v>10</v>
      </c>
      <c r="O356" s="52">
        <f>IFERROR(_xlfn.XLOOKUP(F356,'Agências de Rating Soberano'!$J$2:$J$22,'Agências de Rating Soberano'!$K$2:$K$22),NA())</f>
        <v>10</v>
      </c>
      <c r="P356" s="52">
        <f>IFERROR(_xlfn.XLOOKUP(H356,'Agências de Rating Soberano'!$J$2:$J$22,'Agências de Rating Soberano'!$K$2:$K$22),NA())</f>
        <v>10</v>
      </c>
      <c r="Q356" s="52">
        <f>IFERROR(_xlfn.XLOOKUP(I356,'Agências de Rating Soberano'!$J$2:$J$22,'Agências de Rating Soberano'!$K$2:$K$22),NA())</f>
        <v>10</v>
      </c>
    </row>
    <row r="357" spans="1:17" x14ac:dyDescent="0.3">
      <c r="A357" s="53">
        <f t="shared" si="12"/>
        <v>42551</v>
      </c>
      <c r="B357" t="str">
        <f>IFERROR(_xlfn.XLOOKUP($A357,Planilha2!$A$2:$A$34,Planilha2!C$2:C$34,"",-1),"")</f>
        <v>Ba2</v>
      </c>
      <c r="C357" t="str">
        <f>IFERROR(_xlfn.XLOOKUP($A357,Planilha2!$A$2:$A$34,Planilha2!D$2:D$34,"",-1),"")</f>
        <v>Ba2</v>
      </c>
      <c r="D357" t="str" cm="1">
        <f t="array" ref="D357">IF($A357&lt;MIN(Planilha2!$A$2:$A$34),"",_xlfn.LET(_xlpm.t,_xlfn.XLOOKUP($A357,Planilha2!$A$2:$A$34,Planilha2!$E$2:$E$34,"",-1),_xlfn.IFS(ISNUMBER(SEARCH("positiva",_xlpm.t)),"Positiva",ISNUMBER(SEARCH("negativa",_xlpm.t)),"Negativa",ISNUMBER(SEARCH("estável",_xlpm.t)),"Estável",TRUE,"n/d")))</f>
        <v>Negativa</v>
      </c>
      <c r="E357" t="str">
        <f>IFERROR(_xlfn.XLOOKUP($A357,Planilha2!$J$2:$J$44,Planilha2!L$2:L$44,"",-1),"")</f>
        <v>BB</v>
      </c>
      <c r="F357" t="str">
        <f>IFERROR(_xlfn.XLOOKUP($A357,Planilha2!$J$2:$J$44,Planilha2!M$2:M$44,"",-1),"")</f>
        <v>BB</v>
      </c>
      <c r="G357" t="str" cm="1">
        <f t="array" ref="G357">IF($A357&lt;MIN(Planilha2!$J$2:$J$44),"",_xlfn.LET(_xlpm.t,_xlfn.XLOOKUP($A357,Planilha2!$J$2:$J$44,Planilha2!$N$2:$N$44,"",-1),_xlfn.IFS(ISNUMBER(SEARCH("positiva",_xlpm.t)),"Positiva",ISNUMBER(SEARCH("negativa",_xlpm.t)),"Negativa",ISNUMBER(SEARCH("estável",_xlpm.t)),"Estável",TRUE,"n/d")))</f>
        <v>Negativa</v>
      </c>
      <c r="H357" t="str">
        <f>IFERROR(_xlfn.XLOOKUP($A357,Planilha2!$P$2:$P$38,Planilha2!R$2:R$38,"",-1),"")</f>
        <v>BB</v>
      </c>
      <c r="I357" t="str">
        <f>IFERROR(_xlfn.XLOOKUP($A357,Planilha2!$P$2:$P$38,Planilha2!S$2:S$38,"",-1),"")</f>
        <v>BB</v>
      </c>
      <c r="J357" t="str" cm="1">
        <f t="array" ref="J357">IF($A357&lt;MIN(Planilha2!$P$2:$P$38),"",_xlfn.LET(_xlpm.t,_xlfn.XLOOKUP($A357,Planilha2!$P$2:$P$38,Planilha2!$T$2:$T$38,"",-1),_xlfn.IFS(ISNUMBER(SEARCH("positiva",_xlpm.t)),"Positiva",ISNUMBER(SEARCH("negativa",_xlpm.t)),"Negativa",ISNUMBER(SEARCH("estável",_xlpm.t)),"Estável",TRUE,"n/d")))</f>
        <v>Negativa</v>
      </c>
      <c r="L357" s="52">
        <f>IFERROR(_xlfn.XLOOKUP(B357,'Agências de Rating Soberano'!$G$2:$G$22,'Agências de Rating Soberano'!$H$2:$H$22),NA())</f>
        <v>10</v>
      </c>
      <c r="M357" s="52">
        <f>IFERROR(_xlfn.XLOOKUP(C357,'Agências de Rating Soberano'!$G$2:$G$22,'Agências de Rating Soberano'!$H$2:$H$22),NA())</f>
        <v>10</v>
      </c>
      <c r="N357" s="52">
        <f>IFERROR(_xlfn.XLOOKUP(E357,'Agências de Rating Soberano'!$J$2:$J$22,'Agências de Rating Soberano'!$K$2:$K$22),NA())</f>
        <v>10</v>
      </c>
      <c r="O357" s="52">
        <f>IFERROR(_xlfn.XLOOKUP(F357,'Agências de Rating Soberano'!$J$2:$J$22,'Agências de Rating Soberano'!$K$2:$K$22),NA())</f>
        <v>10</v>
      </c>
      <c r="P357" s="52">
        <f>IFERROR(_xlfn.XLOOKUP(H357,'Agências de Rating Soberano'!$J$2:$J$22,'Agências de Rating Soberano'!$K$2:$K$22),NA())</f>
        <v>10</v>
      </c>
      <c r="Q357" s="52">
        <f>IFERROR(_xlfn.XLOOKUP(I357,'Agências de Rating Soberano'!$J$2:$J$22,'Agências de Rating Soberano'!$K$2:$K$22),NA())</f>
        <v>10</v>
      </c>
    </row>
    <row r="358" spans="1:17" x14ac:dyDescent="0.3">
      <c r="A358" s="53">
        <f t="shared" si="12"/>
        <v>42582</v>
      </c>
      <c r="B358" t="str">
        <f>IFERROR(_xlfn.XLOOKUP($A358,Planilha2!$A$2:$A$34,Planilha2!C$2:C$34,"",-1),"")</f>
        <v>Ba2</v>
      </c>
      <c r="C358" t="str">
        <f>IFERROR(_xlfn.XLOOKUP($A358,Planilha2!$A$2:$A$34,Planilha2!D$2:D$34,"",-1),"")</f>
        <v>Ba2</v>
      </c>
      <c r="D358" t="str" cm="1">
        <f t="array" ref="D358">IF($A358&lt;MIN(Planilha2!$A$2:$A$34),"",_xlfn.LET(_xlpm.t,_xlfn.XLOOKUP($A358,Planilha2!$A$2:$A$34,Planilha2!$E$2:$E$34,"",-1),_xlfn.IFS(ISNUMBER(SEARCH("positiva",_xlpm.t)),"Positiva",ISNUMBER(SEARCH("negativa",_xlpm.t)),"Negativa",ISNUMBER(SEARCH("estável",_xlpm.t)),"Estável",TRUE,"n/d")))</f>
        <v>Negativa</v>
      </c>
      <c r="E358" t="str">
        <f>IFERROR(_xlfn.XLOOKUP($A358,Planilha2!$J$2:$J$44,Planilha2!L$2:L$44,"",-1),"")</f>
        <v>BB</v>
      </c>
      <c r="F358" t="str">
        <f>IFERROR(_xlfn.XLOOKUP($A358,Planilha2!$J$2:$J$44,Planilha2!M$2:M$44,"",-1),"")</f>
        <v>BB</v>
      </c>
      <c r="G358" t="str" cm="1">
        <f t="array" ref="G358">IF($A358&lt;MIN(Planilha2!$J$2:$J$44),"",_xlfn.LET(_xlpm.t,_xlfn.XLOOKUP($A358,Planilha2!$J$2:$J$44,Planilha2!$N$2:$N$44,"",-1),_xlfn.IFS(ISNUMBER(SEARCH("positiva",_xlpm.t)),"Positiva",ISNUMBER(SEARCH("negativa",_xlpm.t)),"Negativa",ISNUMBER(SEARCH("estável",_xlpm.t)),"Estável",TRUE,"n/d")))</f>
        <v>Negativa</v>
      </c>
      <c r="H358" t="str">
        <f>IFERROR(_xlfn.XLOOKUP($A358,Planilha2!$P$2:$P$38,Planilha2!R$2:R$38,"",-1),"")</f>
        <v>BB</v>
      </c>
      <c r="I358" t="str">
        <f>IFERROR(_xlfn.XLOOKUP($A358,Planilha2!$P$2:$P$38,Planilha2!S$2:S$38,"",-1),"")</f>
        <v>BB</v>
      </c>
      <c r="J358" t="str" cm="1">
        <f t="array" ref="J358">IF($A358&lt;MIN(Planilha2!$P$2:$P$38),"",_xlfn.LET(_xlpm.t,_xlfn.XLOOKUP($A358,Planilha2!$P$2:$P$38,Planilha2!$T$2:$T$38,"",-1),_xlfn.IFS(ISNUMBER(SEARCH("positiva",_xlpm.t)),"Positiva",ISNUMBER(SEARCH("negativa",_xlpm.t)),"Negativa",ISNUMBER(SEARCH("estável",_xlpm.t)),"Estável",TRUE,"n/d")))</f>
        <v>Negativa</v>
      </c>
      <c r="L358" s="52">
        <f>IFERROR(_xlfn.XLOOKUP(B358,'Agências de Rating Soberano'!$G$2:$G$22,'Agências de Rating Soberano'!$H$2:$H$22),NA())</f>
        <v>10</v>
      </c>
      <c r="M358" s="52">
        <f>IFERROR(_xlfn.XLOOKUP(C358,'Agências de Rating Soberano'!$G$2:$G$22,'Agências de Rating Soberano'!$H$2:$H$22),NA())</f>
        <v>10</v>
      </c>
      <c r="N358" s="52">
        <f>IFERROR(_xlfn.XLOOKUP(E358,'Agências de Rating Soberano'!$J$2:$J$22,'Agências de Rating Soberano'!$K$2:$K$22),NA())</f>
        <v>10</v>
      </c>
      <c r="O358" s="52">
        <f>IFERROR(_xlfn.XLOOKUP(F358,'Agências de Rating Soberano'!$J$2:$J$22,'Agências de Rating Soberano'!$K$2:$K$22),NA())</f>
        <v>10</v>
      </c>
      <c r="P358" s="52">
        <f>IFERROR(_xlfn.XLOOKUP(H358,'Agências de Rating Soberano'!$J$2:$J$22,'Agências de Rating Soberano'!$K$2:$K$22),NA())</f>
        <v>10</v>
      </c>
      <c r="Q358" s="52">
        <f>IFERROR(_xlfn.XLOOKUP(I358,'Agências de Rating Soberano'!$J$2:$J$22,'Agências de Rating Soberano'!$K$2:$K$22),NA())</f>
        <v>10</v>
      </c>
    </row>
    <row r="359" spans="1:17" x14ac:dyDescent="0.3">
      <c r="A359" s="53">
        <f t="shared" si="12"/>
        <v>42613</v>
      </c>
      <c r="B359" t="str">
        <f>IFERROR(_xlfn.XLOOKUP($A359,Planilha2!$A$2:$A$34,Planilha2!C$2:C$34,"",-1),"")</f>
        <v>Ba2</v>
      </c>
      <c r="C359" t="str">
        <f>IFERROR(_xlfn.XLOOKUP($A359,Planilha2!$A$2:$A$34,Planilha2!D$2:D$34,"",-1),"")</f>
        <v>Ba2</v>
      </c>
      <c r="D359" t="str" cm="1">
        <f t="array" ref="D359">IF($A359&lt;MIN(Planilha2!$A$2:$A$34),"",_xlfn.LET(_xlpm.t,_xlfn.XLOOKUP($A359,Planilha2!$A$2:$A$34,Planilha2!$E$2:$E$34,"",-1),_xlfn.IFS(ISNUMBER(SEARCH("positiva",_xlpm.t)),"Positiva",ISNUMBER(SEARCH("negativa",_xlpm.t)),"Negativa",ISNUMBER(SEARCH("estável",_xlpm.t)),"Estável",TRUE,"n/d")))</f>
        <v>Negativa</v>
      </c>
      <c r="E359" t="str">
        <f>IFERROR(_xlfn.XLOOKUP($A359,Planilha2!$J$2:$J$44,Planilha2!L$2:L$44,"",-1),"")</f>
        <v>BB</v>
      </c>
      <c r="F359" t="str">
        <f>IFERROR(_xlfn.XLOOKUP($A359,Planilha2!$J$2:$J$44,Planilha2!M$2:M$44,"",-1),"")</f>
        <v>BB</v>
      </c>
      <c r="G359" t="str" cm="1">
        <f t="array" ref="G359">IF($A359&lt;MIN(Planilha2!$J$2:$J$44),"",_xlfn.LET(_xlpm.t,_xlfn.XLOOKUP($A359,Planilha2!$J$2:$J$44,Planilha2!$N$2:$N$44,"",-1),_xlfn.IFS(ISNUMBER(SEARCH("positiva",_xlpm.t)),"Positiva",ISNUMBER(SEARCH("negativa",_xlpm.t)),"Negativa",ISNUMBER(SEARCH("estável",_xlpm.t)),"Estável",TRUE,"n/d")))</f>
        <v>Negativa</v>
      </c>
      <c r="H359" t="str">
        <f>IFERROR(_xlfn.XLOOKUP($A359,Planilha2!$P$2:$P$38,Planilha2!R$2:R$38,"",-1),"")</f>
        <v>BB</v>
      </c>
      <c r="I359" t="str">
        <f>IFERROR(_xlfn.XLOOKUP($A359,Planilha2!$P$2:$P$38,Planilha2!S$2:S$38,"",-1),"")</f>
        <v>BB</v>
      </c>
      <c r="J359" t="str" cm="1">
        <f t="array" ref="J359">IF($A359&lt;MIN(Planilha2!$P$2:$P$38),"",_xlfn.LET(_xlpm.t,_xlfn.XLOOKUP($A359,Planilha2!$P$2:$P$38,Planilha2!$T$2:$T$38,"",-1),_xlfn.IFS(ISNUMBER(SEARCH("positiva",_xlpm.t)),"Positiva",ISNUMBER(SEARCH("negativa",_xlpm.t)),"Negativa",ISNUMBER(SEARCH("estável",_xlpm.t)),"Estável",TRUE,"n/d")))</f>
        <v>Negativa</v>
      </c>
      <c r="L359" s="52">
        <f>IFERROR(_xlfn.XLOOKUP(B359,'Agências de Rating Soberano'!$G$2:$G$22,'Agências de Rating Soberano'!$H$2:$H$22),NA())</f>
        <v>10</v>
      </c>
      <c r="M359" s="52">
        <f>IFERROR(_xlfn.XLOOKUP(C359,'Agências de Rating Soberano'!$G$2:$G$22,'Agências de Rating Soberano'!$H$2:$H$22),NA())</f>
        <v>10</v>
      </c>
      <c r="N359" s="52">
        <f>IFERROR(_xlfn.XLOOKUP(E359,'Agências de Rating Soberano'!$J$2:$J$22,'Agências de Rating Soberano'!$K$2:$K$22),NA())</f>
        <v>10</v>
      </c>
      <c r="O359" s="52">
        <f>IFERROR(_xlfn.XLOOKUP(F359,'Agências de Rating Soberano'!$J$2:$J$22,'Agências de Rating Soberano'!$K$2:$K$22),NA())</f>
        <v>10</v>
      </c>
      <c r="P359" s="52">
        <f>IFERROR(_xlfn.XLOOKUP(H359,'Agências de Rating Soberano'!$J$2:$J$22,'Agências de Rating Soberano'!$K$2:$K$22),NA())</f>
        <v>10</v>
      </c>
      <c r="Q359" s="52">
        <f>IFERROR(_xlfn.XLOOKUP(I359,'Agências de Rating Soberano'!$J$2:$J$22,'Agências de Rating Soberano'!$K$2:$K$22),NA())</f>
        <v>10</v>
      </c>
    </row>
    <row r="360" spans="1:17" x14ac:dyDescent="0.3">
      <c r="A360" s="53">
        <f t="shared" si="12"/>
        <v>42643</v>
      </c>
      <c r="B360" t="str">
        <f>IFERROR(_xlfn.XLOOKUP($A360,Planilha2!$A$2:$A$34,Planilha2!C$2:C$34,"",-1),"")</f>
        <v>Ba2</v>
      </c>
      <c r="C360" t="str">
        <f>IFERROR(_xlfn.XLOOKUP($A360,Planilha2!$A$2:$A$34,Planilha2!D$2:D$34,"",-1),"")</f>
        <v>Ba2</v>
      </c>
      <c r="D360" t="str" cm="1">
        <f t="array" ref="D360">IF($A360&lt;MIN(Planilha2!$A$2:$A$34),"",_xlfn.LET(_xlpm.t,_xlfn.XLOOKUP($A360,Planilha2!$A$2:$A$34,Planilha2!$E$2:$E$34,"",-1),_xlfn.IFS(ISNUMBER(SEARCH("positiva",_xlpm.t)),"Positiva",ISNUMBER(SEARCH("negativa",_xlpm.t)),"Negativa",ISNUMBER(SEARCH("estável",_xlpm.t)),"Estável",TRUE,"n/d")))</f>
        <v>Negativa</v>
      </c>
      <c r="E360" t="str">
        <f>IFERROR(_xlfn.XLOOKUP($A360,Planilha2!$J$2:$J$44,Planilha2!L$2:L$44,"",-1),"")</f>
        <v>BB</v>
      </c>
      <c r="F360" t="str">
        <f>IFERROR(_xlfn.XLOOKUP($A360,Planilha2!$J$2:$J$44,Planilha2!M$2:M$44,"",-1),"")</f>
        <v>BB</v>
      </c>
      <c r="G360" t="str" cm="1">
        <f t="array" ref="G360">IF($A360&lt;MIN(Planilha2!$J$2:$J$44),"",_xlfn.LET(_xlpm.t,_xlfn.XLOOKUP($A360,Planilha2!$J$2:$J$44,Planilha2!$N$2:$N$44,"",-1),_xlfn.IFS(ISNUMBER(SEARCH("positiva",_xlpm.t)),"Positiva",ISNUMBER(SEARCH("negativa",_xlpm.t)),"Negativa",ISNUMBER(SEARCH("estável",_xlpm.t)),"Estável",TRUE,"n/d")))</f>
        <v>Negativa</v>
      </c>
      <c r="H360" t="str">
        <f>IFERROR(_xlfn.XLOOKUP($A360,Planilha2!$P$2:$P$38,Planilha2!R$2:R$38,"",-1),"")</f>
        <v>BB</v>
      </c>
      <c r="I360" t="str">
        <f>IFERROR(_xlfn.XLOOKUP($A360,Planilha2!$P$2:$P$38,Planilha2!S$2:S$38,"",-1),"")</f>
        <v>BB</v>
      </c>
      <c r="J360" t="str" cm="1">
        <f t="array" ref="J360">IF($A360&lt;MIN(Planilha2!$P$2:$P$38),"",_xlfn.LET(_xlpm.t,_xlfn.XLOOKUP($A360,Planilha2!$P$2:$P$38,Planilha2!$T$2:$T$38,"",-1),_xlfn.IFS(ISNUMBER(SEARCH("positiva",_xlpm.t)),"Positiva",ISNUMBER(SEARCH("negativa",_xlpm.t)),"Negativa",ISNUMBER(SEARCH("estável",_xlpm.t)),"Estável",TRUE,"n/d")))</f>
        <v>Negativa</v>
      </c>
      <c r="L360" s="52">
        <f>IFERROR(_xlfn.XLOOKUP(B360,'Agências de Rating Soberano'!$G$2:$G$22,'Agências de Rating Soberano'!$H$2:$H$22),NA())</f>
        <v>10</v>
      </c>
      <c r="M360" s="52">
        <f>IFERROR(_xlfn.XLOOKUP(C360,'Agências de Rating Soberano'!$G$2:$G$22,'Agências de Rating Soberano'!$H$2:$H$22),NA())</f>
        <v>10</v>
      </c>
      <c r="N360" s="52">
        <f>IFERROR(_xlfn.XLOOKUP(E360,'Agências de Rating Soberano'!$J$2:$J$22,'Agências de Rating Soberano'!$K$2:$K$22),NA())</f>
        <v>10</v>
      </c>
      <c r="O360" s="52">
        <f>IFERROR(_xlfn.XLOOKUP(F360,'Agências de Rating Soberano'!$J$2:$J$22,'Agências de Rating Soberano'!$K$2:$K$22),NA())</f>
        <v>10</v>
      </c>
      <c r="P360" s="52">
        <f>IFERROR(_xlfn.XLOOKUP(H360,'Agências de Rating Soberano'!$J$2:$J$22,'Agências de Rating Soberano'!$K$2:$K$22),NA())</f>
        <v>10</v>
      </c>
      <c r="Q360" s="52">
        <f>IFERROR(_xlfn.XLOOKUP(I360,'Agências de Rating Soberano'!$J$2:$J$22,'Agências de Rating Soberano'!$K$2:$K$22),NA())</f>
        <v>10</v>
      </c>
    </row>
    <row r="361" spans="1:17" x14ac:dyDescent="0.3">
      <c r="A361" s="53">
        <f t="shared" si="12"/>
        <v>42674</v>
      </c>
      <c r="B361" t="str">
        <f>IFERROR(_xlfn.XLOOKUP($A361,Planilha2!$A$2:$A$34,Planilha2!C$2:C$34,"",-1),"")</f>
        <v>Ba2</v>
      </c>
      <c r="C361" t="str">
        <f>IFERROR(_xlfn.XLOOKUP($A361,Planilha2!$A$2:$A$34,Planilha2!D$2:D$34,"",-1),"")</f>
        <v>Ba2</v>
      </c>
      <c r="D361" t="str" cm="1">
        <f t="array" ref="D361">IF($A361&lt;MIN(Planilha2!$A$2:$A$34),"",_xlfn.LET(_xlpm.t,_xlfn.XLOOKUP($A361,Planilha2!$A$2:$A$34,Planilha2!$E$2:$E$34,"",-1),_xlfn.IFS(ISNUMBER(SEARCH("positiva",_xlpm.t)),"Positiva",ISNUMBER(SEARCH("negativa",_xlpm.t)),"Negativa",ISNUMBER(SEARCH("estável",_xlpm.t)),"Estável",TRUE,"n/d")))</f>
        <v>Negativa</v>
      </c>
      <c r="E361" t="str">
        <f>IFERROR(_xlfn.XLOOKUP($A361,Planilha2!$J$2:$J$44,Planilha2!L$2:L$44,"",-1),"")</f>
        <v>BB</v>
      </c>
      <c r="F361" t="str">
        <f>IFERROR(_xlfn.XLOOKUP($A361,Planilha2!$J$2:$J$44,Planilha2!M$2:M$44,"",-1),"")</f>
        <v>BB</v>
      </c>
      <c r="G361" t="str" cm="1">
        <f t="array" ref="G361">IF($A361&lt;MIN(Planilha2!$J$2:$J$44),"",_xlfn.LET(_xlpm.t,_xlfn.XLOOKUP($A361,Planilha2!$J$2:$J$44,Planilha2!$N$2:$N$44,"",-1),_xlfn.IFS(ISNUMBER(SEARCH("positiva",_xlpm.t)),"Positiva",ISNUMBER(SEARCH("negativa",_xlpm.t)),"Negativa",ISNUMBER(SEARCH("estável",_xlpm.t)),"Estável",TRUE,"n/d")))</f>
        <v>Negativa</v>
      </c>
      <c r="H361" t="str">
        <f>IFERROR(_xlfn.XLOOKUP($A361,Planilha2!$P$2:$P$38,Planilha2!R$2:R$38,"",-1),"")</f>
        <v>BB</v>
      </c>
      <c r="I361" t="str">
        <f>IFERROR(_xlfn.XLOOKUP($A361,Planilha2!$P$2:$P$38,Planilha2!S$2:S$38,"",-1),"")</f>
        <v>BB</v>
      </c>
      <c r="J361" t="str" cm="1">
        <f t="array" ref="J361">IF($A361&lt;MIN(Planilha2!$P$2:$P$38),"",_xlfn.LET(_xlpm.t,_xlfn.XLOOKUP($A361,Planilha2!$P$2:$P$38,Planilha2!$T$2:$T$38,"",-1),_xlfn.IFS(ISNUMBER(SEARCH("positiva",_xlpm.t)),"Positiva",ISNUMBER(SEARCH("negativa",_xlpm.t)),"Negativa",ISNUMBER(SEARCH("estável",_xlpm.t)),"Estável",TRUE,"n/d")))</f>
        <v>Negativa</v>
      </c>
      <c r="L361" s="52">
        <f>IFERROR(_xlfn.XLOOKUP(B361,'Agências de Rating Soberano'!$G$2:$G$22,'Agências de Rating Soberano'!$H$2:$H$22),NA())</f>
        <v>10</v>
      </c>
      <c r="M361" s="52">
        <f>IFERROR(_xlfn.XLOOKUP(C361,'Agências de Rating Soberano'!$G$2:$G$22,'Agências de Rating Soberano'!$H$2:$H$22),NA())</f>
        <v>10</v>
      </c>
      <c r="N361" s="52">
        <f>IFERROR(_xlfn.XLOOKUP(E361,'Agências de Rating Soberano'!$J$2:$J$22,'Agências de Rating Soberano'!$K$2:$K$22),NA())</f>
        <v>10</v>
      </c>
      <c r="O361" s="52">
        <f>IFERROR(_xlfn.XLOOKUP(F361,'Agências de Rating Soberano'!$J$2:$J$22,'Agências de Rating Soberano'!$K$2:$K$22),NA())</f>
        <v>10</v>
      </c>
      <c r="P361" s="52">
        <f>IFERROR(_xlfn.XLOOKUP(H361,'Agências de Rating Soberano'!$J$2:$J$22,'Agências de Rating Soberano'!$K$2:$K$22),NA())</f>
        <v>10</v>
      </c>
      <c r="Q361" s="52">
        <f>IFERROR(_xlfn.XLOOKUP(I361,'Agências de Rating Soberano'!$J$2:$J$22,'Agências de Rating Soberano'!$K$2:$K$22),NA())</f>
        <v>10</v>
      </c>
    </row>
    <row r="362" spans="1:17" x14ac:dyDescent="0.3">
      <c r="A362" s="53">
        <f t="shared" si="12"/>
        <v>42704</v>
      </c>
      <c r="B362" t="str">
        <f>IFERROR(_xlfn.XLOOKUP($A362,Planilha2!$A$2:$A$34,Planilha2!C$2:C$34,"",-1),"")</f>
        <v>Ba2</v>
      </c>
      <c r="C362" t="str">
        <f>IFERROR(_xlfn.XLOOKUP($A362,Planilha2!$A$2:$A$34,Planilha2!D$2:D$34,"",-1),"")</f>
        <v>Ba2</v>
      </c>
      <c r="D362" t="str" cm="1">
        <f t="array" ref="D362">IF($A362&lt;MIN(Planilha2!$A$2:$A$34),"",_xlfn.LET(_xlpm.t,_xlfn.XLOOKUP($A362,Planilha2!$A$2:$A$34,Planilha2!$E$2:$E$34,"",-1),_xlfn.IFS(ISNUMBER(SEARCH("positiva",_xlpm.t)),"Positiva",ISNUMBER(SEARCH("negativa",_xlpm.t)),"Negativa",ISNUMBER(SEARCH("estável",_xlpm.t)),"Estável",TRUE,"n/d")))</f>
        <v>Negativa</v>
      </c>
      <c r="E362" t="str">
        <f>IFERROR(_xlfn.XLOOKUP($A362,Planilha2!$J$2:$J$44,Planilha2!L$2:L$44,"",-1),"")</f>
        <v>BB</v>
      </c>
      <c r="F362" t="str">
        <f>IFERROR(_xlfn.XLOOKUP($A362,Planilha2!$J$2:$J$44,Planilha2!M$2:M$44,"",-1),"")</f>
        <v>BB</v>
      </c>
      <c r="G362" t="str" cm="1">
        <f t="array" ref="G362">IF($A362&lt;MIN(Planilha2!$J$2:$J$44),"",_xlfn.LET(_xlpm.t,_xlfn.XLOOKUP($A362,Planilha2!$J$2:$J$44,Planilha2!$N$2:$N$44,"",-1),_xlfn.IFS(ISNUMBER(SEARCH("positiva",_xlpm.t)),"Positiva",ISNUMBER(SEARCH("negativa",_xlpm.t)),"Negativa",ISNUMBER(SEARCH("estável",_xlpm.t)),"Estável",TRUE,"n/d")))</f>
        <v>Negativa</v>
      </c>
      <c r="H362" t="str">
        <f>IFERROR(_xlfn.XLOOKUP($A362,Planilha2!$P$2:$P$38,Planilha2!R$2:R$38,"",-1),"")</f>
        <v>BB</v>
      </c>
      <c r="I362" t="str">
        <f>IFERROR(_xlfn.XLOOKUP($A362,Planilha2!$P$2:$P$38,Planilha2!S$2:S$38,"",-1),"")</f>
        <v>BB</v>
      </c>
      <c r="J362" t="str" cm="1">
        <f t="array" ref="J362">IF($A362&lt;MIN(Planilha2!$P$2:$P$38),"",_xlfn.LET(_xlpm.t,_xlfn.XLOOKUP($A362,Planilha2!$P$2:$P$38,Planilha2!$T$2:$T$38,"",-1),_xlfn.IFS(ISNUMBER(SEARCH("positiva",_xlpm.t)),"Positiva",ISNUMBER(SEARCH("negativa",_xlpm.t)),"Negativa",ISNUMBER(SEARCH("estável",_xlpm.t)),"Estável",TRUE,"n/d")))</f>
        <v>Negativa</v>
      </c>
      <c r="L362" s="52">
        <f>IFERROR(_xlfn.XLOOKUP(B362,'Agências de Rating Soberano'!$G$2:$G$22,'Agências de Rating Soberano'!$H$2:$H$22),NA())</f>
        <v>10</v>
      </c>
      <c r="M362" s="52">
        <f>IFERROR(_xlfn.XLOOKUP(C362,'Agências de Rating Soberano'!$G$2:$G$22,'Agências de Rating Soberano'!$H$2:$H$22),NA())</f>
        <v>10</v>
      </c>
      <c r="N362" s="52">
        <f>IFERROR(_xlfn.XLOOKUP(E362,'Agências de Rating Soberano'!$J$2:$J$22,'Agências de Rating Soberano'!$K$2:$K$22),NA())</f>
        <v>10</v>
      </c>
      <c r="O362" s="52">
        <f>IFERROR(_xlfn.XLOOKUP(F362,'Agências de Rating Soberano'!$J$2:$J$22,'Agências de Rating Soberano'!$K$2:$K$22),NA())</f>
        <v>10</v>
      </c>
      <c r="P362" s="52">
        <f>IFERROR(_xlfn.XLOOKUP(H362,'Agências de Rating Soberano'!$J$2:$J$22,'Agências de Rating Soberano'!$K$2:$K$22),NA())</f>
        <v>10</v>
      </c>
      <c r="Q362" s="52">
        <f>IFERROR(_xlfn.XLOOKUP(I362,'Agências de Rating Soberano'!$J$2:$J$22,'Agências de Rating Soberano'!$K$2:$K$22),NA())</f>
        <v>10</v>
      </c>
    </row>
    <row r="363" spans="1:17" x14ac:dyDescent="0.3">
      <c r="A363" s="53">
        <f t="shared" si="12"/>
        <v>42735</v>
      </c>
      <c r="B363" t="str">
        <f>IFERROR(_xlfn.XLOOKUP($A363,Planilha2!$A$2:$A$34,Planilha2!C$2:C$34,"",-1),"")</f>
        <v>Ba2</v>
      </c>
      <c r="C363" t="str">
        <f>IFERROR(_xlfn.XLOOKUP($A363,Planilha2!$A$2:$A$34,Planilha2!D$2:D$34,"",-1),"")</f>
        <v>Ba2</v>
      </c>
      <c r="D363" t="str" cm="1">
        <f t="array" ref="D363">IF($A363&lt;MIN(Planilha2!$A$2:$A$34),"",_xlfn.LET(_xlpm.t,_xlfn.XLOOKUP($A363,Planilha2!$A$2:$A$34,Planilha2!$E$2:$E$34,"",-1),_xlfn.IFS(ISNUMBER(SEARCH("positiva",_xlpm.t)),"Positiva",ISNUMBER(SEARCH("negativa",_xlpm.t)),"Negativa",ISNUMBER(SEARCH("estável",_xlpm.t)),"Estável",TRUE,"n/d")))</f>
        <v>Negativa</v>
      </c>
      <c r="E363" t="str">
        <f>IFERROR(_xlfn.XLOOKUP($A363,Planilha2!$J$2:$J$44,Planilha2!L$2:L$44,"",-1),"")</f>
        <v>BB</v>
      </c>
      <c r="F363" t="str">
        <f>IFERROR(_xlfn.XLOOKUP($A363,Planilha2!$J$2:$J$44,Planilha2!M$2:M$44,"",-1),"")</f>
        <v>BB</v>
      </c>
      <c r="G363" t="str" cm="1">
        <f t="array" ref="G363">IF($A363&lt;MIN(Planilha2!$J$2:$J$44),"",_xlfn.LET(_xlpm.t,_xlfn.XLOOKUP($A363,Planilha2!$J$2:$J$44,Planilha2!$N$2:$N$44,"",-1),_xlfn.IFS(ISNUMBER(SEARCH("positiva",_xlpm.t)),"Positiva",ISNUMBER(SEARCH("negativa",_xlpm.t)),"Negativa",ISNUMBER(SEARCH("estável",_xlpm.t)),"Estável",TRUE,"n/d")))</f>
        <v>Negativa</v>
      </c>
      <c r="H363" t="str">
        <f>IFERROR(_xlfn.XLOOKUP($A363,Planilha2!$P$2:$P$38,Planilha2!R$2:R$38,"",-1),"")</f>
        <v>BB</v>
      </c>
      <c r="I363" t="str">
        <f>IFERROR(_xlfn.XLOOKUP($A363,Planilha2!$P$2:$P$38,Planilha2!S$2:S$38,"",-1),"")</f>
        <v>BB</v>
      </c>
      <c r="J363" t="str" cm="1">
        <f t="array" ref="J363">IF($A363&lt;MIN(Planilha2!$P$2:$P$38),"",_xlfn.LET(_xlpm.t,_xlfn.XLOOKUP($A363,Planilha2!$P$2:$P$38,Planilha2!$T$2:$T$38,"",-1),_xlfn.IFS(ISNUMBER(SEARCH("positiva",_xlpm.t)),"Positiva",ISNUMBER(SEARCH("negativa",_xlpm.t)),"Negativa",ISNUMBER(SEARCH("estável",_xlpm.t)),"Estável",TRUE,"n/d")))</f>
        <v>Negativa</v>
      </c>
      <c r="L363" s="52">
        <f>IFERROR(_xlfn.XLOOKUP(B363,'Agências de Rating Soberano'!$G$2:$G$22,'Agências de Rating Soberano'!$H$2:$H$22),NA())</f>
        <v>10</v>
      </c>
      <c r="M363" s="52">
        <f>IFERROR(_xlfn.XLOOKUP(C363,'Agências de Rating Soberano'!$G$2:$G$22,'Agências de Rating Soberano'!$H$2:$H$22),NA())</f>
        <v>10</v>
      </c>
      <c r="N363" s="52">
        <f>IFERROR(_xlfn.XLOOKUP(E363,'Agências de Rating Soberano'!$J$2:$J$22,'Agências de Rating Soberano'!$K$2:$K$22),NA())</f>
        <v>10</v>
      </c>
      <c r="O363" s="52">
        <f>IFERROR(_xlfn.XLOOKUP(F363,'Agências de Rating Soberano'!$J$2:$J$22,'Agências de Rating Soberano'!$K$2:$K$22),NA())</f>
        <v>10</v>
      </c>
      <c r="P363" s="52">
        <f>IFERROR(_xlfn.XLOOKUP(H363,'Agências de Rating Soberano'!$J$2:$J$22,'Agências de Rating Soberano'!$K$2:$K$22),NA())</f>
        <v>10</v>
      </c>
      <c r="Q363" s="52">
        <f>IFERROR(_xlfn.XLOOKUP(I363,'Agências de Rating Soberano'!$J$2:$J$22,'Agências de Rating Soberano'!$K$2:$K$22),NA())</f>
        <v>10</v>
      </c>
    </row>
    <row r="364" spans="1:17" x14ac:dyDescent="0.3">
      <c r="A364" s="53">
        <f t="shared" si="12"/>
        <v>42766</v>
      </c>
      <c r="B364" t="str">
        <f>IFERROR(_xlfn.XLOOKUP($A364,Planilha2!$A$2:$A$34,Planilha2!C$2:C$34,"",-1),"")</f>
        <v>Ba2</v>
      </c>
      <c r="C364" t="str">
        <f>IFERROR(_xlfn.XLOOKUP($A364,Planilha2!$A$2:$A$34,Planilha2!D$2:D$34,"",-1),"")</f>
        <v>Ba2</v>
      </c>
      <c r="D364" t="str" cm="1">
        <f t="array" ref="D364">IF($A364&lt;MIN(Planilha2!$A$2:$A$34),"",_xlfn.LET(_xlpm.t,_xlfn.XLOOKUP($A364,Planilha2!$A$2:$A$34,Planilha2!$E$2:$E$34,"",-1),_xlfn.IFS(ISNUMBER(SEARCH("positiva",_xlpm.t)),"Positiva",ISNUMBER(SEARCH("negativa",_xlpm.t)),"Negativa",ISNUMBER(SEARCH("estável",_xlpm.t)),"Estável",TRUE,"n/d")))</f>
        <v>Negativa</v>
      </c>
      <c r="E364" t="str">
        <f>IFERROR(_xlfn.XLOOKUP($A364,Planilha2!$J$2:$J$44,Planilha2!L$2:L$44,"",-1),"")</f>
        <v>BB</v>
      </c>
      <c r="F364" t="str">
        <f>IFERROR(_xlfn.XLOOKUP($A364,Planilha2!$J$2:$J$44,Planilha2!M$2:M$44,"",-1),"")</f>
        <v>BB</v>
      </c>
      <c r="G364" t="str" cm="1">
        <f t="array" ref="G364">IF($A364&lt;MIN(Planilha2!$J$2:$J$44),"",_xlfn.LET(_xlpm.t,_xlfn.XLOOKUP($A364,Planilha2!$J$2:$J$44,Planilha2!$N$2:$N$44,"",-1),_xlfn.IFS(ISNUMBER(SEARCH("positiva",_xlpm.t)),"Positiva",ISNUMBER(SEARCH("negativa",_xlpm.t)),"Negativa",ISNUMBER(SEARCH("estável",_xlpm.t)),"Estável",TRUE,"n/d")))</f>
        <v>Negativa</v>
      </c>
      <c r="H364" t="str">
        <f>IFERROR(_xlfn.XLOOKUP($A364,Planilha2!$P$2:$P$38,Planilha2!R$2:R$38,"",-1),"")</f>
        <v>BB</v>
      </c>
      <c r="I364" t="str">
        <f>IFERROR(_xlfn.XLOOKUP($A364,Planilha2!$P$2:$P$38,Planilha2!S$2:S$38,"",-1),"")</f>
        <v>BB</v>
      </c>
      <c r="J364" t="str" cm="1">
        <f t="array" ref="J364">IF($A364&lt;MIN(Planilha2!$P$2:$P$38),"",_xlfn.LET(_xlpm.t,_xlfn.XLOOKUP($A364,Planilha2!$P$2:$P$38,Planilha2!$T$2:$T$38,"",-1),_xlfn.IFS(ISNUMBER(SEARCH("positiva",_xlpm.t)),"Positiva",ISNUMBER(SEARCH("negativa",_xlpm.t)),"Negativa",ISNUMBER(SEARCH("estável",_xlpm.t)),"Estável",TRUE,"n/d")))</f>
        <v>Negativa</v>
      </c>
      <c r="L364" s="52">
        <f>IFERROR(_xlfn.XLOOKUP(B364,'Agências de Rating Soberano'!$G$2:$G$22,'Agências de Rating Soberano'!$H$2:$H$22),NA())</f>
        <v>10</v>
      </c>
      <c r="M364" s="52">
        <f>IFERROR(_xlfn.XLOOKUP(C364,'Agências de Rating Soberano'!$G$2:$G$22,'Agências de Rating Soberano'!$H$2:$H$22),NA())</f>
        <v>10</v>
      </c>
      <c r="N364" s="52">
        <f>IFERROR(_xlfn.XLOOKUP(E364,'Agências de Rating Soberano'!$J$2:$J$22,'Agências de Rating Soberano'!$K$2:$K$22),NA())</f>
        <v>10</v>
      </c>
      <c r="O364" s="52">
        <f>IFERROR(_xlfn.XLOOKUP(F364,'Agências de Rating Soberano'!$J$2:$J$22,'Agências de Rating Soberano'!$K$2:$K$22),NA())</f>
        <v>10</v>
      </c>
      <c r="P364" s="52">
        <f>IFERROR(_xlfn.XLOOKUP(H364,'Agências de Rating Soberano'!$J$2:$J$22,'Agências de Rating Soberano'!$K$2:$K$22),NA())</f>
        <v>10</v>
      </c>
      <c r="Q364" s="52">
        <f>IFERROR(_xlfn.XLOOKUP(I364,'Agências de Rating Soberano'!$J$2:$J$22,'Agências de Rating Soberano'!$K$2:$K$22),NA())</f>
        <v>10</v>
      </c>
    </row>
    <row r="365" spans="1:17" x14ac:dyDescent="0.3">
      <c r="A365" s="53">
        <f t="shared" si="12"/>
        <v>42794</v>
      </c>
      <c r="B365" t="str">
        <f>IFERROR(_xlfn.XLOOKUP($A365,Planilha2!$A$2:$A$34,Planilha2!C$2:C$34,"",-1),"")</f>
        <v>Ba2</v>
      </c>
      <c r="C365" t="str">
        <f>IFERROR(_xlfn.XLOOKUP($A365,Planilha2!$A$2:$A$34,Planilha2!D$2:D$34,"",-1),"")</f>
        <v>Ba2</v>
      </c>
      <c r="D365" t="str" cm="1">
        <f t="array" ref="D365">IF($A365&lt;MIN(Planilha2!$A$2:$A$34),"",_xlfn.LET(_xlpm.t,_xlfn.XLOOKUP($A365,Planilha2!$A$2:$A$34,Planilha2!$E$2:$E$34,"",-1),_xlfn.IFS(ISNUMBER(SEARCH("positiva",_xlpm.t)),"Positiva",ISNUMBER(SEARCH("negativa",_xlpm.t)),"Negativa",ISNUMBER(SEARCH("estável",_xlpm.t)),"Estável",TRUE,"n/d")))</f>
        <v>Negativa</v>
      </c>
      <c r="E365" t="str">
        <f>IFERROR(_xlfn.XLOOKUP($A365,Planilha2!$J$2:$J$44,Planilha2!L$2:L$44,"",-1),"")</f>
        <v>BB</v>
      </c>
      <c r="F365" t="str">
        <f>IFERROR(_xlfn.XLOOKUP($A365,Planilha2!$J$2:$J$44,Planilha2!M$2:M$44,"",-1),"")</f>
        <v>BB</v>
      </c>
      <c r="G365" t="str" cm="1">
        <f t="array" ref="G365">IF($A365&lt;MIN(Planilha2!$J$2:$J$44),"",_xlfn.LET(_xlpm.t,_xlfn.XLOOKUP($A365,Planilha2!$J$2:$J$44,Planilha2!$N$2:$N$44,"",-1),_xlfn.IFS(ISNUMBER(SEARCH("positiva",_xlpm.t)),"Positiva",ISNUMBER(SEARCH("negativa",_xlpm.t)),"Negativa",ISNUMBER(SEARCH("estável",_xlpm.t)),"Estável",TRUE,"n/d")))</f>
        <v>Negativa</v>
      </c>
      <c r="H365" t="str">
        <f>IFERROR(_xlfn.XLOOKUP($A365,Planilha2!$P$2:$P$38,Planilha2!R$2:R$38,"",-1),"")</f>
        <v>BB</v>
      </c>
      <c r="I365" t="str">
        <f>IFERROR(_xlfn.XLOOKUP($A365,Planilha2!$P$2:$P$38,Planilha2!S$2:S$38,"",-1),"")</f>
        <v>BB</v>
      </c>
      <c r="J365" t="str" cm="1">
        <f t="array" ref="J365">IF($A365&lt;MIN(Planilha2!$P$2:$P$38),"",_xlfn.LET(_xlpm.t,_xlfn.XLOOKUP($A365,Planilha2!$P$2:$P$38,Planilha2!$T$2:$T$38,"",-1),_xlfn.IFS(ISNUMBER(SEARCH("positiva",_xlpm.t)),"Positiva",ISNUMBER(SEARCH("negativa",_xlpm.t)),"Negativa",ISNUMBER(SEARCH("estável",_xlpm.t)),"Estável",TRUE,"n/d")))</f>
        <v>Negativa</v>
      </c>
      <c r="L365" s="52">
        <f>IFERROR(_xlfn.XLOOKUP(B365,'Agências de Rating Soberano'!$G$2:$G$22,'Agências de Rating Soberano'!$H$2:$H$22),NA())</f>
        <v>10</v>
      </c>
      <c r="M365" s="52">
        <f>IFERROR(_xlfn.XLOOKUP(C365,'Agências de Rating Soberano'!$G$2:$G$22,'Agências de Rating Soberano'!$H$2:$H$22),NA())</f>
        <v>10</v>
      </c>
      <c r="N365" s="52">
        <f>IFERROR(_xlfn.XLOOKUP(E365,'Agências de Rating Soberano'!$J$2:$J$22,'Agências de Rating Soberano'!$K$2:$K$22),NA())</f>
        <v>10</v>
      </c>
      <c r="O365" s="52">
        <f>IFERROR(_xlfn.XLOOKUP(F365,'Agências de Rating Soberano'!$J$2:$J$22,'Agências de Rating Soberano'!$K$2:$K$22),NA())</f>
        <v>10</v>
      </c>
      <c r="P365" s="52">
        <f>IFERROR(_xlfn.XLOOKUP(H365,'Agências de Rating Soberano'!$J$2:$J$22,'Agências de Rating Soberano'!$K$2:$K$22),NA())</f>
        <v>10</v>
      </c>
      <c r="Q365" s="52">
        <f>IFERROR(_xlfn.XLOOKUP(I365,'Agências de Rating Soberano'!$J$2:$J$22,'Agências de Rating Soberano'!$K$2:$K$22),NA())</f>
        <v>10</v>
      </c>
    </row>
    <row r="366" spans="1:17" x14ac:dyDescent="0.3">
      <c r="A366" s="53">
        <f t="shared" si="12"/>
        <v>42825</v>
      </c>
      <c r="B366" t="str">
        <f>IFERROR(_xlfn.XLOOKUP($A366,Planilha2!$A$2:$A$34,Planilha2!C$2:C$34,"",-1),"")</f>
        <v>Ba2</v>
      </c>
      <c r="C366" t="str">
        <f>IFERROR(_xlfn.XLOOKUP($A366,Planilha2!$A$2:$A$34,Planilha2!D$2:D$34,"",-1),"")</f>
        <v>Ba2</v>
      </c>
      <c r="D366" t="str" cm="1">
        <f t="array" ref="D366">IF($A366&lt;MIN(Planilha2!$A$2:$A$34),"",_xlfn.LET(_xlpm.t,_xlfn.XLOOKUP($A366,Planilha2!$A$2:$A$34,Planilha2!$E$2:$E$34,"",-1),_xlfn.IFS(ISNUMBER(SEARCH("positiva",_xlpm.t)),"Positiva",ISNUMBER(SEARCH("negativa",_xlpm.t)),"Negativa",ISNUMBER(SEARCH("estável",_xlpm.t)),"Estável",TRUE,"n/d")))</f>
        <v>Estável</v>
      </c>
      <c r="E366" t="str">
        <f>IFERROR(_xlfn.XLOOKUP($A366,Planilha2!$J$2:$J$44,Planilha2!L$2:L$44,"",-1),"")</f>
        <v>BB</v>
      </c>
      <c r="F366" t="str">
        <f>IFERROR(_xlfn.XLOOKUP($A366,Planilha2!$J$2:$J$44,Planilha2!M$2:M$44,"",-1),"")</f>
        <v>BB</v>
      </c>
      <c r="G366" t="str" cm="1">
        <f t="array" ref="G366">IF($A366&lt;MIN(Planilha2!$J$2:$J$44),"",_xlfn.LET(_xlpm.t,_xlfn.XLOOKUP($A366,Planilha2!$J$2:$J$44,Planilha2!$N$2:$N$44,"",-1),_xlfn.IFS(ISNUMBER(SEARCH("positiva",_xlpm.t)),"Positiva",ISNUMBER(SEARCH("negativa",_xlpm.t)),"Negativa",ISNUMBER(SEARCH("estável",_xlpm.t)),"Estável",TRUE,"n/d")))</f>
        <v>Negativa</v>
      </c>
      <c r="H366" t="str">
        <f>IFERROR(_xlfn.XLOOKUP($A366,Planilha2!$P$2:$P$38,Planilha2!R$2:R$38,"",-1),"")</f>
        <v>BB</v>
      </c>
      <c r="I366" t="str">
        <f>IFERROR(_xlfn.XLOOKUP($A366,Planilha2!$P$2:$P$38,Planilha2!S$2:S$38,"",-1),"")</f>
        <v>BB</v>
      </c>
      <c r="J366" t="str" cm="1">
        <f t="array" ref="J366">IF($A366&lt;MIN(Planilha2!$P$2:$P$38),"",_xlfn.LET(_xlpm.t,_xlfn.XLOOKUP($A366,Planilha2!$P$2:$P$38,Planilha2!$T$2:$T$38,"",-1),_xlfn.IFS(ISNUMBER(SEARCH("positiva",_xlpm.t)),"Positiva",ISNUMBER(SEARCH("negativa",_xlpm.t)),"Negativa",ISNUMBER(SEARCH("estável",_xlpm.t)),"Estável",TRUE,"n/d")))</f>
        <v>Negativa</v>
      </c>
      <c r="L366" s="52">
        <f>IFERROR(_xlfn.XLOOKUP(B366,'Agências de Rating Soberano'!$G$2:$G$22,'Agências de Rating Soberano'!$H$2:$H$22),NA())</f>
        <v>10</v>
      </c>
      <c r="M366" s="52">
        <f>IFERROR(_xlfn.XLOOKUP(C366,'Agências de Rating Soberano'!$G$2:$G$22,'Agências de Rating Soberano'!$H$2:$H$22),NA())</f>
        <v>10</v>
      </c>
      <c r="N366" s="52">
        <f>IFERROR(_xlfn.XLOOKUP(E366,'Agências de Rating Soberano'!$J$2:$J$22,'Agências de Rating Soberano'!$K$2:$K$22),NA())</f>
        <v>10</v>
      </c>
      <c r="O366" s="52">
        <f>IFERROR(_xlfn.XLOOKUP(F366,'Agências de Rating Soberano'!$J$2:$J$22,'Agências de Rating Soberano'!$K$2:$K$22),NA())</f>
        <v>10</v>
      </c>
      <c r="P366" s="52">
        <f>IFERROR(_xlfn.XLOOKUP(H366,'Agências de Rating Soberano'!$J$2:$J$22,'Agências de Rating Soberano'!$K$2:$K$22),NA())</f>
        <v>10</v>
      </c>
      <c r="Q366" s="52">
        <f>IFERROR(_xlfn.XLOOKUP(I366,'Agências de Rating Soberano'!$J$2:$J$22,'Agências de Rating Soberano'!$K$2:$K$22),NA())</f>
        <v>10</v>
      </c>
    </row>
    <row r="367" spans="1:17" x14ac:dyDescent="0.3">
      <c r="A367" s="53">
        <f t="shared" si="12"/>
        <v>42855</v>
      </c>
      <c r="B367" t="str">
        <f>IFERROR(_xlfn.XLOOKUP($A367,Planilha2!$A$2:$A$34,Planilha2!C$2:C$34,"",-1),"")</f>
        <v>Ba2</v>
      </c>
      <c r="C367" t="str">
        <f>IFERROR(_xlfn.XLOOKUP($A367,Planilha2!$A$2:$A$34,Planilha2!D$2:D$34,"",-1),"")</f>
        <v>Ba2</v>
      </c>
      <c r="D367" t="str" cm="1">
        <f t="array" ref="D367">IF($A367&lt;MIN(Planilha2!$A$2:$A$34),"",_xlfn.LET(_xlpm.t,_xlfn.XLOOKUP($A367,Planilha2!$A$2:$A$34,Planilha2!$E$2:$E$34,"",-1),_xlfn.IFS(ISNUMBER(SEARCH("positiva",_xlpm.t)),"Positiva",ISNUMBER(SEARCH("negativa",_xlpm.t)),"Negativa",ISNUMBER(SEARCH("estável",_xlpm.t)),"Estável",TRUE,"n/d")))</f>
        <v>Estável</v>
      </c>
      <c r="E367" t="str">
        <f>IFERROR(_xlfn.XLOOKUP($A367,Planilha2!$J$2:$J$44,Planilha2!L$2:L$44,"",-1),"")</f>
        <v>BB</v>
      </c>
      <c r="F367" t="str">
        <f>IFERROR(_xlfn.XLOOKUP($A367,Planilha2!$J$2:$J$44,Planilha2!M$2:M$44,"",-1),"")</f>
        <v>BB</v>
      </c>
      <c r="G367" t="str" cm="1">
        <f t="array" ref="G367">IF($A367&lt;MIN(Planilha2!$J$2:$J$44),"",_xlfn.LET(_xlpm.t,_xlfn.XLOOKUP($A367,Planilha2!$J$2:$J$44,Planilha2!$N$2:$N$44,"",-1),_xlfn.IFS(ISNUMBER(SEARCH("positiva",_xlpm.t)),"Positiva",ISNUMBER(SEARCH("negativa",_xlpm.t)),"Negativa",ISNUMBER(SEARCH("estável",_xlpm.t)),"Estável",TRUE,"n/d")))</f>
        <v>Negativa</v>
      </c>
      <c r="H367" t="str">
        <f>IFERROR(_xlfn.XLOOKUP($A367,Planilha2!$P$2:$P$38,Planilha2!R$2:R$38,"",-1),"")</f>
        <v>BB</v>
      </c>
      <c r="I367" t="str">
        <f>IFERROR(_xlfn.XLOOKUP($A367,Planilha2!$P$2:$P$38,Planilha2!S$2:S$38,"",-1),"")</f>
        <v>BB</v>
      </c>
      <c r="J367" t="str" cm="1">
        <f t="array" ref="J367">IF($A367&lt;MIN(Planilha2!$P$2:$P$38),"",_xlfn.LET(_xlpm.t,_xlfn.XLOOKUP($A367,Planilha2!$P$2:$P$38,Planilha2!$T$2:$T$38,"",-1),_xlfn.IFS(ISNUMBER(SEARCH("positiva",_xlpm.t)),"Positiva",ISNUMBER(SEARCH("negativa",_xlpm.t)),"Negativa",ISNUMBER(SEARCH("estável",_xlpm.t)),"Estável",TRUE,"n/d")))</f>
        <v>Negativa</v>
      </c>
      <c r="L367" s="52">
        <f>IFERROR(_xlfn.XLOOKUP(B367,'Agências de Rating Soberano'!$G$2:$G$22,'Agências de Rating Soberano'!$H$2:$H$22),NA())</f>
        <v>10</v>
      </c>
      <c r="M367" s="52">
        <f>IFERROR(_xlfn.XLOOKUP(C367,'Agências de Rating Soberano'!$G$2:$G$22,'Agências de Rating Soberano'!$H$2:$H$22),NA())</f>
        <v>10</v>
      </c>
      <c r="N367" s="52">
        <f>IFERROR(_xlfn.XLOOKUP(E367,'Agências de Rating Soberano'!$J$2:$J$22,'Agências de Rating Soberano'!$K$2:$K$22),NA())</f>
        <v>10</v>
      </c>
      <c r="O367" s="52">
        <f>IFERROR(_xlfn.XLOOKUP(F367,'Agências de Rating Soberano'!$J$2:$J$22,'Agências de Rating Soberano'!$K$2:$K$22),NA())</f>
        <v>10</v>
      </c>
      <c r="P367" s="52">
        <f>IFERROR(_xlfn.XLOOKUP(H367,'Agências de Rating Soberano'!$J$2:$J$22,'Agências de Rating Soberano'!$K$2:$K$22),NA())</f>
        <v>10</v>
      </c>
      <c r="Q367" s="52">
        <f>IFERROR(_xlfn.XLOOKUP(I367,'Agências de Rating Soberano'!$J$2:$J$22,'Agências de Rating Soberano'!$K$2:$K$22),NA())</f>
        <v>10</v>
      </c>
    </row>
    <row r="368" spans="1:17" x14ac:dyDescent="0.3">
      <c r="A368" s="53">
        <f t="shared" si="12"/>
        <v>42886</v>
      </c>
      <c r="B368" t="str">
        <f>IFERROR(_xlfn.XLOOKUP($A368,Planilha2!$A$2:$A$34,Planilha2!C$2:C$34,"",-1),"")</f>
        <v>Ba2</v>
      </c>
      <c r="C368" t="str">
        <f>IFERROR(_xlfn.XLOOKUP($A368,Planilha2!$A$2:$A$34,Planilha2!D$2:D$34,"",-1),"")</f>
        <v>Ba2</v>
      </c>
      <c r="D368" t="str" cm="1">
        <f t="array" ref="D368">IF($A368&lt;MIN(Planilha2!$A$2:$A$34),"",_xlfn.LET(_xlpm.t,_xlfn.XLOOKUP($A368,Planilha2!$A$2:$A$34,Planilha2!$E$2:$E$34,"",-1),_xlfn.IFS(ISNUMBER(SEARCH("positiva",_xlpm.t)),"Positiva",ISNUMBER(SEARCH("negativa",_xlpm.t)),"Negativa",ISNUMBER(SEARCH("estável",_xlpm.t)),"Estável",TRUE,"n/d")))</f>
        <v>Negativa</v>
      </c>
      <c r="E368" t="str">
        <f>IFERROR(_xlfn.XLOOKUP($A368,Planilha2!$J$2:$J$44,Planilha2!L$2:L$44,"",-1),"")</f>
        <v>BB</v>
      </c>
      <c r="F368" t="str">
        <f>IFERROR(_xlfn.XLOOKUP($A368,Planilha2!$J$2:$J$44,Planilha2!M$2:M$44,"",-1),"")</f>
        <v>BB</v>
      </c>
      <c r="G368" t="str" cm="1">
        <f t="array" ref="G368">IF($A368&lt;MIN(Planilha2!$J$2:$J$44),"",_xlfn.LET(_xlpm.t,_xlfn.XLOOKUP($A368,Planilha2!$J$2:$J$44,Planilha2!$N$2:$N$44,"",-1),_xlfn.IFS(ISNUMBER(SEARCH("positiva",_xlpm.t)),"Positiva",ISNUMBER(SEARCH("negativa",_xlpm.t)),"Negativa",ISNUMBER(SEARCH("estável",_xlpm.t)),"Estável",TRUE,"n/d")))</f>
        <v>Negativa</v>
      </c>
      <c r="H368" t="str">
        <f>IFERROR(_xlfn.XLOOKUP($A368,Planilha2!$P$2:$P$38,Planilha2!R$2:R$38,"",-1),"")</f>
        <v>BB</v>
      </c>
      <c r="I368" t="str">
        <f>IFERROR(_xlfn.XLOOKUP($A368,Planilha2!$P$2:$P$38,Planilha2!S$2:S$38,"",-1),"")</f>
        <v>BB</v>
      </c>
      <c r="J368" t="str" cm="1">
        <f t="array" ref="J368">IF($A368&lt;MIN(Planilha2!$P$2:$P$38),"",_xlfn.LET(_xlpm.t,_xlfn.XLOOKUP($A368,Planilha2!$P$2:$P$38,Planilha2!$T$2:$T$38,"",-1),_xlfn.IFS(ISNUMBER(SEARCH("positiva",_xlpm.t)),"Positiva",ISNUMBER(SEARCH("negativa",_xlpm.t)),"Negativa",ISNUMBER(SEARCH("estável",_xlpm.t)),"Estável",TRUE,"n/d")))</f>
        <v>Negativa</v>
      </c>
      <c r="L368" s="52">
        <f>IFERROR(_xlfn.XLOOKUP(B368,'Agências de Rating Soberano'!$G$2:$G$22,'Agências de Rating Soberano'!$H$2:$H$22),NA())</f>
        <v>10</v>
      </c>
      <c r="M368" s="52">
        <f>IFERROR(_xlfn.XLOOKUP(C368,'Agências de Rating Soberano'!$G$2:$G$22,'Agências de Rating Soberano'!$H$2:$H$22),NA())</f>
        <v>10</v>
      </c>
      <c r="N368" s="52">
        <f>IFERROR(_xlfn.XLOOKUP(E368,'Agências de Rating Soberano'!$J$2:$J$22,'Agências de Rating Soberano'!$K$2:$K$22),NA())</f>
        <v>10</v>
      </c>
      <c r="O368" s="52">
        <f>IFERROR(_xlfn.XLOOKUP(F368,'Agências de Rating Soberano'!$J$2:$J$22,'Agências de Rating Soberano'!$K$2:$K$22),NA())</f>
        <v>10</v>
      </c>
      <c r="P368" s="52">
        <f>IFERROR(_xlfn.XLOOKUP(H368,'Agências de Rating Soberano'!$J$2:$J$22,'Agências de Rating Soberano'!$K$2:$K$22),NA())</f>
        <v>10</v>
      </c>
      <c r="Q368" s="52">
        <f>IFERROR(_xlfn.XLOOKUP(I368,'Agências de Rating Soberano'!$J$2:$J$22,'Agências de Rating Soberano'!$K$2:$K$22),NA())</f>
        <v>10</v>
      </c>
    </row>
    <row r="369" spans="1:17" x14ac:dyDescent="0.3">
      <c r="A369" s="53">
        <f t="shared" si="12"/>
        <v>42916</v>
      </c>
      <c r="B369" t="str">
        <f>IFERROR(_xlfn.XLOOKUP($A369,Planilha2!$A$2:$A$34,Planilha2!C$2:C$34,"",-1),"")</f>
        <v>Ba2</v>
      </c>
      <c r="C369" t="str">
        <f>IFERROR(_xlfn.XLOOKUP($A369,Planilha2!$A$2:$A$34,Planilha2!D$2:D$34,"",-1),"")</f>
        <v>Ba2</v>
      </c>
      <c r="D369" t="str" cm="1">
        <f t="array" ref="D369">IF($A369&lt;MIN(Planilha2!$A$2:$A$34),"",_xlfn.LET(_xlpm.t,_xlfn.XLOOKUP($A369,Planilha2!$A$2:$A$34,Planilha2!$E$2:$E$34,"",-1),_xlfn.IFS(ISNUMBER(SEARCH("positiva",_xlpm.t)),"Positiva",ISNUMBER(SEARCH("negativa",_xlpm.t)),"Negativa",ISNUMBER(SEARCH("estável",_xlpm.t)),"Estável",TRUE,"n/d")))</f>
        <v>Negativa</v>
      </c>
      <c r="E369" t="str">
        <f>IFERROR(_xlfn.XLOOKUP($A369,Planilha2!$J$2:$J$44,Planilha2!L$2:L$44,"",-1),"")</f>
        <v>BB</v>
      </c>
      <c r="F369" t="str">
        <f>IFERROR(_xlfn.XLOOKUP($A369,Planilha2!$J$2:$J$44,Planilha2!M$2:M$44,"",-1),"")</f>
        <v>BB</v>
      </c>
      <c r="G369" t="str" cm="1">
        <f t="array" ref="G369">IF($A369&lt;MIN(Planilha2!$J$2:$J$44),"",_xlfn.LET(_xlpm.t,_xlfn.XLOOKUP($A369,Planilha2!$J$2:$J$44,Planilha2!$N$2:$N$44,"",-1),_xlfn.IFS(ISNUMBER(SEARCH("positiva",_xlpm.t)),"Positiva",ISNUMBER(SEARCH("negativa",_xlpm.t)),"Negativa",ISNUMBER(SEARCH("estável",_xlpm.t)),"Estável",TRUE,"n/d")))</f>
        <v>Negativa</v>
      </c>
      <c r="H369" t="str">
        <f>IFERROR(_xlfn.XLOOKUP($A369,Planilha2!$P$2:$P$38,Planilha2!R$2:R$38,"",-1),"")</f>
        <v>BB</v>
      </c>
      <c r="I369" t="str">
        <f>IFERROR(_xlfn.XLOOKUP($A369,Planilha2!$P$2:$P$38,Planilha2!S$2:S$38,"",-1),"")</f>
        <v>BB</v>
      </c>
      <c r="J369" t="str" cm="1">
        <f t="array" ref="J369">IF($A369&lt;MIN(Planilha2!$P$2:$P$38),"",_xlfn.LET(_xlpm.t,_xlfn.XLOOKUP($A369,Planilha2!$P$2:$P$38,Planilha2!$T$2:$T$38,"",-1),_xlfn.IFS(ISNUMBER(SEARCH("positiva",_xlpm.t)),"Positiva",ISNUMBER(SEARCH("negativa",_xlpm.t)),"Negativa",ISNUMBER(SEARCH("estável",_xlpm.t)),"Estável",TRUE,"n/d")))</f>
        <v>Negativa</v>
      </c>
      <c r="L369" s="52">
        <f>IFERROR(_xlfn.XLOOKUP(B369,'Agências de Rating Soberano'!$G$2:$G$22,'Agências de Rating Soberano'!$H$2:$H$22),NA())</f>
        <v>10</v>
      </c>
      <c r="M369" s="52">
        <f>IFERROR(_xlfn.XLOOKUP(C369,'Agências de Rating Soberano'!$G$2:$G$22,'Agências de Rating Soberano'!$H$2:$H$22),NA())</f>
        <v>10</v>
      </c>
      <c r="N369" s="52">
        <f>IFERROR(_xlfn.XLOOKUP(E369,'Agências de Rating Soberano'!$J$2:$J$22,'Agências de Rating Soberano'!$K$2:$K$22),NA())</f>
        <v>10</v>
      </c>
      <c r="O369" s="52">
        <f>IFERROR(_xlfn.XLOOKUP(F369,'Agências de Rating Soberano'!$J$2:$J$22,'Agências de Rating Soberano'!$K$2:$K$22),NA())</f>
        <v>10</v>
      </c>
      <c r="P369" s="52">
        <f>IFERROR(_xlfn.XLOOKUP(H369,'Agências de Rating Soberano'!$J$2:$J$22,'Agências de Rating Soberano'!$K$2:$K$22),NA())</f>
        <v>10</v>
      </c>
      <c r="Q369" s="52">
        <f>IFERROR(_xlfn.XLOOKUP(I369,'Agências de Rating Soberano'!$J$2:$J$22,'Agências de Rating Soberano'!$K$2:$K$22),NA())</f>
        <v>10</v>
      </c>
    </row>
    <row r="370" spans="1:17" x14ac:dyDescent="0.3">
      <c r="A370" s="53">
        <f t="shared" si="12"/>
        <v>42947</v>
      </c>
      <c r="B370" t="str">
        <f>IFERROR(_xlfn.XLOOKUP($A370,Planilha2!$A$2:$A$34,Planilha2!C$2:C$34,"",-1),"")</f>
        <v>Ba2</v>
      </c>
      <c r="C370" t="str">
        <f>IFERROR(_xlfn.XLOOKUP($A370,Planilha2!$A$2:$A$34,Planilha2!D$2:D$34,"",-1),"")</f>
        <v>Ba2</v>
      </c>
      <c r="D370" t="str" cm="1">
        <f t="array" ref="D370">IF($A370&lt;MIN(Planilha2!$A$2:$A$34),"",_xlfn.LET(_xlpm.t,_xlfn.XLOOKUP($A370,Planilha2!$A$2:$A$34,Planilha2!$E$2:$E$34,"",-1),_xlfn.IFS(ISNUMBER(SEARCH("positiva",_xlpm.t)),"Positiva",ISNUMBER(SEARCH("negativa",_xlpm.t)),"Negativa",ISNUMBER(SEARCH("estável",_xlpm.t)),"Estável",TRUE,"n/d")))</f>
        <v>Negativa</v>
      </c>
      <c r="E370" t="str">
        <f>IFERROR(_xlfn.XLOOKUP($A370,Planilha2!$J$2:$J$44,Planilha2!L$2:L$44,"",-1),"")</f>
        <v>BB</v>
      </c>
      <c r="F370" t="str">
        <f>IFERROR(_xlfn.XLOOKUP($A370,Planilha2!$J$2:$J$44,Planilha2!M$2:M$44,"",-1),"")</f>
        <v>BB</v>
      </c>
      <c r="G370" t="str" cm="1">
        <f t="array" ref="G370">IF($A370&lt;MIN(Planilha2!$J$2:$J$44),"",_xlfn.LET(_xlpm.t,_xlfn.XLOOKUP($A370,Planilha2!$J$2:$J$44,Planilha2!$N$2:$N$44,"",-1),_xlfn.IFS(ISNUMBER(SEARCH("positiva",_xlpm.t)),"Positiva",ISNUMBER(SEARCH("negativa",_xlpm.t)),"Negativa",ISNUMBER(SEARCH("estável",_xlpm.t)),"Estável",TRUE,"n/d")))</f>
        <v>Negativa</v>
      </c>
      <c r="H370" t="str">
        <f>IFERROR(_xlfn.XLOOKUP($A370,Planilha2!$P$2:$P$38,Planilha2!R$2:R$38,"",-1),"")</f>
        <v>BB</v>
      </c>
      <c r="I370" t="str">
        <f>IFERROR(_xlfn.XLOOKUP($A370,Planilha2!$P$2:$P$38,Planilha2!S$2:S$38,"",-1),"")</f>
        <v>BB</v>
      </c>
      <c r="J370" t="str" cm="1">
        <f t="array" ref="J370">IF($A370&lt;MIN(Planilha2!$P$2:$P$38),"",_xlfn.LET(_xlpm.t,_xlfn.XLOOKUP($A370,Planilha2!$P$2:$P$38,Planilha2!$T$2:$T$38,"",-1),_xlfn.IFS(ISNUMBER(SEARCH("positiva",_xlpm.t)),"Positiva",ISNUMBER(SEARCH("negativa",_xlpm.t)),"Negativa",ISNUMBER(SEARCH("estável",_xlpm.t)),"Estável",TRUE,"n/d")))</f>
        <v>Negativa</v>
      </c>
      <c r="L370" s="52">
        <f>IFERROR(_xlfn.XLOOKUP(B370,'Agências de Rating Soberano'!$G$2:$G$22,'Agências de Rating Soberano'!$H$2:$H$22),NA())</f>
        <v>10</v>
      </c>
      <c r="M370" s="52">
        <f>IFERROR(_xlfn.XLOOKUP(C370,'Agências de Rating Soberano'!$G$2:$G$22,'Agências de Rating Soberano'!$H$2:$H$22),NA())</f>
        <v>10</v>
      </c>
      <c r="N370" s="52">
        <f>IFERROR(_xlfn.XLOOKUP(E370,'Agências de Rating Soberano'!$J$2:$J$22,'Agências de Rating Soberano'!$K$2:$K$22),NA())</f>
        <v>10</v>
      </c>
      <c r="O370" s="52">
        <f>IFERROR(_xlfn.XLOOKUP(F370,'Agências de Rating Soberano'!$J$2:$J$22,'Agências de Rating Soberano'!$K$2:$K$22),NA())</f>
        <v>10</v>
      </c>
      <c r="P370" s="52">
        <f>IFERROR(_xlfn.XLOOKUP(H370,'Agências de Rating Soberano'!$J$2:$J$22,'Agências de Rating Soberano'!$K$2:$K$22),NA())</f>
        <v>10</v>
      </c>
      <c r="Q370" s="52">
        <f>IFERROR(_xlfn.XLOOKUP(I370,'Agências de Rating Soberano'!$J$2:$J$22,'Agências de Rating Soberano'!$K$2:$K$22),NA())</f>
        <v>10</v>
      </c>
    </row>
    <row r="371" spans="1:17" x14ac:dyDescent="0.3">
      <c r="A371" s="53">
        <f t="shared" si="12"/>
        <v>42978</v>
      </c>
      <c r="B371" t="str">
        <f>IFERROR(_xlfn.XLOOKUP($A371,Planilha2!$A$2:$A$34,Planilha2!C$2:C$34,"",-1),"")</f>
        <v>Ba2</v>
      </c>
      <c r="C371" t="str">
        <f>IFERROR(_xlfn.XLOOKUP($A371,Planilha2!$A$2:$A$34,Planilha2!D$2:D$34,"",-1),"")</f>
        <v>Ba2</v>
      </c>
      <c r="D371" t="str" cm="1">
        <f t="array" ref="D371">IF($A371&lt;MIN(Planilha2!$A$2:$A$34),"",_xlfn.LET(_xlpm.t,_xlfn.XLOOKUP($A371,Planilha2!$A$2:$A$34,Planilha2!$E$2:$E$34,"",-1),_xlfn.IFS(ISNUMBER(SEARCH("positiva",_xlpm.t)),"Positiva",ISNUMBER(SEARCH("negativa",_xlpm.t)),"Negativa",ISNUMBER(SEARCH("estável",_xlpm.t)),"Estável",TRUE,"n/d")))</f>
        <v>Negativa</v>
      </c>
      <c r="E371" t="str">
        <f>IFERROR(_xlfn.XLOOKUP($A371,Planilha2!$J$2:$J$44,Planilha2!L$2:L$44,"",-1),"")</f>
        <v>BB</v>
      </c>
      <c r="F371" t="str">
        <f>IFERROR(_xlfn.XLOOKUP($A371,Planilha2!$J$2:$J$44,Planilha2!M$2:M$44,"",-1),"")</f>
        <v>BB</v>
      </c>
      <c r="G371" t="str" cm="1">
        <f t="array" ref="G371">IF($A371&lt;MIN(Planilha2!$J$2:$J$44),"",_xlfn.LET(_xlpm.t,_xlfn.XLOOKUP($A371,Planilha2!$J$2:$J$44,Planilha2!$N$2:$N$44,"",-1),_xlfn.IFS(ISNUMBER(SEARCH("positiva",_xlpm.t)),"Positiva",ISNUMBER(SEARCH("negativa",_xlpm.t)),"Negativa",ISNUMBER(SEARCH("estável",_xlpm.t)),"Estável",TRUE,"n/d")))</f>
        <v>Negativa</v>
      </c>
      <c r="H371" t="str">
        <f>IFERROR(_xlfn.XLOOKUP($A371,Planilha2!$P$2:$P$38,Planilha2!R$2:R$38,"",-1),"")</f>
        <v>BB</v>
      </c>
      <c r="I371" t="str">
        <f>IFERROR(_xlfn.XLOOKUP($A371,Planilha2!$P$2:$P$38,Planilha2!S$2:S$38,"",-1),"")</f>
        <v>BB</v>
      </c>
      <c r="J371" t="str" cm="1">
        <f t="array" ref="J371">IF($A371&lt;MIN(Planilha2!$P$2:$P$38),"",_xlfn.LET(_xlpm.t,_xlfn.XLOOKUP($A371,Planilha2!$P$2:$P$38,Planilha2!$T$2:$T$38,"",-1),_xlfn.IFS(ISNUMBER(SEARCH("positiva",_xlpm.t)),"Positiva",ISNUMBER(SEARCH("negativa",_xlpm.t)),"Negativa",ISNUMBER(SEARCH("estável",_xlpm.t)),"Estável",TRUE,"n/d")))</f>
        <v>Negativa</v>
      </c>
      <c r="L371" s="52">
        <f>IFERROR(_xlfn.XLOOKUP(B371,'Agências de Rating Soberano'!$G$2:$G$22,'Agências de Rating Soberano'!$H$2:$H$22),NA())</f>
        <v>10</v>
      </c>
      <c r="M371" s="52">
        <f>IFERROR(_xlfn.XLOOKUP(C371,'Agências de Rating Soberano'!$G$2:$G$22,'Agências de Rating Soberano'!$H$2:$H$22),NA())</f>
        <v>10</v>
      </c>
      <c r="N371" s="52">
        <f>IFERROR(_xlfn.XLOOKUP(E371,'Agências de Rating Soberano'!$J$2:$J$22,'Agências de Rating Soberano'!$K$2:$K$22),NA())</f>
        <v>10</v>
      </c>
      <c r="O371" s="52">
        <f>IFERROR(_xlfn.XLOOKUP(F371,'Agências de Rating Soberano'!$J$2:$J$22,'Agências de Rating Soberano'!$K$2:$K$22),NA())</f>
        <v>10</v>
      </c>
      <c r="P371" s="52">
        <f>IFERROR(_xlfn.XLOOKUP(H371,'Agências de Rating Soberano'!$J$2:$J$22,'Agências de Rating Soberano'!$K$2:$K$22),NA())</f>
        <v>10</v>
      </c>
      <c r="Q371" s="52">
        <f>IFERROR(_xlfn.XLOOKUP(I371,'Agências de Rating Soberano'!$J$2:$J$22,'Agências de Rating Soberano'!$K$2:$K$22),NA())</f>
        <v>10</v>
      </c>
    </row>
    <row r="372" spans="1:17" x14ac:dyDescent="0.3">
      <c r="A372" s="53">
        <f t="shared" si="12"/>
        <v>43008</v>
      </c>
      <c r="B372" t="str">
        <f>IFERROR(_xlfn.XLOOKUP($A372,Planilha2!$A$2:$A$34,Planilha2!C$2:C$34,"",-1),"")</f>
        <v>Ba2</v>
      </c>
      <c r="C372" t="str">
        <f>IFERROR(_xlfn.XLOOKUP($A372,Planilha2!$A$2:$A$34,Planilha2!D$2:D$34,"",-1),"")</f>
        <v>Ba2</v>
      </c>
      <c r="D372" t="str" cm="1">
        <f t="array" ref="D372">IF($A372&lt;MIN(Planilha2!$A$2:$A$34),"",_xlfn.LET(_xlpm.t,_xlfn.XLOOKUP($A372,Planilha2!$A$2:$A$34,Planilha2!$E$2:$E$34,"",-1),_xlfn.IFS(ISNUMBER(SEARCH("positiva",_xlpm.t)),"Positiva",ISNUMBER(SEARCH("negativa",_xlpm.t)),"Negativa",ISNUMBER(SEARCH("estável",_xlpm.t)),"Estável",TRUE,"n/d")))</f>
        <v>Negativa</v>
      </c>
      <c r="E372" t="str">
        <f>IFERROR(_xlfn.XLOOKUP($A372,Planilha2!$J$2:$J$44,Planilha2!L$2:L$44,"",-1),"")</f>
        <v>BB</v>
      </c>
      <c r="F372" t="str">
        <f>IFERROR(_xlfn.XLOOKUP($A372,Planilha2!$J$2:$J$44,Planilha2!M$2:M$44,"",-1),"")</f>
        <v>BB</v>
      </c>
      <c r="G372" t="str" cm="1">
        <f t="array" ref="G372">IF($A372&lt;MIN(Planilha2!$J$2:$J$44),"",_xlfn.LET(_xlpm.t,_xlfn.XLOOKUP($A372,Planilha2!$J$2:$J$44,Planilha2!$N$2:$N$44,"",-1),_xlfn.IFS(ISNUMBER(SEARCH("positiva",_xlpm.t)),"Positiva",ISNUMBER(SEARCH("negativa",_xlpm.t)),"Negativa",ISNUMBER(SEARCH("estável",_xlpm.t)),"Estável",TRUE,"n/d")))</f>
        <v>Negativa</v>
      </c>
      <c r="H372" t="str">
        <f>IFERROR(_xlfn.XLOOKUP($A372,Planilha2!$P$2:$P$38,Planilha2!R$2:R$38,"",-1),"")</f>
        <v>BB</v>
      </c>
      <c r="I372" t="str">
        <f>IFERROR(_xlfn.XLOOKUP($A372,Planilha2!$P$2:$P$38,Planilha2!S$2:S$38,"",-1),"")</f>
        <v>BB</v>
      </c>
      <c r="J372" t="str" cm="1">
        <f t="array" ref="J372">IF($A372&lt;MIN(Planilha2!$P$2:$P$38),"",_xlfn.LET(_xlpm.t,_xlfn.XLOOKUP($A372,Planilha2!$P$2:$P$38,Planilha2!$T$2:$T$38,"",-1),_xlfn.IFS(ISNUMBER(SEARCH("positiva",_xlpm.t)),"Positiva",ISNUMBER(SEARCH("negativa",_xlpm.t)),"Negativa",ISNUMBER(SEARCH("estável",_xlpm.t)),"Estável",TRUE,"n/d")))</f>
        <v>Negativa</v>
      </c>
      <c r="L372" s="52">
        <f>IFERROR(_xlfn.XLOOKUP(B372,'Agências de Rating Soberano'!$G$2:$G$22,'Agências de Rating Soberano'!$H$2:$H$22),NA())</f>
        <v>10</v>
      </c>
      <c r="M372" s="52">
        <f>IFERROR(_xlfn.XLOOKUP(C372,'Agências de Rating Soberano'!$G$2:$G$22,'Agências de Rating Soberano'!$H$2:$H$22),NA())</f>
        <v>10</v>
      </c>
      <c r="N372" s="52">
        <f>IFERROR(_xlfn.XLOOKUP(E372,'Agências de Rating Soberano'!$J$2:$J$22,'Agências de Rating Soberano'!$K$2:$K$22),NA())</f>
        <v>10</v>
      </c>
      <c r="O372" s="52">
        <f>IFERROR(_xlfn.XLOOKUP(F372,'Agências de Rating Soberano'!$J$2:$J$22,'Agências de Rating Soberano'!$K$2:$K$22),NA())</f>
        <v>10</v>
      </c>
      <c r="P372" s="52">
        <f>IFERROR(_xlfn.XLOOKUP(H372,'Agências de Rating Soberano'!$J$2:$J$22,'Agências de Rating Soberano'!$K$2:$K$22),NA())</f>
        <v>10</v>
      </c>
      <c r="Q372" s="52">
        <f>IFERROR(_xlfn.XLOOKUP(I372,'Agências de Rating Soberano'!$J$2:$J$22,'Agências de Rating Soberano'!$K$2:$K$22),NA())</f>
        <v>10</v>
      </c>
    </row>
    <row r="373" spans="1:17" x14ac:dyDescent="0.3">
      <c r="A373" s="53">
        <f t="shared" si="12"/>
        <v>43039</v>
      </c>
      <c r="B373" t="str">
        <f>IFERROR(_xlfn.XLOOKUP($A373,Planilha2!$A$2:$A$34,Planilha2!C$2:C$34,"",-1),"")</f>
        <v>Ba2</v>
      </c>
      <c r="C373" t="str">
        <f>IFERROR(_xlfn.XLOOKUP($A373,Planilha2!$A$2:$A$34,Planilha2!D$2:D$34,"",-1),"")</f>
        <v>Ba2</v>
      </c>
      <c r="D373" t="str" cm="1">
        <f t="array" ref="D373">IF($A373&lt;MIN(Planilha2!$A$2:$A$34),"",_xlfn.LET(_xlpm.t,_xlfn.XLOOKUP($A373,Planilha2!$A$2:$A$34,Planilha2!$E$2:$E$34,"",-1),_xlfn.IFS(ISNUMBER(SEARCH("positiva",_xlpm.t)),"Positiva",ISNUMBER(SEARCH("negativa",_xlpm.t)),"Negativa",ISNUMBER(SEARCH("estável",_xlpm.t)),"Estável",TRUE,"n/d")))</f>
        <v>Negativa</v>
      </c>
      <c r="E373" t="str">
        <f>IFERROR(_xlfn.XLOOKUP($A373,Planilha2!$J$2:$J$44,Planilha2!L$2:L$44,"",-1),"")</f>
        <v>BB</v>
      </c>
      <c r="F373" t="str">
        <f>IFERROR(_xlfn.XLOOKUP($A373,Planilha2!$J$2:$J$44,Planilha2!M$2:M$44,"",-1),"")</f>
        <v>BB</v>
      </c>
      <c r="G373" t="str" cm="1">
        <f t="array" ref="G373">IF($A373&lt;MIN(Planilha2!$J$2:$J$44),"",_xlfn.LET(_xlpm.t,_xlfn.XLOOKUP($A373,Planilha2!$J$2:$J$44,Planilha2!$N$2:$N$44,"",-1),_xlfn.IFS(ISNUMBER(SEARCH("positiva",_xlpm.t)),"Positiva",ISNUMBER(SEARCH("negativa",_xlpm.t)),"Negativa",ISNUMBER(SEARCH("estável",_xlpm.t)),"Estável",TRUE,"n/d")))</f>
        <v>Negativa</v>
      </c>
      <c r="H373" t="str">
        <f>IFERROR(_xlfn.XLOOKUP($A373,Planilha2!$P$2:$P$38,Planilha2!R$2:R$38,"",-1),"")</f>
        <v>BB</v>
      </c>
      <c r="I373" t="str">
        <f>IFERROR(_xlfn.XLOOKUP($A373,Planilha2!$P$2:$P$38,Planilha2!S$2:S$38,"",-1),"")</f>
        <v>BB</v>
      </c>
      <c r="J373" t="str" cm="1">
        <f t="array" ref="J373">IF($A373&lt;MIN(Planilha2!$P$2:$P$38),"",_xlfn.LET(_xlpm.t,_xlfn.XLOOKUP($A373,Planilha2!$P$2:$P$38,Planilha2!$T$2:$T$38,"",-1),_xlfn.IFS(ISNUMBER(SEARCH("positiva",_xlpm.t)),"Positiva",ISNUMBER(SEARCH("negativa",_xlpm.t)),"Negativa",ISNUMBER(SEARCH("estável",_xlpm.t)),"Estável",TRUE,"n/d")))</f>
        <v>Negativa</v>
      </c>
      <c r="L373" s="52">
        <f>IFERROR(_xlfn.XLOOKUP(B373,'Agências de Rating Soberano'!$G$2:$G$22,'Agências de Rating Soberano'!$H$2:$H$22),NA())</f>
        <v>10</v>
      </c>
      <c r="M373" s="52">
        <f>IFERROR(_xlfn.XLOOKUP(C373,'Agências de Rating Soberano'!$G$2:$G$22,'Agências de Rating Soberano'!$H$2:$H$22),NA())</f>
        <v>10</v>
      </c>
      <c r="N373" s="52">
        <f>IFERROR(_xlfn.XLOOKUP(E373,'Agências de Rating Soberano'!$J$2:$J$22,'Agências de Rating Soberano'!$K$2:$K$22),NA())</f>
        <v>10</v>
      </c>
      <c r="O373" s="52">
        <f>IFERROR(_xlfn.XLOOKUP(F373,'Agências de Rating Soberano'!$J$2:$J$22,'Agências de Rating Soberano'!$K$2:$K$22),NA())</f>
        <v>10</v>
      </c>
      <c r="P373" s="52">
        <f>IFERROR(_xlfn.XLOOKUP(H373,'Agências de Rating Soberano'!$J$2:$J$22,'Agências de Rating Soberano'!$K$2:$K$22),NA())</f>
        <v>10</v>
      </c>
      <c r="Q373" s="52">
        <f>IFERROR(_xlfn.XLOOKUP(I373,'Agências de Rating Soberano'!$J$2:$J$22,'Agências de Rating Soberano'!$K$2:$K$22),NA())</f>
        <v>10</v>
      </c>
    </row>
    <row r="374" spans="1:17" x14ac:dyDescent="0.3">
      <c r="A374" s="53">
        <f t="shared" si="12"/>
        <v>43069</v>
      </c>
      <c r="B374" t="str">
        <f>IFERROR(_xlfn.XLOOKUP($A374,Planilha2!$A$2:$A$34,Planilha2!C$2:C$34,"",-1),"")</f>
        <v>Ba2</v>
      </c>
      <c r="C374" t="str">
        <f>IFERROR(_xlfn.XLOOKUP($A374,Planilha2!$A$2:$A$34,Planilha2!D$2:D$34,"",-1),"")</f>
        <v>Ba2</v>
      </c>
      <c r="D374" t="str" cm="1">
        <f t="array" ref="D374">IF($A374&lt;MIN(Planilha2!$A$2:$A$34),"",_xlfn.LET(_xlpm.t,_xlfn.XLOOKUP($A374,Planilha2!$A$2:$A$34,Planilha2!$E$2:$E$34,"",-1),_xlfn.IFS(ISNUMBER(SEARCH("positiva",_xlpm.t)),"Positiva",ISNUMBER(SEARCH("negativa",_xlpm.t)),"Negativa",ISNUMBER(SEARCH("estável",_xlpm.t)),"Estável",TRUE,"n/d")))</f>
        <v>Negativa</v>
      </c>
      <c r="E374" t="str">
        <f>IFERROR(_xlfn.XLOOKUP($A374,Planilha2!$J$2:$J$44,Planilha2!L$2:L$44,"",-1),"")</f>
        <v>BB</v>
      </c>
      <c r="F374" t="str">
        <f>IFERROR(_xlfn.XLOOKUP($A374,Planilha2!$J$2:$J$44,Planilha2!M$2:M$44,"",-1),"")</f>
        <v>BB</v>
      </c>
      <c r="G374" t="str" cm="1">
        <f t="array" ref="G374">IF($A374&lt;MIN(Planilha2!$J$2:$J$44),"",_xlfn.LET(_xlpm.t,_xlfn.XLOOKUP($A374,Planilha2!$J$2:$J$44,Planilha2!$N$2:$N$44,"",-1),_xlfn.IFS(ISNUMBER(SEARCH("positiva",_xlpm.t)),"Positiva",ISNUMBER(SEARCH("negativa",_xlpm.t)),"Negativa",ISNUMBER(SEARCH("estável",_xlpm.t)),"Estável",TRUE,"n/d")))</f>
        <v>Negativa</v>
      </c>
      <c r="H374" t="str">
        <f>IFERROR(_xlfn.XLOOKUP($A374,Planilha2!$P$2:$P$38,Planilha2!R$2:R$38,"",-1),"")</f>
        <v>BB</v>
      </c>
      <c r="I374" t="str">
        <f>IFERROR(_xlfn.XLOOKUP($A374,Planilha2!$P$2:$P$38,Planilha2!S$2:S$38,"",-1),"")</f>
        <v>BB</v>
      </c>
      <c r="J374" t="str" cm="1">
        <f t="array" ref="J374">IF($A374&lt;MIN(Planilha2!$P$2:$P$38),"",_xlfn.LET(_xlpm.t,_xlfn.XLOOKUP($A374,Planilha2!$P$2:$P$38,Planilha2!$T$2:$T$38,"",-1),_xlfn.IFS(ISNUMBER(SEARCH("positiva",_xlpm.t)),"Positiva",ISNUMBER(SEARCH("negativa",_xlpm.t)),"Negativa",ISNUMBER(SEARCH("estável",_xlpm.t)),"Estável",TRUE,"n/d")))</f>
        <v>Negativa</v>
      </c>
      <c r="L374" s="52">
        <f>IFERROR(_xlfn.XLOOKUP(B374,'Agências de Rating Soberano'!$G$2:$G$22,'Agências de Rating Soberano'!$H$2:$H$22),NA())</f>
        <v>10</v>
      </c>
      <c r="M374" s="52">
        <f>IFERROR(_xlfn.XLOOKUP(C374,'Agências de Rating Soberano'!$G$2:$G$22,'Agências de Rating Soberano'!$H$2:$H$22),NA())</f>
        <v>10</v>
      </c>
      <c r="N374" s="52">
        <f>IFERROR(_xlfn.XLOOKUP(E374,'Agências de Rating Soberano'!$J$2:$J$22,'Agências de Rating Soberano'!$K$2:$K$22),NA())</f>
        <v>10</v>
      </c>
      <c r="O374" s="52">
        <f>IFERROR(_xlfn.XLOOKUP(F374,'Agências de Rating Soberano'!$J$2:$J$22,'Agências de Rating Soberano'!$K$2:$K$22),NA())</f>
        <v>10</v>
      </c>
      <c r="P374" s="52">
        <f>IFERROR(_xlfn.XLOOKUP(H374,'Agências de Rating Soberano'!$J$2:$J$22,'Agências de Rating Soberano'!$K$2:$K$22),NA())</f>
        <v>10</v>
      </c>
      <c r="Q374" s="52">
        <f>IFERROR(_xlfn.XLOOKUP(I374,'Agências de Rating Soberano'!$J$2:$J$22,'Agências de Rating Soberano'!$K$2:$K$22),NA())</f>
        <v>10</v>
      </c>
    </row>
    <row r="375" spans="1:17" x14ac:dyDescent="0.3">
      <c r="A375" s="53">
        <f t="shared" si="12"/>
        <v>43100</v>
      </c>
      <c r="B375" t="str">
        <f>IFERROR(_xlfn.XLOOKUP($A375,Planilha2!$A$2:$A$34,Planilha2!C$2:C$34,"",-1),"")</f>
        <v>Ba2</v>
      </c>
      <c r="C375" t="str">
        <f>IFERROR(_xlfn.XLOOKUP($A375,Planilha2!$A$2:$A$34,Planilha2!D$2:D$34,"",-1),"")</f>
        <v>Ba2</v>
      </c>
      <c r="D375" t="str" cm="1">
        <f t="array" ref="D375">IF($A375&lt;MIN(Planilha2!$A$2:$A$34),"",_xlfn.LET(_xlpm.t,_xlfn.XLOOKUP($A375,Planilha2!$A$2:$A$34,Planilha2!$E$2:$E$34,"",-1),_xlfn.IFS(ISNUMBER(SEARCH("positiva",_xlpm.t)),"Positiva",ISNUMBER(SEARCH("negativa",_xlpm.t)),"Negativa",ISNUMBER(SEARCH("estável",_xlpm.t)),"Estável",TRUE,"n/d")))</f>
        <v>Negativa</v>
      </c>
      <c r="E375" t="str">
        <f>IFERROR(_xlfn.XLOOKUP($A375,Planilha2!$J$2:$J$44,Planilha2!L$2:L$44,"",-1),"")</f>
        <v>BB</v>
      </c>
      <c r="F375" t="str">
        <f>IFERROR(_xlfn.XLOOKUP($A375,Planilha2!$J$2:$J$44,Planilha2!M$2:M$44,"",-1),"")</f>
        <v>BB</v>
      </c>
      <c r="G375" t="str" cm="1">
        <f t="array" ref="G375">IF($A375&lt;MIN(Planilha2!$J$2:$J$44),"",_xlfn.LET(_xlpm.t,_xlfn.XLOOKUP($A375,Planilha2!$J$2:$J$44,Planilha2!$N$2:$N$44,"",-1),_xlfn.IFS(ISNUMBER(SEARCH("positiva",_xlpm.t)),"Positiva",ISNUMBER(SEARCH("negativa",_xlpm.t)),"Negativa",ISNUMBER(SEARCH("estável",_xlpm.t)),"Estável",TRUE,"n/d")))</f>
        <v>Negativa</v>
      </c>
      <c r="H375" t="str">
        <f>IFERROR(_xlfn.XLOOKUP($A375,Planilha2!$P$2:$P$38,Planilha2!R$2:R$38,"",-1),"")</f>
        <v>BB</v>
      </c>
      <c r="I375" t="str">
        <f>IFERROR(_xlfn.XLOOKUP($A375,Planilha2!$P$2:$P$38,Planilha2!S$2:S$38,"",-1),"")</f>
        <v>BB</v>
      </c>
      <c r="J375" t="str" cm="1">
        <f t="array" ref="J375">IF($A375&lt;MIN(Planilha2!$P$2:$P$38),"",_xlfn.LET(_xlpm.t,_xlfn.XLOOKUP($A375,Planilha2!$P$2:$P$38,Planilha2!$T$2:$T$38,"",-1),_xlfn.IFS(ISNUMBER(SEARCH("positiva",_xlpm.t)),"Positiva",ISNUMBER(SEARCH("negativa",_xlpm.t)),"Negativa",ISNUMBER(SEARCH("estável",_xlpm.t)),"Estável",TRUE,"n/d")))</f>
        <v>Negativa</v>
      </c>
      <c r="L375" s="52">
        <f>IFERROR(_xlfn.XLOOKUP(B375,'Agências de Rating Soberano'!$G$2:$G$22,'Agências de Rating Soberano'!$H$2:$H$22),NA())</f>
        <v>10</v>
      </c>
      <c r="M375" s="52">
        <f>IFERROR(_xlfn.XLOOKUP(C375,'Agências de Rating Soberano'!$G$2:$G$22,'Agências de Rating Soberano'!$H$2:$H$22),NA())</f>
        <v>10</v>
      </c>
      <c r="N375" s="52">
        <f>IFERROR(_xlfn.XLOOKUP(E375,'Agências de Rating Soberano'!$J$2:$J$22,'Agências de Rating Soberano'!$K$2:$K$22),NA())</f>
        <v>10</v>
      </c>
      <c r="O375" s="52">
        <f>IFERROR(_xlfn.XLOOKUP(F375,'Agências de Rating Soberano'!$J$2:$J$22,'Agências de Rating Soberano'!$K$2:$K$22),NA())</f>
        <v>10</v>
      </c>
      <c r="P375" s="52">
        <f>IFERROR(_xlfn.XLOOKUP(H375,'Agências de Rating Soberano'!$J$2:$J$22,'Agências de Rating Soberano'!$K$2:$K$22),NA())</f>
        <v>10</v>
      </c>
      <c r="Q375" s="52">
        <f>IFERROR(_xlfn.XLOOKUP(I375,'Agências de Rating Soberano'!$J$2:$J$22,'Agências de Rating Soberano'!$K$2:$K$22),NA())</f>
        <v>10</v>
      </c>
    </row>
    <row r="376" spans="1:17" x14ac:dyDescent="0.3">
      <c r="A376" s="53">
        <f t="shared" si="12"/>
        <v>43131</v>
      </c>
      <c r="B376" t="str">
        <f>IFERROR(_xlfn.XLOOKUP($A376,Planilha2!$A$2:$A$34,Planilha2!C$2:C$34,"",-1),"")</f>
        <v>Ba2</v>
      </c>
      <c r="C376" t="str">
        <f>IFERROR(_xlfn.XLOOKUP($A376,Planilha2!$A$2:$A$34,Planilha2!D$2:D$34,"",-1),"")</f>
        <v>Ba2</v>
      </c>
      <c r="D376" t="str" cm="1">
        <f t="array" ref="D376">IF($A376&lt;MIN(Planilha2!$A$2:$A$34),"",_xlfn.LET(_xlpm.t,_xlfn.XLOOKUP($A376,Planilha2!$A$2:$A$34,Planilha2!$E$2:$E$34,"",-1),_xlfn.IFS(ISNUMBER(SEARCH("positiva",_xlpm.t)),"Positiva",ISNUMBER(SEARCH("negativa",_xlpm.t)),"Negativa",ISNUMBER(SEARCH("estável",_xlpm.t)),"Estável",TRUE,"n/d")))</f>
        <v>Negativa</v>
      </c>
      <c r="E376" t="str">
        <f>IFERROR(_xlfn.XLOOKUP($A376,Planilha2!$J$2:$J$44,Planilha2!L$2:L$44,"",-1),"")</f>
        <v>BB</v>
      </c>
      <c r="F376" t="str">
        <f>IFERROR(_xlfn.XLOOKUP($A376,Planilha2!$J$2:$J$44,Planilha2!M$2:M$44,"",-1),"")</f>
        <v>BB</v>
      </c>
      <c r="G376" t="str" cm="1">
        <f t="array" ref="G376">IF($A376&lt;MIN(Planilha2!$J$2:$J$44),"",_xlfn.LET(_xlpm.t,_xlfn.XLOOKUP($A376,Planilha2!$J$2:$J$44,Planilha2!$N$2:$N$44,"",-1),_xlfn.IFS(ISNUMBER(SEARCH("positiva",_xlpm.t)),"Positiva",ISNUMBER(SEARCH("negativa",_xlpm.t)),"Negativa",ISNUMBER(SEARCH("estável",_xlpm.t)),"Estável",TRUE,"n/d")))</f>
        <v>Negativa</v>
      </c>
      <c r="H376" t="str">
        <f>IFERROR(_xlfn.XLOOKUP($A376,Planilha2!$P$2:$P$38,Planilha2!R$2:R$38,"",-1),"")</f>
        <v>BB-</v>
      </c>
      <c r="I376" t="str">
        <f>IFERROR(_xlfn.XLOOKUP($A376,Planilha2!$P$2:$P$38,Planilha2!S$2:S$38,"",-1),"")</f>
        <v>BB-</v>
      </c>
      <c r="J376" t="str" cm="1">
        <f t="array" ref="J376">IF($A376&lt;MIN(Planilha2!$P$2:$P$38),"",_xlfn.LET(_xlpm.t,_xlfn.XLOOKUP($A376,Planilha2!$P$2:$P$38,Planilha2!$T$2:$T$38,"",-1),_xlfn.IFS(ISNUMBER(SEARCH("positiva",_xlpm.t)),"Positiva",ISNUMBER(SEARCH("negativa",_xlpm.t)),"Negativa",ISNUMBER(SEARCH("estável",_xlpm.t)),"Estável",TRUE,"n/d")))</f>
        <v>Estável</v>
      </c>
      <c r="L376" s="52">
        <f>IFERROR(_xlfn.XLOOKUP(B376,'Agências de Rating Soberano'!$G$2:$G$22,'Agências de Rating Soberano'!$H$2:$H$22),NA())</f>
        <v>10</v>
      </c>
      <c r="M376" s="52">
        <f>IFERROR(_xlfn.XLOOKUP(C376,'Agências de Rating Soberano'!$G$2:$G$22,'Agências de Rating Soberano'!$H$2:$H$22),NA())</f>
        <v>10</v>
      </c>
      <c r="N376" s="52">
        <f>IFERROR(_xlfn.XLOOKUP(E376,'Agências de Rating Soberano'!$J$2:$J$22,'Agências de Rating Soberano'!$K$2:$K$22),NA())</f>
        <v>10</v>
      </c>
      <c r="O376" s="52">
        <f>IFERROR(_xlfn.XLOOKUP(F376,'Agências de Rating Soberano'!$J$2:$J$22,'Agências de Rating Soberano'!$K$2:$K$22),NA())</f>
        <v>10</v>
      </c>
      <c r="P376" s="52">
        <f>IFERROR(_xlfn.XLOOKUP(H376,'Agências de Rating Soberano'!$J$2:$J$22,'Agências de Rating Soberano'!$K$2:$K$22),NA())</f>
        <v>9</v>
      </c>
      <c r="Q376" s="52">
        <f>IFERROR(_xlfn.XLOOKUP(I376,'Agências de Rating Soberano'!$J$2:$J$22,'Agências de Rating Soberano'!$K$2:$K$22),NA())</f>
        <v>9</v>
      </c>
    </row>
    <row r="377" spans="1:17" x14ac:dyDescent="0.3">
      <c r="A377" s="53">
        <f t="shared" si="12"/>
        <v>43159</v>
      </c>
      <c r="B377" t="str">
        <f>IFERROR(_xlfn.XLOOKUP($A377,Planilha2!$A$2:$A$34,Planilha2!C$2:C$34,"",-1),"")</f>
        <v>Ba2</v>
      </c>
      <c r="C377" t="str">
        <f>IFERROR(_xlfn.XLOOKUP($A377,Planilha2!$A$2:$A$34,Planilha2!D$2:D$34,"",-1),"")</f>
        <v>Ba2</v>
      </c>
      <c r="D377" t="str" cm="1">
        <f t="array" ref="D377">IF($A377&lt;MIN(Planilha2!$A$2:$A$34),"",_xlfn.LET(_xlpm.t,_xlfn.XLOOKUP($A377,Planilha2!$A$2:$A$34,Planilha2!$E$2:$E$34,"",-1),_xlfn.IFS(ISNUMBER(SEARCH("positiva",_xlpm.t)),"Positiva",ISNUMBER(SEARCH("negativa",_xlpm.t)),"Negativa",ISNUMBER(SEARCH("estável",_xlpm.t)),"Estável",TRUE,"n/d")))</f>
        <v>Negativa</v>
      </c>
      <c r="E377" t="str">
        <f>IFERROR(_xlfn.XLOOKUP($A377,Planilha2!$J$2:$J$44,Planilha2!L$2:L$44,"",-1),"")</f>
        <v>BB-</v>
      </c>
      <c r="F377" t="str">
        <f>IFERROR(_xlfn.XLOOKUP($A377,Planilha2!$J$2:$J$44,Planilha2!M$2:M$44,"",-1),"")</f>
        <v>BB-</v>
      </c>
      <c r="G377" t="str" cm="1">
        <f t="array" ref="G377">IF($A377&lt;MIN(Planilha2!$J$2:$J$44),"",_xlfn.LET(_xlpm.t,_xlfn.XLOOKUP($A377,Planilha2!$J$2:$J$44,Planilha2!$N$2:$N$44,"",-1),_xlfn.IFS(ISNUMBER(SEARCH("positiva",_xlpm.t)),"Positiva",ISNUMBER(SEARCH("negativa",_xlpm.t)),"Negativa",ISNUMBER(SEARCH("estável",_xlpm.t)),"Estável",TRUE,"n/d")))</f>
        <v>Estável</v>
      </c>
      <c r="H377" t="str">
        <f>IFERROR(_xlfn.XLOOKUP($A377,Planilha2!$P$2:$P$38,Planilha2!R$2:R$38,"",-1),"")</f>
        <v>BB-</v>
      </c>
      <c r="I377" t="str">
        <f>IFERROR(_xlfn.XLOOKUP($A377,Planilha2!$P$2:$P$38,Planilha2!S$2:S$38,"",-1),"")</f>
        <v>BB-</v>
      </c>
      <c r="J377" t="str" cm="1">
        <f t="array" ref="J377">IF($A377&lt;MIN(Planilha2!$P$2:$P$38),"",_xlfn.LET(_xlpm.t,_xlfn.XLOOKUP($A377,Planilha2!$P$2:$P$38,Planilha2!$T$2:$T$38,"",-1),_xlfn.IFS(ISNUMBER(SEARCH("positiva",_xlpm.t)),"Positiva",ISNUMBER(SEARCH("negativa",_xlpm.t)),"Negativa",ISNUMBER(SEARCH("estável",_xlpm.t)),"Estável",TRUE,"n/d")))</f>
        <v>Estável</v>
      </c>
      <c r="L377" s="52">
        <f>IFERROR(_xlfn.XLOOKUP(B377,'Agências de Rating Soberano'!$G$2:$G$22,'Agências de Rating Soberano'!$H$2:$H$22),NA())</f>
        <v>10</v>
      </c>
      <c r="M377" s="52">
        <f>IFERROR(_xlfn.XLOOKUP(C377,'Agências de Rating Soberano'!$G$2:$G$22,'Agências de Rating Soberano'!$H$2:$H$22),NA())</f>
        <v>10</v>
      </c>
      <c r="N377" s="52">
        <f>IFERROR(_xlfn.XLOOKUP(E377,'Agências de Rating Soberano'!$J$2:$J$22,'Agências de Rating Soberano'!$K$2:$K$22),NA())</f>
        <v>9</v>
      </c>
      <c r="O377" s="52">
        <f>IFERROR(_xlfn.XLOOKUP(F377,'Agências de Rating Soberano'!$J$2:$J$22,'Agências de Rating Soberano'!$K$2:$K$22),NA())</f>
        <v>9</v>
      </c>
      <c r="P377" s="52">
        <f>IFERROR(_xlfn.XLOOKUP(H377,'Agências de Rating Soberano'!$J$2:$J$22,'Agências de Rating Soberano'!$K$2:$K$22),NA())</f>
        <v>9</v>
      </c>
      <c r="Q377" s="52">
        <f>IFERROR(_xlfn.XLOOKUP(I377,'Agências de Rating Soberano'!$J$2:$J$22,'Agências de Rating Soberano'!$K$2:$K$22),NA())</f>
        <v>9</v>
      </c>
    </row>
    <row r="378" spans="1:17" x14ac:dyDescent="0.3">
      <c r="A378" s="53">
        <f t="shared" si="12"/>
        <v>43190</v>
      </c>
      <c r="B378" t="str">
        <f>IFERROR(_xlfn.XLOOKUP($A378,Planilha2!$A$2:$A$34,Planilha2!C$2:C$34,"",-1),"")</f>
        <v>Ba2</v>
      </c>
      <c r="C378" t="str">
        <f>IFERROR(_xlfn.XLOOKUP($A378,Planilha2!$A$2:$A$34,Planilha2!D$2:D$34,"",-1),"")</f>
        <v>Ba2</v>
      </c>
      <c r="D378" t="str" cm="1">
        <f t="array" ref="D378">IF($A378&lt;MIN(Planilha2!$A$2:$A$34),"",_xlfn.LET(_xlpm.t,_xlfn.XLOOKUP($A378,Planilha2!$A$2:$A$34,Planilha2!$E$2:$E$34,"",-1),_xlfn.IFS(ISNUMBER(SEARCH("positiva",_xlpm.t)),"Positiva",ISNUMBER(SEARCH("negativa",_xlpm.t)),"Negativa",ISNUMBER(SEARCH("estável",_xlpm.t)),"Estável",TRUE,"n/d")))</f>
        <v>Negativa</v>
      </c>
      <c r="E378" t="str">
        <f>IFERROR(_xlfn.XLOOKUP($A378,Planilha2!$J$2:$J$44,Planilha2!L$2:L$44,"",-1),"")</f>
        <v>BB-</v>
      </c>
      <c r="F378" t="str">
        <f>IFERROR(_xlfn.XLOOKUP($A378,Planilha2!$J$2:$J$44,Planilha2!M$2:M$44,"",-1),"")</f>
        <v>BB-</v>
      </c>
      <c r="G378" t="str" cm="1">
        <f t="array" ref="G378">IF($A378&lt;MIN(Planilha2!$J$2:$J$44),"",_xlfn.LET(_xlpm.t,_xlfn.XLOOKUP($A378,Planilha2!$J$2:$J$44,Planilha2!$N$2:$N$44,"",-1),_xlfn.IFS(ISNUMBER(SEARCH("positiva",_xlpm.t)),"Positiva",ISNUMBER(SEARCH("negativa",_xlpm.t)),"Negativa",ISNUMBER(SEARCH("estável",_xlpm.t)),"Estável",TRUE,"n/d")))</f>
        <v>Estável</v>
      </c>
      <c r="H378" t="str">
        <f>IFERROR(_xlfn.XLOOKUP($A378,Planilha2!$P$2:$P$38,Planilha2!R$2:R$38,"",-1),"")</f>
        <v>BB-</v>
      </c>
      <c r="I378" t="str">
        <f>IFERROR(_xlfn.XLOOKUP($A378,Planilha2!$P$2:$P$38,Planilha2!S$2:S$38,"",-1),"")</f>
        <v>BB-</v>
      </c>
      <c r="J378" t="str" cm="1">
        <f t="array" ref="J378">IF($A378&lt;MIN(Planilha2!$P$2:$P$38),"",_xlfn.LET(_xlpm.t,_xlfn.XLOOKUP($A378,Planilha2!$P$2:$P$38,Planilha2!$T$2:$T$38,"",-1),_xlfn.IFS(ISNUMBER(SEARCH("positiva",_xlpm.t)),"Positiva",ISNUMBER(SEARCH("negativa",_xlpm.t)),"Negativa",ISNUMBER(SEARCH("estável",_xlpm.t)),"Estável",TRUE,"n/d")))</f>
        <v>Estável</v>
      </c>
      <c r="L378" s="52">
        <f>IFERROR(_xlfn.XLOOKUP(B378,'Agências de Rating Soberano'!$G$2:$G$22,'Agências de Rating Soberano'!$H$2:$H$22),NA())</f>
        <v>10</v>
      </c>
      <c r="M378" s="52">
        <f>IFERROR(_xlfn.XLOOKUP(C378,'Agências de Rating Soberano'!$G$2:$G$22,'Agências de Rating Soberano'!$H$2:$H$22),NA())</f>
        <v>10</v>
      </c>
      <c r="N378" s="52">
        <f>IFERROR(_xlfn.XLOOKUP(E378,'Agências de Rating Soberano'!$J$2:$J$22,'Agências de Rating Soberano'!$K$2:$K$22),NA())</f>
        <v>9</v>
      </c>
      <c r="O378" s="52">
        <f>IFERROR(_xlfn.XLOOKUP(F378,'Agências de Rating Soberano'!$J$2:$J$22,'Agências de Rating Soberano'!$K$2:$K$22),NA())</f>
        <v>9</v>
      </c>
      <c r="P378" s="52">
        <f>IFERROR(_xlfn.XLOOKUP(H378,'Agências de Rating Soberano'!$J$2:$J$22,'Agências de Rating Soberano'!$K$2:$K$22),NA())</f>
        <v>9</v>
      </c>
      <c r="Q378" s="52">
        <f>IFERROR(_xlfn.XLOOKUP(I378,'Agências de Rating Soberano'!$J$2:$J$22,'Agências de Rating Soberano'!$K$2:$K$22),NA())</f>
        <v>9</v>
      </c>
    </row>
    <row r="379" spans="1:17" x14ac:dyDescent="0.3">
      <c r="A379" s="53">
        <f t="shared" si="12"/>
        <v>43220</v>
      </c>
      <c r="B379" t="str">
        <f>IFERROR(_xlfn.XLOOKUP($A379,Planilha2!$A$2:$A$34,Planilha2!C$2:C$34,"",-1),"")</f>
        <v>Ba2</v>
      </c>
      <c r="C379" t="str">
        <f>IFERROR(_xlfn.XLOOKUP($A379,Planilha2!$A$2:$A$34,Planilha2!D$2:D$34,"",-1),"")</f>
        <v>Ba2</v>
      </c>
      <c r="D379" t="str" cm="1">
        <f t="array" ref="D379">IF($A379&lt;MIN(Planilha2!$A$2:$A$34),"",_xlfn.LET(_xlpm.t,_xlfn.XLOOKUP($A379,Planilha2!$A$2:$A$34,Planilha2!$E$2:$E$34,"",-1),_xlfn.IFS(ISNUMBER(SEARCH("positiva",_xlpm.t)),"Positiva",ISNUMBER(SEARCH("negativa",_xlpm.t)),"Negativa",ISNUMBER(SEARCH("estável",_xlpm.t)),"Estável",TRUE,"n/d")))</f>
        <v>Estável</v>
      </c>
      <c r="E379" t="str">
        <f>IFERROR(_xlfn.XLOOKUP($A379,Planilha2!$J$2:$J$44,Planilha2!L$2:L$44,"",-1),"")</f>
        <v>BB-</v>
      </c>
      <c r="F379" t="str">
        <f>IFERROR(_xlfn.XLOOKUP($A379,Planilha2!$J$2:$J$44,Planilha2!M$2:M$44,"",-1),"")</f>
        <v>BB-</v>
      </c>
      <c r="G379" t="str" cm="1">
        <f t="array" ref="G379">IF($A379&lt;MIN(Planilha2!$J$2:$J$44),"",_xlfn.LET(_xlpm.t,_xlfn.XLOOKUP($A379,Planilha2!$J$2:$J$44,Planilha2!$N$2:$N$44,"",-1),_xlfn.IFS(ISNUMBER(SEARCH("positiva",_xlpm.t)),"Positiva",ISNUMBER(SEARCH("negativa",_xlpm.t)),"Negativa",ISNUMBER(SEARCH("estável",_xlpm.t)),"Estável",TRUE,"n/d")))</f>
        <v>Estável</v>
      </c>
      <c r="H379" t="str">
        <f>IFERROR(_xlfn.XLOOKUP($A379,Planilha2!$P$2:$P$38,Planilha2!R$2:R$38,"",-1),"")</f>
        <v>BB-</v>
      </c>
      <c r="I379" t="str">
        <f>IFERROR(_xlfn.XLOOKUP($A379,Planilha2!$P$2:$P$38,Planilha2!S$2:S$38,"",-1),"")</f>
        <v>BB-</v>
      </c>
      <c r="J379" t="str" cm="1">
        <f t="array" ref="J379">IF($A379&lt;MIN(Planilha2!$P$2:$P$38),"",_xlfn.LET(_xlpm.t,_xlfn.XLOOKUP($A379,Planilha2!$P$2:$P$38,Planilha2!$T$2:$T$38,"",-1),_xlfn.IFS(ISNUMBER(SEARCH("positiva",_xlpm.t)),"Positiva",ISNUMBER(SEARCH("negativa",_xlpm.t)),"Negativa",ISNUMBER(SEARCH("estável",_xlpm.t)),"Estável",TRUE,"n/d")))</f>
        <v>Estável</v>
      </c>
      <c r="L379" s="52">
        <f>IFERROR(_xlfn.XLOOKUP(B379,'Agências de Rating Soberano'!$G$2:$G$22,'Agências de Rating Soberano'!$H$2:$H$22),NA())</f>
        <v>10</v>
      </c>
      <c r="M379" s="52">
        <f>IFERROR(_xlfn.XLOOKUP(C379,'Agências de Rating Soberano'!$G$2:$G$22,'Agências de Rating Soberano'!$H$2:$H$22),NA())</f>
        <v>10</v>
      </c>
      <c r="N379" s="52">
        <f>IFERROR(_xlfn.XLOOKUP(E379,'Agências de Rating Soberano'!$J$2:$J$22,'Agências de Rating Soberano'!$K$2:$K$22),NA())</f>
        <v>9</v>
      </c>
      <c r="O379" s="52">
        <f>IFERROR(_xlfn.XLOOKUP(F379,'Agências de Rating Soberano'!$J$2:$J$22,'Agências de Rating Soberano'!$K$2:$K$22),NA())</f>
        <v>9</v>
      </c>
      <c r="P379" s="52">
        <f>IFERROR(_xlfn.XLOOKUP(H379,'Agências de Rating Soberano'!$J$2:$J$22,'Agências de Rating Soberano'!$K$2:$K$22),NA())</f>
        <v>9</v>
      </c>
      <c r="Q379" s="52">
        <f>IFERROR(_xlfn.XLOOKUP(I379,'Agências de Rating Soberano'!$J$2:$J$22,'Agências de Rating Soberano'!$K$2:$K$22),NA())</f>
        <v>9</v>
      </c>
    </row>
    <row r="380" spans="1:17" x14ac:dyDescent="0.3">
      <c r="A380" s="53">
        <f t="shared" si="12"/>
        <v>43251</v>
      </c>
      <c r="B380" t="str">
        <f>IFERROR(_xlfn.XLOOKUP($A380,Planilha2!$A$2:$A$34,Planilha2!C$2:C$34,"",-1),"")</f>
        <v>Ba2</v>
      </c>
      <c r="C380" t="str">
        <f>IFERROR(_xlfn.XLOOKUP($A380,Planilha2!$A$2:$A$34,Planilha2!D$2:D$34,"",-1),"")</f>
        <v>Ba2</v>
      </c>
      <c r="D380" t="str" cm="1">
        <f t="array" ref="D380">IF($A380&lt;MIN(Planilha2!$A$2:$A$34),"",_xlfn.LET(_xlpm.t,_xlfn.XLOOKUP($A380,Planilha2!$A$2:$A$34,Planilha2!$E$2:$E$34,"",-1),_xlfn.IFS(ISNUMBER(SEARCH("positiva",_xlpm.t)),"Positiva",ISNUMBER(SEARCH("negativa",_xlpm.t)),"Negativa",ISNUMBER(SEARCH("estável",_xlpm.t)),"Estável",TRUE,"n/d")))</f>
        <v>Estável</v>
      </c>
      <c r="E380" t="str">
        <f>IFERROR(_xlfn.XLOOKUP($A380,Planilha2!$J$2:$J$44,Planilha2!L$2:L$44,"",-1),"")</f>
        <v>BB-</v>
      </c>
      <c r="F380" t="str">
        <f>IFERROR(_xlfn.XLOOKUP($A380,Planilha2!$J$2:$J$44,Planilha2!M$2:M$44,"",-1),"")</f>
        <v>BB-</v>
      </c>
      <c r="G380" t="str" cm="1">
        <f t="array" ref="G380">IF($A380&lt;MIN(Planilha2!$J$2:$J$44),"",_xlfn.LET(_xlpm.t,_xlfn.XLOOKUP($A380,Planilha2!$J$2:$J$44,Planilha2!$N$2:$N$44,"",-1),_xlfn.IFS(ISNUMBER(SEARCH("positiva",_xlpm.t)),"Positiva",ISNUMBER(SEARCH("negativa",_xlpm.t)),"Negativa",ISNUMBER(SEARCH("estável",_xlpm.t)),"Estável",TRUE,"n/d")))</f>
        <v>Estável</v>
      </c>
      <c r="H380" t="str">
        <f>IFERROR(_xlfn.XLOOKUP($A380,Planilha2!$P$2:$P$38,Planilha2!R$2:R$38,"",-1),"")</f>
        <v>BB-</v>
      </c>
      <c r="I380" t="str">
        <f>IFERROR(_xlfn.XLOOKUP($A380,Planilha2!$P$2:$P$38,Planilha2!S$2:S$38,"",-1),"")</f>
        <v>BB-</v>
      </c>
      <c r="J380" t="str" cm="1">
        <f t="array" ref="J380">IF($A380&lt;MIN(Planilha2!$P$2:$P$38),"",_xlfn.LET(_xlpm.t,_xlfn.XLOOKUP($A380,Planilha2!$P$2:$P$38,Planilha2!$T$2:$T$38,"",-1),_xlfn.IFS(ISNUMBER(SEARCH("positiva",_xlpm.t)),"Positiva",ISNUMBER(SEARCH("negativa",_xlpm.t)),"Negativa",ISNUMBER(SEARCH("estável",_xlpm.t)),"Estável",TRUE,"n/d")))</f>
        <v>Estável</v>
      </c>
      <c r="L380" s="52">
        <f>IFERROR(_xlfn.XLOOKUP(B380,'Agências de Rating Soberano'!$G$2:$G$22,'Agências de Rating Soberano'!$H$2:$H$22),NA())</f>
        <v>10</v>
      </c>
      <c r="M380" s="52">
        <f>IFERROR(_xlfn.XLOOKUP(C380,'Agências de Rating Soberano'!$G$2:$G$22,'Agências de Rating Soberano'!$H$2:$H$22),NA())</f>
        <v>10</v>
      </c>
      <c r="N380" s="52">
        <f>IFERROR(_xlfn.XLOOKUP(E380,'Agências de Rating Soberano'!$J$2:$J$22,'Agências de Rating Soberano'!$K$2:$K$22),NA())</f>
        <v>9</v>
      </c>
      <c r="O380" s="52">
        <f>IFERROR(_xlfn.XLOOKUP(F380,'Agências de Rating Soberano'!$J$2:$J$22,'Agências de Rating Soberano'!$K$2:$K$22),NA())</f>
        <v>9</v>
      </c>
      <c r="P380" s="52">
        <f>IFERROR(_xlfn.XLOOKUP(H380,'Agências de Rating Soberano'!$J$2:$J$22,'Agências de Rating Soberano'!$K$2:$K$22),NA())</f>
        <v>9</v>
      </c>
      <c r="Q380" s="52">
        <f>IFERROR(_xlfn.XLOOKUP(I380,'Agências de Rating Soberano'!$J$2:$J$22,'Agências de Rating Soberano'!$K$2:$K$22),NA())</f>
        <v>9</v>
      </c>
    </row>
    <row r="381" spans="1:17" x14ac:dyDescent="0.3">
      <c r="A381" s="53">
        <f t="shared" si="12"/>
        <v>43281</v>
      </c>
      <c r="B381" t="str">
        <f>IFERROR(_xlfn.XLOOKUP($A381,Planilha2!$A$2:$A$34,Planilha2!C$2:C$34,"",-1),"")</f>
        <v>Ba2</v>
      </c>
      <c r="C381" t="str">
        <f>IFERROR(_xlfn.XLOOKUP($A381,Planilha2!$A$2:$A$34,Planilha2!D$2:D$34,"",-1),"")</f>
        <v>Ba2</v>
      </c>
      <c r="D381" t="str" cm="1">
        <f t="array" ref="D381">IF($A381&lt;MIN(Planilha2!$A$2:$A$34),"",_xlfn.LET(_xlpm.t,_xlfn.XLOOKUP($A381,Planilha2!$A$2:$A$34,Planilha2!$E$2:$E$34,"",-1),_xlfn.IFS(ISNUMBER(SEARCH("positiva",_xlpm.t)),"Positiva",ISNUMBER(SEARCH("negativa",_xlpm.t)),"Negativa",ISNUMBER(SEARCH("estável",_xlpm.t)),"Estável",TRUE,"n/d")))</f>
        <v>Estável</v>
      </c>
      <c r="E381" t="str">
        <f>IFERROR(_xlfn.XLOOKUP($A381,Planilha2!$J$2:$J$44,Planilha2!L$2:L$44,"",-1),"")</f>
        <v>BB-</v>
      </c>
      <c r="F381" t="str">
        <f>IFERROR(_xlfn.XLOOKUP($A381,Planilha2!$J$2:$J$44,Planilha2!M$2:M$44,"",-1),"")</f>
        <v>BB-</v>
      </c>
      <c r="G381" t="str" cm="1">
        <f t="array" ref="G381">IF($A381&lt;MIN(Planilha2!$J$2:$J$44),"",_xlfn.LET(_xlpm.t,_xlfn.XLOOKUP($A381,Planilha2!$J$2:$J$44,Planilha2!$N$2:$N$44,"",-1),_xlfn.IFS(ISNUMBER(SEARCH("positiva",_xlpm.t)),"Positiva",ISNUMBER(SEARCH("negativa",_xlpm.t)),"Negativa",ISNUMBER(SEARCH("estável",_xlpm.t)),"Estável",TRUE,"n/d")))</f>
        <v>Estável</v>
      </c>
      <c r="H381" t="str">
        <f>IFERROR(_xlfn.XLOOKUP($A381,Planilha2!$P$2:$P$38,Planilha2!R$2:R$38,"",-1),"")</f>
        <v>BB-</v>
      </c>
      <c r="I381" t="str">
        <f>IFERROR(_xlfn.XLOOKUP($A381,Planilha2!$P$2:$P$38,Planilha2!S$2:S$38,"",-1),"")</f>
        <v>BB-</v>
      </c>
      <c r="J381" t="str" cm="1">
        <f t="array" ref="J381">IF($A381&lt;MIN(Planilha2!$P$2:$P$38),"",_xlfn.LET(_xlpm.t,_xlfn.XLOOKUP($A381,Planilha2!$P$2:$P$38,Planilha2!$T$2:$T$38,"",-1),_xlfn.IFS(ISNUMBER(SEARCH("positiva",_xlpm.t)),"Positiva",ISNUMBER(SEARCH("negativa",_xlpm.t)),"Negativa",ISNUMBER(SEARCH("estável",_xlpm.t)),"Estável",TRUE,"n/d")))</f>
        <v>Estável</v>
      </c>
      <c r="L381" s="52">
        <f>IFERROR(_xlfn.XLOOKUP(B381,'Agências de Rating Soberano'!$G$2:$G$22,'Agências de Rating Soberano'!$H$2:$H$22),NA())</f>
        <v>10</v>
      </c>
      <c r="M381" s="52">
        <f>IFERROR(_xlfn.XLOOKUP(C381,'Agências de Rating Soberano'!$G$2:$G$22,'Agências de Rating Soberano'!$H$2:$H$22),NA())</f>
        <v>10</v>
      </c>
      <c r="N381" s="52">
        <f>IFERROR(_xlfn.XLOOKUP(E381,'Agências de Rating Soberano'!$J$2:$J$22,'Agências de Rating Soberano'!$K$2:$K$22),NA())</f>
        <v>9</v>
      </c>
      <c r="O381" s="52">
        <f>IFERROR(_xlfn.XLOOKUP(F381,'Agências de Rating Soberano'!$J$2:$J$22,'Agências de Rating Soberano'!$K$2:$K$22),NA())</f>
        <v>9</v>
      </c>
      <c r="P381" s="52">
        <f>IFERROR(_xlfn.XLOOKUP(H381,'Agências de Rating Soberano'!$J$2:$J$22,'Agências de Rating Soberano'!$K$2:$K$22),NA())</f>
        <v>9</v>
      </c>
      <c r="Q381" s="52">
        <f>IFERROR(_xlfn.XLOOKUP(I381,'Agências de Rating Soberano'!$J$2:$J$22,'Agências de Rating Soberano'!$K$2:$K$22),NA())</f>
        <v>9</v>
      </c>
    </row>
    <row r="382" spans="1:17" x14ac:dyDescent="0.3">
      <c r="A382" s="53">
        <f t="shared" si="12"/>
        <v>43312</v>
      </c>
      <c r="B382" t="str">
        <f>IFERROR(_xlfn.XLOOKUP($A382,Planilha2!$A$2:$A$34,Planilha2!C$2:C$34,"",-1),"")</f>
        <v>Ba2</v>
      </c>
      <c r="C382" t="str">
        <f>IFERROR(_xlfn.XLOOKUP($A382,Planilha2!$A$2:$A$34,Planilha2!D$2:D$34,"",-1),"")</f>
        <v>Ba2</v>
      </c>
      <c r="D382" t="str" cm="1">
        <f t="array" ref="D382">IF($A382&lt;MIN(Planilha2!$A$2:$A$34),"",_xlfn.LET(_xlpm.t,_xlfn.XLOOKUP($A382,Planilha2!$A$2:$A$34,Planilha2!$E$2:$E$34,"",-1),_xlfn.IFS(ISNUMBER(SEARCH("positiva",_xlpm.t)),"Positiva",ISNUMBER(SEARCH("negativa",_xlpm.t)),"Negativa",ISNUMBER(SEARCH("estável",_xlpm.t)),"Estável",TRUE,"n/d")))</f>
        <v>Estável</v>
      </c>
      <c r="E382" t="str">
        <f>IFERROR(_xlfn.XLOOKUP($A382,Planilha2!$J$2:$J$44,Planilha2!L$2:L$44,"",-1),"")</f>
        <v>BB-</v>
      </c>
      <c r="F382" t="str">
        <f>IFERROR(_xlfn.XLOOKUP($A382,Planilha2!$J$2:$J$44,Planilha2!M$2:M$44,"",-1),"")</f>
        <v>BB-</v>
      </c>
      <c r="G382" t="str" cm="1">
        <f t="array" ref="G382">IF($A382&lt;MIN(Planilha2!$J$2:$J$44),"",_xlfn.LET(_xlpm.t,_xlfn.XLOOKUP($A382,Planilha2!$J$2:$J$44,Planilha2!$N$2:$N$44,"",-1),_xlfn.IFS(ISNUMBER(SEARCH("positiva",_xlpm.t)),"Positiva",ISNUMBER(SEARCH("negativa",_xlpm.t)),"Negativa",ISNUMBER(SEARCH("estável",_xlpm.t)),"Estável",TRUE,"n/d")))</f>
        <v>Estável</v>
      </c>
      <c r="H382" t="str">
        <f>IFERROR(_xlfn.XLOOKUP($A382,Planilha2!$P$2:$P$38,Planilha2!R$2:R$38,"",-1),"")</f>
        <v>BB-</v>
      </c>
      <c r="I382" t="str">
        <f>IFERROR(_xlfn.XLOOKUP($A382,Planilha2!$P$2:$P$38,Planilha2!S$2:S$38,"",-1),"")</f>
        <v>BB-</v>
      </c>
      <c r="J382" t="str" cm="1">
        <f t="array" ref="J382">IF($A382&lt;MIN(Planilha2!$P$2:$P$38),"",_xlfn.LET(_xlpm.t,_xlfn.XLOOKUP($A382,Planilha2!$P$2:$P$38,Planilha2!$T$2:$T$38,"",-1),_xlfn.IFS(ISNUMBER(SEARCH("positiva",_xlpm.t)),"Positiva",ISNUMBER(SEARCH("negativa",_xlpm.t)),"Negativa",ISNUMBER(SEARCH("estável",_xlpm.t)),"Estável",TRUE,"n/d")))</f>
        <v>Estável</v>
      </c>
      <c r="L382" s="52">
        <f>IFERROR(_xlfn.XLOOKUP(B382,'Agências de Rating Soberano'!$G$2:$G$22,'Agências de Rating Soberano'!$H$2:$H$22),NA())</f>
        <v>10</v>
      </c>
      <c r="M382" s="52">
        <f>IFERROR(_xlfn.XLOOKUP(C382,'Agências de Rating Soberano'!$G$2:$G$22,'Agências de Rating Soberano'!$H$2:$H$22),NA())</f>
        <v>10</v>
      </c>
      <c r="N382" s="52">
        <f>IFERROR(_xlfn.XLOOKUP(E382,'Agências de Rating Soberano'!$J$2:$J$22,'Agências de Rating Soberano'!$K$2:$K$22),NA())</f>
        <v>9</v>
      </c>
      <c r="O382" s="52">
        <f>IFERROR(_xlfn.XLOOKUP(F382,'Agências de Rating Soberano'!$J$2:$J$22,'Agências de Rating Soberano'!$K$2:$K$22),NA())</f>
        <v>9</v>
      </c>
      <c r="P382" s="52">
        <f>IFERROR(_xlfn.XLOOKUP(H382,'Agências de Rating Soberano'!$J$2:$J$22,'Agências de Rating Soberano'!$K$2:$K$22),NA())</f>
        <v>9</v>
      </c>
      <c r="Q382" s="52">
        <f>IFERROR(_xlfn.XLOOKUP(I382,'Agências de Rating Soberano'!$J$2:$J$22,'Agências de Rating Soberano'!$K$2:$K$22),NA())</f>
        <v>9</v>
      </c>
    </row>
    <row r="383" spans="1:17" x14ac:dyDescent="0.3">
      <c r="A383" s="53">
        <f t="shared" si="12"/>
        <v>43343</v>
      </c>
      <c r="B383" t="str">
        <f>IFERROR(_xlfn.XLOOKUP($A383,Planilha2!$A$2:$A$34,Planilha2!C$2:C$34,"",-1),"")</f>
        <v>Ba2</v>
      </c>
      <c r="C383" t="str">
        <f>IFERROR(_xlfn.XLOOKUP($A383,Planilha2!$A$2:$A$34,Planilha2!D$2:D$34,"",-1),"")</f>
        <v>Ba2</v>
      </c>
      <c r="D383" t="str" cm="1">
        <f t="array" ref="D383">IF($A383&lt;MIN(Planilha2!$A$2:$A$34),"",_xlfn.LET(_xlpm.t,_xlfn.XLOOKUP($A383,Planilha2!$A$2:$A$34,Planilha2!$E$2:$E$34,"",-1),_xlfn.IFS(ISNUMBER(SEARCH("positiva",_xlpm.t)),"Positiva",ISNUMBER(SEARCH("negativa",_xlpm.t)),"Negativa",ISNUMBER(SEARCH("estável",_xlpm.t)),"Estável",TRUE,"n/d")))</f>
        <v>Estável</v>
      </c>
      <c r="E383" t="str">
        <f>IFERROR(_xlfn.XLOOKUP($A383,Planilha2!$J$2:$J$44,Planilha2!L$2:L$44,"",-1),"")</f>
        <v>BB-</v>
      </c>
      <c r="F383" t="str">
        <f>IFERROR(_xlfn.XLOOKUP($A383,Planilha2!$J$2:$J$44,Planilha2!M$2:M$44,"",-1),"")</f>
        <v>BB-</v>
      </c>
      <c r="G383" t="str" cm="1">
        <f t="array" ref="G383">IF($A383&lt;MIN(Planilha2!$J$2:$J$44),"",_xlfn.LET(_xlpm.t,_xlfn.XLOOKUP($A383,Planilha2!$J$2:$J$44,Planilha2!$N$2:$N$44,"",-1),_xlfn.IFS(ISNUMBER(SEARCH("positiva",_xlpm.t)),"Positiva",ISNUMBER(SEARCH("negativa",_xlpm.t)),"Negativa",ISNUMBER(SEARCH("estável",_xlpm.t)),"Estável",TRUE,"n/d")))</f>
        <v>Estável</v>
      </c>
      <c r="H383" t="str">
        <f>IFERROR(_xlfn.XLOOKUP($A383,Planilha2!$P$2:$P$38,Planilha2!R$2:R$38,"",-1),"")</f>
        <v>BB-</v>
      </c>
      <c r="I383" t="str">
        <f>IFERROR(_xlfn.XLOOKUP($A383,Planilha2!$P$2:$P$38,Planilha2!S$2:S$38,"",-1),"")</f>
        <v>BB-</v>
      </c>
      <c r="J383" t="str" cm="1">
        <f t="array" ref="J383">IF($A383&lt;MIN(Planilha2!$P$2:$P$38),"",_xlfn.LET(_xlpm.t,_xlfn.XLOOKUP($A383,Planilha2!$P$2:$P$38,Planilha2!$T$2:$T$38,"",-1),_xlfn.IFS(ISNUMBER(SEARCH("positiva",_xlpm.t)),"Positiva",ISNUMBER(SEARCH("negativa",_xlpm.t)),"Negativa",ISNUMBER(SEARCH("estável",_xlpm.t)),"Estável",TRUE,"n/d")))</f>
        <v>Estável</v>
      </c>
      <c r="L383" s="52">
        <f>IFERROR(_xlfn.XLOOKUP(B383,'Agências de Rating Soberano'!$G$2:$G$22,'Agências de Rating Soberano'!$H$2:$H$22),NA())</f>
        <v>10</v>
      </c>
      <c r="M383" s="52">
        <f>IFERROR(_xlfn.XLOOKUP(C383,'Agências de Rating Soberano'!$G$2:$G$22,'Agências de Rating Soberano'!$H$2:$H$22),NA())</f>
        <v>10</v>
      </c>
      <c r="N383" s="52">
        <f>IFERROR(_xlfn.XLOOKUP(E383,'Agências de Rating Soberano'!$J$2:$J$22,'Agências de Rating Soberano'!$K$2:$K$22),NA())</f>
        <v>9</v>
      </c>
      <c r="O383" s="52">
        <f>IFERROR(_xlfn.XLOOKUP(F383,'Agências de Rating Soberano'!$J$2:$J$22,'Agências de Rating Soberano'!$K$2:$K$22),NA())</f>
        <v>9</v>
      </c>
      <c r="P383" s="52">
        <f>IFERROR(_xlfn.XLOOKUP(H383,'Agências de Rating Soberano'!$J$2:$J$22,'Agências de Rating Soberano'!$K$2:$K$22),NA())</f>
        <v>9</v>
      </c>
      <c r="Q383" s="52">
        <f>IFERROR(_xlfn.XLOOKUP(I383,'Agências de Rating Soberano'!$J$2:$J$22,'Agências de Rating Soberano'!$K$2:$K$22),NA())</f>
        <v>9</v>
      </c>
    </row>
    <row r="384" spans="1:17" x14ac:dyDescent="0.3">
      <c r="A384" s="53">
        <f t="shared" si="12"/>
        <v>43373</v>
      </c>
      <c r="B384" t="str">
        <f>IFERROR(_xlfn.XLOOKUP($A384,Planilha2!$A$2:$A$34,Planilha2!C$2:C$34,"",-1),"")</f>
        <v>Ba2</v>
      </c>
      <c r="C384" t="str">
        <f>IFERROR(_xlfn.XLOOKUP($A384,Planilha2!$A$2:$A$34,Planilha2!D$2:D$34,"",-1),"")</f>
        <v>Ba2</v>
      </c>
      <c r="D384" t="str" cm="1">
        <f t="array" ref="D384">IF($A384&lt;MIN(Planilha2!$A$2:$A$34),"",_xlfn.LET(_xlpm.t,_xlfn.XLOOKUP($A384,Planilha2!$A$2:$A$34,Planilha2!$E$2:$E$34,"",-1),_xlfn.IFS(ISNUMBER(SEARCH("positiva",_xlpm.t)),"Positiva",ISNUMBER(SEARCH("negativa",_xlpm.t)),"Negativa",ISNUMBER(SEARCH("estável",_xlpm.t)),"Estável",TRUE,"n/d")))</f>
        <v>Estável</v>
      </c>
      <c r="E384" t="str">
        <f>IFERROR(_xlfn.XLOOKUP($A384,Planilha2!$J$2:$J$44,Planilha2!L$2:L$44,"",-1),"")</f>
        <v>BB-</v>
      </c>
      <c r="F384" t="str">
        <f>IFERROR(_xlfn.XLOOKUP($A384,Planilha2!$J$2:$J$44,Planilha2!M$2:M$44,"",-1),"")</f>
        <v>BB-</v>
      </c>
      <c r="G384" t="str" cm="1">
        <f t="array" ref="G384">IF($A384&lt;MIN(Planilha2!$J$2:$J$44),"",_xlfn.LET(_xlpm.t,_xlfn.XLOOKUP($A384,Planilha2!$J$2:$J$44,Planilha2!$N$2:$N$44,"",-1),_xlfn.IFS(ISNUMBER(SEARCH("positiva",_xlpm.t)),"Positiva",ISNUMBER(SEARCH("negativa",_xlpm.t)),"Negativa",ISNUMBER(SEARCH("estável",_xlpm.t)),"Estável",TRUE,"n/d")))</f>
        <v>Estável</v>
      </c>
      <c r="H384" t="str">
        <f>IFERROR(_xlfn.XLOOKUP($A384,Planilha2!$P$2:$P$38,Planilha2!R$2:R$38,"",-1),"")</f>
        <v>BB-</v>
      </c>
      <c r="I384" t="str">
        <f>IFERROR(_xlfn.XLOOKUP($A384,Planilha2!$P$2:$P$38,Planilha2!S$2:S$38,"",-1),"")</f>
        <v>BB-</v>
      </c>
      <c r="J384" t="str" cm="1">
        <f t="array" ref="J384">IF($A384&lt;MIN(Planilha2!$P$2:$P$38),"",_xlfn.LET(_xlpm.t,_xlfn.XLOOKUP($A384,Planilha2!$P$2:$P$38,Planilha2!$T$2:$T$38,"",-1),_xlfn.IFS(ISNUMBER(SEARCH("positiva",_xlpm.t)),"Positiva",ISNUMBER(SEARCH("negativa",_xlpm.t)),"Negativa",ISNUMBER(SEARCH("estável",_xlpm.t)),"Estável",TRUE,"n/d")))</f>
        <v>Estável</v>
      </c>
      <c r="L384" s="52">
        <f>IFERROR(_xlfn.XLOOKUP(B384,'Agências de Rating Soberano'!$G$2:$G$22,'Agências de Rating Soberano'!$H$2:$H$22),NA())</f>
        <v>10</v>
      </c>
      <c r="M384" s="52">
        <f>IFERROR(_xlfn.XLOOKUP(C384,'Agências de Rating Soberano'!$G$2:$G$22,'Agências de Rating Soberano'!$H$2:$H$22),NA())</f>
        <v>10</v>
      </c>
      <c r="N384" s="52">
        <f>IFERROR(_xlfn.XLOOKUP(E384,'Agências de Rating Soberano'!$J$2:$J$22,'Agências de Rating Soberano'!$K$2:$K$22),NA())</f>
        <v>9</v>
      </c>
      <c r="O384" s="52">
        <f>IFERROR(_xlfn.XLOOKUP(F384,'Agências de Rating Soberano'!$J$2:$J$22,'Agências de Rating Soberano'!$K$2:$K$22),NA())</f>
        <v>9</v>
      </c>
      <c r="P384" s="52">
        <f>IFERROR(_xlfn.XLOOKUP(H384,'Agências de Rating Soberano'!$J$2:$J$22,'Agências de Rating Soberano'!$K$2:$K$22),NA())</f>
        <v>9</v>
      </c>
      <c r="Q384" s="52">
        <f>IFERROR(_xlfn.XLOOKUP(I384,'Agências de Rating Soberano'!$J$2:$J$22,'Agências de Rating Soberano'!$K$2:$K$22),NA())</f>
        <v>9</v>
      </c>
    </row>
    <row r="385" spans="1:17" x14ac:dyDescent="0.3">
      <c r="A385" s="53">
        <f t="shared" si="12"/>
        <v>43404</v>
      </c>
      <c r="B385" t="str">
        <f>IFERROR(_xlfn.XLOOKUP($A385,Planilha2!$A$2:$A$34,Planilha2!C$2:C$34,"",-1),"")</f>
        <v>Ba2</v>
      </c>
      <c r="C385" t="str">
        <f>IFERROR(_xlfn.XLOOKUP($A385,Planilha2!$A$2:$A$34,Planilha2!D$2:D$34,"",-1),"")</f>
        <v>Ba2</v>
      </c>
      <c r="D385" t="str" cm="1">
        <f t="array" ref="D385">IF($A385&lt;MIN(Planilha2!$A$2:$A$34),"",_xlfn.LET(_xlpm.t,_xlfn.XLOOKUP($A385,Planilha2!$A$2:$A$34,Planilha2!$E$2:$E$34,"",-1),_xlfn.IFS(ISNUMBER(SEARCH("positiva",_xlpm.t)),"Positiva",ISNUMBER(SEARCH("negativa",_xlpm.t)),"Negativa",ISNUMBER(SEARCH("estável",_xlpm.t)),"Estável",TRUE,"n/d")))</f>
        <v>Estável</v>
      </c>
      <c r="E385" t="str">
        <f>IFERROR(_xlfn.XLOOKUP($A385,Planilha2!$J$2:$J$44,Planilha2!L$2:L$44,"",-1),"")</f>
        <v>BB-</v>
      </c>
      <c r="F385" t="str">
        <f>IFERROR(_xlfn.XLOOKUP($A385,Planilha2!$J$2:$J$44,Planilha2!M$2:M$44,"",-1),"")</f>
        <v>BB-</v>
      </c>
      <c r="G385" t="str" cm="1">
        <f t="array" ref="G385">IF($A385&lt;MIN(Planilha2!$J$2:$J$44),"",_xlfn.LET(_xlpm.t,_xlfn.XLOOKUP($A385,Planilha2!$J$2:$J$44,Planilha2!$N$2:$N$44,"",-1),_xlfn.IFS(ISNUMBER(SEARCH("positiva",_xlpm.t)),"Positiva",ISNUMBER(SEARCH("negativa",_xlpm.t)),"Negativa",ISNUMBER(SEARCH("estável",_xlpm.t)),"Estável",TRUE,"n/d")))</f>
        <v>Estável</v>
      </c>
      <c r="H385" t="str">
        <f>IFERROR(_xlfn.XLOOKUP($A385,Planilha2!$P$2:$P$38,Planilha2!R$2:R$38,"",-1),"")</f>
        <v>BB-</v>
      </c>
      <c r="I385" t="str">
        <f>IFERROR(_xlfn.XLOOKUP($A385,Planilha2!$P$2:$P$38,Planilha2!S$2:S$38,"",-1),"")</f>
        <v>BB-</v>
      </c>
      <c r="J385" t="str" cm="1">
        <f t="array" ref="J385">IF($A385&lt;MIN(Planilha2!$P$2:$P$38),"",_xlfn.LET(_xlpm.t,_xlfn.XLOOKUP($A385,Planilha2!$P$2:$P$38,Planilha2!$T$2:$T$38,"",-1),_xlfn.IFS(ISNUMBER(SEARCH("positiva",_xlpm.t)),"Positiva",ISNUMBER(SEARCH("negativa",_xlpm.t)),"Negativa",ISNUMBER(SEARCH("estável",_xlpm.t)),"Estável",TRUE,"n/d")))</f>
        <v>Estável</v>
      </c>
      <c r="L385" s="52">
        <f>IFERROR(_xlfn.XLOOKUP(B385,'Agências de Rating Soberano'!$G$2:$G$22,'Agências de Rating Soberano'!$H$2:$H$22),NA())</f>
        <v>10</v>
      </c>
      <c r="M385" s="52">
        <f>IFERROR(_xlfn.XLOOKUP(C385,'Agências de Rating Soberano'!$G$2:$G$22,'Agências de Rating Soberano'!$H$2:$H$22),NA())</f>
        <v>10</v>
      </c>
      <c r="N385" s="52">
        <f>IFERROR(_xlfn.XLOOKUP(E385,'Agências de Rating Soberano'!$J$2:$J$22,'Agências de Rating Soberano'!$K$2:$K$22),NA())</f>
        <v>9</v>
      </c>
      <c r="O385" s="52">
        <f>IFERROR(_xlfn.XLOOKUP(F385,'Agências de Rating Soberano'!$J$2:$J$22,'Agências de Rating Soberano'!$K$2:$K$22),NA())</f>
        <v>9</v>
      </c>
      <c r="P385" s="52">
        <f>IFERROR(_xlfn.XLOOKUP(H385,'Agências de Rating Soberano'!$J$2:$J$22,'Agências de Rating Soberano'!$K$2:$K$22),NA())</f>
        <v>9</v>
      </c>
      <c r="Q385" s="52">
        <f>IFERROR(_xlfn.XLOOKUP(I385,'Agências de Rating Soberano'!$J$2:$J$22,'Agências de Rating Soberano'!$K$2:$K$22),NA())</f>
        <v>9</v>
      </c>
    </row>
    <row r="386" spans="1:17" x14ac:dyDescent="0.3">
      <c r="A386" s="53">
        <f t="shared" si="12"/>
        <v>43434</v>
      </c>
      <c r="B386" t="str">
        <f>IFERROR(_xlfn.XLOOKUP($A386,Planilha2!$A$2:$A$34,Planilha2!C$2:C$34,"",-1),"")</f>
        <v>Ba2</v>
      </c>
      <c r="C386" t="str">
        <f>IFERROR(_xlfn.XLOOKUP($A386,Planilha2!$A$2:$A$34,Planilha2!D$2:D$34,"",-1),"")</f>
        <v>Ba2</v>
      </c>
      <c r="D386" t="str" cm="1">
        <f t="array" ref="D386">IF($A386&lt;MIN(Planilha2!$A$2:$A$34),"",_xlfn.LET(_xlpm.t,_xlfn.XLOOKUP($A386,Planilha2!$A$2:$A$34,Planilha2!$E$2:$E$34,"",-1),_xlfn.IFS(ISNUMBER(SEARCH("positiva",_xlpm.t)),"Positiva",ISNUMBER(SEARCH("negativa",_xlpm.t)),"Negativa",ISNUMBER(SEARCH("estável",_xlpm.t)),"Estável",TRUE,"n/d")))</f>
        <v>Estável</v>
      </c>
      <c r="E386" t="str">
        <f>IFERROR(_xlfn.XLOOKUP($A386,Planilha2!$J$2:$J$44,Planilha2!L$2:L$44,"",-1),"")</f>
        <v>BB-</v>
      </c>
      <c r="F386" t="str">
        <f>IFERROR(_xlfn.XLOOKUP($A386,Planilha2!$J$2:$J$44,Planilha2!M$2:M$44,"",-1),"")</f>
        <v>BB-</v>
      </c>
      <c r="G386" t="str" cm="1">
        <f t="array" ref="G386">IF($A386&lt;MIN(Planilha2!$J$2:$J$44),"",_xlfn.LET(_xlpm.t,_xlfn.XLOOKUP($A386,Planilha2!$J$2:$J$44,Planilha2!$N$2:$N$44,"",-1),_xlfn.IFS(ISNUMBER(SEARCH("positiva",_xlpm.t)),"Positiva",ISNUMBER(SEARCH("negativa",_xlpm.t)),"Negativa",ISNUMBER(SEARCH("estável",_xlpm.t)),"Estável",TRUE,"n/d")))</f>
        <v>Estável</v>
      </c>
      <c r="H386" t="str">
        <f>IFERROR(_xlfn.XLOOKUP($A386,Planilha2!$P$2:$P$38,Planilha2!R$2:R$38,"",-1),"")</f>
        <v>BB-</v>
      </c>
      <c r="I386" t="str">
        <f>IFERROR(_xlfn.XLOOKUP($A386,Planilha2!$P$2:$P$38,Planilha2!S$2:S$38,"",-1),"")</f>
        <v>BB-</v>
      </c>
      <c r="J386" t="str" cm="1">
        <f t="array" ref="J386">IF($A386&lt;MIN(Planilha2!$P$2:$P$38),"",_xlfn.LET(_xlpm.t,_xlfn.XLOOKUP($A386,Planilha2!$P$2:$P$38,Planilha2!$T$2:$T$38,"",-1),_xlfn.IFS(ISNUMBER(SEARCH("positiva",_xlpm.t)),"Positiva",ISNUMBER(SEARCH("negativa",_xlpm.t)),"Negativa",ISNUMBER(SEARCH("estável",_xlpm.t)),"Estável",TRUE,"n/d")))</f>
        <v>Estável</v>
      </c>
      <c r="L386" s="52">
        <f>IFERROR(_xlfn.XLOOKUP(B386,'Agências de Rating Soberano'!$G$2:$G$22,'Agências de Rating Soberano'!$H$2:$H$22),NA())</f>
        <v>10</v>
      </c>
      <c r="M386" s="52">
        <f>IFERROR(_xlfn.XLOOKUP(C386,'Agências de Rating Soberano'!$G$2:$G$22,'Agências de Rating Soberano'!$H$2:$H$22),NA())</f>
        <v>10</v>
      </c>
      <c r="N386" s="52">
        <f>IFERROR(_xlfn.XLOOKUP(E386,'Agências de Rating Soberano'!$J$2:$J$22,'Agências de Rating Soberano'!$K$2:$K$22),NA())</f>
        <v>9</v>
      </c>
      <c r="O386" s="52">
        <f>IFERROR(_xlfn.XLOOKUP(F386,'Agências de Rating Soberano'!$J$2:$J$22,'Agências de Rating Soberano'!$K$2:$K$22),NA())</f>
        <v>9</v>
      </c>
      <c r="P386" s="52">
        <f>IFERROR(_xlfn.XLOOKUP(H386,'Agências de Rating Soberano'!$J$2:$J$22,'Agências de Rating Soberano'!$K$2:$K$22),NA())</f>
        <v>9</v>
      </c>
      <c r="Q386" s="52">
        <f>IFERROR(_xlfn.XLOOKUP(I386,'Agências de Rating Soberano'!$J$2:$J$22,'Agências de Rating Soberano'!$K$2:$K$22),NA())</f>
        <v>9</v>
      </c>
    </row>
    <row r="387" spans="1:17" x14ac:dyDescent="0.3">
      <c r="A387" s="53">
        <f t="shared" si="12"/>
        <v>43465</v>
      </c>
      <c r="B387" t="str">
        <f>IFERROR(_xlfn.XLOOKUP($A387,Planilha2!$A$2:$A$34,Planilha2!C$2:C$34,"",-1),"")</f>
        <v>Ba2</v>
      </c>
      <c r="C387" t="str">
        <f>IFERROR(_xlfn.XLOOKUP($A387,Planilha2!$A$2:$A$34,Planilha2!D$2:D$34,"",-1),"")</f>
        <v>Ba2</v>
      </c>
      <c r="D387" t="str" cm="1">
        <f t="array" ref="D387">IF($A387&lt;MIN(Planilha2!$A$2:$A$34),"",_xlfn.LET(_xlpm.t,_xlfn.XLOOKUP($A387,Planilha2!$A$2:$A$34,Planilha2!$E$2:$E$34,"",-1),_xlfn.IFS(ISNUMBER(SEARCH("positiva",_xlpm.t)),"Positiva",ISNUMBER(SEARCH("negativa",_xlpm.t)),"Negativa",ISNUMBER(SEARCH("estável",_xlpm.t)),"Estável",TRUE,"n/d")))</f>
        <v>Estável</v>
      </c>
      <c r="E387" t="str">
        <f>IFERROR(_xlfn.XLOOKUP($A387,Planilha2!$J$2:$J$44,Planilha2!L$2:L$44,"",-1),"")</f>
        <v>BB-</v>
      </c>
      <c r="F387" t="str">
        <f>IFERROR(_xlfn.XLOOKUP($A387,Planilha2!$J$2:$J$44,Planilha2!M$2:M$44,"",-1),"")</f>
        <v>BB-</v>
      </c>
      <c r="G387" t="str" cm="1">
        <f t="array" ref="G387">IF($A387&lt;MIN(Planilha2!$J$2:$J$44),"",_xlfn.LET(_xlpm.t,_xlfn.XLOOKUP($A387,Planilha2!$J$2:$J$44,Planilha2!$N$2:$N$44,"",-1),_xlfn.IFS(ISNUMBER(SEARCH("positiva",_xlpm.t)),"Positiva",ISNUMBER(SEARCH("negativa",_xlpm.t)),"Negativa",ISNUMBER(SEARCH("estável",_xlpm.t)),"Estável",TRUE,"n/d")))</f>
        <v>Estável</v>
      </c>
      <c r="H387" t="str">
        <f>IFERROR(_xlfn.XLOOKUP($A387,Planilha2!$P$2:$P$38,Planilha2!R$2:R$38,"",-1),"")</f>
        <v>BB-</v>
      </c>
      <c r="I387" t="str">
        <f>IFERROR(_xlfn.XLOOKUP($A387,Planilha2!$P$2:$P$38,Planilha2!S$2:S$38,"",-1),"")</f>
        <v>BB-</v>
      </c>
      <c r="J387" t="str" cm="1">
        <f t="array" ref="J387">IF($A387&lt;MIN(Planilha2!$P$2:$P$38),"",_xlfn.LET(_xlpm.t,_xlfn.XLOOKUP($A387,Planilha2!$P$2:$P$38,Planilha2!$T$2:$T$38,"",-1),_xlfn.IFS(ISNUMBER(SEARCH("positiva",_xlpm.t)),"Positiva",ISNUMBER(SEARCH("negativa",_xlpm.t)),"Negativa",ISNUMBER(SEARCH("estável",_xlpm.t)),"Estável",TRUE,"n/d")))</f>
        <v>Estável</v>
      </c>
      <c r="L387" s="52">
        <f>IFERROR(_xlfn.XLOOKUP(B387,'Agências de Rating Soberano'!$G$2:$G$22,'Agências de Rating Soberano'!$H$2:$H$22),NA())</f>
        <v>10</v>
      </c>
      <c r="M387" s="52">
        <f>IFERROR(_xlfn.XLOOKUP(C387,'Agências de Rating Soberano'!$G$2:$G$22,'Agências de Rating Soberano'!$H$2:$H$22),NA())</f>
        <v>10</v>
      </c>
      <c r="N387" s="52">
        <f>IFERROR(_xlfn.XLOOKUP(E387,'Agências de Rating Soberano'!$J$2:$J$22,'Agências de Rating Soberano'!$K$2:$K$22),NA())</f>
        <v>9</v>
      </c>
      <c r="O387" s="52">
        <f>IFERROR(_xlfn.XLOOKUP(F387,'Agências de Rating Soberano'!$J$2:$J$22,'Agências de Rating Soberano'!$K$2:$K$22),NA())</f>
        <v>9</v>
      </c>
      <c r="P387" s="52">
        <f>IFERROR(_xlfn.XLOOKUP(H387,'Agências de Rating Soberano'!$J$2:$J$22,'Agências de Rating Soberano'!$K$2:$K$22),NA())</f>
        <v>9</v>
      </c>
      <c r="Q387" s="52">
        <f>IFERROR(_xlfn.XLOOKUP(I387,'Agências de Rating Soberano'!$J$2:$J$22,'Agências de Rating Soberano'!$K$2:$K$22),NA())</f>
        <v>9</v>
      </c>
    </row>
    <row r="388" spans="1:17" x14ac:dyDescent="0.3">
      <c r="A388" s="53">
        <f t="shared" ref="A388:A451" si="13">EOMONTH(A387,1)</f>
        <v>43496</v>
      </c>
      <c r="B388" t="str">
        <f>IFERROR(_xlfn.XLOOKUP($A388,Planilha2!$A$2:$A$34,Planilha2!C$2:C$34,"",-1),"")</f>
        <v>Ba2</v>
      </c>
      <c r="C388" t="str">
        <f>IFERROR(_xlfn.XLOOKUP($A388,Planilha2!$A$2:$A$34,Planilha2!D$2:D$34,"",-1),"")</f>
        <v>Ba2</v>
      </c>
      <c r="D388" t="str" cm="1">
        <f t="array" ref="D388">IF($A388&lt;MIN(Planilha2!$A$2:$A$34),"",_xlfn.LET(_xlpm.t,_xlfn.XLOOKUP($A388,Planilha2!$A$2:$A$34,Planilha2!$E$2:$E$34,"",-1),_xlfn.IFS(ISNUMBER(SEARCH("positiva",_xlpm.t)),"Positiva",ISNUMBER(SEARCH("negativa",_xlpm.t)),"Negativa",ISNUMBER(SEARCH("estável",_xlpm.t)),"Estável",TRUE,"n/d")))</f>
        <v>Estável</v>
      </c>
      <c r="E388" t="str">
        <f>IFERROR(_xlfn.XLOOKUP($A388,Planilha2!$J$2:$J$44,Planilha2!L$2:L$44,"",-1),"")</f>
        <v>BB-</v>
      </c>
      <c r="F388" t="str">
        <f>IFERROR(_xlfn.XLOOKUP($A388,Planilha2!$J$2:$J$44,Planilha2!M$2:M$44,"",-1),"")</f>
        <v>BB-</v>
      </c>
      <c r="G388" t="str" cm="1">
        <f t="array" ref="G388">IF($A388&lt;MIN(Planilha2!$J$2:$J$44),"",_xlfn.LET(_xlpm.t,_xlfn.XLOOKUP($A388,Planilha2!$J$2:$J$44,Planilha2!$N$2:$N$44,"",-1),_xlfn.IFS(ISNUMBER(SEARCH("positiva",_xlpm.t)),"Positiva",ISNUMBER(SEARCH("negativa",_xlpm.t)),"Negativa",ISNUMBER(SEARCH("estável",_xlpm.t)),"Estável",TRUE,"n/d")))</f>
        <v>Estável</v>
      </c>
      <c r="H388" t="str">
        <f>IFERROR(_xlfn.XLOOKUP($A388,Planilha2!$P$2:$P$38,Planilha2!R$2:R$38,"",-1),"")</f>
        <v>BB-</v>
      </c>
      <c r="I388" t="str">
        <f>IFERROR(_xlfn.XLOOKUP($A388,Planilha2!$P$2:$P$38,Planilha2!S$2:S$38,"",-1),"")</f>
        <v>BB-</v>
      </c>
      <c r="J388" t="str" cm="1">
        <f t="array" ref="J388">IF($A388&lt;MIN(Planilha2!$P$2:$P$38),"",_xlfn.LET(_xlpm.t,_xlfn.XLOOKUP($A388,Planilha2!$P$2:$P$38,Planilha2!$T$2:$T$38,"",-1),_xlfn.IFS(ISNUMBER(SEARCH("positiva",_xlpm.t)),"Positiva",ISNUMBER(SEARCH("negativa",_xlpm.t)),"Negativa",ISNUMBER(SEARCH("estável",_xlpm.t)),"Estável",TRUE,"n/d")))</f>
        <v>Estável</v>
      </c>
      <c r="L388" s="52">
        <f>IFERROR(_xlfn.XLOOKUP(B388,'Agências de Rating Soberano'!$G$2:$G$22,'Agências de Rating Soberano'!$H$2:$H$22),NA())</f>
        <v>10</v>
      </c>
      <c r="M388" s="52">
        <f>IFERROR(_xlfn.XLOOKUP(C388,'Agências de Rating Soberano'!$G$2:$G$22,'Agências de Rating Soberano'!$H$2:$H$22),NA())</f>
        <v>10</v>
      </c>
      <c r="N388" s="52">
        <f>IFERROR(_xlfn.XLOOKUP(E388,'Agências de Rating Soberano'!$J$2:$J$22,'Agências de Rating Soberano'!$K$2:$K$22),NA())</f>
        <v>9</v>
      </c>
      <c r="O388" s="52">
        <f>IFERROR(_xlfn.XLOOKUP(F388,'Agências de Rating Soberano'!$J$2:$J$22,'Agências de Rating Soberano'!$K$2:$K$22),NA())</f>
        <v>9</v>
      </c>
      <c r="P388" s="52">
        <f>IFERROR(_xlfn.XLOOKUP(H388,'Agências de Rating Soberano'!$J$2:$J$22,'Agências de Rating Soberano'!$K$2:$K$22),NA())</f>
        <v>9</v>
      </c>
      <c r="Q388" s="52">
        <f>IFERROR(_xlfn.XLOOKUP(I388,'Agências de Rating Soberano'!$J$2:$J$22,'Agências de Rating Soberano'!$K$2:$K$22),NA())</f>
        <v>9</v>
      </c>
    </row>
    <row r="389" spans="1:17" x14ac:dyDescent="0.3">
      <c r="A389" s="53">
        <f t="shared" si="13"/>
        <v>43524</v>
      </c>
      <c r="B389" t="str">
        <f>IFERROR(_xlfn.XLOOKUP($A389,Planilha2!$A$2:$A$34,Planilha2!C$2:C$34,"",-1),"")</f>
        <v>Ba2</v>
      </c>
      <c r="C389" t="str">
        <f>IFERROR(_xlfn.XLOOKUP($A389,Planilha2!$A$2:$A$34,Planilha2!D$2:D$34,"",-1),"")</f>
        <v>Ba2</v>
      </c>
      <c r="D389" t="str" cm="1">
        <f t="array" ref="D389">IF($A389&lt;MIN(Planilha2!$A$2:$A$34),"",_xlfn.LET(_xlpm.t,_xlfn.XLOOKUP($A389,Planilha2!$A$2:$A$34,Planilha2!$E$2:$E$34,"",-1),_xlfn.IFS(ISNUMBER(SEARCH("positiva",_xlpm.t)),"Positiva",ISNUMBER(SEARCH("negativa",_xlpm.t)),"Negativa",ISNUMBER(SEARCH("estável",_xlpm.t)),"Estável",TRUE,"n/d")))</f>
        <v>Estável</v>
      </c>
      <c r="E389" t="str">
        <f>IFERROR(_xlfn.XLOOKUP($A389,Planilha2!$J$2:$J$44,Planilha2!L$2:L$44,"",-1),"")</f>
        <v>BB-</v>
      </c>
      <c r="F389" t="str">
        <f>IFERROR(_xlfn.XLOOKUP($A389,Planilha2!$J$2:$J$44,Planilha2!M$2:M$44,"",-1),"")</f>
        <v>BB-</v>
      </c>
      <c r="G389" t="str" cm="1">
        <f t="array" ref="G389">IF($A389&lt;MIN(Planilha2!$J$2:$J$44),"",_xlfn.LET(_xlpm.t,_xlfn.XLOOKUP($A389,Planilha2!$J$2:$J$44,Planilha2!$N$2:$N$44,"",-1),_xlfn.IFS(ISNUMBER(SEARCH("positiva",_xlpm.t)),"Positiva",ISNUMBER(SEARCH("negativa",_xlpm.t)),"Negativa",ISNUMBER(SEARCH("estável",_xlpm.t)),"Estável",TRUE,"n/d")))</f>
        <v>Estável</v>
      </c>
      <c r="H389" t="str">
        <f>IFERROR(_xlfn.XLOOKUP($A389,Planilha2!$P$2:$P$38,Planilha2!R$2:R$38,"",-1),"")</f>
        <v>BB-</v>
      </c>
      <c r="I389" t="str">
        <f>IFERROR(_xlfn.XLOOKUP($A389,Planilha2!$P$2:$P$38,Planilha2!S$2:S$38,"",-1),"")</f>
        <v>BB-</v>
      </c>
      <c r="J389" t="str" cm="1">
        <f t="array" ref="J389">IF($A389&lt;MIN(Planilha2!$P$2:$P$38),"",_xlfn.LET(_xlpm.t,_xlfn.XLOOKUP($A389,Planilha2!$P$2:$P$38,Planilha2!$T$2:$T$38,"",-1),_xlfn.IFS(ISNUMBER(SEARCH("positiva",_xlpm.t)),"Positiva",ISNUMBER(SEARCH("negativa",_xlpm.t)),"Negativa",ISNUMBER(SEARCH("estável",_xlpm.t)),"Estável",TRUE,"n/d")))</f>
        <v>Estável</v>
      </c>
      <c r="L389" s="52">
        <f>IFERROR(_xlfn.XLOOKUP(B389,'Agências de Rating Soberano'!$G$2:$G$22,'Agências de Rating Soberano'!$H$2:$H$22),NA())</f>
        <v>10</v>
      </c>
      <c r="M389" s="52">
        <f>IFERROR(_xlfn.XLOOKUP(C389,'Agências de Rating Soberano'!$G$2:$G$22,'Agências de Rating Soberano'!$H$2:$H$22),NA())</f>
        <v>10</v>
      </c>
      <c r="N389" s="52">
        <f>IFERROR(_xlfn.XLOOKUP(E389,'Agências de Rating Soberano'!$J$2:$J$22,'Agências de Rating Soberano'!$K$2:$K$22),NA())</f>
        <v>9</v>
      </c>
      <c r="O389" s="52">
        <f>IFERROR(_xlfn.XLOOKUP(F389,'Agências de Rating Soberano'!$J$2:$J$22,'Agências de Rating Soberano'!$K$2:$K$22),NA())</f>
        <v>9</v>
      </c>
      <c r="P389" s="52">
        <f>IFERROR(_xlfn.XLOOKUP(H389,'Agências de Rating Soberano'!$J$2:$J$22,'Agências de Rating Soberano'!$K$2:$K$22),NA())</f>
        <v>9</v>
      </c>
      <c r="Q389" s="52">
        <f>IFERROR(_xlfn.XLOOKUP(I389,'Agências de Rating Soberano'!$J$2:$J$22,'Agências de Rating Soberano'!$K$2:$K$22),NA())</f>
        <v>9</v>
      </c>
    </row>
    <row r="390" spans="1:17" x14ac:dyDescent="0.3">
      <c r="A390" s="53">
        <f t="shared" si="13"/>
        <v>43555</v>
      </c>
      <c r="B390" t="str">
        <f>IFERROR(_xlfn.XLOOKUP($A390,Planilha2!$A$2:$A$34,Planilha2!C$2:C$34,"",-1),"")</f>
        <v>Ba2</v>
      </c>
      <c r="C390" t="str">
        <f>IFERROR(_xlfn.XLOOKUP($A390,Planilha2!$A$2:$A$34,Planilha2!D$2:D$34,"",-1),"")</f>
        <v>Ba2</v>
      </c>
      <c r="D390" t="str" cm="1">
        <f t="array" ref="D390">IF($A390&lt;MIN(Planilha2!$A$2:$A$34),"",_xlfn.LET(_xlpm.t,_xlfn.XLOOKUP($A390,Planilha2!$A$2:$A$34,Planilha2!$E$2:$E$34,"",-1),_xlfn.IFS(ISNUMBER(SEARCH("positiva",_xlpm.t)),"Positiva",ISNUMBER(SEARCH("negativa",_xlpm.t)),"Negativa",ISNUMBER(SEARCH("estável",_xlpm.t)),"Estável",TRUE,"n/d")))</f>
        <v>Estável</v>
      </c>
      <c r="E390" t="str">
        <f>IFERROR(_xlfn.XLOOKUP($A390,Planilha2!$J$2:$J$44,Planilha2!L$2:L$44,"",-1),"")</f>
        <v>BB-</v>
      </c>
      <c r="F390" t="str">
        <f>IFERROR(_xlfn.XLOOKUP($A390,Planilha2!$J$2:$J$44,Planilha2!M$2:M$44,"",-1),"")</f>
        <v>BB-</v>
      </c>
      <c r="G390" t="str" cm="1">
        <f t="array" ref="G390">IF($A390&lt;MIN(Planilha2!$J$2:$J$44),"",_xlfn.LET(_xlpm.t,_xlfn.XLOOKUP($A390,Planilha2!$J$2:$J$44,Planilha2!$N$2:$N$44,"",-1),_xlfn.IFS(ISNUMBER(SEARCH("positiva",_xlpm.t)),"Positiva",ISNUMBER(SEARCH("negativa",_xlpm.t)),"Negativa",ISNUMBER(SEARCH("estável",_xlpm.t)),"Estável",TRUE,"n/d")))</f>
        <v>Estável</v>
      </c>
      <c r="H390" t="str">
        <f>IFERROR(_xlfn.XLOOKUP($A390,Planilha2!$P$2:$P$38,Planilha2!R$2:R$38,"",-1),"")</f>
        <v>BB-</v>
      </c>
      <c r="I390" t="str">
        <f>IFERROR(_xlfn.XLOOKUP($A390,Planilha2!$P$2:$P$38,Planilha2!S$2:S$38,"",-1),"")</f>
        <v>BB-</v>
      </c>
      <c r="J390" t="str" cm="1">
        <f t="array" ref="J390">IF($A390&lt;MIN(Planilha2!$P$2:$P$38),"",_xlfn.LET(_xlpm.t,_xlfn.XLOOKUP($A390,Planilha2!$P$2:$P$38,Planilha2!$T$2:$T$38,"",-1),_xlfn.IFS(ISNUMBER(SEARCH("positiva",_xlpm.t)),"Positiva",ISNUMBER(SEARCH("negativa",_xlpm.t)),"Negativa",ISNUMBER(SEARCH("estável",_xlpm.t)),"Estável",TRUE,"n/d")))</f>
        <v>Estável</v>
      </c>
      <c r="L390" s="52">
        <f>IFERROR(_xlfn.XLOOKUP(B390,'Agências de Rating Soberano'!$G$2:$G$22,'Agências de Rating Soberano'!$H$2:$H$22),NA())</f>
        <v>10</v>
      </c>
      <c r="M390" s="52">
        <f>IFERROR(_xlfn.XLOOKUP(C390,'Agências de Rating Soberano'!$G$2:$G$22,'Agências de Rating Soberano'!$H$2:$H$22),NA())</f>
        <v>10</v>
      </c>
      <c r="N390" s="52">
        <f>IFERROR(_xlfn.XLOOKUP(E390,'Agências de Rating Soberano'!$J$2:$J$22,'Agências de Rating Soberano'!$K$2:$K$22),NA())</f>
        <v>9</v>
      </c>
      <c r="O390" s="52">
        <f>IFERROR(_xlfn.XLOOKUP(F390,'Agências de Rating Soberano'!$J$2:$J$22,'Agências de Rating Soberano'!$K$2:$K$22),NA())</f>
        <v>9</v>
      </c>
      <c r="P390" s="52">
        <f>IFERROR(_xlfn.XLOOKUP(H390,'Agências de Rating Soberano'!$J$2:$J$22,'Agências de Rating Soberano'!$K$2:$K$22),NA())</f>
        <v>9</v>
      </c>
      <c r="Q390" s="52">
        <f>IFERROR(_xlfn.XLOOKUP(I390,'Agências de Rating Soberano'!$J$2:$J$22,'Agências de Rating Soberano'!$K$2:$K$22),NA())</f>
        <v>9</v>
      </c>
    </row>
    <row r="391" spans="1:17" x14ac:dyDescent="0.3">
      <c r="A391" s="53">
        <f t="shared" si="13"/>
        <v>43585</v>
      </c>
      <c r="B391" t="str">
        <f>IFERROR(_xlfn.XLOOKUP($A391,Planilha2!$A$2:$A$34,Planilha2!C$2:C$34,"",-1),"")</f>
        <v>Ba2</v>
      </c>
      <c r="C391" t="str">
        <f>IFERROR(_xlfn.XLOOKUP($A391,Planilha2!$A$2:$A$34,Planilha2!D$2:D$34,"",-1),"")</f>
        <v>Ba2</v>
      </c>
      <c r="D391" t="str" cm="1">
        <f t="array" ref="D391">IF($A391&lt;MIN(Planilha2!$A$2:$A$34),"",_xlfn.LET(_xlpm.t,_xlfn.XLOOKUP($A391,Planilha2!$A$2:$A$34,Planilha2!$E$2:$E$34,"",-1),_xlfn.IFS(ISNUMBER(SEARCH("positiva",_xlpm.t)),"Positiva",ISNUMBER(SEARCH("negativa",_xlpm.t)),"Negativa",ISNUMBER(SEARCH("estável",_xlpm.t)),"Estável",TRUE,"n/d")))</f>
        <v>Estável</v>
      </c>
      <c r="E391" t="str">
        <f>IFERROR(_xlfn.XLOOKUP($A391,Planilha2!$J$2:$J$44,Planilha2!L$2:L$44,"",-1),"")</f>
        <v>BB-</v>
      </c>
      <c r="F391" t="str">
        <f>IFERROR(_xlfn.XLOOKUP($A391,Planilha2!$J$2:$J$44,Planilha2!M$2:M$44,"",-1),"")</f>
        <v>BB-</v>
      </c>
      <c r="G391" t="str" cm="1">
        <f t="array" ref="G391">IF($A391&lt;MIN(Planilha2!$J$2:$J$44),"",_xlfn.LET(_xlpm.t,_xlfn.XLOOKUP($A391,Planilha2!$J$2:$J$44,Planilha2!$N$2:$N$44,"",-1),_xlfn.IFS(ISNUMBER(SEARCH("positiva",_xlpm.t)),"Positiva",ISNUMBER(SEARCH("negativa",_xlpm.t)),"Negativa",ISNUMBER(SEARCH("estável",_xlpm.t)),"Estável",TRUE,"n/d")))</f>
        <v>Estável</v>
      </c>
      <c r="H391" t="str">
        <f>IFERROR(_xlfn.XLOOKUP($A391,Planilha2!$P$2:$P$38,Planilha2!R$2:R$38,"",-1),"")</f>
        <v>BB-</v>
      </c>
      <c r="I391" t="str">
        <f>IFERROR(_xlfn.XLOOKUP($A391,Planilha2!$P$2:$P$38,Planilha2!S$2:S$38,"",-1),"")</f>
        <v>BB-</v>
      </c>
      <c r="J391" t="str" cm="1">
        <f t="array" ref="J391">IF($A391&lt;MIN(Planilha2!$P$2:$P$38),"",_xlfn.LET(_xlpm.t,_xlfn.XLOOKUP($A391,Planilha2!$P$2:$P$38,Planilha2!$T$2:$T$38,"",-1),_xlfn.IFS(ISNUMBER(SEARCH("positiva",_xlpm.t)),"Positiva",ISNUMBER(SEARCH("negativa",_xlpm.t)),"Negativa",ISNUMBER(SEARCH("estável",_xlpm.t)),"Estável",TRUE,"n/d")))</f>
        <v>Estável</v>
      </c>
      <c r="L391" s="52">
        <f>IFERROR(_xlfn.XLOOKUP(B391,'Agências de Rating Soberano'!$G$2:$G$22,'Agências de Rating Soberano'!$H$2:$H$22),NA())</f>
        <v>10</v>
      </c>
      <c r="M391" s="52">
        <f>IFERROR(_xlfn.XLOOKUP(C391,'Agências de Rating Soberano'!$G$2:$G$22,'Agências de Rating Soberano'!$H$2:$H$22),NA())</f>
        <v>10</v>
      </c>
      <c r="N391" s="52">
        <f>IFERROR(_xlfn.XLOOKUP(E391,'Agências de Rating Soberano'!$J$2:$J$22,'Agências de Rating Soberano'!$K$2:$K$22),NA())</f>
        <v>9</v>
      </c>
      <c r="O391" s="52">
        <f>IFERROR(_xlfn.XLOOKUP(F391,'Agências de Rating Soberano'!$J$2:$J$22,'Agências de Rating Soberano'!$K$2:$K$22),NA())</f>
        <v>9</v>
      </c>
      <c r="P391" s="52">
        <f>IFERROR(_xlfn.XLOOKUP(H391,'Agências de Rating Soberano'!$J$2:$J$22,'Agências de Rating Soberano'!$K$2:$K$22),NA())</f>
        <v>9</v>
      </c>
      <c r="Q391" s="52">
        <f>IFERROR(_xlfn.XLOOKUP(I391,'Agências de Rating Soberano'!$J$2:$J$22,'Agências de Rating Soberano'!$K$2:$K$22),NA())</f>
        <v>9</v>
      </c>
    </row>
    <row r="392" spans="1:17" x14ac:dyDescent="0.3">
      <c r="A392" s="53">
        <f t="shared" si="13"/>
        <v>43616</v>
      </c>
      <c r="B392" t="str">
        <f>IFERROR(_xlfn.XLOOKUP($A392,Planilha2!$A$2:$A$34,Planilha2!C$2:C$34,"",-1),"")</f>
        <v>Ba2</v>
      </c>
      <c r="C392" t="str">
        <f>IFERROR(_xlfn.XLOOKUP($A392,Planilha2!$A$2:$A$34,Planilha2!D$2:D$34,"",-1),"")</f>
        <v>Ba2</v>
      </c>
      <c r="D392" t="str" cm="1">
        <f t="array" ref="D392">IF($A392&lt;MIN(Planilha2!$A$2:$A$34),"",_xlfn.LET(_xlpm.t,_xlfn.XLOOKUP($A392,Planilha2!$A$2:$A$34,Planilha2!$E$2:$E$34,"",-1),_xlfn.IFS(ISNUMBER(SEARCH("positiva",_xlpm.t)),"Positiva",ISNUMBER(SEARCH("negativa",_xlpm.t)),"Negativa",ISNUMBER(SEARCH("estável",_xlpm.t)),"Estável",TRUE,"n/d")))</f>
        <v>Estável</v>
      </c>
      <c r="E392" t="str">
        <f>IFERROR(_xlfn.XLOOKUP($A392,Planilha2!$J$2:$J$44,Planilha2!L$2:L$44,"",-1),"")</f>
        <v>BB-</v>
      </c>
      <c r="F392" t="str">
        <f>IFERROR(_xlfn.XLOOKUP($A392,Planilha2!$J$2:$J$44,Planilha2!M$2:M$44,"",-1),"")</f>
        <v>BB-</v>
      </c>
      <c r="G392" t="str" cm="1">
        <f t="array" ref="G392">IF($A392&lt;MIN(Planilha2!$J$2:$J$44),"",_xlfn.LET(_xlpm.t,_xlfn.XLOOKUP($A392,Planilha2!$J$2:$J$44,Planilha2!$N$2:$N$44,"",-1),_xlfn.IFS(ISNUMBER(SEARCH("positiva",_xlpm.t)),"Positiva",ISNUMBER(SEARCH("negativa",_xlpm.t)),"Negativa",ISNUMBER(SEARCH("estável",_xlpm.t)),"Estável",TRUE,"n/d")))</f>
        <v>Estável</v>
      </c>
      <c r="H392" t="str">
        <f>IFERROR(_xlfn.XLOOKUP($A392,Planilha2!$P$2:$P$38,Planilha2!R$2:R$38,"",-1),"")</f>
        <v>BB-</v>
      </c>
      <c r="I392" t="str">
        <f>IFERROR(_xlfn.XLOOKUP($A392,Planilha2!$P$2:$P$38,Planilha2!S$2:S$38,"",-1),"")</f>
        <v>BB-</v>
      </c>
      <c r="J392" t="str" cm="1">
        <f t="array" ref="J392">IF($A392&lt;MIN(Planilha2!$P$2:$P$38),"",_xlfn.LET(_xlpm.t,_xlfn.XLOOKUP($A392,Planilha2!$P$2:$P$38,Planilha2!$T$2:$T$38,"",-1),_xlfn.IFS(ISNUMBER(SEARCH("positiva",_xlpm.t)),"Positiva",ISNUMBER(SEARCH("negativa",_xlpm.t)),"Negativa",ISNUMBER(SEARCH("estável",_xlpm.t)),"Estável",TRUE,"n/d")))</f>
        <v>Estável</v>
      </c>
      <c r="L392" s="52">
        <f>IFERROR(_xlfn.XLOOKUP(B392,'Agências de Rating Soberano'!$G$2:$G$22,'Agências de Rating Soberano'!$H$2:$H$22),NA())</f>
        <v>10</v>
      </c>
      <c r="M392" s="52">
        <f>IFERROR(_xlfn.XLOOKUP(C392,'Agências de Rating Soberano'!$G$2:$G$22,'Agências de Rating Soberano'!$H$2:$H$22),NA())</f>
        <v>10</v>
      </c>
      <c r="N392" s="52">
        <f>IFERROR(_xlfn.XLOOKUP(E392,'Agências de Rating Soberano'!$J$2:$J$22,'Agências de Rating Soberano'!$K$2:$K$22),NA())</f>
        <v>9</v>
      </c>
      <c r="O392" s="52">
        <f>IFERROR(_xlfn.XLOOKUP(F392,'Agências de Rating Soberano'!$J$2:$J$22,'Agências de Rating Soberano'!$K$2:$K$22),NA())</f>
        <v>9</v>
      </c>
      <c r="P392" s="52">
        <f>IFERROR(_xlfn.XLOOKUP(H392,'Agências de Rating Soberano'!$J$2:$J$22,'Agências de Rating Soberano'!$K$2:$K$22),NA())</f>
        <v>9</v>
      </c>
      <c r="Q392" s="52">
        <f>IFERROR(_xlfn.XLOOKUP(I392,'Agências de Rating Soberano'!$J$2:$J$22,'Agências de Rating Soberano'!$K$2:$K$22),NA())</f>
        <v>9</v>
      </c>
    </row>
    <row r="393" spans="1:17" x14ac:dyDescent="0.3">
      <c r="A393" s="53">
        <f t="shared" si="13"/>
        <v>43646</v>
      </c>
      <c r="B393" t="str">
        <f>IFERROR(_xlfn.XLOOKUP($A393,Planilha2!$A$2:$A$34,Planilha2!C$2:C$34,"",-1),"")</f>
        <v>Ba2</v>
      </c>
      <c r="C393" t="str">
        <f>IFERROR(_xlfn.XLOOKUP($A393,Planilha2!$A$2:$A$34,Planilha2!D$2:D$34,"",-1),"")</f>
        <v>Ba2</v>
      </c>
      <c r="D393" t="str" cm="1">
        <f t="array" ref="D393">IF($A393&lt;MIN(Planilha2!$A$2:$A$34),"",_xlfn.LET(_xlpm.t,_xlfn.XLOOKUP($A393,Planilha2!$A$2:$A$34,Planilha2!$E$2:$E$34,"",-1),_xlfn.IFS(ISNUMBER(SEARCH("positiva",_xlpm.t)),"Positiva",ISNUMBER(SEARCH("negativa",_xlpm.t)),"Negativa",ISNUMBER(SEARCH("estável",_xlpm.t)),"Estável",TRUE,"n/d")))</f>
        <v>Estável</v>
      </c>
      <c r="E393" t="str">
        <f>IFERROR(_xlfn.XLOOKUP($A393,Planilha2!$J$2:$J$44,Planilha2!L$2:L$44,"",-1),"")</f>
        <v>BB-</v>
      </c>
      <c r="F393" t="str">
        <f>IFERROR(_xlfn.XLOOKUP($A393,Planilha2!$J$2:$J$44,Planilha2!M$2:M$44,"",-1),"")</f>
        <v>BB-</v>
      </c>
      <c r="G393" t="str" cm="1">
        <f t="array" ref="G393">IF($A393&lt;MIN(Planilha2!$J$2:$J$44),"",_xlfn.LET(_xlpm.t,_xlfn.XLOOKUP($A393,Planilha2!$J$2:$J$44,Planilha2!$N$2:$N$44,"",-1),_xlfn.IFS(ISNUMBER(SEARCH("positiva",_xlpm.t)),"Positiva",ISNUMBER(SEARCH("negativa",_xlpm.t)),"Negativa",ISNUMBER(SEARCH("estável",_xlpm.t)),"Estável",TRUE,"n/d")))</f>
        <v>Estável</v>
      </c>
      <c r="H393" t="str">
        <f>IFERROR(_xlfn.XLOOKUP($A393,Planilha2!$P$2:$P$38,Planilha2!R$2:R$38,"",-1),"")</f>
        <v>BB-</v>
      </c>
      <c r="I393" t="str">
        <f>IFERROR(_xlfn.XLOOKUP($A393,Planilha2!$P$2:$P$38,Planilha2!S$2:S$38,"",-1),"")</f>
        <v>BB-</v>
      </c>
      <c r="J393" t="str" cm="1">
        <f t="array" ref="J393">IF($A393&lt;MIN(Planilha2!$P$2:$P$38),"",_xlfn.LET(_xlpm.t,_xlfn.XLOOKUP($A393,Planilha2!$P$2:$P$38,Planilha2!$T$2:$T$38,"",-1),_xlfn.IFS(ISNUMBER(SEARCH("positiva",_xlpm.t)),"Positiva",ISNUMBER(SEARCH("negativa",_xlpm.t)),"Negativa",ISNUMBER(SEARCH("estável",_xlpm.t)),"Estável",TRUE,"n/d")))</f>
        <v>Estável</v>
      </c>
      <c r="L393" s="52">
        <f>IFERROR(_xlfn.XLOOKUP(B393,'Agências de Rating Soberano'!$G$2:$G$22,'Agências de Rating Soberano'!$H$2:$H$22),NA())</f>
        <v>10</v>
      </c>
      <c r="M393" s="52">
        <f>IFERROR(_xlfn.XLOOKUP(C393,'Agências de Rating Soberano'!$G$2:$G$22,'Agências de Rating Soberano'!$H$2:$H$22),NA())</f>
        <v>10</v>
      </c>
      <c r="N393" s="52">
        <f>IFERROR(_xlfn.XLOOKUP(E393,'Agências de Rating Soberano'!$J$2:$J$22,'Agências de Rating Soberano'!$K$2:$K$22),NA())</f>
        <v>9</v>
      </c>
      <c r="O393" s="52">
        <f>IFERROR(_xlfn.XLOOKUP(F393,'Agências de Rating Soberano'!$J$2:$J$22,'Agências de Rating Soberano'!$K$2:$K$22),NA())</f>
        <v>9</v>
      </c>
      <c r="P393" s="52">
        <f>IFERROR(_xlfn.XLOOKUP(H393,'Agências de Rating Soberano'!$J$2:$J$22,'Agências de Rating Soberano'!$K$2:$K$22),NA())</f>
        <v>9</v>
      </c>
      <c r="Q393" s="52">
        <f>IFERROR(_xlfn.XLOOKUP(I393,'Agências de Rating Soberano'!$J$2:$J$22,'Agências de Rating Soberano'!$K$2:$K$22),NA())</f>
        <v>9</v>
      </c>
    </row>
    <row r="394" spans="1:17" x14ac:dyDescent="0.3">
      <c r="A394" s="53">
        <f t="shared" si="13"/>
        <v>43677</v>
      </c>
      <c r="B394" t="str">
        <f>IFERROR(_xlfn.XLOOKUP($A394,Planilha2!$A$2:$A$34,Planilha2!C$2:C$34,"",-1),"")</f>
        <v>Ba2</v>
      </c>
      <c r="C394" t="str">
        <f>IFERROR(_xlfn.XLOOKUP($A394,Planilha2!$A$2:$A$34,Planilha2!D$2:D$34,"",-1),"")</f>
        <v>Ba2</v>
      </c>
      <c r="D394" t="str" cm="1">
        <f t="array" ref="D394">IF($A394&lt;MIN(Planilha2!$A$2:$A$34),"",_xlfn.LET(_xlpm.t,_xlfn.XLOOKUP($A394,Planilha2!$A$2:$A$34,Planilha2!$E$2:$E$34,"",-1),_xlfn.IFS(ISNUMBER(SEARCH("positiva",_xlpm.t)),"Positiva",ISNUMBER(SEARCH("negativa",_xlpm.t)),"Negativa",ISNUMBER(SEARCH("estável",_xlpm.t)),"Estável",TRUE,"n/d")))</f>
        <v>Estável</v>
      </c>
      <c r="E394" t="str">
        <f>IFERROR(_xlfn.XLOOKUP($A394,Planilha2!$J$2:$J$44,Planilha2!L$2:L$44,"",-1),"")</f>
        <v>BB-</v>
      </c>
      <c r="F394" t="str">
        <f>IFERROR(_xlfn.XLOOKUP($A394,Planilha2!$J$2:$J$44,Planilha2!M$2:M$44,"",-1),"")</f>
        <v>BB-</v>
      </c>
      <c r="G394" t="str" cm="1">
        <f t="array" ref="G394">IF($A394&lt;MIN(Planilha2!$J$2:$J$44),"",_xlfn.LET(_xlpm.t,_xlfn.XLOOKUP($A394,Planilha2!$J$2:$J$44,Planilha2!$N$2:$N$44,"",-1),_xlfn.IFS(ISNUMBER(SEARCH("positiva",_xlpm.t)),"Positiva",ISNUMBER(SEARCH("negativa",_xlpm.t)),"Negativa",ISNUMBER(SEARCH("estável",_xlpm.t)),"Estável",TRUE,"n/d")))</f>
        <v>Estável</v>
      </c>
      <c r="H394" t="str">
        <f>IFERROR(_xlfn.XLOOKUP($A394,Planilha2!$P$2:$P$38,Planilha2!R$2:R$38,"",-1),"")</f>
        <v>BB-</v>
      </c>
      <c r="I394" t="str">
        <f>IFERROR(_xlfn.XLOOKUP($A394,Planilha2!$P$2:$P$38,Planilha2!S$2:S$38,"",-1),"")</f>
        <v>BB-</v>
      </c>
      <c r="J394" t="str" cm="1">
        <f t="array" ref="J394">IF($A394&lt;MIN(Planilha2!$P$2:$P$38),"",_xlfn.LET(_xlpm.t,_xlfn.XLOOKUP($A394,Planilha2!$P$2:$P$38,Planilha2!$T$2:$T$38,"",-1),_xlfn.IFS(ISNUMBER(SEARCH("positiva",_xlpm.t)),"Positiva",ISNUMBER(SEARCH("negativa",_xlpm.t)),"Negativa",ISNUMBER(SEARCH("estável",_xlpm.t)),"Estável",TRUE,"n/d")))</f>
        <v>Estável</v>
      </c>
      <c r="L394" s="52">
        <f>IFERROR(_xlfn.XLOOKUP(B394,'Agências de Rating Soberano'!$G$2:$G$22,'Agências de Rating Soberano'!$H$2:$H$22),NA())</f>
        <v>10</v>
      </c>
      <c r="M394" s="52">
        <f>IFERROR(_xlfn.XLOOKUP(C394,'Agências de Rating Soberano'!$G$2:$G$22,'Agências de Rating Soberano'!$H$2:$H$22),NA())</f>
        <v>10</v>
      </c>
      <c r="N394" s="52">
        <f>IFERROR(_xlfn.XLOOKUP(E394,'Agências de Rating Soberano'!$J$2:$J$22,'Agências de Rating Soberano'!$K$2:$K$22),NA())</f>
        <v>9</v>
      </c>
      <c r="O394" s="52">
        <f>IFERROR(_xlfn.XLOOKUP(F394,'Agências de Rating Soberano'!$J$2:$J$22,'Agências de Rating Soberano'!$K$2:$K$22),NA())</f>
        <v>9</v>
      </c>
      <c r="P394" s="52">
        <f>IFERROR(_xlfn.XLOOKUP(H394,'Agências de Rating Soberano'!$J$2:$J$22,'Agências de Rating Soberano'!$K$2:$K$22),NA())</f>
        <v>9</v>
      </c>
      <c r="Q394" s="52">
        <f>IFERROR(_xlfn.XLOOKUP(I394,'Agências de Rating Soberano'!$J$2:$J$22,'Agências de Rating Soberano'!$K$2:$K$22),NA())</f>
        <v>9</v>
      </c>
    </row>
    <row r="395" spans="1:17" x14ac:dyDescent="0.3">
      <c r="A395" s="53">
        <f t="shared" si="13"/>
        <v>43708</v>
      </c>
      <c r="B395" t="str">
        <f>IFERROR(_xlfn.XLOOKUP($A395,Planilha2!$A$2:$A$34,Planilha2!C$2:C$34,"",-1),"")</f>
        <v>Ba2</v>
      </c>
      <c r="C395" t="str">
        <f>IFERROR(_xlfn.XLOOKUP($A395,Planilha2!$A$2:$A$34,Planilha2!D$2:D$34,"",-1),"")</f>
        <v>Ba2</v>
      </c>
      <c r="D395" t="str" cm="1">
        <f t="array" ref="D395">IF($A395&lt;MIN(Planilha2!$A$2:$A$34),"",_xlfn.LET(_xlpm.t,_xlfn.XLOOKUP($A395,Planilha2!$A$2:$A$34,Planilha2!$E$2:$E$34,"",-1),_xlfn.IFS(ISNUMBER(SEARCH("positiva",_xlpm.t)),"Positiva",ISNUMBER(SEARCH("negativa",_xlpm.t)),"Negativa",ISNUMBER(SEARCH("estável",_xlpm.t)),"Estável",TRUE,"n/d")))</f>
        <v>Estável</v>
      </c>
      <c r="E395" t="str">
        <f>IFERROR(_xlfn.XLOOKUP($A395,Planilha2!$J$2:$J$44,Planilha2!L$2:L$44,"",-1),"")</f>
        <v>BB-</v>
      </c>
      <c r="F395" t="str">
        <f>IFERROR(_xlfn.XLOOKUP($A395,Planilha2!$J$2:$J$44,Planilha2!M$2:M$44,"",-1),"")</f>
        <v>BB-</v>
      </c>
      <c r="G395" t="str" cm="1">
        <f t="array" ref="G395">IF($A395&lt;MIN(Planilha2!$J$2:$J$44),"",_xlfn.LET(_xlpm.t,_xlfn.XLOOKUP($A395,Planilha2!$J$2:$J$44,Planilha2!$N$2:$N$44,"",-1),_xlfn.IFS(ISNUMBER(SEARCH("positiva",_xlpm.t)),"Positiva",ISNUMBER(SEARCH("negativa",_xlpm.t)),"Negativa",ISNUMBER(SEARCH("estável",_xlpm.t)),"Estável",TRUE,"n/d")))</f>
        <v>Estável</v>
      </c>
      <c r="H395" t="str">
        <f>IFERROR(_xlfn.XLOOKUP($A395,Planilha2!$P$2:$P$38,Planilha2!R$2:R$38,"",-1),"")</f>
        <v>BB-</v>
      </c>
      <c r="I395" t="str">
        <f>IFERROR(_xlfn.XLOOKUP($A395,Planilha2!$P$2:$P$38,Planilha2!S$2:S$38,"",-1),"")</f>
        <v>BB-</v>
      </c>
      <c r="J395" t="str" cm="1">
        <f t="array" ref="J395">IF($A395&lt;MIN(Planilha2!$P$2:$P$38),"",_xlfn.LET(_xlpm.t,_xlfn.XLOOKUP($A395,Planilha2!$P$2:$P$38,Planilha2!$T$2:$T$38,"",-1),_xlfn.IFS(ISNUMBER(SEARCH("positiva",_xlpm.t)),"Positiva",ISNUMBER(SEARCH("negativa",_xlpm.t)),"Negativa",ISNUMBER(SEARCH("estável",_xlpm.t)),"Estável",TRUE,"n/d")))</f>
        <v>Estável</v>
      </c>
      <c r="L395" s="52">
        <f>IFERROR(_xlfn.XLOOKUP(B395,'Agências de Rating Soberano'!$G$2:$G$22,'Agências de Rating Soberano'!$H$2:$H$22),NA())</f>
        <v>10</v>
      </c>
      <c r="M395" s="52">
        <f>IFERROR(_xlfn.XLOOKUP(C395,'Agências de Rating Soberano'!$G$2:$G$22,'Agências de Rating Soberano'!$H$2:$H$22),NA())</f>
        <v>10</v>
      </c>
      <c r="N395" s="52">
        <f>IFERROR(_xlfn.XLOOKUP(E395,'Agências de Rating Soberano'!$J$2:$J$22,'Agências de Rating Soberano'!$K$2:$K$22),NA())</f>
        <v>9</v>
      </c>
      <c r="O395" s="52">
        <f>IFERROR(_xlfn.XLOOKUP(F395,'Agências de Rating Soberano'!$J$2:$J$22,'Agências de Rating Soberano'!$K$2:$K$22),NA())</f>
        <v>9</v>
      </c>
      <c r="P395" s="52">
        <f>IFERROR(_xlfn.XLOOKUP(H395,'Agências de Rating Soberano'!$J$2:$J$22,'Agências de Rating Soberano'!$K$2:$K$22),NA())</f>
        <v>9</v>
      </c>
      <c r="Q395" s="52">
        <f>IFERROR(_xlfn.XLOOKUP(I395,'Agências de Rating Soberano'!$J$2:$J$22,'Agências de Rating Soberano'!$K$2:$K$22),NA())</f>
        <v>9</v>
      </c>
    </row>
    <row r="396" spans="1:17" x14ac:dyDescent="0.3">
      <c r="A396" s="53">
        <f t="shared" si="13"/>
        <v>43738</v>
      </c>
      <c r="B396" t="str">
        <f>IFERROR(_xlfn.XLOOKUP($A396,Planilha2!$A$2:$A$34,Planilha2!C$2:C$34,"",-1),"")</f>
        <v>Ba2</v>
      </c>
      <c r="C396" t="str">
        <f>IFERROR(_xlfn.XLOOKUP($A396,Planilha2!$A$2:$A$34,Planilha2!D$2:D$34,"",-1),"")</f>
        <v>Ba2</v>
      </c>
      <c r="D396" t="str" cm="1">
        <f t="array" ref="D396">IF($A396&lt;MIN(Planilha2!$A$2:$A$34),"",_xlfn.LET(_xlpm.t,_xlfn.XLOOKUP($A396,Planilha2!$A$2:$A$34,Planilha2!$E$2:$E$34,"",-1),_xlfn.IFS(ISNUMBER(SEARCH("positiva",_xlpm.t)),"Positiva",ISNUMBER(SEARCH("negativa",_xlpm.t)),"Negativa",ISNUMBER(SEARCH("estável",_xlpm.t)),"Estável",TRUE,"n/d")))</f>
        <v>Estável</v>
      </c>
      <c r="E396" t="str">
        <f>IFERROR(_xlfn.XLOOKUP($A396,Planilha2!$J$2:$J$44,Planilha2!L$2:L$44,"",-1),"")</f>
        <v>BB-</v>
      </c>
      <c r="F396" t="str">
        <f>IFERROR(_xlfn.XLOOKUP($A396,Planilha2!$J$2:$J$44,Planilha2!M$2:M$44,"",-1),"")</f>
        <v>BB-</v>
      </c>
      <c r="G396" t="str" cm="1">
        <f t="array" ref="G396">IF($A396&lt;MIN(Planilha2!$J$2:$J$44),"",_xlfn.LET(_xlpm.t,_xlfn.XLOOKUP($A396,Planilha2!$J$2:$J$44,Planilha2!$N$2:$N$44,"",-1),_xlfn.IFS(ISNUMBER(SEARCH("positiva",_xlpm.t)),"Positiva",ISNUMBER(SEARCH("negativa",_xlpm.t)),"Negativa",ISNUMBER(SEARCH("estável",_xlpm.t)),"Estável",TRUE,"n/d")))</f>
        <v>Estável</v>
      </c>
      <c r="H396" t="str">
        <f>IFERROR(_xlfn.XLOOKUP($A396,Planilha2!$P$2:$P$38,Planilha2!R$2:R$38,"",-1),"")</f>
        <v>BB-</v>
      </c>
      <c r="I396" t="str">
        <f>IFERROR(_xlfn.XLOOKUP($A396,Planilha2!$P$2:$P$38,Planilha2!S$2:S$38,"",-1),"")</f>
        <v>BB-</v>
      </c>
      <c r="J396" t="str" cm="1">
        <f t="array" ref="J396">IF($A396&lt;MIN(Planilha2!$P$2:$P$38),"",_xlfn.LET(_xlpm.t,_xlfn.XLOOKUP($A396,Planilha2!$P$2:$P$38,Planilha2!$T$2:$T$38,"",-1),_xlfn.IFS(ISNUMBER(SEARCH("positiva",_xlpm.t)),"Positiva",ISNUMBER(SEARCH("negativa",_xlpm.t)),"Negativa",ISNUMBER(SEARCH("estável",_xlpm.t)),"Estável",TRUE,"n/d")))</f>
        <v>Estável</v>
      </c>
      <c r="L396" s="52">
        <f>IFERROR(_xlfn.XLOOKUP(B396,'Agências de Rating Soberano'!$G$2:$G$22,'Agências de Rating Soberano'!$H$2:$H$22),NA())</f>
        <v>10</v>
      </c>
      <c r="M396" s="52">
        <f>IFERROR(_xlfn.XLOOKUP(C396,'Agências de Rating Soberano'!$G$2:$G$22,'Agências de Rating Soberano'!$H$2:$H$22),NA())</f>
        <v>10</v>
      </c>
      <c r="N396" s="52">
        <f>IFERROR(_xlfn.XLOOKUP(E396,'Agências de Rating Soberano'!$J$2:$J$22,'Agências de Rating Soberano'!$K$2:$K$22),NA())</f>
        <v>9</v>
      </c>
      <c r="O396" s="52">
        <f>IFERROR(_xlfn.XLOOKUP(F396,'Agências de Rating Soberano'!$J$2:$J$22,'Agências de Rating Soberano'!$K$2:$K$22),NA())</f>
        <v>9</v>
      </c>
      <c r="P396" s="52">
        <f>IFERROR(_xlfn.XLOOKUP(H396,'Agências de Rating Soberano'!$J$2:$J$22,'Agências de Rating Soberano'!$K$2:$K$22),NA())</f>
        <v>9</v>
      </c>
      <c r="Q396" s="52">
        <f>IFERROR(_xlfn.XLOOKUP(I396,'Agências de Rating Soberano'!$J$2:$J$22,'Agências de Rating Soberano'!$K$2:$K$22),NA())</f>
        <v>9</v>
      </c>
    </row>
    <row r="397" spans="1:17" x14ac:dyDescent="0.3">
      <c r="A397" s="53">
        <f t="shared" si="13"/>
        <v>43769</v>
      </c>
      <c r="B397" t="str">
        <f>IFERROR(_xlfn.XLOOKUP($A397,Planilha2!$A$2:$A$34,Planilha2!C$2:C$34,"",-1),"")</f>
        <v>Ba2</v>
      </c>
      <c r="C397" t="str">
        <f>IFERROR(_xlfn.XLOOKUP($A397,Planilha2!$A$2:$A$34,Planilha2!D$2:D$34,"",-1),"")</f>
        <v>Ba2</v>
      </c>
      <c r="D397" t="str" cm="1">
        <f t="array" ref="D397">IF($A397&lt;MIN(Planilha2!$A$2:$A$34),"",_xlfn.LET(_xlpm.t,_xlfn.XLOOKUP($A397,Planilha2!$A$2:$A$34,Planilha2!$E$2:$E$34,"",-1),_xlfn.IFS(ISNUMBER(SEARCH("positiva",_xlpm.t)),"Positiva",ISNUMBER(SEARCH("negativa",_xlpm.t)),"Negativa",ISNUMBER(SEARCH("estável",_xlpm.t)),"Estável",TRUE,"n/d")))</f>
        <v>Estável</v>
      </c>
      <c r="E397" t="str">
        <f>IFERROR(_xlfn.XLOOKUP($A397,Planilha2!$J$2:$J$44,Planilha2!L$2:L$44,"",-1),"")</f>
        <v>BB-</v>
      </c>
      <c r="F397" t="str">
        <f>IFERROR(_xlfn.XLOOKUP($A397,Planilha2!$J$2:$J$44,Planilha2!M$2:M$44,"",-1),"")</f>
        <v>BB-</v>
      </c>
      <c r="G397" t="str" cm="1">
        <f t="array" ref="G397">IF($A397&lt;MIN(Planilha2!$J$2:$J$44),"",_xlfn.LET(_xlpm.t,_xlfn.XLOOKUP($A397,Planilha2!$J$2:$J$44,Planilha2!$N$2:$N$44,"",-1),_xlfn.IFS(ISNUMBER(SEARCH("positiva",_xlpm.t)),"Positiva",ISNUMBER(SEARCH("negativa",_xlpm.t)),"Negativa",ISNUMBER(SEARCH("estável",_xlpm.t)),"Estável",TRUE,"n/d")))</f>
        <v>Estável</v>
      </c>
      <c r="H397" t="str">
        <f>IFERROR(_xlfn.XLOOKUP($A397,Planilha2!$P$2:$P$38,Planilha2!R$2:R$38,"",-1),"")</f>
        <v>BB-</v>
      </c>
      <c r="I397" t="str">
        <f>IFERROR(_xlfn.XLOOKUP($A397,Planilha2!$P$2:$P$38,Planilha2!S$2:S$38,"",-1),"")</f>
        <v>BB-</v>
      </c>
      <c r="J397" t="str" cm="1">
        <f t="array" ref="J397">IF($A397&lt;MIN(Planilha2!$P$2:$P$38),"",_xlfn.LET(_xlpm.t,_xlfn.XLOOKUP($A397,Planilha2!$P$2:$P$38,Planilha2!$T$2:$T$38,"",-1),_xlfn.IFS(ISNUMBER(SEARCH("positiva",_xlpm.t)),"Positiva",ISNUMBER(SEARCH("negativa",_xlpm.t)),"Negativa",ISNUMBER(SEARCH("estável",_xlpm.t)),"Estável",TRUE,"n/d")))</f>
        <v>Estável</v>
      </c>
      <c r="L397" s="52">
        <f>IFERROR(_xlfn.XLOOKUP(B397,'Agências de Rating Soberano'!$G$2:$G$22,'Agências de Rating Soberano'!$H$2:$H$22),NA())</f>
        <v>10</v>
      </c>
      <c r="M397" s="52">
        <f>IFERROR(_xlfn.XLOOKUP(C397,'Agências de Rating Soberano'!$G$2:$G$22,'Agências de Rating Soberano'!$H$2:$H$22),NA())</f>
        <v>10</v>
      </c>
      <c r="N397" s="52">
        <f>IFERROR(_xlfn.XLOOKUP(E397,'Agências de Rating Soberano'!$J$2:$J$22,'Agências de Rating Soberano'!$K$2:$K$22),NA())</f>
        <v>9</v>
      </c>
      <c r="O397" s="52">
        <f>IFERROR(_xlfn.XLOOKUP(F397,'Agências de Rating Soberano'!$J$2:$J$22,'Agências de Rating Soberano'!$K$2:$K$22),NA())</f>
        <v>9</v>
      </c>
      <c r="P397" s="52">
        <f>IFERROR(_xlfn.XLOOKUP(H397,'Agências de Rating Soberano'!$J$2:$J$22,'Agências de Rating Soberano'!$K$2:$K$22),NA())</f>
        <v>9</v>
      </c>
      <c r="Q397" s="52">
        <f>IFERROR(_xlfn.XLOOKUP(I397,'Agências de Rating Soberano'!$J$2:$J$22,'Agências de Rating Soberano'!$K$2:$K$22),NA())</f>
        <v>9</v>
      </c>
    </row>
    <row r="398" spans="1:17" x14ac:dyDescent="0.3">
      <c r="A398" s="53">
        <f t="shared" si="13"/>
        <v>43799</v>
      </c>
      <c r="B398" t="str">
        <f>IFERROR(_xlfn.XLOOKUP($A398,Planilha2!$A$2:$A$34,Planilha2!C$2:C$34,"",-1),"")</f>
        <v>Ba2</v>
      </c>
      <c r="C398" t="str">
        <f>IFERROR(_xlfn.XLOOKUP($A398,Planilha2!$A$2:$A$34,Planilha2!D$2:D$34,"",-1),"")</f>
        <v>Ba2</v>
      </c>
      <c r="D398" t="str" cm="1">
        <f t="array" ref="D398">IF($A398&lt;MIN(Planilha2!$A$2:$A$34),"",_xlfn.LET(_xlpm.t,_xlfn.XLOOKUP($A398,Planilha2!$A$2:$A$34,Planilha2!$E$2:$E$34,"",-1),_xlfn.IFS(ISNUMBER(SEARCH("positiva",_xlpm.t)),"Positiva",ISNUMBER(SEARCH("negativa",_xlpm.t)),"Negativa",ISNUMBER(SEARCH("estável",_xlpm.t)),"Estável",TRUE,"n/d")))</f>
        <v>Estável</v>
      </c>
      <c r="E398" t="str">
        <f>IFERROR(_xlfn.XLOOKUP($A398,Planilha2!$J$2:$J$44,Planilha2!L$2:L$44,"",-1),"")</f>
        <v>BB-</v>
      </c>
      <c r="F398" t="str">
        <f>IFERROR(_xlfn.XLOOKUP($A398,Planilha2!$J$2:$J$44,Planilha2!M$2:M$44,"",-1),"")</f>
        <v>BB-</v>
      </c>
      <c r="G398" t="str" cm="1">
        <f t="array" ref="G398">IF($A398&lt;MIN(Planilha2!$J$2:$J$44),"",_xlfn.LET(_xlpm.t,_xlfn.XLOOKUP($A398,Planilha2!$J$2:$J$44,Planilha2!$N$2:$N$44,"",-1),_xlfn.IFS(ISNUMBER(SEARCH("positiva",_xlpm.t)),"Positiva",ISNUMBER(SEARCH("negativa",_xlpm.t)),"Negativa",ISNUMBER(SEARCH("estável",_xlpm.t)),"Estável",TRUE,"n/d")))</f>
        <v>Estável</v>
      </c>
      <c r="H398" t="str">
        <f>IFERROR(_xlfn.XLOOKUP($A398,Planilha2!$P$2:$P$38,Planilha2!R$2:R$38,"",-1),"")</f>
        <v>BB-</v>
      </c>
      <c r="I398" t="str">
        <f>IFERROR(_xlfn.XLOOKUP($A398,Planilha2!$P$2:$P$38,Planilha2!S$2:S$38,"",-1),"")</f>
        <v>BB-</v>
      </c>
      <c r="J398" t="str" cm="1">
        <f t="array" ref="J398">IF($A398&lt;MIN(Planilha2!$P$2:$P$38),"",_xlfn.LET(_xlpm.t,_xlfn.XLOOKUP($A398,Planilha2!$P$2:$P$38,Planilha2!$T$2:$T$38,"",-1),_xlfn.IFS(ISNUMBER(SEARCH("positiva",_xlpm.t)),"Positiva",ISNUMBER(SEARCH("negativa",_xlpm.t)),"Negativa",ISNUMBER(SEARCH("estável",_xlpm.t)),"Estável",TRUE,"n/d")))</f>
        <v>Estável</v>
      </c>
      <c r="L398" s="52">
        <f>IFERROR(_xlfn.XLOOKUP(B398,'Agências de Rating Soberano'!$G$2:$G$22,'Agências de Rating Soberano'!$H$2:$H$22),NA())</f>
        <v>10</v>
      </c>
      <c r="M398" s="52">
        <f>IFERROR(_xlfn.XLOOKUP(C398,'Agências de Rating Soberano'!$G$2:$G$22,'Agências de Rating Soberano'!$H$2:$H$22),NA())</f>
        <v>10</v>
      </c>
      <c r="N398" s="52">
        <f>IFERROR(_xlfn.XLOOKUP(E398,'Agências de Rating Soberano'!$J$2:$J$22,'Agências de Rating Soberano'!$K$2:$K$22),NA())</f>
        <v>9</v>
      </c>
      <c r="O398" s="52">
        <f>IFERROR(_xlfn.XLOOKUP(F398,'Agências de Rating Soberano'!$J$2:$J$22,'Agências de Rating Soberano'!$K$2:$K$22),NA())</f>
        <v>9</v>
      </c>
      <c r="P398" s="52">
        <f>IFERROR(_xlfn.XLOOKUP(H398,'Agências de Rating Soberano'!$J$2:$J$22,'Agências de Rating Soberano'!$K$2:$K$22),NA())</f>
        <v>9</v>
      </c>
      <c r="Q398" s="52">
        <f>IFERROR(_xlfn.XLOOKUP(I398,'Agências de Rating Soberano'!$J$2:$J$22,'Agências de Rating Soberano'!$K$2:$K$22),NA())</f>
        <v>9</v>
      </c>
    </row>
    <row r="399" spans="1:17" x14ac:dyDescent="0.3">
      <c r="A399" s="53">
        <f t="shared" si="13"/>
        <v>43830</v>
      </c>
      <c r="B399" t="str">
        <f>IFERROR(_xlfn.XLOOKUP($A399,Planilha2!$A$2:$A$34,Planilha2!C$2:C$34,"",-1),"")</f>
        <v>Ba2</v>
      </c>
      <c r="C399" t="str">
        <f>IFERROR(_xlfn.XLOOKUP($A399,Planilha2!$A$2:$A$34,Planilha2!D$2:D$34,"",-1),"")</f>
        <v>Ba2</v>
      </c>
      <c r="D399" t="str" cm="1">
        <f t="array" ref="D399">IF($A399&lt;MIN(Planilha2!$A$2:$A$34),"",_xlfn.LET(_xlpm.t,_xlfn.XLOOKUP($A399,Planilha2!$A$2:$A$34,Planilha2!$E$2:$E$34,"",-1),_xlfn.IFS(ISNUMBER(SEARCH("positiva",_xlpm.t)),"Positiva",ISNUMBER(SEARCH("negativa",_xlpm.t)),"Negativa",ISNUMBER(SEARCH("estável",_xlpm.t)),"Estável",TRUE,"n/d")))</f>
        <v>Estável</v>
      </c>
      <c r="E399" t="str">
        <f>IFERROR(_xlfn.XLOOKUP($A399,Planilha2!$J$2:$J$44,Planilha2!L$2:L$44,"",-1),"")</f>
        <v>BB-</v>
      </c>
      <c r="F399" t="str">
        <f>IFERROR(_xlfn.XLOOKUP($A399,Planilha2!$J$2:$J$44,Planilha2!M$2:M$44,"",-1),"")</f>
        <v>BB-</v>
      </c>
      <c r="G399" t="str" cm="1">
        <f t="array" ref="G399">IF($A399&lt;MIN(Planilha2!$J$2:$J$44),"",_xlfn.LET(_xlpm.t,_xlfn.XLOOKUP($A399,Planilha2!$J$2:$J$44,Planilha2!$N$2:$N$44,"",-1),_xlfn.IFS(ISNUMBER(SEARCH("positiva",_xlpm.t)),"Positiva",ISNUMBER(SEARCH("negativa",_xlpm.t)),"Negativa",ISNUMBER(SEARCH("estável",_xlpm.t)),"Estável",TRUE,"n/d")))</f>
        <v>Estável</v>
      </c>
      <c r="H399" t="str">
        <f>IFERROR(_xlfn.XLOOKUP($A399,Planilha2!$P$2:$P$38,Planilha2!R$2:R$38,"",-1),"")</f>
        <v>BB-</v>
      </c>
      <c r="I399" t="str">
        <f>IFERROR(_xlfn.XLOOKUP($A399,Planilha2!$P$2:$P$38,Planilha2!S$2:S$38,"",-1),"")</f>
        <v>BB-</v>
      </c>
      <c r="J399" t="str" cm="1">
        <f t="array" ref="J399">IF($A399&lt;MIN(Planilha2!$P$2:$P$38),"",_xlfn.LET(_xlpm.t,_xlfn.XLOOKUP($A399,Planilha2!$P$2:$P$38,Planilha2!$T$2:$T$38,"",-1),_xlfn.IFS(ISNUMBER(SEARCH("positiva",_xlpm.t)),"Positiva",ISNUMBER(SEARCH("negativa",_xlpm.t)),"Negativa",ISNUMBER(SEARCH("estável",_xlpm.t)),"Estável",TRUE,"n/d")))</f>
        <v>Positiva</v>
      </c>
      <c r="L399" s="52">
        <f>IFERROR(_xlfn.XLOOKUP(B399,'Agências de Rating Soberano'!$G$2:$G$22,'Agências de Rating Soberano'!$H$2:$H$22),NA())</f>
        <v>10</v>
      </c>
      <c r="M399" s="52">
        <f>IFERROR(_xlfn.XLOOKUP(C399,'Agências de Rating Soberano'!$G$2:$G$22,'Agências de Rating Soberano'!$H$2:$H$22),NA())</f>
        <v>10</v>
      </c>
      <c r="N399" s="52">
        <f>IFERROR(_xlfn.XLOOKUP(E399,'Agências de Rating Soberano'!$J$2:$J$22,'Agências de Rating Soberano'!$K$2:$K$22),NA())</f>
        <v>9</v>
      </c>
      <c r="O399" s="52">
        <f>IFERROR(_xlfn.XLOOKUP(F399,'Agências de Rating Soberano'!$J$2:$J$22,'Agências de Rating Soberano'!$K$2:$K$22),NA())</f>
        <v>9</v>
      </c>
      <c r="P399" s="52">
        <f>IFERROR(_xlfn.XLOOKUP(H399,'Agências de Rating Soberano'!$J$2:$J$22,'Agências de Rating Soberano'!$K$2:$K$22),NA())</f>
        <v>9</v>
      </c>
      <c r="Q399" s="52">
        <f>IFERROR(_xlfn.XLOOKUP(I399,'Agências de Rating Soberano'!$J$2:$J$22,'Agências de Rating Soberano'!$K$2:$K$22),NA())</f>
        <v>9</v>
      </c>
    </row>
    <row r="400" spans="1:17" x14ac:dyDescent="0.3">
      <c r="A400" s="53">
        <f t="shared" si="13"/>
        <v>43861</v>
      </c>
      <c r="B400" t="str">
        <f>IFERROR(_xlfn.XLOOKUP($A400,Planilha2!$A$2:$A$34,Planilha2!C$2:C$34,"",-1),"")</f>
        <v>Ba2</v>
      </c>
      <c r="C400" t="str">
        <f>IFERROR(_xlfn.XLOOKUP($A400,Planilha2!$A$2:$A$34,Planilha2!D$2:D$34,"",-1),"")</f>
        <v>Ba2</v>
      </c>
      <c r="D400" t="str" cm="1">
        <f t="array" ref="D400">IF($A400&lt;MIN(Planilha2!$A$2:$A$34),"",_xlfn.LET(_xlpm.t,_xlfn.XLOOKUP($A400,Planilha2!$A$2:$A$34,Planilha2!$E$2:$E$34,"",-1),_xlfn.IFS(ISNUMBER(SEARCH("positiva",_xlpm.t)),"Positiva",ISNUMBER(SEARCH("negativa",_xlpm.t)),"Negativa",ISNUMBER(SEARCH("estável",_xlpm.t)),"Estável",TRUE,"n/d")))</f>
        <v>Estável</v>
      </c>
      <c r="E400" t="str">
        <f>IFERROR(_xlfn.XLOOKUP($A400,Planilha2!$J$2:$J$44,Planilha2!L$2:L$44,"",-1),"")</f>
        <v>BB-</v>
      </c>
      <c r="F400" t="str">
        <f>IFERROR(_xlfn.XLOOKUP($A400,Planilha2!$J$2:$J$44,Planilha2!M$2:M$44,"",-1),"")</f>
        <v>BB-</v>
      </c>
      <c r="G400" t="str" cm="1">
        <f t="array" ref="G400">IF($A400&lt;MIN(Planilha2!$J$2:$J$44),"",_xlfn.LET(_xlpm.t,_xlfn.XLOOKUP($A400,Planilha2!$J$2:$J$44,Planilha2!$N$2:$N$44,"",-1),_xlfn.IFS(ISNUMBER(SEARCH("positiva",_xlpm.t)),"Positiva",ISNUMBER(SEARCH("negativa",_xlpm.t)),"Negativa",ISNUMBER(SEARCH("estável",_xlpm.t)),"Estável",TRUE,"n/d")))</f>
        <v>Estável</v>
      </c>
      <c r="H400" t="str">
        <f>IFERROR(_xlfn.XLOOKUP($A400,Planilha2!$P$2:$P$38,Planilha2!R$2:R$38,"",-1),"")</f>
        <v>BB-</v>
      </c>
      <c r="I400" t="str">
        <f>IFERROR(_xlfn.XLOOKUP($A400,Planilha2!$P$2:$P$38,Planilha2!S$2:S$38,"",-1),"")</f>
        <v>BB-</v>
      </c>
      <c r="J400" t="str" cm="1">
        <f t="array" ref="J400">IF($A400&lt;MIN(Planilha2!$P$2:$P$38),"",_xlfn.LET(_xlpm.t,_xlfn.XLOOKUP($A400,Planilha2!$P$2:$P$38,Planilha2!$T$2:$T$38,"",-1),_xlfn.IFS(ISNUMBER(SEARCH("positiva",_xlpm.t)),"Positiva",ISNUMBER(SEARCH("negativa",_xlpm.t)),"Negativa",ISNUMBER(SEARCH("estável",_xlpm.t)),"Estável",TRUE,"n/d")))</f>
        <v>Positiva</v>
      </c>
      <c r="L400" s="52">
        <f>IFERROR(_xlfn.XLOOKUP(B400,'Agências de Rating Soberano'!$G$2:$G$22,'Agências de Rating Soberano'!$H$2:$H$22),NA())</f>
        <v>10</v>
      </c>
      <c r="M400" s="52">
        <f>IFERROR(_xlfn.XLOOKUP(C400,'Agências de Rating Soberano'!$G$2:$G$22,'Agências de Rating Soberano'!$H$2:$H$22),NA())</f>
        <v>10</v>
      </c>
      <c r="N400" s="52">
        <f>IFERROR(_xlfn.XLOOKUP(E400,'Agências de Rating Soberano'!$J$2:$J$22,'Agências de Rating Soberano'!$K$2:$K$22),NA())</f>
        <v>9</v>
      </c>
      <c r="O400" s="52">
        <f>IFERROR(_xlfn.XLOOKUP(F400,'Agências de Rating Soberano'!$J$2:$J$22,'Agências de Rating Soberano'!$K$2:$K$22),NA())</f>
        <v>9</v>
      </c>
      <c r="P400" s="52">
        <f>IFERROR(_xlfn.XLOOKUP(H400,'Agências de Rating Soberano'!$J$2:$J$22,'Agências de Rating Soberano'!$K$2:$K$22),NA())</f>
        <v>9</v>
      </c>
      <c r="Q400" s="52">
        <f>IFERROR(_xlfn.XLOOKUP(I400,'Agências de Rating Soberano'!$J$2:$J$22,'Agências de Rating Soberano'!$K$2:$K$22),NA())</f>
        <v>9</v>
      </c>
    </row>
    <row r="401" spans="1:17" x14ac:dyDescent="0.3">
      <c r="A401" s="53">
        <f t="shared" si="13"/>
        <v>43890</v>
      </c>
      <c r="B401" t="str">
        <f>IFERROR(_xlfn.XLOOKUP($A401,Planilha2!$A$2:$A$34,Planilha2!C$2:C$34,"",-1),"")</f>
        <v>Ba2</v>
      </c>
      <c r="C401" t="str">
        <f>IFERROR(_xlfn.XLOOKUP($A401,Planilha2!$A$2:$A$34,Planilha2!D$2:D$34,"",-1),"")</f>
        <v>Ba2</v>
      </c>
      <c r="D401" t="str" cm="1">
        <f t="array" ref="D401">IF($A401&lt;MIN(Planilha2!$A$2:$A$34),"",_xlfn.LET(_xlpm.t,_xlfn.XLOOKUP($A401,Planilha2!$A$2:$A$34,Planilha2!$E$2:$E$34,"",-1),_xlfn.IFS(ISNUMBER(SEARCH("positiva",_xlpm.t)),"Positiva",ISNUMBER(SEARCH("negativa",_xlpm.t)),"Negativa",ISNUMBER(SEARCH("estável",_xlpm.t)),"Estável",TRUE,"n/d")))</f>
        <v>Estável</v>
      </c>
      <c r="E401" t="str">
        <f>IFERROR(_xlfn.XLOOKUP($A401,Planilha2!$J$2:$J$44,Planilha2!L$2:L$44,"",-1),"")</f>
        <v>BB-</v>
      </c>
      <c r="F401" t="str">
        <f>IFERROR(_xlfn.XLOOKUP($A401,Planilha2!$J$2:$J$44,Planilha2!M$2:M$44,"",-1),"")</f>
        <v>BB-</v>
      </c>
      <c r="G401" t="str" cm="1">
        <f t="array" ref="G401">IF($A401&lt;MIN(Planilha2!$J$2:$J$44),"",_xlfn.LET(_xlpm.t,_xlfn.XLOOKUP($A401,Planilha2!$J$2:$J$44,Planilha2!$N$2:$N$44,"",-1),_xlfn.IFS(ISNUMBER(SEARCH("positiva",_xlpm.t)),"Positiva",ISNUMBER(SEARCH("negativa",_xlpm.t)),"Negativa",ISNUMBER(SEARCH("estável",_xlpm.t)),"Estável",TRUE,"n/d")))</f>
        <v>Estável</v>
      </c>
      <c r="H401" t="str">
        <f>IFERROR(_xlfn.XLOOKUP($A401,Planilha2!$P$2:$P$38,Planilha2!R$2:R$38,"",-1),"")</f>
        <v>BB-</v>
      </c>
      <c r="I401" t="str">
        <f>IFERROR(_xlfn.XLOOKUP($A401,Planilha2!$P$2:$P$38,Planilha2!S$2:S$38,"",-1),"")</f>
        <v>BB-</v>
      </c>
      <c r="J401" t="str" cm="1">
        <f t="array" ref="J401">IF($A401&lt;MIN(Planilha2!$P$2:$P$38),"",_xlfn.LET(_xlpm.t,_xlfn.XLOOKUP($A401,Planilha2!$P$2:$P$38,Planilha2!$T$2:$T$38,"",-1),_xlfn.IFS(ISNUMBER(SEARCH("positiva",_xlpm.t)),"Positiva",ISNUMBER(SEARCH("negativa",_xlpm.t)),"Negativa",ISNUMBER(SEARCH("estável",_xlpm.t)),"Estável",TRUE,"n/d")))</f>
        <v>Positiva</v>
      </c>
      <c r="L401" s="52">
        <f>IFERROR(_xlfn.XLOOKUP(B401,'Agências de Rating Soberano'!$G$2:$G$22,'Agências de Rating Soberano'!$H$2:$H$22),NA())</f>
        <v>10</v>
      </c>
      <c r="M401" s="52">
        <f>IFERROR(_xlfn.XLOOKUP(C401,'Agências de Rating Soberano'!$G$2:$G$22,'Agências de Rating Soberano'!$H$2:$H$22),NA())</f>
        <v>10</v>
      </c>
      <c r="N401" s="52">
        <f>IFERROR(_xlfn.XLOOKUP(E401,'Agências de Rating Soberano'!$J$2:$J$22,'Agências de Rating Soberano'!$K$2:$K$22),NA())</f>
        <v>9</v>
      </c>
      <c r="O401" s="52">
        <f>IFERROR(_xlfn.XLOOKUP(F401,'Agências de Rating Soberano'!$J$2:$J$22,'Agências de Rating Soberano'!$K$2:$K$22),NA())</f>
        <v>9</v>
      </c>
      <c r="P401" s="52">
        <f>IFERROR(_xlfn.XLOOKUP(H401,'Agências de Rating Soberano'!$J$2:$J$22,'Agências de Rating Soberano'!$K$2:$K$22),NA())</f>
        <v>9</v>
      </c>
      <c r="Q401" s="52">
        <f>IFERROR(_xlfn.XLOOKUP(I401,'Agências de Rating Soberano'!$J$2:$J$22,'Agências de Rating Soberano'!$K$2:$K$22),NA())</f>
        <v>9</v>
      </c>
    </row>
    <row r="402" spans="1:17" x14ac:dyDescent="0.3">
      <c r="A402" s="53">
        <f t="shared" si="13"/>
        <v>43921</v>
      </c>
      <c r="B402" t="str">
        <f>IFERROR(_xlfn.XLOOKUP($A402,Planilha2!$A$2:$A$34,Planilha2!C$2:C$34,"",-1),"")</f>
        <v>Ba2</v>
      </c>
      <c r="C402" t="str">
        <f>IFERROR(_xlfn.XLOOKUP($A402,Planilha2!$A$2:$A$34,Planilha2!D$2:D$34,"",-1),"")</f>
        <v>Ba2</v>
      </c>
      <c r="D402" t="str" cm="1">
        <f t="array" ref="D402">IF($A402&lt;MIN(Planilha2!$A$2:$A$34),"",_xlfn.LET(_xlpm.t,_xlfn.XLOOKUP($A402,Planilha2!$A$2:$A$34,Planilha2!$E$2:$E$34,"",-1),_xlfn.IFS(ISNUMBER(SEARCH("positiva",_xlpm.t)),"Positiva",ISNUMBER(SEARCH("negativa",_xlpm.t)),"Negativa",ISNUMBER(SEARCH("estável",_xlpm.t)),"Estável",TRUE,"n/d")))</f>
        <v>Estável</v>
      </c>
      <c r="E402" t="str">
        <f>IFERROR(_xlfn.XLOOKUP($A402,Planilha2!$J$2:$J$44,Planilha2!L$2:L$44,"",-1),"")</f>
        <v>BB-</v>
      </c>
      <c r="F402" t="str">
        <f>IFERROR(_xlfn.XLOOKUP($A402,Planilha2!$J$2:$J$44,Planilha2!M$2:M$44,"",-1),"")</f>
        <v>BB-</v>
      </c>
      <c r="G402" t="str" cm="1">
        <f t="array" ref="G402">IF($A402&lt;MIN(Planilha2!$J$2:$J$44),"",_xlfn.LET(_xlpm.t,_xlfn.XLOOKUP($A402,Planilha2!$J$2:$J$44,Planilha2!$N$2:$N$44,"",-1),_xlfn.IFS(ISNUMBER(SEARCH("positiva",_xlpm.t)),"Positiva",ISNUMBER(SEARCH("negativa",_xlpm.t)),"Negativa",ISNUMBER(SEARCH("estável",_xlpm.t)),"Estável",TRUE,"n/d")))</f>
        <v>Estável</v>
      </c>
      <c r="H402" t="str">
        <f>IFERROR(_xlfn.XLOOKUP($A402,Planilha2!$P$2:$P$38,Planilha2!R$2:R$38,"",-1),"")</f>
        <v>BB-</v>
      </c>
      <c r="I402" t="str">
        <f>IFERROR(_xlfn.XLOOKUP($A402,Planilha2!$P$2:$P$38,Planilha2!S$2:S$38,"",-1),"")</f>
        <v>BB-</v>
      </c>
      <c r="J402" t="str" cm="1">
        <f t="array" ref="J402">IF($A402&lt;MIN(Planilha2!$P$2:$P$38),"",_xlfn.LET(_xlpm.t,_xlfn.XLOOKUP($A402,Planilha2!$P$2:$P$38,Planilha2!$T$2:$T$38,"",-1),_xlfn.IFS(ISNUMBER(SEARCH("positiva",_xlpm.t)),"Positiva",ISNUMBER(SEARCH("negativa",_xlpm.t)),"Negativa",ISNUMBER(SEARCH("estável",_xlpm.t)),"Estável",TRUE,"n/d")))</f>
        <v>Positiva</v>
      </c>
      <c r="L402" s="52">
        <f>IFERROR(_xlfn.XLOOKUP(B402,'Agências de Rating Soberano'!$G$2:$G$22,'Agências de Rating Soberano'!$H$2:$H$22),NA())</f>
        <v>10</v>
      </c>
      <c r="M402" s="52">
        <f>IFERROR(_xlfn.XLOOKUP(C402,'Agências de Rating Soberano'!$G$2:$G$22,'Agências de Rating Soberano'!$H$2:$H$22),NA())</f>
        <v>10</v>
      </c>
      <c r="N402" s="52">
        <f>IFERROR(_xlfn.XLOOKUP(E402,'Agências de Rating Soberano'!$J$2:$J$22,'Agências de Rating Soberano'!$K$2:$K$22),NA())</f>
        <v>9</v>
      </c>
      <c r="O402" s="52">
        <f>IFERROR(_xlfn.XLOOKUP(F402,'Agências de Rating Soberano'!$J$2:$J$22,'Agências de Rating Soberano'!$K$2:$K$22),NA())</f>
        <v>9</v>
      </c>
      <c r="P402" s="52">
        <f>IFERROR(_xlfn.XLOOKUP(H402,'Agências de Rating Soberano'!$J$2:$J$22,'Agências de Rating Soberano'!$K$2:$K$22),NA())</f>
        <v>9</v>
      </c>
      <c r="Q402" s="52">
        <f>IFERROR(_xlfn.XLOOKUP(I402,'Agências de Rating Soberano'!$J$2:$J$22,'Agências de Rating Soberano'!$K$2:$K$22),NA())</f>
        <v>9</v>
      </c>
    </row>
    <row r="403" spans="1:17" x14ac:dyDescent="0.3">
      <c r="A403" s="53">
        <f t="shared" si="13"/>
        <v>43951</v>
      </c>
      <c r="B403" t="str">
        <f>IFERROR(_xlfn.XLOOKUP($A403,Planilha2!$A$2:$A$34,Planilha2!C$2:C$34,"",-1),"")</f>
        <v>Ba2</v>
      </c>
      <c r="C403" t="str">
        <f>IFERROR(_xlfn.XLOOKUP($A403,Planilha2!$A$2:$A$34,Planilha2!D$2:D$34,"",-1),"")</f>
        <v>Ba2</v>
      </c>
      <c r="D403" t="str" cm="1">
        <f t="array" ref="D403">IF($A403&lt;MIN(Planilha2!$A$2:$A$34),"",_xlfn.LET(_xlpm.t,_xlfn.XLOOKUP($A403,Planilha2!$A$2:$A$34,Planilha2!$E$2:$E$34,"",-1),_xlfn.IFS(ISNUMBER(SEARCH("positiva",_xlpm.t)),"Positiva",ISNUMBER(SEARCH("negativa",_xlpm.t)),"Negativa",ISNUMBER(SEARCH("estável",_xlpm.t)),"Estável",TRUE,"n/d")))</f>
        <v>Estável</v>
      </c>
      <c r="E403" t="str">
        <f>IFERROR(_xlfn.XLOOKUP($A403,Planilha2!$J$2:$J$44,Planilha2!L$2:L$44,"",-1),"")</f>
        <v>BB-</v>
      </c>
      <c r="F403" t="str">
        <f>IFERROR(_xlfn.XLOOKUP($A403,Planilha2!$J$2:$J$44,Planilha2!M$2:M$44,"",-1),"")</f>
        <v>BB-</v>
      </c>
      <c r="G403" t="str" cm="1">
        <f t="array" ref="G403">IF($A403&lt;MIN(Planilha2!$J$2:$J$44),"",_xlfn.LET(_xlpm.t,_xlfn.XLOOKUP($A403,Planilha2!$J$2:$J$44,Planilha2!$N$2:$N$44,"",-1),_xlfn.IFS(ISNUMBER(SEARCH("positiva",_xlpm.t)),"Positiva",ISNUMBER(SEARCH("negativa",_xlpm.t)),"Negativa",ISNUMBER(SEARCH("estável",_xlpm.t)),"Estável",TRUE,"n/d")))</f>
        <v>Estável</v>
      </c>
      <c r="H403" t="str">
        <f>IFERROR(_xlfn.XLOOKUP($A403,Planilha2!$P$2:$P$38,Planilha2!R$2:R$38,"",-1),"")</f>
        <v>BB-</v>
      </c>
      <c r="I403" t="str">
        <f>IFERROR(_xlfn.XLOOKUP($A403,Planilha2!$P$2:$P$38,Planilha2!S$2:S$38,"",-1),"")</f>
        <v>BB-</v>
      </c>
      <c r="J403" t="str" cm="1">
        <f t="array" ref="J403">IF($A403&lt;MIN(Planilha2!$P$2:$P$38),"",_xlfn.LET(_xlpm.t,_xlfn.XLOOKUP($A403,Planilha2!$P$2:$P$38,Planilha2!$T$2:$T$38,"",-1),_xlfn.IFS(ISNUMBER(SEARCH("positiva",_xlpm.t)),"Positiva",ISNUMBER(SEARCH("negativa",_xlpm.t)),"Negativa",ISNUMBER(SEARCH("estável",_xlpm.t)),"Estável",TRUE,"n/d")))</f>
        <v>Estável</v>
      </c>
      <c r="L403" s="52">
        <f>IFERROR(_xlfn.XLOOKUP(B403,'Agências de Rating Soberano'!$G$2:$G$22,'Agências de Rating Soberano'!$H$2:$H$22),NA())</f>
        <v>10</v>
      </c>
      <c r="M403" s="52">
        <f>IFERROR(_xlfn.XLOOKUP(C403,'Agências de Rating Soberano'!$G$2:$G$22,'Agências de Rating Soberano'!$H$2:$H$22),NA())</f>
        <v>10</v>
      </c>
      <c r="N403" s="52">
        <f>IFERROR(_xlfn.XLOOKUP(E403,'Agências de Rating Soberano'!$J$2:$J$22,'Agências de Rating Soberano'!$K$2:$K$22),NA())</f>
        <v>9</v>
      </c>
      <c r="O403" s="52">
        <f>IFERROR(_xlfn.XLOOKUP(F403,'Agências de Rating Soberano'!$J$2:$J$22,'Agências de Rating Soberano'!$K$2:$K$22),NA())</f>
        <v>9</v>
      </c>
      <c r="P403" s="52">
        <f>IFERROR(_xlfn.XLOOKUP(H403,'Agências de Rating Soberano'!$J$2:$J$22,'Agências de Rating Soberano'!$K$2:$K$22),NA())</f>
        <v>9</v>
      </c>
      <c r="Q403" s="52">
        <f>IFERROR(_xlfn.XLOOKUP(I403,'Agências de Rating Soberano'!$J$2:$J$22,'Agências de Rating Soberano'!$K$2:$K$22),NA())</f>
        <v>9</v>
      </c>
    </row>
    <row r="404" spans="1:17" x14ac:dyDescent="0.3">
      <c r="A404" s="53">
        <f t="shared" si="13"/>
        <v>43982</v>
      </c>
      <c r="B404" t="str">
        <f>IFERROR(_xlfn.XLOOKUP($A404,Planilha2!$A$2:$A$34,Planilha2!C$2:C$34,"",-1),"")</f>
        <v>Ba2</v>
      </c>
      <c r="C404" t="str">
        <f>IFERROR(_xlfn.XLOOKUP($A404,Planilha2!$A$2:$A$34,Planilha2!D$2:D$34,"",-1),"")</f>
        <v>Ba2</v>
      </c>
      <c r="D404" t="str" cm="1">
        <f t="array" ref="D404">IF($A404&lt;MIN(Planilha2!$A$2:$A$34),"",_xlfn.LET(_xlpm.t,_xlfn.XLOOKUP($A404,Planilha2!$A$2:$A$34,Planilha2!$E$2:$E$34,"",-1),_xlfn.IFS(ISNUMBER(SEARCH("positiva",_xlpm.t)),"Positiva",ISNUMBER(SEARCH("negativa",_xlpm.t)),"Negativa",ISNUMBER(SEARCH("estável",_xlpm.t)),"Estável",TRUE,"n/d")))</f>
        <v>Estável</v>
      </c>
      <c r="E404" t="str">
        <f>IFERROR(_xlfn.XLOOKUP($A404,Planilha2!$J$2:$J$44,Planilha2!L$2:L$44,"",-1),"")</f>
        <v>BB-</v>
      </c>
      <c r="F404" t="str">
        <f>IFERROR(_xlfn.XLOOKUP($A404,Planilha2!$J$2:$J$44,Planilha2!M$2:M$44,"",-1),"")</f>
        <v>BB-</v>
      </c>
      <c r="G404" t="str" cm="1">
        <f t="array" ref="G404">IF($A404&lt;MIN(Planilha2!$J$2:$J$44),"",_xlfn.LET(_xlpm.t,_xlfn.XLOOKUP($A404,Planilha2!$J$2:$J$44,Planilha2!$N$2:$N$44,"",-1),_xlfn.IFS(ISNUMBER(SEARCH("positiva",_xlpm.t)),"Positiva",ISNUMBER(SEARCH("negativa",_xlpm.t)),"Negativa",ISNUMBER(SEARCH("estável",_xlpm.t)),"Estável",TRUE,"n/d")))</f>
        <v>Negativa</v>
      </c>
      <c r="H404" t="str">
        <f>IFERROR(_xlfn.XLOOKUP($A404,Planilha2!$P$2:$P$38,Planilha2!R$2:R$38,"",-1),"")</f>
        <v>BB-</v>
      </c>
      <c r="I404" t="str">
        <f>IFERROR(_xlfn.XLOOKUP($A404,Planilha2!$P$2:$P$38,Planilha2!S$2:S$38,"",-1),"")</f>
        <v>BB-</v>
      </c>
      <c r="J404" t="str" cm="1">
        <f t="array" ref="J404">IF($A404&lt;MIN(Planilha2!$P$2:$P$38),"",_xlfn.LET(_xlpm.t,_xlfn.XLOOKUP($A404,Planilha2!$P$2:$P$38,Planilha2!$T$2:$T$38,"",-1),_xlfn.IFS(ISNUMBER(SEARCH("positiva",_xlpm.t)),"Positiva",ISNUMBER(SEARCH("negativa",_xlpm.t)),"Negativa",ISNUMBER(SEARCH("estável",_xlpm.t)),"Estável",TRUE,"n/d")))</f>
        <v>Estável</v>
      </c>
      <c r="L404" s="52">
        <f>IFERROR(_xlfn.XLOOKUP(B404,'Agências de Rating Soberano'!$G$2:$G$22,'Agências de Rating Soberano'!$H$2:$H$22),NA())</f>
        <v>10</v>
      </c>
      <c r="M404" s="52">
        <f>IFERROR(_xlfn.XLOOKUP(C404,'Agências de Rating Soberano'!$G$2:$G$22,'Agências de Rating Soberano'!$H$2:$H$22),NA())</f>
        <v>10</v>
      </c>
      <c r="N404" s="52">
        <f>IFERROR(_xlfn.XLOOKUP(E404,'Agências de Rating Soberano'!$J$2:$J$22,'Agências de Rating Soberano'!$K$2:$K$22),NA())</f>
        <v>9</v>
      </c>
      <c r="O404" s="52">
        <f>IFERROR(_xlfn.XLOOKUP(F404,'Agências de Rating Soberano'!$J$2:$J$22,'Agências de Rating Soberano'!$K$2:$K$22),NA())</f>
        <v>9</v>
      </c>
      <c r="P404" s="52">
        <f>IFERROR(_xlfn.XLOOKUP(H404,'Agências de Rating Soberano'!$J$2:$J$22,'Agências de Rating Soberano'!$K$2:$K$22),NA())</f>
        <v>9</v>
      </c>
      <c r="Q404" s="52">
        <f>IFERROR(_xlfn.XLOOKUP(I404,'Agências de Rating Soberano'!$J$2:$J$22,'Agências de Rating Soberano'!$K$2:$K$22),NA())</f>
        <v>9</v>
      </c>
    </row>
    <row r="405" spans="1:17" x14ac:dyDescent="0.3">
      <c r="A405" s="53">
        <f t="shared" si="13"/>
        <v>44012</v>
      </c>
      <c r="B405" t="str">
        <f>IFERROR(_xlfn.XLOOKUP($A405,Planilha2!$A$2:$A$34,Planilha2!C$2:C$34,"",-1),"")</f>
        <v>Ba2</v>
      </c>
      <c r="C405" t="str">
        <f>IFERROR(_xlfn.XLOOKUP($A405,Planilha2!$A$2:$A$34,Planilha2!D$2:D$34,"",-1),"")</f>
        <v>Ba2</v>
      </c>
      <c r="D405" t="str" cm="1">
        <f t="array" ref="D405">IF($A405&lt;MIN(Planilha2!$A$2:$A$34),"",_xlfn.LET(_xlpm.t,_xlfn.XLOOKUP($A405,Planilha2!$A$2:$A$34,Planilha2!$E$2:$E$34,"",-1),_xlfn.IFS(ISNUMBER(SEARCH("positiva",_xlpm.t)),"Positiva",ISNUMBER(SEARCH("negativa",_xlpm.t)),"Negativa",ISNUMBER(SEARCH("estável",_xlpm.t)),"Estável",TRUE,"n/d")))</f>
        <v>Estável</v>
      </c>
      <c r="E405" t="str">
        <f>IFERROR(_xlfn.XLOOKUP($A405,Planilha2!$J$2:$J$44,Planilha2!L$2:L$44,"",-1),"")</f>
        <v>BB-</v>
      </c>
      <c r="F405" t="str">
        <f>IFERROR(_xlfn.XLOOKUP($A405,Planilha2!$J$2:$J$44,Planilha2!M$2:M$44,"",-1),"")</f>
        <v>BB-</v>
      </c>
      <c r="G405" t="str" cm="1">
        <f t="array" ref="G405">IF($A405&lt;MIN(Planilha2!$J$2:$J$44),"",_xlfn.LET(_xlpm.t,_xlfn.XLOOKUP($A405,Planilha2!$J$2:$J$44,Planilha2!$N$2:$N$44,"",-1),_xlfn.IFS(ISNUMBER(SEARCH("positiva",_xlpm.t)),"Positiva",ISNUMBER(SEARCH("negativa",_xlpm.t)),"Negativa",ISNUMBER(SEARCH("estável",_xlpm.t)),"Estável",TRUE,"n/d")))</f>
        <v>Negativa</v>
      </c>
      <c r="H405" t="str">
        <f>IFERROR(_xlfn.XLOOKUP($A405,Planilha2!$P$2:$P$38,Planilha2!R$2:R$38,"",-1),"")</f>
        <v>BB-</v>
      </c>
      <c r="I405" t="str">
        <f>IFERROR(_xlfn.XLOOKUP($A405,Planilha2!$P$2:$P$38,Planilha2!S$2:S$38,"",-1),"")</f>
        <v>BB-</v>
      </c>
      <c r="J405" t="str" cm="1">
        <f t="array" ref="J405">IF($A405&lt;MIN(Planilha2!$P$2:$P$38),"",_xlfn.LET(_xlpm.t,_xlfn.XLOOKUP($A405,Planilha2!$P$2:$P$38,Planilha2!$T$2:$T$38,"",-1),_xlfn.IFS(ISNUMBER(SEARCH("positiva",_xlpm.t)),"Positiva",ISNUMBER(SEARCH("negativa",_xlpm.t)),"Negativa",ISNUMBER(SEARCH("estável",_xlpm.t)),"Estável",TRUE,"n/d")))</f>
        <v>Estável</v>
      </c>
      <c r="L405" s="52">
        <f>IFERROR(_xlfn.XLOOKUP(B405,'Agências de Rating Soberano'!$G$2:$G$22,'Agências de Rating Soberano'!$H$2:$H$22),NA())</f>
        <v>10</v>
      </c>
      <c r="M405" s="52">
        <f>IFERROR(_xlfn.XLOOKUP(C405,'Agências de Rating Soberano'!$G$2:$G$22,'Agências de Rating Soberano'!$H$2:$H$22),NA())</f>
        <v>10</v>
      </c>
      <c r="N405" s="52">
        <f>IFERROR(_xlfn.XLOOKUP(E405,'Agências de Rating Soberano'!$J$2:$J$22,'Agências de Rating Soberano'!$K$2:$K$22),NA())</f>
        <v>9</v>
      </c>
      <c r="O405" s="52">
        <f>IFERROR(_xlfn.XLOOKUP(F405,'Agências de Rating Soberano'!$J$2:$J$22,'Agências de Rating Soberano'!$K$2:$K$22),NA())</f>
        <v>9</v>
      </c>
      <c r="P405" s="52">
        <f>IFERROR(_xlfn.XLOOKUP(H405,'Agências de Rating Soberano'!$J$2:$J$22,'Agências de Rating Soberano'!$K$2:$K$22),NA())</f>
        <v>9</v>
      </c>
      <c r="Q405" s="52">
        <f>IFERROR(_xlfn.XLOOKUP(I405,'Agências de Rating Soberano'!$J$2:$J$22,'Agências de Rating Soberano'!$K$2:$K$22),NA())</f>
        <v>9</v>
      </c>
    </row>
    <row r="406" spans="1:17" x14ac:dyDescent="0.3">
      <c r="A406" s="53">
        <f t="shared" si="13"/>
        <v>44043</v>
      </c>
      <c r="B406" t="str">
        <f>IFERROR(_xlfn.XLOOKUP($A406,Planilha2!$A$2:$A$34,Planilha2!C$2:C$34,"",-1),"")</f>
        <v>Ba2</v>
      </c>
      <c r="C406" t="str">
        <f>IFERROR(_xlfn.XLOOKUP($A406,Planilha2!$A$2:$A$34,Planilha2!D$2:D$34,"",-1),"")</f>
        <v>Ba2</v>
      </c>
      <c r="D406" t="str" cm="1">
        <f t="array" ref="D406">IF($A406&lt;MIN(Planilha2!$A$2:$A$34),"",_xlfn.LET(_xlpm.t,_xlfn.XLOOKUP($A406,Planilha2!$A$2:$A$34,Planilha2!$E$2:$E$34,"",-1),_xlfn.IFS(ISNUMBER(SEARCH("positiva",_xlpm.t)),"Positiva",ISNUMBER(SEARCH("negativa",_xlpm.t)),"Negativa",ISNUMBER(SEARCH("estável",_xlpm.t)),"Estável",TRUE,"n/d")))</f>
        <v>Estável</v>
      </c>
      <c r="E406" t="str">
        <f>IFERROR(_xlfn.XLOOKUP($A406,Planilha2!$J$2:$J$44,Planilha2!L$2:L$44,"",-1),"")</f>
        <v>BB-</v>
      </c>
      <c r="F406" t="str">
        <f>IFERROR(_xlfn.XLOOKUP($A406,Planilha2!$J$2:$J$44,Planilha2!M$2:M$44,"",-1),"")</f>
        <v>BB-</v>
      </c>
      <c r="G406" t="str" cm="1">
        <f t="array" ref="G406">IF($A406&lt;MIN(Planilha2!$J$2:$J$44),"",_xlfn.LET(_xlpm.t,_xlfn.XLOOKUP($A406,Planilha2!$J$2:$J$44,Planilha2!$N$2:$N$44,"",-1),_xlfn.IFS(ISNUMBER(SEARCH("positiva",_xlpm.t)),"Positiva",ISNUMBER(SEARCH("negativa",_xlpm.t)),"Negativa",ISNUMBER(SEARCH("estável",_xlpm.t)),"Estável",TRUE,"n/d")))</f>
        <v>Negativa</v>
      </c>
      <c r="H406" t="str">
        <f>IFERROR(_xlfn.XLOOKUP($A406,Planilha2!$P$2:$P$38,Planilha2!R$2:R$38,"",-1),"")</f>
        <v>BB-</v>
      </c>
      <c r="I406" t="str">
        <f>IFERROR(_xlfn.XLOOKUP($A406,Planilha2!$P$2:$P$38,Planilha2!S$2:S$38,"",-1),"")</f>
        <v>BB-</v>
      </c>
      <c r="J406" t="str" cm="1">
        <f t="array" ref="J406">IF($A406&lt;MIN(Planilha2!$P$2:$P$38),"",_xlfn.LET(_xlpm.t,_xlfn.XLOOKUP($A406,Planilha2!$P$2:$P$38,Planilha2!$T$2:$T$38,"",-1),_xlfn.IFS(ISNUMBER(SEARCH("positiva",_xlpm.t)),"Positiva",ISNUMBER(SEARCH("negativa",_xlpm.t)),"Negativa",ISNUMBER(SEARCH("estável",_xlpm.t)),"Estável",TRUE,"n/d")))</f>
        <v>Estável</v>
      </c>
      <c r="L406" s="52">
        <f>IFERROR(_xlfn.XLOOKUP(B406,'Agências de Rating Soberano'!$G$2:$G$22,'Agências de Rating Soberano'!$H$2:$H$22),NA())</f>
        <v>10</v>
      </c>
      <c r="M406" s="52">
        <f>IFERROR(_xlfn.XLOOKUP(C406,'Agências de Rating Soberano'!$G$2:$G$22,'Agências de Rating Soberano'!$H$2:$H$22),NA())</f>
        <v>10</v>
      </c>
      <c r="N406" s="52">
        <f>IFERROR(_xlfn.XLOOKUP(E406,'Agências de Rating Soberano'!$J$2:$J$22,'Agências de Rating Soberano'!$K$2:$K$22),NA())</f>
        <v>9</v>
      </c>
      <c r="O406" s="52">
        <f>IFERROR(_xlfn.XLOOKUP(F406,'Agências de Rating Soberano'!$J$2:$J$22,'Agências de Rating Soberano'!$K$2:$K$22),NA())</f>
        <v>9</v>
      </c>
      <c r="P406" s="52">
        <f>IFERROR(_xlfn.XLOOKUP(H406,'Agências de Rating Soberano'!$J$2:$J$22,'Agências de Rating Soberano'!$K$2:$K$22),NA())</f>
        <v>9</v>
      </c>
      <c r="Q406" s="52">
        <f>IFERROR(_xlfn.XLOOKUP(I406,'Agências de Rating Soberano'!$J$2:$J$22,'Agências de Rating Soberano'!$K$2:$K$22),NA())</f>
        <v>9</v>
      </c>
    </row>
    <row r="407" spans="1:17" x14ac:dyDescent="0.3">
      <c r="A407" s="53">
        <f t="shared" si="13"/>
        <v>44074</v>
      </c>
      <c r="B407" t="str">
        <f>IFERROR(_xlfn.XLOOKUP($A407,Planilha2!$A$2:$A$34,Planilha2!C$2:C$34,"",-1),"")</f>
        <v>Ba2</v>
      </c>
      <c r="C407" t="str">
        <f>IFERROR(_xlfn.XLOOKUP($A407,Planilha2!$A$2:$A$34,Planilha2!D$2:D$34,"",-1),"")</f>
        <v>Ba2</v>
      </c>
      <c r="D407" t="str" cm="1">
        <f t="array" ref="D407">IF($A407&lt;MIN(Planilha2!$A$2:$A$34),"",_xlfn.LET(_xlpm.t,_xlfn.XLOOKUP($A407,Planilha2!$A$2:$A$34,Planilha2!$E$2:$E$34,"",-1),_xlfn.IFS(ISNUMBER(SEARCH("positiva",_xlpm.t)),"Positiva",ISNUMBER(SEARCH("negativa",_xlpm.t)),"Negativa",ISNUMBER(SEARCH("estável",_xlpm.t)),"Estável",TRUE,"n/d")))</f>
        <v>Estável</v>
      </c>
      <c r="E407" t="str">
        <f>IFERROR(_xlfn.XLOOKUP($A407,Planilha2!$J$2:$J$44,Planilha2!L$2:L$44,"",-1),"")</f>
        <v>BB-</v>
      </c>
      <c r="F407" t="str">
        <f>IFERROR(_xlfn.XLOOKUP($A407,Planilha2!$J$2:$J$44,Planilha2!M$2:M$44,"",-1),"")</f>
        <v>BB-</v>
      </c>
      <c r="G407" t="str" cm="1">
        <f t="array" ref="G407">IF($A407&lt;MIN(Planilha2!$J$2:$J$44),"",_xlfn.LET(_xlpm.t,_xlfn.XLOOKUP($A407,Planilha2!$J$2:$J$44,Planilha2!$N$2:$N$44,"",-1),_xlfn.IFS(ISNUMBER(SEARCH("positiva",_xlpm.t)),"Positiva",ISNUMBER(SEARCH("negativa",_xlpm.t)),"Negativa",ISNUMBER(SEARCH("estável",_xlpm.t)),"Estável",TRUE,"n/d")))</f>
        <v>Negativa</v>
      </c>
      <c r="H407" t="str">
        <f>IFERROR(_xlfn.XLOOKUP($A407,Planilha2!$P$2:$P$38,Planilha2!R$2:R$38,"",-1),"")</f>
        <v>BB-</v>
      </c>
      <c r="I407" t="str">
        <f>IFERROR(_xlfn.XLOOKUP($A407,Planilha2!$P$2:$P$38,Planilha2!S$2:S$38,"",-1),"")</f>
        <v>BB-</v>
      </c>
      <c r="J407" t="str" cm="1">
        <f t="array" ref="J407">IF($A407&lt;MIN(Planilha2!$P$2:$P$38),"",_xlfn.LET(_xlpm.t,_xlfn.XLOOKUP($A407,Planilha2!$P$2:$P$38,Planilha2!$T$2:$T$38,"",-1),_xlfn.IFS(ISNUMBER(SEARCH("positiva",_xlpm.t)),"Positiva",ISNUMBER(SEARCH("negativa",_xlpm.t)),"Negativa",ISNUMBER(SEARCH("estável",_xlpm.t)),"Estável",TRUE,"n/d")))</f>
        <v>Estável</v>
      </c>
      <c r="L407" s="52">
        <f>IFERROR(_xlfn.XLOOKUP(B407,'Agências de Rating Soberano'!$G$2:$G$22,'Agências de Rating Soberano'!$H$2:$H$22),NA())</f>
        <v>10</v>
      </c>
      <c r="M407" s="52">
        <f>IFERROR(_xlfn.XLOOKUP(C407,'Agências de Rating Soberano'!$G$2:$G$22,'Agências de Rating Soberano'!$H$2:$H$22),NA())</f>
        <v>10</v>
      </c>
      <c r="N407" s="52">
        <f>IFERROR(_xlfn.XLOOKUP(E407,'Agências de Rating Soberano'!$J$2:$J$22,'Agências de Rating Soberano'!$K$2:$K$22),NA())</f>
        <v>9</v>
      </c>
      <c r="O407" s="52">
        <f>IFERROR(_xlfn.XLOOKUP(F407,'Agências de Rating Soberano'!$J$2:$J$22,'Agências de Rating Soberano'!$K$2:$K$22),NA())</f>
        <v>9</v>
      </c>
      <c r="P407" s="52">
        <f>IFERROR(_xlfn.XLOOKUP(H407,'Agências de Rating Soberano'!$J$2:$J$22,'Agências de Rating Soberano'!$K$2:$K$22),NA())</f>
        <v>9</v>
      </c>
      <c r="Q407" s="52">
        <f>IFERROR(_xlfn.XLOOKUP(I407,'Agências de Rating Soberano'!$J$2:$J$22,'Agências de Rating Soberano'!$K$2:$K$22),NA())</f>
        <v>9</v>
      </c>
    </row>
    <row r="408" spans="1:17" x14ac:dyDescent="0.3">
      <c r="A408" s="53">
        <f t="shared" si="13"/>
        <v>44104</v>
      </c>
      <c r="B408" t="str">
        <f>IFERROR(_xlfn.XLOOKUP($A408,Planilha2!$A$2:$A$34,Planilha2!C$2:C$34,"",-1),"")</f>
        <v>Ba2</v>
      </c>
      <c r="C408" t="str">
        <f>IFERROR(_xlfn.XLOOKUP($A408,Planilha2!$A$2:$A$34,Planilha2!D$2:D$34,"",-1),"")</f>
        <v>Ba2</v>
      </c>
      <c r="D408" t="str" cm="1">
        <f t="array" ref="D408">IF($A408&lt;MIN(Planilha2!$A$2:$A$34),"",_xlfn.LET(_xlpm.t,_xlfn.XLOOKUP($A408,Planilha2!$A$2:$A$34,Planilha2!$E$2:$E$34,"",-1),_xlfn.IFS(ISNUMBER(SEARCH("positiva",_xlpm.t)),"Positiva",ISNUMBER(SEARCH("negativa",_xlpm.t)),"Negativa",ISNUMBER(SEARCH("estável",_xlpm.t)),"Estável",TRUE,"n/d")))</f>
        <v>Estável</v>
      </c>
      <c r="E408" t="str">
        <f>IFERROR(_xlfn.XLOOKUP($A408,Planilha2!$J$2:$J$44,Planilha2!L$2:L$44,"",-1),"")</f>
        <v>BB-</v>
      </c>
      <c r="F408" t="str">
        <f>IFERROR(_xlfn.XLOOKUP($A408,Planilha2!$J$2:$J$44,Planilha2!M$2:M$44,"",-1),"")</f>
        <v>BB-</v>
      </c>
      <c r="G408" t="str" cm="1">
        <f t="array" ref="G408">IF($A408&lt;MIN(Planilha2!$J$2:$J$44),"",_xlfn.LET(_xlpm.t,_xlfn.XLOOKUP($A408,Planilha2!$J$2:$J$44,Planilha2!$N$2:$N$44,"",-1),_xlfn.IFS(ISNUMBER(SEARCH("positiva",_xlpm.t)),"Positiva",ISNUMBER(SEARCH("negativa",_xlpm.t)),"Negativa",ISNUMBER(SEARCH("estável",_xlpm.t)),"Estável",TRUE,"n/d")))</f>
        <v>Negativa</v>
      </c>
      <c r="H408" t="str">
        <f>IFERROR(_xlfn.XLOOKUP($A408,Planilha2!$P$2:$P$38,Planilha2!R$2:R$38,"",-1),"")</f>
        <v>BB-</v>
      </c>
      <c r="I408" t="str">
        <f>IFERROR(_xlfn.XLOOKUP($A408,Planilha2!$P$2:$P$38,Planilha2!S$2:S$38,"",-1),"")</f>
        <v>BB-</v>
      </c>
      <c r="J408" t="str" cm="1">
        <f t="array" ref="J408">IF($A408&lt;MIN(Planilha2!$P$2:$P$38),"",_xlfn.LET(_xlpm.t,_xlfn.XLOOKUP($A408,Planilha2!$P$2:$P$38,Planilha2!$T$2:$T$38,"",-1),_xlfn.IFS(ISNUMBER(SEARCH("positiva",_xlpm.t)),"Positiva",ISNUMBER(SEARCH("negativa",_xlpm.t)),"Negativa",ISNUMBER(SEARCH("estável",_xlpm.t)),"Estável",TRUE,"n/d")))</f>
        <v>Estável</v>
      </c>
      <c r="L408" s="52">
        <f>IFERROR(_xlfn.XLOOKUP(B408,'Agências de Rating Soberano'!$G$2:$G$22,'Agências de Rating Soberano'!$H$2:$H$22),NA())</f>
        <v>10</v>
      </c>
      <c r="M408" s="52">
        <f>IFERROR(_xlfn.XLOOKUP(C408,'Agências de Rating Soberano'!$G$2:$G$22,'Agências de Rating Soberano'!$H$2:$H$22),NA())</f>
        <v>10</v>
      </c>
      <c r="N408" s="52">
        <f>IFERROR(_xlfn.XLOOKUP(E408,'Agências de Rating Soberano'!$J$2:$J$22,'Agências de Rating Soberano'!$K$2:$K$22),NA())</f>
        <v>9</v>
      </c>
      <c r="O408" s="52">
        <f>IFERROR(_xlfn.XLOOKUP(F408,'Agências de Rating Soberano'!$J$2:$J$22,'Agências de Rating Soberano'!$K$2:$K$22),NA())</f>
        <v>9</v>
      </c>
      <c r="P408" s="52">
        <f>IFERROR(_xlfn.XLOOKUP(H408,'Agências de Rating Soberano'!$J$2:$J$22,'Agências de Rating Soberano'!$K$2:$K$22),NA())</f>
        <v>9</v>
      </c>
      <c r="Q408" s="52">
        <f>IFERROR(_xlfn.XLOOKUP(I408,'Agências de Rating Soberano'!$J$2:$J$22,'Agências de Rating Soberano'!$K$2:$K$22),NA())</f>
        <v>9</v>
      </c>
    </row>
    <row r="409" spans="1:17" x14ac:dyDescent="0.3">
      <c r="A409" s="53">
        <f t="shared" si="13"/>
        <v>44135</v>
      </c>
      <c r="B409" t="str">
        <f>IFERROR(_xlfn.XLOOKUP($A409,Planilha2!$A$2:$A$34,Planilha2!C$2:C$34,"",-1),"")</f>
        <v>Ba2</v>
      </c>
      <c r="C409" t="str">
        <f>IFERROR(_xlfn.XLOOKUP($A409,Planilha2!$A$2:$A$34,Planilha2!D$2:D$34,"",-1),"")</f>
        <v>Ba2</v>
      </c>
      <c r="D409" t="str" cm="1">
        <f t="array" ref="D409">IF($A409&lt;MIN(Planilha2!$A$2:$A$34),"",_xlfn.LET(_xlpm.t,_xlfn.XLOOKUP($A409,Planilha2!$A$2:$A$34,Planilha2!$E$2:$E$34,"",-1),_xlfn.IFS(ISNUMBER(SEARCH("positiva",_xlpm.t)),"Positiva",ISNUMBER(SEARCH("negativa",_xlpm.t)),"Negativa",ISNUMBER(SEARCH("estável",_xlpm.t)),"Estável",TRUE,"n/d")))</f>
        <v>Estável</v>
      </c>
      <c r="E409" t="str">
        <f>IFERROR(_xlfn.XLOOKUP($A409,Planilha2!$J$2:$J$44,Planilha2!L$2:L$44,"",-1),"")</f>
        <v>BB-</v>
      </c>
      <c r="F409" t="str">
        <f>IFERROR(_xlfn.XLOOKUP($A409,Planilha2!$J$2:$J$44,Planilha2!M$2:M$44,"",-1),"")</f>
        <v>BB-</v>
      </c>
      <c r="G409" t="str" cm="1">
        <f t="array" ref="G409">IF($A409&lt;MIN(Planilha2!$J$2:$J$44),"",_xlfn.LET(_xlpm.t,_xlfn.XLOOKUP($A409,Planilha2!$J$2:$J$44,Planilha2!$N$2:$N$44,"",-1),_xlfn.IFS(ISNUMBER(SEARCH("positiva",_xlpm.t)),"Positiva",ISNUMBER(SEARCH("negativa",_xlpm.t)),"Negativa",ISNUMBER(SEARCH("estável",_xlpm.t)),"Estável",TRUE,"n/d")))</f>
        <v>Negativa</v>
      </c>
      <c r="H409" t="str">
        <f>IFERROR(_xlfn.XLOOKUP($A409,Planilha2!$P$2:$P$38,Planilha2!R$2:R$38,"",-1),"")</f>
        <v>BB-</v>
      </c>
      <c r="I409" t="str">
        <f>IFERROR(_xlfn.XLOOKUP($A409,Planilha2!$P$2:$P$38,Planilha2!S$2:S$38,"",-1),"")</f>
        <v>BB-</v>
      </c>
      <c r="J409" t="str" cm="1">
        <f t="array" ref="J409">IF($A409&lt;MIN(Planilha2!$P$2:$P$38),"",_xlfn.LET(_xlpm.t,_xlfn.XLOOKUP($A409,Planilha2!$P$2:$P$38,Planilha2!$T$2:$T$38,"",-1),_xlfn.IFS(ISNUMBER(SEARCH("positiva",_xlpm.t)),"Positiva",ISNUMBER(SEARCH("negativa",_xlpm.t)),"Negativa",ISNUMBER(SEARCH("estável",_xlpm.t)),"Estável",TRUE,"n/d")))</f>
        <v>Estável</v>
      </c>
      <c r="L409" s="52">
        <f>IFERROR(_xlfn.XLOOKUP(B409,'Agências de Rating Soberano'!$G$2:$G$22,'Agências de Rating Soberano'!$H$2:$H$22),NA())</f>
        <v>10</v>
      </c>
      <c r="M409" s="52">
        <f>IFERROR(_xlfn.XLOOKUP(C409,'Agências de Rating Soberano'!$G$2:$G$22,'Agências de Rating Soberano'!$H$2:$H$22),NA())</f>
        <v>10</v>
      </c>
      <c r="N409" s="52">
        <f>IFERROR(_xlfn.XLOOKUP(E409,'Agências de Rating Soberano'!$J$2:$J$22,'Agências de Rating Soberano'!$K$2:$K$22),NA())</f>
        <v>9</v>
      </c>
      <c r="O409" s="52">
        <f>IFERROR(_xlfn.XLOOKUP(F409,'Agências de Rating Soberano'!$J$2:$J$22,'Agências de Rating Soberano'!$K$2:$K$22),NA())</f>
        <v>9</v>
      </c>
      <c r="P409" s="52">
        <f>IFERROR(_xlfn.XLOOKUP(H409,'Agências de Rating Soberano'!$J$2:$J$22,'Agências de Rating Soberano'!$K$2:$K$22),NA())</f>
        <v>9</v>
      </c>
      <c r="Q409" s="52">
        <f>IFERROR(_xlfn.XLOOKUP(I409,'Agências de Rating Soberano'!$J$2:$J$22,'Agências de Rating Soberano'!$K$2:$K$22),NA())</f>
        <v>9</v>
      </c>
    </row>
    <row r="410" spans="1:17" x14ac:dyDescent="0.3">
      <c r="A410" s="53">
        <f t="shared" si="13"/>
        <v>44165</v>
      </c>
      <c r="B410" t="str">
        <f>IFERROR(_xlfn.XLOOKUP($A410,Planilha2!$A$2:$A$34,Planilha2!C$2:C$34,"",-1),"")</f>
        <v>Ba2</v>
      </c>
      <c r="C410" t="str">
        <f>IFERROR(_xlfn.XLOOKUP($A410,Planilha2!$A$2:$A$34,Planilha2!D$2:D$34,"",-1),"")</f>
        <v>Ba2</v>
      </c>
      <c r="D410" t="str" cm="1">
        <f t="array" ref="D410">IF($A410&lt;MIN(Planilha2!$A$2:$A$34),"",_xlfn.LET(_xlpm.t,_xlfn.XLOOKUP($A410,Planilha2!$A$2:$A$34,Planilha2!$E$2:$E$34,"",-1),_xlfn.IFS(ISNUMBER(SEARCH("positiva",_xlpm.t)),"Positiva",ISNUMBER(SEARCH("negativa",_xlpm.t)),"Negativa",ISNUMBER(SEARCH("estável",_xlpm.t)),"Estável",TRUE,"n/d")))</f>
        <v>Estável</v>
      </c>
      <c r="E410" t="str">
        <f>IFERROR(_xlfn.XLOOKUP($A410,Planilha2!$J$2:$J$44,Planilha2!L$2:L$44,"",-1),"")</f>
        <v>BB-</v>
      </c>
      <c r="F410" t="str">
        <f>IFERROR(_xlfn.XLOOKUP($A410,Planilha2!$J$2:$J$44,Planilha2!M$2:M$44,"",-1),"")</f>
        <v>BB-</v>
      </c>
      <c r="G410" t="str" cm="1">
        <f t="array" ref="G410">IF($A410&lt;MIN(Planilha2!$J$2:$J$44),"",_xlfn.LET(_xlpm.t,_xlfn.XLOOKUP($A410,Planilha2!$J$2:$J$44,Planilha2!$N$2:$N$44,"",-1),_xlfn.IFS(ISNUMBER(SEARCH("positiva",_xlpm.t)),"Positiva",ISNUMBER(SEARCH("negativa",_xlpm.t)),"Negativa",ISNUMBER(SEARCH("estável",_xlpm.t)),"Estável",TRUE,"n/d")))</f>
        <v>Negativa</v>
      </c>
      <c r="H410" t="str">
        <f>IFERROR(_xlfn.XLOOKUP($A410,Planilha2!$P$2:$P$38,Planilha2!R$2:R$38,"",-1),"")</f>
        <v>BB-</v>
      </c>
      <c r="I410" t="str">
        <f>IFERROR(_xlfn.XLOOKUP($A410,Planilha2!$P$2:$P$38,Planilha2!S$2:S$38,"",-1),"")</f>
        <v>BB-</v>
      </c>
      <c r="J410" t="str" cm="1">
        <f t="array" ref="J410">IF($A410&lt;MIN(Planilha2!$P$2:$P$38),"",_xlfn.LET(_xlpm.t,_xlfn.XLOOKUP($A410,Planilha2!$P$2:$P$38,Planilha2!$T$2:$T$38,"",-1),_xlfn.IFS(ISNUMBER(SEARCH("positiva",_xlpm.t)),"Positiva",ISNUMBER(SEARCH("negativa",_xlpm.t)),"Negativa",ISNUMBER(SEARCH("estável",_xlpm.t)),"Estável",TRUE,"n/d")))</f>
        <v>Estável</v>
      </c>
      <c r="L410" s="52">
        <f>IFERROR(_xlfn.XLOOKUP(B410,'Agências de Rating Soberano'!$G$2:$G$22,'Agências de Rating Soberano'!$H$2:$H$22),NA())</f>
        <v>10</v>
      </c>
      <c r="M410" s="52">
        <f>IFERROR(_xlfn.XLOOKUP(C410,'Agências de Rating Soberano'!$G$2:$G$22,'Agências de Rating Soberano'!$H$2:$H$22),NA())</f>
        <v>10</v>
      </c>
      <c r="N410" s="52">
        <f>IFERROR(_xlfn.XLOOKUP(E410,'Agências de Rating Soberano'!$J$2:$J$22,'Agências de Rating Soberano'!$K$2:$K$22),NA())</f>
        <v>9</v>
      </c>
      <c r="O410" s="52">
        <f>IFERROR(_xlfn.XLOOKUP(F410,'Agências de Rating Soberano'!$J$2:$J$22,'Agências de Rating Soberano'!$K$2:$K$22),NA())</f>
        <v>9</v>
      </c>
      <c r="P410" s="52">
        <f>IFERROR(_xlfn.XLOOKUP(H410,'Agências de Rating Soberano'!$J$2:$J$22,'Agências de Rating Soberano'!$K$2:$K$22),NA())</f>
        <v>9</v>
      </c>
      <c r="Q410" s="52">
        <f>IFERROR(_xlfn.XLOOKUP(I410,'Agências de Rating Soberano'!$J$2:$J$22,'Agências de Rating Soberano'!$K$2:$K$22),NA())</f>
        <v>9</v>
      </c>
    </row>
    <row r="411" spans="1:17" x14ac:dyDescent="0.3">
      <c r="A411" s="53">
        <f t="shared" si="13"/>
        <v>44196</v>
      </c>
      <c r="B411" t="str">
        <f>IFERROR(_xlfn.XLOOKUP($A411,Planilha2!$A$2:$A$34,Planilha2!C$2:C$34,"",-1),"")</f>
        <v>Ba2</v>
      </c>
      <c r="C411" t="str">
        <f>IFERROR(_xlfn.XLOOKUP($A411,Planilha2!$A$2:$A$34,Planilha2!D$2:D$34,"",-1),"")</f>
        <v>Ba2</v>
      </c>
      <c r="D411" t="str" cm="1">
        <f t="array" ref="D411">IF($A411&lt;MIN(Planilha2!$A$2:$A$34),"",_xlfn.LET(_xlpm.t,_xlfn.XLOOKUP($A411,Planilha2!$A$2:$A$34,Planilha2!$E$2:$E$34,"",-1),_xlfn.IFS(ISNUMBER(SEARCH("positiva",_xlpm.t)),"Positiva",ISNUMBER(SEARCH("negativa",_xlpm.t)),"Negativa",ISNUMBER(SEARCH("estável",_xlpm.t)),"Estável",TRUE,"n/d")))</f>
        <v>Estável</v>
      </c>
      <c r="E411" t="str">
        <f>IFERROR(_xlfn.XLOOKUP($A411,Planilha2!$J$2:$J$44,Planilha2!L$2:L$44,"",-1),"")</f>
        <v>BB-</v>
      </c>
      <c r="F411" t="str">
        <f>IFERROR(_xlfn.XLOOKUP($A411,Planilha2!$J$2:$J$44,Planilha2!M$2:M$44,"",-1),"")</f>
        <v>BB-</v>
      </c>
      <c r="G411" t="str" cm="1">
        <f t="array" ref="G411">IF($A411&lt;MIN(Planilha2!$J$2:$J$44),"",_xlfn.LET(_xlpm.t,_xlfn.XLOOKUP($A411,Planilha2!$J$2:$J$44,Planilha2!$N$2:$N$44,"",-1),_xlfn.IFS(ISNUMBER(SEARCH("positiva",_xlpm.t)),"Positiva",ISNUMBER(SEARCH("negativa",_xlpm.t)),"Negativa",ISNUMBER(SEARCH("estável",_xlpm.t)),"Estável",TRUE,"n/d")))</f>
        <v>Negativa</v>
      </c>
      <c r="H411" t="str">
        <f>IFERROR(_xlfn.XLOOKUP($A411,Planilha2!$P$2:$P$38,Planilha2!R$2:R$38,"",-1),"")</f>
        <v>BB-</v>
      </c>
      <c r="I411" t="str">
        <f>IFERROR(_xlfn.XLOOKUP($A411,Planilha2!$P$2:$P$38,Planilha2!S$2:S$38,"",-1),"")</f>
        <v>BB-</v>
      </c>
      <c r="J411" t="str" cm="1">
        <f t="array" ref="J411">IF($A411&lt;MIN(Planilha2!$P$2:$P$38),"",_xlfn.LET(_xlpm.t,_xlfn.XLOOKUP($A411,Planilha2!$P$2:$P$38,Planilha2!$T$2:$T$38,"",-1),_xlfn.IFS(ISNUMBER(SEARCH("positiva",_xlpm.t)),"Positiva",ISNUMBER(SEARCH("negativa",_xlpm.t)),"Negativa",ISNUMBER(SEARCH("estável",_xlpm.t)),"Estável",TRUE,"n/d")))</f>
        <v>Estável</v>
      </c>
      <c r="L411" s="52">
        <f>IFERROR(_xlfn.XLOOKUP(B411,'Agências de Rating Soberano'!$G$2:$G$22,'Agências de Rating Soberano'!$H$2:$H$22),NA())</f>
        <v>10</v>
      </c>
      <c r="M411" s="52">
        <f>IFERROR(_xlfn.XLOOKUP(C411,'Agências de Rating Soberano'!$G$2:$G$22,'Agências de Rating Soberano'!$H$2:$H$22),NA())</f>
        <v>10</v>
      </c>
      <c r="N411" s="52">
        <f>IFERROR(_xlfn.XLOOKUP(E411,'Agências de Rating Soberano'!$J$2:$J$22,'Agências de Rating Soberano'!$K$2:$K$22),NA())</f>
        <v>9</v>
      </c>
      <c r="O411" s="52">
        <f>IFERROR(_xlfn.XLOOKUP(F411,'Agências de Rating Soberano'!$J$2:$J$22,'Agências de Rating Soberano'!$K$2:$K$22),NA())</f>
        <v>9</v>
      </c>
      <c r="P411" s="52">
        <f>IFERROR(_xlfn.XLOOKUP(H411,'Agências de Rating Soberano'!$J$2:$J$22,'Agências de Rating Soberano'!$K$2:$K$22),NA())</f>
        <v>9</v>
      </c>
      <c r="Q411" s="52">
        <f>IFERROR(_xlfn.XLOOKUP(I411,'Agências de Rating Soberano'!$J$2:$J$22,'Agências de Rating Soberano'!$K$2:$K$22),NA())</f>
        <v>9</v>
      </c>
    </row>
    <row r="412" spans="1:17" x14ac:dyDescent="0.3">
      <c r="A412" s="53">
        <f t="shared" si="13"/>
        <v>44227</v>
      </c>
      <c r="B412" t="str">
        <f>IFERROR(_xlfn.XLOOKUP($A412,Planilha2!$A$2:$A$34,Planilha2!C$2:C$34,"",-1),"")</f>
        <v>Ba2</v>
      </c>
      <c r="C412" t="str">
        <f>IFERROR(_xlfn.XLOOKUP($A412,Planilha2!$A$2:$A$34,Planilha2!D$2:D$34,"",-1),"")</f>
        <v>Ba2</v>
      </c>
      <c r="D412" t="str" cm="1">
        <f t="array" ref="D412">IF($A412&lt;MIN(Planilha2!$A$2:$A$34),"",_xlfn.LET(_xlpm.t,_xlfn.XLOOKUP($A412,Planilha2!$A$2:$A$34,Planilha2!$E$2:$E$34,"",-1),_xlfn.IFS(ISNUMBER(SEARCH("positiva",_xlpm.t)),"Positiva",ISNUMBER(SEARCH("negativa",_xlpm.t)),"Negativa",ISNUMBER(SEARCH("estável",_xlpm.t)),"Estável",TRUE,"n/d")))</f>
        <v>Estável</v>
      </c>
      <c r="E412" t="str">
        <f>IFERROR(_xlfn.XLOOKUP($A412,Planilha2!$J$2:$J$44,Planilha2!L$2:L$44,"",-1),"")</f>
        <v>BB-</v>
      </c>
      <c r="F412" t="str">
        <f>IFERROR(_xlfn.XLOOKUP($A412,Planilha2!$J$2:$J$44,Planilha2!M$2:M$44,"",-1),"")</f>
        <v>BB-</v>
      </c>
      <c r="G412" t="str" cm="1">
        <f t="array" ref="G412">IF($A412&lt;MIN(Planilha2!$J$2:$J$44),"",_xlfn.LET(_xlpm.t,_xlfn.XLOOKUP($A412,Planilha2!$J$2:$J$44,Planilha2!$N$2:$N$44,"",-1),_xlfn.IFS(ISNUMBER(SEARCH("positiva",_xlpm.t)),"Positiva",ISNUMBER(SEARCH("negativa",_xlpm.t)),"Negativa",ISNUMBER(SEARCH("estável",_xlpm.t)),"Estável",TRUE,"n/d")))</f>
        <v>Negativa</v>
      </c>
      <c r="H412" t="str">
        <f>IFERROR(_xlfn.XLOOKUP($A412,Planilha2!$P$2:$P$38,Planilha2!R$2:R$38,"",-1),"")</f>
        <v>BB-</v>
      </c>
      <c r="I412" t="str">
        <f>IFERROR(_xlfn.XLOOKUP($A412,Planilha2!$P$2:$P$38,Planilha2!S$2:S$38,"",-1),"")</f>
        <v>BB-</v>
      </c>
      <c r="J412" t="str" cm="1">
        <f t="array" ref="J412">IF($A412&lt;MIN(Planilha2!$P$2:$P$38),"",_xlfn.LET(_xlpm.t,_xlfn.XLOOKUP($A412,Planilha2!$P$2:$P$38,Planilha2!$T$2:$T$38,"",-1),_xlfn.IFS(ISNUMBER(SEARCH("positiva",_xlpm.t)),"Positiva",ISNUMBER(SEARCH("negativa",_xlpm.t)),"Negativa",ISNUMBER(SEARCH("estável",_xlpm.t)),"Estável",TRUE,"n/d")))</f>
        <v>Estável</v>
      </c>
      <c r="L412" s="52">
        <f>IFERROR(_xlfn.XLOOKUP(B412,'Agências de Rating Soberano'!$G$2:$G$22,'Agências de Rating Soberano'!$H$2:$H$22),NA())</f>
        <v>10</v>
      </c>
      <c r="M412" s="52">
        <f>IFERROR(_xlfn.XLOOKUP(C412,'Agências de Rating Soberano'!$G$2:$G$22,'Agências de Rating Soberano'!$H$2:$H$22),NA())</f>
        <v>10</v>
      </c>
      <c r="N412" s="52">
        <f>IFERROR(_xlfn.XLOOKUP(E412,'Agências de Rating Soberano'!$J$2:$J$22,'Agências de Rating Soberano'!$K$2:$K$22),NA())</f>
        <v>9</v>
      </c>
      <c r="O412" s="52">
        <f>IFERROR(_xlfn.XLOOKUP(F412,'Agências de Rating Soberano'!$J$2:$J$22,'Agências de Rating Soberano'!$K$2:$K$22),NA())</f>
        <v>9</v>
      </c>
      <c r="P412" s="52">
        <f>IFERROR(_xlfn.XLOOKUP(H412,'Agências de Rating Soberano'!$J$2:$J$22,'Agências de Rating Soberano'!$K$2:$K$22),NA())</f>
        <v>9</v>
      </c>
      <c r="Q412" s="52">
        <f>IFERROR(_xlfn.XLOOKUP(I412,'Agências de Rating Soberano'!$J$2:$J$22,'Agências de Rating Soberano'!$K$2:$K$22),NA())</f>
        <v>9</v>
      </c>
    </row>
    <row r="413" spans="1:17" x14ac:dyDescent="0.3">
      <c r="A413" s="53">
        <f t="shared" si="13"/>
        <v>44255</v>
      </c>
      <c r="B413" t="str">
        <f>IFERROR(_xlfn.XLOOKUP($A413,Planilha2!$A$2:$A$34,Planilha2!C$2:C$34,"",-1),"")</f>
        <v>Ba2</v>
      </c>
      <c r="C413" t="str">
        <f>IFERROR(_xlfn.XLOOKUP($A413,Planilha2!$A$2:$A$34,Planilha2!D$2:D$34,"",-1),"")</f>
        <v>Ba2</v>
      </c>
      <c r="D413" t="str" cm="1">
        <f t="array" ref="D413">IF($A413&lt;MIN(Planilha2!$A$2:$A$34),"",_xlfn.LET(_xlpm.t,_xlfn.XLOOKUP($A413,Planilha2!$A$2:$A$34,Planilha2!$E$2:$E$34,"",-1),_xlfn.IFS(ISNUMBER(SEARCH("positiva",_xlpm.t)),"Positiva",ISNUMBER(SEARCH("negativa",_xlpm.t)),"Negativa",ISNUMBER(SEARCH("estável",_xlpm.t)),"Estável",TRUE,"n/d")))</f>
        <v>Estável</v>
      </c>
      <c r="E413" t="str">
        <f>IFERROR(_xlfn.XLOOKUP($A413,Planilha2!$J$2:$J$44,Planilha2!L$2:L$44,"",-1),"")</f>
        <v>BB-</v>
      </c>
      <c r="F413" t="str">
        <f>IFERROR(_xlfn.XLOOKUP($A413,Planilha2!$J$2:$J$44,Planilha2!M$2:M$44,"",-1),"")</f>
        <v>BB-</v>
      </c>
      <c r="G413" t="str" cm="1">
        <f t="array" ref="G413">IF($A413&lt;MIN(Planilha2!$J$2:$J$44),"",_xlfn.LET(_xlpm.t,_xlfn.XLOOKUP($A413,Planilha2!$J$2:$J$44,Planilha2!$N$2:$N$44,"",-1),_xlfn.IFS(ISNUMBER(SEARCH("positiva",_xlpm.t)),"Positiva",ISNUMBER(SEARCH("negativa",_xlpm.t)),"Negativa",ISNUMBER(SEARCH("estável",_xlpm.t)),"Estável",TRUE,"n/d")))</f>
        <v>Negativa</v>
      </c>
      <c r="H413" t="str">
        <f>IFERROR(_xlfn.XLOOKUP($A413,Planilha2!$P$2:$P$38,Planilha2!R$2:R$38,"",-1),"")</f>
        <v>BB-</v>
      </c>
      <c r="I413" t="str">
        <f>IFERROR(_xlfn.XLOOKUP($A413,Planilha2!$P$2:$P$38,Planilha2!S$2:S$38,"",-1),"")</f>
        <v>BB-</v>
      </c>
      <c r="J413" t="str" cm="1">
        <f t="array" ref="J413">IF($A413&lt;MIN(Planilha2!$P$2:$P$38),"",_xlfn.LET(_xlpm.t,_xlfn.XLOOKUP($A413,Planilha2!$P$2:$P$38,Planilha2!$T$2:$T$38,"",-1),_xlfn.IFS(ISNUMBER(SEARCH("positiva",_xlpm.t)),"Positiva",ISNUMBER(SEARCH("negativa",_xlpm.t)),"Negativa",ISNUMBER(SEARCH("estável",_xlpm.t)),"Estável",TRUE,"n/d")))</f>
        <v>Estável</v>
      </c>
      <c r="L413" s="52">
        <f>IFERROR(_xlfn.XLOOKUP(B413,'Agências de Rating Soberano'!$G$2:$G$22,'Agências de Rating Soberano'!$H$2:$H$22),NA())</f>
        <v>10</v>
      </c>
      <c r="M413" s="52">
        <f>IFERROR(_xlfn.XLOOKUP(C413,'Agências de Rating Soberano'!$G$2:$G$22,'Agências de Rating Soberano'!$H$2:$H$22),NA())</f>
        <v>10</v>
      </c>
      <c r="N413" s="52">
        <f>IFERROR(_xlfn.XLOOKUP(E413,'Agências de Rating Soberano'!$J$2:$J$22,'Agências de Rating Soberano'!$K$2:$K$22),NA())</f>
        <v>9</v>
      </c>
      <c r="O413" s="52">
        <f>IFERROR(_xlfn.XLOOKUP(F413,'Agências de Rating Soberano'!$J$2:$J$22,'Agências de Rating Soberano'!$K$2:$K$22),NA())</f>
        <v>9</v>
      </c>
      <c r="P413" s="52">
        <f>IFERROR(_xlfn.XLOOKUP(H413,'Agências de Rating Soberano'!$J$2:$J$22,'Agências de Rating Soberano'!$K$2:$K$22),NA())</f>
        <v>9</v>
      </c>
      <c r="Q413" s="52">
        <f>IFERROR(_xlfn.XLOOKUP(I413,'Agências de Rating Soberano'!$J$2:$J$22,'Agências de Rating Soberano'!$K$2:$K$22),NA())</f>
        <v>9</v>
      </c>
    </row>
    <row r="414" spans="1:17" x14ac:dyDescent="0.3">
      <c r="A414" s="53">
        <f t="shared" si="13"/>
        <v>44286</v>
      </c>
      <c r="B414" t="str">
        <f>IFERROR(_xlfn.XLOOKUP($A414,Planilha2!$A$2:$A$34,Planilha2!C$2:C$34,"",-1),"")</f>
        <v>Ba2</v>
      </c>
      <c r="C414" t="str">
        <f>IFERROR(_xlfn.XLOOKUP($A414,Planilha2!$A$2:$A$34,Planilha2!D$2:D$34,"",-1),"")</f>
        <v>Ba2</v>
      </c>
      <c r="D414" t="str" cm="1">
        <f t="array" ref="D414">IF($A414&lt;MIN(Planilha2!$A$2:$A$34),"",_xlfn.LET(_xlpm.t,_xlfn.XLOOKUP($A414,Planilha2!$A$2:$A$34,Planilha2!$E$2:$E$34,"",-1),_xlfn.IFS(ISNUMBER(SEARCH("positiva",_xlpm.t)),"Positiva",ISNUMBER(SEARCH("negativa",_xlpm.t)),"Negativa",ISNUMBER(SEARCH("estável",_xlpm.t)),"Estável",TRUE,"n/d")))</f>
        <v>Estável</v>
      </c>
      <c r="E414" t="str">
        <f>IFERROR(_xlfn.XLOOKUP($A414,Planilha2!$J$2:$J$44,Planilha2!L$2:L$44,"",-1),"")</f>
        <v>BB-</v>
      </c>
      <c r="F414" t="str">
        <f>IFERROR(_xlfn.XLOOKUP($A414,Planilha2!$J$2:$J$44,Planilha2!M$2:M$44,"",-1),"")</f>
        <v>BB-</v>
      </c>
      <c r="G414" t="str" cm="1">
        <f t="array" ref="G414">IF($A414&lt;MIN(Planilha2!$J$2:$J$44),"",_xlfn.LET(_xlpm.t,_xlfn.XLOOKUP($A414,Planilha2!$J$2:$J$44,Planilha2!$N$2:$N$44,"",-1),_xlfn.IFS(ISNUMBER(SEARCH("positiva",_xlpm.t)),"Positiva",ISNUMBER(SEARCH("negativa",_xlpm.t)),"Negativa",ISNUMBER(SEARCH("estável",_xlpm.t)),"Estável",TRUE,"n/d")))</f>
        <v>Negativa</v>
      </c>
      <c r="H414" t="str">
        <f>IFERROR(_xlfn.XLOOKUP($A414,Planilha2!$P$2:$P$38,Planilha2!R$2:R$38,"",-1),"")</f>
        <v>BB-</v>
      </c>
      <c r="I414" t="str">
        <f>IFERROR(_xlfn.XLOOKUP($A414,Planilha2!$P$2:$P$38,Planilha2!S$2:S$38,"",-1),"")</f>
        <v>BB-</v>
      </c>
      <c r="J414" t="str" cm="1">
        <f t="array" ref="J414">IF($A414&lt;MIN(Planilha2!$P$2:$P$38),"",_xlfn.LET(_xlpm.t,_xlfn.XLOOKUP($A414,Planilha2!$P$2:$P$38,Planilha2!$T$2:$T$38,"",-1),_xlfn.IFS(ISNUMBER(SEARCH("positiva",_xlpm.t)),"Positiva",ISNUMBER(SEARCH("negativa",_xlpm.t)),"Negativa",ISNUMBER(SEARCH("estável",_xlpm.t)),"Estável",TRUE,"n/d")))</f>
        <v>Estável</v>
      </c>
      <c r="L414" s="52">
        <f>IFERROR(_xlfn.XLOOKUP(B414,'Agências de Rating Soberano'!$G$2:$G$22,'Agências de Rating Soberano'!$H$2:$H$22),NA())</f>
        <v>10</v>
      </c>
      <c r="M414" s="52">
        <f>IFERROR(_xlfn.XLOOKUP(C414,'Agências de Rating Soberano'!$G$2:$G$22,'Agências de Rating Soberano'!$H$2:$H$22),NA())</f>
        <v>10</v>
      </c>
      <c r="N414" s="52">
        <f>IFERROR(_xlfn.XLOOKUP(E414,'Agências de Rating Soberano'!$J$2:$J$22,'Agências de Rating Soberano'!$K$2:$K$22),NA())</f>
        <v>9</v>
      </c>
      <c r="O414" s="52">
        <f>IFERROR(_xlfn.XLOOKUP(F414,'Agências de Rating Soberano'!$J$2:$J$22,'Agências de Rating Soberano'!$K$2:$K$22),NA())</f>
        <v>9</v>
      </c>
      <c r="P414" s="52">
        <f>IFERROR(_xlfn.XLOOKUP(H414,'Agências de Rating Soberano'!$J$2:$J$22,'Agências de Rating Soberano'!$K$2:$K$22),NA())</f>
        <v>9</v>
      </c>
      <c r="Q414" s="52">
        <f>IFERROR(_xlfn.XLOOKUP(I414,'Agências de Rating Soberano'!$J$2:$J$22,'Agências de Rating Soberano'!$K$2:$K$22),NA())</f>
        <v>9</v>
      </c>
    </row>
    <row r="415" spans="1:17" x14ac:dyDescent="0.3">
      <c r="A415" s="53">
        <f t="shared" si="13"/>
        <v>44316</v>
      </c>
      <c r="B415" t="str">
        <f>IFERROR(_xlfn.XLOOKUP($A415,Planilha2!$A$2:$A$34,Planilha2!C$2:C$34,"",-1),"")</f>
        <v>Ba2</v>
      </c>
      <c r="C415" t="str">
        <f>IFERROR(_xlfn.XLOOKUP($A415,Planilha2!$A$2:$A$34,Planilha2!D$2:D$34,"",-1),"")</f>
        <v>Ba2</v>
      </c>
      <c r="D415" t="str" cm="1">
        <f t="array" ref="D415">IF($A415&lt;MIN(Planilha2!$A$2:$A$34),"",_xlfn.LET(_xlpm.t,_xlfn.XLOOKUP($A415,Planilha2!$A$2:$A$34,Planilha2!$E$2:$E$34,"",-1),_xlfn.IFS(ISNUMBER(SEARCH("positiva",_xlpm.t)),"Positiva",ISNUMBER(SEARCH("negativa",_xlpm.t)),"Negativa",ISNUMBER(SEARCH("estável",_xlpm.t)),"Estável",TRUE,"n/d")))</f>
        <v>Estável</v>
      </c>
      <c r="E415" t="str">
        <f>IFERROR(_xlfn.XLOOKUP($A415,Planilha2!$J$2:$J$44,Planilha2!L$2:L$44,"",-1),"")</f>
        <v>BB-</v>
      </c>
      <c r="F415" t="str">
        <f>IFERROR(_xlfn.XLOOKUP($A415,Planilha2!$J$2:$J$44,Planilha2!M$2:M$44,"",-1),"")</f>
        <v>BB-</v>
      </c>
      <c r="G415" t="str" cm="1">
        <f t="array" ref="G415">IF($A415&lt;MIN(Planilha2!$J$2:$J$44),"",_xlfn.LET(_xlpm.t,_xlfn.XLOOKUP($A415,Planilha2!$J$2:$J$44,Planilha2!$N$2:$N$44,"",-1),_xlfn.IFS(ISNUMBER(SEARCH("positiva",_xlpm.t)),"Positiva",ISNUMBER(SEARCH("negativa",_xlpm.t)),"Negativa",ISNUMBER(SEARCH("estável",_xlpm.t)),"Estável",TRUE,"n/d")))</f>
        <v>Negativa</v>
      </c>
      <c r="H415" t="str">
        <f>IFERROR(_xlfn.XLOOKUP($A415,Planilha2!$P$2:$P$38,Planilha2!R$2:R$38,"",-1),"")</f>
        <v>BB-</v>
      </c>
      <c r="I415" t="str">
        <f>IFERROR(_xlfn.XLOOKUP($A415,Planilha2!$P$2:$P$38,Planilha2!S$2:S$38,"",-1),"")</f>
        <v>BB-</v>
      </c>
      <c r="J415" t="str" cm="1">
        <f t="array" ref="J415">IF($A415&lt;MIN(Planilha2!$P$2:$P$38),"",_xlfn.LET(_xlpm.t,_xlfn.XLOOKUP($A415,Planilha2!$P$2:$P$38,Planilha2!$T$2:$T$38,"",-1),_xlfn.IFS(ISNUMBER(SEARCH("positiva",_xlpm.t)),"Positiva",ISNUMBER(SEARCH("negativa",_xlpm.t)),"Negativa",ISNUMBER(SEARCH("estável",_xlpm.t)),"Estável",TRUE,"n/d")))</f>
        <v>Estável</v>
      </c>
      <c r="L415" s="52">
        <f>IFERROR(_xlfn.XLOOKUP(B415,'Agências de Rating Soberano'!$G$2:$G$22,'Agências de Rating Soberano'!$H$2:$H$22),NA())</f>
        <v>10</v>
      </c>
      <c r="M415" s="52">
        <f>IFERROR(_xlfn.XLOOKUP(C415,'Agências de Rating Soberano'!$G$2:$G$22,'Agências de Rating Soberano'!$H$2:$H$22),NA())</f>
        <v>10</v>
      </c>
      <c r="N415" s="52">
        <f>IFERROR(_xlfn.XLOOKUP(E415,'Agências de Rating Soberano'!$J$2:$J$22,'Agências de Rating Soberano'!$K$2:$K$22),NA())</f>
        <v>9</v>
      </c>
      <c r="O415" s="52">
        <f>IFERROR(_xlfn.XLOOKUP(F415,'Agências de Rating Soberano'!$J$2:$J$22,'Agências de Rating Soberano'!$K$2:$K$22),NA())</f>
        <v>9</v>
      </c>
      <c r="P415" s="52">
        <f>IFERROR(_xlfn.XLOOKUP(H415,'Agências de Rating Soberano'!$J$2:$J$22,'Agências de Rating Soberano'!$K$2:$K$22),NA())</f>
        <v>9</v>
      </c>
      <c r="Q415" s="52">
        <f>IFERROR(_xlfn.XLOOKUP(I415,'Agências de Rating Soberano'!$J$2:$J$22,'Agências de Rating Soberano'!$K$2:$K$22),NA())</f>
        <v>9</v>
      </c>
    </row>
    <row r="416" spans="1:17" x14ac:dyDescent="0.3">
      <c r="A416" s="53">
        <f t="shared" si="13"/>
        <v>44347</v>
      </c>
      <c r="B416" t="str">
        <f>IFERROR(_xlfn.XLOOKUP($A416,Planilha2!$A$2:$A$34,Planilha2!C$2:C$34,"",-1),"")</f>
        <v>Ba2</v>
      </c>
      <c r="C416" t="str">
        <f>IFERROR(_xlfn.XLOOKUP($A416,Planilha2!$A$2:$A$34,Planilha2!D$2:D$34,"",-1),"")</f>
        <v>Ba2</v>
      </c>
      <c r="D416" t="str" cm="1">
        <f t="array" ref="D416">IF($A416&lt;MIN(Planilha2!$A$2:$A$34),"",_xlfn.LET(_xlpm.t,_xlfn.XLOOKUP($A416,Planilha2!$A$2:$A$34,Planilha2!$E$2:$E$34,"",-1),_xlfn.IFS(ISNUMBER(SEARCH("positiva",_xlpm.t)),"Positiva",ISNUMBER(SEARCH("negativa",_xlpm.t)),"Negativa",ISNUMBER(SEARCH("estável",_xlpm.t)),"Estável",TRUE,"n/d")))</f>
        <v>Estável</v>
      </c>
      <c r="E416" t="str">
        <f>IFERROR(_xlfn.XLOOKUP($A416,Planilha2!$J$2:$J$44,Planilha2!L$2:L$44,"",-1),"")</f>
        <v>BB-</v>
      </c>
      <c r="F416" t="str">
        <f>IFERROR(_xlfn.XLOOKUP($A416,Planilha2!$J$2:$J$44,Planilha2!M$2:M$44,"",-1),"")</f>
        <v>BB-</v>
      </c>
      <c r="G416" t="str" cm="1">
        <f t="array" ref="G416">IF($A416&lt;MIN(Planilha2!$J$2:$J$44),"",_xlfn.LET(_xlpm.t,_xlfn.XLOOKUP($A416,Planilha2!$J$2:$J$44,Planilha2!$N$2:$N$44,"",-1),_xlfn.IFS(ISNUMBER(SEARCH("positiva",_xlpm.t)),"Positiva",ISNUMBER(SEARCH("negativa",_xlpm.t)),"Negativa",ISNUMBER(SEARCH("estável",_xlpm.t)),"Estável",TRUE,"n/d")))</f>
        <v>Negativa</v>
      </c>
      <c r="H416" t="str">
        <f>IFERROR(_xlfn.XLOOKUP($A416,Planilha2!$P$2:$P$38,Planilha2!R$2:R$38,"",-1),"")</f>
        <v>BB-</v>
      </c>
      <c r="I416" t="str">
        <f>IFERROR(_xlfn.XLOOKUP($A416,Planilha2!$P$2:$P$38,Planilha2!S$2:S$38,"",-1),"")</f>
        <v>BB-</v>
      </c>
      <c r="J416" t="str" cm="1">
        <f t="array" ref="J416">IF($A416&lt;MIN(Planilha2!$P$2:$P$38),"",_xlfn.LET(_xlpm.t,_xlfn.XLOOKUP($A416,Planilha2!$P$2:$P$38,Planilha2!$T$2:$T$38,"",-1),_xlfn.IFS(ISNUMBER(SEARCH("positiva",_xlpm.t)),"Positiva",ISNUMBER(SEARCH("negativa",_xlpm.t)),"Negativa",ISNUMBER(SEARCH("estável",_xlpm.t)),"Estável",TRUE,"n/d")))</f>
        <v>Estável</v>
      </c>
      <c r="L416" s="52">
        <f>IFERROR(_xlfn.XLOOKUP(B416,'Agências de Rating Soberano'!$G$2:$G$22,'Agências de Rating Soberano'!$H$2:$H$22),NA())</f>
        <v>10</v>
      </c>
      <c r="M416" s="52">
        <f>IFERROR(_xlfn.XLOOKUP(C416,'Agências de Rating Soberano'!$G$2:$G$22,'Agências de Rating Soberano'!$H$2:$H$22),NA())</f>
        <v>10</v>
      </c>
      <c r="N416" s="52">
        <f>IFERROR(_xlfn.XLOOKUP(E416,'Agências de Rating Soberano'!$J$2:$J$22,'Agências de Rating Soberano'!$K$2:$K$22),NA())</f>
        <v>9</v>
      </c>
      <c r="O416" s="52">
        <f>IFERROR(_xlfn.XLOOKUP(F416,'Agências de Rating Soberano'!$J$2:$J$22,'Agências de Rating Soberano'!$K$2:$K$22),NA())</f>
        <v>9</v>
      </c>
      <c r="P416" s="52">
        <f>IFERROR(_xlfn.XLOOKUP(H416,'Agências de Rating Soberano'!$J$2:$J$22,'Agências de Rating Soberano'!$K$2:$K$22),NA())</f>
        <v>9</v>
      </c>
      <c r="Q416" s="52">
        <f>IFERROR(_xlfn.XLOOKUP(I416,'Agências de Rating Soberano'!$J$2:$J$22,'Agências de Rating Soberano'!$K$2:$K$22),NA())</f>
        <v>9</v>
      </c>
    </row>
    <row r="417" spans="1:17" x14ac:dyDescent="0.3">
      <c r="A417" s="53">
        <f t="shared" si="13"/>
        <v>44377</v>
      </c>
      <c r="B417" t="str">
        <f>IFERROR(_xlfn.XLOOKUP($A417,Planilha2!$A$2:$A$34,Planilha2!C$2:C$34,"",-1),"")</f>
        <v>Ba2</v>
      </c>
      <c r="C417" t="str">
        <f>IFERROR(_xlfn.XLOOKUP($A417,Planilha2!$A$2:$A$34,Planilha2!D$2:D$34,"",-1),"")</f>
        <v>Ba2</v>
      </c>
      <c r="D417" t="str" cm="1">
        <f t="array" ref="D417">IF($A417&lt;MIN(Planilha2!$A$2:$A$34),"",_xlfn.LET(_xlpm.t,_xlfn.XLOOKUP($A417,Planilha2!$A$2:$A$34,Planilha2!$E$2:$E$34,"",-1),_xlfn.IFS(ISNUMBER(SEARCH("positiva",_xlpm.t)),"Positiva",ISNUMBER(SEARCH("negativa",_xlpm.t)),"Negativa",ISNUMBER(SEARCH("estável",_xlpm.t)),"Estável",TRUE,"n/d")))</f>
        <v>Estável</v>
      </c>
      <c r="E417" t="str">
        <f>IFERROR(_xlfn.XLOOKUP($A417,Planilha2!$J$2:$J$44,Planilha2!L$2:L$44,"",-1),"")</f>
        <v>BB-</v>
      </c>
      <c r="F417" t="str">
        <f>IFERROR(_xlfn.XLOOKUP($A417,Planilha2!$J$2:$J$44,Planilha2!M$2:M$44,"",-1),"")</f>
        <v>BB-</v>
      </c>
      <c r="G417" t="str" cm="1">
        <f t="array" ref="G417">IF($A417&lt;MIN(Planilha2!$J$2:$J$44),"",_xlfn.LET(_xlpm.t,_xlfn.XLOOKUP($A417,Planilha2!$J$2:$J$44,Planilha2!$N$2:$N$44,"",-1),_xlfn.IFS(ISNUMBER(SEARCH("positiva",_xlpm.t)),"Positiva",ISNUMBER(SEARCH("negativa",_xlpm.t)),"Negativa",ISNUMBER(SEARCH("estável",_xlpm.t)),"Estável",TRUE,"n/d")))</f>
        <v>Negativa</v>
      </c>
      <c r="H417" t="str">
        <f>IFERROR(_xlfn.XLOOKUP($A417,Planilha2!$P$2:$P$38,Planilha2!R$2:R$38,"",-1),"")</f>
        <v>BB-</v>
      </c>
      <c r="I417" t="str">
        <f>IFERROR(_xlfn.XLOOKUP($A417,Planilha2!$P$2:$P$38,Planilha2!S$2:S$38,"",-1),"")</f>
        <v>BB-</v>
      </c>
      <c r="J417" t="str" cm="1">
        <f t="array" ref="J417">IF($A417&lt;MIN(Planilha2!$P$2:$P$38),"",_xlfn.LET(_xlpm.t,_xlfn.XLOOKUP($A417,Planilha2!$P$2:$P$38,Planilha2!$T$2:$T$38,"",-1),_xlfn.IFS(ISNUMBER(SEARCH("positiva",_xlpm.t)),"Positiva",ISNUMBER(SEARCH("negativa",_xlpm.t)),"Negativa",ISNUMBER(SEARCH("estável",_xlpm.t)),"Estável",TRUE,"n/d")))</f>
        <v>Estável</v>
      </c>
      <c r="L417" s="52">
        <f>IFERROR(_xlfn.XLOOKUP(B417,'Agências de Rating Soberano'!$G$2:$G$22,'Agências de Rating Soberano'!$H$2:$H$22),NA())</f>
        <v>10</v>
      </c>
      <c r="M417" s="52">
        <f>IFERROR(_xlfn.XLOOKUP(C417,'Agências de Rating Soberano'!$G$2:$G$22,'Agências de Rating Soberano'!$H$2:$H$22),NA())</f>
        <v>10</v>
      </c>
      <c r="N417" s="52">
        <f>IFERROR(_xlfn.XLOOKUP(E417,'Agências de Rating Soberano'!$J$2:$J$22,'Agências de Rating Soberano'!$K$2:$K$22),NA())</f>
        <v>9</v>
      </c>
      <c r="O417" s="52">
        <f>IFERROR(_xlfn.XLOOKUP(F417,'Agências de Rating Soberano'!$J$2:$J$22,'Agências de Rating Soberano'!$K$2:$K$22),NA())</f>
        <v>9</v>
      </c>
      <c r="P417" s="52">
        <f>IFERROR(_xlfn.XLOOKUP(H417,'Agências de Rating Soberano'!$J$2:$J$22,'Agências de Rating Soberano'!$K$2:$K$22),NA())</f>
        <v>9</v>
      </c>
      <c r="Q417" s="52">
        <f>IFERROR(_xlfn.XLOOKUP(I417,'Agências de Rating Soberano'!$J$2:$J$22,'Agências de Rating Soberano'!$K$2:$K$22),NA())</f>
        <v>9</v>
      </c>
    </row>
    <row r="418" spans="1:17" x14ac:dyDescent="0.3">
      <c r="A418" s="53">
        <f t="shared" si="13"/>
        <v>44408</v>
      </c>
      <c r="B418" t="str">
        <f>IFERROR(_xlfn.XLOOKUP($A418,Planilha2!$A$2:$A$34,Planilha2!C$2:C$34,"",-1),"")</f>
        <v>Ba2</v>
      </c>
      <c r="C418" t="str">
        <f>IFERROR(_xlfn.XLOOKUP($A418,Planilha2!$A$2:$A$34,Planilha2!D$2:D$34,"",-1),"")</f>
        <v>Ba2</v>
      </c>
      <c r="D418" t="str" cm="1">
        <f t="array" ref="D418">IF($A418&lt;MIN(Planilha2!$A$2:$A$34),"",_xlfn.LET(_xlpm.t,_xlfn.XLOOKUP($A418,Planilha2!$A$2:$A$34,Planilha2!$E$2:$E$34,"",-1),_xlfn.IFS(ISNUMBER(SEARCH("positiva",_xlpm.t)),"Positiva",ISNUMBER(SEARCH("negativa",_xlpm.t)),"Negativa",ISNUMBER(SEARCH("estável",_xlpm.t)),"Estável",TRUE,"n/d")))</f>
        <v>Estável</v>
      </c>
      <c r="E418" t="str">
        <f>IFERROR(_xlfn.XLOOKUP($A418,Planilha2!$J$2:$J$44,Planilha2!L$2:L$44,"",-1),"")</f>
        <v>BB-</v>
      </c>
      <c r="F418" t="str">
        <f>IFERROR(_xlfn.XLOOKUP($A418,Planilha2!$J$2:$J$44,Planilha2!M$2:M$44,"",-1),"")</f>
        <v>BB-</v>
      </c>
      <c r="G418" t="str" cm="1">
        <f t="array" ref="G418">IF($A418&lt;MIN(Planilha2!$J$2:$J$44),"",_xlfn.LET(_xlpm.t,_xlfn.XLOOKUP($A418,Planilha2!$J$2:$J$44,Planilha2!$N$2:$N$44,"",-1),_xlfn.IFS(ISNUMBER(SEARCH("positiva",_xlpm.t)),"Positiva",ISNUMBER(SEARCH("negativa",_xlpm.t)),"Negativa",ISNUMBER(SEARCH("estável",_xlpm.t)),"Estável",TRUE,"n/d")))</f>
        <v>Negativa</v>
      </c>
      <c r="H418" t="str">
        <f>IFERROR(_xlfn.XLOOKUP($A418,Planilha2!$P$2:$P$38,Planilha2!R$2:R$38,"",-1),"")</f>
        <v>BB-</v>
      </c>
      <c r="I418" t="str">
        <f>IFERROR(_xlfn.XLOOKUP($A418,Planilha2!$P$2:$P$38,Planilha2!S$2:S$38,"",-1),"")</f>
        <v>BB-</v>
      </c>
      <c r="J418" t="str" cm="1">
        <f t="array" ref="J418">IF($A418&lt;MIN(Planilha2!$P$2:$P$38),"",_xlfn.LET(_xlpm.t,_xlfn.XLOOKUP($A418,Planilha2!$P$2:$P$38,Planilha2!$T$2:$T$38,"",-1),_xlfn.IFS(ISNUMBER(SEARCH("positiva",_xlpm.t)),"Positiva",ISNUMBER(SEARCH("negativa",_xlpm.t)),"Negativa",ISNUMBER(SEARCH("estável",_xlpm.t)),"Estável",TRUE,"n/d")))</f>
        <v>Estável</v>
      </c>
      <c r="L418" s="52">
        <f>IFERROR(_xlfn.XLOOKUP(B418,'Agências de Rating Soberano'!$G$2:$G$22,'Agências de Rating Soberano'!$H$2:$H$22),NA())</f>
        <v>10</v>
      </c>
      <c r="M418" s="52">
        <f>IFERROR(_xlfn.XLOOKUP(C418,'Agências de Rating Soberano'!$G$2:$G$22,'Agências de Rating Soberano'!$H$2:$H$22),NA())</f>
        <v>10</v>
      </c>
      <c r="N418" s="52">
        <f>IFERROR(_xlfn.XLOOKUP(E418,'Agências de Rating Soberano'!$J$2:$J$22,'Agências de Rating Soberano'!$K$2:$K$22),NA())</f>
        <v>9</v>
      </c>
      <c r="O418" s="52">
        <f>IFERROR(_xlfn.XLOOKUP(F418,'Agências de Rating Soberano'!$J$2:$J$22,'Agências de Rating Soberano'!$K$2:$K$22),NA())</f>
        <v>9</v>
      </c>
      <c r="P418" s="52">
        <f>IFERROR(_xlfn.XLOOKUP(H418,'Agências de Rating Soberano'!$J$2:$J$22,'Agências de Rating Soberano'!$K$2:$K$22),NA())</f>
        <v>9</v>
      </c>
      <c r="Q418" s="52">
        <f>IFERROR(_xlfn.XLOOKUP(I418,'Agências de Rating Soberano'!$J$2:$J$22,'Agências de Rating Soberano'!$K$2:$K$22),NA())</f>
        <v>9</v>
      </c>
    </row>
    <row r="419" spans="1:17" x14ac:dyDescent="0.3">
      <c r="A419" s="53">
        <f t="shared" si="13"/>
        <v>44439</v>
      </c>
      <c r="B419" t="str">
        <f>IFERROR(_xlfn.XLOOKUP($A419,Planilha2!$A$2:$A$34,Planilha2!C$2:C$34,"",-1),"")</f>
        <v>Ba2</v>
      </c>
      <c r="C419" t="str">
        <f>IFERROR(_xlfn.XLOOKUP($A419,Planilha2!$A$2:$A$34,Planilha2!D$2:D$34,"",-1),"")</f>
        <v>Ba2</v>
      </c>
      <c r="D419" t="str" cm="1">
        <f t="array" ref="D419">IF($A419&lt;MIN(Planilha2!$A$2:$A$34),"",_xlfn.LET(_xlpm.t,_xlfn.XLOOKUP($A419,Planilha2!$A$2:$A$34,Planilha2!$E$2:$E$34,"",-1),_xlfn.IFS(ISNUMBER(SEARCH("positiva",_xlpm.t)),"Positiva",ISNUMBER(SEARCH("negativa",_xlpm.t)),"Negativa",ISNUMBER(SEARCH("estável",_xlpm.t)),"Estável",TRUE,"n/d")))</f>
        <v>Estável</v>
      </c>
      <c r="E419" t="str">
        <f>IFERROR(_xlfn.XLOOKUP($A419,Planilha2!$J$2:$J$44,Planilha2!L$2:L$44,"",-1),"")</f>
        <v>BB-</v>
      </c>
      <c r="F419" t="str">
        <f>IFERROR(_xlfn.XLOOKUP($A419,Planilha2!$J$2:$J$44,Planilha2!M$2:M$44,"",-1),"")</f>
        <v>BB-</v>
      </c>
      <c r="G419" t="str" cm="1">
        <f t="array" ref="G419">IF($A419&lt;MIN(Planilha2!$J$2:$J$44),"",_xlfn.LET(_xlpm.t,_xlfn.XLOOKUP($A419,Planilha2!$J$2:$J$44,Planilha2!$N$2:$N$44,"",-1),_xlfn.IFS(ISNUMBER(SEARCH("positiva",_xlpm.t)),"Positiva",ISNUMBER(SEARCH("negativa",_xlpm.t)),"Negativa",ISNUMBER(SEARCH("estável",_xlpm.t)),"Estável",TRUE,"n/d")))</f>
        <v>Negativa</v>
      </c>
      <c r="H419" t="str">
        <f>IFERROR(_xlfn.XLOOKUP($A419,Planilha2!$P$2:$P$38,Planilha2!R$2:R$38,"",-1),"")</f>
        <v>BB-</v>
      </c>
      <c r="I419" t="str">
        <f>IFERROR(_xlfn.XLOOKUP($A419,Planilha2!$P$2:$P$38,Planilha2!S$2:S$38,"",-1),"")</f>
        <v>BB-</v>
      </c>
      <c r="J419" t="str" cm="1">
        <f t="array" ref="J419">IF($A419&lt;MIN(Planilha2!$P$2:$P$38),"",_xlfn.LET(_xlpm.t,_xlfn.XLOOKUP($A419,Planilha2!$P$2:$P$38,Planilha2!$T$2:$T$38,"",-1),_xlfn.IFS(ISNUMBER(SEARCH("positiva",_xlpm.t)),"Positiva",ISNUMBER(SEARCH("negativa",_xlpm.t)),"Negativa",ISNUMBER(SEARCH("estável",_xlpm.t)),"Estável",TRUE,"n/d")))</f>
        <v>Estável</v>
      </c>
      <c r="L419" s="52">
        <f>IFERROR(_xlfn.XLOOKUP(B419,'Agências de Rating Soberano'!$G$2:$G$22,'Agências de Rating Soberano'!$H$2:$H$22),NA())</f>
        <v>10</v>
      </c>
      <c r="M419" s="52">
        <f>IFERROR(_xlfn.XLOOKUP(C419,'Agências de Rating Soberano'!$G$2:$G$22,'Agências de Rating Soberano'!$H$2:$H$22),NA())</f>
        <v>10</v>
      </c>
      <c r="N419" s="52">
        <f>IFERROR(_xlfn.XLOOKUP(E419,'Agências de Rating Soberano'!$J$2:$J$22,'Agências de Rating Soberano'!$K$2:$K$22),NA())</f>
        <v>9</v>
      </c>
      <c r="O419" s="52">
        <f>IFERROR(_xlfn.XLOOKUP(F419,'Agências de Rating Soberano'!$J$2:$J$22,'Agências de Rating Soberano'!$K$2:$K$22),NA())</f>
        <v>9</v>
      </c>
      <c r="P419" s="52">
        <f>IFERROR(_xlfn.XLOOKUP(H419,'Agências de Rating Soberano'!$J$2:$J$22,'Agências de Rating Soberano'!$K$2:$K$22),NA())</f>
        <v>9</v>
      </c>
      <c r="Q419" s="52">
        <f>IFERROR(_xlfn.XLOOKUP(I419,'Agências de Rating Soberano'!$J$2:$J$22,'Agências de Rating Soberano'!$K$2:$K$22),NA())</f>
        <v>9</v>
      </c>
    </row>
    <row r="420" spans="1:17" x14ac:dyDescent="0.3">
      <c r="A420" s="53">
        <f t="shared" si="13"/>
        <v>44469</v>
      </c>
      <c r="B420" t="str">
        <f>IFERROR(_xlfn.XLOOKUP($A420,Planilha2!$A$2:$A$34,Planilha2!C$2:C$34,"",-1),"")</f>
        <v>Ba2</v>
      </c>
      <c r="C420" t="str">
        <f>IFERROR(_xlfn.XLOOKUP($A420,Planilha2!$A$2:$A$34,Planilha2!D$2:D$34,"",-1),"")</f>
        <v>Ba2</v>
      </c>
      <c r="D420" t="str" cm="1">
        <f t="array" ref="D420">IF($A420&lt;MIN(Planilha2!$A$2:$A$34),"",_xlfn.LET(_xlpm.t,_xlfn.XLOOKUP($A420,Planilha2!$A$2:$A$34,Planilha2!$E$2:$E$34,"",-1),_xlfn.IFS(ISNUMBER(SEARCH("positiva",_xlpm.t)),"Positiva",ISNUMBER(SEARCH("negativa",_xlpm.t)),"Negativa",ISNUMBER(SEARCH("estável",_xlpm.t)),"Estável",TRUE,"n/d")))</f>
        <v>Estável</v>
      </c>
      <c r="E420" t="str">
        <f>IFERROR(_xlfn.XLOOKUP($A420,Planilha2!$J$2:$J$44,Planilha2!L$2:L$44,"",-1),"")</f>
        <v>BB-</v>
      </c>
      <c r="F420" t="str">
        <f>IFERROR(_xlfn.XLOOKUP($A420,Planilha2!$J$2:$J$44,Planilha2!M$2:M$44,"",-1),"")</f>
        <v>BB-</v>
      </c>
      <c r="G420" t="str" cm="1">
        <f t="array" ref="G420">IF($A420&lt;MIN(Planilha2!$J$2:$J$44),"",_xlfn.LET(_xlpm.t,_xlfn.XLOOKUP($A420,Planilha2!$J$2:$J$44,Planilha2!$N$2:$N$44,"",-1),_xlfn.IFS(ISNUMBER(SEARCH("positiva",_xlpm.t)),"Positiva",ISNUMBER(SEARCH("negativa",_xlpm.t)),"Negativa",ISNUMBER(SEARCH("estável",_xlpm.t)),"Estável",TRUE,"n/d")))</f>
        <v>Negativa</v>
      </c>
      <c r="H420" t="str">
        <f>IFERROR(_xlfn.XLOOKUP($A420,Planilha2!$P$2:$P$38,Planilha2!R$2:R$38,"",-1),"")</f>
        <v>BB-</v>
      </c>
      <c r="I420" t="str">
        <f>IFERROR(_xlfn.XLOOKUP($A420,Planilha2!$P$2:$P$38,Planilha2!S$2:S$38,"",-1),"")</f>
        <v>BB-</v>
      </c>
      <c r="J420" t="str" cm="1">
        <f t="array" ref="J420">IF($A420&lt;MIN(Planilha2!$P$2:$P$38),"",_xlfn.LET(_xlpm.t,_xlfn.XLOOKUP($A420,Planilha2!$P$2:$P$38,Planilha2!$T$2:$T$38,"",-1),_xlfn.IFS(ISNUMBER(SEARCH("positiva",_xlpm.t)),"Positiva",ISNUMBER(SEARCH("negativa",_xlpm.t)),"Negativa",ISNUMBER(SEARCH("estável",_xlpm.t)),"Estável",TRUE,"n/d")))</f>
        <v>Estável</v>
      </c>
      <c r="L420" s="52">
        <f>IFERROR(_xlfn.XLOOKUP(B420,'Agências de Rating Soberano'!$G$2:$G$22,'Agências de Rating Soberano'!$H$2:$H$22),NA())</f>
        <v>10</v>
      </c>
      <c r="M420" s="52">
        <f>IFERROR(_xlfn.XLOOKUP(C420,'Agências de Rating Soberano'!$G$2:$G$22,'Agências de Rating Soberano'!$H$2:$H$22),NA())</f>
        <v>10</v>
      </c>
      <c r="N420" s="52">
        <f>IFERROR(_xlfn.XLOOKUP(E420,'Agências de Rating Soberano'!$J$2:$J$22,'Agências de Rating Soberano'!$K$2:$K$22),NA())</f>
        <v>9</v>
      </c>
      <c r="O420" s="52">
        <f>IFERROR(_xlfn.XLOOKUP(F420,'Agências de Rating Soberano'!$J$2:$J$22,'Agências de Rating Soberano'!$K$2:$K$22),NA())</f>
        <v>9</v>
      </c>
      <c r="P420" s="52">
        <f>IFERROR(_xlfn.XLOOKUP(H420,'Agências de Rating Soberano'!$J$2:$J$22,'Agências de Rating Soberano'!$K$2:$K$22),NA())</f>
        <v>9</v>
      </c>
      <c r="Q420" s="52">
        <f>IFERROR(_xlfn.XLOOKUP(I420,'Agências de Rating Soberano'!$J$2:$J$22,'Agências de Rating Soberano'!$K$2:$K$22),NA())</f>
        <v>9</v>
      </c>
    </row>
    <row r="421" spans="1:17" x14ac:dyDescent="0.3">
      <c r="A421" s="53">
        <f t="shared" si="13"/>
        <v>44500</v>
      </c>
      <c r="B421" t="str">
        <f>IFERROR(_xlfn.XLOOKUP($A421,Planilha2!$A$2:$A$34,Planilha2!C$2:C$34,"",-1),"")</f>
        <v>Ba2</v>
      </c>
      <c r="C421" t="str">
        <f>IFERROR(_xlfn.XLOOKUP($A421,Planilha2!$A$2:$A$34,Planilha2!D$2:D$34,"",-1),"")</f>
        <v>Ba2</v>
      </c>
      <c r="D421" t="str" cm="1">
        <f t="array" ref="D421">IF($A421&lt;MIN(Planilha2!$A$2:$A$34),"",_xlfn.LET(_xlpm.t,_xlfn.XLOOKUP($A421,Planilha2!$A$2:$A$34,Planilha2!$E$2:$E$34,"",-1),_xlfn.IFS(ISNUMBER(SEARCH("positiva",_xlpm.t)),"Positiva",ISNUMBER(SEARCH("negativa",_xlpm.t)),"Negativa",ISNUMBER(SEARCH("estável",_xlpm.t)),"Estável",TRUE,"n/d")))</f>
        <v>Estável</v>
      </c>
      <c r="E421" t="str">
        <f>IFERROR(_xlfn.XLOOKUP($A421,Planilha2!$J$2:$J$44,Planilha2!L$2:L$44,"",-1),"")</f>
        <v>BB-</v>
      </c>
      <c r="F421" t="str">
        <f>IFERROR(_xlfn.XLOOKUP($A421,Planilha2!$J$2:$J$44,Planilha2!M$2:M$44,"",-1),"")</f>
        <v>BB-</v>
      </c>
      <c r="G421" t="str" cm="1">
        <f t="array" ref="G421">IF($A421&lt;MIN(Planilha2!$J$2:$J$44),"",_xlfn.LET(_xlpm.t,_xlfn.XLOOKUP($A421,Planilha2!$J$2:$J$44,Planilha2!$N$2:$N$44,"",-1),_xlfn.IFS(ISNUMBER(SEARCH("positiva",_xlpm.t)),"Positiva",ISNUMBER(SEARCH("negativa",_xlpm.t)),"Negativa",ISNUMBER(SEARCH("estável",_xlpm.t)),"Estável",TRUE,"n/d")))</f>
        <v>Negativa</v>
      </c>
      <c r="H421" t="str">
        <f>IFERROR(_xlfn.XLOOKUP($A421,Planilha2!$P$2:$P$38,Planilha2!R$2:R$38,"",-1),"")</f>
        <v>BB-</v>
      </c>
      <c r="I421" t="str">
        <f>IFERROR(_xlfn.XLOOKUP($A421,Planilha2!$P$2:$P$38,Planilha2!S$2:S$38,"",-1),"")</f>
        <v>BB-</v>
      </c>
      <c r="J421" t="str" cm="1">
        <f t="array" ref="J421">IF($A421&lt;MIN(Planilha2!$P$2:$P$38),"",_xlfn.LET(_xlpm.t,_xlfn.XLOOKUP($A421,Planilha2!$P$2:$P$38,Planilha2!$T$2:$T$38,"",-1),_xlfn.IFS(ISNUMBER(SEARCH("positiva",_xlpm.t)),"Positiva",ISNUMBER(SEARCH("negativa",_xlpm.t)),"Negativa",ISNUMBER(SEARCH("estável",_xlpm.t)),"Estável",TRUE,"n/d")))</f>
        <v>Estável</v>
      </c>
      <c r="L421" s="52">
        <f>IFERROR(_xlfn.XLOOKUP(B421,'Agências de Rating Soberano'!$G$2:$G$22,'Agências de Rating Soberano'!$H$2:$H$22),NA())</f>
        <v>10</v>
      </c>
      <c r="M421" s="52">
        <f>IFERROR(_xlfn.XLOOKUP(C421,'Agências de Rating Soberano'!$G$2:$G$22,'Agências de Rating Soberano'!$H$2:$H$22),NA())</f>
        <v>10</v>
      </c>
      <c r="N421" s="52">
        <f>IFERROR(_xlfn.XLOOKUP(E421,'Agências de Rating Soberano'!$J$2:$J$22,'Agências de Rating Soberano'!$K$2:$K$22),NA())</f>
        <v>9</v>
      </c>
      <c r="O421" s="52">
        <f>IFERROR(_xlfn.XLOOKUP(F421,'Agências de Rating Soberano'!$J$2:$J$22,'Agências de Rating Soberano'!$K$2:$K$22),NA())</f>
        <v>9</v>
      </c>
      <c r="P421" s="52">
        <f>IFERROR(_xlfn.XLOOKUP(H421,'Agências de Rating Soberano'!$J$2:$J$22,'Agências de Rating Soberano'!$K$2:$K$22),NA())</f>
        <v>9</v>
      </c>
      <c r="Q421" s="52">
        <f>IFERROR(_xlfn.XLOOKUP(I421,'Agências de Rating Soberano'!$J$2:$J$22,'Agências de Rating Soberano'!$K$2:$K$22),NA())</f>
        <v>9</v>
      </c>
    </row>
    <row r="422" spans="1:17" x14ac:dyDescent="0.3">
      <c r="A422" s="53">
        <f t="shared" si="13"/>
        <v>44530</v>
      </c>
      <c r="B422" t="str">
        <f>IFERROR(_xlfn.XLOOKUP($A422,Planilha2!$A$2:$A$34,Planilha2!C$2:C$34,"",-1),"")</f>
        <v>Ba2</v>
      </c>
      <c r="C422" t="str">
        <f>IFERROR(_xlfn.XLOOKUP($A422,Planilha2!$A$2:$A$34,Planilha2!D$2:D$34,"",-1),"")</f>
        <v>Ba2</v>
      </c>
      <c r="D422" t="str" cm="1">
        <f t="array" ref="D422">IF($A422&lt;MIN(Planilha2!$A$2:$A$34),"",_xlfn.LET(_xlpm.t,_xlfn.XLOOKUP($A422,Planilha2!$A$2:$A$34,Planilha2!$E$2:$E$34,"",-1),_xlfn.IFS(ISNUMBER(SEARCH("positiva",_xlpm.t)),"Positiva",ISNUMBER(SEARCH("negativa",_xlpm.t)),"Negativa",ISNUMBER(SEARCH("estável",_xlpm.t)),"Estável",TRUE,"n/d")))</f>
        <v>Estável</v>
      </c>
      <c r="E422" t="str">
        <f>IFERROR(_xlfn.XLOOKUP($A422,Planilha2!$J$2:$J$44,Planilha2!L$2:L$44,"",-1),"")</f>
        <v>BB-</v>
      </c>
      <c r="F422" t="str">
        <f>IFERROR(_xlfn.XLOOKUP($A422,Planilha2!$J$2:$J$44,Planilha2!M$2:M$44,"",-1),"")</f>
        <v>BB-</v>
      </c>
      <c r="G422" t="str" cm="1">
        <f t="array" ref="G422">IF($A422&lt;MIN(Planilha2!$J$2:$J$44),"",_xlfn.LET(_xlpm.t,_xlfn.XLOOKUP($A422,Planilha2!$J$2:$J$44,Planilha2!$N$2:$N$44,"",-1),_xlfn.IFS(ISNUMBER(SEARCH("positiva",_xlpm.t)),"Positiva",ISNUMBER(SEARCH("negativa",_xlpm.t)),"Negativa",ISNUMBER(SEARCH("estável",_xlpm.t)),"Estável",TRUE,"n/d")))</f>
        <v>Negativa</v>
      </c>
      <c r="H422" t="str">
        <f>IFERROR(_xlfn.XLOOKUP($A422,Planilha2!$P$2:$P$38,Planilha2!R$2:R$38,"",-1),"")</f>
        <v>BB-</v>
      </c>
      <c r="I422" t="str">
        <f>IFERROR(_xlfn.XLOOKUP($A422,Planilha2!$P$2:$P$38,Planilha2!S$2:S$38,"",-1),"")</f>
        <v>BB-</v>
      </c>
      <c r="J422" t="str" cm="1">
        <f t="array" ref="J422">IF($A422&lt;MIN(Planilha2!$P$2:$P$38),"",_xlfn.LET(_xlpm.t,_xlfn.XLOOKUP($A422,Planilha2!$P$2:$P$38,Planilha2!$T$2:$T$38,"",-1),_xlfn.IFS(ISNUMBER(SEARCH("positiva",_xlpm.t)),"Positiva",ISNUMBER(SEARCH("negativa",_xlpm.t)),"Negativa",ISNUMBER(SEARCH("estável",_xlpm.t)),"Estável",TRUE,"n/d")))</f>
        <v>Estável</v>
      </c>
      <c r="L422" s="52">
        <f>IFERROR(_xlfn.XLOOKUP(B422,'Agências de Rating Soberano'!$G$2:$G$22,'Agências de Rating Soberano'!$H$2:$H$22),NA())</f>
        <v>10</v>
      </c>
      <c r="M422" s="52">
        <f>IFERROR(_xlfn.XLOOKUP(C422,'Agências de Rating Soberano'!$G$2:$G$22,'Agências de Rating Soberano'!$H$2:$H$22),NA())</f>
        <v>10</v>
      </c>
      <c r="N422" s="52">
        <f>IFERROR(_xlfn.XLOOKUP(E422,'Agências de Rating Soberano'!$J$2:$J$22,'Agências de Rating Soberano'!$K$2:$K$22),NA())</f>
        <v>9</v>
      </c>
      <c r="O422" s="52">
        <f>IFERROR(_xlfn.XLOOKUP(F422,'Agências de Rating Soberano'!$J$2:$J$22,'Agências de Rating Soberano'!$K$2:$K$22),NA())</f>
        <v>9</v>
      </c>
      <c r="P422" s="52">
        <f>IFERROR(_xlfn.XLOOKUP(H422,'Agências de Rating Soberano'!$J$2:$J$22,'Agências de Rating Soberano'!$K$2:$K$22),NA())</f>
        <v>9</v>
      </c>
      <c r="Q422" s="52">
        <f>IFERROR(_xlfn.XLOOKUP(I422,'Agências de Rating Soberano'!$J$2:$J$22,'Agências de Rating Soberano'!$K$2:$K$22),NA())</f>
        <v>9</v>
      </c>
    </row>
    <row r="423" spans="1:17" x14ac:dyDescent="0.3">
      <c r="A423" s="53">
        <f t="shared" si="13"/>
        <v>44561</v>
      </c>
      <c r="B423" t="str">
        <f>IFERROR(_xlfn.XLOOKUP($A423,Planilha2!$A$2:$A$34,Planilha2!C$2:C$34,"",-1),"")</f>
        <v>Ba2</v>
      </c>
      <c r="C423" t="str">
        <f>IFERROR(_xlfn.XLOOKUP($A423,Planilha2!$A$2:$A$34,Planilha2!D$2:D$34,"",-1),"")</f>
        <v>Ba2</v>
      </c>
      <c r="D423" t="str" cm="1">
        <f t="array" ref="D423">IF($A423&lt;MIN(Planilha2!$A$2:$A$34),"",_xlfn.LET(_xlpm.t,_xlfn.XLOOKUP($A423,Planilha2!$A$2:$A$34,Planilha2!$E$2:$E$34,"",-1),_xlfn.IFS(ISNUMBER(SEARCH("positiva",_xlpm.t)),"Positiva",ISNUMBER(SEARCH("negativa",_xlpm.t)),"Negativa",ISNUMBER(SEARCH("estável",_xlpm.t)),"Estável",TRUE,"n/d")))</f>
        <v>Estável</v>
      </c>
      <c r="E423" t="str">
        <f>IFERROR(_xlfn.XLOOKUP($A423,Planilha2!$J$2:$J$44,Planilha2!L$2:L$44,"",-1),"")</f>
        <v>BB-</v>
      </c>
      <c r="F423" t="str">
        <f>IFERROR(_xlfn.XLOOKUP($A423,Planilha2!$J$2:$J$44,Planilha2!M$2:M$44,"",-1),"")</f>
        <v>BB-</v>
      </c>
      <c r="G423" t="str" cm="1">
        <f t="array" ref="G423">IF($A423&lt;MIN(Planilha2!$J$2:$J$44),"",_xlfn.LET(_xlpm.t,_xlfn.XLOOKUP($A423,Planilha2!$J$2:$J$44,Planilha2!$N$2:$N$44,"",-1),_xlfn.IFS(ISNUMBER(SEARCH("positiva",_xlpm.t)),"Positiva",ISNUMBER(SEARCH("negativa",_xlpm.t)),"Negativa",ISNUMBER(SEARCH("estável",_xlpm.t)),"Estável",TRUE,"n/d")))</f>
        <v>Negativa</v>
      </c>
      <c r="H423" t="str">
        <f>IFERROR(_xlfn.XLOOKUP($A423,Planilha2!$P$2:$P$38,Planilha2!R$2:R$38,"",-1),"")</f>
        <v>BB-</v>
      </c>
      <c r="I423" t="str">
        <f>IFERROR(_xlfn.XLOOKUP($A423,Planilha2!$P$2:$P$38,Planilha2!S$2:S$38,"",-1),"")</f>
        <v>BB-</v>
      </c>
      <c r="J423" t="str" cm="1">
        <f t="array" ref="J423">IF($A423&lt;MIN(Planilha2!$P$2:$P$38),"",_xlfn.LET(_xlpm.t,_xlfn.XLOOKUP($A423,Planilha2!$P$2:$P$38,Planilha2!$T$2:$T$38,"",-1),_xlfn.IFS(ISNUMBER(SEARCH("positiva",_xlpm.t)),"Positiva",ISNUMBER(SEARCH("negativa",_xlpm.t)),"Negativa",ISNUMBER(SEARCH("estável",_xlpm.t)),"Estável",TRUE,"n/d")))</f>
        <v>Estável</v>
      </c>
      <c r="L423" s="52">
        <f>IFERROR(_xlfn.XLOOKUP(B423,'Agências de Rating Soberano'!$G$2:$G$22,'Agências de Rating Soberano'!$H$2:$H$22),NA())</f>
        <v>10</v>
      </c>
      <c r="M423" s="52">
        <f>IFERROR(_xlfn.XLOOKUP(C423,'Agências de Rating Soberano'!$G$2:$G$22,'Agências de Rating Soberano'!$H$2:$H$22),NA())</f>
        <v>10</v>
      </c>
      <c r="N423" s="52">
        <f>IFERROR(_xlfn.XLOOKUP(E423,'Agências de Rating Soberano'!$J$2:$J$22,'Agências de Rating Soberano'!$K$2:$K$22),NA())</f>
        <v>9</v>
      </c>
      <c r="O423" s="52">
        <f>IFERROR(_xlfn.XLOOKUP(F423,'Agências de Rating Soberano'!$J$2:$J$22,'Agências de Rating Soberano'!$K$2:$K$22),NA())</f>
        <v>9</v>
      </c>
      <c r="P423" s="52">
        <f>IFERROR(_xlfn.XLOOKUP(H423,'Agências de Rating Soberano'!$J$2:$J$22,'Agências de Rating Soberano'!$K$2:$K$22),NA())</f>
        <v>9</v>
      </c>
      <c r="Q423" s="52">
        <f>IFERROR(_xlfn.XLOOKUP(I423,'Agências de Rating Soberano'!$J$2:$J$22,'Agências de Rating Soberano'!$K$2:$K$22),NA())</f>
        <v>9</v>
      </c>
    </row>
    <row r="424" spans="1:17" x14ac:dyDescent="0.3">
      <c r="A424" s="53">
        <f t="shared" si="13"/>
        <v>44592</v>
      </c>
      <c r="B424" t="str">
        <f>IFERROR(_xlfn.XLOOKUP($A424,Planilha2!$A$2:$A$34,Planilha2!C$2:C$34,"",-1),"")</f>
        <v>Ba2</v>
      </c>
      <c r="C424" t="str">
        <f>IFERROR(_xlfn.XLOOKUP($A424,Planilha2!$A$2:$A$34,Planilha2!D$2:D$34,"",-1),"")</f>
        <v>Ba2</v>
      </c>
      <c r="D424" t="str" cm="1">
        <f t="array" ref="D424">IF($A424&lt;MIN(Planilha2!$A$2:$A$34),"",_xlfn.LET(_xlpm.t,_xlfn.XLOOKUP($A424,Planilha2!$A$2:$A$34,Planilha2!$E$2:$E$34,"",-1),_xlfn.IFS(ISNUMBER(SEARCH("positiva",_xlpm.t)),"Positiva",ISNUMBER(SEARCH("negativa",_xlpm.t)),"Negativa",ISNUMBER(SEARCH("estável",_xlpm.t)),"Estável",TRUE,"n/d")))</f>
        <v>Estável</v>
      </c>
      <c r="E424" t="str">
        <f>IFERROR(_xlfn.XLOOKUP($A424,Planilha2!$J$2:$J$44,Planilha2!L$2:L$44,"",-1),"")</f>
        <v>BB-</v>
      </c>
      <c r="F424" t="str">
        <f>IFERROR(_xlfn.XLOOKUP($A424,Planilha2!$J$2:$J$44,Planilha2!M$2:M$44,"",-1),"")</f>
        <v>BB-</v>
      </c>
      <c r="G424" t="str" cm="1">
        <f t="array" ref="G424">IF($A424&lt;MIN(Planilha2!$J$2:$J$44),"",_xlfn.LET(_xlpm.t,_xlfn.XLOOKUP($A424,Planilha2!$J$2:$J$44,Planilha2!$N$2:$N$44,"",-1),_xlfn.IFS(ISNUMBER(SEARCH("positiva",_xlpm.t)),"Positiva",ISNUMBER(SEARCH("negativa",_xlpm.t)),"Negativa",ISNUMBER(SEARCH("estável",_xlpm.t)),"Estável",TRUE,"n/d")))</f>
        <v>Negativa</v>
      </c>
      <c r="H424" t="str">
        <f>IFERROR(_xlfn.XLOOKUP($A424,Planilha2!$P$2:$P$38,Planilha2!R$2:R$38,"",-1),"")</f>
        <v>BB-</v>
      </c>
      <c r="I424" t="str">
        <f>IFERROR(_xlfn.XLOOKUP($A424,Planilha2!$P$2:$P$38,Planilha2!S$2:S$38,"",-1),"")</f>
        <v>BB-</v>
      </c>
      <c r="J424" t="str" cm="1">
        <f t="array" ref="J424">IF($A424&lt;MIN(Planilha2!$P$2:$P$38),"",_xlfn.LET(_xlpm.t,_xlfn.XLOOKUP($A424,Planilha2!$P$2:$P$38,Planilha2!$T$2:$T$38,"",-1),_xlfn.IFS(ISNUMBER(SEARCH("positiva",_xlpm.t)),"Positiva",ISNUMBER(SEARCH("negativa",_xlpm.t)),"Negativa",ISNUMBER(SEARCH("estável",_xlpm.t)),"Estável",TRUE,"n/d")))</f>
        <v>Estável</v>
      </c>
      <c r="L424" s="52">
        <f>IFERROR(_xlfn.XLOOKUP(B424,'Agências de Rating Soberano'!$G$2:$G$22,'Agências de Rating Soberano'!$H$2:$H$22),NA())</f>
        <v>10</v>
      </c>
      <c r="M424" s="52">
        <f>IFERROR(_xlfn.XLOOKUP(C424,'Agências de Rating Soberano'!$G$2:$G$22,'Agências de Rating Soberano'!$H$2:$H$22),NA())</f>
        <v>10</v>
      </c>
      <c r="N424" s="52">
        <f>IFERROR(_xlfn.XLOOKUP(E424,'Agências de Rating Soberano'!$J$2:$J$22,'Agências de Rating Soberano'!$K$2:$K$22),NA())</f>
        <v>9</v>
      </c>
      <c r="O424" s="52">
        <f>IFERROR(_xlfn.XLOOKUP(F424,'Agências de Rating Soberano'!$J$2:$J$22,'Agências de Rating Soberano'!$K$2:$K$22),NA())</f>
        <v>9</v>
      </c>
      <c r="P424" s="52">
        <f>IFERROR(_xlfn.XLOOKUP(H424,'Agências de Rating Soberano'!$J$2:$J$22,'Agências de Rating Soberano'!$K$2:$K$22),NA())</f>
        <v>9</v>
      </c>
      <c r="Q424" s="52">
        <f>IFERROR(_xlfn.XLOOKUP(I424,'Agências de Rating Soberano'!$J$2:$J$22,'Agências de Rating Soberano'!$K$2:$K$22),NA())</f>
        <v>9</v>
      </c>
    </row>
    <row r="425" spans="1:17" x14ac:dyDescent="0.3">
      <c r="A425" s="53">
        <f t="shared" si="13"/>
        <v>44620</v>
      </c>
      <c r="B425" t="str">
        <f>IFERROR(_xlfn.XLOOKUP($A425,Planilha2!$A$2:$A$34,Planilha2!C$2:C$34,"",-1),"")</f>
        <v>Ba2</v>
      </c>
      <c r="C425" t="str">
        <f>IFERROR(_xlfn.XLOOKUP($A425,Planilha2!$A$2:$A$34,Planilha2!D$2:D$34,"",-1),"")</f>
        <v>Ba2</v>
      </c>
      <c r="D425" t="str" cm="1">
        <f t="array" ref="D425">IF($A425&lt;MIN(Planilha2!$A$2:$A$34),"",_xlfn.LET(_xlpm.t,_xlfn.XLOOKUP($A425,Planilha2!$A$2:$A$34,Planilha2!$E$2:$E$34,"",-1),_xlfn.IFS(ISNUMBER(SEARCH("positiva",_xlpm.t)),"Positiva",ISNUMBER(SEARCH("negativa",_xlpm.t)),"Negativa",ISNUMBER(SEARCH("estável",_xlpm.t)),"Estável",TRUE,"n/d")))</f>
        <v>Estável</v>
      </c>
      <c r="E425" t="str">
        <f>IFERROR(_xlfn.XLOOKUP($A425,Planilha2!$J$2:$J$44,Planilha2!L$2:L$44,"",-1),"")</f>
        <v>BB-</v>
      </c>
      <c r="F425" t="str">
        <f>IFERROR(_xlfn.XLOOKUP($A425,Planilha2!$J$2:$J$44,Planilha2!M$2:M$44,"",-1),"")</f>
        <v>BB-</v>
      </c>
      <c r="G425" t="str" cm="1">
        <f t="array" ref="G425">IF($A425&lt;MIN(Planilha2!$J$2:$J$44),"",_xlfn.LET(_xlpm.t,_xlfn.XLOOKUP($A425,Planilha2!$J$2:$J$44,Planilha2!$N$2:$N$44,"",-1),_xlfn.IFS(ISNUMBER(SEARCH("positiva",_xlpm.t)),"Positiva",ISNUMBER(SEARCH("negativa",_xlpm.t)),"Negativa",ISNUMBER(SEARCH("estável",_xlpm.t)),"Estável",TRUE,"n/d")))</f>
        <v>Negativa</v>
      </c>
      <c r="H425" t="str">
        <f>IFERROR(_xlfn.XLOOKUP($A425,Planilha2!$P$2:$P$38,Planilha2!R$2:R$38,"",-1),"")</f>
        <v>BB-</v>
      </c>
      <c r="I425" t="str">
        <f>IFERROR(_xlfn.XLOOKUP($A425,Planilha2!$P$2:$P$38,Planilha2!S$2:S$38,"",-1),"")</f>
        <v>BB-</v>
      </c>
      <c r="J425" t="str" cm="1">
        <f t="array" ref="J425">IF($A425&lt;MIN(Planilha2!$P$2:$P$38),"",_xlfn.LET(_xlpm.t,_xlfn.XLOOKUP($A425,Planilha2!$P$2:$P$38,Planilha2!$T$2:$T$38,"",-1),_xlfn.IFS(ISNUMBER(SEARCH("positiva",_xlpm.t)),"Positiva",ISNUMBER(SEARCH("negativa",_xlpm.t)),"Negativa",ISNUMBER(SEARCH("estável",_xlpm.t)),"Estável",TRUE,"n/d")))</f>
        <v>Estável</v>
      </c>
      <c r="L425" s="52">
        <f>IFERROR(_xlfn.XLOOKUP(B425,'Agências de Rating Soberano'!$G$2:$G$22,'Agências de Rating Soberano'!$H$2:$H$22),NA())</f>
        <v>10</v>
      </c>
      <c r="M425" s="52">
        <f>IFERROR(_xlfn.XLOOKUP(C425,'Agências de Rating Soberano'!$G$2:$G$22,'Agências de Rating Soberano'!$H$2:$H$22),NA())</f>
        <v>10</v>
      </c>
      <c r="N425" s="52">
        <f>IFERROR(_xlfn.XLOOKUP(E425,'Agências de Rating Soberano'!$J$2:$J$22,'Agências de Rating Soberano'!$K$2:$K$22),NA())</f>
        <v>9</v>
      </c>
      <c r="O425" s="52">
        <f>IFERROR(_xlfn.XLOOKUP(F425,'Agências de Rating Soberano'!$J$2:$J$22,'Agências de Rating Soberano'!$K$2:$K$22),NA())</f>
        <v>9</v>
      </c>
      <c r="P425" s="52">
        <f>IFERROR(_xlfn.XLOOKUP(H425,'Agências de Rating Soberano'!$J$2:$J$22,'Agências de Rating Soberano'!$K$2:$K$22),NA())</f>
        <v>9</v>
      </c>
      <c r="Q425" s="52">
        <f>IFERROR(_xlfn.XLOOKUP(I425,'Agências de Rating Soberano'!$J$2:$J$22,'Agências de Rating Soberano'!$K$2:$K$22),NA())</f>
        <v>9</v>
      </c>
    </row>
    <row r="426" spans="1:17" x14ac:dyDescent="0.3">
      <c r="A426" s="53">
        <f t="shared" si="13"/>
        <v>44651</v>
      </c>
      <c r="B426" t="str">
        <f>IFERROR(_xlfn.XLOOKUP($A426,Planilha2!$A$2:$A$34,Planilha2!C$2:C$34,"",-1),"")</f>
        <v>Ba2</v>
      </c>
      <c r="C426" t="str">
        <f>IFERROR(_xlfn.XLOOKUP($A426,Planilha2!$A$2:$A$34,Planilha2!D$2:D$34,"",-1),"")</f>
        <v>Ba2</v>
      </c>
      <c r="D426" t="str" cm="1">
        <f t="array" ref="D426">IF($A426&lt;MIN(Planilha2!$A$2:$A$34),"",_xlfn.LET(_xlpm.t,_xlfn.XLOOKUP($A426,Planilha2!$A$2:$A$34,Planilha2!$E$2:$E$34,"",-1),_xlfn.IFS(ISNUMBER(SEARCH("positiva",_xlpm.t)),"Positiva",ISNUMBER(SEARCH("negativa",_xlpm.t)),"Negativa",ISNUMBER(SEARCH("estável",_xlpm.t)),"Estável",TRUE,"n/d")))</f>
        <v>Estável</v>
      </c>
      <c r="E426" t="str">
        <f>IFERROR(_xlfn.XLOOKUP($A426,Planilha2!$J$2:$J$44,Planilha2!L$2:L$44,"",-1),"")</f>
        <v>BB-</v>
      </c>
      <c r="F426" t="str">
        <f>IFERROR(_xlfn.XLOOKUP($A426,Planilha2!$J$2:$J$44,Planilha2!M$2:M$44,"",-1),"")</f>
        <v>BB-</v>
      </c>
      <c r="G426" t="str" cm="1">
        <f t="array" ref="G426">IF($A426&lt;MIN(Planilha2!$J$2:$J$44),"",_xlfn.LET(_xlpm.t,_xlfn.XLOOKUP($A426,Planilha2!$J$2:$J$44,Planilha2!$N$2:$N$44,"",-1),_xlfn.IFS(ISNUMBER(SEARCH("positiva",_xlpm.t)),"Positiva",ISNUMBER(SEARCH("negativa",_xlpm.t)),"Negativa",ISNUMBER(SEARCH("estável",_xlpm.t)),"Estável",TRUE,"n/d")))</f>
        <v>Negativa</v>
      </c>
      <c r="H426" t="str">
        <f>IFERROR(_xlfn.XLOOKUP($A426,Planilha2!$P$2:$P$38,Planilha2!R$2:R$38,"",-1),"")</f>
        <v>BB-</v>
      </c>
      <c r="I426" t="str">
        <f>IFERROR(_xlfn.XLOOKUP($A426,Planilha2!$P$2:$P$38,Planilha2!S$2:S$38,"",-1),"")</f>
        <v>BB-</v>
      </c>
      <c r="J426" t="str" cm="1">
        <f t="array" ref="J426">IF($A426&lt;MIN(Planilha2!$P$2:$P$38),"",_xlfn.LET(_xlpm.t,_xlfn.XLOOKUP($A426,Planilha2!$P$2:$P$38,Planilha2!$T$2:$T$38,"",-1),_xlfn.IFS(ISNUMBER(SEARCH("positiva",_xlpm.t)),"Positiva",ISNUMBER(SEARCH("negativa",_xlpm.t)),"Negativa",ISNUMBER(SEARCH("estável",_xlpm.t)),"Estável",TRUE,"n/d")))</f>
        <v>Estável</v>
      </c>
      <c r="L426" s="52">
        <f>IFERROR(_xlfn.XLOOKUP(B426,'Agências de Rating Soberano'!$G$2:$G$22,'Agências de Rating Soberano'!$H$2:$H$22),NA())</f>
        <v>10</v>
      </c>
      <c r="M426" s="52">
        <f>IFERROR(_xlfn.XLOOKUP(C426,'Agências de Rating Soberano'!$G$2:$G$22,'Agências de Rating Soberano'!$H$2:$H$22),NA())</f>
        <v>10</v>
      </c>
      <c r="N426" s="52">
        <f>IFERROR(_xlfn.XLOOKUP(E426,'Agências de Rating Soberano'!$J$2:$J$22,'Agências de Rating Soberano'!$K$2:$K$22),NA())</f>
        <v>9</v>
      </c>
      <c r="O426" s="52">
        <f>IFERROR(_xlfn.XLOOKUP(F426,'Agências de Rating Soberano'!$J$2:$J$22,'Agências de Rating Soberano'!$K$2:$K$22),NA())</f>
        <v>9</v>
      </c>
      <c r="P426" s="52">
        <f>IFERROR(_xlfn.XLOOKUP(H426,'Agências de Rating Soberano'!$J$2:$J$22,'Agências de Rating Soberano'!$K$2:$K$22),NA())</f>
        <v>9</v>
      </c>
      <c r="Q426" s="52">
        <f>IFERROR(_xlfn.XLOOKUP(I426,'Agências de Rating Soberano'!$J$2:$J$22,'Agências de Rating Soberano'!$K$2:$K$22),NA())</f>
        <v>9</v>
      </c>
    </row>
    <row r="427" spans="1:17" x14ac:dyDescent="0.3">
      <c r="A427" s="53">
        <f t="shared" si="13"/>
        <v>44681</v>
      </c>
      <c r="B427" t="str">
        <f>IFERROR(_xlfn.XLOOKUP($A427,Planilha2!$A$2:$A$34,Planilha2!C$2:C$34,"",-1),"")</f>
        <v>Ba2</v>
      </c>
      <c r="C427" t="str">
        <f>IFERROR(_xlfn.XLOOKUP($A427,Planilha2!$A$2:$A$34,Planilha2!D$2:D$34,"",-1),"")</f>
        <v>Ba2</v>
      </c>
      <c r="D427" t="str" cm="1">
        <f t="array" ref="D427">IF($A427&lt;MIN(Planilha2!$A$2:$A$34),"",_xlfn.LET(_xlpm.t,_xlfn.XLOOKUP($A427,Planilha2!$A$2:$A$34,Planilha2!$E$2:$E$34,"",-1),_xlfn.IFS(ISNUMBER(SEARCH("positiva",_xlpm.t)),"Positiva",ISNUMBER(SEARCH("negativa",_xlpm.t)),"Negativa",ISNUMBER(SEARCH("estável",_xlpm.t)),"Estável",TRUE,"n/d")))</f>
        <v>Estável</v>
      </c>
      <c r="E427" t="str">
        <f>IFERROR(_xlfn.XLOOKUP($A427,Planilha2!$J$2:$J$44,Planilha2!L$2:L$44,"",-1),"")</f>
        <v>BB-</v>
      </c>
      <c r="F427" t="str">
        <f>IFERROR(_xlfn.XLOOKUP($A427,Planilha2!$J$2:$J$44,Planilha2!M$2:M$44,"",-1),"")</f>
        <v>BB-</v>
      </c>
      <c r="G427" t="str" cm="1">
        <f t="array" ref="G427">IF($A427&lt;MIN(Planilha2!$J$2:$J$44),"",_xlfn.LET(_xlpm.t,_xlfn.XLOOKUP($A427,Planilha2!$J$2:$J$44,Planilha2!$N$2:$N$44,"",-1),_xlfn.IFS(ISNUMBER(SEARCH("positiva",_xlpm.t)),"Positiva",ISNUMBER(SEARCH("negativa",_xlpm.t)),"Negativa",ISNUMBER(SEARCH("estável",_xlpm.t)),"Estável",TRUE,"n/d")))</f>
        <v>Negativa</v>
      </c>
      <c r="H427" t="str">
        <f>IFERROR(_xlfn.XLOOKUP($A427,Planilha2!$P$2:$P$38,Planilha2!R$2:R$38,"",-1),"")</f>
        <v>BB-</v>
      </c>
      <c r="I427" t="str">
        <f>IFERROR(_xlfn.XLOOKUP($A427,Planilha2!$P$2:$P$38,Planilha2!S$2:S$38,"",-1),"")</f>
        <v>BB-</v>
      </c>
      <c r="J427" t="str" cm="1">
        <f t="array" ref="J427">IF($A427&lt;MIN(Planilha2!$P$2:$P$38),"",_xlfn.LET(_xlpm.t,_xlfn.XLOOKUP($A427,Planilha2!$P$2:$P$38,Planilha2!$T$2:$T$38,"",-1),_xlfn.IFS(ISNUMBER(SEARCH("positiva",_xlpm.t)),"Positiva",ISNUMBER(SEARCH("negativa",_xlpm.t)),"Negativa",ISNUMBER(SEARCH("estável",_xlpm.t)),"Estável",TRUE,"n/d")))</f>
        <v>Estável</v>
      </c>
      <c r="L427" s="52">
        <f>IFERROR(_xlfn.XLOOKUP(B427,'Agências de Rating Soberano'!$G$2:$G$22,'Agências de Rating Soberano'!$H$2:$H$22),NA())</f>
        <v>10</v>
      </c>
      <c r="M427" s="52">
        <f>IFERROR(_xlfn.XLOOKUP(C427,'Agências de Rating Soberano'!$G$2:$G$22,'Agências de Rating Soberano'!$H$2:$H$22),NA())</f>
        <v>10</v>
      </c>
      <c r="N427" s="52">
        <f>IFERROR(_xlfn.XLOOKUP(E427,'Agências de Rating Soberano'!$J$2:$J$22,'Agências de Rating Soberano'!$K$2:$K$22),NA())</f>
        <v>9</v>
      </c>
      <c r="O427" s="52">
        <f>IFERROR(_xlfn.XLOOKUP(F427,'Agências de Rating Soberano'!$J$2:$J$22,'Agências de Rating Soberano'!$K$2:$K$22),NA())</f>
        <v>9</v>
      </c>
      <c r="P427" s="52">
        <f>IFERROR(_xlfn.XLOOKUP(H427,'Agências de Rating Soberano'!$J$2:$J$22,'Agências de Rating Soberano'!$K$2:$K$22),NA())</f>
        <v>9</v>
      </c>
      <c r="Q427" s="52">
        <f>IFERROR(_xlfn.XLOOKUP(I427,'Agências de Rating Soberano'!$J$2:$J$22,'Agências de Rating Soberano'!$K$2:$K$22),NA())</f>
        <v>9</v>
      </c>
    </row>
    <row r="428" spans="1:17" x14ac:dyDescent="0.3">
      <c r="A428" s="53">
        <f t="shared" si="13"/>
        <v>44712</v>
      </c>
      <c r="B428" t="str">
        <f>IFERROR(_xlfn.XLOOKUP($A428,Planilha2!$A$2:$A$34,Planilha2!C$2:C$34,"",-1),"")</f>
        <v>Ba2</v>
      </c>
      <c r="C428" t="str">
        <f>IFERROR(_xlfn.XLOOKUP($A428,Planilha2!$A$2:$A$34,Planilha2!D$2:D$34,"",-1),"")</f>
        <v>Ba2</v>
      </c>
      <c r="D428" t="str" cm="1">
        <f t="array" ref="D428">IF($A428&lt;MIN(Planilha2!$A$2:$A$34),"",_xlfn.LET(_xlpm.t,_xlfn.XLOOKUP($A428,Planilha2!$A$2:$A$34,Planilha2!$E$2:$E$34,"",-1),_xlfn.IFS(ISNUMBER(SEARCH("positiva",_xlpm.t)),"Positiva",ISNUMBER(SEARCH("negativa",_xlpm.t)),"Negativa",ISNUMBER(SEARCH("estável",_xlpm.t)),"Estável",TRUE,"n/d")))</f>
        <v>Estável</v>
      </c>
      <c r="E428" t="str">
        <f>IFERROR(_xlfn.XLOOKUP($A428,Planilha2!$J$2:$J$44,Planilha2!L$2:L$44,"",-1),"")</f>
        <v>BB-</v>
      </c>
      <c r="F428" t="str">
        <f>IFERROR(_xlfn.XLOOKUP($A428,Planilha2!$J$2:$J$44,Planilha2!M$2:M$44,"",-1),"")</f>
        <v>BB-</v>
      </c>
      <c r="G428" t="str" cm="1">
        <f t="array" ref="G428">IF($A428&lt;MIN(Planilha2!$J$2:$J$44),"",_xlfn.LET(_xlpm.t,_xlfn.XLOOKUP($A428,Planilha2!$J$2:$J$44,Planilha2!$N$2:$N$44,"",-1),_xlfn.IFS(ISNUMBER(SEARCH("positiva",_xlpm.t)),"Positiva",ISNUMBER(SEARCH("negativa",_xlpm.t)),"Negativa",ISNUMBER(SEARCH("estável",_xlpm.t)),"Estável",TRUE,"n/d")))</f>
        <v>Negativa</v>
      </c>
      <c r="H428" t="str">
        <f>IFERROR(_xlfn.XLOOKUP($A428,Planilha2!$P$2:$P$38,Planilha2!R$2:R$38,"",-1),"")</f>
        <v>BB-</v>
      </c>
      <c r="I428" t="str">
        <f>IFERROR(_xlfn.XLOOKUP($A428,Planilha2!$P$2:$P$38,Planilha2!S$2:S$38,"",-1),"")</f>
        <v>BB-</v>
      </c>
      <c r="J428" t="str" cm="1">
        <f t="array" ref="J428">IF($A428&lt;MIN(Planilha2!$P$2:$P$38),"",_xlfn.LET(_xlpm.t,_xlfn.XLOOKUP($A428,Planilha2!$P$2:$P$38,Planilha2!$T$2:$T$38,"",-1),_xlfn.IFS(ISNUMBER(SEARCH("positiva",_xlpm.t)),"Positiva",ISNUMBER(SEARCH("negativa",_xlpm.t)),"Negativa",ISNUMBER(SEARCH("estável",_xlpm.t)),"Estável",TRUE,"n/d")))</f>
        <v>Estável</v>
      </c>
      <c r="L428" s="52">
        <f>IFERROR(_xlfn.XLOOKUP(B428,'Agências de Rating Soberano'!$G$2:$G$22,'Agências de Rating Soberano'!$H$2:$H$22),NA())</f>
        <v>10</v>
      </c>
      <c r="M428" s="52">
        <f>IFERROR(_xlfn.XLOOKUP(C428,'Agências de Rating Soberano'!$G$2:$G$22,'Agências de Rating Soberano'!$H$2:$H$22),NA())</f>
        <v>10</v>
      </c>
      <c r="N428" s="52">
        <f>IFERROR(_xlfn.XLOOKUP(E428,'Agências de Rating Soberano'!$J$2:$J$22,'Agências de Rating Soberano'!$K$2:$K$22),NA())</f>
        <v>9</v>
      </c>
      <c r="O428" s="52">
        <f>IFERROR(_xlfn.XLOOKUP(F428,'Agências de Rating Soberano'!$J$2:$J$22,'Agências de Rating Soberano'!$K$2:$K$22),NA())</f>
        <v>9</v>
      </c>
      <c r="P428" s="52">
        <f>IFERROR(_xlfn.XLOOKUP(H428,'Agências de Rating Soberano'!$J$2:$J$22,'Agências de Rating Soberano'!$K$2:$K$22),NA())</f>
        <v>9</v>
      </c>
      <c r="Q428" s="52">
        <f>IFERROR(_xlfn.XLOOKUP(I428,'Agências de Rating Soberano'!$J$2:$J$22,'Agências de Rating Soberano'!$K$2:$K$22),NA())</f>
        <v>9</v>
      </c>
    </row>
    <row r="429" spans="1:17" x14ac:dyDescent="0.3">
      <c r="A429" s="53">
        <f t="shared" si="13"/>
        <v>44742</v>
      </c>
      <c r="B429" t="str">
        <f>IFERROR(_xlfn.XLOOKUP($A429,Planilha2!$A$2:$A$34,Planilha2!C$2:C$34,"",-1),"")</f>
        <v>Ba2</v>
      </c>
      <c r="C429" t="str">
        <f>IFERROR(_xlfn.XLOOKUP($A429,Planilha2!$A$2:$A$34,Planilha2!D$2:D$34,"",-1),"")</f>
        <v>Ba2</v>
      </c>
      <c r="D429" t="str" cm="1">
        <f t="array" ref="D429">IF($A429&lt;MIN(Planilha2!$A$2:$A$34),"",_xlfn.LET(_xlpm.t,_xlfn.XLOOKUP($A429,Planilha2!$A$2:$A$34,Planilha2!$E$2:$E$34,"",-1),_xlfn.IFS(ISNUMBER(SEARCH("positiva",_xlpm.t)),"Positiva",ISNUMBER(SEARCH("negativa",_xlpm.t)),"Negativa",ISNUMBER(SEARCH("estável",_xlpm.t)),"Estável",TRUE,"n/d")))</f>
        <v>Estável</v>
      </c>
      <c r="E429" t="str">
        <f>IFERROR(_xlfn.XLOOKUP($A429,Planilha2!$J$2:$J$44,Planilha2!L$2:L$44,"",-1),"")</f>
        <v>BB-</v>
      </c>
      <c r="F429" t="str">
        <f>IFERROR(_xlfn.XLOOKUP($A429,Planilha2!$J$2:$J$44,Planilha2!M$2:M$44,"",-1),"")</f>
        <v>BB-</v>
      </c>
      <c r="G429" t="str" cm="1">
        <f t="array" ref="G429">IF($A429&lt;MIN(Planilha2!$J$2:$J$44),"",_xlfn.LET(_xlpm.t,_xlfn.XLOOKUP($A429,Planilha2!$J$2:$J$44,Planilha2!$N$2:$N$44,"",-1),_xlfn.IFS(ISNUMBER(SEARCH("positiva",_xlpm.t)),"Positiva",ISNUMBER(SEARCH("negativa",_xlpm.t)),"Negativa",ISNUMBER(SEARCH("estável",_xlpm.t)),"Estável",TRUE,"n/d")))</f>
        <v>Negativa</v>
      </c>
      <c r="H429" t="str">
        <f>IFERROR(_xlfn.XLOOKUP($A429,Planilha2!$P$2:$P$38,Planilha2!R$2:R$38,"",-1),"")</f>
        <v>BB-</v>
      </c>
      <c r="I429" t="str">
        <f>IFERROR(_xlfn.XLOOKUP($A429,Planilha2!$P$2:$P$38,Planilha2!S$2:S$38,"",-1),"")</f>
        <v>BB-</v>
      </c>
      <c r="J429" t="str" cm="1">
        <f t="array" ref="J429">IF($A429&lt;MIN(Planilha2!$P$2:$P$38),"",_xlfn.LET(_xlpm.t,_xlfn.XLOOKUP($A429,Planilha2!$P$2:$P$38,Planilha2!$T$2:$T$38,"",-1),_xlfn.IFS(ISNUMBER(SEARCH("positiva",_xlpm.t)),"Positiva",ISNUMBER(SEARCH("negativa",_xlpm.t)),"Negativa",ISNUMBER(SEARCH("estável",_xlpm.t)),"Estável",TRUE,"n/d")))</f>
        <v>Estável</v>
      </c>
      <c r="L429" s="52">
        <f>IFERROR(_xlfn.XLOOKUP(B429,'Agências de Rating Soberano'!$G$2:$G$22,'Agências de Rating Soberano'!$H$2:$H$22),NA())</f>
        <v>10</v>
      </c>
      <c r="M429" s="52">
        <f>IFERROR(_xlfn.XLOOKUP(C429,'Agências de Rating Soberano'!$G$2:$G$22,'Agências de Rating Soberano'!$H$2:$H$22),NA())</f>
        <v>10</v>
      </c>
      <c r="N429" s="52">
        <f>IFERROR(_xlfn.XLOOKUP(E429,'Agências de Rating Soberano'!$J$2:$J$22,'Agências de Rating Soberano'!$K$2:$K$22),NA())</f>
        <v>9</v>
      </c>
      <c r="O429" s="52">
        <f>IFERROR(_xlfn.XLOOKUP(F429,'Agências de Rating Soberano'!$J$2:$J$22,'Agências de Rating Soberano'!$K$2:$K$22),NA())</f>
        <v>9</v>
      </c>
      <c r="P429" s="52">
        <f>IFERROR(_xlfn.XLOOKUP(H429,'Agências de Rating Soberano'!$J$2:$J$22,'Agências de Rating Soberano'!$K$2:$K$22),NA())</f>
        <v>9</v>
      </c>
      <c r="Q429" s="52">
        <f>IFERROR(_xlfn.XLOOKUP(I429,'Agências de Rating Soberano'!$J$2:$J$22,'Agências de Rating Soberano'!$K$2:$K$22),NA())</f>
        <v>9</v>
      </c>
    </row>
    <row r="430" spans="1:17" x14ac:dyDescent="0.3">
      <c r="A430" s="53">
        <f t="shared" si="13"/>
        <v>44773</v>
      </c>
      <c r="B430" t="str">
        <f>IFERROR(_xlfn.XLOOKUP($A430,Planilha2!$A$2:$A$34,Planilha2!C$2:C$34,"",-1),"")</f>
        <v>Ba2</v>
      </c>
      <c r="C430" t="str">
        <f>IFERROR(_xlfn.XLOOKUP($A430,Planilha2!$A$2:$A$34,Planilha2!D$2:D$34,"",-1),"")</f>
        <v>Ba2</v>
      </c>
      <c r="D430" t="str" cm="1">
        <f t="array" ref="D430">IF($A430&lt;MIN(Planilha2!$A$2:$A$34),"",_xlfn.LET(_xlpm.t,_xlfn.XLOOKUP($A430,Planilha2!$A$2:$A$34,Planilha2!$E$2:$E$34,"",-1),_xlfn.IFS(ISNUMBER(SEARCH("positiva",_xlpm.t)),"Positiva",ISNUMBER(SEARCH("negativa",_xlpm.t)),"Negativa",ISNUMBER(SEARCH("estável",_xlpm.t)),"Estável",TRUE,"n/d")))</f>
        <v>Estável</v>
      </c>
      <c r="E430" t="str">
        <f>IFERROR(_xlfn.XLOOKUP($A430,Planilha2!$J$2:$J$44,Planilha2!L$2:L$44,"",-1),"")</f>
        <v>BB-</v>
      </c>
      <c r="F430" t="str">
        <f>IFERROR(_xlfn.XLOOKUP($A430,Planilha2!$J$2:$J$44,Planilha2!M$2:M$44,"",-1),"")</f>
        <v>BB-</v>
      </c>
      <c r="G430" t="str" cm="1">
        <f t="array" ref="G430">IF($A430&lt;MIN(Planilha2!$J$2:$J$44),"",_xlfn.LET(_xlpm.t,_xlfn.XLOOKUP($A430,Planilha2!$J$2:$J$44,Planilha2!$N$2:$N$44,"",-1),_xlfn.IFS(ISNUMBER(SEARCH("positiva",_xlpm.t)),"Positiva",ISNUMBER(SEARCH("negativa",_xlpm.t)),"Negativa",ISNUMBER(SEARCH("estável",_xlpm.t)),"Estável",TRUE,"n/d")))</f>
        <v>Estável</v>
      </c>
      <c r="H430" t="str">
        <f>IFERROR(_xlfn.XLOOKUP($A430,Planilha2!$P$2:$P$38,Planilha2!R$2:R$38,"",-1),"")</f>
        <v>BB-</v>
      </c>
      <c r="I430" t="str">
        <f>IFERROR(_xlfn.XLOOKUP($A430,Planilha2!$P$2:$P$38,Planilha2!S$2:S$38,"",-1),"")</f>
        <v>BB-</v>
      </c>
      <c r="J430" t="str" cm="1">
        <f t="array" ref="J430">IF($A430&lt;MIN(Planilha2!$P$2:$P$38),"",_xlfn.LET(_xlpm.t,_xlfn.XLOOKUP($A430,Planilha2!$P$2:$P$38,Planilha2!$T$2:$T$38,"",-1),_xlfn.IFS(ISNUMBER(SEARCH("positiva",_xlpm.t)),"Positiva",ISNUMBER(SEARCH("negativa",_xlpm.t)),"Negativa",ISNUMBER(SEARCH("estável",_xlpm.t)),"Estável",TRUE,"n/d")))</f>
        <v>Estável</v>
      </c>
      <c r="L430" s="52">
        <f>IFERROR(_xlfn.XLOOKUP(B430,'Agências de Rating Soberano'!$G$2:$G$22,'Agências de Rating Soberano'!$H$2:$H$22),NA())</f>
        <v>10</v>
      </c>
      <c r="M430" s="52">
        <f>IFERROR(_xlfn.XLOOKUP(C430,'Agências de Rating Soberano'!$G$2:$G$22,'Agências de Rating Soberano'!$H$2:$H$22),NA())</f>
        <v>10</v>
      </c>
      <c r="N430" s="52">
        <f>IFERROR(_xlfn.XLOOKUP(E430,'Agências de Rating Soberano'!$J$2:$J$22,'Agências de Rating Soberano'!$K$2:$K$22),NA())</f>
        <v>9</v>
      </c>
      <c r="O430" s="52">
        <f>IFERROR(_xlfn.XLOOKUP(F430,'Agências de Rating Soberano'!$J$2:$J$22,'Agências de Rating Soberano'!$K$2:$K$22),NA())</f>
        <v>9</v>
      </c>
      <c r="P430" s="52">
        <f>IFERROR(_xlfn.XLOOKUP(H430,'Agências de Rating Soberano'!$J$2:$J$22,'Agências de Rating Soberano'!$K$2:$K$22),NA())</f>
        <v>9</v>
      </c>
      <c r="Q430" s="52">
        <f>IFERROR(_xlfn.XLOOKUP(I430,'Agências de Rating Soberano'!$J$2:$J$22,'Agências de Rating Soberano'!$K$2:$K$22),NA())</f>
        <v>9</v>
      </c>
    </row>
    <row r="431" spans="1:17" x14ac:dyDescent="0.3">
      <c r="A431" s="53">
        <f t="shared" si="13"/>
        <v>44804</v>
      </c>
      <c r="B431" t="str">
        <f>IFERROR(_xlfn.XLOOKUP($A431,Planilha2!$A$2:$A$34,Planilha2!C$2:C$34,"",-1),"")</f>
        <v>Ba2</v>
      </c>
      <c r="C431" t="str">
        <f>IFERROR(_xlfn.XLOOKUP($A431,Planilha2!$A$2:$A$34,Planilha2!D$2:D$34,"",-1),"")</f>
        <v>Ba2</v>
      </c>
      <c r="D431" t="str" cm="1">
        <f t="array" ref="D431">IF($A431&lt;MIN(Planilha2!$A$2:$A$34),"",_xlfn.LET(_xlpm.t,_xlfn.XLOOKUP($A431,Planilha2!$A$2:$A$34,Planilha2!$E$2:$E$34,"",-1),_xlfn.IFS(ISNUMBER(SEARCH("positiva",_xlpm.t)),"Positiva",ISNUMBER(SEARCH("negativa",_xlpm.t)),"Negativa",ISNUMBER(SEARCH("estável",_xlpm.t)),"Estável",TRUE,"n/d")))</f>
        <v>Estável</v>
      </c>
      <c r="E431" t="str">
        <f>IFERROR(_xlfn.XLOOKUP($A431,Planilha2!$J$2:$J$44,Planilha2!L$2:L$44,"",-1),"")</f>
        <v>BB-</v>
      </c>
      <c r="F431" t="str">
        <f>IFERROR(_xlfn.XLOOKUP($A431,Planilha2!$J$2:$J$44,Planilha2!M$2:M$44,"",-1),"")</f>
        <v>BB-</v>
      </c>
      <c r="G431" t="str" cm="1">
        <f t="array" ref="G431">IF($A431&lt;MIN(Planilha2!$J$2:$J$44),"",_xlfn.LET(_xlpm.t,_xlfn.XLOOKUP($A431,Planilha2!$J$2:$J$44,Planilha2!$N$2:$N$44,"",-1),_xlfn.IFS(ISNUMBER(SEARCH("positiva",_xlpm.t)),"Positiva",ISNUMBER(SEARCH("negativa",_xlpm.t)),"Negativa",ISNUMBER(SEARCH("estável",_xlpm.t)),"Estável",TRUE,"n/d")))</f>
        <v>Estável</v>
      </c>
      <c r="H431" t="str">
        <f>IFERROR(_xlfn.XLOOKUP($A431,Planilha2!$P$2:$P$38,Planilha2!R$2:R$38,"",-1),"")</f>
        <v>BB-</v>
      </c>
      <c r="I431" t="str">
        <f>IFERROR(_xlfn.XLOOKUP($A431,Planilha2!$P$2:$P$38,Planilha2!S$2:S$38,"",-1),"")</f>
        <v>BB-</v>
      </c>
      <c r="J431" t="str" cm="1">
        <f t="array" ref="J431">IF($A431&lt;MIN(Planilha2!$P$2:$P$38),"",_xlfn.LET(_xlpm.t,_xlfn.XLOOKUP($A431,Planilha2!$P$2:$P$38,Planilha2!$T$2:$T$38,"",-1),_xlfn.IFS(ISNUMBER(SEARCH("positiva",_xlpm.t)),"Positiva",ISNUMBER(SEARCH("negativa",_xlpm.t)),"Negativa",ISNUMBER(SEARCH("estável",_xlpm.t)),"Estável",TRUE,"n/d")))</f>
        <v>Estável</v>
      </c>
      <c r="L431" s="52">
        <f>IFERROR(_xlfn.XLOOKUP(B431,'Agências de Rating Soberano'!$G$2:$G$22,'Agências de Rating Soberano'!$H$2:$H$22),NA())</f>
        <v>10</v>
      </c>
      <c r="M431" s="52">
        <f>IFERROR(_xlfn.XLOOKUP(C431,'Agências de Rating Soberano'!$G$2:$G$22,'Agências de Rating Soberano'!$H$2:$H$22),NA())</f>
        <v>10</v>
      </c>
      <c r="N431" s="52">
        <f>IFERROR(_xlfn.XLOOKUP(E431,'Agências de Rating Soberano'!$J$2:$J$22,'Agências de Rating Soberano'!$K$2:$K$22),NA())</f>
        <v>9</v>
      </c>
      <c r="O431" s="52">
        <f>IFERROR(_xlfn.XLOOKUP(F431,'Agências de Rating Soberano'!$J$2:$J$22,'Agências de Rating Soberano'!$K$2:$K$22),NA())</f>
        <v>9</v>
      </c>
      <c r="P431" s="52">
        <f>IFERROR(_xlfn.XLOOKUP(H431,'Agências de Rating Soberano'!$J$2:$J$22,'Agências de Rating Soberano'!$K$2:$K$22),NA())</f>
        <v>9</v>
      </c>
      <c r="Q431" s="52">
        <f>IFERROR(_xlfn.XLOOKUP(I431,'Agências de Rating Soberano'!$J$2:$J$22,'Agências de Rating Soberano'!$K$2:$K$22),NA())</f>
        <v>9</v>
      </c>
    </row>
    <row r="432" spans="1:17" x14ac:dyDescent="0.3">
      <c r="A432" s="53">
        <f t="shared" si="13"/>
        <v>44834</v>
      </c>
      <c r="B432" t="str">
        <f>IFERROR(_xlfn.XLOOKUP($A432,Planilha2!$A$2:$A$34,Planilha2!C$2:C$34,"",-1),"")</f>
        <v>Ba2</v>
      </c>
      <c r="C432" t="str">
        <f>IFERROR(_xlfn.XLOOKUP($A432,Planilha2!$A$2:$A$34,Planilha2!D$2:D$34,"",-1),"")</f>
        <v>Ba2</v>
      </c>
      <c r="D432" t="str" cm="1">
        <f t="array" ref="D432">IF($A432&lt;MIN(Planilha2!$A$2:$A$34),"",_xlfn.LET(_xlpm.t,_xlfn.XLOOKUP($A432,Planilha2!$A$2:$A$34,Planilha2!$E$2:$E$34,"",-1),_xlfn.IFS(ISNUMBER(SEARCH("positiva",_xlpm.t)),"Positiva",ISNUMBER(SEARCH("negativa",_xlpm.t)),"Negativa",ISNUMBER(SEARCH("estável",_xlpm.t)),"Estável",TRUE,"n/d")))</f>
        <v>Estável</v>
      </c>
      <c r="E432" t="str">
        <f>IFERROR(_xlfn.XLOOKUP($A432,Planilha2!$J$2:$J$44,Planilha2!L$2:L$44,"",-1),"")</f>
        <v>BB-</v>
      </c>
      <c r="F432" t="str">
        <f>IFERROR(_xlfn.XLOOKUP($A432,Planilha2!$J$2:$J$44,Planilha2!M$2:M$44,"",-1),"")</f>
        <v>BB-</v>
      </c>
      <c r="G432" t="str" cm="1">
        <f t="array" ref="G432">IF($A432&lt;MIN(Planilha2!$J$2:$J$44),"",_xlfn.LET(_xlpm.t,_xlfn.XLOOKUP($A432,Planilha2!$J$2:$J$44,Planilha2!$N$2:$N$44,"",-1),_xlfn.IFS(ISNUMBER(SEARCH("positiva",_xlpm.t)),"Positiva",ISNUMBER(SEARCH("negativa",_xlpm.t)),"Negativa",ISNUMBER(SEARCH("estável",_xlpm.t)),"Estável",TRUE,"n/d")))</f>
        <v>Estável</v>
      </c>
      <c r="H432" t="str">
        <f>IFERROR(_xlfn.XLOOKUP($A432,Planilha2!$P$2:$P$38,Planilha2!R$2:R$38,"",-1),"")</f>
        <v>BB-</v>
      </c>
      <c r="I432" t="str">
        <f>IFERROR(_xlfn.XLOOKUP($A432,Planilha2!$P$2:$P$38,Planilha2!S$2:S$38,"",-1),"")</f>
        <v>BB-</v>
      </c>
      <c r="J432" t="str" cm="1">
        <f t="array" ref="J432">IF($A432&lt;MIN(Planilha2!$P$2:$P$38),"",_xlfn.LET(_xlpm.t,_xlfn.XLOOKUP($A432,Planilha2!$P$2:$P$38,Planilha2!$T$2:$T$38,"",-1),_xlfn.IFS(ISNUMBER(SEARCH("positiva",_xlpm.t)),"Positiva",ISNUMBER(SEARCH("negativa",_xlpm.t)),"Negativa",ISNUMBER(SEARCH("estável",_xlpm.t)),"Estável",TRUE,"n/d")))</f>
        <v>Estável</v>
      </c>
      <c r="L432" s="52">
        <f>IFERROR(_xlfn.XLOOKUP(B432,'Agências de Rating Soberano'!$G$2:$G$22,'Agências de Rating Soberano'!$H$2:$H$22),NA())</f>
        <v>10</v>
      </c>
      <c r="M432" s="52">
        <f>IFERROR(_xlfn.XLOOKUP(C432,'Agências de Rating Soberano'!$G$2:$G$22,'Agências de Rating Soberano'!$H$2:$H$22),NA())</f>
        <v>10</v>
      </c>
      <c r="N432" s="52">
        <f>IFERROR(_xlfn.XLOOKUP(E432,'Agências de Rating Soberano'!$J$2:$J$22,'Agências de Rating Soberano'!$K$2:$K$22),NA())</f>
        <v>9</v>
      </c>
      <c r="O432" s="52">
        <f>IFERROR(_xlfn.XLOOKUP(F432,'Agências de Rating Soberano'!$J$2:$J$22,'Agências de Rating Soberano'!$K$2:$K$22),NA())</f>
        <v>9</v>
      </c>
      <c r="P432" s="52">
        <f>IFERROR(_xlfn.XLOOKUP(H432,'Agências de Rating Soberano'!$J$2:$J$22,'Agências de Rating Soberano'!$K$2:$K$22),NA())</f>
        <v>9</v>
      </c>
      <c r="Q432" s="52">
        <f>IFERROR(_xlfn.XLOOKUP(I432,'Agências de Rating Soberano'!$J$2:$J$22,'Agências de Rating Soberano'!$K$2:$K$22),NA())</f>
        <v>9</v>
      </c>
    </row>
    <row r="433" spans="1:17" x14ac:dyDescent="0.3">
      <c r="A433" s="53">
        <f t="shared" si="13"/>
        <v>44865</v>
      </c>
      <c r="B433" t="str">
        <f>IFERROR(_xlfn.XLOOKUP($A433,Planilha2!$A$2:$A$34,Planilha2!C$2:C$34,"",-1),"")</f>
        <v>Ba2</v>
      </c>
      <c r="C433" t="str">
        <f>IFERROR(_xlfn.XLOOKUP($A433,Planilha2!$A$2:$A$34,Planilha2!D$2:D$34,"",-1),"")</f>
        <v>Ba2</v>
      </c>
      <c r="D433" t="str" cm="1">
        <f t="array" ref="D433">IF($A433&lt;MIN(Planilha2!$A$2:$A$34),"",_xlfn.LET(_xlpm.t,_xlfn.XLOOKUP($A433,Planilha2!$A$2:$A$34,Planilha2!$E$2:$E$34,"",-1),_xlfn.IFS(ISNUMBER(SEARCH("positiva",_xlpm.t)),"Positiva",ISNUMBER(SEARCH("negativa",_xlpm.t)),"Negativa",ISNUMBER(SEARCH("estável",_xlpm.t)),"Estável",TRUE,"n/d")))</f>
        <v>Estável</v>
      </c>
      <c r="E433" t="str">
        <f>IFERROR(_xlfn.XLOOKUP($A433,Planilha2!$J$2:$J$44,Planilha2!L$2:L$44,"",-1),"")</f>
        <v>BB-</v>
      </c>
      <c r="F433" t="str">
        <f>IFERROR(_xlfn.XLOOKUP($A433,Planilha2!$J$2:$J$44,Planilha2!M$2:M$44,"",-1),"")</f>
        <v>BB-</v>
      </c>
      <c r="G433" t="str" cm="1">
        <f t="array" ref="G433">IF($A433&lt;MIN(Planilha2!$J$2:$J$44),"",_xlfn.LET(_xlpm.t,_xlfn.XLOOKUP($A433,Planilha2!$J$2:$J$44,Planilha2!$N$2:$N$44,"",-1),_xlfn.IFS(ISNUMBER(SEARCH("positiva",_xlpm.t)),"Positiva",ISNUMBER(SEARCH("negativa",_xlpm.t)),"Negativa",ISNUMBER(SEARCH("estável",_xlpm.t)),"Estável",TRUE,"n/d")))</f>
        <v>Estável</v>
      </c>
      <c r="H433" t="str">
        <f>IFERROR(_xlfn.XLOOKUP($A433,Planilha2!$P$2:$P$38,Planilha2!R$2:R$38,"",-1),"")</f>
        <v>BB-</v>
      </c>
      <c r="I433" t="str">
        <f>IFERROR(_xlfn.XLOOKUP($A433,Planilha2!$P$2:$P$38,Planilha2!S$2:S$38,"",-1),"")</f>
        <v>BB-</v>
      </c>
      <c r="J433" t="str" cm="1">
        <f t="array" ref="J433">IF($A433&lt;MIN(Planilha2!$P$2:$P$38),"",_xlfn.LET(_xlpm.t,_xlfn.XLOOKUP($A433,Planilha2!$P$2:$P$38,Planilha2!$T$2:$T$38,"",-1),_xlfn.IFS(ISNUMBER(SEARCH("positiva",_xlpm.t)),"Positiva",ISNUMBER(SEARCH("negativa",_xlpm.t)),"Negativa",ISNUMBER(SEARCH("estável",_xlpm.t)),"Estável",TRUE,"n/d")))</f>
        <v>Estável</v>
      </c>
      <c r="L433" s="52">
        <f>IFERROR(_xlfn.XLOOKUP(B433,'Agências de Rating Soberano'!$G$2:$G$22,'Agências de Rating Soberano'!$H$2:$H$22),NA())</f>
        <v>10</v>
      </c>
      <c r="M433" s="52">
        <f>IFERROR(_xlfn.XLOOKUP(C433,'Agências de Rating Soberano'!$G$2:$G$22,'Agências de Rating Soberano'!$H$2:$H$22),NA())</f>
        <v>10</v>
      </c>
      <c r="N433" s="52">
        <f>IFERROR(_xlfn.XLOOKUP(E433,'Agências de Rating Soberano'!$J$2:$J$22,'Agências de Rating Soberano'!$K$2:$K$22),NA())</f>
        <v>9</v>
      </c>
      <c r="O433" s="52">
        <f>IFERROR(_xlfn.XLOOKUP(F433,'Agências de Rating Soberano'!$J$2:$J$22,'Agências de Rating Soberano'!$K$2:$K$22),NA())</f>
        <v>9</v>
      </c>
      <c r="P433" s="52">
        <f>IFERROR(_xlfn.XLOOKUP(H433,'Agências de Rating Soberano'!$J$2:$J$22,'Agências de Rating Soberano'!$K$2:$K$22),NA())</f>
        <v>9</v>
      </c>
      <c r="Q433" s="52">
        <f>IFERROR(_xlfn.XLOOKUP(I433,'Agências de Rating Soberano'!$J$2:$J$22,'Agências de Rating Soberano'!$K$2:$K$22),NA())</f>
        <v>9</v>
      </c>
    </row>
    <row r="434" spans="1:17" x14ac:dyDescent="0.3">
      <c r="A434" s="53">
        <f t="shared" si="13"/>
        <v>44895</v>
      </c>
      <c r="B434" t="str">
        <f>IFERROR(_xlfn.XLOOKUP($A434,Planilha2!$A$2:$A$34,Planilha2!C$2:C$34,"",-1),"")</f>
        <v>Ba2</v>
      </c>
      <c r="C434" t="str">
        <f>IFERROR(_xlfn.XLOOKUP($A434,Planilha2!$A$2:$A$34,Planilha2!D$2:D$34,"",-1),"")</f>
        <v>Ba2</v>
      </c>
      <c r="D434" t="str" cm="1">
        <f t="array" ref="D434">IF($A434&lt;MIN(Planilha2!$A$2:$A$34),"",_xlfn.LET(_xlpm.t,_xlfn.XLOOKUP($A434,Planilha2!$A$2:$A$34,Planilha2!$E$2:$E$34,"",-1),_xlfn.IFS(ISNUMBER(SEARCH("positiva",_xlpm.t)),"Positiva",ISNUMBER(SEARCH("negativa",_xlpm.t)),"Negativa",ISNUMBER(SEARCH("estável",_xlpm.t)),"Estável",TRUE,"n/d")))</f>
        <v>Estável</v>
      </c>
      <c r="E434" t="str">
        <f>IFERROR(_xlfn.XLOOKUP($A434,Planilha2!$J$2:$J$44,Planilha2!L$2:L$44,"",-1),"")</f>
        <v>BB-</v>
      </c>
      <c r="F434" t="str">
        <f>IFERROR(_xlfn.XLOOKUP($A434,Planilha2!$J$2:$J$44,Planilha2!M$2:M$44,"",-1),"")</f>
        <v>BB-</v>
      </c>
      <c r="G434" t="str" cm="1">
        <f t="array" ref="G434">IF($A434&lt;MIN(Planilha2!$J$2:$J$44),"",_xlfn.LET(_xlpm.t,_xlfn.XLOOKUP($A434,Planilha2!$J$2:$J$44,Planilha2!$N$2:$N$44,"",-1),_xlfn.IFS(ISNUMBER(SEARCH("positiva",_xlpm.t)),"Positiva",ISNUMBER(SEARCH("negativa",_xlpm.t)),"Negativa",ISNUMBER(SEARCH("estável",_xlpm.t)),"Estável",TRUE,"n/d")))</f>
        <v>Estável</v>
      </c>
      <c r="H434" t="str">
        <f>IFERROR(_xlfn.XLOOKUP($A434,Planilha2!$P$2:$P$38,Planilha2!R$2:R$38,"",-1),"")</f>
        <v>BB-</v>
      </c>
      <c r="I434" t="str">
        <f>IFERROR(_xlfn.XLOOKUP($A434,Planilha2!$P$2:$P$38,Planilha2!S$2:S$38,"",-1),"")</f>
        <v>BB-</v>
      </c>
      <c r="J434" t="str" cm="1">
        <f t="array" ref="J434">IF($A434&lt;MIN(Planilha2!$P$2:$P$38),"",_xlfn.LET(_xlpm.t,_xlfn.XLOOKUP($A434,Planilha2!$P$2:$P$38,Planilha2!$T$2:$T$38,"",-1),_xlfn.IFS(ISNUMBER(SEARCH("positiva",_xlpm.t)),"Positiva",ISNUMBER(SEARCH("negativa",_xlpm.t)),"Negativa",ISNUMBER(SEARCH("estável",_xlpm.t)),"Estável",TRUE,"n/d")))</f>
        <v>Estável</v>
      </c>
      <c r="L434" s="52">
        <f>IFERROR(_xlfn.XLOOKUP(B434,'Agências de Rating Soberano'!$G$2:$G$22,'Agências de Rating Soberano'!$H$2:$H$22),NA())</f>
        <v>10</v>
      </c>
      <c r="M434" s="52">
        <f>IFERROR(_xlfn.XLOOKUP(C434,'Agências de Rating Soberano'!$G$2:$G$22,'Agências de Rating Soberano'!$H$2:$H$22),NA())</f>
        <v>10</v>
      </c>
      <c r="N434" s="52">
        <f>IFERROR(_xlfn.XLOOKUP(E434,'Agências de Rating Soberano'!$J$2:$J$22,'Agências de Rating Soberano'!$K$2:$K$22),NA())</f>
        <v>9</v>
      </c>
      <c r="O434" s="52">
        <f>IFERROR(_xlfn.XLOOKUP(F434,'Agências de Rating Soberano'!$J$2:$J$22,'Agências de Rating Soberano'!$K$2:$K$22),NA())</f>
        <v>9</v>
      </c>
      <c r="P434" s="52">
        <f>IFERROR(_xlfn.XLOOKUP(H434,'Agências de Rating Soberano'!$J$2:$J$22,'Agências de Rating Soberano'!$K$2:$K$22),NA())</f>
        <v>9</v>
      </c>
      <c r="Q434" s="52">
        <f>IFERROR(_xlfn.XLOOKUP(I434,'Agências de Rating Soberano'!$J$2:$J$22,'Agências de Rating Soberano'!$K$2:$K$22),NA())</f>
        <v>9</v>
      </c>
    </row>
    <row r="435" spans="1:17" x14ac:dyDescent="0.3">
      <c r="A435" s="53">
        <f t="shared" si="13"/>
        <v>44926</v>
      </c>
      <c r="B435" t="str">
        <f>IFERROR(_xlfn.XLOOKUP($A435,Planilha2!$A$2:$A$34,Planilha2!C$2:C$34,"",-1),"")</f>
        <v>Ba2</v>
      </c>
      <c r="C435" t="str">
        <f>IFERROR(_xlfn.XLOOKUP($A435,Planilha2!$A$2:$A$34,Planilha2!D$2:D$34,"",-1),"")</f>
        <v>Ba2</v>
      </c>
      <c r="D435" t="str" cm="1">
        <f t="array" ref="D435">IF($A435&lt;MIN(Planilha2!$A$2:$A$34),"",_xlfn.LET(_xlpm.t,_xlfn.XLOOKUP($A435,Planilha2!$A$2:$A$34,Planilha2!$E$2:$E$34,"",-1),_xlfn.IFS(ISNUMBER(SEARCH("positiva",_xlpm.t)),"Positiva",ISNUMBER(SEARCH("negativa",_xlpm.t)),"Negativa",ISNUMBER(SEARCH("estável",_xlpm.t)),"Estável",TRUE,"n/d")))</f>
        <v>Estável</v>
      </c>
      <c r="E435" t="str">
        <f>IFERROR(_xlfn.XLOOKUP($A435,Planilha2!$J$2:$J$44,Planilha2!L$2:L$44,"",-1),"")</f>
        <v>BB-</v>
      </c>
      <c r="F435" t="str">
        <f>IFERROR(_xlfn.XLOOKUP($A435,Planilha2!$J$2:$J$44,Planilha2!M$2:M$44,"",-1),"")</f>
        <v>BB-</v>
      </c>
      <c r="G435" t="str" cm="1">
        <f t="array" ref="G435">IF($A435&lt;MIN(Planilha2!$J$2:$J$44),"",_xlfn.LET(_xlpm.t,_xlfn.XLOOKUP($A435,Planilha2!$J$2:$J$44,Planilha2!$N$2:$N$44,"",-1),_xlfn.IFS(ISNUMBER(SEARCH("positiva",_xlpm.t)),"Positiva",ISNUMBER(SEARCH("negativa",_xlpm.t)),"Negativa",ISNUMBER(SEARCH("estável",_xlpm.t)),"Estável",TRUE,"n/d")))</f>
        <v>Estável</v>
      </c>
      <c r="H435" t="str">
        <f>IFERROR(_xlfn.XLOOKUP($A435,Planilha2!$P$2:$P$38,Planilha2!R$2:R$38,"",-1),"")</f>
        <v>BB-</v>
      </c>
      <c r="I435" t="str">
        <f>IFERROR(_xlfn.XLOOKUP($A435,Planilha2!$P$2:$P$38,Planilha2!S$2:S$38,"",-1),"")</f>
        <v>BB-</v>
      </c>
      <c r="J435" t="str" cm="1">
        <f t="array" ref="J435">IF($A435&lt;MIN(Planilha2!$P$2:$P$38),"",_xlfn.LET(_xlpm.t,_xlfn.XLOOKUP($A435,Planilha2!$P$2:$P$38,Planilha2!$T$2:$T$38,"",-1),_xlfn.IFS(ISNUMBER(SEARCH("positiva",_xlpm.t)),"Positiva",ISNUMBER(SEARCH("negativa",_xlpm.t)),"Negativa",ISNUMBER(SEARCH("estável",_xlpm.t)),"Estável",TRUE,"n/d")))</f>
        <v>Estável</v>
      </c>
      <c r="L435" s="52">
        <f>IFERROR(_xlfn.XLOOKUP(B435,'Agências de Rating Soberano'!$G$2:$G$22,'Agências de Rating Soberano'!$H$2:$H$22),NA())</f>
        <v>10</v>
      </c>
      <c r="M435" s="52">
        <f>IFERROR(_xlfn.XLOOKUP(C435,'Agências de Rating Soberano'!$G$2:$G$22,'Agências de Rating Soberano'!$H$2:$H$22),NA())</f>
        <v>10</v>
      </c>
      <c r="N435" s="52">
        <f>IFERROR(_xlfn.XLOOKUP(E435,'Agências de Rating Soberano'!$J$2:$J$22,'Agências de Rating Soberano'!$K$2:$K$22),NA())</f>
        <v>9</v>
      </c>
      <c r="O435" s="52">
        <f>IFERROR(_xlfn.XLOOKUP(F435,'Agências de Rating Soberano'!$J$2:$J$22,'Agências de Rating Soberano'!$K$2:$K$22),NA())</f>
        <v>9</v>
      </c>
      <c r="P435" s="52">
        <f>IFERROR(_xlfn.XLOOKUP(H435,'Agências de Rating Soberano'!$J$2:$J$22,'Agências de Rating Soberano'!$K$2:$K$22),NA())</f>
        <v>9</v>
      </c>
      <c r="Q435" s="52">
        <f>IFERROR(_xlfn.XLOOKUP(I435,'Agências de Rating Soberano'!$J$2:$J$22,'Agências de Rating Soberano'!$K$2:$K$22),NA())</f>
        <v>9</v>
      </c>
    </row>
    <row r="436" spans="1:17" x14ac:dyDescent="0.3">
      <c r="A436" s="53">
        <f t="shared" si="13"/>
        <v>44957</v>
      </c>
      <c r="B436" t="str">
        <f>IFERROR(_xlfn.XLOOKUP($A436,Planilha2!$A$2:$A$34,Planilha2!C$2:C$34,"",-1),"")</f>
        <v>Ba2</v>
      </c>
      <c r="C436" t="str">
        <f>IFERROR(_xlfn.XLOOKUP($A436,Planilha2!$A$2:$A$34,Planilha2!D$2:D$34,"",-1),"")</f>
        <v>Ba2</v>
      </c>
      <c r="D436" t="str" cm="1">
        <f t="array" ref="D436">IF($A436&lt;MIN(Planilha2!$A$2:$A$34),"",_xlfn.LET(_xlpm.t,_xlfn.XLOOKUP($A436,Planilha2!$A$2:$A$34,Planilha2!$E$2:$E$34,"",-1),_xlfn.IFS(ISNUMBER(SEARCH("positiva",_xlpm.t)),"Positiva",ISNUMBER(SEARCH("negativa",_xlpm.t)),"Negativa",ISNUMBER(SEARCH("estável",_xlpm.t)),"Estável",TRUE,"n/d")))</f>
        <v>Estável</v>
      </c>
      <c r="E436" t="str">
        <f>IFERROR(_xlfn.XLOOKUP($A436,Planilha2!$J$2:$J$44,Planilha2!L$2:L$44,"",-1),"")</f>
        <v>BB-</v>
      </c>
      <c r="F436" t="str">
        <f>IFERROR(_xlfn.XLOOKUP($A436,Planilha2!$J$2:$J$44,Planilha2!M$2:M$44,"",-1),"")</f>
        <v>BB-</v>
      </c>
      <c r="G436" t="str" cm="1">
        <f t="array" ref="G436">IF($A436&lt;MIN(Planilha2!$J$2:$J$44),"",_xlfn.LET(_xlpm.t,_xlfn.XLOOKUP($A436,Planilha2!$J$2:$J$44,Planilha2!$N$2:$N$44,"",-1),_xlfn.IFS(ISNUMBER(SEARCH("positiva",_xlpm.t)),"Positiva",ISNUMBER(SEARCH("negativa",_xlpm.t)),"Negativa",ISNUMBER(SEARCH("estável",_xlpm.t)),"Estável",TRUE,"n/d")))</f>
        <v>Estável</v>
      </c>
      <c r="H436" t="str">
        <f>IFERROR(_xlfn.XLOOKUP($A436,Planilha2!$P$2:$P$38,Planilha2!R$2:R$38,"",-1),"")</f>
        <v>BB-</v>
      </c>
      <c r="I436" t="str">
        <f>IFERROR(_xlfn.XLOOKUP($A436,Planilha2!$P$2:$P$38,Planilha2!S$2:S$38,"",-1),"")</f>
        <v>BB-</v>
      </c>
      <c r="J436" t="str" cm="1">
        <f t="array" ref="J436">IF($A436&lt;MIN(Planilha2!$P$2:$P$38),"",_xlfn.LET(_xlpm.t,_xlfn.XLOOKUP($A436,Planilha2!$P$2:$P$38,Planilha2!$T$2:$T$38,"",-1),_xlfn.IFS(ISNUMBER(SEARCH("positiva",_xlpm.t)),"Positiva",ISNUMBER(SEARCH("negativa",_xlpm.t)),"Negativa",ISNUMBER(SEARCH("estável",_xlpm.t)),"Estável",TRUE,"n/d")))</f>
        <v>Estável</v>
      </c>
      <c r="L436" s="52">
        <f>IFERROR(_xlfn.XLOOKUP(B436,'Agências de Rating Soberano'!$G$2:$G$22,'Agências de Rating Soberano'!$H$2:$H$22),NA())</f>
        <v>10</v>
      </c>
      <c r="M436" s="52">
        <f>IFERROR(_xlfn.XLOOKUP(C436,'Agências de Rating Soberano'!$G$2:$G$22,'Agências de Rating Soberano'!$H$2:$H$22),NA())</f>
        <v>10</v>
      </c>
      <c r="N436" s="52">
        <f>IFERROR(_xlfn.XLOOKUP(E436,'Agências de Rating Soberano'!$J$2:$J$22,'Agências de Rating Soberano'!$K$2:$K$22),NA())</f>
        <v>9</v>
      </c>
      <c r="O436" s="52">
        <f>IFERROR(_xlfn.XLOOKUP(F436,'Agências de Rating Soberano'!$J$2:$J$22,'Agências de Rating Soberano'!$K$2:$K$22),NA())</f>
        <v>9</v>
      </c>
      <c r="P436" s="52">
        <f>IFERROR(_xlfn.XLOOKUP(H436,'Agências de Rating Soberano'!$J$2:$J$22,'Agências de Rating Soberano'!$K$2:$K$22),NA())</f>
        <v>9</v>
      </c>
      <c r="Q436" s="52">
        <f>IFERROR(_xlfn.XLOOKUP(I436,'Agências de Rating Soberano'!$J$2:$J$22,'Agências de Rating Soberano'!$K$2:$K$22),NA())</f>
        <v>9</v>
      </c>
    </row>
    <row r="437" spans="1:17" x14ac:dyDescent="0.3">
      <c r="A437" s="53">
        <f t="shared" si="13"/>
        <v>44985</v>
      </c>
      <c r="B437" t="str">
        <f>IFERROR(_xlfn.XLOOKUP($A437,Planilha2!$A$2:$A$34,Planilha2!C$2:C$34,"",-1),"")</f>
        <v>Ba2</v>
      </c>
      <c r="C437" t="str">
        <f>IFERROR(_xlfn.XLOOKUP($A437,Planilha2!$A$2:$A$34,Planilha2!D$2:D$34,"",-1),"")</f>
        <v>Ba2</v>
      </c>
      <c r="D437" t="str" cm="1">
        <f t="array" ref="D437">IF($A437&lt;MIN(Planilha2!$A$2:$A$34),"",_xlfn.LET(_xlpm.t,_xlfn.XLOOKUP($A437,Planilha2!$A$2:$A$34,Planilha2!$E$2:$E$34,"",-1),_xlfn.IFS(ISNUMBER(SEARCH("positiva",_xlpm.t)),"Positiva",ISNUMBER(SEARCH("negativa",_xlpm.t)),"Negativa",ISNUMBER(SEARCH("estável",_xlpm.t)),"Estável",TRUE,"n/d")))</f>
        <v>Estável</v>
      </c>
      <c r="E437" t="str">
        <f>IFERROR(_xlfn.XLOOKUP($A437,Planilha2!$J$2:$J$44,Planilha2!L$2:L$44,"",-1),"")</f>
        <v>BB-</v>
      </c>
      <c r="F437" t="str">
        <f>IFERROR(_xlfn.XLOOKUP($A437,Planilha2!$J$2:$J$44,Planilha2!M$2:M$44,"",-1),"")</f>
        <v>BB-</v>
      </c>
      <c r="G437" t="str" cm="1">
        <f t="array" ref="G437">IF($A437&lt;MIN(Planilha2!$J$2:$J$44),"",_xlfn.LET(_xlpm.t,_xlfn.XLOOKUP($A437,Planilha2!$J$2:$J$44,Planilha2!$N$2:$N$44,"",-1),_xlfn.IFS(ISNUMBER(SEARCH("positiva",_xlpm.t)),"Positiva",ISNUMBER(SEARCH("negativa",_xlpm.t)),"Negativa",ISNUMBER(SEARCH("estável",_xlpm.t)),"Estável",TRUE,"n/d")))</f>
        <v>Estável</v>
      </c>
      <c r="H437" t="str">
        <f>IFERROR(_xlfn.XLOOKUP($A437,Planilha2!$P$2:$P$38,Planilha2!R$2:R$38,"",-1),"")</f>
        <v>BB-</v>
      </c>
      <c r="I437" t="str">
        <f>IFERROR(_xlfn.XLOOKUP($A437,Planilha2!$P$2:$P$38,Planilha2!S$2:S$38,"",-1),"")</f>
        <v>BB-</v>
      </c>
      <c r="J437" t="str" cm="1">
        <f t="array" ref="J437">IF($A437&lt;MIN(Planilha2!$P$2:$P$38),"",_xlfn.LET(_xlpm.t,_xlfn.XLOOKUP($A437,Planilha2!$P$2:$P$38,Planilha2!$T$2:$T$38,"",-1),_xlfn.IFS(ISNUMBER(SEARCH("positiva",_xlpm.t)),"Positiva",ISNUMBER(SEARCH("negativa",_xlpm.t)),"Negativa",ISNUMBER(SEARCH("estável",_xlpm.t)),"Estável",TRUE,"n/d")))</f>
        <v>Estável</v>
      </c>
      <c r="L437" s="52">
        <f>IFERROR(_xlfn.XLOOKUP(B437,'Agências de Rating Soberano'!$G$2:$G$22,'Agências de Rating Soberano'!$H$2:$H$22),NA())</f>
        <v>10</v>
      </c>
      <c r="M437" s="52">
        <f>IFERROR(_xlfn.XLOOKUP(C437,'Agências de Rating Soberano'!$G$2:$G$22,'Agências de Rating Soberano'!$H$2:$H$22),NA())</f>
        <v>10</v>
      </c>
      <c r="N437" s="52">
        <f>IFERROR(_xlfn.XLOOKUP(E437,'Agências de Rating Soberano'!$J$2:$J$22,'Agências de Rating Soberano'!$K$2:$K$22),NA())</f>
        <v>9</v>
      </c>
      <c r="O437" s="52">
        <f>IFERROR(_xlfn.XLOOKUP(F437,'Agências de Rating Soberano'!$J$2:$J$22,'Agências de Rating Soberano'!$K$2:$K$22),NA())</f>
        <v>9</v>
      </c>
      <c r="P437" s="52">
        <f>IFERROR(_xlfn.XLOOKUP(H437,'Agências de Rating Soberano'!$J$2:$J$22,'Agências de Rating Soberano'!$K$2:$K$22),NA())</f>
        <v>9</v>
      </c>
      <c r="Q437" s="52">
        <f>IFERROR(_xlfn.XLOOKUP(I437,'Agências de Rating Soberano'!$J$2:$J$22,'Agências de Rating Soberano'!$K$2:$K$22),NA())</f>
        <v>9</v>
      </c>
    </row>
    <row r="438" spans="1:17" x14ac:dyDescent="0.3">
      <c r="A438" s="53">
        <f t="shared" si="13"/>
        <v>45016</v>
      </c>
      <c r="B438" t="str">
        <f>IFERROR(_xlfn.XLOOKUP($A438,Planilha2!$A$2:$A$34,Planilha2!C$2:C$34,"",-1),"")</f>
        <v>Ba2</v>
      </c>
      <c r="C438" t="str">
        <f>IFERROR(_xlfn.XLOOKUP($A438,Planilha2!$A$2:$A$34,Planilha2!D$2:D$34,"",-1),"")</f>
        <v>Ba2</v>
      </c>
      <c r="D438" t="str" cm="1">
        <f t="array" ref="D438">IF($A438&lt;MIN(Planilha2!$A$2:$A$34),"",_xlfn.LET(_xlpm.t,_xlfn.XLOOKUP($A438,Planilha2!$A$2:$A$34,Planilha2!$E$2:$E$34,"",-1),_xlfn.IFS(ISNUMBER(SEARCH("positiva",_xlpm.t)),"Positiva",ISNUMBER(SEARCH("negativa",_xlpm.t)),"Negativa",ISNUMBER(SEARCH("estável",_xlpm.t)),"Estável",TRUE,"n/d")))</f>
        <v>Estável</v>
      </c>
      <c r="E438" t="str">
        <f>IFERROR(_xlfn.XLOOKUP($A438,Planilha2!$J$2:$J$44,Planilha2!L$2:L$44,"",-1),"")</f>
        <v>BB-</v>
      </c>
      <c r="F438" t="str">
        <f>IFERROR(_xlfn.XLOOKUP($A438,Planilha2!$J$2:$J$44,Planilha2!M$2:M$44,"",-1),"")</f>
        <v>BB-</v>
      </c>
      <c r="G438" t="str" cm="1">
        <f t="array" ref="G438">IF($A438&lt;MIN(Planilha2!$J$2:$J$44),"",_xlfn.LET(_xlpm.t,_xlfn.XLOOKUP($A438,Planilha2!$J$2:$J$44,Planilha2!$N$2:$N$44,"",-1),_xlfn.IFS(ISNUMBER(SEARCH("positiva",_xlpm.t)),"Positiva",ISNUMBER(SEARCH("negativa",_xlpm.t)),"Negativa",ISNUMBER(SEARCH("estável",_xlpm.t)),"Estável",TRUE,"n/d")))</f>
        <v>Estável</v>
      </c>
      <c r="H438" t="str">
        <f>IFERROR(_xlfn.XLOOKUP($A438,Planilha2!$P$2:$P$38,Planilha2!R$2:R$38,"",-1),"")</f>
        <v>BB-</v>
      </c>
      <c r="I438" t="str">
        <f>IFERROR(_xlfn.XLOOKUP($A438,Planilha2!$P$2:$P$38,Planilha2!S$2:S$38,"",-1),"")</f>
        <v>BB-</v>
      </c>
      <c r="J438" t="str" cm="1">
        <f t="array" ref="J438">IF($A438&lt;MIN(Planilha2!$P$2:$P$38),"",_xlfn.LET(_xlpm.t,_xlfn.XLOOKUP($A438,Planilha2!$P$2:$P$38,Planilha2!$T$2:$T$38,"",-1),_xlfn.IFS(ISNUMBER(SEARCH("positiva",_xlpm.t)),"Positiva",ISNUMBER(SEARCH("negativa",_xlpm.t)),"Negativa",ISNUMBER(SEARCH("estável",_xlpm.t)),"Estável",TRUE,"n/d")))</f>
        <v>Estável</v>
      </c>
      <c r="L438" s="52">
        <f>IFERROR(_xlfn.XLOOKUP(B438,'Agências de Rating Soberano'!$G$2:$G$22,'Agências de Rating Soberano'!$H$2:$H$22),NA())</f>
        <v>10</v>
      </c>
      <c r="M438" s="52">
        <f>IFERROR(_xlfn.XLOOKUP(C438,'Agências de Rating Soberano'!$G$2:$G$22,'Agências de Rating Soberano'!$H$2:$H$22),NA())</f>
        <v>10</v>
      </c>
      <c r="N438" s="52">
        <f>IFERROR(_xlfn.XLOOKUP(E438,'Agências de Rating Soberano'!$J$2:$J$22,'Agências de Rating Soberano'!$K$2:$K$22),NA())</f>
        <v>9</v>
      </c>
      <c r="O438" s="52">
        <f>IFERROR(_xlfn.XLOOKUP(F438,'Agências de Rating Soberano'!$J$2:$J$22,'Agências de Rating Soberano'!$K$2:$K$22),NA())</f>
        <v>9</v>
      </c>
      <c r="P438" s="52">
        <f>IFERROR(_xlfn.XLOOKUP(H438,'Agências de Rating Soberano'!$J$2:$J$22,'Agências de Rating Soberano'!$K$2:$K$22),NA())</f>
        <v>9</v>
      </c>
      <c r="Q438" s="52">
        <f>IFERROR(_xlfn.XLOOKUP(I438,'Agências de Rating Soberano'!$J$2:$J$22,'Agências de Rating Soberano'!$K$2:$K$22),NA())</f>
        <v>9</v>
      </c>
    </row>
    <row r="439" spans="1:17" x14ac:dyDescent="0.3">
      <c r="A439" s="53">
        <f t="shared" si="13"/>
        <v>45046</v>
      </c>
      <c r="B439" t="str">
        <f>IFERROR(_xlfn.XLOOKUP($A439,Planilha2!$A$2:$A$34,Planilha2!C$2:C$34,"",-1),"")</f>
        <v>Ba2</v>
      </c>
      <c r="C439" t="str">
        <f>IFERROR(_xlfn.XLOOKUP($A439,Planilha2!$A$2:$A$34,Planilha2!D$2:D$34,"",-1),"")</f>
        <v>Ba2</v>
      </c>
      <c r="D439" t="str" cm="1">
        <f t="array" ref="D439">IF($A439&lt;MIN(Planilha2!$A$2:$A$34),"",_xlfn.LET(_xlpm.t,_xlfn.XLOOKUP($A439,Planilha2!$A$2:$A$34,Planilha2!$E$2:$E$34,"",-1),_xlfn.IFS(ISNUMBER(SEARCH("positiva",_xlpm.t)),"Positiva",ISNUMBER(SEARCH("negativa",_xlpm.t)),"Negativa",ISNUMBER(SEARCH("estável",_xlpm.t)),"Estável",TRUE,"n/d")))</f>
        <v>Estável</v>
      </c>
      <c r="E439" t="str">
        <f>IFERROR(_xlfn.XLOOKUP($A439,Planilha2!$J$2:$J$44,Planilha2!L$2:L$44,"",-1),"")</f>
        <v>BB-</v>
      </c>
      <c r="F439" t="str">
        <f>IFERROR(_xlfn.XLOOKUP($A439,Planilha2!$J$2:$J$44,Planilha2!M$2:M$44,"",-1),"")</f>
        <v>BB-</v>
      </c>
      <c r="G439" t="str" cm="1">
        <f t="array" ref="G439">IF($A439&lt;MIN(Planilha2!$J$2:$J$44),"",_xlfn.LET(_xlpm.t,_xlfn.XLOOKUP($A439,Planilha2!$J$2:$J$44,Planilha2!$N$2:$N$44,"",-1),_xlfn.IFS(ISNUMBER(SEARCH("positiva",_xlpm.t)),"Positiva",ISNUMBER(SEARCH("negativa",_xlpm.t)),"Negativa",ISNUMBER(SEARCH("estável",_xlpm.t)),"Estável",TRUE,"n/d")))</f>
        <v>Estável</v>
      </c>
      <c r="H439" t="str">
        <f>IFERROR(_xlfn.XLOOKUP($A439,Planilha2!$P$2:$P$38,Planilha2!R$2:R$38,"",-1),"")</f>
        <v>BB-</v>
      </c>
      <c r="I439" t="str">
        <f>IFERROR(_xlfn.XLOOKUP($A439,Planilha2!$P$2:$P$38,Planilha2!S$2:S$38,"",-1),"")</f>
        <v>BB-</v>
      </c>
      <c r="J439" t="str" cm="1">
        <f t="array" ref="J439">IF($A439&lt;MIN(Planilha2!$P$2:$P$38),"",_xlfn.LET(_xlpm.t,_xlfn.XLOOKUP($A439,Planilha2!$P$2:$P$38,Planilha2!$T$2:$T$38,"",-1),_xlfn.IFS(ISNUMBER(SEARCH("positiva",_xlpm.t)),"Positiva",ISNUMBER(SEARCH("negativa",_xlpm.t)),"Negativa",ISNUMBER(SEARCH("estável",_xlpm.t)),"Estável",TRUE,"n/d")))</f>
        <v>Estável</v>
      </c>
      <c r="L439" s="52">
        <f>IFERROR(_xlfn.XLOOKUP(B439,'Agências de Rating Soberano'!$G$2:$G$22,'Agências de Rating Soberano'!$H$2:$H$22),NA())</f>
        <v>10</v>
      </c>
      <c r="M439" s="52">
        <f>IFERROR(_xlfn.XLOOKUP(C439,'Agências de Rating Soberano'!$G$2:$G$22,'Agências de Rating Soberano'!$H$2:$H$22),NA())</f>
        <v>10</v>
      </c>
      <c r="N439" s="52">
        <f>IFERROR(_xlfn.XLOOKUP(E439,'Agências de Rating Soberano'!$J$2:$J$22,'Agências de Rating Soberano'!$K$2:$K$22),NA())</f>
        <v>9</v>
      </c>
      <c r="O439" s="52">
        <f>IFERROR(_xlfn.XLOOKUP(F439,'Agências de Rating Soberano'!$J$2:$J$22,'Agências de Rating Soberano'!$K$2:$K$22),NA())</f>
        <v>9</v>
      </c>
      <c r="P439" s="52">
        <f>IFERROR(_xlfn.XLOOKUP(H439,'Agências de Rating Soberano'!$J$2:$J$22,'Agências de Rating Soberano'!$K$2:$K$22),NA())</f>
        <v>9</v>
      </c>
      <c r="Q439" s="52">
        <f>IFERROR(_xlfn.XLOOKUP(I439,'Agências de Rating Soberano'!$J$2:$J$22,'Agências de Rating Soberano'!$K$2:$K$22),NA())</f>
        <v>9</v>
      </c>
    </row>
    <row r="440" spans="1:17" x14ac:dyDescent="0.3">
      <c r="A440" s="53">
        <f t="shared" si="13"/>
        <v>45077</v>
      </c>
      <c r="B440" t="str">
        <f>IFERROR(_xlfn.XLOOKUP($A440,Planilha2!$A$2:$A$34,Planilha2!C$2:C$34,"",-1),"")</f>
        <v>Ba2</v>
      </c>
      <c r="C440" t="str">
        <f>IFERROR(_xlfn.XLOOKUP($A440,Planilha2!$A$2:$A$34,Planilha2!D$2:D$34,"",-1),"")</f>
        <v>Ba2</v>
      </c>
      <c r="D440" t="str" cm="1">
        <f t="array" ref="D440">IF($A440&lt;MIN(Planilha2!$A$2:$A$34),"",_xlfn.LET(_xlpm.t,_xlfn.XLOOKUP($A440,Planilha2!$A$2:$A$34,Planilha2!$E$2:$E$34,"",-1),_xlfn.IFS(ISNUMBER(SEARCH("positiva",_xlpm.t)),"Positiva",ISNUMBER(SEARCH("negativa",_xlpm.t)),"Negativa",ISNUMBER(SEARCH("estável",_xlpm.t)),"Estável",TRUE,"n/d")))</f>
        <v>Estável</v>
      </c>
      <c r="E440" t="str">
        <f>IFERROR(_xlfn.XLOOKUP($A440,Planilha2!$J$2:$J$44,Planilha2!L$2:L$44,"",-1),"")</f>
        <v>BB-</v>
      </c>
      <c r="F440" t="str">
        <f>IFERROR(_xlfn.XLOOKUP($A440,Planilha2!$J$2:$J$44,Planilha2!M$2:M$44,"",-1),"")</f>
        <v>BB-</v>
      </c>
      <c r="G440" t="str" cm="1">
        <f t="array" ref="G440">IF($A440&lt;MIN(Planilha2!$J$2:$J$44),"",_xlfn.LET(_xlpm.t,_xlfn.XLOOKUP($A440,Planilha2!$J$2:$J$44,Planilha2!$N$2:$N$44,"",-1),_xlfn.IFS(ISNUMBER(SEARCH("positiva",_xlpm.t)),"Positiva",ISNUMBER(SEARCH("negativa",_xlpm.t)),"Negativa",ISNUMBER(SEARCH("estável",_xlpm.t)),"Estável",TRUE,"n/d")))</f>
        <v>Estável</v>
      </c>
      <c r="H440" t="str">
        <f>IFERROR(_xlfn.XLOOKUP($A440,Planilha2!$P$2:$P$38,Planilha2!R$2:R$38,"",-1),"")</f>
        <v>BB-</v>
      </c>
      <c r="I440" t="str">
        <f>IFERROR(_xlfn.XLOOKUP($A440,Planilha2!$P$2:$P$38,Planilha2!S$2:S$38,"",-1),"")</f>
        <v>BB-</v>
      </c>
      <c r="J440" t="str" cm="1">
        <f t="array" ref="J440">IF($A440&lt;MIN(Planilha2!$P$2:$P$38),"",_xlfn.LET(_xlpm.t,_xlfn.XLOOKUP($A440,Planilha2!$P$2:$P$38,Planilha2!$T$2:$T$38,"",-1),_xlfn.IFS(ISNUMBER(SEARCH("positiva",_xlpm.t)),"Positiva",ISNUMBER(SEARCH("negativa",_xlpm.t)),"Negativa",ISNUMBER(SEARCH("estável",_xlpm.t)),"Estável",TRUE,"n/d")))</f>
        <v>Estável</v>
      </c>
      <c r="L440" s="52">
        <f>IFERROR(_xlfn.XLOOKUP(B440,'Agências de Rating Soberano'!$G$2:$G$22,'Agências de Rating Soberano'!$H$2:$H$22),NA())</f>
        <v>10</v>
      </c>
      <c r="M440" s="52">
        <f>IFERROR(_xlfn.XLOOKUP(C440,'Agências de Rating Soberano'!$G$2:$G$22,'Agências de Rating Soberano'!$H$2:$H$22),NA())</f>
        <v>10</v>
      </c>
      <c r="N440" s="52">
        <f>IFERROR(_xlfn.XLOOKUP(E440,'Agências de Rating Soberano'!$J$2:$J$22,'Agências de Rating Soberano'!$K$2:$K$22),NA())</f>
        <v>9</v>
      </c>
      <c r="O440" s="52">
        <f>IFERROR(_xlfn.XLOOKUP(F440,'Agências de Rating Soberano'!$J$2:$J$22,'Agências de Rating Soberano'!$K$2:$K$22),NA())</f>
        <v>9</v>
      </c>
      <c r="P440" s="52">
        <f>IFERROR(_xlfn.XLOOKUP(H440,'Agências de Rating Soberano'!$J$2:$J$22,'Agências de Rating Soberano'!$K$2:$K$22),NA())</f>
        <v>9</v>
      </c>
      <c r="Q440" s="52">
        <f>IFERROR(_xlfn.XLOOKUP(I440,'Agências de Rating Soberano'!$J$2:$J$22,'Agências de Rating Soberano'!$K$2:$K$22),NA())</f>
        <v>9</v>
      </c>
    </row>
    <row r="441" spans="1:17" x14ac:dyDescent="0.3">
      <c r="A441" s="53">
        <f t="shared" si="13"/>
        <v>45107</v>
      </c>
      <c r="B441" t="str">
        <f>IFERROR(_xlfn.XLOOKUP($A441,Planilha2!$A$2:$A$34,Planilha2!C$2:C$34,"",-1),"")</f>
        <v>Ba2</v>
      </c>
      <c r="C441" t="str">
        <f>IFERROR(_xlfn.XLOOKUP($A441,Planilha2!$A$2:$A$34,Planilha2!D$2:D$34,"",-1),"")</f>
        <v>Ba2</v>
      </c>
      <c r="D441" t="str" cm="1">
        <f t="array" ref="D441">IF($A441&lt;MIN(Planilha2!$A$2:$A$34),"",_xlfn.LET(_xlpm.t,_xlfn.XLOOKUP($A441,Planilha2!$A$2:$A$34,Planilha2!$E$2:$E$34,"",-1),_xlfn.IFS(ISNUMBER(SEARCH("positiva",_xlpm.t)),"Positiva",ISNUMBER(SEARCH("negativa",_xlpm.t)),"Negativa",ISNUMBER(SEARCH("estável",_xlpm.t)),"Estável",TRUE,"n/d")))</f>
        <v>Estável</v>
      </c>
      <c r="E441" t="str">
        <f>IFERROR(_xlfn.XLOOKUP($A441,Planilha2!$J$2:$J$44,Planilha2!L$2:L$44,"",-1),"")</f>
        <v>BB-</v>
      </c>
      <c r="F441" t="str">
        <f>IFERROR(_xlfn.XLOOKUP($A441,Planilha2!$J$2:$J$44,Planilha2!M$2:M$44,"",-1),"")</f>
        <v>BB-</v>
      </c>
      <c r="G441" t="str" cm="1">
        <f t="array" ref="G441">IF($A441&lt;MIN(Planilha2!$J$2:$J$44),"",_xlfn.LET(_xlpm.t,_xlfn.XLOOKUP($A441,Planilha2!$J$2:$J$44,Planilha2!$N$2:$N$44,"",-1),_xlfn.IFS(ISNUMBER(SEARCH("positiva",_xlpm.t)),"Positiva",ISNUMBER(SEARCH("negativa",_xlpm.t)),"Negativa",ISNUMBER(SEARCH("estável",_xlpm.t)),"Estável",TRUE,"n/d")))</f>
        <v>Estável</v>
      </c>
      <c r="H441" t="str">
        <f>IFERROR(_xlfn.XLOOKUP($A441,Planilha2!$P$2:$P$38,Planilha2!R$2:R$38,"",-1),"")</f>
        <v>BB-</v>
      </c>
      <c r="I441" t="str">
        <f>IFERROR(_xlfn.XLOOKUP($A441,Planilha2!$P$2:$P$38,Planilha2!S$2:S$38,"",-1),"")</f>
        <v>BB-</v>
      </c>
      <c r="J441" t="str" cm="1">
        <f t="array" ref="J441">IF($A441&lt;MIN(Planilha2!$P$2:$P$38),"",_xlfn.LET(_xlpm.t,_xlfn.XLOOKUP($A441,Planilha2!$P$2:$P$38,Planilha2!$T$2:$T$38,"",-1),_xlfn.IFS(ISNUMBER(SEARCH("positiva",_xlpm.t)),"Positiva",ISNUMBER(SEARCH("negativa",_xlpm.t)),"Negativa",ISNUMBER(SEARCH("estável",_xlpm.t)),"Estável",TRUE,"n/d")))</f>
        <v>Positiva</v>
      </c>
      <c r="L441" s="52">
        <f>IFERROR(_xlfn.XLOOKUP(B441,'Agências de Rating Soberano'!$G$2:$G$22,'Agências de Rating Soberano'!$H$2:$H$22),NA())</f>
        <v>10</v>
      </c>
      <c r="M441" s="52">
        <f>IFERROR(_xlfn.XLOOKUP(C441,'Agências de Rating Soberano'!$G$2:$G$22,'Agências de Rating Soberano'!$H$2:$H$22),NA())</f>
        <v>10</v>
      </c>
      <c r="N441" s="52">
        <f>IFERROR(_xlfn.XLOOKUP(E441,'Agências de Rating Soberano'!$J$2:$J$22,'Agências de Rating Soberano'!$K$2:$K$22),NA())</f>
        <v>9</v>
      </c>
      <c r="O441" s="52">
        <f>IFERROR(_xlfn.XLOOKUP(F441,'Agências de Rating Soberano'!$J$2:$J$22,'Agências de Rating Soberano'!$K$2:$K$22),NA())</f>
        <v>9</v>
      </c>
      <c r="P441" s="52">
        <f>IFERROR(_xlfn.XLOOKUP(H441,'Agências de Rating Soberano'!$J$2:$J$22,'Agências de Rating Soberano'!$K$2:$K$22),NA())</f>
        <v>9</v>
      </c>
      <c r="Q441" s="52">
        <f>IFERROR(_xlfn.XLOOKUP(I441,'Agências de Rating Soberano'!$J$2:$J$22,'Agências de Rating Soberano'!$K$2:$K$22),NA())</f>
        <v>9</v>
      </c>
    </row>
    <row r="442" spans="1:17" x14ac:dyDescent="0.3">
      <c r="A442" s="53">
        <f t="shared" si="13"/>
        <v>45138</v>
      </c>
      <c r="B442" t="str">
        <f>IFERROR(_xlfn.XLOOKUP($A442,Planilha2!$A$2:$A$34,Planilha2!C$2:C$34,"",-1),"")</f>
        <v>Ba2</v>
      </c>
      <c r="C442" t="str">
        <f>IFERROR(_xlfn.XLOOKUP($A442,Planilha2!$A$2:$A$34,Planilha2!D$2:D$34,"",-1),"")</f>
        <v>Ba2</v>
      </c>
      <c r="D442" t="str" cm="1">
        <f t="array" ref="D442">IF($A442&lt;MIN(Planilha2!$A$2:$A$34),"",_xlfn.LET(_xlpm.t,_xlfn.XLOOKUP($A442,Planilha2!$A$2:$A$34,Planilha2!$E$2:$E$34,"",-1),_xlfn.IFS(ISNUMBER(SEARCH("positiva",_xlpm.t)),"Positiva",ISNUMBER(SEARCH("negativa",_xlpm.t)),"Negativa",ISNUMBER(SEARCH("estável",_xlpm.t)),"Estável",TRUE,"n/d")))</f>
        <v>Estável</v>
      </c>
      <c r="E442" t="str">
        <f>IFERROR(_xlfn.XLOOKUP($A442,Planilha2!$J$2:$J$44,Planilha2!L$2:L$44,"",-1),"")</f>
        <v>BB</v>
      </c>
      <c r="F442" t="str">
        <f>IFERROR(_xlfn.XLOOKUP($A442,Planilha2!$J$2:$J$44,Planilha2!M$2:M$44,"",-1),"")</f>
        <v>BB</v>
      </c>
      <c r="G442" t="str" cm="1">
        <f t="array" ref="G442">IF($A442&lt;MIN(Planilha2!$J$2:$J$44),"",_xlfn.LET(_xlpm.t,_xlfn.XLOOKUP($A442,Planilha2!$J$2:$J$44,Planilha2!$N$2:$N$44,"",-1),_xlfn.IFS(ISNUMBER(SEARCH("positiva",_xlpm.t)),"Positiva",ISNUMBER(SEARCH("negativa",_xlpm.t)),"Negativa",ISNUMBER(SEARCH("estável",_xlpm.t)),"Estável",TRUE,"n/d")))</f>
        <v>Estável</v>
      </c>
      <c r="H442" t="str">
        <f>IFERROR(_xlfn.XLOOKUP($A442,Planilha2!$P$2:$P$38,Planilha2!R$2:R$38,"",-1),"")</f>
        <v>BB-</v>
      </c>
      <c r="I442" t="str">
        <f>IFERROR(_xlfn.XLOOKUP($A442,Planilha2!$P$2:$P$38,Planilha2!S$2:S$38,"",-1),"")</f>
        <v>BB-</v>
      </c>
      <c r="J442" t="str" cm="1">
        <f t="array" ref="J442">IF($A442&lt;MIN(Planilha2!$P$2:$P$38),"",_xlfn.LET(_xlpm.t,_xlfn.XLOOKUP($A442,Planilha2!$P$2:$P$38,Planilha2!$T$2:$T$38,"",-1),_xlfn.IFS(ISNUMBER(SEARCH("positiva",_xlpm.t)),"Positiva",ISNUMBER(SEARCH("negativa",_xlpm.t)),"Negativa",ISNUMBER(SEARCH("estável",_xlpm.t)),"Estável",TRUE,"n/d")))</f>
        <v>Positiva</v>
      </c>
      <c r="L442" s="52">
        <f>IFERROR(_xlfn.XLOOKUP(B442,'Agências de Rating Soberano'!$G$2:$G$22,'Agências de Rating Soberano'!$H$2:$H$22),NA())</f>
        <v>10</v>
      </c>
      <c r="M442" s="52">
        <f>IFERROR(_xlfn.XLOOKUP(C442,'Agências de Rating Soberano'!$G$2:$G$22,'Agências de Rating Soberano'!$H$2:$H$22),NA())</f>
        <v>10</v>
      </c>
      <c r="N442" s="52">
        <f>IFERROR(_xlfn.XLOOKUP(E442,'Agências de Rating Soberano'!$J$2:$J$22,'Agências de Rating Soberano'!$K$2:$K$22),NA())</f>
        <v>10</v>
      </c>
      <c r="O442" s="52">
        <f>IFERROR(_xlfn.XLOOKUP(F442,'Agências de Rating Soberano'!$J$2:$J$22,'Agências de Rating Soberano'!$K$2:$K$22),NA())</f>
        <v>10</v>
      </c>
      <c r="P442" s="52">
        <f>IFERROR(_xlfn.XLOOKUP(H442,'Agências de Rating Soberano'!$J$2:$J$22,'Agências de Rating Soberano'!$K$2:$K$22),NA())</f>
        <v>9</v>
      </c>
      <c r="Q442" s="52">
        <f>IFERROR(_xlfn.XLOOKUP(I442,'Agências de Rating Soberano'!$J$2:$J$22,'Agências de Rating Soberano'!$K$2:$K$22),NA())</f>
        <v>9</v>
      </c>
    </row>
    <row r="443" spans="1:17" x14ac:dyDescent="0.3">
      <c r="A443" s="53">
        <f t="shared" si="13"/>
        <v>45169</v>
      </c>
      <c r="B443" t="str">
        <f>IFERROR(_xlfn.XLOOKUP($A443,Planilha2!$A$2:$A$34,Planilha2!C$2:C$34,"",-1),"")</f>
        <v>Ba2</v>
      </c>
      <c r="C443" t="str">
        <f>IFERROR(_xlfn.XLOOKUP($A443,Planilha2!$A$2:$A$34,Planilha2!D$2:D$34,"",-1),"")</f>
        <v>Ba2</v>
      </c>
      <c r="D443" t="str" cm="1">
        <f t="array" ref="D443">IF($A443&lt;MIN(Planilha2!$A$2:$A$34),"",_xlfn.LET(_xlpm.t,_xlfn.XLOOKUP($A443,Planilha2!$A$2:$A$34,Planilha2!$E$2:$E$34,"",-1),_xlfn.IFS(ISNUMBER(SEARCH("positiva",_xlpm.t)),"Positiva",ISNUMBER(SEARCH("negativa",_xlpm.t)),"Negativa",ISNUMBER(SEARCH("estável",_xlpm.t)),"Estável",TRUE,"n/d")))</f>
        <v>Estável</v>
      </c>
      <c r="E443" t="str">
        <f>IFERROR(_xlfn.XLOOKUP($A443,Planilha2!$J$2:$J$44,Planilha2!L$2:L$44,"",-1),"")</f>
        <v>BB</v>
      </c>
      <c r="F443" t="str">
        <f>IFERROR(_xlfn.XLOOKUP($A443,Planilha2!$J$2:$J$44,Planilha2!M$2:M$44,"",-1),"")</f>
        <v>BB</v>
      </c>
      <c r="G443" t="str" cm="1">
        <f t="array" ref="G443">IF($A443&lt;MIN(Planilha2!$J$2:$J$44),"",_xlfn.LET(_xlpm.t,_xlfn.XLOOKUP($A443,Planilha2!$J$2:$J$44,Planilha2!$N$2:$N$44,"",-1),_xlfn.IFS(ISNUMBER(SEARCH("positiva",_xlpm.t)),"Positiva",ISNUMBER(SEARCH("negativa",_xlpm.t)),"Negativa",ISNUMBER(SEARCH("estável",_xlpm.t)),"Estável",TRUE,"n/d")))</f>
        <v>Estável</v>
      </c>
      <c r="H443" t="str">
        <f>IFERROR(_xlfn.XLOOKUP($A443,Planilha2!$P$2:$P$38,Planilha2!R$2:R$38,"",-1),"")</f>
        <v>BB-</v>
      </c>
      <c r="I443" t="str">
        <f>IFERROR(_xlfn.XLOOKUP($A443,Planilha2!$P$2:$P$38,Planilha2!S$2:S$38,"",-1),"")</f>
        <v>BB-</v>
      </c>
      <c r="J443" t="str" cm="1">
        <f t="array" ref="J443">IF($A443&lt;MIN(Planilha2!$P$2:$P$38),"",_xlfn.LET(_xlpm.t,_xlfn.XLOOKUP($A443,Planilha2!$P$2:$P$38,Planilha2!$T$2:$T$38,"",-1),_xlfn.IFS(ISNUMBER(SEARCH("positiva",_xlpm.t)),"Positiva",ISNUMBER(SEARCH("negativa",_xlpm.t)),"Negativa",ISNUMBER(SEARCH("estável",_xlpm.t)),"Estável",TRUE,"n/d")))</f>
        <v>Positiva</v>
      </c>
      <c r="L443" s="52">
        <f>IFERROR(_xlfn.XLOOKUP(B443,'Agências de Rating Soberano'!$G$2:$G$22,'Agências de Rating Soberano'!$H$2:$H$22),NA())</f>
        <v>10</v>
      </c>
      <c r="M443" s="52">
        <f>IFERROR(_xlfn.XLOOKUP(C443,'Agências de Rating Soberano'!$G$2:$G$22,'Agências de Rating Soberano'!$H$2:$H$22),NA())</f>
        <v>10</v>
      </c>
      <c r="N443" s="52">
        <f>IFERROR(_xlfn.XLOOKUP(E443,'Agências de Rating Soberano'!$J$2:$J$22,'Agências de Rating Soberano'!$K$2:$K$22),NA())</f>
        <v>10</v>
      </c>
      <c r="O443" s="52">
        <f>IFERROR(_xlfn.XLOOKUP(F443,'Agências de Rating Soberano'!$J$2:$J$22,'Agências de Rating Soberano'!$K$2:$K$22),NA())</f>
        <v>10</v>
      </c>
      <c r="P443" s="52">
        <f>IFERROR(_xlfn.XLOOKUP(H443,'Agências de Rating Soberano'!$J$2:$J$22,'Agências de Rating Soberano'!$K$2:$K$22),NA())</f>
        <v>9</v>
      </c>
      <c r="Q443" s="52">
        <f>IFERROR(_xlfn.XLOOKUP(I443,'Agências de Rating Soberano'!$J$2:$J$22,'Agências de Rating Soberano'!$K$2:$K$22),NA())</f>
        <v>9</v>
      </c>
    </row>
    <row r="444" spans="1:17" x14ac:dyDescent="0.3">
      <c r="A444" s="53">
        <f t="shared" si="13"/>
        <v>45199</v>
      </c>
      <c r="B444" t="str">
        <f>IFERROR(_xlfn.XLOOKUP($A444,Planilha2!$A$2:$A$34,Planilha2!C$2:C$34,"",-1),"")</f>
        <v>Ba2</v>
      </c>
      <c r="C444" t="str">
        <f>IFERROR(_xlfn.XLOOKUP($A444,Planilha2!$A$2:$A$34,Planilha2!D$2:D$34,"",-1),"")</f>
        <v>Ba2</v>
      </c>
      <c r="D444" t="str" cm="1">
        <f t="array" ref="D444">IF($A444&lt;MIN(Planilha2!$A$2:$A$34),"",_xlfn.LET(_xlpm.t,_xlfn.XLOOKUP($A444,Planilha2!$A$2:$A$34,Planilha2!$E$2:$E$34,"",-1),_xlfn.IFS(ISNUMBER(SEARCH("positiva",_xlpm.t)),"Positiva",ISNUMBER(SEARCH("negativa",_xlpm.t)),"Negativa",ISNUMBER(SEARCH("estável",_xlpm.t)),"Estável",TRUE,"n/d")))</f>
        <v>Estável</v>
      </c>
      <c r="E444" t="str">
        <f>IFERROR(_xlfn.XLOOKUP($A444,Planilha2!$J$2:$J$44,Planilha2!L$2:L$44,"",-1),"")</f>
        <v>BB</v>
      </c>
      <c r="F444" t="str">
        <f>IFERROR(_xlfn.XLOOKUP($A444,Planilha2!$J$2:$J$44,Planilha2!M$2:M$44,"",-1),"")</f>
        <v>BB</v>
      </c>
      <c r="G444" t="str" cm="1">
        <f t="array" ref="G444">IF($A444&lt;MIN(Planilha2!$J$2:$J$44),"",_xlfn.LET(_xlpm.t,_xlfn.XLOOKUP($A444,Planilha2!$J$2:$J$44,Planilha2!$N$2:$N$44,"",-1),_xlfn.IFS(ISNUMBER(SEARCH("positiva",_xlpm.t)),"Positiva",ISNUMBER(SEARCH("negativa",_xlpm.t)),"Negativa",ISNUMBER(SEARCH("estável",_xlpm.t)),"Estável",TRUE,"n/d")))</f>
        <v>Estável</v>
      </c>
      <c r="H444" t="str">
        <f>IFERROR(_xlfn.XLOOKUP($A444,Planilha2!$P$2:$P$38,Planilha2!R$2:R$38,"",-1),"")</f>
        <v>BB-</v>
      </c>
      <c r="I444" t="str">
        <f>IFERROR(_xlfn.XLOOKUP($A444,Planilha2!$P$2:$P$38,Planilha2!S$2:S$38,"",-1),"")</f>
        <v>BB-</v>
      </c>
      <c r="J444" t="str" cm="1">
        <f t="array" ref="J444">IF($A444&lt;MIN(Planilha2!$P$2:$P$38),"",_xlfn.LET(_xlpm.t,_xlfn.XLOOKUP($A444,Planilha2!$P$2:$P$38,Planilha2!$T$2:$T$38,"",-1),_xlfn.IFS(ISNUMBER(SEARCH("positiva",_xlpm.t)),"Positiva",ISNUMBER(SEARCH("negativa",_xlpm.t)),"Negativa",ISNUMBER(SEARCH("estável",_xlpm.t)),"Estável",TRUE,"n/d")))</f>
        <v>Positiva</v>
      </c>
      <c r="L444" s="52">
        <f>IFERROR(_xlfn.XLOOKUP(B444,'Agências de Rating Soberano'!$G$2:$G$22,'Agências de Rating Soberano'!$H$2:$H$22),NA())</f>
        <v>10</v>
      </c>
      <c r="M444" s="52">
        <f>IFERROR(_xlfn.XLOOKUP(C444,'Agências de Rating Soberano'!$G$2:$G$22,'Agências de Rating Soberano'!$H$2:$H$22),NA())</f>
        <v>10</v>
      </c>
      <c r="N444" s="52">
        <f>IFERROR(_xlfn.XLOOKUP(E444,'Agências de Rating Soberano'!$J$2:$J$22,'Agências de Rating Soberano'!$K$2:$K$22),NA())</f>
        <v>10</v>
      </c>
      <c r="O444" s="52">
        <f>IFERROR(_xlfn.XLOOKUP(F444,'Agências de Rating Soberano'!$J$2:$J$22,'Agências de Rating Soberano'!$K$2:$K$22),NA())</f>
        <v>10</v>
      </c>
      <c r="P444" s="52">
        <f>IFERROR(_xlfn.XLOOKUP(H444,'Agências de Rating Soberano'!$J$2:$J$22,'Agências de Rating Soberano'!$K$2:$K$22),NA())</f>
        <v>9</v>
      </c>
      <c r="Q444" s="52">
        <f>IFERROR(_xlfn.XLOOKUP(I444,'Agências de Rating Soberano'!$J$2:$J$22,'Agências de Rating Soberano'!$K$2:$K$22),NA())</f>
        <v>9</v>
      </c>
    </row>
    <row r="445" spans="1:17" x14ac:dyDescent="0.3">
      <c r="A445" s="53">
        <f t="shared" si="13"/>
        <v>45230</v>
      </c>
      <c r="B445" t="str">
        <f>IFERROR(_xlfn.XLOOKUP($A445,Planilha2!$A$2:$A$34,Planilha2!C$2:C$34,"",-1),"")</f>
        <v>Ba2</v>
      </c>
      <c r="C445" t="str">
        <f>IFERROR(_xlfn.XLOOKUP($A445,Planilha2!$A$2:$A$34,Planilha2!D$2:D$34,"",-1),"")</f>
        <v>Ba2</v>
      </c>
      <c r="D445" t="str" cm="1">
        <f t="array" ref="D445">IF($A445&lt;MIN(Planilha2!$A$2:$A$34),"",_xlfn.LET(_xlpm.t,_xlfn.XLOOKUP($A445,Planilha2!$A$2:$A$34,Planilha2!$E$2:$E$34,"",-1),_xlfn.IFS(ISNUMBER(SEARCH("positiva",_xlpm.t)),"Positiva",ISNUMBER(SEARCH("negativa",_xlpm.t)),"Negativa",ISNUMBER(SEARCH("estável",_xlpm.t)),"Estável",TRUE,"n/d")))</f>
        <v>Estável</v>
      </c>
      <c r="E445" t="str">
        <f>IFERROR(_xlfn.XLOOKUP($A445,Planilha2!$J$2:$J$44,Planilha2!L$2:L$44,"",-1),"")</f>
        <v>BB</v>
      </c>
      <c r="F445" t="str">
        <f>IFERROR(_xlfn.XLOOKUP($A445,Planilha2!$J$2:$J$44,Planilha2!M$2:M$44,"",-1),"")</f>
        <v>BB</v>
      </c>
      <c r="G445" t="str" cm="1">
        <f t="array" ref="G445">IF($A445&lt;MIN(Planilha2!$J$2:$J$44),"",_xlfn.LET(_xlpm.t,_xlfn.XLOOKUP($A445,Planilha2!$J$2:$J$44,Planilha2!$N$2:$N$44,"",-1),_xlfn.IFS(ISNUMBER(SEARCH("positiva",_xlpm.t)),"Positiva",ISNUMBER(SEARCH("negativa",_xlpm.t)),"Negativa",ISNUMBER(SEARCH("estável",_xlpm.t)),"Estável",TRUE,"n/d")))</f>
        <v>Estável</v>
      </c>
      <c r="H445" t="str">
        <f>IFERROR(_xlfn.XLOOKUP($A445,Planilha2!$P$2:$P$38,Planilha2!R$2:R$38,"",-1),"")</f>
        <v>BB-</v>
      </c>
      <c r="I445" t="str">
        <f>IFERROR(_xlfn.XLOOKUP($A445,Planilha2!$P$2:$P$38,Planilha2!S$2:S$38,"",-1),"")</f>
        <v>BB-</v>
      </c>
      <c r="J445" t="str" cm="1">
        <f t="array" ref="J445">IF($A445&lt;MIN(Planilha2!$P$2:$P$38),"",_xlfn.LET(_xlpm.t,_xlfn.XLOOKUP($A445,Planilha2!$P$2:$P$38,Planilha2!$T$2:$T$38,"",-1),_xlfn.IFS(ISNUMBER(SEARCH("positiva",_xlpm.t)),"Positiva",ISNUMBER(SEARCH("negativa",_xlpm.t)),"Negativa",ISNUMBER(SEARCH("estável",_xlpm.t)),"Estável",TRUE,"n/d")))</f>
        <v>Positiva</v>
      </c>
      <c r="L445" s="52">
        <f>IFERROR(_xlfn.XLOOKUP(B445,'Agências de Rating Soberano'!$G$2:$G$22,'Agências de Rating Soberano'!$H$2:$H$22),NA())</f>
        <v>10</v>
      </c>
      <c r="M445" s="52">
        <f>IFERROR(_xlfn.XLOOKUP(C445,'Agências de Rating Soberano'!$G$2:$G$22,'Agências de Rating Soberano'!$H$2:$H$22),NA())</f>
        <v>10</v>
      </c>
      <c r="N445" s="52">
        <f>IFERROR(_xlfn.XLOOKUP(E445,'Agências de Rating Soberano'!$J$2:$J$22,'Agências de Rating Soberano'!$K$2:$K$22),NA())</f>
        <v>10</v>
      </c>
      <c r="O445" s="52">
        <f>IFERROR(_xlfn.XLOOKUP(F445,'Agências de Rating Soberano'!$J$2:$J$22,'Agências de Rating Soberano'!$K$2:$K$22),NA())</f>
        <v>10</v>
      </c>
      <c r="P445" s="52">
        <f>IFERROR(_xlfn.XLOOKUP(H445,'Agências de Rating Soberano'!$J$2:$J$22,'Agências de Rating Soberano'!$K$2:$K$22),NA())</f>
        <v>9</v>
      </c>
      <c r="Q445" s="52">
        <f>IFERROR(_xlfn.XLOOKUP(I445,'Agências de Rating Soberano'!$J$2:$J$22,'Agências de Rating Soberano'!$K$2:$K$22),NA())</f>
        <v>9</v>
      </c>
    </row>
    <row r="446" spans="1:17" x14ac:dyDescent="0.3">
      <c r="A446" s="53">
        <f t="shared" si="13"/>
        <v>45260</v>
      </c>
      <c r="B446" t="str">
        <f>IFERROR(_xlfn.XLOOKUP($A446,Planilha2!$A$2:$A$34,Planilha2!C$2:C$34,"",-1),"")</f>
        <v>Ba2</v>
      </c>
      <c r="C446" t="str">
        <f>IFERROR(_xlfn.XLOOKUP($A446,Planilha2!$A$2:$A$34,Planilha2!D$2:D$34,"",-1),"")</f>
        <v>Ba2</v>
      </c>
      <c r="D446" t="str" cm="1">
        <f t="array" ref="D446">IF($A446&lt;MIN(Planilha2!$A$2:$A$34),"",_xlfn.LET(_xlpm.t,_xlfn.XLOOKUP($A446,Planilha2!$A$2:$A$34,Planilha2!$E$2:$E$34,"",-1),_xlfn.IFS(ISNUMBER(SEARCH("positiva",_xlpm.t)),"Positiva",ISNUMBER(SEARCH("negativa",_xlpm.t)),"Negativa",ISNUMBER(SEARCH("estável",_xlpm.t)),"Estável",TRUE,"n/d")))</f>
        <v>Estável</v>
      </c>
      <c r="E446" t="str">
        <f>IFERROR(_xlfn.XLOOKUP($A446,Planilha2!$J$2:$J$44,Planilha2!L$2:L$44,"",-1),"")</f>
        <v>BB</v>
      </c>
      <c r="F446" t="str">
        <f>IFERROR(_xlfn.XLOOKUP($A446,Planilha2!$J$2:$J$44,Planilha2!M$2:M$44,"",-1),"")</f>
        <v>BB</v>
      </c>
      <c r="G446" t="str" cm="1">
        <f t="array" ref="G446">IF($A446&lt;MIN(Planilha2!$J$2:$J$44),"",_xlfn.LET(_xlpm.t,_xlfn.XLOOKUP($A446,Planilha2!$J$2:$J$44,Planilha2!$N$2:$N$44,"",-1),_xlfn.IFS(ISNUMBER(SEARCH("positiva",_xlpm.t)),"Positiva",ISNUMBER(SEARCH("negativa",_xlpm.t)),"Negativa",ISNUMBER(SEARCH("estável",_xlpm.t)),"Estável",TRUE,"n/d")))</f>
        <v>Estável</v>
      </c>
      <c r="H446" t="str">
        <f>IFERROR(_xlfn.XLOOKUP($A446,Planilha2!$P$2:$P$38,Planilha2!R$2:R$38,"",-1),"")</f>
        <v>BB-</v>
      </c>
      <c r="I446" t="str">
        <f>IFERROR(_xlfn.XLOOKUP($A446,Planilha2!$P$2:$P$38,Planilha2!S$2:S$38,"",-1),"")</f>
        <v>BB-</v>
      </c>
      <c r="J446" t="str" cm="1">
        <f t="array" ref="J446">IF($A446&lt;MIN(Planilha2!$P$2:$P$38),"",_xlfn.LET(_xlpm.t,_xlfn.XLOOKUP($A446,Planilha2!$P$2:$P$38,Planilha2!$T$2:$T$38,"",-1),_xlfn.IFS(ISNUMBER(SEARCH("positiva",_xlpm.t)),"Positiva",ISNUMBER(SEARCH("negativa",_xlpm.t)),"Negativa",ISNUMBER(SEARCH("estável",_xlpm.t)),"Estável",TRUE,"n/d")))</f>
        <v>Positiva</v>
      </c>
      <c r="L446" s="52">
        <f>IFERROR(_xlfn.XLOOKUP(B446,'Agências de Rating Soberano'!$G$2:$G$22,'Agências de Rating Soberano'!$H$2:$H$22),NA())</f>
        <v>10</v>
      </c>
      <c r="M446" s="52">
        <f>IFERROR(_xlfn.XLOOKUP(C446,'Agências de Rating Soberano'!$G$2:$G$22,'Agências de Rating Soberano'!$H$2:$H$22),NA())</f>
        <v>10</v>
      </c>
      <c r="N446" s="52">
        <f>IFERROR(_xlfn.XLOOKUP(E446,'Agências de Rating Soberano'!$J$2:$J$22,'Agências de Rating Soberano'!$K$2:$K$22),NA())</f>
        <v>10</v>
      </c>
      <c r="O446" s="52">
        <f>IFERROR(_xlfn.XLOOKUP(F446,'Agências de Rating Soberano'!$J$2:$J$22,'Agências de Rating Soberano'!$K$2:$K$22),NA())</f>
        <v>10</v>
      </c>
      <c r="P446" s="52">
        <f>IFERROR(_xlfn.XLOOKUP(H446,'Agências de Rating Soberano'!$J$2:$J$22,'Agências de Rating Soberano'!$K$2:$K$22),NA())</f>
        <v>9</v>
      </c>
      <c r="Q446" s="52">
        <f>IFERROR(_xlfn.XLOOKUP(I446,'Agências de Rating Soberano'!$J$2:$J$22,'Agências de Rating Soberano'!$K$2:$K$22),NA())</f>
        <v>9</v>
      </c>
    </row>
    <row r="447" spans="1:17" x14ac:dyDescent="0.3">
      <c r="A447" s="53">
        <f t="shared" si="13"/>
        <v>45291</v>
      </c>
      <c r="B447" t="str">
        <f>IFERROR(_xlfn.XLOOKUP($A447,Planilha2!$A$2:$A$34,Planilha2!C$2:C$34,"",-1),"")</f>
        <v>Ba2</v>
      </c>
      <c r="C447" t="str">
        <f>IFERROR(_xlfn.XLOOKUP($A447,Planilha2!$A$2:$A$34,Planilha2!D$2:D$34,"",-1),"")</f>
        <v>Ba2</v>
      </c>
      <c r="D447" t="str" cm="1">
        <f t="array" ref="D447">IF($A447&lt;MIN(Planilha2!$A$2:$A$34),"",_xlfn.LET(_xlpm.t,_xlfn.XLOOKUP($A447,Planilha2!$A$2:$A$34,Planilha2!$E$2:$E$34,"",-1),_xlfn.IFS(ISNUMBER(SEARCH("positiva",_xlpm.t)),"Positiva",ISNUMBER(SEARCH("negativa",_xlpm.t)),"Negativa",ISNUMBER(SEARCH("estável",_xlpm.t)),"Estável",TRUE,"n/d")))</f>
        <v>Estável</v>
      </c>
      <c r="E447" t="str">
        <f>IFERROR(_xlfn.XLOOKUP($A447,Planilha2!$J$2:$J$44,Planilha2!L$2:L$44,"",-1),"")</f>
        <v>BB</v>
      </c>
      <c r="F447" t="str">
        <f>IFERROR(_xlfn.XLOOKUP($A447,Planilha2!$J$2:$J$44,Planilha2!M$2:M$44,"",-1),"")</f>
        <v>BB</v>
      </c>
      <c r="G447" t="str" cm="1">
        <f t="array" ref="G447">IF($A447&lt;MIN(Planilha2!$J$2:$J$44),"",_xlfn.LET(_xlpm.t,_xlfn.XLOOKUP($A447,Planilha2!$J$2:$J$44,Planilha2!$N$2:$N$44,"",-1),_xlfn.IFS(ISNUMBER(SEARCH("positiva",_xlpm.t)),"Positiva",ISNUMBER(SEARCH("negativa",_xlpm.t)),"Negativa",ISNUMBER(SEARCH("estável",_xlpm.t)),"Estável",TRUE,"n/d")))</f>
        <v>Estável</v>
      </c>
      <c r="H447" t="str">
        <f>IFERROR(_xlfn.XLOOKUP($A447,Planilha2!$P$2:$P$38,Planilha2!R$2:R$38,"",-1),"")</f>
        <v>BB</v>
      </c>
      <c r="I447" t="str">
        <f>IFERROR(_xlfn.XLOOKUP($A447,Planilha2!$P$2:$P$38,Planilha2!S$2:S$38,"",-1),"")</f>
        <v>BB</v>
      </c>
      <c r="J447" t="str" cm="1">
        <f t="array" ref="J447">IF($A447&lt;MIN(Planilha2!$P$2:$P$38),"",_xlfn.LET(_xlpm.t,_xlfn.XLOOKUP($A447,Planilha2!$P$2:$P$38,Planilha2!$T$2:$T$38,"",-1),_xlfn.IFS(ISNUMBER(SEARCH("positiva",_xlpm.t)),"Positiva",ISNUMBER(SEARCH("negativa",_xlpm.t)),"Negativa",ISNUMBER(SEARCH("estável",_xlpm.t)),"Estável",TRUE,"n/d")))</f>
        <v>Estável</v>
      </c>
      <c r="L447" s="52">
        <f>IFERROR(_xlfn.XLOOKUP(B447,'Agências de Rating Soberano'!$G$2:$G$22,'Agências de Rating Soberano'!$H$2:$H$22),NA())</f>
        <v>10</v>
      </c>
      <c r="M447" s="52">
        <f>IFERROR(_xlfn.XLOOKUP(C447,'Agências de Rating Soberano'!$G$2:$G$22,'Agências de Rating Soberano'!$H$2:$H$22),NA())</f>
        <v>10</v>
      </c>
      <c r="N447" s="52">
        <f>IFERROR(_xlfn.XLOOKUP(E447,'Agências de Rating Soberano'!$J$2:$J$22,'Agências de Rating Soberano'!$K$2:$K$22),NA())</f>
        <v>10</v>
      </c>
      <c r="O447" s="52">
        <f>IFERROR(_xlfn.XLOOKUP(F447,'Agências de Rating Soberano'!$J$2:$J$22,'Agências de Rating Soberano'!$K$2:$K$22),NA())</f>
        <v>10</v>
      </c>
      <c r="P447" s="52">
        <f>IFERROR(_xlfn.XLOOKUP(H447,'Agências de Rating Soberano'!$J$2:$J$22,'Agências de Rating Soberano'!$K$2:$K$22),NA())</f>
        <v>10</v>
      </c>
      <c r="Q447" s="52">
        <f>IFERROR(_xlfn.XLOOKUP(I447,'Agências de Rating Soberano'!$J$2:$J$22,'Agências de Rating Soberano'!$K$2:$K$22),NA())</f>
        <v>10</v>
      </c>
    </row>
    <row r="448" spans="1:17" x14ac:dyDescent="0.3">
      <c r="A448" s="53">
        <f t="shared" si="13"/>
        <v>45322</v>
      </c>
      <c r="B448" t="str">
        <f>IFERROR(_xlfn.XLOOKUP($A448,Planilha2!$A$2:$A$34,Planilha2!C$2:C$34,"",-1),"")</f>
        <v>Ba2</v>
      </c>
      <c r="C448" t="str">
        <f>IFERROR(_xlfn.XLOOKUP($A448,Planilha2!$A$2:$A$34,Planilha2!D$2:D$34,"",-1),"")</f>
        <v>Ba2</v>
      </c>
      <c r="D448" t="str" cm="1">
        <f t="array" ref="D448">IF($A448&lt;MIN(Planilha2!$A$2:$A$34),"",_xlfn.LET(_xlpm.t,_xlfn.XLOOKUP($A448,Planilha2!$A$2:$A$34,Planilha2!$E$2:$E$34,"",-1),_xlfn.IFS(ISNUMBER(SEARCH("positiva",_xlpm.t)),"Positiva",ISNUMBER(SEARCH("negativa",_xlpm.t)),"Negativa",ISNUMBER(SEARCH("estável",_xlpm.t)),"Estável",TRUE,"n/d")))</f>
        <v>Estável</v>
      </c>
      <c r="E448" t="str">
        <f>IFERROR(_xlfn.XLOOKUP($A448,Planilha2!$J$2:$J$44,Planilha2!L$2:L$44,"",-1),"")</f>
        <v>BB</v>
      </c>
      <c r="F448" t="str">
        <f>IFERROR(_xlfn.XLOOKUP($A448,Planilha2!$J$2:$J$44,Planilha2!M$2:M$44,"",-1),"")</f>
        <v>BB</v>
      </c>
      <c r="G448" t="str" cm="1">
        <f t="array" ref="G448">IF($A448&lt;MIN(Planilha2!$J$2:$J$44),"",_xlfn.LET(_xlpm.t,_xlfn.XLOOKUP($A448,Planilha2!$J$2:$J$44,Planilha2!$N$2:$N$44,"",-1),_xlfn.IFS(ISNUMBER(SEARCH("positiva",_xlpm.t)),"Positiva",ISNUMBER(SEARCH("negativa",_xlpm.t)),"Negativa",ISNUMBER(SEARCH("estável",_xlpm.t)),"Estável",TRUE,"n/d")))</f>
        <v>Estável</v>
      </c>
      <c r="H448" t="str">
        <f>IFERROR(_xlfn.XLOOKUP($A448,Planilha2!$P$2:$P$38,Planilha2!R$2:R$38,"",-1),"")</f>
        <v>BB</v>
      </c>
      <c r="I448" t="str">
        <f>IFERROR(_xlfn.XLOOKUP($A448,Planilha2!$P$2:$P$38,Planilha2!S$2:S$38,"",-1),"")</f>
        <v>BB</v>
      </c>
      <c r="J448" t="str" cm="1">
        <f t="array" ref="J448">IF($A448&lt;MIN(Planilha2!$P$2:$P$38),"",_xlfn.LET(_xlpm.t,_xlfn.XLOOKUP($A448,Planilha2!$P$2:$P$38,Planilha2!$T$2:$T$38,"",-1),_xlfn.IFS(ISNUMBER(SEARCH("positiva",_xlpm.t)),"Positiva",ISNUMBER(SEARCH("negativa",_xlpm.t)),"Negativa",ISNUMBER(SEARCH("estável",_xlpm.t)),"Estável",TRUE,"n/d")))</f>
        <v>Estável</v>
      </c>
      <c r="L448" s="52">
        <f>IFERROR(_xlfn.XLOOKUP(B448,'Agências de Rating Soberano'!$G$2:$G$22,'Agências de Rating Soberano'!$H$2:$H$22),NA())</f>
        <v>10</v>
      </c>
      <c r="M448" s="52">
        <f>IFERROR(_xlfn.XLOOKUP(C448,'Agências de Rating Soberano'!$G$2:$G$22,'Agências de Rating Soberano'!$H$2:$H$22),NA())</f>
        <v>10</v>
      </c>
      <c r="N448" s="52">
        <f>IFERROR(_xlfn.XLOOKUP(E448,'Agências de Rating Soberano'!$J$2:$J$22,'Agências de Rating Soberano'!$K$2:$K$22),NA())</f>
        <v>10</v>
      </c>
      <c r="O448" s="52">
        <f>IFERROR(_xlfn.XLOOKUP(F448,'Agências de Rating Soberano'!$J$2:$J$22,'Agências de Rating Soberano'!$K$2:$K$22),NA())</f>
        <v>10</v>
      </c>
      <c r="P448" s="52">
        <f>IFERROR(_xlfn.XLOOKUP(H448,'Agências de Rating Soberano'!$J$2:$J$22,'Agências de Rating Soberano'!$K$2:$K$22),NA())</f>
        <v>10</v>
      </c>
      <c r="Q448" s="52">
        <f>IFERROR(_xlfn.XLOOKUP(I448,'Agências de Rating Soberano'!$J$2:$J$22,'Agências de Rating Soberano'!$K$2:$K$22),NA())</f>
        <v>10</v>
      </c>
    </row>
    <row r="449" spans="1:17" x14ac:dyDescent="0.3">
      <c r="A449" s="53">
        <f t="shared" si="13"/>
        <v>45351</v>
      </c>
      <c r="B449" t="str">
        <f>IFERROR(_xlfn.XLOOKUP($A449,Planilha2!$A$2:$A$34,Planilha2!C$2:C$34,"",-1),"")</f>
        <v>Ba2</v>
      </c>
      <c r="C449" t="str">
        <f>IFERROR(_xlfn.XLOOKUP($A449,Planilha2!$A$2:$A$34,Planilha2!D$2:D$34,"",-1),"")</f>
        <v>Ba2</v>
      </c>
      <c r="D449" t="str" cm="1">
        <f t="array" ref="D449">IF($A449&lt;MIN(Planilha2!$A$2:$A$34),"",_xlfn.LET(_xlpm.t,_xlfn.XLOOKUP($A449,Planilha2!$A$2:$A$34,Planilha2!$E$2:$E$34,"",-1),_xlfn.IFS(ISNUMBER(SEARCH("positiva",_xlpm.t)),"Positiva",ISNUMBER(SEARCH("negativa",_xlpm.t)),"Negativa",ISNUMBER(SEARCH("estável",_xlpm.t)),"Estável",TRUE,"n/d")))</f>
        <v>Estável</v>
      </c>
      <c r="E449" t="str">
        <f>IFERROR(_xlfn.XLOOKUP($A449,Planilha2!$J$2:$J$44,Planilha2!L$2:L$44,"",-1),"")</f>
        <v>BB</v>
      </c>
      <c r="F449" t="str">
        <f>IFERROR(_xlfn.XLOOKUP($A449,Planilha2!$J$2:$J$44,Planilha2!M$2:M$44,"",-1),"")</f>
        <v>BB</v>
      </c>
      <c r="G449" t="str" cm="1">
        <f t="array" ref="G449">IF($A449&lt;MIN(Planilha2!$J$2:$J$44),"",_xlfn.LET(_xlpm.t,_xlfn.XLOOKUP($A449,Planilha2!$J$2:$J$44,Planilha2!$N$2:$N$44,"",-1),_xlfn.IFS(ISNUMBER(SEARCH("positiva",_xlpm.t)),"Positiva",ISNUMBER(SEARCH("negativa",_xlpm.t)),"Negativa",ISNUMBER(SEARCH("estável",_xlpm.t)),"Estável",TRUE,"n/d")))</f>
        <v>Estável</v>
      </c>
      <c r="H449" t="str">
        <f>IFERROR(_xlfn.XLOOKUP($A449,Planilha2!$P$2:$P$38,Planilha2!R$2:R$38,"",-1),"")</f>
        <v>BB</v>
      </c>
      <c r="I449" t="str">
        <f>IFERROR(_xlfn.XLOOKUP($A449,Planilha2!$P$2:$P$38,Planilha2!S$2:S$38,"",-1),"")</f>
        <v>BB</v>
      </c>
      <c r="J449" t="str" cm="1">
        <f t="array" ref="J449">IF($A449&lt;MIN(Planilha2!$P$2:$P$38),"",_xlfn.LET(_xlpm.t,_xlfn.XLOOKUP($A449,Planilha2!$P$2:$P$38,Planilha2!$T$2:$T$38,"",-1),_xlfn.IFS(ISNUMBER(SEARCH("positiva",_xlpm.t)),"Positiva",ISNUMBER(SEARCH("negativa",_xlpm.t)),"Negativa",ISNUMBER(SEARCH("estável",_xlpm.t)),"Estável",TRUE,"n/d")))</f>
        <v>Estável</v>
      </c>
      <c r="L449" s="52">
        <f>IFERROR(_xlfn.XLOOKUP(B449,'Agências de Rating Soberano'!$G$2:$G$22,'Agências de Rating Soberano'!$H$2:$H$22),NA())</f>
        <v>10</v>
      </c>
      <c r="M449" s="52">
        <f>IFERROR(_xlfn.XLOOKUP(C449,'Agências de Rating Soberano'!$G$2:$G$22,'Agências de Rating Soberano'!$H$2:$H$22),NA())</f>
        <v>10</v>
      </c>
      <c r="N449" s="52">
        <f>IFERROR(_xlfn.XLOOKUP(E449,'Agências de Rating Soberano'!$J$2:$J$22,'Agências de Rating Soberano'!$K$2:$K$22),NA())</f>
        <v>10</v>
      </c>
      <c r="O449" s="52">
        <f>IFERROR(_xlfn.XLOOKUP(F449,'Agências de Rating Soberano'!$J$2:$J$22,'Agências de Rating Soberano'!$K$2:$K$22),NA())</f>
        <v>10</v>
      </c>
      <c r="P449" s="52">
        <f>IFERROR(_xlfn.XLOOKUP(H449,'Agências de Rating Soberano'!$J$2:$J$22,'Agências de Rating Soberano'!$K$2:$K$22),NA())</f>
        <v>10</v>
      </c>
      <c r="Q449" s="52">
        <f>IFERROR(_xlfn.XLOOKUP(I449,'Agências de Rating Soberano'!$J$2:$J$22,'Agências de Rating Soberano'!$K$2:$K$22),NA())</f>
        <v>10</v>
      </c>
    </row>
    <row r="450" spans="1:17" x14ac:dyDescent="0.3">
      <c r="A450" s="53">
        <f t="shared" si="13"/>
        <v>45382</v>
      </c>
      <c r="B450" t="str">
        <f>IFERROR(_xlfn.XLOOKUP($A450,Planilha2!$A$2:$A$34,Planilha2!C$2:C$34,"",-1),"")</f>
        <v>Ba2</v>
      </c>
      <c r="C450" t="str">
        <f>IFERROR(_xlfn.XLOOKUP($A450,Planilha2!$A$2:$A$34,Planilha2!D$2:D$34,"",-1),"")</f>
        <v>Ba2</v>
      </c>
      <c r="D450" t="str" cm="1">
        <f t="array" ref="D450">IF($A450&lt;MIN(Planilha2!$A$2:$A$34),"",_xlfn.LET(_xlpm.t,_xlfn.XLOOKUP($A450,Planilha2!$A$2:$A$34,Planilha2!$E$2:$E$34,"",-1),_xlfn.IFS(ISNUMBER(SEARCH("positiva",_xlpm.t)),"Positiva",ISNUMBER(SEARCH("negativa",_xlpm.t)),"Negativa",ISNUMBER(SEARCH("estável",_xlpm.t)),"Estável",TRUE,"n/d")))</f>
        <v>Estável</v>
      </c>
      <c r="E450" t="str">
        <f>IFERROR(_xlfn.XLOOKUP($A450,Planilha2!$J$2:$J$44,Planilha2!L$2:L$44,"",-1),"")</f>
        <v>BB</v>
      </c>
      <c r="F450" t="str">
        <f>IFERROR(_xlfn.XLOOKUP($A450,Planilha2!$J$2:$J$44,Planilha2!M$2:M$44,"",-1),"")</f>
        <v>BB</v>
      </c>
      <c r="G450" t="str" cm="1">
        <f t="array" ref="G450">IF($A450&lt;MIN(Planilha2!$J$2:$J$44),"",_xlfn.LET(_xlpm.t,_xlfn.XLOOKUP($A450,Planilha2!$J$2:$J$44,Planilha2!$N$2:$N$44,"",-1),_xlfn.IFS(ISNUMBER(SEARCH("positiva",_xlpm.t)),"Positiva",ISNUMBER(SEARCH("negativa",_xlpm.t)),"Negativa",ISNUMBER(SEARCH("estável",_xlpm.t)),"Estável",TRUE,"n/d")))</f>
        <v>Estável</v>
      </c>
      <c r="H450" t="str">
        <f>IFERROR(_xlfn.XLOOKUP($A450,Planilha2!$P$2:$P$38,Planilha2!R$2:R$38,"",-1),"")</f>
        <v>BB</v>
      </c>
      <c r="I450" t="str">
        <f>IFERROR(_xlfn.XLOOKUP($A450,Planilha2!$P$2:$P$38,Planilha2!S$2:S$38,"",-1),"")</f>
        <v>BB</v>
      </c>
      <c r="J450" t="str" cm="1">
        <f t="array" ref="J450">IF($A450&lt;MIN(Planilha2!$P$2:$P$38),"",_xlfn.LET(_xlpm.t,_xlfn.XLOOKUP($A450,Planilha2!$P$2:$P$38,Planilha2!$T$2:$T$38,"",-1),_xlfn.IFS(ISNUMBER(SEARCH("positiva",_xlpm.t)),"Positiva",ISNUMBER(SEARCH("negativa",_xlpm.t)),"Negativa",ISNUMBER(SEARCH("estável",_xlpm.t)),"Estável",TRUE,"n/d")))</f>
        <v>Estável</v>
      </c>
      <c r="L450" s="52">
        <f>IFERROR(_xlfn.XLOOKUP(B450,'Agências de Rating Soberano'!$G$2:$G$22,'Agências de Rating Soberano'!$H$2:$H$22),NA())</f>
        <v>10</v>
      </c>
      <c r="M450" s="52">
        <f>IFERROR(_xlfn.XLOOKUP(C450,'Agências de Rating Soberano'!$G$2:$G$22,'Agências de Rating Soberano'!$H$2:$H$22),NA())</f>
        <v>10</v>
      </c>
      <c r="N450" s="52">
        <f>IFERROR(_xlfn.XLOOKUP(E450,'Agências de Rating Soberano'!$J$2:$J$22,'Agências de Rating Soberano'!$K$2:$K$22),NA())</f>
        <v>10</v>
      </c>
      <c r="O450" s="52">
        <f>IFERROR(_xlfn.XLOOKUP(F450,'Agências de Rating Soberano'!$J$2:$J$22,'Agências de Rating Soberano'!$K$2:$K$22),NA())</f>
        <v>10</v>
      </c>
      <c r="P450" s="52">
        <f>IFERROR(_xlfn.XLOOKUP(H450,'Agências de Rating Soberano'!$J$2:$J$22,'Agências de Rating Soberano'!$K$2:$K$22),NA())</f>
        <v>10</v>
      </c>
      <c r="Q450" s="52">
        <f>IFERROR(_xlfn.XLOOKUP(I450,'Agências de Rating Soberano'!$J$2:$J$22,'Agências de Rating Soberano'!$K$2:$K$22),NA())</f>
        <v>10</v>
      </c>
    </row>
    <row r="451" spans="1:17" x14ac:dyDescent="0.3">
      <c r="A451" s="53">
        <f t="shared" si="13"/>
        <v>45412</v>
      </c>
      <c r="B451" t="str">
        <f>IFERROR(_xlfn.XLOOKUP($A451,Planilha2!$A$2:$A$34,Planilha2!C$2:C$34,"",-1),"")</f>
        <v>Ba2</v>
      </c>
      <c r="C451" t="str">
        <f>IFERROR(_xlfn.XLOOKUP($A451,Planilha2!$A$2:$A$34,Planilha2!D$2:D$34,"",-1),"")</f>
        <v>Ba2</v>
      </c>
      <c r="D451" t="str" cm="1">
        <f t="array" ref="D451">IF($A451&lt;MIN(Planilha2!$A$2:$A$34),"",_xlfn.LET(_xlpm.t,_xlfn.XLOOKUP($A451,Planilha2!$A$2:$A$34,Planilha2!$E$2:$E$34,"",-1),_xlfn.IFS(ISNUMBER(SEARCH("positiva",_xlpm.t)),"Positiva",ISNUMBER(SEARCH("negativa",_xlpm.t)),"Negativa",ISNUMBER(SEARCH("estável",_xlpm.t)),"Estável",TRUE,"n/d")))</f>
        <v>Estável</v>
      </c>
      <c r="E451" t="str">
        <f>IFERROR(_xlfn.XLOOKUP($A451,Planilha2!$J$2:$J$44,Planilha2!L$2:L$44,"",-1),"")</f>
        <v>BB</v>
      </c>
      <c r="F451" t="str">
        <f>IFERROR(_xlfn.XLOOKUP($A451,Planilha2!$J$2:$J$44,Planilha2!M$2:M$44,"",-1),"")</f>
        <v>BB</v>
      </c>
      <c r="G451" t="str" cm="1">
        <f t="array" ref="G451">IF($A451&lt;MIN(Planilha2!$J$2:$J$44),"",_xlfn.LET(_xlpm.t,_xlfn.XLOOKUP($A451,Planilha2!$J$2:$J$44,Planilha2!$N$2:$N$44,"",-1),_xlfn.IFS(ISNUMBER(SEARCH("positiva",_xlpm.t)),"Positiva",ISNUMBER(SEARCH("negativa",_xlpm.t)),"Negativa",ISNUMBER(SEARCH("estável",_xlpm.t)),"Estável",TRUE,"n/d")))</f>
        <v>Estável</v>
      </c>
      <c r="H451" t="str">
        <f>IFERROR(_xlfn.XLOOKUP($A451,Planilha2!$P$2:$P$38,Planilha2!R$2:R$38,"",-1),"")</f>
        <v>BB</v>
      </c>
      <c r="I451" t="str">
        <f>IFERROR(_xlfn.XLOOKUP($A451,Planilha2!$P$2:$P$38,Planilha2!S$2:S$38,"",-1),"")</f>
        <v>BB</v>
      </c>
      <c r="J451" t="str" cm="1">
        <f t="array" ref="J451">IF($A451&lt;MIN(Planilha2!$P$2:$P$38),"",_xlfn.LET(_xlpm.t,_xlfn.XLOOKUP($A451,Planilha2!$P$2:$P$38,Planilha2!$T$2:$T$38,"",-1),_xlfn.IFS(ISNUMBER(SEARCH("positiva",_xlpm.t)),"Positiva",ISNUMBER(SEARCH("negativa",_xlpm.t)),"Negativa",ISNUMBER(SEARCH("estável",_xlpm.t)),"Estável",TRUE,"n/d")))</f>
        <v>Estável</v>
      </c>
      <c r="L451" s="52">
        <f>IFERROR(_xlfn.XLOOKUP(B451,'Agências de Rating Soberano'!$G$2:$G$22,'Agências de Rating Soberano'!$H$2:$H$22),NA())</f>
        <v>10</v>
      </c>
      <c r="M451" s="52">
        <f>IFERROR(_xlfn.XLOOKUP(C451,'Agências de Rating Soberano'!$G$2:$G$22,'Agências de Rating Soberano'!$H$2:$H$22),NA())</f>
        <v>10</v>
      </c>
      <c r="N451" s="52">
        <f>IFERROR(_xlfn.XLOOKUP(E451,'Agências de Rating Soberano'!$J$2:$J$22,'Agências de Rating Soberano'!$K$2:$K$22),NA())</f>
        <v>10</v>
      </c>
      <c r="O451" s="52">
        <f>IFERROR(_xlfn.XLOOKUP(F451,'Agências de Rating Soberano'!$J$2:$J$22,'Agências de Rating Soberano'!$K$2:$K$22),NA())</f>
        <v>10</v>
      </c>
      <c r="P451" s="52">
        <f>IFERROR(_xlfn.XLOOKUP(H451,'Agências de Rating Soberano'!$J$2:$J$22,'Agências de Rating Soberano'!$K$2:$K$22),NA())</f>
        <v>10</v>
      </c>
      <c r="Q451" s="52">
        <f>IFERROR(_xlfn.XLOOKUP(I451,'Agências de Rating Soberano'!$J$2:$J$22,'Agências de Rating Soberano'!$K$2:$K$22),NA())</f>
        <v>10</v>
      </c>
    </row>
    <row r="452" spans="1:17" x14ac:dyDescent="0.3">
      <c r="A452" s="53">
        <f t="shared" ref="A452:A480" si="14">EOMONTH(A451,1)</f>
        <v>45443</v>
      </c>
      <c r="B452" t="str">
        <f>IFERROR(_xlfn.XLOOKUP($A452,Planilha2!$A$2:$A$34,Planilha2!C$2:C$34,"",-1),"")</f>
        <v>Ba2</v>
      </c>
      <c r="C452" t="str">
        <f>IFERROR(_xlfn.XLOOKUP($A452,Planilha2!$A$2:$A$34,Planilha2!D$2:D$34,"",-1),"")</f>
        <v>Ba2</v>
      </c>
      <c r="D452" t="str" cm="1">
        <f t="array" ref="D452">IF($A452&lt;MIN(Planilha2!$A$2:$A$34),"",_xlfn.LET(_xlpm.t,_xlfn.XLOOKUP($A452,Planilha2!$A$2:$A$34,Planilha2!$E$2:$E$34,"",-1),_xlfn.IFS(ISNUMBER(SEARCH("positiva",_xlpm.t)),"Positiva",ISNUMBER(SEARCH("negativa",_xlpm.t)),"Negativa",ISNUMBER(SEARCH("estável",_xlpm.t)),"Estável",TRUE,"n/d")))</f>
        <v>Positiva</v>
      </c>
      <c r="E452" t="str">
        <f>IFERROR(_xlfn.XLOOKUP($A452,Planilha2!$J$2:$J$44,Planilha2!L$2:L$44,"",-1),"")</f>
        <v>BB</v>
      </c>
      <c r="F452" t="str">
        <f>IFERROR(_xlfn.XLOOKUP($A452,Planilha2!$J$2:$J$44,Planilha2!M$2:M$44,"",-1),"")</f>
        <v>BB</v>
      </c>
      <c r="G452" t="str" cm="1">
        <f t="array" ref="G452">IF($A452&lt;MIN(Planilha2!$J$2:$J$44),"",_xlfn.LET(_xlpm.t,_xlfn.XLOOKUP($A452,Planilha2!$J$2:$J$44,Planilha2!$N$2:$N$44,"",-1),_xlfn.IFS(ISNUMBER(SEARCH("positiva",_xlpm.t)),"Positiva",ISNUMBER(SEARCH("negativa",_xlpm.t)),"Negativa",ISNUMBER(SEARCH("estável",_xlpm.t)),"Estável",TRUE,"n/d")))</f>
        <v>Estável</v>
      </c>
      <c r="H452" t="str">
        <f>IFERROR(_xlfn.XLOOKUP($A452,Planilha2!$P$2:$P$38,Planilha2!R$2:R$38,"",-1),"")</f>
        <v>BB</v>
      </c>
      <c r="I452" t="str">
        <f>IFERROR(_xlfn.XLOOKUP($A452,Planilha2!$P$2:$P$38,Planilha2!S$2:S$38,"",-1),"")</f>
        <v>BB</v>
      </c>
      <c r="J452" t="str" cm="1">
        <f t="array" ref="J452">IF($A452&lt;MIN(Planilha2!$P$2:$P$38),"",_xlfn.LET(_xlpm.t,_xlfn.XLOOKUP($A452,Planilha2!$P$2:$P$38,Planilha2!$T$2:$T$38,"",-1),_xlfn.IFS(ISNUMBER(SEARCH("positiva",_xlpm.t)),"Positiva",ISNUMBER(SEARCH("negativa",_xlpm.t)),"Negativa",ISNUMBER(SEARCH("estável",_xlpm.t)),"Estável",TRUE,"n/d")))</f>
        <v>Estável</v>
      </c>
      <c r="L452" s="52">
        <f>IFERROR(_xlfn.XLOOKUP(B452,'Agências de Rating Soberano'!$G$2:$G$22,'Agências de Rating Soberano'!$H$2:$H$22),NA())</f>
        <v>10</v>
      </c>
      <c r="M452" s="52">
        <f>IFERROR(_xlfn.XLOOKUP(C452,'Agências de Rating Soberano'!$G$2:$G$22,'Agências de Rating Soberano'!$H$2:$H$22),NA())</f>
        <v>10</v>
      </c>
      <c r="N452" s="52">
        <f>IFERROR(_xlfn.XLOOKUP(E452,'Agências de Rating Soberano'!$J$2:$J$22,'Agências de Rating Soberano'!$K$2:$K$22),NA())</f>
        <v>10</v>
      </c>
      <c r="O452" s="52">
        <f>IFERROR(_xlfn.XLOOKUP(F452,'Agências de Rating Soberano'!$J$2:$J$22,'Agências de Rating Soberano'!$K$2:$K$22),NA())</f>
        <v>10</v>
      </c>
      <c r="P452" s="52">
        <f>IFERROR(_xlfn.XLOOKUP(H452,'Agências de Rating Soberano'!$J$2:$J$22,'Agências de Rating Soberano'!$K$2:$K$22),NA())</f>
        <v>10</v>
      </c>
      <c r="Q452" s="52">
        <f>IFERROR(_xlfn.XLOOKUP(I452,'Agências de Rating Soberano'!$J$2:$J$22,'Agências de Rating Soberano'!$K$2:$K$22),NA())</f>
        <v>10</v>
      </c>
    </row>
    <row r="453" spans="1:17" x14ac:dyDescent="0.3">
      <c r="A453" s="53">
        <f t="shared" si="14"/>
        <v>45473</v>
      </c>
      <c r="B453" t="str">
        <f>IFERROR(_xlfn.XLOOKUP($A453,Planilha2!$A$2:$A$34,Planilha2!C$2:C$34,"",-1),"")</f>
        <v>Ba2</v>
      </c>
      <c r="C453" t="str">
        <f>IFERROR(_xlfn.XLOOKUP($A453,Planilha2!$A$2:$A$34,Planilha2!D$2:D$34,"",-1),"")</f>
        <v>Ba2</v>
      </c>
      <c r="D453" t="str" cm="1">
        <f t="array" ref="D453">IF($A453&lt;MIN(Planilha2!$A$2:$A$34),"",_xlfn.LET(_xlpm.t,_xlfn.XLOOKUP($A453,Planilha2!$A$2:$A$34,Planilha2!$E$2:$E$34,"",-1),_xlfn.IFS(ISNUMBER(SEARCH("positiva",_xlpm.t)),"Positiva",ISNUMBER(SEARCH("negativa",_xlpm.t)),"Negativa",ISNUMBER(SEARCH("estável",_xlpm.t)),"Estável",TRUE,"n/d")))</f>
        <v>Positiva</v>
      </c>
      <c r="E453" t="str">
        <f>IFERROR(_xlfn.XLOOKUP($A453,Planilha2!$J$2:$J$44,Planilha2!L$2:L$44,"",-1),"")</f>
        <v>BB</v>
      </c>
      <c r="F453" t="str">
        <f>IFERROR(_xlfn.XLOOKUP($A453,Planilha2!$J$2:$J$44,Planilha2!M$2:M$44,"",-1),"")</f>
        <v>BB</v>
      </c>
      <c r="G453" t="str" cm="1">
        <f t="array" ref="G453">IF($A453&lt;MIN(Planilha2!$J$2:$J$44),"",_xlfn.LET(_xlpm.t,_xlfn.XLOOKUP($A453,Planilha2!$J$2:$J$44,Planilha2!$N$2:$N$44,"",-1),_xlfn.IFS(ISNUMBER(SEARCH("positiva",_xlpm.t)),"Positiva",ISNUMBER(SEARCH("negativa",_xlpm.t)),"Negativa",ISNUMBER(SEARCH("estável",_xlpm.t)),"Estável",TRUE,"n/d")))</f>
        <v>Estável</v>
      </c>
      <c r="H453" t="str">
        <f>IFERROR(_xlfn.XLOOKUP($A453,Planilha2!$P$2:$P$38,Planilha2!R$2:R$38,"",-1),"")</f>
        <v>BB</v>
      </c>
      <c r="I453" t="str">
        <f>IFERROR(_xlfn.XLOOKUP($A453,Planilha2!$P$2:$P$38,Planilha2!S$2:S$38,"",-1),"")</f>
        <v>BB</v>
      </c>
      <c r="J453" t="str" cm="1">
        <f t="array" ref="J453">IF($A453&lt;MIN(Planilha2!$P$2:$P$38),"",_xlfn.LET(_xlpm.t,_xlfn.XLOOKUP($A453,Planilha2!$P$2:$P$38,Planilha2!$T$2:$T$38,"",-1),_xlfn.IFS(ISNUMBER(SEARCH("positiva",_xlpm.t)),"Positiva",ISNUMBER(SEARCH("negativa",_xlpm.t)),"Negativa",ISNUMBER(SEARCH("estável",_xlpm.t)),"Estável",TRUE,"n/d")))</f>
        <v>Estável</v>
      </c>
      <c r="L453" s="52">
        <f>IFERROR(_xlfn.XLOOKUP(B453,'Agências de Rating Soberano'!$G$2:$G$22,'Agências de Rating Soberano'!$H$2:$H$22),NA())</f>
        <v>10</v>
      </c>
      <c r="M453" s="52">
        <f>IFERROR(_xlfn.XLOOKUP(C453,'Agências de Rating Soberano'!$G$2:$G$22,'Agências de Rating Soberano'!$H$2:$H$22),NA())</f>
        <v>10</v>
      </c>
      <c r="N453" s="52">
        <f>IFERROR(_xlfn.XLOOKUP(E453,'Agências de Rating Soberano'!$J$2:$J$22,'Agências de Rating Soberano'!$K$2:$K$22),NA())</f>
        <v>10</v>
      </c>
      <c r="O453" s="52">
        <f>IFERROR(_xlfn.XLOOKUP(F453,'Agências de Rating Soberano'!$J$2:$J$22,'Agências de Rating Soberano'!$K$2:$K$22),NA())</f>
        <v>10</v>
      </c>
      <c r="P453" s="52">
        <f>IFERROR(_xlfn.XLOOKUP(H453,'Agências de Rating Soberano'!$J$2:$J$22,'Agências de Rating Soberano'!$K$2:$K$22),NA())</f>
        <v>10</v>
      </c>
      <c r="Q453" s="52">
        <f>IFERROR(_xlfn.XLOOKUP(I453,'Agências de Rating Soberano'!$J$2:$J$22,'Agências de Rating Soberano'!$K$2:$K$22),NA())</f>
        <v>10</v>
      </c>
    </row>
    <row r="454" spans="1:17" x14ac:dyDescent="0.3">
      <c r="A454" s="53">
        <f t="shared" si="14"/>
        <v>45504</v>
      </c>
      <c r="B454" t="str">
        <f>IFERROR(_xlfn.XLOOKUP($A454,Planilha2!$A$2:$A$34,Planilha2!C$2:C$34,"",-1),"")</f>
        <v>Ba2</v>
      </c>
      <c r="C454" t="str">
        <f>IFERROR(_xlfn.XLOOKUP($A454,Planilha2!$A$2:$A$34,Planilha2!D$2:D$34,"",-1),"")</f>
        <v>Ba2</v>
      </c>
      <c r="D454" t="str" cm="1">
        <f t="array" ref="D454">IF($A454&lt;MIN(Planilha2!$A$2:$A$34),"",_xlfn.LET(_xlpm.t,_xlfn.XLOOKUP($A454,Planilha2!$A$2:$A$34,Planilha2!$E$2:$E$34,"",-1),_xlfn.IFS(ISNUMBER(SEARCH("positiva",_xlpm.t)),"Positiva",ISNUMBER(SEARCH("negativa",_xlpm.t)),"Negativa",ISNUMBER(SEARCH("estável",_xlpm.t)),"Estável",TRUE,"n/d")))</f>
        <v>Positiva</v>
      </c>
      <c r="E454" t="str">
        <f>IFERROR(_xlfn.XLOOKUP($A454,Planilha2!$J$2:$J$44,Planilha2!L$2:L$44,"",-1),"")</f>
        <v>BB</v>
      </c>
      <c r="F454" t="str">
        <f>IFERROR(_xlfn.XLOOKUP($A454,Planilha2!$J$2:$J$44,Planilha2!M$2:M$44,"",-1),"")</f>
        <v>BB</v>
      </c>
      <c r="G454" t="str" cm="1">
        <f t="array" ref="G454">IF($A454&lt;MIN(Planilha2!$J$2:$J$44),"",_xlfn.LET(_xlpm.t,_xlfn.XLOOKUP($A454,Planilha2!$J$2:$J$44,Planilha2!$N$2:$N$44,"",-1),_xlfn.IFS(ISNUMBER(SEARCH("positiva",_xlpm.t)),"Positiva",ISNUMBER(SEARCH("negativa",_xlpm.t)),"Negativa",ISNUMBER(SEARCH("estável",_xlpm.t)),"Estável",TRUE,"n/d")))</f>
        <v>Estável</v>
      </c>
      <c r="H454" t="str">
        <f>IFERROR(_xlfn.XLOOKUP($A454,Planilha2!$P$2:$P$38,Planilha2!R$2:R$38,"",-1),"")</f>
        <v>BB</v>
      </c>
      <c r="I454" t="str">
        <f>IFERROR(_xlfn.XLOOKUP($A454,Planilha2!$P$2:$P$38,Planilha2!S$2:S$38,"",-1),"")</f>
        <v>BB</v>
      </c>
      <c r="J454" t="str" cm="1">
        <f t="array" ref="J454">IF($A454&lt;MIN(Planilha2!$P$2:$P$38),"",_xlfn.LET(_xlpm.t,_xlfn.XLOOKUP($A454,Planilha2!$P$2:$P$38,Planilha2!$T$2:$T$38,"",-1),_xlfn.IFS(ISNUMBER(SEARCH("positiva",_xlpm.t)),"Positiva",ISNUMBER(SEARCH("negativa",_xlpm.t)),"Negativa",ISNUMBER(SEARCH("estável",_xlpm.t)),"Estável",TRUE,"n/d")))</f>
        <v>Estável</v>
      </c>
      <c r="L454" s="52">
        <f>IFERROR(_xlfn.XLOOKUP(B454,'Agências de Rating Soberano'!$G$2:$G$22,'Agências de Rating Soberano'!$H$2:$H$22),NA())</f>
        <v>10</v>
      </c>
      <c r="M454" s="52">
        <f>IFERROR(_xlfn.XLOOKUP(C454,'Agências de Rating Soberano'!$G$2:$G$22,'Agências de Rating Soberano'!$H$2:$H$22),NA())</f>
        <v>10</v>
      </c>
      <c r="N454" s="52">
        <f>IFERROR(_xlfn.XLOOKUP(E454,'Agências de Rating Soberano'!$J$2:$J$22,'Agências de Rating Soberano'!$K$2:$K$22),NA())</f>
        <v>10</v>
      </c>
      <c r="O454" s="52">
        <f>IFERROR(_xlfn.XLOOKUP(F454,'Agências de Rating Soberano'!$J$2:$J$22,'Agências de Rating Soberano'!$K$2:$K$22),NA())</f>
        <v>10</v>
      </c>
      <c r="P454" s="52">
        <f>IFERROR(_xlfn.XLOOKUP(H454,'Agências de Rating Soberano'!$J$2:$J$22,'Agências de Rating Soberano'!$K$2:$K$22),NA())</f>
        <v>10</v>
      </c>
      <c r="Q454" s="52">
        <f>IFERROR(_xlfn.XLOOKUP(I454,'Agências de Rating Soberano'!$J$2:$J$22,'Agências de Rating Soberano'!$K$2:$K$22),NA())</f>
        <v>10</v>
      </c>
    </row>
    <row r="455" spans="1:17" x14ac:dyDescent="0.3">
      <c r="A455" s="53">
        <f t="shared" si="14"/>
        <v>45535</v>
      </c>
      <c r="B455" t="str">
        <f>IFERROR(_xlfn.XLOOKUP($A455,Planilha2!$A$2:$A$34,Planilha2!C$2:C$34,"",-1),"")</f>
        <v>Ba2</v>
      </c>
      <c r="C455" t="str">
        <f>IFERROR(_xlfn.XLOOKUP($A455,Planilha2!$A$2:$A$34,Planilha2!D$2:D$34,"",-1),"")</f>
        <v>Ba2</v>
      </c>
      <c r="D455" t="str" cm="1">
        <f t="array" ref="D455">IF($A455&lt;MIN(Planilha2!$A$2:$A$34),"",_xlfn.LET(_xlpm.t,_xlfn.XLOOKUP($A455,Planilha2!$A$2:$A$34,Planilha2!$E$2:$E$34,"",-1),_xlfn.IFS(ISNUMBER(SEARCH("positiva",_xlpm.t)),"Positiva",ISNUMBER(SEARCH("negativa",_xlpm.t)),"Negativa",ISNUMBER(SEARCH("estável",_xlpm.t)),"Estável",TRUE,"n/d")))</f>
        <v>Positiva</v>
      </c>
      <c r="E455" t="str">
        <f>IFERROR(_xlfn.XLOOKUP($A455,Planilha2!$J$2:$J$44,Planilha2!L$2:L$44,"",-1),"")</f>
        <v>BB</v>
      </c>
      <c r="F455" t="str">
        <f>IFERROR(_xlfn.XLOOKUP($A455,Planilha2!$J$2:$J$44,Planilha2!M$2:M$44,"",-1),"")</f>
        <v>BB</v>
      </c>
      <c r="G455" t="str" cm="1">
        <f t="array" ref="G455">IF($A455&lt;MIN(Planilha2!$J$2:$J$44),"",_xlfn.LET(_xlpm.t,_xlfn.XLOOKUP($A455,Planilha2!$J$2:$J$44,Planilha2!$N$2:$N$44,"",-1),_xlfn.IFS(ISNUMBER(SEARCH("positiva",_xlpm.t)),"Positiva",ISNUMBER(SEARCH("negativa",_xlpm.t)),"Negativa",ISNUMBER(SEARCH("estável",_xlpm.t)),"Estável",TRUE,"n/d")))</f>
        <v>Estável</v>
      </c>
      <c r="H455" t="str">
        <f>IFERROR(_xlfn.XLOOKUP($A455,Planilha2!$P$2:$P$38,Planilha2!R$2:R$38,"",-1),"")</f>
        <v>BB</v>
      </c>
      <c r="I455" t="str">
        <f>IFERROR(_xlfn.XLOOKUP($A455,Planilha2!$P$2:$P$38,Planilha2!S$2:S$38,"",-1),"")</f>
        <v>BB</v>
      </c>
      <c r="J455" t="str" cm="1">
        <f t="array" ref="J455">IF($A455&lt;MIN(Planilha2!$P$2:$P$38),"",_xlfn.LET(_xlpm.t,_xlfn.XLOOKUP($A455,Planilha2!$P$2:$P$38,Planilha2!$T$2:$T$38,"",-1),_xlfn.IFS(ISNUMBER(SEARCH("positiva",_xlpm.t)),"Positiva",ISNUMBER(SEARCH("negativa",_xlpm.t)),"Negativa",ISNUMBER(SEARCH("estável",_xlpm.t)),"Estável",TRUE,"n/d")))</f>
        <v>Estável</v>
      </c>
      <c r="L455" s="52">
        <f>IFERROR(_xlfn.XLOOKUP(B455,'Agências de Rating Soberano'!$G$2:$G$22,'Agências de Rating Soberano'!$H$2:$H$22),NA())</f>
        <v>10</v>
      </c>
      <c r="M455" s="52">
        <f>IFERROR(_xlfn.XLOOKUP(C455,'Agências de Rating Soberano'!$G$2:$G$22,'Agências de Rating Soberano'!$H$2:$H$22),NA())</f>
        <v>10</v>
      </c>
      <c r="N455" s="52">
        <f>IFERROR(_xlfn.XLOOKUP(E455,'Agências de Rating Soberano'!$J$2:$J$22,'Agências de Rating Soberano'!$K$2:$K$22),NA())</f>
        <v>10</v>
      </c>
      <c r="O455" s="52">
        <f>IFERROR(_xlfn.XLOOKUP(F455,'Agências de Rating Soberano'!$J$2:$J$22,'Agências de Rating Soberano'!$K$2:$K$22),NA())</f>
        <v>10</v>
      </c>
      <c r="P455" s="52">
        <f>IFERROR(_xlfn.XLOOKUP(H455,'Agências de Rating Soberano'!$J$2:$J$22,'Agências de Rating Soberano'!$K$2:$K$22),NA())</f>
        <v>10</v>
      </c>
      <c r="Q455" s="52">
        <f>IFERROR(_xlfn.XLOOKUP(I455,'Agências de Rating Soberano'!$J$2:$J$22,'Agências de Rating Soberano'!$K$2:$K$22),NA())</f>
        <v>10</v>
      </c>
    </row>
    <row r="456" spans="1:17" x14ac:dyDescent="0.3">
      <c r="A456" s="53">
        <f t="shared" si="14"/>
        <v>45565</v>
      </c>
      <c r="B456" t="str">
        <f>IFERROR(_xlfn.XLOOKUP($A456,Planilha2!$A$2:$A$34,Planilha2!C$2:C$34,"",-1),"")</f>
        <v>Ba2</v>
      </c>
      <c r="C456" t="str">
        <f>IFERROR(_xlfn.XLOOKUP($A456,Planilha2!$A$2:$A$34,Planilha2!D$2:D$34,"",-1),"")</f>
        <v>Ba2</v>
      </c>
      <c r="D456" t="str" cm="1">
        <f t="array" ref="D456">IF($A456&lt;MIN(Planilha2!$A$2:$A$34),"",_xlfn.LET(_xlpm.t,_xlfn.XLOOKUP($A456,Planilha2!$A$2:$A$34,Planilha2!$E$2:$E$34,"",-1),_xlfn.IFS(ISNUMBER(SEARCH("positiva",_xlpm.t)),"Positiva",ISNUMBER(SEARCH("negativa",_xlpm.t)),"Negativa",ISNUMBER(SEARCH("estável",_xlpm.t)),"Estável",TRUE,"n/d")))</f>
        <v>Positiva</v>
      </c>
      <c r="E456" t="str">
        <f>IFERROR(_xlfn.XLOOKUP($A456,Planilha2!$J$2:$J$44,Planilha2!L$2:L$44,"",-1),"")</f>
        <v>BB</v>
      </c>
      <c r="F456" t="str">
        <f>IFERROR(_xlfn.XLOOKUP($A456,Planilha2!$J$2:$J$44,Planilha2!M$2:M$44,"",-1),"")</f>
        <v>BB</v>
      </c>
      <c r="G456" t="str" cm="1">
        <f t="array" ref="G456">IF($A456&lt;MIN(Planilha2!$J$2:$J$44),"",_xlfn.LET(_xlpm.t,_xlfn.XLOOKUP($A456,Planilha2!$J$2:$J$44,Planilha2!$N$2:$N$44,"",-1),_xlfn.IFS(ISNUMBER(SEARCH("positiva",_xlpm.t)),"Positiva",ISNUMBER(SEARCH("negativa",_xlpm.t)),"Negativa",ISNUMBER(SEARCH("estável",_xlpm.t)),"Estável",TRUE,"n/d")))</f>
        <v>Estável</v>
      </c>
      <c r="H456" t="str">
        <f>IFERROR(_xlfn.XLOOKUP($A456,Planilha2!$P$2:$P$38,Planilha2!R$2:R$38,"",-1),"")</f>
        <v>BB</v>
      </c>
      <c r="I456" t="str">
        <f>IFERROR(_xlfn.XLOOKUP($A456,Planilha2!$P$2:$P$38,Planilha2!S$2:S$38,"",-1),"")</f>
        <v>BB</v>
      </c>
      <c r="J456" t="str" cm="1">
        <f t="array" ref="J456">IF($A456&lt;MIN(Planilha2!$P$2:$P$38),"",_xlfn.LET(_xlpm.t,_xlfn.XLOOKUP($A456,Planilha2!$P$2:$P$38,Planilha2!$T$2:$T$38,"",-1),_xlfn.IFS(ISNUMBER(SEARCH("positiva",_xlpm.t)),"Positiva",ISNUMBER(SEARCH("negativa",_xlpm.t)),"Negativa",ISNUMBER(SEARCH("estável",_xlpm.t)),"Estável",TRUE,"n/d")))</f>
        <v>Estável</v>
      </c>
      <c r="L456" s="52">
        <f>IFERROR(_xlfn.XLOOKUP(B456,'Agências de Rating Soberano'!$G$2:$G$22,'Agências de Rating Soberano'!$H$2:$H$22),NA())</f>
        <v>10</v>
      </c>
      <c r="M456" s="52">
        <f>IFERROR(_xlfn.XLOOKUP(C456,'Agências de Rating Soberano'!$G$2:$G$22,'Agências de Rating Soberano'!$H$2:$H$22),NA())</f>
        <v>10</v>
      </c>
      <c r="N456" s="52">
        <f>IFERROR(_xlfn.XLOOKUP(E456,'Agências de Rating Soberano'!$J$2:$J$22,'Agências de Rating Soberano'!$K$2:$K$22),NA())</f>
        <v>10</v>
      </c>
      <c r="O456" s="52">
        <f>IFERROR(_xlfn.XLOOKUP(F456,'Agências de Rating Soberano'!$J$2:$J$22,'Agências de Rating Soberano'!$K$2:$K$22),NA())</f>
        <v>10</v>
      </c>
      <c r="P456" s="52">
        <f>IFERROR(_xlfn.XLOOKUP(H456,'Agências de Rating Soberano'!$J$2:$J$22,'Agências de Rating Soberano'!$K$2:$K$22),NA())</f>
        <v>10</v>
      </c>
      <c r="Q456" s="52">
        <f>IFERROR(_xlfn.XLOOKUP(I456,'Agências de Rating Soberano'!$J$2:$J$22,'Agências de Rating Soberano'!$K$2:$K$22),NA())</f>
        <v>10</v>
      </c>
    </row>
    <row r="457" spans="1:17" x14ac:dyDescent="0.3">
      <c r="A457" s="53">
        <f t="shared" si="14"/>
        <v>45596</v>
      </c>
      <c r="B457" t="str">
        <f>IFERROR(_xlfn.XLOOKUP($A457,Planilha2!$A$2:$A$34,Planilha2!C$2:C$34,"",-1),"")</f>
        <v>Ba1</v>
      </c>
      <c r="C457" t="str">
        <f>IFERROR(_xlfn.XLOOKUP($A457,Planilha2!$A$2:$A$34,Planilha2!D$2:D$34,"",-1),"")</f>
        <v>Ba1</v>
      </c>
      <c r="D457" t="str" cm="1">
        <f t="array" ref="D457">IF($A457&lt;MIN(Planilha2!$A$2:$A$34),"",_xlfn.LET(_xlpm.t,_xlfn.XLOOKUP($A457,Planilha2!$A$2:$A$34,Planilha2!$E$2:$E$34,"",-1),_xlfn.IFS(ISNUMBER(SEARCH("positiva",_xlpm.t)),"Positiva",ISNUMBER(SEARCH("negativa",_xlpm.t)),"Negativa",ISNUMBER(SEARCH("estável",_xlpm.t)),"Estável",TRUE,"n/d")))</f>
        <v>Positiva</v>
      </c>
      <c r="E457" t="str">
        <f>IFERROR(_xlfn.XLOOKUP($A457,Planilha2!$J$2:$J$44,Planilha2!L$2:L$44,"",-1),"")</f>
        <v>BB</v>
      </c>
      <c r="F457" t="str">
        <f>IFERROR(_xlfn.XLOOKUP($A457,Planilha2!$J$2:$J$44,Planilha2!M$2:M$44,"",-1),"")</f>
        <v>BB</v>
      </c>
      <c r="G457" t="str" cm="1">
        <f t="array" ref="G457">IF($A457&lt;MIN(Planilha2!$J$2:$J$44),"",_xlfn.LET(_xlpm.t,_xlfn.XLOOKUP($A457,Planilha2!$J$2:$J$44,Planilha2!$N$2:$N$44,"",-1),_xlfn.IFS(ISNUMBER(SEARCH("positiva",_xlpm.t)),"Positiva",ISNUMBER(SEARCH("negativa",_xlpm.t)),"Negativa",ISNUMBER(SEARCH("estável",_xlpm.t)),"Estável",TRUE,"n/d")))</f>
        <v>Estável</v>
      </c>
      <c r="H457" t="str">
        <f>IFERROR(_xlfn.XLOOKUP($A457,Planilha2!$P$2:$P$38,Planilha2!R$2:R$38,"",-1),"")</f>
        <v>BB</v>
      </c>
      <c r="I457" t="str">
        <f>IFERROR(_xlfn.XLOOKUP($A457,Planilha2!$P$2:$P$38,Planilha2!S$2:S$38,"",-1),"")</f>
        <v>BB</v>
      </c>
      <c r="J457" t="str" cm="1">
        <f t="array" ref="J457">IF($A457&lt;MIN(Planilha2!$P$2:$P$38),"",_xlfn.LET(_xlpm.t,_xlfn.XLOOKUP($A457,Planilha2!$P$2:$P$38,Planilha2!$T$2:$T$38,"",-1),_xlfn.IFS(ISNUMBER(SEARCH("positiva",_xlpm.t)),"Positiva",ISNUMBER(SEARCH("negativa",_xlpm.t)),"Negativa",ISNUMBER(SEARCH("estável",_xlpm.t)),"Estável",TRUE,"n/d")))</f>
        <v>Estável</v>
      </c>
      <c r="L457" s="52">
        <f>IFERROR(_xlfn.XLOOKUP(B457,'Agências de Rating Soberano'!$G$2:$G$22,'Agências de Rating Soberano'!$H$2:$H$22),NA())</f>
        <v>11</v>
      </c>
      <c r="M457" s="52">
        <f>IFERROR(_xlfn.XLOOKUP(C457,'Agências de Rating Soberano'!$G$2:$G$22,'Agências de Rating Soberano'!$H$2:$H$22),NA())</f>
        <v>11</v>
      </c>
      <c r="N457" s="52">
        <f>IFERROR(_xlfn.XLOOKUP(E457,'Agências de Rating Soberano'!$J$2:$J$22,'Agências de Rating Soberano'!$K$2:$K$22),NA())</f>
        <v>10</v>
      </c>
      <c r="O457" s="52">
        <f>IFERROR(_xlfn.XLOOKUP(F457,'Agências de Rating Soberano'!$J$2:$J$22,'Agências de Rating Soberano'!$K$2:$K$22),NA())</f>
        <v>10</v>
      </c>
      <c r="P457" s="52">
        <f>IFERROR(_xlfn.XLOOKUP(H457,'Agências de Rating Soberano'!$J$2:$J$22,'Agências de Rating Soberano'!$K$2:$K$22),NA())</f>
        <v>10</v>
      </c>
      <c r="Q457" s="52">
        <f>IFERROR(_xlfn.XLOOKUP(I457,'Agências de Rating Soberano'!$J$2:$J$22,'Agências de Rating Soberano'!$K$2:$K$22),NA())</f>
        <v>10</v>
      </c>
    </row>
    <row r="458" spans="1:17" x14ac:dyDescent="0.3">
      <c r="A458" s="53">
        <f t="shared" si="14"/>
        <v>45626</v>
      </c>
      <c r="B458" t="str">
        <f>IFERROR(_xlfn.XLOOKUP($A458,Planilha2!$A$2:$A$34,Planilha2!C$2:C$34,"",-1),"")</f>
        <v>Ba1</v>
      </c>
      <c r="C458" t="str">
        <f>IFERROR(_xlfn.XLOOKUP($A458,Planilha2!$A$2:$A$34,Planilha2!D$2:D$34,"",-1),"")</f>
        <v>Ba1</v>
      </c>
      <c r="D458" t="str" cm="1">
        <f t="array" ref="D458">IF($A458&lt;MIN(Planilha2!$A$2:$A$34),"",_xlfn.LET(_xlpm.t,_xlfn.XLOOKUP($A458,Planilha2!$A$2:$A$34,Planilha2!$E$2:$E$34,"",-1),_xlfn.IFS(ISNUMBER(SEARCH("positiva",_xlpm.t)),"Positiva",ISNUMBER(SEARCH("negativa",_xlpm.t)),"Negativa",ISNUMBER(SEARCH("estável",_xlpm.t)),"Estável",TRUE,"n/d")))</f>
        <v>Positiva</v>
      </c>
      <c r="E458" t="str">
        <f>IFERROR(_xlfn.XLOOKUP($A458,Planilha2!$J$2:$J$44,Planilha2!L$2:L$44,"",-1),"")</f>
        <v>BB</v>
      </c>
      <c r="F458" t="str">
        <f>IFERROR(_xlfn.XLOOKUP($A458,Planilha2!$J$2:$J$44,Planilha2!M$2:M$44,"",-1),"")</f>
        <v>BB</v>
      </c>
      <c r="G458" t="str" cm="1">
        <f t="array" ref="G458">IF($A458&lt;MIN(Planilha2!$J$2:$J$44),"",_xlfn.LET(_xlpm.t,_xlfn.XLOOKUP($A458,Planilha2!$J$2:$J$44,Planilha2!$N$2:$N$44,"",-1),_xlfn.IFS(ISNUMBER(SEARCH("positiva",_xlpm.t)),"Positiva",ISNUMBER(SEARCH("negativa",_xlpm.t)),"Negativa",ISNUMBER(SEARCH("estável",_xlpm.t)),"Estável",TRUE,"n/d")))</f>
        <v>Estável</v>
      </c>
      <c r="H458" t="str">
        <f>IFERROR(_xlfn.XLOOKUP($A458,Planilha2!$P$2:$P$38,Planilha2!R$2:R$38,"",-1),"")</f>
        <v>BB</v>
      </c>
      <c r="I458" t="str">
        <f>IFERROR(_xlfn.XLOOKUP($A458,Planilha2!$P$2:$P$38,Planilha2!S$2:S$38,"",-1),"")</f>
        <v>BB</v>
      </c>
      <c r="J458" t="str" cm="1">
        <f t="array" ref="J458">IF($A458&lt;MIN(Planilha2!$P$2:$P$38),"",_xlfn.LET(_xlpm.t,_xlfn.XLOOKUP($A458,Planilha2!$P$2:$P$38,Planilha2!$T$2:$T$38,"",-1),_xlfn.IFS(ISNUMBER(SEARCH("positiva",_xlpm.t)),"Positiva",ISNUMBER(SEARCH("negativa",_xlpm.t)),"Negativa",ISNUMBER(SEARCH("estável",_xlpm.t)),"Estável",TRUE,"n/d")))</f>
        <v>Estável</v>
      </c>
      <c r="L458" s="52">
        <f>IFERROR(_xlfn.XLOOKUP(B458,'Agências de Rating Soberano'!$G$2:$G$22,'Agências de Rating Soberano'!$H$2:$H$22),NA())</f>
        <v>11</v>
      </c>
      <c r="M458" s="52">
        <f>IFERROR(_xlfn.XLOOKUP(C458,'Agências de Rating Soberano'!$G$2:$G$22,'Agências de Rating Soberano'!$H$2:$H$22),NA())</f>
        <v>11</v>
      </c>
      <c r="N458" s="52">
        <f>IFERROR(_xlfn.XLOOKUP(E458,'Agências de Rating Soberano'!$J$2:$J$22,'Agências de Rating Soberano'!$K$2:$K$22),NA())</f>
        <v>10</v>
      </c>
      <c r="O458" s="52">
        <f>IFERROR(_xlfn.XLOOKUP(F458,'Agências de Rating Soberano'!$J$2:$J$22,'Agências de Rating Soberano'!$K$2:$K$22),NA())</f>
        <v>10</v>
      </c>
      <c r="P458" s="52">
        <f>IFERROR(_xlfn.XLOOKUP(H458,'Agências de Rating Soberano'!$J$2:$J$22,'Agências de Rating Soberano'!$K$2:$K$22),NA())</f>
        <v>10</v>
      </c>
      <c r="Q458" s="52">
        <f>IFERROR(_xlfn.XLOOKUP(I458,'Agências de Rating Soberano'!$J$2:$J$22,'Agências de Rating Soberano'!$K$2:$K$22),NA())</f>
        <v>10</v>
      </c>
    </row>
    <row r="459" spans="1:17" x14ac:dyDescent="0.3">
      <c r="A459" s="53">
        <f t="shared" si="14"/>
        <v>45657</v>
      </c>
      <c r="B459" t="str">
        <f>IFERROR(_xlfn.XLOOKUP($A459,Planilha2!$A$2:$A$34,Planilha2!C$2:C$34,"",-1),"")</f>
        <v>Ba1</v>
      </c>
      <c r="C459" t="str">
        <f>IFERROR(_xlfn.XLOOKUP($A459,Planilha2!$A$2:$A$34,Planilha2!D$2:D$34,"",-1),"")</f>
        <v>Ba1</v>
      </c>
      <c r="D459" t="str" cm="1">
        <f t="array" ref="D459">IF($A459&lt;MIN(Planilha2!$A$2:$A$34),"",_xlfn.LET(_xlpm.t,_xlfn.XLOOKUP($A459,Planilha2!$A$2:$A$34,Planilha2!$E$2:$E$34,"",-1),_xlfn.IFS(ISNUMBER(SEARCH("positiva",_xlpm.t)),"Positiva",ISNUMBER(SEARCH("negativa",_xlpm.t)),"Negativa",ISNUMBER(SEARCH("estável",_xlpm.t)),"Estável",TRUE,"n/d")))</f>
        <v>Positiva</v>
      </c>
      <c r="E459" t="str">
        <f>IFERROR(_xlfn.XLOOKUP($A459,Planilha2!$J$2:$J$44,Planilha2!L$2:L$44,"",-1),"")</f>
        <v>BB</v>
      </c>
      <c r="F459" t="str">
        <f>IFERROR(_xlfn.XLOOKUP($A459,Planilha2!$J$2:$J$44,Planilha2!M$2:M$44,"",-1),"")</f>
        <v>BB</v>
      </c>
      <c r="G459" t="str" cm="1">
        <f t="array" ref="G459">IF($A459&lt;MIN(Planilha2!$J$2:$J$44),"",_xlfn.LET(_xlpm.t,_xlfn.XLOOKUP($A459,Planilha2!$J$2:$J$44,Planilha2!$N$2:$N$44,"",-1),_xlfn.IFS(ISNUMBER(SEARCH("positiva",_xlpm.t)),"Positiva",ISNUMBER(SEARCH("negativa",_xlpm.t)),"Negativa",ISNUMBER(SEARCH("estável",_xlpm.t)),"Estável",TRUE,"n/d")))</f>
        <v>Estável</v>
      </c>
      <c r="H459" t="str">
        <f>IFERROR(_xlfn.XLOOKUP($A459,Planilha2!$P$2:$P$38,Planilha2!R$2:R$38,"",-1),"")</f>
        <v>BB</v>
      </c>
      <c r="I459" t="str">
        <f>IFERROR(_xlfn.XLOOKUP($A459,Planilha2!$P$2:$P$38,Planilha2!S$2:S$38,"",-1),"")</f>
        <v>BB</v>
      </c>
      <c r="J459" t="str" cm="1">
        <f t="array" ref="J459">IF($A459&lt;MIN(Planilha2!$P$2:$P$38),"",_xlfn.LET(_xlpm.t,_xlfn.XLOOKUP($A459,Planilha2!$P$2:$P$38,Planilha2!$T$2:$T$38,"",-1),_xlfn.IFS(ISNUMBER(SEARCH("positiva",_xlpm.t)),"Positiva",ISNUMBER(SEARCH("negativa",_xlpm.t)),"Negativa",ISNUMBER(SEARCH("estável",_xlpm.t)),"Estável",TRUE,"n/d")))</f>
        <v>Estável</v>
      </c>
      <c r="L459" s="52">
        <f>IFERROR(_xlfn.XLOOKUP(B459,'Agências de Rating Soberano'!$G$2:$G$22,'Agências de Rating Soberano'!$H$2:$H$22),NA())</f>
        <v>11</v>
      </c>
      <c r="M459" s="52">
        <f>IFERROR(_xlfn.XLOOKUP(C459,'Agências de Rating Soberano'!$G$2:$G$22,'Agências de Rating Soberano'!$H$2:$H$22),NA())</f>
        <v>11</v>
      </c>
      <c r="N459" s="52">
        <f>IFERROR(_xlfn.XLOOKUP(E459,'Agências de Rating Soberano'!$J$2:$J$22,'Agências de Rating Soberano'!$K$2:$K$22),NA())</f>
        <v>10</v>
      </c>
      <c r="O459" s="52">
        <f>IFERROR(_xlfn.XLOOKUP(F459,'Agências de Rating Soberano'!$J$2:$J$22,'Agências de Rating Soberano'!$K$2:$K$22),NA())</f>
        <v>10</v>
      </c>
      <c r="P459" s="52">
        <f>IFERROR(_xlfn.XLOOKUP(H459,'Agências de Rating Soberano'!$J$2:$J$22,'Agências de Rating Soberano'!$K$2:$K$22),NA())</f>
        <v>10</v>
      </c>
      <c r="Q459" s="52">
        <f>IFERROR(_xlfn.XLOOKUP(I459,'Agências de Rating Soberano'!$J$2:$J$22,'Agências de Rating Soberano'!$K$2:$K$22),NA())</f>
        <v>10</v>
      </c>
    </row>
    <row r="460" spans="1:17" x14ac:dyDescent="0.3">
      <c r="A460" s="53">
        <f t="shared" si="14"/>
        <v>45688</v>
      </c>
      <c r="B460" t="str">
        <f>IFERROR(_xlfn.XLOOKUP($A460,Planilha2!$A$2:$A$34,Planilha2!C$2:C$34,"",-1),"")</f>
        <v>Ba1</v>
      </c>
      <c r="C460" t="str">
        <f>IFERROR(_xlfn.XLOOKUP($A460,Planilha2!$A$2:$A$34,Planilha2!D$2:D$34,"",-1),"")</f>
        <v>Ba1</v>
      </c>
      <c r="D460" t="str" cm="1">
        <f t="array" ref="D460">IF($A460&lt;MIN(Planilha2!$A$2:$A$34),"",_xlfn.LET(_xlpm.t,_xlfn.XLOOKUP($A460,Planilha2!$A$2:$A$34,Planilha2!$E$2:$E$34,"",-1),_xlfn.IFS(ISNUMBER(SEARCH("positiva",_xlpm.t)),"Positiva",ISNUMBER(SEARCH("negativa",_xlpm.t)),"Negativa",ISNUMBER(SEARCH("estável",_xlpm.t)),"Estável",TRUE,"n/d")))</f>
        <v>Positiva</v>
      </c>
      <c r="E460" t="str">
        <f>IFERROR(_xlfn.XLOOKUP($A460,Planilha2!$J$2:$J$44,Planilha2!L$2:L$44,"",-1),"")</f>
        <v>BB</v>
      </c>
      <c r="F460" t="str">
        <f>IFERROR(_xlfn.XLOOKUP($A460,Planilha2!$J$2:$J$44,Planilha2!M$2:M$44,"",-1),"")</f>
        <v>BB</v>
      </c>
      <c r="G460" t="str" cm="1">
        <f t="array" ref="G460">IF($A460&lt;MIN(Planilha2!$J$2:$J$44),"",_xlfn.LET(_xlpm.t,_xlfn.XLOOKUP($A460,Planilha2!$J$2:$J$44,Planilha2!$N$2:$N$44,"",-1),_xlfn.IFS(ISNUMBER(SEARCH("positiva",_xlpm.t)),"Positiva",ISNUMBER(SEARCH("negativa",_xlpm.t)),"Negativa",ISNUMBER(SEARCH("estável",_xlpm.t)),"Estável",TRUE,"n/d")))</f>
        <v>Estável</v>
      </c>
      <c r="H460" t="str">
        <f>IFERROR(_xlfn.XLOOKUP($A460,Planilha2!$P$2:$P$38,Planilha2!R$2:R$38,"",-1),"")</f>
        <v>BB</v>
      </c>
      <c r="I460" t="str">
        <f>IFERROR(_xlfn.XLOOKUP($A460,Planilha2!$P$2:$P$38,Planilha2!S$2:S$38,"",-1),"")</f>
        <v>BB</v>
      </c>
      <c r="J460" t="str" cm="1">
        <f t="array" ref="J460">IF($A460&lt;MIN(Planilha2!$P$2:$P$38),"",_xlfn.LET(_xlpm.t,_xlfn.XLOOKUP($A460,Planilha2!$P$2:$P$38,Planilha2!$T$2:$T$38,"",-1),_xlfn.IFS(ISNUMBER(SEARCH("positiva",_xlpm.t)),"Positiva",ISNUMBER(SEARCH("negativa",_xlpm.t)),"Negativa",ISNUMBER(SEARCH("estável",_xlpm.t)),"Estável",TRUE,"n/d")))</f>
        <v>Estável</v>
      </c>
      <c r="L460" s="52">
        <f>IFERROR(_xlfn.XLOOKUP(B460,'Agências de Rating Soberano'!$G$2:$G$22,'Agências de Rating Soberano'!$H$2:$H$22),NA())</f>
        <v>11</v>
      </c>
      <c r="M460" s="52">
        <f>IFERROR(_xlfn.XLOOKUP(C460,'Agências de Rating Soberano'!$G$2:$G$22,'Agências de Rating Soberano'!$H$2:$H$22),NA())</f>
        <v>11</v>
      </c>
      <c r="N460" s="52">
        <f>IFERROR(_xlfn.XLOOKUP(E460,'Agências de Rating Soberano'!$J$2:$J$22,'Agências de Rating Soberano'!$K$2:$K$22),NA())</f>
        <v>10</v>
      </c>
      <c r="O460" s="52">
        <f>IFERROR(_xlfn.XLOOKUP(F460,'Agências de Rating Soberano'!$J$2:$J$22,'Agências de Rating Soberano'!$K$2:$K$22),NA())</f>
        <v>10</v>
      </c>
      <c r="P460" s="52">
        <f>IFERROR(_xlfn.XLOOKUP(H460,'Agências de Rating Soberano'!$J$2:$J$22,'Agências de Rating Soberano'!$K$2:$K$22),NA())</f>
        <v>10</v>
      </c>
      <c r="Q460" s="52">
        <f>IFERROR(_xlfn.XLOOKUP(I460,'Agências de Rating Soberano'!$J$2:$J$22,'Agências de Rating Soberano'!$K$2:$K$22),NA())</f>
        <v>10</v>
      </c>
    </row>
    <row r="461" spans="1:17" x14ac:dyDescent="0.3">
      <c r="A461" s="53">
        <f t="shared" si="14"/>
        <v>45716</v>
      </c>
      <c r="B461" t="str">
        <f>IFERROR(_xlfn.XLOOKUP($A461,Planilha2!$A$2:$A$34,Planilha2!C$2:C$34,"",-1),"")</f>
        <v>Ba1</v>
      </c>
      <c r="C461" t="str">
        <f>IFERROR(_xlfn.XLOOKUP($A461,Planilha2!$A$2:$A$34,Planilha2!D$2:D$34,"",-1),"")</f>
        <v>Ba1</v>
      </c>
      <c r="D461" t="str" cm="1">
        <f t="array" ref="D461">IF($A461&lt;MIN(Planilha2!$A$2:$A$34),"",_xlfn.LET(_xlpm.t,_xlfn.XLOOKUP($A461,Planilha2!$A$2:$A$34,Planilha2!$E$2:$E$34,"",-1),_xlfn.IFS(ISNUMBER(SEARCH("positiva",_xlpm.t)),"Positiva",ISNUMBER(SEARCH("negativa",_xlpm.t)),"Negativa",ISNUMBER(SEARCH("estável",_xlpm.t)),"Estável",TRUE,"n/d")))</f>
        <v>Positiva</v>
      </c>
      <c r="E461" t="str">
        <f>IFERROR(_xlfn.XLOOKUP($A461,Planilha2!$J$2:$J$44,Planilha2!L$2:L$44,"",-1),"")</f>
        <v>BB</v>
      </c>
      <c r="F461" t="str">
        <f>IFERROR(_xlfn.XLOOKUP($A461,Planilha2!$J$2:$J$44,Planilha2!M$2:M$44,"",-1),"")</f>
        <v>BB</v>
      </c>
      <c r="G461" t="str" cm="1">
        <f t="array" ref="G461">IF($A461&lt;MIN(Planilha2!$J$2:$J$44),"",_xlfn.LET(_xlpm.t,_xlfn.XLOOKUP($A461,Planilha2!$J$2:$J$44,Planilha2!$N$2:$N$44,"",-1),_xlfn.IFS(ISNUMBER(SEARCH("positiva",_xlpm.t)),"Positiva",ISNUMBER(SEARCH("negativa",_xlpm.t)),"Negativa",ISNUMBER(SEARCH("estável",_xlpm.t)),"Estável",TRUE,"n/d")))</f>
        <v>Estável</v>
      </c>
      <c r="H461" t="str">
        <f>IFERROR(_xlfn.XLOOKUP($A461,Planilha2!$P$2:$P$38,Planilha2!R$2:R$38,"",-1),"")</f>
        <v>BB</v>
      </c>
      <c r="I461" t="str">
        <f>IFERROR(_xlfn.XLOOKUP($A461,Planilha2!$P$2:$P$38,Planilha2!S$2:S$38,"",-1),"")</f>
        <v>BB</v>
      </c>
      <c r="J461" t="str" cm="1">
        <f t="array" ref="J461">IF($A461&lt;MIN(Planilha2!$P$2:$P$38),"",_xlfn.LET(_xlpm.t,_xlfn.XLOOKUP($A461,Planilha2!$P$2:$P$38,Planilha2!$T$2:$T$38,"",-1),_xlfn.IFS(ISNUMBER(SEARCH("positiva",_xlpm.t)),"Positiva",ISNUMBER(SEARCH("negativa",_xlpm.t)),"Negativa",ISNUMBER(SEARCH("estável",_xlpm.t)),"Estável",TRUE,"n/d")))</f>
        <v>Estável</v>
      </c>
      <c r="L461" s="52">
        <f>IFERROR(_xlfn.XLOOKUP(B461,'Agências de Rating Soberano'!$G$2:$G$22,'Agências de Rating Soberano'!$H$2:$H$22),NA())</f>
        <v>11</v>
      </c>
      <c r="M461" s="52">
        <f>IFERROR(_xlfn.XLOOKUP(C461,'Agências de Rating Soberano'!$G$2:$G$22,'Agências de Rating Soberano'!$H$2:$H$22),NA())</f>
        <v>11</v>
      </c>
      <c r="N461" s="52">
        <f>IFERROR(_xlfn.XLOOKUP(E461,'Agências de Rating Soberano'!$J$2:$J$22,'Agências de Rating Soberano'!$K$2:$K$22),NA())</f>
        <v>10</v>
      </c>
      <c r="O461" s="52">
        <f>IFERROR(_xlfn.XLOOKUP(F461,'Agências de Rating Soberano'!$J$2:$J$22,'Agências de Rating Soberano'!$K$2:$K$22),NA())</f>
        <v>10</v>
      </c>
      <c r="P461" s="52">
        <f>IFERROR(_xlfn.XLOOKUP(H461,'Agências de Rating Soberano'!$J$2:$J$22,'Agências de Rating Soberano'!$K$2:$K$22),NA())</f>
        <v>10</v>
      </c>
      <c r="Q461" s="52">
        <f>IFERROR(_xlfn.XLOOKUP(I461,'Agências de Rating Soberano'!$J$2:$J$22,'Agências de Rating Soberano'!$K$2:$K$22),NA())</f>
        <v>10</v>
      </c>
    </row>
    <row r="462" spans="1:17" x14ac:dyDescent="0.3">
      <c r="A462" s="53">
        <f t="shared" si="14"/>
        <v>45747</v>
      </c>
      <c r="B462" t="str">
        <f>IFERROR(_xlfn.XLOOKUP($A462,Planilha2!$A$2:$A$34,Planilha2!C$2:C$34,"",-1),"")</f>
        <v>Ba1</v>
      </c>
      <c r="C462" t="str">
        <f>IFERROR(_xlfn.XLOOKUP($A462,Planilha2!$A$2:$A$34,Planilha2!D$2:D$34,"",-1),"")</f>
        <v>Ba1</v>
      </c>
      <c r="D462" t="str" cm="1">
        <f t="array" ref="D462">IF($A462&lt;MIN(Planilha2!$A$2:$A$34),"",_xlfn.LET(_xlpm.t,_xlfn.XLOOKUP($A462,Planilha2!$A$2:$A$34,Planilha2!$E$2:$E$34,"",-1),_xlfn.IFS(ISNUMBER(SEARCH("positiva",_xlpm.t)),"Positiva",ISNUMBER(SEARCH("negativa",_xlpm.t)),"Negativa",ISNUMBER(SEARCH("estável",_xlpm.t)),"Estável",TRUE,"n/d")))</f>
        <v>Positiva</v>
      </c>
      <c r="E462" t="str">
        <f>IFERROR(_xlfn.XLOOKUP($A462,Planilha2!$J$2:$J$44,Planilha2!L$2:L$44,"",-1),"")</f>
        <v>BB</v>
      </c>
      <c r="F462" t="str">
        <f>IFERROR(_xlfn.XLOOKUP($A462,Planilha2!$J$2:$J$44,Planilha2!M$2:M$44,"",-1),"")</f>
        <v>BB</v>
      </c>
      <c r="G462" t="str" cm="1">
        <f t="array" ref="G462">IF($A462&lt;MIN(Planilha2!$J$2:$J$44),"",_xlfn.LET(_xlpm.t,_xlfn.XLOOKUP($A462,Planilha2!$J$2:$J$44,Planilha2!$N$2:$N$44,"",-1),_xlfn.IFS(ISNUMBER(SEARCH("positiva",_xlpm.t)),"Positiva",ISNUMBER(SEARCH("negativa",_xlpm.t)),"Negativa",ISNUMBER(SEARCH("estável",_xlpm.t)),"Estável",TRUE,"n/d")))</f>
        <v>Estável</v>
      </c>
      <c r="H462" t="str">
        <f>IFERROR(_xlfn.XLOOKUP($A462,Planilha2!$P$2:$P$38,Planilha2!R$2:R$38,"",-1),"")</f>
        <v>BB</v>
      </c>
      <c r="I462" t="str">
        <f>IFERROR(_xlfn.XLOOKUP($A462,Planilha2!$P$2:$P$38,Planilha2!S$2:S$38,"",-1),"")</f>
        <v>BB</v>
      </c>
      <c r="J462" t="str" cm="1">
        <f t="array" ref="J462">IF($A462&lt;MIN(Planilha2!$P$2:$P$38),"",_xlfn.LET(_xlpm.t,_xlfn.XLOOKUP($A462,Planilha2!$P$2:$P$38,Planilha2!$T$2:$T$38,"",-1),_xlfn.IFS(ISNUMBER(SEARCH("positiva",_xlpm.t)),"Positiva",ISNUMBER(SEARCH("negativa",_xlpm.t)),"Negativa",ISNUMBER(SEARCH("estável",_xlpm.t)),"Estável",TRUE,"n/d")))</f>
        <v>Estável</v>
      </c>
      <c r="L462" s="52">
        <f>IFERROR(_xlfn.XLOOKUP(B462,'Agências de Rating Soberano'!$G$2:$G$22,'Agências de Rating Soberano'!$H$2:$H$22),NA())</f>
        <v>11</v>
      </c>
      <c r="M462" s="52">
        <f>IFERROR(_xlfn.XLOOKUP(C462,'Agências de Rating Soberano'!$G$2:$G$22,'Agências de Rating Soberano'!$H$2:$H$22),NA())</f>
        <v>11</v>
      </c>
      <c r="N462" s="52">
        <f>IFERROR(_xlfn.XLOOKUP(E462,'Agências de Rating Soberano'!$J$2:$J$22,'Agências de Rating Soberano'!$K$2:$K$22),NA())</f>
        <v>10</v>
      </c>
      <c r="O462" s="52">
        <f>IFERROR(_xlfn.XLOOKUP(F462,'Agências de Rating Soberano'!$J$2:$J$22,'Agências de Rating Soberano'!$K$2:$K$22),NA())</f>
        <v>10</v>
      </c>
      <c r="P462" s="52">
        <f>IFERROR(_xlfn.XLOOKUP(H462,'Agências de Rating Soberano'!$J$2:$J$22,'Agências de Rating Soberano'!$K$2:$K$22),NA())</f>
        <v>10</v>
      </c>
      <c r="Q462" s="52">
        <f>IFERROR(_xlfn.XLOOKUP(I462,'Agências de Rating Soberano'!$J$2:$J$22,'Agências de Rating Soberano'!$K$2:$K$22),NA())</f>
        <v>10</v>
      </c>
    </row>
    <row r="463" spans="1:17" x14ac:dyDescent="0.3">
      <c r="A463" s="53">
        <f t="shared" si="14"/>
        <v>45777</v>
      </c>
      <c r="B463" t="str">
        <f>IFERROR(_xlfn.XLOOKUP($A463,Planilha2!$A$2:$A$34,Planilha2!C$2:C$34,"",-1),"")</f>
        <v>Ba1</v>
      </c>
      <c r="C463" t="str">
        <f>IFERROR(_xlfn.XLOOKUP($A463,Planilha2!$A$2:$A$34,Planilha2!D$2:D$34,"",-1),"")</f>
        <v>Ba1</v>
      </c>
      <c r="D463" t="str" cm="1">
        <f t="array" ref="D463">IF($A463&lt;MIN(Planilha2!$A$2:$A$34),"",_xlfn.LET(_xlpm.t,_xlfn.XLOOKUP($A463,Planilha2!$A$2:$A$34,Planilha2!$E$2:$E$34,"",-1),_xlfn.IFS(ISNUMBER(SEARCH("positiva",_xlpm.t)),"Positiva",ISNUMBER(SEARCH("negativa",_xlpm.t)),"Negativa",ISNUMBER(SEARCH("estável",_xlpm.t)),"Estável",TRUE,"n/d")))</f>
        <v>Positiva</v>
      </c>
      <c r="E463" t="str">
        <f>IFERROR(_xlfn.XLOOKUP($A463,Planilha2!$J$2:$J$44,Planilha2!L$2:L$44,"",-1),"")</f>
        <v>BB</v>
      </c>
      <c r="F463" t="str">
        <f>IFERROR(_xlfn.XLOOKUP($A463,Planilha2!$J$2:$J$44,Planilha2!M$2:M$44,"",-1),"")</f>
        <v>BB</v>
      </c>
      <c r="G463" t="str" cm="1">
        <f t="array" ref="G463">IF($A463&lt;MIN(Planilha2!$J$2:$J$44),"",_xlfn.LET(_xlpm.t,_xlfn.XLOOKUP($A463,Planilha2!$J$2:$J$44,Planilha2!$N$2:$N$44,"",-1),_xlfn.IFS(ISNUMBER(SEARCH("positiva",_xlpm.t)),"Positiva",ISNUMBER(SEARCH("negativa",_xlpm.t)),"Negativa",ISNUMBER(SEARCH("estável",_xlpm.t)),"Estável",TRUE,"n/d")))</f>
        <v>Estável</v>
      </c>
      <c r="H463" t="str">
        <f>IFERROR(_xlfn.XLOOKUP($A463,Planilha2!$P$2:$P$38,Planilha2!R$2:R$38,"",-1),"")</f>
        <v>BB</v>
      </c>
      <c r="I463" t="str">
        <f>IFERROR(_xlfn.XLOOKUP($A463,Planilha2!$P$2:$P$38,Planilha2!S$2:S$38,"",-1),"")</f>
        <v>BB</v>
      </c>
      <c r="J463" t="str" cm="1">
        <f t="array" ref="J463">IF($A463&lt;MIN(Planilha2!$P$2:$P$38),"",_xlfn.LET(_xlpm.t,_xlfn.XLOOKUP($A463,Planilha2!$P$2:$P$38,Planilha2!$T$2:$T$38,"",-1),_xlfn.IFS(ISNUMBER(SEARCH("positiva",_xlpm.t)),"Positiva",ISNUMBER(SEARCH("negativa",_xlpm.t)),"Negativa",ISNUMBER(SEARCH("estável",_xlpm.t)),"Estável",TRUE,"n/d")))</f>
        <v>Estável</v>
      </c>
      <c r="L463" s="52">
        <f>IFERROR(_xlfn.XLOOKUP(B463,'Agências de Rating Soberano'!$G$2:$G$22,'Agências de Rating Soberano'!$H$2:$H$22),NA())</f>
        <v>11</v>
      </c>
      <c r="M463" s="52">
        <f>IFERROR(_xlfn.XLOOKUP(C463,'Agências de Rating Soberano'!$G$2:$G$22,'Agências de Rating Soberano'!$H$2:$H$22),NA())</f>
        <v>11</v>
      </c>
      <c r="N463" s="52">
        <f>IFERROR(_xlfn.XLOOKUP(E463,'Agências de Rating Soberano'!$J$2:$J$22,'Agências de Rating Soberano'!$K$2:$K$22),NA())</f>
        <v>10</v>
      </c>
      <c r="O463" s="52">
        <f>IFERROR(_xlfn.XLOOKUP(F463,'Agências de Rating Soberano'!$J$2:$J$22,'Agências de Rating Soberano'!$K$2:$K$22),NA())</f>
        <v>10</v>
      </c>
      <c r="P463" s="52">
        <f>IFERROR(_xlfn.XLOOKUP(H463,'Agências de Rating Soberano'!$J$2:$J$22,'Agências de Rating Soberano'!$K$2:$K$22),NA())</f>
        <v>10</v>
      </c>
      <c r="Q463" s="52">
        <f>IFERROR(_xlfn.XLOOKUP(I463,'Agências de Rating Soberano'!$J$2:$J$22,'Agências de Rating Soberano'!$K$2:$K$22),NA())</f>
        <v>10</v>
      </c>
    </row>
    <row r="464" spans="1:17" x14ac:dyDescent="0.3">
      <c r="A464" s="53">
        <f t="shared" si="14"/>
        <v>45808</v>
      </c>
      <c r="B464" t="str">
        <f>IFERROR(_xlfn.XLOOKUP($A464,Planilha2!$A$2:$A$34,Planilha2!C$2:C$34,"",-1),"")</f>
        <v>Ba1</v>
      </c>
      <c r="C464" t="str">
        <f>IFERROR(_xlfn.XLOOKUP($A464,Planilha2!$A$2:$A$34,Planilha2!D$2:D$34,"",-1),"")</f>
        <v>Ba1</v>
      </c>
      <c r="D464" t="str" cm="1">
        <f t="array" ref="D464">IF($A464&lt;MIN(Planilha2!$A$2:$A$34),"",_xlfn.LET(_xlpm.t,_xlfn.XLOOKUP($A464,Planilha2!$A$2:$A$34,Planilha2!$E$2:$E$34,"",-1),_xlfn.IFS(ISNUMBER(SEARCH("positiva",_xlpm.t)),"Positiva",ISNUMBER(SEARCH("negativa",_xlpm.t)),"Negativa",ISNUMBER(SEARCH("estável",_xlpm.t)),"Estável",TRUE,"n/d")))</f>
        <v>Estável</v>
      </c>
      <c r="E464" t="str">
        <f>IFERROR(_xlfn.XLOOKUP($A464,Planilha2!$J$2:$J$44,Planilha2!L$2:L$44,"",-1),"")</f>
        <v>BB</v>
      </c>
      <c r="F464" t="str">
        <f>IFERROR(_xlfn.XLOOKUP($A464,Planilha2!$J$2:$J$44,Planilha2!M$2:M$44,"",-1),"")</f>
        <v>BB</v>
      </c>
      <c r="G464" t="str" cm="1">
        <f t="array" ref="G464">IF($A464&lt;MIN(Planilha2!$J$2:$J$44),"",_xlfn.LET(_xlpm.t,_xlfn.XLOOKUP($A464,Planilha2!$J$2:$J$44,Planilha2!$N$2:$N$44,"",-1),_xlfn.IFS(ISNUMBER(SEARCH("positiva",_xlpm.t)),"Positiva",ISNUMBER(SEARCH("negativa",_xlpm.t)),"Negativa",ISNUMBER(SEARCH("estável",_xlpm.t)),"Estável",TRUE,"n/d")))</f>
        <v>Estável</v>
      </c>
      <c r="H464" t="str">
        <f>IFERROR(_xlfn.XLOOKUP($A464,Planilha2!$P$2:$P$38,Planilha2!R$2:R$38,"",-1),"")</f>
        <v>BB</v>
      </c>
      <c r="I464" t="str">
        <f>IFERROR(_xlfn.XLOOKUP($A464,Planilha2!$P$2:$P$38,Planilha2!S$2:S$38,"",-1),"")</f>
        <v>BB</v>
      </c>
      <c r="J464" t="str" cm="1">
        <f t="array" ref="J464">IF($A464&lt;MIN(Planilha2!$P$2:$P$38),"",_xlfn.LET(_xlpm.t,_xlfn.XLOOKUP($A464,Planilha2!$P$2:$P$38,Planilha2!$T$2:$T$38,"",-1),_xlfn.IFS(ISNUMBER(SEARCH("positiva",_xlpm.t)),"Positiva",ISNUMBER(SEARCH("negativa",_xlpm.t)),"Negativa",ISNUMBER(SEARCH("estável",_xlpm.t)),"Estável",TRUE,"n/d")))</f>
        <v>Estável</v>
      </c>
      <c r="L464" s="52">
        <f>IFERROR(_xlfn.XLOOKUP(B464,'Agências de Rating Soberano'!$G$2:$G$22,'Agências de Rating Soberano'!$H$2:$H$22),NA())</f>
        <v>11</v>
      </c>
      <c r="M464" s="52">
        <f>IFERROR(_xlfn.XLOOKUP(C464,'Agências de Rating Soberano'!$G$2:$G$22,'Agências de Rating Soberano'!$H$2:$H$22),NA())</f>
        <v>11</v>
      </c>
      <c r="N464" s="52">
        <f>IFERROR(_xlfn.XLOOKUP(E464,'Agências de Rating Soberano'!$J$2:$J$22,'Agências de Rating Soberano'!$K$2:$K$22),NA())</f>
        <v>10</v>
      </c>
      <c r="O464" s="52">
        <f>IFERROR(_xlfn.XLOOKUP(F464,'Agências de Rating Soberano'!$J$2:$J$22,'Agências de Rating Soberano'!$K$2:$K$22),NA())</f>
        <v>10</v>
      </c>
      <c r="P464" s="52">
        <f>IFERROR(_xlfn.XLOOKUP(H464,'Agências de Rating Soberano'!$J$2:$J$22,'Agências de Rating Soberano'!$K$2:$K$22),NA())</f>
        <v>10</v>
      </c>
      <c r="Q464" s="52">
        <f>IFERROR(_xlfn.XLOOKUP(I464,'Agências de Rating Soberano'!$J$2:$J$22,'Agências de Rating Soberano'!$K$2:$K$22),NA())</f>
        <v>10</v>
      </c>
    </row>
    <row r="465" spans="1:17" x14ac:dyDescent="0.3">
      <c r="A465" s="53">
        <f t="shared" si="14"/>
        <v>45838</v>
      </c>
      <c r="B465" t="str">
        <f>IFERROR(_xlfn.XLOOKUP($A465,Planilha2!$A$2:$A$34,Planilha2!C$2:C$34,"",-1),"")</f>
        <v>Ba1</v>
      </c>
      <c r="C465" t="str">
        <f>IFERROR(_xlfn.XLOOKUP($A465,Planilha2!$A$2:$A$34,Planilha2!D$2:D$34,"",-1),"")</f>
        <v>Ba1</v>
      </c>
      <c r="D465" t="str" cm="1">
        <f t="array" ref="D465">IF($A465&lt;MIN(Planilha2!$A$2:$A$34),"",_xlfn.LET(_xlpm.t,_xlfn.XLOOKUP($A465,Planilha2!$A$2:$A$34,Planilha2!$E$2:$E$34,"",-1),_xlfn.IFS(ISNUMBER(SEARCH("positiva",_xlpm.t)),"Positiva",ISNUMBER(SEARCH("negativa",_xlpm.t)),"Negativa",ISNUMBER(SEARCH("estável",_xlpm.t)),"Estável",TRUE,"n/d")))</f>
        <v>Estável</v>
      </c>
      <c r="E465" t="str">
        <f>IFERROR(_xlfn.XLOOKUP($A465,Planilha2!$J$2:$J$44,Planilha2!L$2:L$44,"",-1),"")</f>
        <v>BB</v>
      </c>
      <c r="F465" t="str">
        <f>IFERROR(_xlfn.XLOOKUP($A465,Planilha2!$J$2:$J$44,Planilha2!M$2:M$44,"",-1),"")</f>
        <v>BB</v>
      </c>
      <c r="G465" t="str" cm="1">
        <f t="array" ref="G465">IF($A465&lt;MIN(Planilha2!$J$2:$J$44),"",_xlfn.LET(_xlpm.t,_xlfn.XLOOKUP($A465,Planilha2!$J$2:$J$44,Planilha2!$N$2:$N$44,"",-1),_xlfn.IFS(ISNUMBER(SEARCH("positiva",_xlpm.t)),"Positiva",ISNUMBER(SEARCH("negativa",_xlpm.t)),"Negativa",ISNUMBER(SEARCH("estável",_xlpm.t)),"Estável",TRUE,"n/d")))</f>
        <v>Estável</v>
      </c>
      <c r="H465" t="str">
        <f>IFERROR(_xlfn.XLOOKUP($A465,Planilha2!$P$2:$P$38,Planilha2!R$2:R$38,"",-1),"")</f>
        <v>BB</v>
      </c>
      <c r="I465" t="str">
        <f>IFERROR(_xlfn.XLOOKUP($A465,Planilha2!$P$2:$P$38,Planilha2!S$2:S$38,"",-1),"")</f>
        <v>BB</v>
      </c>
      <c r="J465" t="str" cm="1">
        <f t="array" ref="J465">IF($A465&lt;MIN(Planilha2!$P$2:$P$38),"",_xlfn.LET(_xlpm.t,_xlfn.XLOOKUP($A465,Planilha2!$P$2:$P$38,Planilha2!$T$2:$T$38,"",-1),_xlfn.IFS(ISNUMBER(SEARCH("positiva",_xlpm.t)),"Positiva",ISNUMBER(SEARCH("negativa",_xlpm.t)),"Negativa",ISNUMBER(SEARCH("estável",_xlpm.t)),"Estável",TRUE,"n/d")))</f>
        <v>Estável</v>
      </c>
      <c r="L465" s="52">
        <f>IFERROR(_xlfn.XLOOKUP(B465,'Agências de Rating Soberano'!$G$2:$G$22,'Agências de Rating Soberano'!$H$2:$H$22),NA())</f>
        <v>11</v>
      </c>
      <c r="M465" s="52">
        <f>IFERROR(_xlfn.XLOOKUP(C465,'Agências de Rating Soberano'!$G$2:$G$22,'Agências de Rating Soberano'!$H$2:$H$22),NA())</f>
        <v>11</v>
      </c>
      <c r="N465" s="52">
        <f>IFERROR(_xlfn.XLOOKUP(E465,'Agências de Rating Soberano'!$J$2:$J$22,'Agências de Rating Soberano'!$K$2:$K$22),NA())</f>
        <v>10</v>
      </c>
      <c r="O465" s="52">
        <f>IFERROR(_xlfn.XLOOKUP(F465,'Agências de Rating Soberano'!$J$2:$J$22,'Agências de Rating Soberano'!$K$2:$K$22),NA())</f>
        <v>10</v>
      </c>
      <c r="P465" s="52">
        <f>IFERROR(_xlfn.XLOOKUP(H465,'Agências de Rating Soberano'!$J$2:$J$22,'Agências de Rating Soberano'!$K$2:$K$22),NA())</f>
        <v>10</v>
      </c>
      <c r="Q465" s="52">
        <f>IFERROR(_xlfn.XLOOKUP(I465,'Agências de Rating Soberano'!$J$2:$J$22,'Agências de Rating Soberano'!$K$2:$K$22),NA())</f>
        <v>10</v>
      </c>
    </row>
    <row r="466" spans="1:17" x14ac:dyDescent="0.3">
      <c r="A466" s="53">
        <f t="shared" si="14"/>
        <v>45869</v>
      </c>
      <c r="B466" t="str">
        <f>IFERROR(_xlfn.XLOOKUP($A466,Planilha2!$A$2:$A$34,Planilha2!C$2:C$34,"",-1),"")</f>
        <v>Ba1</v>
      </c>
      <c r="C466" t="str">
        <f>IFERROR(_xlfn.XLOOKUP($A466,Planilha2!$A$2:$A$34,Planilha2!D$2:D$34,"",-1),"")</f>
        <v>Ba1</v>
      </c>
      <c r="D466" t="str" cm="1">
        <f t="array" ref="D466">IF($A466&lt;MIN(Planilha2!$A$2:$A$34),"",_xlfn.LET(_xlpm.t,_xlfn.XLOOKUP($A466,Planilha2!$A$2:$A$34,Planilha2!$E$2:$E$34,"",-1),_xlfn.IFS(ISNUMBER(SEARCH("positiva",_xlpm.t)),"Positiva",ISNUMBER(SEARCH("negativa",_xlpm.t)),"Negativa",ISNUMBER(SEARCH("estável",_xlpm.t)),"Estável",TRUE,"n/d")))</f>
        <v>Estável</v>
      </c>
      <c r="E466" t="str">
        <f>IFERROR(_xlfn.XLOOKUP($A466,Planilha2!$J$2:$J$44,Planilha2!L$2:L$44,"",-1),"")</f>
        <v>BB</v>
      </c>
      <c r="F466" t="str">
        <f>IFERROR(_xlfn.XLOOKUP($A466,Planilha2!$J$2:$J$44,Planilha2!M$2:M$44,"",-1),"")</f>
        <v>BB</v>
      </c>
      <c r="G466" t="str" cm="1">
        <f t="array" ref="G466">IF($A466&lt;MIN(Planilha2!$J$2:$J$44),"",_xlfn.LET(_xlpm.t,_xlfn.XLOOKUP($A466,Planilha2!$J$2:$J$44,Planilha2!$N$2:$N$44,"",-1),_xlfn.IFS(ISNUMBER(SEARCH("positiva",_xlpm.t)),"Positiva",ISNUMBER(SEARCH("negativa",_xlpm.t)),"Negativa",ISNUMBER(SEARCH("estável",_xlpm.t)),"Estável",TRUE,"n/d")))</f>
        <v>Estável</v>
      </c>
      <c r="H466" t="str">
        <f>IFERROR(_xlfn.XLOOKUP($A466,Planilha2!$P$2:$P$38,Planilha2!R$2:R$38,"",-1),"")</f>
        <v>BB</v>
      </c>
      <c r="I466" t="str">
        <f>IFERROR(_xlfn.XLOOKUP($A466,Planilha2!$P$2:$P$38,Planilha2!S$2:S$38,"",-1),"")</f>
        <v>BB</v>
      </c>
      <c r="J466" t="str" cm="1">
        <f t="array" ref="J466">IF($A466&lt;MIN(Planilha2!$P$2:$P$38),"",_xlfn.LET(_xlpm.t,_xlfn.XLOOKUP($A466,Planilha2!$P$2:$P$38,Planilha2!$T$2:$T$38,"",-1),_xlfn.IFS(ISNUMBER(SEARCH("positiva",_xlpm.t)),"Positiva",ISNUMBER(SEARCH("negativa",_xlpm.t)),"Negativa",ISNUMBER(SEARCH("estável",_xlpm.t)),"Estável",TRUE,"n/d")))</f>
        <v>Estável</v>
      </c>
      <c r="L466" s="52">
        <f>IFERROR(_xlfn.XLOOKUP(B466,'Agências de Rating Soberano'!$G$2:$G$22,'Agências de Rating Soberano'!$H$2:$H$22),NA())</f>
        <v>11</v>
      </c>
      <c r="M466" s="52">
        <f>IFERROR(_xlfn.XLOOKUP(C466,'Agências de Rating Soberano'!$G$2:$G$22,'Agências de Rating Soberano'!$H$2:$H$22),NA())</f>
        <v>11</v>
      </c>
      <c r="N466" s="52">
        <f>IFERROR(_xlfn.XLOOKUP(E466,'Agências de Rating Soberano'!$J$2:$J$22,'Agências de Rating Soberano'!$K$2:$K$22),NA())</f>
        <v>10</v>
      </c>
      <c r="O466" s="52">
        <f>IFERROR(_xlfn.XLOOKUP(F466,'Agências de Rating Soberano'!$J$2:$J$22,'Agências de Rating Soberano'!$K$2:$K$22),NA())</f>
        <v>10</v>
      </c>
      <c r="P466" s="52">
        <f>IFERROR(_xlfn.XLOOKUP(H466,'Agências de Rating Soberano'!$J$2:$J$22,'Agências de Rating Soberano'!$K$2:$K$22),NA())</f>
        <v>10</v>
      </c>
      <c r="Q466" s="52">
        <f>IFERROR(_xlfn.XLOOKUP(I466,'Agências de Rating Soberano'!$J$2:$J$22,'Agências de Rating Soberano'!$K$2:$K$22),NA())</f>
        <v>10</v>
      </c>
    </row>
    <row r="467" spans="1:17" x14ac:dyDescent="0.3">
      <c r="A467" s="53">
        <f t="shared" si="14"/>
        <v>45900</v>
      </c>
      <c r="B467" t="str">
        <f>IFERROR(_xlfn.XLOOKUP($A467,Planilha2!$A$2:$A$34,Planilha2!C$2:C$34,"",-1),"")</f>
        <v>Ba1</v>
      </c>
      <c r="C467" t="str">
        <f>IFERROR(_xlfn.XLOOKUP($A467,Planilha2!$A$2:$A$34,Planilha2!D$2:D$34,"",-1),"")</f>
        <v>Ba1</v>
      </c>
      <c r="D467" t="str" cm="1">
        <f t="array" ref="D467">IF($A467&lt;MIN(Planilha2!$A$2:$A$34),"",_xlfn.LET(_xlpm.t,_xlfn.XLOOKUP($A467,Planilha2!$A$2:$A$34,Planilha2!$E$2:$E$34,"",-1),_xlfn.IFS(ISNUMBER(SEARCH("positiva",_xlpm.t)),"Positiva",ISNUMBER(SEARCH("negativa",_xlpm.t)),"Negativa",ISNUMBER(SEARCH("estável",_xlpm.t)),"Estável",TRUE,"n/d")))</f>
        <v>Estável</v>
      </c>
      <c r="E467" t="str">
        <f>IFERROR(_xlfn.XLOOKUP($A467,Planilha2!$J$2:$J$44,Planilha2!L$2:L$44,"",-1),"")</f>
        <v>BB</v>
      </c>
      <c r="F467" t="str">
        <f>IFERROR(_xlfn.XLOOKUP($A467,Planilha2!$J$2:$J$44,Planilha2!M$2:M$44,"",-1),"")</f>
        <v>BB</v>
      </c>
      <c r="G467" t="str" cm="1">
        <f t="array" ref="G467">IF($A467&lt;MIN(Planilha2!$J$2:$J$44),"",_xlfn.LET(_xlpm.t,_xlfn.XLOOKUP($A467,Planilha2!$J$2:$J$44,Planilha2!$N$2:$N$44,"",-1),_xlfn.IFS(ISNUMBER(SEARCH("positiva",_xlpm.t)),"Positiva",ISNUMBER(SEARCH("negativa",_xlpm.t)),"Negativa",ISNUMBER(SEARCH("estável",_xlpm.t)),"Estável",TRUE,"n/d")))</f>
        <v>Estável</v>
      </c>
      <c r="H467" t="str">
        <f>IFERROR(_xlfn.XLOOKUP($A467,Planilha2!$P$2:$P$38,Planilha2!R$2:R$38,"",-1),"")</f>
        <v>BB</v>
      </c>
      <c r="I467" t="str">
        <f>IFERROR(_xlfn.XLOOKUP($A467,Planilha2!$P$2:$P$38,Planilha2!S$2:S$38,"",-1),"")</f>
        <v>BB</v>
      </c>
      <c r="J467" t="str" cm="1">
        <f t="array" ref="J467">IF($A467&lt;MIN(Planilha2!$P$2:$P$38),"",_xlfn.LET(_xlpm.t,_xlfn.XLOOKUP($A467,Planilha2!$P$2:$P$38,Planilha2!$T$2:$T$38,"",-1),_xlfn.IFS(ISNUMBER(SEARCH("positiva",_xlpm.t)),"Positiva",ISNUMBER(SEARCH("negativa",_xlpm.t)),"Negativa",ISNUMBER(SEARCH("estável",_xlpm.t)),"Estável",TRUE,"n/d")))</f>
        <v>Estável</v>
      </c>
      <c r="L467" s="52">
        <f>IFERROR(_xlfn.XLOOKUP(B467,'Agências de Rating Soberano'!$G$2:$G$22,'Agências de Rating Soberano'!$H$2:$H$22),NA())</f>
        <v>11</v>
      </c>
      <c r="M467" s="52">
        <f>IFERROR(_xlfn.XLOOKUP(C467,'Agências de Rating Soberano'!$G$2:$G$22,'Agências de Rating Soberano'!$H$2:$H$22),NA())</f>
        <v>11</v>
      </c>
      <c r="N467" s="52">
        <f>IFERROR(_xlfn.XLOOKUP(E467,'Agências de Rating Soberano'!$J$2:$J$22,'Agências de Rating Soberano'!$K$2:$K$22),NA())</f>
        <v>10</v>
      </c>
      <c r="O467" s="52">
        <f>IFERROR(_xlfn.XLOOKUP(F467,'Agências de Rating Soberano'!$J$2:$J$22,'Agências de Rating Soberano'!$K$2:$K$22),NA())</f>
        <v>10</v>
      </c>
      <c r="P467" s="52">
        <f>IFERROR(_xlfn.XLOOKUP(H467,'Agências de Rating Soberano'!$J$2:$J$22,'Agências de Rating Soberano'!$K$2:$K$22),NA())</f>
        <v>10</v>
      </c>
      <c r="Q467" s="52">
        <f>IFERROR(_xlfn.XLOOKUP(I467,'Agências de Rating Soberano'!$J$2:$J$22,'Agências de Rating Soberano'!$K$2:$K$22),NA())</f>
        <v>10</v>
      </c>
    </row>
    <row r="468" spans="1:17" x14ac:dyDescent="0.3">
      <c r="A468" s="53">
        <f t="shared" si="14"/>
        <v>45930</v>
      </c>
      <c r="B468" t="str">
        <f>IFERROR(_xlfn.XLOOKUP($A468,Planilha2!$A$2:$A$34,Planilha2!C$2:C$34,"",-1),"")</f>
        <v>Ba1</v>
      </c>
      <c r="C468" t="str">
        <f>IFERROR(_xlfn.XLOOKUP($A468,Planilha2!$A$2:$A$34,Planilha2!D$2:D$34,"",-1),"")</f>
        <v>Ba1</v>
      </c>
      <c r="D468" t="str" cm="1">
        <f t="array" ref="D468">IF($A468&lt;MIN(Planilha2!$A$2:$A$34),"",_xlfn.LET(_xlpm.t,_xlfn.XLOOKUP($A468,Planilha2!$A$2:$A$34,Planilha2!$E$2:$E$34,"",-1),_xlfn.IFS(ISNUMBER(SEARCH("positiva",_xlpm.t)),"Positiva",ISNUMBER(SEARCH("negativa",_xlpm.t)),"Negativa",ISNUMBER(SEARCH("estável",_xlpm.t)),"Estável",TRUE,"n/d")))</f>
        <v>Estável</v>
      </c>
      <c r="E468" t="str">
        <f>IFERROR(_xlfn.XLOOKUP($A468,Planilha2!$J$2:$J$44,Planilha2!L$2:L$44,"",-1),"")</f>
        <v>BB</v>
      </c>
      <c r="F468" t="str">
        <f>IFERROR(_xlfn.XLOOKUP($A468,Planilha2!$J$2:$J$44,Planilha2!M$2:M$44,"",-1),"")</f>
        <v>BB</v>
      </c>
      <c r="G468" t="str" cm="1">
        <f t="array" ref="G468">IF($A468&lt;MIN(Planilha2!$J$2:$J$44),"",_xlfn.LET(_xlpm.t,_xlfn.XLOOKUP($A468,Planilha2!$J$2:$J$44,Planilha2!$N$2:$N$44,"",-1),_xlfn.IFS(ISNUMBER(SEARCH("positiva",_xlpm.t)),"Positiva",ISNUMBER(SEARCH("negativa",_xlpm.t)),"Negativa",ISNUMBER(SEARCH("estável",_xlpm.t)),"Estável",TRUE,"n/d")))</f>
        <v>Estável</v>
      </c>
      <c r="H468" t="str">
        <f>IFERROR(_xlfn.XLOOKUP($A468,Planilha2!$P$2:$P$38,Planilha2!R$2:R$38,"",-1),"")</f>
        <v>BB</v>
      </c>
      <c r="I468" t="str">
        <f>IFERROR(_xlfn.XLOOKUP($A468,Planilha2!$P$2:$P$38,Planilha2!S$2:S$38,"",-1),"")</f>
        <v>BB</v>
      </c>
      <c r="J468" t="str" cm="1">
        <f t="array" ref="J468">IF($A468&lt;MIN(Planilha2!$P$2:$P$38),"",_xlfn.LET(_xlpm.t,_xlfn.XLOOKUP($A468,Planilha2!$P$2:$P$38,Planilha2!$T$2:$T$38,"",-1),_xlfn.IFS(ISNUMBER(SEARCH("positiva",_xlpm.t)),"Positiva",ISNUMBER(SEARCH("negativa",_xlpm.t)),"Negativa",ISNUMBER(SEARCH("estável",_xlpm.t)),"Estável",TRUE,"n/d")))</f>
        <v>Estável</v>
      </c>
      <c r="L468" s="52">
        <f>IFERROR(_xlfn.XLOOKUP(B468,'Agências de Rating Soberano'!$G$2:$G$22,'Agências de Rating Soberano'!$H$2:$H$22),NA())</f>
        <v>11</v>
      </c>
      <c r="M468" s="52">
        <f>IFERROR(_xlfn.XLOOKUP(C468,'Agências de Rating Soberano'!$G$2:$G$22,'Agências de Rating Soberano'!$H$2:$H$22),NA())</f>
        <v>11</v>
      </c>
      <c r="N468" s="52">
        <f>IFERROR(_xlfn.XLOOKUP(E468,'Agências de Rating Soberano'!$J$2:$J$22,'Agências de Rating Soberano'!$K$2:$K$22),NA())</f>
        <v>10</v>
      </c>
      <c r="O468" s="52">
        <f>IFERROR(_xlfn.XLOOKUP(F468,'Agências de Rating Soberano'!$J$2:$J$22,'Agências de Rating Soberano'!$K$2:$K$22),NA())</f>
        <v>10</v>
      </c>
      <c r="P468" s="52">
        <f>IFERROR(_xlfn.XLOOKUP(H468,'Agências de Rating Soberano'!$J$2:$J$22,'Agências de Rating Soberano'!$K$2:$K$22),NA())</f>
        <v>10</v>
      </c>
      <c r="Q468" s="52">
        <f>IFERROR(_xlfn.XLOOKUP(I468,'Agências de Rating Soberano'!$J$2:$J$22,'Agências de Rating Soberano'!$K$2:$K$22),NA())</f>
        <v>10</v>
      </c>
    </row>
    <row r="469" spans="1:17" x14ac:dyDescent="0.3">
      <c r="A469" s="53">
        <f t="shared" si="14"/>
        <v>45961</v>
      </c>
      <c r="B469" t="str">
        <f>IFERROR(_xlfn.XLOOKUP($A469,Planilha2!$A$2:$A$34,Planilha2!C$2:C$34,"",-1),"")</f>
        <v>Ba1</v>
      </c>
      <c r="C469" t="str">
        <f>IFERROR(_xlfn.XLOOKUP($A469,Planilha2!$A$2:$A$34,Planilha2!D$2:D$34,"",-1),"")</f>
        <v>Ba1</v>
      </c>
      <c r="D469" t="str" cm="1">
        <f t="array" ref="D469">IF($A469&lt;MIN(Planilha2!$A$2:$A$34),"",_xlfn.LET(_xlpm.t,_xlfn.XLOOKUP($A469,Planilha2!$A$2:$A$34,Planilha2!$E$2:$E$34,"",-1),_xlfn.IFS(ISNUMBER(SEARCH("positiva",_xlpm.t)),"Positiva",ISNUMBER(SEARCH("negativa",_xlpm.t)),"Negativa",ISNUMBER(SEARCH("estável",_xlpm.t)),"Estável",TRUE,"n/d")))</f>
        <v>Estável</v>
      </c>
      <c r="E469" t="str">
        <f>IFERROR(_xlfn.XLOOKUP($A469,Planilha2!$J$2:$J$44,Planilha2!L$2:L$44,"",-1),"")</f>
        <v>BB</v>
      </c>
      <c r="F469" t="str">
        <f>IFERROR(_xlfn.XLOOKUP($A469,Planilha2!$J$2:$J$44,Planilha2!M$2:M$44,"",-1),"")</f>
        <v>BB</v>
      </c>
      <c r="G469" t="str" cm="1">
        <f t="array" ref="G469">IF($A469&lt;MIN(Planilha2!$J$2:$J$44),"",_xlfn.LET(_xlpm.t,_xlfn.XLOOKUP($A469,Planilha2!$J$2:$J$44,Planilha2!$N$2:$N$44,"",-1),_xlfn.IFS(ISNUMBER(SEARCH("positiva",_xlpm.t)),"Positiva",ISNUMBER(SEARCH("negativa",_xlpm.t)),"Negativa",ISNUMBER(SEARCH("estável",_xlpm.t)),"Estável",TRUE,"n/d")))</f>
        <v>Estável</v>
      </c>
      <c r="H469" t="str">
        <f>IFERROR(_xlfn.XLOOKUP($A469,Planilha2!$P$2:$P$38,Planilha2!R$2:R$38,"",-1),"")</f>
        <v>BB</v>
      </c>
      <c r="I469" t="str">
        <f>IFERROR(_xlfn.XLOOKUP($A469,Planilha2!$P$2:$P$38,Planilha2!S$2:S$38,"",-1),"")</f>
        <v>BB</v>
      </c>
      <c r="J469" t="str" cm="1">
        <f t="array" ref="J469">IF($A469&lt;MIN(Planilha2!$P$2:$P$38),"",_xlfn.LET(_xlpm.t,_xlfn.XLOOKUP($A469,Planilha2!$P$2:$P$38,Planilha2!$T$2:$T$38,"",-1),_xlfn.IFS(ISNUMBER(SEARCH("positiva",_xlpm.t)),"Positiva",ISNUMBER(SEARCH("negativa",_xlpm.t)),"Negativa",ISNUMBER(SEARCH("estável",_xlpm.t)),"Estável",TRUE,"n/d")))</f>
        <v>Estável</v>
      </c>
      <c r="L469" s="52">
        <f>IFERROR(_xlfn.XLOOKUP(B469,'Agências de Rating Soberano'!$G$2:$G$22,'Agências de Rating Soberano'!$H$2:$H$22),NA())</f>
        <v>11</v>
      </c>
      <c r="M469" s="52">
        <f>IFERROR(_xlfn.XLOOKUP(C469,'Agências de Rating Soberano'!$G$2:$G$22,'Agências de Rating Soberano'!$H$2:$H$22),NA())</f>
        <v>11</v>
      </c>
      <c r="N469" s="52">
        <f>IFERROR(_xlfn.XLOOKUP(E469,'Agências de Rating Soberano'!$J$2:$J$22,'Agências de Rating Soberano'!$K$2:$K$22),NA())</f>
        <v>10</v>
      </c>
      <c r="O469" s="52">
        <f>IFERROR(_xlfn.XLOOKUP(F469,'Agências de Rating Soberano'!$J$2:$J$22,'Agências de Rating Soberano'!$K$2:$K$22),NA())</f>
        <v>10</v>
      </c>
      <c r="P469" s="52">
        <f>IFERROR(_xlfn.XLOOKUP(H469,'Agências de Rating Soberano'!$J$2:$J$22,'Agências de Rating Soberano'!$K$2:$K$22),NA())</f>
        <v>10</v>
      </c>
      <c r="Q469" s="52">
        <f>IFERROR(_xlfn.XLOOKUP(I469,'Agências de Rating Soberano'!$J$2:$J$22,'Agências de Rating Soberano'!$K$2:$K$22),NA())</f>
        <v>10</v>
      </c>
    </row>
    <row r="470" spans="1:17" x14ac:dyDescent="0.3">
      <c r="A470" s="53">
        <f t="shared" si="14"/>
        <v>45991</v>
      </c>
      <c r="B470" t="str">
        <f>IFERROR(_xlfn.XLOOKUP($A470,Planilha2!$A$2:$A$34,Planilha2!C$2:C$34,"",-1),"")</f>
        <v>Ba1</v>
      </c>
      <c r="C470" t="str">
        <f>IFERROR(_xlfn.XLOOKUP($A470,Planilha2!$A$2:$A$34,Planilha2!D$2:D$34,"",-1),"")</f>
        <v>Ba1</v>
      </c>
      <c r="D470" t="str" cm="1">
        <f t="array" ref="D470">IF($A470&lt;MIN(Planilha2!$A$2:$A$34),"",_xlfn.LET(_xlpm.t,_xlfn.XLOOKUP($A470,Planilha2!$A$2:$A$34,Planilha2!$E$2:$E$34,"",-1),_xlfn.IFS(ISNUMBER(SEARCH("positiva",_xlpm.t)),"Positiva",ISNUMBER(SEARCH("negativa",_xlpm.t)),"Negativa",ISNUMBER(SEARCH("estável",_xlpm.t)),"Estável",TRUE,"n/d")))</f>
        <v>Estável</v>
      </c>
      <c r="E470" t="str">
        <f>IFERROR(_xlfn.XLOOKUP($A470,Planilha2!$J$2:$J$44,Planilha2!L$2:L$44,"",-1),"")</f>
        <v>BB</v>
      </c>
      <c r="F470" t="str">
        <f>IFERROR(_xlfn.XLOOKUP($A470,Planilha2!$J$2:$J$44,Planilha2!M$2:M$44,"",-1),"")</f>
        <v>BB</v>
      </c>
      <c r="G470" t="str" cm="1">
        <f t="array" ref="G470">IF($A470&lt;MIN(Planilha2!$J$2:$J$44),"",_xlfn.LET(_xlpm.t,_xlfn.XLOOKUP($A470,Planilha2!$J$2:$J$44,Planilha2!$N$2:$N$44,"",-1),_xlfn.IFS(ISNUMBER(SEARCH("positiva",_xlpm.t)),"Positiva",ISNUMBER(SEARCH("negativa",_xlpm.t)),"Negativa",ISNUMBER(SEARCH("estável",_xlpm.t)),"Estável",TRUE,"n/d")))</f>
        <v>Estável</v>
      </c>
      <c r="H470" t="str">
        <f>IFERROR(_xlfn.XLOOKUP($A470,Planilha2!$P$2:$P$38,Planilha2!R$2:R$38,"",-1),"")</f>
        <v>BB</v>
      </c>
      <c r="I470" t="str">
        <f>IFERROR(_xlfn.XLOOKUP($A470,Planilha2!$P$2:$P$38,Planilha2!S$2:S$38,"",-1),"")</f>
        <v>BB</v>
      </c>
      <c r="J470" t="str" cm="1">
        <f t="array" ref="J470">IF($A470&lt;MIN(Planilha2!$P$2:$P$38),"",_xlfn.LET(_xlpm.t,_xlfn.XLOOKUP($A470,Planilha2!$P$2:$P$38,Planilha2!$T$2:$T$38,"",-1),_xlfn.IFS(ISNUMBER(SEARCH("positiva",_xlpm.t)),"Positiva",ISNUMBER(SEARCH("negativa",_xlpm.t)),"Negativa",ISNUMBER(SEARCH("estável",_xlpm.t)),"Estável",TRUE,"n/d")))</f>
        <v>Estável</v>
      </c>
      <c r="L470" s="52">
        <f>IFERROR(_xlfn.XLOOKUP(B470,'Agências de Rating Soberano'!$G$2:$G$22,'Agências de Rating Soberano'!$H$2:$H$22),NA())</f>
        <v>11</v>
      </c>
      <c r="M470" s="52">
        <f>IFERROR(_xlfn.XLOOKUP(C470,'Agências de Rating Soberano'!$G$2:$G$22,'Agências de Rating Soberano'!$H$2:$H$22),NA())</f>
        <v>11</v>
      </c>
      <c r="N470" s="52">
        <f>IFERROR(_xlfn.XLOOKUP(E470,'Agências de Rating Soberano'!$J$2:$J$22,'Agências de Rating Soberano'!$K$2:$K$22),NA())</f>
        <v>10</v>
      </c>
      <c r="O470" s="52">
        <f>IFERROR(_xlfn.XLOOKUP(F470,'Agências de Rating Soberano'!$J$2:$J$22,'Agências de Rating Soberano'!$K$2:$K$22),NA())</f>
        <v>10</v>
      </c>
      <c r="P470" s="52">
        <f>IFERROR(_xlfn.XLOOKUP(H470,'Agências de Rating Soberano'!$J$2:$J$22,'Agências de Rating Soberano'!$K$2:$K$22),NA())</f>
        <v>10</v>
      </c>
      <c r="Q470" s="52">
        <f>IFERROR(_xlfn.XLOOKUP(I470,'Agências de Rating Soberano'!$J$2:$J$22,'Agências de Rating Soberano'!$K$2:$K$22),NA())</f>
        <v>10</v>
      </c>
    </row>
    <row r="471" spans="1:17" x14ac:dyDescent="0.3">
      <c r="A471" s="53">
        <f t="shared" si="14"/>
        <v>46022</v>
      </c>
      <c r="B471" t="str">
        <f>IFERROR(_xlfn.XLOOKUP($A471,Planilha2!$A$2:$A$34,Planilha2!C$2:C$34,"",-1),"")</f>
        <v>Ba1</v>
      </c>
      <c r="C471" t="str">
        <f>IFERROR(_xlfn.XLOOKUP($A471,Planilha2!$A$2:$A$34,Planilha2!D$2:D$34,"",-1),"")</f>
        <v>Ba1</v>
      </c>
      <c r="D471" t="str" cm="1">
        <f t="array" ref="D471">IF($A471&lt;MIN(Planilha2!$A$2:$A$34),"",_xlfn.LET(_xlpm.t,_xlfn.XLOOKUP($A471,Planilha2!$A$2:$A$34,Planilha2!$E$2:$E$34,"",-1),_xlfn.IFS(ISNUMBER(SEARCH("positiva",_xlpm.t)),"Positiva",ISNUMBER(SEARCH("negativa",_xlpm.t)),"Negativa",ISNUMBER(SEARCH("estável",_xlpm.t)),"Estável",TRUE,"n/d")))</f>
        <v>Estável</v>
      </c>
      <c r="E471" t="str">
        <f>IFERROR(_xlfn.XLOOKUP($A471,Planilha2!$J$2:$J$44,Planilha2!L$2:L$44,"",-1),"")</f>
        <v>BB</v>
      </c>
      <c r="F471" t="str">
        <f>IFERROR(_xlfn.XLOOKUP($A471,Planilha2!$J$2:$J$44,Planilha2!M$2:M$44,"",-1),"")</f>
        <v>BB</v>
      </c>
      <c r="G471" t="str" cm="1">
        <f t="array" ref="G471">IF($A471&lt;MIN(Planilha2!$J$2:$J$44),"",_xlfn.LET(_xlpm.t,_xlfn.XLOOKUP($A471,Planilha2!$J$2:$J$44,Planilha2!$N$2:$N$44,"",-1),_xlfn.IFS(ISNUMBER(SEARCH("positiva",_xlpm.t)),"Positiva",ISNUMBER(SEARCH("negativa",_xlpm.t)),"Negativa",ISNUMBER(SEARCH("estável",_xlpm.t)),"Estável",TRUE,"n/d")))</f>
        <v>Estável</v>
      </c>
      <c r="H471" t="str">
        <f>IFERROR(_xlfn.XLOOKUP($A471,Planilha2!$P$2:$P$38,Planilha2!R$2:R$38,"",-1),"")</f>
        <v>BB</v>
      </c>
      <c r="I471" t="str">
        <f>IFERROR(_xlfn.XLOOKUP($A471,Planilha2!$P$2:$P$38,Planilha2!S$2:S$38,"",-1),"")</f>
        <v>BB</v>
      </c>
      <c r="J471" t="str" cm="1">
        <f t="array" ref="J471">IF($A471&lt;MIN(Planilha2!$P$2:$P$38),"",_xlfn.LET(_xlpm.t,_xlfn.XLOOKUP($A471,Planilha2!$P$2:$P$38,Planilha2!$T$2:$T$38,"",-1),_xlfn.IFS(ISNUMBER(SEARCH("positiva",_xlpm.t)),"Positiva",ISNUMBER(SEARCH("negativa",_xlpm.t)),"Negativa",ISNUMBER(SEARCH("estável",_xlpm.t)),"Estável",TRUE,"n/d")))</f>
        <v>Estável</v>
      </c>
      <c r="L471" s="52">
        <f>IFERROR(_xlfn.XLOOKUP(B471,'Agências de Rating Soberano'!$G$2:$G$22,'Agências de Rating Soberano'!$H$2:$H$22),NA())</f>
        <v>11</v>
      </c>
      <c r="M471" s="52">
        <f>IFERROR(_xlfn.XLOOKUP(C471,'Agências de Rating Soberano'!$G$2:$G$22,'Agências de Rating Soberano'!$H$2:$H$22),NA())</f>
        <v>11</v>
      </c>
      <c r="N471" s="52">
        <f>IFERROR(_xlfn.XLOOKUP(E471,'Agências de Rating Soberano'!$J$2:$J$22,'Agências de Rating Soberano'!$K$2:$K$22),NA())</f>
        <v>10</v>
      </c>
      <c r="O471" s="52">
        <f>IFERROR(_xlfn.XLOOKUP(F471,'Agências de Rating Soberano'!$J$2:$J$22,'Agências de Rating Soberano'!$K$2:$K$22),NA())</f>
        <v>10</v>
      </c>
      <c r="P471" s="52">
        <f>IFERROR(_xlfn.XLOOKUP(H471,'Agências de Rating Soberano'!$J$2:$J$22,'Agências de Rating Soberano'!$K$2:$K$22),NA())</f>
        <v>10</v>
      </c>
      <c r="Q471" s="52">
        <f>IFERROR(_xlfn.XLOOKUP(I471,'Agências de Rating Soberano'!$J$2:$J$22,'Agências de Rating Soberano'!$K$2:$K$22),NA())</f>
        <v>10</v>
      </c>
    </row>
    <row r="472" spans="1:17" x14ac:dyDescent="0.3">
      <c r="A472" s="53">
        <f t="shared" si="14"/>
        <v>46053</v>
      </c>
      <c r="B472" t="str">
        <f>IFERROR(_xlfn.XLOOKUP($A472,Planilha2!$A$2:$A$34,Planilha2!C$2:C$34,"",-1),"")</f>
        <v>Ba1</v>
      </c>
      <c r="C472" t="str">
        <f>IFERROR(_xlfn.XLOOKUP($A472,Planilha2!$A$2:$A$34,Planilha2!D$2:D$34,"",-1),"")</f>
        <v>Ba1</v>
      </c>
      <c r="D472" t="str" cm="1">
        <f t="array" ref="D472">IF($A472&lt;MIN(Planilha2!$A$2:$A$34),"",_xlfn.LET(_xlpm.t,_xlfn.XLOOKUP($A472,Planilha2!$A$2:$A$34,Planilha2!$E$2:$E$34,"",-1),_xlfn.IFS(ISNUMBER(SEARCH("positiva",_xlpm.t)),"Positiva",ISNUMBER(SEARCH("negativa",_xlpm.t)),"Negativa",ISNUMBER(SEARCH("estável",_xlpm.t)),"Estável",TRUE,"n/d")))</f>
        <v>Estável</v>
      </c>
      <c r="E472" t="str">
        <f>IFERROR(_xlfn.XLOOKUP($A472,Planilha2!$J$2:$J$44,Planilha2!L$2:L$44,"",-1),"")</f>
        <v>BB</v>
      </c>
      <c r="F472" t="str">
        <f>IFERROR(_xlfn.XLOOKUP($A472,Planilha2!$J$2:$J$44,Planilha2!M$2:M$44,"",-1),"")</f>
        <v>BB</v>
      </c>
      <c r="G472" t="str" cm="1">
        <f t="array" ref="G472">IF($A472&lt;MIN(Planilha2!$J$2:$J$44),"",_xlfn.LET(_xlpm.t,_xlfn.XLOOKUP($A472,Planilha2!$J$2:$J$44,Planilha2!$N$2:$N$44,"",-1),_xlfn.IFS(ISNUMBER(SEARCH("positiva",_xlpm.t)),"Positiva",ISNUMBER(SEARCH("negativa",_xlpm.t)),"Negativa",ISNUMBER(SEARCH("estável",_xlpm.t)),"Estável",TRUE,"n/d")))</f>
        <v>Estável</v>
      </c>
      <c r="H472" t="str">
        <f>IFERROR(_xlfn.XLOOKUP($A472,Planilha2!$P$2:$P$38,Planilha2!R$2:R$38,"",-1),"")</f>
        <v>BB</v>
      </c>
      <c r="I472" t="str">
        <f>IFERROR(_xlfn.XLOOKUP($A472,Planilha2!$P$2:$P$38,Planilha2!S$2:S$38,"",-1),"")</f>
        <v>BB</v>
      </c>
      <c r="J472" t="str" cm="1">
        <f t="array" ref="J472">IF($A472&lt;MIN(Planilha2!$P$2:$P$38),"",_xlfn.LET(_xlpm.t,_xlfn.XLOOKUP($A472,Planilha2!$P$2:$P$38,Planilha2!$T$2:$T$38,"",-1),_xlfn.IFS(ISNUMBER(SEARCH("positiva",_xlpm.t)),"Positiva",ISNUMBER(SEARCH("negativa",_xlpm.t)),"Negativa",ISNUMBER(SEARCH("estável",_xlpm.t)),"Estável",TRUE,"n/d")))</f>
        <v>Estável</v>
      </c>
      <c r="L472" s="52">
        <f>IFERROR(_xlfn.XLOOKUP(B472,'Agências de Rating Soberano'!$G$2:$G$22,'Agências de Rating Soberano'!$H$2:$H$22),NA())</f>
        <v>11</v>
      </c>
      <c r="M472" s="52">
        <f>IFERROR(_xlfn.XLOOKUP(C472,'Agências de Rating Soberano'!$G$2:$G$22,'Agências de Rating Soberano'!$H$2:$H$22),NA())</f>
        <v>11</v>
      </c>
      <c r="N472" s="52">
        <f>IFERROR(_xlfn.XLOOKUP(E472,'Agências de Rating Soberano'!$J$2:$J$22,'Agências de Rating Soberano'!$K$2:$K$22),NA())</f>
        <v>10</v>
      </c>
      <c r="O472" s="52">
        <f>IFERROR(_xlfn.XLOOKUP(F472,'Agências de Rating Soberano'!$J$2:$J$22,'Agências de Rating Soberano'!$K$2:$K$22),NA())</f>
        <v>10</v>
      </c>
      <c r="P472" s="52">
        <f>IFERROR(_xlfn.XLOOKUP(H472,'Agências de Rating Soberano'!$J$2:$J$22,'Agências de Rating Soberano'!$K$2:$K$22),NA())</f>
        <v>10</v>
      </c>
      <c r="Q472" s="52">
        <f>IFERROR(_xlfn.XLOOKUP(I472,'Agências de Rating Soberano'!$J$2:$J$22,'Agências de Rating Soberano'!$K$2:$K$22),NA())</f>
        <v>10</v>
      </c>
    </row>
    <row r="473" spans="1:17" x14ac:dyDescent="0.3">
      <c r="A473" s="53">
        <f t="shared" si="14"/>
        <v>46081</v>
      </c>
      <c r="B473" t="str">
        <f>IFERROR(_xlfn.XLOOKUP($A473,Planilha2!$A$2:$A$34,Planilha2!C$2:C$34,"",-1),"")</f>
        <v>Ba1</v>
      </c>
      <c r="C473" t="str">
        <f>IFERROR(_xlfn.XLOOKUP($A473,Planilha2!$A$2:$A$34,Planilha2!D$2:D$34,"",-1),"")</f>
        <v>Ba1</v>
      </c>
      <c r="D473" t="str" cm="1">
        <f t="array" ref="D473">IF($A473&lt;MIN(Planilha2!$A$2:$A$34),"",_xlfn.LET(_xlpm.t,_xlfn.XLOOKUP($A473,Planilha2!$A$2:$A$34,Planilha2!$E$2:$E$34,"",-1),_xlfn.IFS(ISNUMBER(SEARCH("positiva",_xlpm.t)),"Positiva",ISNUMBER(SEARCH("negativa",_xlpm.t)),"Negativa",ISNUMBER(SEARCH("estável",_xlpm.t)),"Estável",TRUE,"n/d")))</f>
        <v>Estável</v>
      </c>
      <c r="E473" t="str">
        <f>IFERROR(_xlfn.XLOOKUP($A473,Planilha2!$J$2:$J$44,Planilha2!L$2:L$44,"",-1),"")</f>
        <v>BB</v>
      </c>
      <c r="F473" t="str">
        <f>IFERROR(_xlfn.XLOOKUP($A473,Planilha2!$J$2:$J$44,Planilha2!M$2:M$44,"",-1),"")</f>
        <v>BB</v>
      </c>
      <c r="G473" t="str" cm="1">
        <f t="array" ref="G473">IF($A473&lt;MIN(Planilha2!$J$2:$J$44),"",_xlfn.LET(_xlpm.t,_xlfn.XLOOKUP($A473,Planilha2!$J$2:$J$44,Planilha2!$N$2:$N$44,"",-1),_xlfn.IFS(ISNUMBER(SEARCH("positiva",_xlpm.t)),"Positiva",ISNUMBER(SEARCH("negativa",_xlpm.t)),"Negativa",ISNUMBER(SEARCH("estável",_xlpm.t)),"Estável",TRUE,"n/d")))</f>
        <v>Estável</v>
      </c>
      <c r="H473" t="str">
        <f>IFERROR(_xlfn.XLOOKUP($A473,Planilha2!$P$2:$P$38,Planilha2!R$2:R$38,"",-1),"")</f>
        <v>BB</v>
      </c>
      <c r="I473" t="str">
        <f>IFERROR(_xlfn.XLOOKUP($A473,Planilha2!$P$2:$P$38,Planilha2!S$2:S$38,"",-1),"")</f>
        <v>BB</v>
      </c>
      <c r="J473" t="str" cm="1">
        <f t="array" ref="J473">IF($A473&lt;MIN(Planilha2!$P$2:$P$38),"",_xlfn.LET(_xlpm.t,_xlfn.XLOOKUP($A473,Planilha2!$P$2:$P$38,Planilha2!$T$2:$T$38,"",-1),_xlfn.IFS(ISNUMBER(SEARCH("positiva",_xlpm.t)),"Positiva",ISNUMBER(SEARCH("negativa",_xlpm.t)),"Negativa",ISNUMBER(SEARCH("estável",_xlpm.t)),"Estável",TRUE,"n/d")))</f>
        <v>Estável</v>
      </c>
      <c r="L473" s="52">
        <f>IFERROR(_xlfn.XLOOKUP(B473,'Agências de Rating Soberano'!$G$2:$G$22,'Agências de Rating Soberano'!$H$2:$H$22),NA())</f>
        <v>11</v>
      </c>
      <c r="M473" s="52">
        <f>IFERROR(_xlfn.XLOOKUP(C473,'Agências de Rating Soberano'!$G$2:$G$22,'Agências de Rating Soberano'!$H$2:$H$22),NA())</f>
        <v>11</v>
      </c>
      <c r="N473" s="52">
        <f>IFERROR(_xlfn.XLOOKUP(E473,'Agências de Rating Soberano'!$J$2:$J$22,'Agências de Rating Soberano'!$K$2:$K$22),NA())</f>
        <v>10</v>
      </c>
      <c r="O473" s="52">
        <f>IFERROR(_xlfn.XLOOKUP(F473,'Agências de Rating Soberano'!$J$2:$J$22,'Agências de Rating Soberano'!$K$2:$K$22),NA())</f>
        <v>10</v>
      </c>
      <c r="P473" s="52">
        <f>IFERROR(_xlfn.XLOOKUP(H473,'Agências de Rating Soberano'!$J$2:$J$22,'Agências de Rating Soberano'!$K$2:$K$22),NA())</f>
        <v>10</v>
      </c>
      <c r="Q473" s="52">
        <f>IFERROR(_xlfn.XLOOKUP(I473,'Agências de Rating Soberano'!$J$2:$J$22,'Agências de Rating Soberano'!$K$2:$K$22),NA())</f>
        <v>10</v>
      </c>
    </row>
    <row r="474" spans="1:17" x14ac:dyDescent="0.3">
      <c r="A474" s="53">
        <f t="shared" si="14"/>
        <v>46112</v>
      </c>
      <c r="B474" t="str">
        <f>IFERROR(_xlfn.XLOOKUP($A474,Planilha2!$A$2:$A$34,Planilha2!C$2:C$34,"",-1),"")</f>
        <v>Ba1</v>
      </c>
      <c r="C474" t="str">
        <f>IFERROR(_xlfn.XLOOKUP($A474,Planilha2!$A$2:$A$34,Planilha2!D$2:D$34,"",-1),"")</f>
        <v>Ba1</v>
      </c>
      <c r="D474" t="str" cm="1">
        <f t="array" ref="D474">IF($A474&lt;MIN(Planilha2!$A$2:$A$34),"",_xlfn.LET(_xlpm.t,_xlfn.XLOOKUP($A474,Planilha2!$A$2:$A$34,Planilha2!$E$2:$E$34,"",-1),_xlfn.IFS(ISNUMBER(SEARCH("positiva",_xlpm.t)),"Positiva",ISNUMBER(SEARCH("negativa",_xlpm.t)),"Negativa",ISNUMBER(SEARCH("estável",_xlpm.t)),"Estável",TRUE,"n/d")))</f>
        <v>Estável</v>
      </c>
      <c r="E474" t="str">
        <f>IFERROR(_xlfn.XLOOKUP($A474,Planilha2!$J$2:$J$44,Planilha2!L$2:L$44,"",-1),"")</f>
        <v>BB</v>
      </c>
      <c r="F474" t="str">
        <f>IFERROR(_xlfn.XLOOKUP($A474,Planilha2!$J$2:$J$44,Planilha2!M$2:M$44,"",-1),"")</f>
        <v>BB</v>
      </c>
      <c r="G474" t="str" cm="1">
        <f t="array" ref="G474">IF($A474&lt;MIN(Planilha2!$J$2:$J$44),"",_xlfn.LET(_xlpm.t,_xlfn.XLOOKUP($A474,Planilha2!$J$2:$J$44,Planilha2!$N$2:$N$44,"",-1),_xlfn.IFS(ISNUMBER(SEARCH("positiva",_xlpm.t)),"Positiva",ISNUMBER(SEARCH("negativa",_xlpm.t)),"Negativa",ISNUMBER(SEARCH("estável",_xlpm.t)),"Estável",TRUE,"n/d")))</f>
        <v>Estável</v>
      </c>
      <c r="H474" t="str">
        <f>IFERROR(_xlfn.XLOOKUP($A474,Planilha2!$P$2:$P$38,Planilha2!R$2:R$38,"",-1),"")</f>
        <v>BB</v>
      </c>
      <c r="I474" t="str">
        <f>IFERROR(_xlfn.XLOOKUP($A474,Planilha2!$P$2:$P$38,Planilha2!S$2:S$38,"",-1),"")</f>
        <v>BB</v>
      </c>
      <c r="J474" t="str" cm="1">
        <f t="array" ref="J474">IF($A474&lt;MIN(Planilha2!$P$2:$P$38),"",_xlfn.LET(_xlpm.t,_xlfn.XLOOKUP($A474,Planilha2!$P$2:$P$38,Planilha2!$T$2:$T$38,"",-1),_xlfn.IFS(ISNUMBER(SEARCH("positiva",_xlpm.t)),"Positiva",ISNUMBER(SEARCH("negativa",_xlpm.t)),"Negativa",ISNUMBER(SEARCH("estável",_xlpm.t)),"Estável",TRUE,"n/d")))</f>
        <v>Estável</v>
      </c>
      <c r="L474" s="52">
        <f>IFERROR(_xlfn.XLOOKUP(B474,'Agências de Rating Soberano'!$G$2:$G$22,'Agências de Rating Soberano'!$H$2:$H$22),NA())</f>
        <v>11</v>
      </c>
      <c r="M474" s="52">
        <f>IFERROR(_xlfn.XLOOKUP(C474,'Agências de Rating Soberano'!$G$2:$G$22,'Agências de Rating Soberano'!$H$2:$H$22),NA())</f>
        <v>11</v>
      </c>
      <c r="N474" s="52">
        <f>IFERROR(_xlfn.XLOOKUP(E474,'Agências de Rating Soberano'!$J$2:$J$22,'Agências de Rating Soberano'!$K$2:$K$22),NA())</f>
        <v>10</v>
      </c>
      <c r="O474" s="52">
        <f>IFERROR(_xlfn.XLOOKUP(F474,'Agências de Rating Soberano'!$J$2:$J$22,'Agências de Rating Soberano'!$K$2:$K$22),NA())</f>
        <v>10</v>
      </c>
      <c r="P474" s="52">
        <f>IFERROR(_xlfn.XLOOKUP(H474,'Agências de Rating Soberano'!$J$2:$J$22,'Agências de Rating Soberano'!$K$2:$K$22),NA())</f>
        <v>10</v>
      </c>
      <c r="Q474" s="52">
        <f>IFERROR(_xlfn.XLOOKUP(I474,'Agências de Rating Soberano'!$J$2:$J$22,'Agências de Rating Soberano'!$K$2:$K$22),NA())</f>
        <v>10</v>
      </c>
    </row>
    <row r="475" spans="1:17" x14ac:dyDescent="0.3">
      <c r="A475" s="53">
        <f t="shared" si="14"/>
        <v>46142</v>
      </c>
      <c r="B475" t="str">
        <f>IFERROR(_xlfn.XLOOKUP($A475,Planilha2!$A$2:$A$34,Planilha2!C$2:C$34,"",-1),"")</f>
        <v>Ba1</v>
      </c>
      <c r="C475" t="str">
        <f>IFERROR(_xlfn.XLOOKUP($A475,Planilha2!$A$2:$A$34,Planilha2!D$2:D$34,"",-1),"")</f>
        <v>Ba1</v>
      </c>
      <c r="D475" t="str" cm="1">
        <f t="array" ref="D475">IF($A475&lt;MIN(Planilha2!$A$2:$A$34),"",_xlfn.LET(_xlpm.t,_xlfn.XLOOKUP($A475,Planilha2!$A$2:$A$34,Planilha2!$E$2:$E$34,"",-1),_xlfn.IFS(ISNUMBER(SEARCH("positiva",_xlpm.t)),"Positiva",ISNUMBER(SEARCH("negativa",_xlpm.t)),"Negativa",ISNUMBER(SEARCH("estável",_xlpm.t)),"Estável",TRUE,"n/d")))</f>
        <v>Estável</v>
      </c>
      <c r="E475" t="str">
        <f>IFERROR(_xlfn.XLOOKUP($A475,Planilha2!$J$2:$J$44,Planilha2!L$2:L$44,"",-1),"")</f>
        <v>BB</v>
      </c>
      <c r="F475" t="str">
        <f>IFERROR(_xlfn.XLOOKUP($A475,Planilha2!$J$2:$J$44,Planilha2!M$2:M$44,"",-1),"")</f>
        <v>BB</v>
      </c>
      <c r="G475" t="str" cm="1">
        <f t="array" ref="G475">IF($A475&lt;MIN(Planilha2!$J$2:$J$44),"",_xlfn.LET(_xlpm.t,_xlfn.XLOOKUP($A475,Planilha2!$J$2:$J$44,Planilha2!$N$2:$N$44,"",-1),_xlfn.IFS(ISNUMBER(SEARCH("positiva",_xlpm.t)),"Positiva",ISNUMBER(SEARCH("negativa",_xlpm.t)),"Negativa",ISNUMBER(SEARCH("estável",_xlpm.t)),"Estável",TRUE,"n/d")))</f>
        <v>Estável</v>
      </c>
      <c r="H475" t="str">
        <f>IFERROR(_xlfn.XLOOKUP($A475,Planilha2!$P$2:$P$38,Planilha2!R$2:R$38,"",-1),"")</f>
        <v>BB</v>
      </c>
      <c r="I475" t="str">
        <f>IFERROR(_xlfn.XLOOKUP($A475,Planilha2!$P$2:$P$38,Planilha2!S$2:S$38,"",-1),"")</f>
        <v>BB</v>
      </c>
      <c r="J475" t="str" cm="1">
        <f t="array" ref="J475">IF($A475&lt;MIN(Planilha2!$P$2:$P$38),"",_xlfn.LET(_xlpm.t,_xlfn.XLOOKUP($A475,Planilha2!$P$2:$P$38,Planilha2!$T$2:$T$38,"",-1),_xlfn.IFS(ISNUMBER(SEARCH("positiva",_xlpm.t)),"Positiva",ISNUMBER(SEARCH("negativa",_xlpm.t)),"Negativa",ISNUMBER(SEARCH("estável",_xlpm.t)),"Estável",TRUE,"n/d")))</f>
        <v>Estável</v>
      </c>
      <c r="L475" s="52">
        <f>IFERROR(_xlfn.XLOOKUP(B475,'Agências de Rating Soberano'!$G$2:$G$22,'Agências de Rating Soberano'!$H$2:$H$22),NA())</f>
        <v>11</v>
      </c>
      <c r="M475" s="52">
        <f>IFERROR(_xlfn.XLOOKUP(C475,'Agências de Rating Soberano'!$G$2:$G$22,'Agências de Rating Soberano'!$H$2:$H$22),NA())</f>
        <v>11</v>
      </c>
      <c r="N475" s="52">
        <f>IFERROR(_xlfn.XLOOKUP(E475,'Agências de Rating Soberano'!$J$2:$J$22,'Agências de Rating Soberano'!$K$2:$K$22),NA())</f>
        <v>10</v>
      </c>
      <c r="O475" s="52">
        <f>IFERROR(_xlfn.XLOOKUP(F475,'Agências de Rating Soberano'!$J$2:$J$22,'Agências de Rating Soberano'!$K$2:$K$22),NA())</f>
        <v>10</v>
      </c>
      <c r="P475" s="52">
        <f>IFERROR(_xlfn.XLOOKUP(H475,'Agências de Rating Soberano'!$J$2:$J$22,'Agências de Rating Soberano'!$K$2:$K$22),NA())</f>
        <v>10</v>
      </c>
      <c r="Q475" s="52">
        <f>IFERROR(_xlfn.XLOOKUP(I475,'Agências de Rating Soberano'!$J$2:$J$22,'Agências de Rating Soberano'!$K$2:$K$22),NA())</f>
        <v>10</v>
      </c>
    </row>
    <row r="476" spans="1:17" x14ac:dyDescent="0.3">
      <c r="A476" s="53">
        <f t="shared" si="14"/>
        <v>46173</v>
      </c>
      <c r="B476" t="str">
        <f>IFERROR(_xlfn.XLOOKUP($A476,Planilha2!$A$2:$A$34,Planilha2!C$2:C$34,"",-1),"")</f>
        <v>Ba1</v>
      </c>
      <c r="C476" t="str">
        <f>IFERROR(_xlfn.XLOOKUP($A476,Planilha2!$A$2:$A$34,Planilha2!D$2:D$34,"",-1),"")</f>
        <v>Ba1</v>
      </c>
      <c r="D476" t="str" cm="1">
        <f t="array" ref="D476">IF($A476&lt;MIN(Planilha2!$A$2:$A$34),"",_xlfn.LET(_xlpm.t,_xlfn.XLOOKUP($A476,Planilha2!$A$2:$A$34,Planilha2!$E$2:$E$34,"",-1),_xlfn.IFS(ISNUMBER(SEARCH("positiva",_xlpm.t)),"Positiva",ISNUMBER(SEARCH("negativa",_xlpm.t)),"Negativa",ISNUMBER(SEARCH("estável",_xlpm.t)),"Estável",TRUE,"n/d")))</f>
        <v>Estável</v>
      </c>
      <c r="E476" t="str">
        <f>IFERROR(_xlfn.XLOOKUP($A476,Planilha2!$J$2:$J$44,Planilha2!L$2:L$44,"",-1),"")</f>
        <v>BB</v>
      </c>
      <c r="F476" t="str">
        <f>IFERROR(_xlfn.XLOOKUP($A476,Planilha2!$J$2:$J$44,Planilha2!M$2:M$44,"",-1),"")</f>
        <v>BB</v>
      </c>
      <c r="G476" t="str" cm="1">
        <f t="array" ref="G476">IF($A476&lt;MIN(Planilha2!$J$2:$J$44),"",_xlfn.LET(_xlpm.t,_xlfn.XLOOKUP($A476,Planilha2!$J$2:$J$44,Planilha2!$N$2:$N$44,"",-1),_xlfn.IFS(ISNUMBER(SEARCH("positiva",_xlpm.t)),"Positiva",ISNUMBER(SEARCH("negativa",_xlpm.t)),"Negativa",ISNUMBER(SEARCH("estável",_xlpm.t)),"Estável",TRUE,"n/d")))</f>
        <v>Estável</v>
      </c>
      <c r="H476" t="str">
        <f>IFERROR(_xlfn.XLOOKUP($A476,Planilha2!$P$2:$P$38,Planilha2!R$2:R$38,"",-1),"")</f>
        <v>BB</v>
      </c>
      <c r="I476" t="str">
        <f>IFERROR(_xlfn.XLOOKUP($A476,Planilha2!$P$2:$P$38,Planilha2!S$2:S$38,"",-1),"")</f>
        <v>BB</v>
      </c>
      <c r="J476" t="str" cm="1">
        <f t="array" ref="J476">IF($A476&lt;MIN(Planilha2!$P$2:$P$38),"",_xlfn.LET(_xlpm.t,_xlfn.XLOOKUP($A476,Planilha2!$P$2:$P$38,Planilha2!$T$2:$T$38,"",-1),_xlfn.IFS(ISNUMBER(SEARCH("positiva",_xlpm.t)),"Positiva",ISNUMBER(SEARCH("negativa",_xlpm.t)),"Negativa",ISNUMBER(SEARCH("estável",_xlpm.t)),"Estável",TRUE,"n/d")))</f>
        <v>Estável</v>
      </c>
      <c r="L476" s="52">
        <f>IFERROR(_xlfn.XLOOKUP(B476,'Agências de Rating Soberano'!$G$2:$G$22,'Agências de Rating Soberano'!$H$2:$H$22),NA())</f>
        <v>11</v>
      </c>
      <c r="M476" s="52">
        <f>IFERROR(_xlfn.XLOOKUP(C476,'Agências de Rating Soberano'!$G$2:$G$22,'Agências de Rating Soberano'!$H$2:$H$22),NA())</f>
        <v>11</v>
      </c>
      <c r="N476" s="52">
        <f>IFERROR(_xlfn.XLOOKUP(E476,'Agências de Rating Soberano'!$J$2:$J$22,'Agências de Rating Soberano'!$K$2:$K$22),NA())</f>
        <v>10</v>
      </c>
      <c r="O476" s="52">
        <f>IFERROR(_xlfn.XLOOKUP(F476,'Agências de Rating Soberano'!$J$2:$J$22,'Agências de Rating Soberano'!$K$2:$K$22),NA())</f>
        <v>10</v>
      </c>
      <c r="P476" s="52">
        <f>IFERROR(_xlfn.XLOOKUP(H476,'Agências de Rating Soberano'!$J$2:$J$22,'Agências de Rating Soberano'!$K$2:$K$22),NA())</f>
        <v>10</v>
      </c>
      <c r="Q476" s="52">
        <f>IFERROR(_xlfn.XLOOKUP(I476,'Agências de Rating Soberano'!$J$2:$J$22,'Agências de Rating Soberano'!$K$2:$K$22),NA())</f>
        <v>10</v>
      </c>
    </row>
    <row r="477" spans="1:17" x14ac:dyDescent="0.3">
      <c r="A477" s="53">
        <f t="shared" si="14"/>
        <v>46203</v>
      </c>
      <c r="B477" t="str">
        <f>IFERROR(_xlfn.XLOOKUP($A477,Planilha2!$A$2:$A$34,Planilha2!C$2:C$34,"",-1),"")</f>
        <v>Ba1</v>
      </c>
      <c r="C477" t="str">
        <f>IFERROR(_xlfn.XLOOKUP($A477,Planilha2!$A$2:$A$34,Planilha2!D$2:D$34,"",-1),"")</f>
        <v>Ba1</v>
      </c>
      <c r="D477" t="str" cm="1">
        <f t="array" ref="D477">IF($A477&lt;MIN(Planilha2!$A$2:$A$34),"",_xlfn.LET(_xlpm.t,_xlfn.XLOOKUP($A477,Planilha2!$A$2:$A$34,Planilha2!$E$2:$E$34,"",-1),_xlfn.IFS(ISNUMBER(SEARCH("positiva",_xlpm.t)),"Positiva",ISNUMBER(SEARCH("negativa",_xlpm.t)),"Negativa",ISNUMBER(SEARCH("estável",_xlpm.t)),"Estável",TRUE,"n/d")))</f>
        <v>Estável</v>
      </c>
      <c r="E477" t="str">
        <f>IFERROR(_xlfn.XLOOKUP($A477,Planilha2!$J$2:$J$44,Planilha2!L$2:L$44,"",-1),"")</f>
        <v>BB</v>
      </c>
      <c r="F477" t="str">
        <f>IFERROR(_xlfn.XLOOKUP($A477,Planilha2!$J$2:$J$44,Planilha2!M$2:M$44,"",-1),"")</f>
        <v>BB</v>
      </c>
      <c r="G477" t="str" cm="1">
        <f t="array" ref="G477">IF($A477&lt;MIN(Planilha2!$J$2:$J$44),"",_xlfn.LET(_xlpm.t,_xlfn.XLOOKUP($A477,Planilha2!$J$2:$J$44,Planilha2!$N$2:$N$44,"",-1),_xlfn.IFS(ISNUMBER(SEARCH("positiva",_xlpm.t)),"Positiva",ISNUMBER(SEARCH("negativa",_xlpm.t)),"Negativa",ISNUMBER(SEARCH("estável",_xlpm.t)),"Estável",TRUE,"n/d")))</f>
        <v>Estável</v>
      </c>
      <c r="H477" t="str">
        <f>IFERROR(_xlfn.XLOOKUP($A477,Planilha2!$P$2:$P$38,Planilha2!R$2:R$38,"",-1),"")</f>
        <v>BB</v>
      </c>
      <c r="I477" t="str">
        <f>IFERROR(_xlfn.XLOOKUP($A477,Planilha2!$P$2:$P$38,Planilha2!S$2:S$38,"",-1),"")</f>
        <v>BB</v>
      </c>
      <c r="J477" t="str" cm="1">
        <f t="array" ref="J477">IF($A477&lt;MIN(Planilha2!$P$2:$P$38),"",_xlfn.LET(_xlpm.t,_xlfn.XLOOKUP($A477,Planilha2!$P$2:$P$38,Planilha2!$T$2:$T$38,"",-1),_xlfn.IFS(ISNUMBER(SEARCH("positiva",_xlpm.t)),"Positiva",ISNUMBER(SEARCH("negativa",_xlpm.t)),"Negativa",ISNUMBER(SEARCH("estável",_xlpm.t)),"Estável",TRUE,"n/d")))</f>
        <v>Estável</v>
      </c>
      <c r="L477" s="52">
        <f>IFERROR(_xlfn.XLOOKUP(B477,'Agências de Rating Soberano'!$G$2:$G$22,'Agências de Rating Soberano'!$H$2:$H$22),NA())</f>
        <v>11</v>
      </c>
      <c r="M477" s="52">
        <f>IFERROR(_xlfn.XLOOKUP(C477,'Agências de Rating Soberano'!$G$2:$G$22,'Agências de Rating Soberano'!$H$2:$H$22),NA())</f>
        <v>11</v>
      </c>
      <c r="N477" s="52">
        <f>IFERROR(_xlfn.XLOOKUP(E477,'Agências de Rating Soberano'!$J$2:$J$22,'Agências de Rating Soberano'!$K$2:$K$22),NA())</f>
        <v>10</v>
      </c>
      <c r="O477" s="52">
        <f>IFERROR(_xlfn.XLOOKUP(F477,'Agências de Rating Soberano'!$J$2:$J$22,'Agências de Rating Soberano'!$K$2:$K$22),NA())</f>
        <v>10</v>
      </c>
      <c r="P477" s="52">
        <f>IFERROR(_xlfn.XLOOKUP(H477,'Agências de Rating Soberano'!$J$2:$J$22,'Agências de Rating Soberano'!$K$2:$K$22),NA())</f>
        <v>10</v>
      </c>
      <c r="Q477" s="52">
        <f>IFERROR(_xlfn.XLOOKUP(I477,'Agências de Rating Soberano'!$J$2:$J$22,'Agências de Rating Soberano'!$K$2:$K$22),NA())</f>
        <v>10</v>
      </c>
    </row>
    <row r="478" spans="1:17" x14ac:dyDescent="0.3">
      <c r="A478" s="53">
        <f t="shared" si="14"/>
        <v>46234</v>
      </c>
      <c r="B478" t="str">
        <f>IFERROR(_xlfn.XLOOKUP($A478,Planilha2!$A$2:$A$34,Planilha2!C$2:C$34,"",-1),"")</f>
        <v>Ba1</v>
      </c>
      <c r="C478" t="str">
        <f>IFERROR(_xlfn.XLOOKUP($A478,Planilha2!$A$2:$A$34,Planilha2!D$2:D$34,"",-1),"")</f>
        <v>Ba1</v>
      </c>
      <c r="D478" t="str" cm="1">
        <f t="array" ref="D478">IF($A478&lt;MIN(Planilha2!$A$2:$A$34),"",_xlfn.LET(_xlpm.t,_xlfn.XLOOKUP($A478,Planilha2!$A$2:$A$34,Planilha2!$E$2:$E$34,"",-1),_xlfn.IFS(ISNUMBER(SEARCH("positiva",_xlpm.t)),"Positiva",ISNUMBER(SEARCH("negativa",_xlpm.t)),"Negativa",ISNUMBER(SEARCH("estável",_xlpm.t)),"Estável",TRUE,"n/d")))</f>
        <v>Estável</v>
      </c>
      <c r="E478" t="str">
        <f>IFERROR(_xlfn.XLOOKUP($A478,Planilha2!$J$2:$J$44,Planilha2!L$2:L$44,"",-1),"")</f>
        <v>BB</v>
      </c>
      <c r="F478" t="str">
        <f>IFERROR(_xlfn.XLOOKUP($A478,Planilha2!$J$2:$J$44,Planilha2!M$2:M$44,"",-1),"")</f>
        <v>BB</v>
      </c>
      <c r="G478" t="str" cm="1">
        <f t="array" ref="G478">IF($A478&lt;MIN(Planilha2!$J$2:$J$44),"",_xlfn.LET(_xlpm.t,_xlfn.XLOOKUP($A478,Planilha2!$J$2:$J$44,Planilha2!$N$2:$N$44,"",-1),_xlfn.IFS(ISNUMBER(SEARCH("positiva",_xlpm.t)),"Positiva",ISNUMBER(SEARCH("negativa",_xlpm.t)),"Negativa",ISNUMBER(SEARCH("estável",_xlpm.t)),"Estável",TRUE,"n/d")))</f>
        <v>Estável</v>
      </c>
      <c r="H478" t="str">
        <f>IFERROR(_xlfn.XLOOKUP($A478,Planilha2!$P$2:$P$38,Planilha2!R$2:R$38,"",-1),"")</f>
        <v>BB</v>
      </c>
      <c r="I478" t="str">
        <f>IFERROR(_xlfn.XLOOKUP($A478,Planilha2!$P$2:$P$38,Planilha2!S$2:S$38,"",-1),"")</f>
        <v>BB</v>
      </c>
      <c r="J478" t="str" cm="1">
        <f t="array" ref="J478">IF($A478&lt;MIN(Planilha2!$P$2:$P$38),"",_xlfn.LET(_xlpm.t,_xlfn.XLOOKUP($A478,Planilha2!$P$2:$P$38,Planilha2!$T$2:$T$38,"",-1),_xlfn.IFS(ISNUMBER(SEARCH("positiva",_xlpm.t)),"Positiva",ISNUMBER(SEARCH("negativa",_xlpm.t)),"Negativa",ISNUMBER(SEARCH("estável",_xlpm.t)),"Estável",TRUE,"n/d")))</f>
        <v>Estável</v>
      </c>
      <c r="L478" s="52">
        <f>IFERROR(_xlfn.XLOOKUP(B478,'Agências de Rating Soberano'!$G$2:$G$22,'Agências de Rating Soberano'!$H$2:$H$22),NA())</f>
        <v>11</v>
      </c>
      <c r="M478" s="52">
        <f>IFERROR(_xlfn.XLOOKUP(C478,'Agências de Rating Soberano'!$G$2:$G$22,'Agências de Rating Soberano'!$H$2:$H$22),NA())</f>
        <v>11</v>
      </c>
      <c r="N478" s="52">
        <f>IFERROR(_xlfn.XLOOKUP(E478,'Agências de Rating Soberano'!$J$2:$J$22,'Agências de Rating Soberano'!$K$2:$K$22),NA())</f>
        <v>10</v>
      </c>
      <c r="O478" s="52">
        <f>IFERROR(_xlfn.XLOOKUP(F478,'Agências de Rating Soberano'!$J$2:$J$22,'Agências de Rating Soberano'!$K$2:$K$22),NA())</f>
        <v>10</v>
      </c>
      <c r="P478" s="52">
        <f>IFERROR(_xlfn.XLOOKUP(H478,'Agências de Rating Soberano'!$J$2:$J$22,'Agências de Rating Soberano'!$K$2:$K$22),NA())</f>
        <v>10</v>
      </c>
      <c r="Q478" s="52">
        <f>IFERROR(_xlfn.XLOOKUP(I478,'Agências de Rating Soberano'!$J$2:$J$22,'Agências de Rating Soberano'!$K$2:$K$22),NA())</f>
        <v>10</v>
      </c>
    </row>
    <row r="479" spans="1:17" x14ac:dyDescent="0.3">
      <c r="A479" s="53">
        <f t="shared" si="14"/>
        <v>46265</v>
      </c>
      <c r="B479" t="str">
        <f>IFERROR(_xlfn.XLOOKUP($A479,Planilha2!$A$2:$A$34,Planilha2!C$2:C$34,"",-1),"")</f>
        <v>Ba1</v>
      </c>
      <c r="C479" t="str">
        <f>IFERROR(_xlfn.XLOOKUP($A479,Planilha2!$A$2:$A$34,Planilha2!D$2:D$34,"",-1),"")</f>
        <v>Ba1</v>
      </c>
      <c r="D479" t="str" cm="1">
        <f t="array" ref="D479">IF($A479&lt;MIN(Planilha2!$A$2:$A$34),"",_xlfn.LET(_xlpm.t,_xlfn.XLOOKUP($A479,Planilha2!$A$2:$A$34,Planilha2!$E$2:$E$34,"",-1),_xlfn.IFS(ISNUMBER(SEARCH("positiva",_xlpm.t)),"Positiva",ISNUMBER(SEARCH("negativa",_xlpm.t)),"Negativa",ISNUMBER(SEARCH("estável",_xlpm.t)),"Estável",TRUE,"n/d")))</f>
        <v>Estável</v>
      </c>
      <c r="E479" t="str">
        <f>IFERROR(_xlfn.XLOOKUP($A479,Planilha2!$J$2:$J$44,Planilha2!L$2:L$44,"",-1),"")</f>
        <v>BB</v>
      </c>
      <c r="F479" t="str">
        <f>IFERROR(_xlfn.XLOOKUP($A479,Planilha2!$J$2:$J$44,Planilha2!M$2:M$44,"",-1),"")</f>
        <v>BB</v>
      </c>
      <c r="G479" t="str" cm="1">
        <f t="array" ref="G479">IF($A479&lt;MIN(Planilha2!$J$2:$J$44),"",_xlfn.LET(_xlpm.t,_xlfn.XLOOKUP($A479,Planilha2!$J$2:$J$44,Planilha2!$N$2:$N$44,"",-1),_xlfn.IFS(ISNUMBER(SEARCH("positiva",_xlpm.t)),"Positiva",ISNUMBER(SEARCH("negativa",_xlpm.t)),"Negativa",ISNUMBER(SEARCH("estável",_xlpm.t)),"Estável",TRUE,"n/d")))</f>
        <v>Estável</v>
      </c>
      <c r="H479" t="str">
        <f>IFERROR(_xlfn.XLOOKUP($A479,Planilha2!$P$2:$P$38,Planilha2!R$2:R$38,"",-1),"")</f>
        <v>BB</v>
      </c>
      <c r="I479" t="str">
        <f>IFERROR(_xlfn.XLOOKUP($A479,Planilha2!$P$2:$P$38,Planilha2!S$2:S$38,"",-1),"")</f>
        <v>BB</v>
      </c>
      <c r="J479" t="str" cm="1">
        <f t="array" ref="J479">IF($A479&lt;MIN(Planilha2!$P$2:$P$38),"",_xlfn.LET(_xlpm.t,_xlfn.XLOOKUP($A479,Planilha2!$P$2:$P$38,Planilha2!$T$2:$T$38,"",-1),_xlfn.IFS(ISNUMBER(SEARCH("positiva",_xlpm.t)),"Positiva",ISNUMBER(SEARCH("negativa",_xlpm.t)),"Negativa",ISNUMBER(SEARCH("estável",_xlpm.t)),"Estável",TRUE,"n/d")))</f>
        <v>Estável</v>
      </c>
      <c r="L479" s="52">
        <f>IFERROR(_xlfn.XLOOKUP(B479,'Agências de Rating Soberano'!$G$2:$G$22,'Agências de Rating Soberano'!$H$2:$H$22),NA())</f>
        <v>11</v>
      </c>
      <c r="M479" s="52">
        <f>IFERROR(_xlfn.XLOOKUP(C479,'Agências de Rating Soberano'!$G$2:$G$22,'Agências de Rating Soberano'!$H$2:$H$22),NA())</f>
        <v>11</v>
      </c>
      <c r="N479" s="52">
        <f>IFERROR(_xlfn.XLOOKUP(E479,'Agências de Rating Soberano'!$J$2:$J$22,'Agências de Rating Soberano'!$K$2:$K$22),NA())</f>
        <v>10</v>
      </c>
      <c r="O479" s="52">
        <f>IFERROR(_xlfn.XLOOKUP(F479,'Agências de Rating Soberano'!$J$2:$J$22,'Agências de Rating Soberano'!$K$2:$K$22),NA())</f>
        <v>10</v>
      </c>
      <c r="P479" s="52">
        <f>IFERROR(_xlfn.XLOOKUP(H479,'Agências de Rating Soberano'!$J$2:$J$22,'Agências de Rating Soberano'!$K$2:$K$22),NA())</f>
        <v>10</v>
      </c>
      <c r="Q479" s="52">
        <f>IFERROR(_xlfn.XLOOKUP(I479,'Agências de Rating Soberano'!$J$2:$J$22,'Agências de Rating Soberano'!$K$2:$K$22),NA())</f>
        <v>10</v>
      </c>
    </row>
    <row r="480" spans="1:17" x14ac:dyDescent="0.3">
      <c r="A480" s="53">
        <f t="shared" si="14"/>
        <v>46295</v>
      </c>
      <c r="B480" t="str">
        <f>IFERROR(_xlfn.XLOOKUP($A480,Planilha2!$A$2:$A$34,Planilha2!C$2:C$34,"",-1),"")</f>
        <v>Ba1</v>
      </c>
      <c r="C480" t="str">
        <f>IFERROR(_xlfn.XLOOKUP($A480,Planilha2!$A$2:$A$34,Planilha2!D$2:D$34,"",-1),"")</f>
        <v>Ba1</v>
      </c>
      <c r="D480" t="str" cm="1">
        <f t="array" ref="D480">IF($A480&lt;MIN(Planilha2!$A$2:$A$34),"",_xlfn.LET(_xlpm.t,_xlfn.XLOOKUP($A480,Planilha2!$A$2:$A$34,Planilha2!$E$2:$E$34,"",-1),_xlfn.IFS(ISNUMBER(SEARCH("positiva",_xlpm.t)),"Positiva",ISNUMBER(SEARCH("negativa",_xlpm.t)),"Negativa",ISNUMBER(SEARCH("estável",_xlpm.t)),"Estável",TRUE,"n/d")))</f>
        <v>Estável</v>
      </c>
      <c r="E480" t="str">
        <f>IFERROR(_xlfn.XLOOKUP($A480,Planilha2!$J$2:$J$44,Planilha2!L$2:L$44,"",-1),"")</f>
        <v>BB</v>
      </c>
      <c r="F480" t="str">
        <f>IFERROR(_xlfn.XLOOKUP($A480,Planilha2!$J$2:$J$44,Planilha2!M$2:M$44,"",-1),"")</f>
        <v>BB</v>
      </c>
      <c r="G480" t="str" cm="1">
        <f t="array" ref="G480">IF($A480&lt;MIN(Planilha2!$J$2:$J$44),"",_xlfn.LET(_xlpm.t,_xlfn.XLOOKUP($A480,Planilha2!$J$2:$J$44,Planilha2!$N$2:$N$44,"",-1),_xlfn.IFS(ISNUMBER(SEARCH("positiva",_xlpm.t)),"Positiva",ISNUMBER(SEARCH("negativa",_xlpm.t)),"Negativa",ISNUMBER(SEARCH("estável",_xlpm.t)),"Estável",TRUE,"n/d")))</f>
        <v>Estável</v>
      </c>
      <c r="H480" t="str">
        <f>IFERROR(_xlfn.XLOOKUP($A480,Planilha2!$P$2:$P$38,Planilha2!R$2:R$38,"",-1),"")</f>
        <v>BB</v>
      </c>
      <c r="I480" t="str">
        <f>IFERROR(_xlfn.XLOOKUP($A480,Planilha2!$P$2:$P$38,Planilha2!S$2:S$38,"",-1),"")</f>
        <v>BB</v>
      </c>
      <c r="J480" t="str" cm="1">
        <f t="array" ref="J480">IF($A480&lt;MIN(Planilha2!$P$2:$P$38),"",_xlfn.LET(_xlpm.t,_xlfn.XLOOKUP($A480,Planilha2!$P$2:$P$38,Planilha2!$T$2:$T$38,"",-1),_xlfn.IFS(ISNUMBER(SEARCH("positiva",_xlpm.t)),"Positiva",ISNUMBER(SEARCH("negativa",_xlpm.t)),"Negativa",ISNUMBER(SEARCH("estável",_xlpm.t)),"Estável",TRUE,"n/d")))</f>
        <v>Estável</v>
      </c>
      <c r="L480" s="52">
        <f>IFERROR(_xlfn.XLOOKUP(B480,'Agências de Rating Soberano'!$G$2:$G$22,'Agências de Rating Soberano'!$H$2:$H$22),NA())</f>
        <v>11</v>
      </c>
      <c r="M480" s="52">
        <f>IFERROR(_xlfn.XLOOKUP(C480,'Agências de Rating Soberano'!$G$2:$G$22,'Agências de Rating Soberano'!$H$2:$H$22),NA())</f>
        <v>11</v>
      </c>
      <c r="N480" s="52">
        <f>IFERROR(_xlfn.XLOOKUP(E480,'Agências de Rating Soberano'!$J$2:$J$22,'Agências de Rating Soberano'!$K$2:$K$22),NA())</f>
        <v>10</v>
      </c>
      <c r="O480" s="52">
        <f>IFERROR(_xlfn.XLOOKUP(F480,'Agências de Rating Soberano'!$J$2:$J$22,'Agências de Rating Soberano'!$K$2:$K$22),NA())</f>
        <v>10</v>
      </c>
      <c r="P480" s="52">
        <f>IFERROR(_xlfn.XLOOKUP(H480,'Agências de Rating Soberano'!$J$2:$J$22,'Agências de Rating Soberano'!$K$2:$K$22),NA())</f>
        <v>10</v>
      </c>
      <c r="Q480" s="52">
        <f>IFERROR(_xlfn.XLOOKUP(I480,'Agências de Rating Soberano'!$J$2:$J$22,'Agências de Rating Soberano'!$K$2:$K$22),NA())</f>
        <v>10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24E58-B2A1-4460-81F0-3240A7CBF944}">
  <dimension ref="A1"/>
  <sheetViews>
    <sheetView topLeftCell="A22" workbookViewId="0">
      <selection activeCell="R74" sqref="R7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Outros Indicadores</vt:lpstr>
      <vt:lpstr>Presidentes</vt:lpstr>
      <vt:lpstr>Dívida Bruta</vt:lpstr>
      <vt:lpstr>Dívida Líquida GF e BC</vt:lpstr>
      <vt:lpstr>Resultado Primário</vt:lpstr>
      <vt:lpstr>Vol Ibov</vt:lpstr>
      <vt:lpstr>Agências de Rating Soberano</vt:lpstr>
      <vt:lpstr>Planilha2</vt:lpstr>
      <vt:lpstr>Base Rating 2</vt:lpstr>
      <vt:lpstr>Gráficos Rating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Varaschin</dc:creator>
  <cp:lastModifiedBy>Guilherme Varaschin</cp:lastModifiedBy>
  <dcterms:created xsi:type="dcterms:W3CDTF">2026-09-17T17:15:04Z</dcterms:created>
  <dcterms:modified xsi:type="dcterms:W3CDTF">2026-09-22T19:12:10Z</dcterms:modified>
</cp:coreProperties>
</file>